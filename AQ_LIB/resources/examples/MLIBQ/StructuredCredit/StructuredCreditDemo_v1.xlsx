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ecure\DIR_MLib_Analytics\Examples\StructuredCredit\"/>
    </mc:Choice>
  </mc:AlternateContent>
  <bookViews>
    <workbookView xWindow="0" yWindow="0" windowWidth="23760" windowHeight="9405"/>
  </bookViews>
  <sheets>
    <sheet name="Loans Data" sheetId="1" r:id="rId1"/>
    <sheet name="Portfolio" sheetId="2" r:id="rId2"/>
    <sheet name="Tranches" sheetId="3" r:id="rId3"/>
    <sheet name="Triggers" sheetId="5" r:id="rId4"/>
    <sheet name="CashflowEngine" sheetId="4" r:id="rId5"/>
    <sheet name="LiabilityFlows" sheetId="6" r:id="rId6"/>
    <sheet name="TranchePV" sheetId="7" r:id="rId7"/>
    <sheet name="Tranche DiscountMargin PV" sheetId="8" r:id="rId8"/>
    <sheet name="Tranche IRR" sheetId="9" r:id="rId9"/>
  </sheets>
  <definedNames>
    <definedName name="Tranches">Tranches!$B$22:OFFSET(Tranches!$B$22,Tranches!$B$19-1,0)</definedName>
    <definedName name="Triggers">Triggers!$B$22:OFFSET(Triggers!$B$22,Triggers!$B$19-1,0)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9" l="1"/>
  <c r="D2" i="9"/>
  <c r="C2" i="9"/>
  <c r="M4" i="9"/>
  <c r="M3" i="9"/>
  <c r="D25" i="9"/>
  <c r="C29" i="9"/>
  <c r="D21" i="9"/>
  <c r="C95" i="9"/>
  <c r="E46" i="9"/>
  <c r="C42" i="9"/>
  <c r="C13" i="9"/>
  <c r="D10" i="9"/>
  <c r="E18" i="9"/>
  <c r="E58" i="9"/>
  <c r="E35" i="9"/>
  <c r="D6" i="9"/>
  <c r="D44" i="9"/>
  <c r="D82" i="9"/>
  <c r="D94" i="9"/>
  <c r="C99" i="9"/>
  <c r="C58" i="9"/>
  <c r="D33" i="9"/>
  <c r="E9" i="9"/>
  <c r="D71" i="9"/>
  <c r="E70" i="9"/>
  <c r="E30" i="9"/>
  <c r="E60" i="9"/>
  <c r="C67" i="9"/>
  <c r="E80" i="9"/>
  <c r="D51" i="9"/>
  <c r="C37" i="9"/>
  <c r="E61" i="9"/>
  <c r="E92" i="9"/>
  <c r="E83" i="9"/>
  <c r="C11" i="9"/>
  <c r="E72" i="9"/>
  <c r="D64" i="9"/>
  <c r="E75" i="9"/>
  <c r="D59" i="9"/>
  <c r="E38" i="9"/>
  <c r="E19" i="9"/>
  <c r="E34" i="9"/>
  <c r="D35" i="9"/>
  <c r="C87" i="9"/>
  <c r="D95" i="9"/>
  <c r="D43" i="9"/>
  <c r="C93" i="9"/>
  <c r="E100" i="9"/>
  <c r="C75" i="9"/>
  <c r="D7" i="9"/>
  <c r="C34" i="9"/>
  <c r="E25" i="9"/>
  <c r="E11" i="9"/>
  <c r="C77" i="9"/>
  <c r="E44" i="9"/>
  <c r="D12" i="9"/>
  <c r="D79" i="9"/>
  <c r="E78" i="9"/>
  <c r="D46" i="9"/>
  <c r="D56" i="9"/>
  <c r="C5" i="9"/>
  <c r="C62" i="9"/>
  <c r="D45" i="9"/>
  <c r="C44" i="9"/>
  <c r="E26" i="9"/>
  <c r="D68" i="9"/>
  <c r="D28" i="9"/>
  <c r="E32" i="9"/>
  <c r="C33" i="9"/>
  <c r="E93" i="9"/>
  <c r="D99" i="9"/>
  <c r="E81" i="9"/>
  <c r="C65" i="9"/>
  <c r="D57" i="9"/>
  <c r="D52" i="9"/>
  <c r="C40" i="9"/>
  <c r="E33" i="9"/>
  <c r="E13" i="9"/>
  <c r="C98" i="9"/>
  <c r="D26" i="9"/>
  <c r="D30" i="9"/>
  <c r="C30" i="9"/>
  <c r="C14" i="9"/>
  <c r="C47" i="9"/>
  <c r="E63" i="9"/>
  <c r="E74" i="9"/>
  <c r="C20" i="9"/>
  <c r="E86" i="9"/>
  <c r="C7" i="9"/>
  <c r="E49" i="9"/>
  <c r="E4" i="9"/>
  <c r="E55" i="9"/>
  <c r="D88" i="9"/>
  <c r="D83" i="9"/>
  <c r="D55" i="9"/>
  <c r="E40" i="9"/>
  <c r="E89" i="9"/>
  <c r="C18" i="9"/>
  <c r="D97" i="9"/>
  <c r="C68" i="9"/>
  <c r="C35" i="9"/>
  <c r="E21" i="9"/>
  <c r="D74" i="9"/>
  <c r="C12" i="9"/>
  <c r="E51" i="9"/>
  <c r="D65" i="9"/>
  <c r="D42" i="9"/>
  <c r="E12" i="9"/>
  <c r="C55" i="9"/>
  <c r="E85" i="9"/>
  <c r="D50" i="9"/>
  <c r="E42" i="9"/>
  <c r="E39" i="9"/>
  <c r="D15" i="9"/>
  <c r="D17" i="9"/>
  <c r="C10" i="9"/>
  <c r="E97" i="9"/>
  <c r="C26" i="9"/>
  <c r="E10" i="9"/>
  <c r="C69" i="9"/>
  <c r="C41" i="9"/>
  <c r="D80" i="9"/>
  <c r="C15" i="9"/>
  <c r="E47" i="9"/>
  <c r="D101" i="9"/>
  <c r="E77" i="9"/>
  <c r="C59" i="9"/>
  <c r="D67" i="9"/>
  <c r="E23" i="9"/>
  <c r="C21" i="9"/>
  <c r="E82" i="9"/>
  <c r="C57" i="9"/>
  <c r="C73" i="9"/>
  <c r="E41" i="9"/>
  <c r="C28" i="9"/>
  <c r="C81" i="9"/>
  <c r="E8" i="9"/>
  <c r="E99" i="9"/>
  <c r="E28" i="9"/>
  <c r="D76" i="9"/>
  <c r="E90" i="9"/>
  <c r="D32" i="9"/>
  <c r="C27" i="9"/>
  <c r="C52" i="9"/>
  <c r="E15" i="9"/>
  <c r="C86" i="9"/>
  <c r="C101" i="9"/>
  <c r="D61" i="9"/>
  <c r="C24" i="9"/>
  <c r="C46" i="9"/>
  <c r="D48" i="9"/>
  <c r="D66" i="9"/>
  <c r="D58" i="9"/>
  <c r="D53" i="9"/>
  <c r="C22" i="9"/>
  <c r="D27" i="9"/>
  <c r="C85" i="9"/>
  <c r="C72" i="9"/>
  <c r="D23" i="9"/>
  <c r="C83" i="9"/>
  <c r="C89" i="9"/>
  <c r="E22" i="9"/>
  <c r="C38" i="9"/>
  <c r="E71" i="9"/>
  <c r="E27" i="9"/>
  <c r="E43" i="9"/>
  <c r="C79" i="9"/>
  <c r="D16" i="9"/>
  <c r="D81" i="9"/>
  <c r="D90" i="9"/>
  <c r="C92" i="9"/>
  <c r="D69" i="9"/>
  <c r="C43" i="9"/>
  <c r="C31" i="9"/>
  <c r="E101" i="9"/>
  <c r="D13" i="9"/>
  <c r="E87" i="9"/>
  <c r="D100" i="9"/>
  <c r="C6" i="9"/>
  <c r="E6" i="9"/>
  <c r="C16" i="9"/>
  <c r="E94" i="9"/>
  <c r="D22" i="9"/>
  <c r="C51" i="9"/>
  <c r="E17" i="9"/>
  <c r="C70" i="9"/>
  <c r="C63" i="9"/>
  <c r="E52" i="9"/>
  <c r="D78" i="9"/>
  <c r="C76" i="9"/>
  <c r="D8" i="9"/>
  <c r="E36" i="9"/>
  <c r="E59" i="9"/>
  <c r="D9" i="9"/>
  <c r="E50" i="9"/>
  <c r="C64" i="9"/>
  <c r="E7" i="9"/>
  <c r="D41" i="9"/>
  <c r="D14" i="9"/>
  <c r="C4" i="9"/>
  <c r="E95" i="9"/>
  <c r="D86" i="9"/>
  <c r="C36" i="9"/>
  <c r="C96" i="9"/>
  <c r="E84" i="9"/>
  <c r="C19" i="9"/>
  <c r="E16" i="9"/>
  <c r="E31" i="9"/>
  <c r="D4" i="9"/>
  <c r="D20" i="9"/>
  <c r="C61" i="9"/>
  <c r="C53" i="9"/>
  <c r="D96" i="9"/>
  <c r="D29" i="9"/>
  <c r="E45" i="9"/>
  <c r="E20" i="9"/>
  <c r="D36" i="9"/>
  <c r="C8" i="9"/>
  <c r="E56" i="9"/>
  <c r="C17" i="9"/>
  <c r="C49" i="9"/>
  <c r="C56" i="9"/>
  <c r="E91" i="9"/>
  <c r="C60" i="9"/>
  <c r="E98" i="9"/>
  <c r="E73" i="9"/>
  <c r="C74" i="9"/>
  <c r="C97" i="9"/>
  <c r="D63" i="9"/>
  <c r="D91" i="9"/>
  <c r="C66" i="9"/>
  <c r="D93" i="9"/>
  <c r="D40" i="9"/>
  <c r="D85" i="9"/>
  <c r="D72" i="9"/>
  <c r="C39" i="9"/>
  <c r="C9" i="9"/>
  <c r="D38" i="9"/>
  <c r="D11" i="9"/>
  <c r="D24" i="9"/>
  <c r="D19" i="9"/>
  <c r="C71" i="9"/>
  <c r="D34" i="9"/>
  <c r="D5" i="9"/>
  <c r="E54" i="9"/>
  <c r="C25" i="9"/>
  <c r="E57" i="9"/>
  <c r="E76" i="9"/>
  <c r="D49" i="9"/>
  <c r="D84" i="9"/>
  <c r="D77" i="9"/>
  <c r="E66" i="9"/>
  <c r="D87" i="9"/>
  <c r="E96" i="9"/>
  <c r="C32" i="9"/>
  <c r="E5" i="9"/>
  <c r="C94" i="9"/>
  <c r="D31" i="9"/>
  <c r="C78" i="9"/>
  <c r="C54" i="9"/>
  <c r="D92" i="9"/>
  <c r="D75" i="9"/>
  <c r="C50" i="9"/>
  <c r="E69" i="9"/>
  <c r="C48" i="9"/>
  <c r="E48" i="9"/>
  <c r="C88" i="9"/>
  <c r="D98" i="9"/>
  <c r="E24" i="9"/>
  <c r="E29" i="9"/>
  <c r="D18" i="9"/>
  <c r="C91" i="9"/>
  <c r="D89" i="9"/>
  <c r="C80" i="9"/>
  <c r="D39" i="9"/>
  <c r="D73" i="9"/>
  <c r="C45" i="9"/>
  <c r="E64" i="9"/>
  <c r="D47" i="9"/>
  <c r="E88" i="9"/>
  <c r="E68" i="9"/>
  <c r="E79" i="9"/>
  <c r="C90" i="9"/>
  <c r="D37" i="9"/>
  <c r="D54" i="9"/>
  <c r="C84" i="9"/>
  <c r="C82" i="9"/>
  <c r="E67" i="9"/>
  <c r="E37" i="9"/>
  <c r="E14" i="9"/>
  <c r="C100" i="9"/>
  <c r="E65" i="9"/>
  <c r="E62" i="9"/>
  <c r="D62" i="9"/>
  <c r="E53" i="9"/>
  <c r="D70" i="9"/>
  <c r="D60" i="9"/>
  <c r="C23" i="9"/>
  <c r="C15" i="3"/>
  <c r="F15" i="3"/>
  <c r="I2" i="9" l="1"/>
  <c r="J2" i="9"/>
  <c r="H2" i="9"/>
  <c r="I4" i="8"/>
  <c r="I3" i="8"/>
  <c r="E2" i="8"/>
  <c r="D2" i="8"/>
  <c r="C2" i="8"/>
  <c r="H4" i="9"/>
  <c r="J56" i="9"/>
  <c r="J52" i="9"/>
  <c r="I32" i="9"/>
  <c r="H74" i="9"/>
  <c r="J49" i="9"/>
  <c r="H79" i="9"/>
  <c r="H90" i="9"/>
  <c r="H59" i="9"/>
  <c r="I95" i="9"/>
  <c r="J75" i="9"/>
  <c r="J58" i="9"/>
  <c r="I61" i="9"/>
  <c r="J28" i="9"/>
  <c r="J9" i="9"/>
  <c r="J21" i="9"/>
  <c r="J33" i="9"/>
  <c r="H12" i="9"/>
  <c r="I42" i="9"/>
  <c r="J17" i="9"/>
  <c r="I67" i="9"/>
  <c r="I62" i="9"/>
  <c r="H31" i="9"/>
  <c r="J85" i="9"/>
  <c r="H40" i="9"/>
  <c r="H93" i="9"/>
  <c r="H30" i="9"/>
  <c r="H10" i="9"/>
  <c r="I5" i="9"/>
  <c r="J61" i="9"/>
  <c r="I90" i="9"/>
  <c r="I93" i="9"/>
  <c r="I80" i="9"/>
  <c r="J51" i="9"/>
  <c r="J5" i="9"/>
  <c r="I44" i="9"/>
  <c r="I43" i="9"/>
  <c r="J25" i="9"/>
  <c r="I82" i="9"/>
  <c r="J11" i="9"/>
  <c r="I57" i="9"/>
  <c r="I25" i="9"/>
  <c r="H57" i="9"/>
  <c r="I39" i="9"/>
  <c r="H80" i="9"/>
  <c r="H65" i="9"/>
  <c r="H33" i="9"/>
  <c r="I8" i="9"/>
  <c r="J35" i="9"/>
  <c r="I11" i="9"/>
  <c r="H32" i="9"/>
  <c r="J39" i="9"/>
  <c r="J90" i="9"/>
  <c r="H6" i="9"/>
  <c r="I101" i="9"/>
  <c r="H45" i="9"/>
  <c r="H39" i="9"/>
  <c r="J13" i="9"/>
  <c r="I84" i="9"/>
  <c r="J46" i="9"/>
  <c r="H22" i="9"/>
  <c r="I69" i="9"/>
  <c r="H58" i="9"/>
  <c r="I17" i="9"/>
  <c r="J82" i="9"/>
  <c r="H73" i="9"/>
  <c r="H62" i="9"/>
  <c r="J43" i="9"/>
  <c r="H95" i="9"/>
  <c r="J50" i="9"/>
  <c r="I96" i="9"/>
  <c r="J29" i="9"/>
  <c r="J6" i="9"/>
  <c r="I100" i="9"/>
  <c r="I34" i="9"/>
  <c r="I50" i="9"/>
  <c r="I66" i="9"/>
  <c r="J12" i="9"/>
  <c r="H67" i="9"/>
  <c r="H13" i="9"/>
  <c r="I46" i="9"/>
  <c r="J32" i="9"/>
  <c r="H25" i="9"/>
  <c r="J16" i="9"/>
  <c r="H91" i="9"/>
  <c r="I70" i="9"/>
  <c r="H5" i="9"/>
  <c r="J22" i="9"/>
  <c r="H69" i="9"/>
  <c r="H19" i="9"/>
  <c r="H24" i="9"/>
  <c r="H16" i="9"/>
  <c r="I28" i="9"/>
  <c r="H96" i="9"/>
  <c r="H76" i="9"/>
  <c r="J18" i="9"/>
  <c r="H18" i="9"/>
  <c r="I48" i="9"/>
  <c r="J19" i="9"/>
  <c r="H81" i="9"/>
  <c r="J84" i="9"/>
  <c r="H36" i="9"/>
  <c r="I55" i="9"/>
  <c r="J55" i="9"/>
  <c r="H92" i="9"/>
  <c r="J96" i="9"/>
  <c r="I33" i="9"/>
  <c r="H29" i="9"/>
  <c r="H23" i="9"/>
  <c r="J87" i="9"/>
  <c r="I54" i="9"/>
  <c r="I65" i="9"/>
  <c r="J63" i="9"/>
  <c r="J93" i="9"/>
  <c r="H85" i="9"/>
  <c r="I98" i="9"/>
  <c r="I56" i="9"/>
  <c r="I49" i="9"/>
  <c r="J14" i="9"/>
  <c r="J67" i="9"/>
  <c r="J71" i="9"/>
  <c r="I81" i="9"/>
  <c r="J24" i="9"/>
  <c r="H8" i="9"/>
  <c r="I20" i="9"/>
  <c r="J81" i="9"/>
  <c r="I35" i="9"/>
  <c r="J47" i="9"/>
  <c r="J23" i="9"/>
  <c r="J59" i="9"/>
  <c r="H83" i="9"/>
  <c r="I92" i="9"/>
  <c r="J66" i="9"/>
  <c r="H41" i="9"/>
  <c r="J78" i="9"/>
  <c r="H52" i="9"/>
  <c r="J34" i="9"/>
  <c r="J62" i="9"/>
  <c r="H78" i="9"/>
  <c r="H68" i="9"/>
  <c r="J65" i="9"/>
  <c r="J4" i="9"/>
  <c r="H49" i="9"/>
  <c r="J89" i="9"/>
  <c r="I38" i="9"/>
  <c r="J40" i="9"/>
  <c r="J86" i="9"/>
  <c r="H75" i="9"/>
  <c r="J31" i="9"/>
  <c r="J70" i="9"/>
  <c r="I52" i="9"/>
  <c r="H99" i="9"/>
  <c r="J27" i="9"/>
  <c r="H64" i="9"/>
  <c r="J68" i="9"/>
  <c r="J45" i="9"/>
  <c r="H47" i="9"/>
  <c r="I29" i="9"/>
  <c r="J54" i="9"/>
  <c r="I27" i="9"/>
  <c r="J91" i="9"/>
  <c r="I37" i="9"/>
  <c r="I15" i="9"/>
  <c r="J64" i="9"/>
  <c r="I59" i="9"/>
  <c r="H100" i="9"/>
  <c r="J72" i="9"/>
  <c r="I24" i="9"/>
  <c r="J74" i="9"/>
  <c r="J44" i="9"/>
  <c r="J53" i="9"/>
  <c r="I88" i="9"/>
  <c r="I83" i="9"/>
  <c r="J8" i="9"/>
  <c r="H48" i="9"/>
  <c r="H26" i="9"/>
  <c r="I77" i="9"/>
  <c r="I91" i="9"/>
  <c r="J79" i="9"/>
  <c r="I22" i="9"/>
  <c r="I63" i="9"/>
  <c r="J98" i="9"/>
  <c r="J37" i="9"/>
  <c r="I21" i="9"/>
  <c r="I36" i="9"/>
  <c r="I87" i="9"/>
  <c r="I72" i="9"/>
  <c r="H14" i="9"/>
  <c r="I99" i="9"/>
  <c r="I86" i="9"/>
  <c r="J99" i="9"/>
  <c r="J76" i="9"/>
  <c r="H50" i="9"/>
  <c r="I23" i="9"/>
  <c r="I45" i="9"/>
  <c r="I13" i="9"/>
  <c r="H53" i="9"/>
  <c r="H43" i="9"/>
  <c r="J26" i="9"/>
  <c r="I26" i="9"/>
  <c r="J57" i="9"/>
  <c r="J80" i="9"/>
  <c r="H20" i="9"/>
  <c r="I7" i="9"/>
  <c r="I64" i="9"/>
  <c r="H9" i="9"/>
  <c r="I9" i="9"/>
  <c r="I75" i="9"/>
  <c r="I10" i="9"/>
  <c r="I16" i="9"/>
  <c r="I89" i="9"/>
  <c r="J100" i="9"/>
  <c r="J20" i="9"/>
  <c r="H86" i="9"/>
  <c r="J94" i="9"/>
  <c r="I76" i="9"/>
  <c r="H37" i="9"/>
  <c r="J15" i="9"/>
  <c r="H17" i="9"/>
  <c r="I73" i="9"/>
  <c r="H44" i="9"/>
  <c r="H7" i="9"/>
  <c r="J38" i="9"/>
  <c r="I58" i="9"/>
  <c r="J42" i="9"/>
  <c r="J77" i="9"/>
  <c r="I4" i="9"/>
  <c r="I18" i="9"/>
  <c r="H88" i="9"/>
  <c r="H77" i="9"/>
  <c r="H87" i="9"/>
  <c r="I19" i="9"/>
  <c r="J73" i="9"/>
  <c r="J36" i="9"/>
  <c r="H63" i="9"/>
  <c r="J83" i="9"/>
  <c r="H11" i="9"/>
  <c r="I53" i="9"/>
  <c r="H56" i="9"/>
  <c r="I41" i="9"/>
  <c r="J95" i="9"/>
  <c r="I60" i="9"/>
  <c r="J92" i="9"/>
  <c r="I6" i="9"/>
  <c r="H34" i="9"/>
  <c r="I97" i="9"/>
  <c r="H35" i="9"/>
  <c r="H66" i="9"/>
  <c r="J97" i="9"/>
  <c r="H54" i="9"/>
  <c r="H98" i="9"/>
  <c r="I68" i="9"/>
  <c r="I85" i="9"/>
  <c r="H15" i="9"/>
  <c r="H84" i="9"/>
  <c r="I47" i="9"/>
  <c r="I14" i="9"/>
  <c r="H51" i="9"/>
  <c r="I71" i="9"/>
  <c r="H70" i="9"/>
  <c r="J60" i="9"/>
  <c r="H27" i="9"/>
  <c r="J69" i="9"/>
  <c r="I12" i="9"/>
  <c r="H61" i="9"/>
  <c r="H42" i="9"/>
  <c r="H89" i="9"/>
  <c r="H101" i="9"/>
  <c r="H94" i="9"/>
  <c r="I79" i="9"/>
  <c r="J41" i="9"/>
  <c r="H55" i="9"/>
  <c r="I51" i="9"/>
  <c r="J30" i="9"/>
  <c r="H72" i="9"/>
  <c r="J10" i="9"/>
  <c r="I94" i="9"/>
  <c r="J88" i="9"/>
  <c r="H82" i="9"/>
  <c r="H21" i="9"/>
  <c r="I74" i="9"/>
  <c r="I31" i="9"/>
  <c r="I78" i="9"/>
  <c r="J7" i="9"/>
  <c r="H28" i="9"/>
  <c r="I30" i="9"/>
  <c r="H97" i="9"/>
  <c r="H46" i="9"/>
  <c r="J101" i="9"/>
  <c r="H71" i="9"/>
  <c r="J48" i="9"/>
  <c r="H38" i="9"/>
  <c r="H60" i="9"/>
  <c r="I40" i="9"/>
  <c r="E49" i="8"/>
  <c r="C45" i="8"/>
  <c r="D62" i="8"/>
  <c r="E53" i="8"/>
  <c r="C84" i="8"/>
  <c r="D102" i="8"/>
  <c r="E6" i="8"/>
  <c r="C59" i="8"/>
  <c r="D9" i="8"/>
  <c r="E78" i="8"/>
  <c r="E86" i="8"/>
  <c r="C69" i="8"/>
  <c r="D14" i="8"/>
  <c r="E57" i="8"/>
  <c r="D13" i="8"/>
  <c r="E51" i="8"/>
  <c r="E47" i="8"/>
  <c r="E102" i="8"/>
  <c r="D82" i="8"/>
  <c r="D45" i="8"/>
  <c r="C52" i="8"/>
  <c r="D99" i="8"/>
  <c r="C86" i="8"/>
  <c r="D22" i="8"/>
  <c r="E60" i="8"/>
  <c r="C42" i="8"/>
  <c r="E9" i="8"/>
  <c r="C85" i="8"/>
  <c r="D44" i="8"/>
  <c r="E94" i="8"/>
  <c r="C67" i="8"/>
  <c r="E36" i="8"/>
  <c r="C74" i="8"/>
  <c r="E79" i="8"/>
  <c r="E84" i="8"/>
  <c r="D15" i="8"/>
  <c r="D89" i="8"/>
  <c r="D34" i="8"/>
  <c r="E87" i="8"/>
  <c r="C61" i="8"/>
  <c r="E50" i="8"/>
  <c r="C101" i="8"/>
  <c r="D48" i="8"/>
  <c r="D63" i="8"/>
  <c r="D76" i="8"/>
  <c r="D24" i="8"/>
  <c r="C71" i="8"/>
  <c r="C26" i="8"/>
  <c r="D37" i="8"/>
  <c r="C96" i="8"/>
  <c r="C83" i="8"/>
  <c r="D43" i="8"/>
  <c r="C33" i="8"/>
  <c r="C8" i="8"/>
  <c r="D32" i="8"/>
  <c r="E20" i="8"/>
  <c r="C38" i="8"/>
  <c r="E58" i="8"/>
  <c r="D35" i="8"/>
  <c r="D5" i="8"/>
  <c r="C24" i="8"/>
  <c r="D52" i="8"/>
  <c r="E26" i="8"/>
  <c r="E67" i="8"/>
  <c r="E66" i="8"/>
  <c r="C16" i="8"/>
  <c r="D58" i="8"/>
  <c r="E82" i="8"/>
  <c r="E54" i="8"/>
  <c r="E52" i="8"/>
  <c r="C6" i="8"/>
  <c r="C10" i="8"/>
  <c r="D54" i="8"/>
  <c r="C47" i="8"/>
  <c r="C95" i="8"/>
  <c r="E83" i="8"/>
  <c r="D72" i="8"/>
  <c r="D101" i="8"/>
  <c r="D97" i="8"/>
  <c r="D55" i="8"/>
  <c r="E24" i="8"/>
  <c r="D74" i="8"/>
  <c r="E89" i="8"/>
  <c r="D64" i="8"/>
  <c r="C41" i="8"/>
  <c r="E22" i="8"/>
  <c r="C35" i="8"/>
  <c r="C12" i="8"/>
  <c r="D84" i="8"/>
  <c r="C28" i="8"/>
  <c r="E4" i="8"/>
  <c r="D60" i="8"/>
  <c r="E32" i="8"/>
  <c r="D56" i="8"/>
  <c r="C63" i="8"/>
  <c r="C53" i="8"/>
  <c r="D67" i="8"/>
  <c r="C58" i="8"/>
  <c r="C21" i="8"/>
  <c r="C88" i="8"/>
  <c r="D4" i="8"/>
  <c r="D53" i="8"/>
  <c r="E12" i="8"/>
  <c r="E16" i="8"/>
  <c r="E39" i="8"/>
  <c r="D93" i="8"/>
  <c r="D17" i="8"/>
  <c r="E41" i="8"/>
  <c r="D27" i="8"/>
  <c r="D94" i="8"/>
  <c r="E92" i="8"/>
  <c r="C39" i="8"/>
  <c r="C73" i="8"/>
  <c r="E75" i="8"/>
  <c r="C57" i="8"/>
  <c r="D71" i="8"/>
  <c r="D79" i="8"/>
  <c r="C79" i="8"/>
  <c r="E23" i="8"/>
  <c r="E33" i="8"/>
  <c r="E17" i="8"/>
  <c r="C89" i="8"/>
  <c r="D87" i="8"/>
  <c r="C76" i="8"/>
  <c r="D28" i="8"/>
  <c r="C15" i="8"/>
  <c r="C17" i="8"/>
  <c r="C97" i="8"/>
  <c r="D8" i="8"/>
  <c r="E45" i="8"/>
  <c r="D46" i="8"/>
  <c r="E62" i="8"/>
  <c r="C100" i="8"/>
  <c r="C77" i="8"/>
  <c r="E56" i="8"/>
  <c r="C14" i="8"/>
  <c r="E18" i="8"/>
  <c r="E27" i="8"/>
  <c r="E76" i="8"/>
  <c r="E34" i="8"/>
  <c r="D50" i="8"/>
  <c r="E98" i="8"/>
  <c r="D92" i="8"/>
  <c r="C19" i="8"/>
  <c r="E38" i="8"/>
  <c r="D57" i="8"/>
  <c r="E65" i="8"/>
  <c r="C102" i="8"/>
  <c r="E81" i="8"/>
  <c r="C43" i="8"/>
  <c r="D98" i="8"/>
  <c r="D16" i="8"/>
  <c r="C44" i="8"/>
  <c r="C68" i="8"/>
  <c r="D66" i="8"/>
  <c r="E10" i="8"/>
  <c r="C48" i="8"/>
  <c r="D18" i="8"/>
  <c r="E14" i="8"/>
  <c r="C32" i="8"/>
  <c r="E13" i="8"/>
  <c r="D96" i="8"/>
  <c r="C82" i="8"/>
  <c r="E72" i="8"/>
  <c r="E7" i="8"/>
  <c r="E15" i="8"/>
  <c r="E101" i="8"/>
  <c r="D21" i="8"/>
  <c r="C66" i="8"/>
  <c r="C81" i="8"/>
  <c r="C92" i="8"/>
  <c r="C56" i="8"/>
  <c r="C78" i="8"/>
  <c r="E64" i="8"/>
  <c r="D41" i="8"/>
  <c r="C65" i="8"/>
  <c r="E30" i="8"/>
  <c r="D83" i="8"/>
  <c r="E8" i="8"/>
  <c r="C91" i="8"/>
  <c r="C27" i="8"/>
  <c r="D20" i="8"/>
  <c r="C7" i="8"/>
  <c r="C87" i="8"/>
  <c r="E90" i="8"/>
  <c r="E43" i="8"/>
  <c r="E71" i="8"/>
  <c r="C93" i="8"/>
  <c r="C11" i="8"/>
  <c r="C23" i="8"/>
  <c r="C37" i="8"/>
  <c r="E11" i="8"/>
  <c r="D68" i="8"/>
  <c r="C18" i="8"/>
  <c r="D73" i="8"/>
  <c r="E73" i="8"/>
  <c r="D100" i="8"/>
  <c r="D30" i="8"/>
  <c r="E68" i="8"/>
  <c r="C29" i="8"/>
  <c r="D77" i="8"/>
  <c r="E44" i="8"/>
  <c r="C13" i="8"/>
  <c r="D70" i="8"/>
  <c r="C72" i="8"/>
  <c r="D65" i="8"/>
  <c r="C20" i="8"/>
  <c r="D31" i="8"/>
  <c r="C40" i="8"/>
  <c r="D6" i="8"/>
  <c r="E55" i="8"/>
  <c r="E97" i="8"/>
  <c r="D25" i="8"/>
  <c r="C4" i="8"/>
  <c r="C75" i="8"/>
  <c r="D90" i="8"/>
  <c r="D95" i="8"/>
  <c r="C62" i="8"/>
  <c r="C22" i="8"/>
  <c r="D12" i="8"/>
  <c r="D49" i="8"/>
  <c r="E95" i="8"/>
  <c r="E69" i="8"/>
  <c r="D47" i="8"/>
  <c r="E80" i="8"/>
  <c r="D40" i="8"/>
  <c r="D19" i="8"/>
  <c r="E100" i="8"/>
  <c r="D61" i="8"/>
  <c r="D75" i="8"/>
  <c r="C36" i="8"/>
  <c r="D26" i="8"/>
  <c r="C30" i="8"/>
  <c r="C70" i="8"/>
  <c r="E70" i="8"/>
  <c r="D88" i="8"/>
  <c r="E48" i="8"/>
  <c r="D42" i="8"/>
  <c r="E37" i="8"/>
  <c r="D80" i="8"/>
  <c r="C25" i="8"/>
  <c r="E61" i="8"/>
  <c r="C80" i="8"/>
  <c r="D39" i="8"/>
  <c r="C54" i="8"/>
  <c r="E63" i="8"/>
  <c r="D23" i="8"/>
  <c r="D33" i="8"/>
  <c r="C60" i="8"/>
  <c r="C9" i="8"/>
  <c r="D91" i="8"/>
  <c r="D38" i="8"/>
  <c r="C51" i="8"/>
  <c r="E74" i="8"/>
  <c r="D85" i="8"/>
  <c r="E40" i="8"/>
  <c r="D59" i="8"/>
  <c r="E88" i="8"/>
  <c r="E31" i="8"/>
  <c r="E21" i="8"/>
  <c r="C34" i="8"/>
  <c r="D86" i="8"/>
  <c r="D11" i="8"/>
  <c r="E96" i="8"/>
  <c r="D69" i="8"/>
  <c r="C94" i="8"/>
  <c r="D78" i="8"/>
  <c r="C31" i="8"/>
  <c r="C98" i="8"/>
  <c r="D10" i="8"/>
  <c r="E77" i="8"/>
  <c r="D36" i="8"/>
  <c r="E25" i="8"/>
  <c r="E46" i="8"/>
  <c r="C5" i="8"/>
  <c r="E85" i="8"/>
  <c r="D81" i="8"/>
  <c r="C55" i="8"/>
  <c r="D29" i="8"/>
  <c r="E35" i="8"/>
  <c r="E99" i="8"/>
  <c r="C99" i="8"/>
  <c r="E93" i="8"/>
  <c r="C46" i="8"/>
  <c r="D51" i="8"/>
  <c r="C64" i="8"/>
  <c r="E91" i="8"/>
  <c r="C50" i="8"/>
  <c r="C49" i="8"/>
  <c r="D7" i="8"/>
  <c r="E28" i="8"/>
  <c r="E59" i="8"/>
  <c r="E29" i="8"/>
  <c r="E19" i="8"/>
  <c r="E42" i="8"/>
  <c r="C90" i="8"/>
  <c r="E5" i="8"/>
  <c r="D6" i="2" l="1"/>
  <c r="R4" i="6" l="1"/>
  <c r="C14" i="4"/>
  <c r="C4" i="4"/>
  <c r="C5" i="5"/>
  <c r="J5" i="5"/>
  <c r="F5" i="5"/>
  <c r="I15" i="3"/>
  <c r="L7" i="3"/>
  <c r="D4" i="2"/>
  <c r="C5" i="1"/>
  <c r="C15" i="4" l="1"/>
  <c r="C26" i="4"/>
  <c r="I3" i="7" s="1"/>
  <c r="B24" i="3"/>
  <c r="B22" i="3"/>
  <c r="B23" i="3"/>
  <c r="F10" i="5"/>
  <c r="C9" i="5"/>
  <c r="J28" i="5"/>
  <c r="L12" i="3"/>
  <c r="D7" i="2"/>
  <c r="B9" i="1" a="1"/>
  <c r="C16" i="4" l="1"/>
  <c r="E17" i="4"/>
  <c r="B22" i="5"/>
  <c r="B24" i="5"/>
  <c r="B23" i="5"/>
  <c r="G42" i="1"/>
  <c r="N10" i="1"/>
  <c r="Z10" i="1" s="1"/>
  <c r="L30" i="1"/>
  <c r="W30" i="1" s="1"/>
  <c r="T45" i="1"/>
  <c r="M70" i="1"/>
  <c r="E45" i="1"/>
  <c r="E20" i="1"/>
  <c r="V41" i="1"/>
  <c r="I32" i="1"/>
  <c r="K9" i="1"/>
  <c r="L11" i="1"/>
  <c r="W11" i="1" s="1"/>
  <c r="D31" i="1"/>
  <c r="N43" i="1"/>
  <c r="Z43" i="1" s="1"/>
  <c r="N17" i="1"/>
  <c r="Z17" i="1" s="1"/>
  <c r="T12" i="1"/>
  <c r="G38" i="1"/>
  <c r="T14" i="1"/>
  <c r="V54" i="1"/>
  <c r="C14" i="1"/>
  <c r="N40" i="1"/>
  <c r="Z40" i="1" s="1"/>
  <c r="R57" i="1"/>
  <c r="H29" i="1"/>
  <c r="P37" i="1"/>
  <c r="H46" i="1"/>
  <c r="C48" i="1"/>
  <c r="S23" i="1"/>
  <c r="M15" i="1"/>
  <c r="E10" i="1"/>
  <c r="R29" i="1"/>
  <c r="V35" i="1"/>
  <c r="O12" i="1"/>
  <c r="N20" i="1"/>
  <c r="Z20" i="1" s="1"/>
  <c r="C80" i="1"/>
  <c r="I17" i="1"/>
  <c r="H24" i="1"/>
  <c r="U9" i="1"/>
  <c r="M81" i="1"/>
  <c r="D15" i="1"/>
  <c r="P30" i="1"/>
  <c r="J50" i="1"/>
  <c r="M10" i="1"/>
  <c r="E31" i="1"/>
  <c r="U37" i="1"/>
  <c r="T33" i="1"/>
  <c r="G60" i="1"/>
  <c r="T67" i="1"/>
  <c r="Q94" i="1"/>
  <c r="T52" i="1"/>
  <c r="C22" i="1"/>
  <c r="D41" i="1"/>
  <c r="J97" i="1"/>
  <c r="D61" i="1"/>
  <c r="T30" i="1"/>
  <c r="V125" i="1"/>
  <c r="U116" i="1"/>
  <c r="B93" i="1"/>
  <c r="U67" i="1"/>
  <c r="U15" i="1"/>
  <c r="H10" i="1"/>
  <c r="R22" i="1"/>
  <c r="F22" i="1"/>
  <c r="Q10" i="1"/>
  <c r="P84" i="1"/>
  <c r="V56" i="1"/>
  <c r="S48" i="1"/>
  <c r="D119" i="1"/>
  <c r="C78" i="1"/>
  <c r="J69" i="1"/>
  <c r="J32" i="1"/>
  <c r="U47" i="1"/>
  <c r="O68" i="1"/>
  <c r="M53" i="1"/>
  <c r="I60" i="1"/>
  <c r="R82" i="1"/>
  <c r="O133" i="1"/>
  <c r="L16" i="1"/>
  <c r="W16" i="1" s="1"/>
  <c r="Q34" i="1"/>
  <c r="T15" i="1"/>
  <c r="V21" i="1"/>
  <c r="O53" i="1"/>
  <c r="P73" i="1"/>
  <c r="C49" i="1"/>
  <c r="C39" i="1"/>
  <c r="C65" i="1"/>
  <c r="R18" i="1"/>
  <c r="M37" i="1"/>
  <c r="R32" i="1"/>
  <c r="L27" i="1"/>
  <c r="W27" i="1" s="1"/>
  <c r="C13" i="1"/>
  <c r="O24" i="1"/>
  <c r="F46" i="1"/>
  <c r="O46" i="1"/>
  <c r="N25" i="1"/>
  <c r="Z25" i="1" s="1"/>
  <c r="B26" i="1"/>
  <c r="G16" i="1"/>
  <c r="L34" i="1"/>
  <c r="W34" i="1" s="1"/>
  <c r="N28" i="1"/>
  <c r="Z28" i="1" s="1"/>
  <c r="R10" i="1"/>
  <c r="V51" i="1"/>
  <c r="L21" i="1"/>
  <c r="W21" i="1" s="1"/>
  <c r="G40" i="1"/>
  <c r="I40" i="1"/>
  <c r="N38" i="1"/>
  <c r="Z38" i="1" s="1"/>
  <c r="C40" i="1"/>
  <c r="F9" i="1"/>
  <c r="B44" i="1"/>
  <c r="R55" i="1"/>
  <c r="M18" i="1"/>
  <c r="V73" i="1"/>
  <c r="P31" i="1"/>
  <c r="N41" i="1"/>
  <c r="Z41" i="1" s="1"/>
  <c r="B42" i="1"/>
  <c r="S56" i="1"/>
  <c r="R30" i="1"/>
  <c r="H61" i="1"/>
  <c r="O13" i="1"/>
  <c r="N22" i="1"/>
  <c r="Z22" i="1" s="1"/>
  <c r="L39" i="1"/>
  <c r="W39" i="1" s="1"/>
  <c r="L23" i="1"/>
  <c r="W23" i="1" s="1"/>
  <c r="B11" i="1"/>
  <c r="O34" i="1"/>
  <c r="J24" i="1"/>
  <c r="N36" i="1"/>
  <c r="Z36" i="1" s="1"/>
  <c r="P85" i="1"/>
  <c r="O23" i="1"/>
  <c r="G49" i="1"/>
  <c r="P49" i="1"/>
  <c r="K36" i="1"/>
  <c r="O88" i="1"/>
  <c r="F44" i="1"/>
  <c r="U81" i="1"/>
  <c r="J71" i="1"/>
  <c r="P115" i="1"/>
  <c r="B80" i="1"/>
  <c r="N79" i="1"/>
  <c r="Z79" i="1" s="1"/>
  <c r="R48" i="1"/>
  <c r="K67" i="1"/>
  <c r="H44" i="1"/>
  <c r="O80" i="1"/>
  <c r="B118" i="1"/>
  <c r="J131" i="1"/>
  <c r="T41" i="1"/>
  <c r="B27" i="1"/>
  <c r="G28" i="1"/>
  <c r="H41" i="1"/>
  <c r="F23" i="1"/>
  <c r="N14" i="1"/>
  <c r="Z14" i="1" s="1"/>
  <c r="J46" i="1"/>
  <c r="O84" i="1"/>
  <c r="H71" i="1"/>
  <c r="K63" i="1"/>
  <c r="C140" i="1"/>
  <c r="B66" i="1"/>
  <c r="C69" i="1"/>
  <c r="B19" i="1"/>
  <c r="O41" i="1"/>
  <c r="L103" i="1"/>
  <c r="W103" i="1" s="1"/>
  <c r="C89" i="1"/>
  <c r="F53" i="1"/>
  <c r="T66" i="1"/>
  <c r="B45" i="1"/>
  <c r="R31" i="1"/>
  <c r="P29" i="1"/>
  <c r="H15" i="1"/>
  <c r="E15" i="1"/>
  <c r="C70" i="1"/>
  <c r="U36" i="1"/>
  <c r="Q14" i="1"/>
  <c r="N69" i="1"/>
  <c r="Z69" i="1" s="1"/>
  <c r="Q27" i="1"/>
  <c r="I14" i="1"/>
  <c r="P20" i="1"/>
  <c r="P35" i="1"/>
  <c r="R9" i="1"/>
  <c r="J30" i="1"/>
  <c r="F37" i="1"/>
  <c r="P47" i="1"/>
  <c r="N11" i="1"/>
  <c r="Z11" i="1" s="1"/>
  <c r="K15" i="1"/>
  <c r="K19" i="1"/>
  <c r="K37" i="1"/>
  <c r="P11" i="1"/>
  <c r="Q19" i="1"/>
  <c r="G14" i="1"/>
  <c r="V22" i="1"/>
  <c r="K24" i="1"/>
  <c r="N84" i="1"/>
  <c r="Z84" i="1" s="1"/>
  <c r="N39" i="1"/>
  <c r="Z39" i="1" s="1"/>
  <c r="P16" i="1"/>
  <c r="E35" i="1"/>
  <c r="B53" i="1"/>
  <c r="V23" i="1"/>
  <c r="G57" i="1"/>
  <c r="H27" i="1"/>
  <c r="N15" i="1"/>
  <c r="Z15" i="1" s="1"/>
  <c r="D33" i="1"/>
  <c r="F10" i="1"/>
  <c r="C16" i="1"/>
  <c r="H49" i="1"/>
  <c r="K35" i="1"/>
  <c r="T38" i="1"/>
  <c r="H19" i="1"/>
  <c r="U39" i="1"/>
  <c r="L33" i="1"/>
  <c r="W33" i="1" s="1"/>
  <c r="B47" i="1"/>
  <c r="G37" i="1"/>
  <c r="N9" i="1"/>
  <c r="N23" i="1"/>
  <c r="Z23" i="1" s="1"/>
  <c r="T25" i="1"/>
  <c r="S28" i="1"/>
  <c r="I42" i="1"/>
  <c r="Q50" i="1"/>
  <c r="U16" i="1"/>
  <c r="H76" i="1"/>
  <c r="S20" i="1"/>
  <c r="H33" i="1"/>
  <c r="P24" i="1"/>
  <c r="U64" i="1"/>
  <c r="T59" i="1"/>
  <c r="P27" i="1"/>
  <c r="R46" i="1"/>
  <c r="K100" i="1"/>
  <c r="B56" i="1"/>
  <c r="I71" i="1"/>
  <c r="N130" i="1"/>
  <c r="Z130" i="1" s="1"/>
  <c r="C105" i="1"/>
  <c r="P123" i="1"/>
  <c r="C75" i="1"/>
  <c r="R47" i="1"/>
  <c r="K27" i="1"/>
  <c r="Q41" i="1"/>
  <c r="B54" i="1"/>
  <c r="B113" i="1"/>
  <c r="G81" i="1"/>
  <c r="Q30" i="1"/>
  <c r="F43" i="1"/>
  <c r="P50" i="1"/>
  <c r="B16" i="1"/>
  <c r="C34" i="1"/>
  <c r="O22" i="1"/>
  <c r="G56" i="1"/>
  <c r="E26" i="1"/>
  <c r="H130" i="1"/>
  <c r="J29" i="1"/>
  <c r="M50" i="1"/>
  <c r="C19" i="1"/>
  <c r="V31" i="1"/>
  <c r="S14" i="1"/>
  <c r="H16" i="1"/>
  <c r="C46" i="1"/>
  <c r="J137" i="1"/>
  <c r="G70" i="1"/>
  <c r="P77" i="1"/>
  <c r="G44" i="1"/>
  <c r="G46" i="1"/>
  <c r="P55" i="1"/>
  <c r="H36" i="1"/>
  <c r="E22" i="1"/>
  <c r="K56" i="1"/>
  <c r="T56" i="1"/>
  <c r="P34" i="1"/>
  <c r="E13" i="1"/>
  <c r="T55" i="1"/>
  <c r="H18" i="1"/>
  <c r="F14" i="1"/>
  <c r="B22" i="1"/>
  <c r="U76" i="1"/>
  <c r="F35" i="1"/>
  <c r="G12" i="1"/>
  <c r="P19" i="1"/>
  <c r="S58" i="1"/>
  <c r="S32" i="1"/>
  <c r="P41" i="1"/>
  <c r="D29" i="1"/>
  <c r="R11" i="1"/>
  <c r="O36" i="1"/>
  <c r="K50" i="1"/>
  <c r="K25" i="1"/>
  <c r="V17" i="1"/>
  <c r="I64" i="1"/>
  <c r="F26" i="1"/>
  <c r="B32" i="1"/>
  <c r="C17" i="1"/>
  <c r="T40" i="1"/>
  <c r="J14" i="1"/>
  <c r="Q23" i="1"/>
  <c r="F25" i="1"/>
  <c r="S26" i="1"/>
  <c r="E28" i="1"/>
  <c r="N57" i="1"/>
  <c r="Z57" i="1" s="1"/>
  <c r="M40" i="1"/>
  <c r="M36" i="1"/>
  <c r="I10" i="1"/>
  <c r="B37" i="1"/>
  <c r="E36" i="1"/>
  <c r="R40" i="1"/>
  <c r="V9" i="1"/>
  <c r="D11" i="1"/>
  <c r="M39" i="1"/>
  <c r="J84" i="1"/>
  <c r="S11" i="1"/>
  <c r="Q20" i="1"/>
  <c r="I85" i="1"/>
  <c r="D43" i="1"/>
  <c r="U17" i="1"/>
  <c r="B89" i="1"/>
  <c r="C74" i="1"/>
  <c r="Q73" i="1"/>
  <c r="J41" i="1"/>
  <c r="J56" i="1"/>
  <c r="V74" i="1"/>
  <c r="V127" i="1"/>
  <c r="J34" i="1"/>
  <c r="N73" i="1"/>
  <c r="Z73" i="1" s="1"/>
  <c r="U24" i="1"/>
  <c r="R42" i="1"/>
  <c r="J15" i="1"/>
  <c r="H65" i="1"/>
  <c r="E33" i="1"/>
  <c r="D52" i="1"/>
  <c r="S51" i="1"/>
  <c r="C61" i="1"/>
  <c r="F68" i="1"/>
  <c r="R121" i="1"/>
  <c r="G33" i="1"/>
  <c r="J83" i="1"/>
  <c r="B28" i="1"/>
  <c r="I128" i="1"/>
  <c r="C91" i="1"/>
  <c r="J64" i="1"/>
  <c r="T43" i="1"/>
  <c r="U29" i="1"/>
  <c r="C20" i="1"/>
  <c r="I28" i="1"/>
  <c r="C47" i="1"/>
  <c r="F52" i="1"/>
  <c r="U60" i="1"/>
  <c r="E44" i="1"/>
  <c r="H14" i="1"/>
  <c r="H47" i="1"/>
  <c r="H39" i="1"/>
  <c r="K64" i="1"/>
  <c r="E23" i="1"/>
  <c r="C50" i="1"/>
  <c r="D16" i="1"/>
  <c r="Q11" i="1"/>
  <c r="R19" i="1"/>
  <c r="I29" i="1"/>
  <c r="G54" i="1"/>
  <c r="F15" i="1"/>
  <c r="L48" i="1"/>
  <c r="W48" i="1" s="1"/>
  <c r="K22" i="1"/>
  <c r="I21" i="1"/>
  <c r="B36" i="1"/>
  <c r="P26" i="1"/>
  <c r="N29" i="1"/>
  <c r="Z29" i="1" s="1"/>
  <c r="S33" i="1"/>
  <c r="H56" i="1"/>
  <c r="I13" i="1"/>
  <c r="B17" i="1"/>
  <c r="G13" i="1"/>
  <c r="D10" i="1"/>
  <c r="G11" i="1"/>
  <c r="J44" i="1"/>
  <c r="I49" i="1"/>
  <c r="Q44" i="1"/>
  <c r="G10" i="1"/>
  <c r="L51" i="1"/>
  <c r="W51" i="1" s="1"/>
  <c r="L17" i="1"/>
  <c r="W17" i="1" s="1"/>
  <c r="Q58" i="1"/>
  <c r="D34" i="1"/>
  <c r="G18" i="1"/>
  <c r="O25" i="1"/>
  <c r="H22" i="1"/>
  <c r="P25" i="1"/>
  <c r="Q26" i="1"/>
  <c r="I58" i="1"/>
  <c r="F54" i="1"/>
  <c r="D26" i="1"/>
  <c r="S29" i="1"/>
  <c r="O76" i="1"/>
  <c r="I35" i="1"/>
  <c r="S34" i="1"/>
  <c r="C55" i="1"/>
  <c r="S69" i="1"/>
  <c r="S16" i="1"/>
  <c r="N60" i="1"/>
  <c r="Z60" i="1" s="1"/>
  <c r="P131" i="1"/>
  <c r="N32" i="1"/>
  <c r="Z32" i="1" s="1"/>
  <c r="G43" i="1"/>
  <c r="R53" i="1"/>
  <c r="F79" i="1"/>
  <c r="M66" i="1"/>
  <c r="U105" i="1"/>
  <c r="T65" i="1"/>
  <c r="V119" i="1"/>
  <c r="B126" i="1"/>
  <c r="C29" i="1"/>
  <c r="O18" i="1"/>
  <c r="U23" i="1"/>
  <c r="I34" i="1"/>
  <c r="V60" i="1"/>
  <c r="C58" i="1"/>
  <c r="N109" i="1"/>
  <c r="Z109" i="1" s="1"/>
  <c r="F28" i="1"/>
  <c r="J39" i="1"/>
  <c r="D22" i="1"/>
  <c r="T20" i="1"/>
  <c r="B82" i="1"/>
  <c r="M29" i="1"/>
  <c r="V12" i="1"/>
  <c r="L119" i="1"/>
  <c r="W119" i="1" s="1"/>
  <c r="J126" i="1"/>
  <c r="K129" i="1"/>
  <c r="S79" i="1"/>
  <c r="B38" i="1"/>
  <c r="H17" i="1"/>
  <c r="R58" i="1"/>
  <c r="J26" i="1"/>
  <c r="R17" i="1"/>
  <c r="H9" i="1"/>
  <c r="F83" i="1"/>
  <c r="F48" i="1"/>
  <c r="V84" i="1"/>
  <c r="S38" i="1"/>
  <c r="H40" i="1"/>
  <c r="S70" i="1"/>
  <c r="L22" i="1"/>
  <c r="W22" i="1" s="1"/>
  <c r="D51" i="1"/>
  <c r="C25" i="1"/>
  <c r="V79" i="1"/>
  <c r="G35" i="1"/>
  <c r="B9" i="1"/>
  <c r="T34" i="1"/>
  <c r="O49" i="1"/>
  <c r="P15" i="1"/>
  <c r="U48" i="1"/>
  <c r="C18" i="1"/>
  <c r="D38" i="1"/>
  <c r="O82" i="1"/>
  <c r="V34" i="1"/>
  <c r="J12" i="1"/>
  <c r="G20" i="1"/>
  <c r="K32" i="1"/>
  <c r="Q55" i="1"/>
  <c r="F18" i="1"/>
  <c r="D24" i="1"/>
  <c r="D19" i="1"/>
  <c r="J53" i="1"/>
  <c r="N26" i="1"/>
  <c r="Z26" i="1" s="1"/>
  <c r="J51" i="1"/>
  <c r="O14" i="1"/>
  <c r="C42" i="1"/>
  <c r="U51" i="1"/>
  <c r="B10" i="1"/>
  <c r="K41" i="1"/>
  <c r="F32" i="1"/>
  <c r="N34" i="1"/>
  <c r="Z34" i="1" s="1"/>
  <c r="J42" i="1"/>
  <c r="L12" i="1"/>
  <c r="W12" i="1" s="1"/>
  <c r="K13" i="1"/>
  <c r="S42" i="1"/>
  <c r="J58" i="1"/>
  <c r="I27" i="1"/>
  <c r="F84" i="1"/>
  <c r="D12" i="1"/>
  <c r="M16" i="1"/>
  <c r="Q42" i="1"/>
  <c r="D49" i="1"/>
  <c r="N47" i="1"/>
  <c r="Z47" i="1" s="1"/>
  <c r="H73" i="1"/>
  <c r="H48" i="1"/>
  <c r="B14" i="1"/>
  <c r="S46" i="1"/>
  <c r="L20" i="1"/>
  <c r="W20" i="1" s="1"/>
  <c r="S55" i="1"/>
  <c r="S140" i="1"/>
  <c r="Q63" i="1"/>
  <c r="V103" i="1"/>
  <c r="L135" i="1"/>
  <c r="W135" i="1" s="1"/>
  <c r="P96" i="1"/>
  <c r="S37" i="1"/>
  <c r="R25" i="1"/>
  <c r="Q29" i="1"/>
  <c r="O42" i="1"/>
  <c r="J27" i="1"/>
  <c r="S36" i="1"/>
  <c r="V15" i="1"/>
  <c r="E58" i="1"/>
  <c r="I65" i="1"/>
  <c r="V19" i="1"/>
  <c r="R23" i="1"/>
  <c r="S9" i="1"/>
  <c r="V71" i="1"/>
  <c r="B85" i="1"/>
  <c r="T50" i="1"/>
  <c r="P22" i="1"/>
  <c r="U102" i="1"/>
  <c r="V105" i="1"/>
  <c r="O87" i="1"/>
  <c r="I48" i="1"/>
  <c r="H38" i="1"/>
  <c r="L57" i="1"/>
  <c r="W57" i="1" s="1"/>
  <c r="L19" i="1"/>
  <c r="W19" i="1" s="1"/>
  <c r="K78" i="1"/>
  <c r="L78" i="1"/>
  <c r="W78" i="1" s="1"/>
  <c r="N68" i="1"/>
  <c r="Z68" i="1" s="1"/>
  <c r="O75" i="1"/>
  <c r="G48" i="1"/>
  <c r="N24" i="1"/>
  <c r="Z24" i="1" s="1"/>
  <c r="N27" i="1"/>
  <c r="Z27" i="1" s="1"/>
  <c r="I16" i="1"/>
  <c r="T73" i="1"/>
  <c r="R26" i="1"/>
  <c r="M51" i="1"/>
  <c r="K11" i="1"/>
  <c r="I37" i="1"/>
  <c r="Q47" i="1"/>
  <c r="F60" i="1"/>
  <c r="H50" i="1"/>
  <c r="D42" i="1"/>
  <c r="L40" i="1"/>
  <c r="W40" i="1" s="1"/>
  <c r="H12" i="1"/>
  <c r="O52" i="1"/>
  <c r="T10" i="1"/>
  <c r="L53" i="1"/>
  <c r="W53" i="1" s="1"/>
  <c r="M19" i="1"/>
  <c r="J25" i="1"/>
  <c r="H66" i="1"/>
  <c r="K54" i="1"/>
  <c r="E32" i="1"/>
  <c r="J61" i="1"/>
  <c r="D20" i="1"/>
  <c r="M20" i="1"/>
  <c r="U27" i="1"/>
  <c r="J52" i="1"/>
  <c r="E34" i="1"/>
  <c r="R85" i="1"/>
  <c r="E11" i="1"/>
  <c r="V18" i="1"/>
  <c r="J33" i="1"/>
  <c r="J67" i="1"/>
  <c r="L14" i="1"/>
  <c r="W14" i="1" s="1"/>
  <c r="M35" i="1"/>
  <c r="Q22" i="1"/>
  <c r="U31" i="1"/>
  <c r="P33" i="1"/>
  <c r="E46" i="1"/>
  <c r="K38" i="1"/>
  <c r="D83" i="1"/>
  <c r="S35" i="1"/>
  <c r="N21" i="1"/>
  <c r="Z21" i="1" s="1"/>
  <c r="G59" i="1"/>
  <c r="D50" i="1"/>
  <c r="Q12" i="1"/>
  <c r="O60" i="1"/>
  <c r="Q45" i="1"/>
  <c r="K26" i="1"/>
  <c r="F125" i="1"/>
  <c r="V65" i="1"/>
  <c r="L65" i="1"/>
  <c r="W65" i="1" s="1"/>
  <c r="U11" i="1"/>
  <c r="T21" i="1"/>
  <c r="B102" i="1"/>
  <c r="N44" i="1"/>
  <c r="Z44" i="1" s="1"/>
  <c r="G109" i="1"/>
  <c r="D9" i="1"/>
  <c r="T35" i="1"/>
  <c r="O15" i="1"/>
  <c r="L36" i="1"/>
  <c r="W36" i="1" s="1"/>
  <c r="T53" i="1"/>
  <c r="K31" i="1"/>
  <c r="D65" i="1"/>
  <c r="F101" i="1"/>
  <c r="J66" i="1"/>
  <c r="B29" i="1"/>
  <c r="G58" i="1"/>
  <c r="H77" i="1"/>
  <c r="J113" i="1"/>
  <c r="S124" i="1"/>
  <c r="M78" i="1"/>
  <c r="M25" i="1"/>
  <c r="H141" i="1"/>
  <c r="L68" i="1"/>
  <c r="W68" i="1" s="1"/>
  <c r="O17" i="1"/>
  <c r="J16" i="1"/>
  <c r="C9" i="1"/>
  <c r="L24" i="1"/>
  <c r="W24" i="1" s="1"/>
  <c r="H11" i="1"/>
  <c r="T26" i="1"/>
  <c r="F40" i="1"/>
  <c r="N125" i="1"/>
  <c r="Z125" i="1" s="1"/>
  <c r="K44" i="1"/>
  <c r="E55" i="1"/>
  <c r="T29" i="1"/>
  <c r="I31" i="1"/>
  <c r="M54" i="1"/>
  <c r="R36" i="1"/>
  <c r="L44" i="1"/>
  <c r="W44" i="1" s="1"/>
  <c r="U32" i="1"/>
  <c r="L45" i="1"/>
  <c r="W45" i="1" s="1"/>
  <c r="S74" i="1"/>
  <c r="R34" i="1"/>
  <c r="C108" i="1"/>
  <c r="C100" i="1"/>
  <c r="D60" i="1"/>
  <c r="U42" i="1"/>
  <c r="P66" i="1"/>
  <c r="M62" i="1"/>
  <c r="B48" i="1"/>
  <c r="M52" i="1"/>
  <c r="S52" i="1"/>
  <c r="V100" i="1"/>
  <c r="K115" i="1"/>
  <c r="C71" i="1"/>
  <c r="D78" i="1"/>
  <c r="K33" i="1"/>
  <c r="B55" i="1"/>
  <c r="F13" i="1"/>
  <c r="R38" i="1"/>
  <c r="P28" i="1"/>
  <c r="O20" i="1"/>
  <c r="B50" i="1"/>
  <c r="P51" i="1"/>
  <c r="O74" i="1"/>
  <c r="R13" i="1"/>
  <c r="T72" i="1"/>
  <c r="O31" i="1"/>
  <c r="J43" i="1"/>
  <c r="F16" i="1"/>
  <c r="H54" i="1"/>
  <c r="U13" i="1"/>
  <c r="C15" i="1"/>
  <c r="G62" i="1"/>
  <c r="S134" i="1"/>
  <c r="O120" i="1"/>
  <c r="R89" i="1"/>
  <c r="N46" i="1"/>
  <c r="Z46" i="1" s="1"/>
  <c r="E18" i="1"/>
  <c r="U34" i="1"/>
  <c r="O21" i="1"/>
  <c r="C10" i="1"/>
  <c r="V45" i="1"/>
  <c r="O51" i="1"/>
  <c r="E52" i="1"/>
  <c r="I77" i="1"/>
  <c r="N133" i="1"/>
  <c r="Z133" i="1" s="1"/>
  <c r="G50" i="1"/>
  <c r="R52" i="1"/>
  <c r="T103" i="1"/>
  <c r="S60" i="1"/>
  <c r="I59" i="1"/>
  <c r="N117" i="1"/>
  <c r="Z117" i="1" s="1"/>
  <c r="G76" i="1"/>
  <c r="K49" i="1"/>
  <c r="S22" i="1"/>
  <c r="S12" i="1"/>
  <c r="G24" i="1"/>
  <c r="E25" i="1"/>
  <c r="I19" i="1"/>
  <c r="I61" i="1"/>
  <c r="Q76" i="1"/>
  <c r="U59" i="1"/>
  <c r="H25" i="1"/>
  <c r="U19" i="1"/>
  <c r="L42" i="1"/>
  <c r="W42" i="1" s="1"/>
  <c r="C83" i="1"/>
  <c r="D59" i="1"/>
  <c r="K21" i="1"/>
  <c r="B97" i="1"/>
  <c r="G82" i="1"/>
  <c r="C33" i="1"/>
  <c r="N95" i="1"/>
  <c r="Z95" i="1" s="1"/>
  <c r="Q35" i="1"/>
  <c r="V133" i="1"/>
  <c r="J79" i="1"/>
  <c r="M68" i="1"/>
  <c r="Q21" i="1"/>
  <c r="T77" i="1"/>
  <c r="R102" i="1"/>
  <c r="V33" i="1"/>
  <c r="Q40" i="1"/>
  <c r="L28" i="1"/>
  <c r="W28" i="1" s="1"/>
  <c r="M30" i="1"/>
  <c r="H20" i="1"/>
  <c r="E30" i="1"/>
  <c r="L77" i="1"/>
  <c r="W77" i="1" s="1"/>
  <c r="R51" i="1"/>
  <c r="V16" i="1"/>
  <c r="L55" i="1"/>
  <c r="W55" i="1" s="1"/>
  <c r="F27" i="1"/>
  <c r="K85" i="1"/>
  <c r="H85" i="1"/>
  <c r="K46" i="1"/>
  <c r="R137" i="1"/>
  <c r="N78" i="1"/>
  <c r="Z78" i="1" s="1"/>
  <c r="V42" i="1"/>
  <c r="K132" i="1"/>
  <c r="G90" i="1"/>
  <c r="D89" i="1"/>
  <c r="B112" i="1"/>
  <c r="S53" i="1"/>
  <c r="D28" i="1"/>
  <c r="C56" i="1"/>
  <c r="O28" i="1"/>
  <c r="V49" i="1"/>
  <c r="S13" i="1"/>
  <c r="J9" i="1"/>
  <c r="C44" i="1"/>
  <c r="M65" i="1"/>
  <c r="H51" i="1"/>
  <c r="I55" i="1"/>
  <c r="V55" i="1"/>
  <c r="F109" i="1"/>
  <c r="F58" i="1"/>
  <c r="C53" i="1"/>
  <c r="C68" i="1"/>
  <c r="I118" i="1"/>
  <c r="L54" i="1"/>
  <c r="W54" i="1" s="1"/>
  <c r="R60" i="1"/>
  <c r="L108" i="1"/>
  <c r="W108" i="1" s="1"/>
  <c r="U124" i="1"/>
  <c r="K66" i="1"/>
  <c r="C12" i="1"/>
  <c r="K58" i="1"/>
  <c r="F38" i="1"/>
  <c r="B39" i="1"/>
  <c r="I18" i="1"/>
  <c r="I36" i="1"/>
  <c r="D103" i="1"/>
  <c r="K53" i="1"/>
  <c r="O128" i="1"/>
  <c r="S82" i="1"/>
  <c r="P21" i="1"/>
  <c r="E39" i="1"/>
  <c r="F33" i="1"/>
  <c r="S83" i="1"/>
  <c r="O81" i="1"/>
  <c r="M95" i="1"/>
  <c r="E71" i="1"/>
  <c r="E114" i="1"/>
  <c r="O19" i="1"/>
  <c r="J13" i="1"/>
  <c r="S40" i="1"/>
  <c r="T16" i="1"/>
  <c r="I39" i="1"/>
  <c r="M122" i="1"/>
  <c r="S78" i="1"/>
  <c r="O45" i="1"/>
  <c r="F12" i="1"/>
  <c r="Q49" i="1"/>
  <c r="E63" i="1"/>
  <c r="H115" i="1"/>
  <c r="L49" i="1"/>
  <c r="W49" i="1" s="1"/>
  <c r="C92" i="1"/>
  <c r="O70" i="1"/>
  <c r="T121" i="1"/>
  <c r="Q86" i="1"/>
  <c r="K112" i="1"/>
  <c r="N54" i="1"/>
  <c r="Z54" i="1" s="1"/>
  <c r="O16" i="1"/>
  <c r="N63" i="1"/>
  <c r="Z63" i="1" s="1"/>
  <c r="P74" i="1"/>
  <c r="E95" i="1"/>
  <c r="V70" i="1"/>
  <c r="I115" i="1"/>
  <c r="J28" i="1"/>
  <c r="G63" i="1"/>
  <c r="U46" i="1"/>
  <c r="V30" i="1"/>
  <c r="G53" i="1"/>
  <c r="O54" i="1"/>
  <c r="K10" i="1"/>
  <c r="V13" i="1"/>
  <c r="I76" i="1"/>
  <c r="C121" i="1"/>
  <c r="R35" i="1"/>
  <c r="Q15" i="1"/>
  <c r="M49" i="1"/>
  <c r="B15" i="1"/>
  <c r="K30" i="1"/>
  <c r="T82" i="1"/>
  <c r="M12" i="1"/>
  <c r="K23" i="1"/>
  <c r="R71" i="1"/>
  <c r="R74" i="1"/>
  <c r="J22" i="1"/>
  <c r="M31" i="1"/>
  <c r="R21" i="1"/>
  <c r="P39" i="1"/>
  <c r="J35" i="1"/>
  <c r="O26" i="1"/>
  <c r="H31" i="1"/>
  <c r="D48" i="1"/>
  <c r="P61" i="1"/>
  <c r="R81" i="1"/>
  <c r="O43" i="1"/>
  <c r="V11" i="1"/>
  <c r="G104" i="1"/>
  <c r="O56" i="1"/>
  <c r="I9" i="1"/>
  <c r="K80" i="1"/>
  <c r="L47" i="1"/>
  <c r="W47" i="1" s="1"/>
  <c r="N67" i="1"/>
  <c r="Z67" i="1" s="1"/>
  <c r="P9" i="1"/>
  <c r="S61" i="1"/>
  <c r="B84" i="1"/>
  <c r="L99" i="1"/>
  <c r="W99" i="1" s="1"/>
  <c r="M119" i="1"/>
  <c r="G15" i="1"/>
  <c r="O44" i="1"/>
  <c r="I23" i="1"/>
  <c r="B41" i="1"/>
  <c r="E37" i="1"/>
  <c r="E98" i="1"/>
  <c r="D23" i="1"/>
  <c r="N30" i="1"/>
  <c r="Z30" i="1" s="1"/>
  <c r="J47" i="1"/>
  <c r="K59" i="1"/>
  <c r="T87" i="1"/>
  <c r="F76" i="1"/>
  <c r="Q48" i="1"/>
  <c r="H131" i="1"/>
  <c r="U33" i="1"/>
  <c r="K96" i="1"/>
  <c r="V82" i="1"/>
  <c r="R56" i="1"/>
  <c r="T24" i="1"/>
  <c r="K70" i="1"/>
  <c r="H34" i="1"/>
  <c r="S25" i="1"/>
  <c r="F65" i="1"/>
  <c r="J20" i="1"/>
  <c r="K140" i="1"/>
  <c r="O112" i="1"/>
  <c r="V76" i="1"/>
  <c r="V26" i="1"/>
  <c r="D64" i="1"/>
  <c r="E49" i="1"/>
  <c r="S47" i="1"/>
  <c r="K29" i="1"/>
  <c r="S62" i="1"/>
  <c r="U119" i="1"/>
  <c r="J74" i="1"/>
  <c r="P42" i="1"/>
  <c r="M46" i="1"/>
  <c r="E60" i="1"/>
  <c r="D47" i="1"/>
  <c r="N66" i="1"/>
  <c r="Z66" i="1" s="1"/>
  <c r="D94" i="1"/>
  <c r="M61" i="1"/>
  <c r="J19" i="1"/>
  <c r="E43" i="1"/>
  <c r="M14" i="1"/>
  <c r="J21" i="1"/>
  <c r="G17" i="1"/>
  <c r="H60" i="1"/>
  <c r="P32" i="1"/>
  <c r="O37" i="1"/>
  <c r="Q38" i="1"/>
  <c r="U70" i="1"/>
  <c r="U21" i="1"/>
  <c r="P43" i="1"/>
  <c r="J85" i="1"/>
  <c r="C21" i="1"/>
  <c r="O38" i="1"/>
  <c r="N77" i="1"/>
  <c r="Z77" i="1" s="1"/>
  <c r="E75" i="1"/>
  <c r="K113" i="1"/>
  <c r="T64" i="1"/>
  <c r="P72" i="1"/>
  <c r="H13" i="1"/>
  <c r="P52" i="1"/>
  <c r="F39" i="1"/>
  <c r="P40" i="1"/>
  <c r="B23" i="1"/>
  <c r="G29" i="1"/>
  <c r="I24" i="1"/>
  <c r="Q31" i="1"/>
  <c r="C28" i="1"/>
  <c r="L76" i="1"/>
  <c r="W76" i="1" s="1"/>
  <c r="B65" i="1"/>
  <c r="B30" i="1"/>
  <c r="T28" i="1"/>
  <c r="E122" i="1"/>
  <c r="K71" i="1"/>
  <c r="D18" i="1"/>
  <c r="V68" i="1"/>
  <c r="T39" i="1"/>
  <c r="N12" i="1"/>
  <c r="Z12" i="1" s="1"/>
  <c r="N58" i="1"/>
  <c r="Z58" i="1" s="1"/>
  <c r="K126" i="1"/>
  <c r="M111" i="1"/>
  <c r="C96" i="1"/>
  <c r="U10" i="1"/>
  <c r="H21" i="1"/>
  <c r="K16" i="1"/>
  <c r="S24" i="1"/>
  <c r="S75" i="1"/>
  <c r="P17" i="1"/>
  <c r="R54" i="1"/>
  <c r="U73" i="1"/>
  <c r="B20" i="1"/>
  <c r="P75" i="1"/>
  <c r="M63" i="1"/>
  <c r="M57" i="1"/>
  <c r="Q69" i="1"/>
  <c r="K39" i="1"/>
  <c r="V109" i="1"/>
  <c r="L94" i="1"/>
  <c r="W94" i="1" s="1"/>
  <c r="V122" i="1"/>
  <c r="U66" i="1"/>
  <c r="N16" i="1"/>
  <c r="Z16" i="1" s="1"/>
  <c r="T37" i="1"/>
  <c r="T62" i="1"/>
  <c r="I44" i="1"/>
  <c r="U53" i="1"/>
  <c r="B24" i="1"/>
  <c r="I68" i="1"/>
  <c r="O35" i="1"/>
  <c r="M34" i="1"/>
  <c r="R83" i="1"/>
  <c r="E48" i="1"/>
  <c r="N76" i="1"/>
  <c r="Z76" i="1" s="1"/>
  <c r="L75" i="1"/>
  <c r="W75" i="1" s="1"/>
  <c r="V50" i="1"/>
  <c r="I134" i="1"/>
  <c r="V58" i="1"/>
  <c r="B79" i="1"/>
  <c r="K61" i="1"/>
  <c r="C26" i="1"/>
  <c r="F73" i="1"/>
  <c r="K82" i="1"/>
  <c r="V44" i="1"/>
  <c r="L132" i="1"/>
  <c r="W132" i="1" s="1"/>
  <c r="N122" i="1"/>
  <c r="Z122" i="1" s="1"/>
  <c r="Q33" i="1"/>
  <c r="D17" i="1"/>
  <c r="L18" i="1"/>
  <c r="W18" i="1" s="1"/>
  <c r="K51" i="1"/>
  <c r="M43" i="1"/>
  <c r="J31" i="1"/>
  <c r="U58" i="1"/>
  <c r="N19" i="1"/>
  <c r="Z19" i="1" s="1"/>
  <c r="J54" i="1"/>
  <c r="R39" i="1"/>
  <c r="V46" i="1"/>
  <c r="G74" i="1"/>
  <c r="Q37" i="1"/>
  <c r="D55" i="1"/>
  <c r="O32" i="1"/>
  <c r="F70" i="1"/>
  <c r="P53" i="1"/>
  <c r="V89" i="1"/>
  <c r="U43" i="1"/>
  <c r="H93" i="1"/>
  <c r="I50" i="1"/>
  <c r="N45" i="1"/>
  <c r="Z45" i="1" s="1"/>
  <c r="H32" i="1"/>
  <c r="M9" i="1"/>
  <c r="L67" i="1"/>
  <c r="W67" i="1" s="1"/>
  <c r="V57" i="1"/>
  <c r="T42" i="1"/>
  <c r="Q32" i="1"/>
  <c r="Q82" i="1"/>
  <c r="R66" i="1"/>
  <c r="I63" i="1"/>
  <c r="M84" i="1"/>
  <c r="F36" i="1"/>
  <c r="L66" i="1"/>
  <c r="W66" i="1" s="1"/>
  <c r="L72" i="1"/>
  <c r="W72" i="1" s="1"/>
  <c r="H69" i="1"/>
  <c r="I80" i="1"/>
  <c r="U106" i="1"/>
  <c r="O47" i="1"/>
  <c r="F93" i="1"/>
  <c r="N56" i="1"/>
  <c r="Z56" i="1" s="1"/>
  <c r="J128" i="1"/>
  <c r="P44" i="1"/>
  <c r="C35" i="1"/>
  <c r="U45" i="1"/>
  <c r="T19" i="1"/>
  <c r="H52" i="1"/>
  <c r="N55" i="1"/>
  <c r="Z55" i="1" s="1"/>
  <c r="M21" i="1"/>
  <c r="C116" i="1"/>
  <c r="P82" i="1"/>
  <c r="I15" i="1"/>
  <c r="G31" i="1"/>
  <c r="B60" i="1"/>
  <c r="L52" i="1"/>
  <c r="W52" i="1" s="1"/>
  <c r="K57" i="1"/>
  <c r="S45" i="1"/>
  <c r="P38" i="1"/>
  <c r="J109" i="1"/>
  <c r="T137" i="1"/>
  <c r="Q51" i="1"/>
  <c r="T57" i="1"/>
  <c r="B34" i="1"/>
  <c r="C11" i="1"/>
  <c r="J45" i="1"/>
  <c r="F78" i="1"/>
  <c r="H23" i="1"/>
  <c r="E47" i="1"/>
  <c r="T54" i="1"/>
  <c r="I33" i="1"/>
  <c r="G66" i="1"/>
  <c r="J38" i="1"/>
  <c r="G128" i="1"/>
  <c r="C72" i="1"/>
  <c r="F49" i="1"/>
  <c r="N52" i="1"/>
  <c r="Z52" i="1" s="1"/>
  <c r="T132" i="1"/>
  <c r="V108" i="1"/>
  <c r="D73" i="1"/>
  <c r="M38" i="1"/>
  <c r="P46" i="1"/>
  <c r="E67" i="1"/>
  <c r="K110" i="1"/>
  <c r="G83" i="1"/>
  <c r="D99" i="1"/>
  <c r="Q18" i="1"/>
  <c r="I69" i="1"/>
  <c r="H28" i="1"/>
  <c r="E12" i="1"/>
  <c r="P18" i="1"/>
  <c r="E51" i="1"/>
  <c r="D95" i="1"/>
  <c r="S15" i="1"/>
  <c r="J37" i="1"/>
  <c r="N18" i="1"/>
  <c r="Z18" i="1" s="1"/>
  <c r="J68" i="1"/>
  <c r="Q9" i="1"/>
  <c r="M69" i="1"/>
  <c r="C59" i="1"/>
  <c r="H42" i="1"/>
  <c r="G25" i="1"/>
  <c r="D77" i="1"/>
  <c r="B88" i="1"/>
  <c r="E57" i="1"/>
  <c r="M79" i="1"/>
  <c r="S54" i="1"/>
  <c r="C24" i="1"/>
  <c r="S50" i="1"/>
  <c r="K14" i="1"/>
  <c r="U28" i="1"/>
  <c r="K55" i="1"/>
  <c r="L73" i="1"/>
  <c r="W73" i="1" s="1"/>
  <c r="N13" i="1"/>
  <c r="Z13" i="1" s="1"/>
  <c r="D14" i="1"/>
  <c r="J11" i="1"/>
  <c r="B18" i="1"/>
  <c r="Q17" i="1"/>
  <c r="R14" i="1"/>
  <c r="E29" i="1"/>
  <c r="Q118" i="1"/>
  <c r="E38" i="1"/>
  <c r="R24" i="1"/>
  <c r="B12" i="1"/>
  <c r="G47" i="1"/>
  <c r="L97" i="1"/>
  <c r="W97" i="1" s="1"/>
  <c r="D71" i="1"/>
  <c r="L129" i="1"/>
  <c r="W129" i="1" s="1"/>
  <c r="T48" i="1"/>
  <c r="B21" i="1"/>
  <c r="M47" i="1"/>
  <c r="L58" i="1"/>
  <c r="W58" i="1" s="1"/>
  <c r="U35" i="1"/>
  <c r="N81" i="1"/>
  <c r="Z81" i="1" s="1"/>
  <c r="I53" i="1"/>
  <c r="I79" i="1"/>
  <c r="D25" i="1"/>
  <c r="T9" i="1"/>
  <c r="J40" i="1"/>
  <c r="O48" i="1"/>
  <c r="U90" i="1"/>
  <c r="T22" i="1"/>
  <c r="T58" i="1"/>
  <c r="K47" i="1"/>
  <c r="M73" i="1"/>
  <c r="U135" i="1"/>
  <c r="L15" i="1"/>
  <c r="W15" i="1" s="1"/>
  <c r="B58" i="1"/>
  <c r="D27" i="1"/>
  <c r="C37" i="1"/>
  <c r="D44" i="1"/>
  <c r="R33" i="1"/>
  <c r="S17" i="1"/>
  <c r="E68" i="1"/>
  <c r="F30" i="1"/>
  <c r="H79" i="1"/>
  <c r="Q43" i="1"/>
  <c r="T44" i="1"/>
  <c r="M80" i="1"/>
  <c r="V32" i="1"/>
  <c r="H82" i="1"/>
  <c r="V47" i="1"/>
  <c r="H58" i="1"/>
  <c r="U77" i="1"/>
  <c r="M138" i="1"/>
  <c r="Q65" i="1"/>
  <c r="J17" i="1"/>
  <c r="I25" i="1"/>
  <c r="O114" i="1"/>
  <c r="B123" i="1"/>
  <c r="E111" i="1"/>
  <c r="E19" i="1"/>
  <c r="T11" i="1"/>
  <c r="R67" i="1"/>
  <c r="K45" i="1"/>
  <c r="I41" i="1"/>
  <c r="T51" i="1"/>
  <c r="G64" i="1"/>
  <c r="J62" i="1"/>
  <c r="D66" i="1"/>
  <c r="J57" i="1"/>
  <c r="Q66" i="1"/>
  <c r="O27" i="1"/>
  <c r="L13" i="1"/>
  <c r="W13" i="1" s="1"/>
  <c r="N74" i="1"/>
  <c r="Z74" i="1" s="1"/>
  <c r="I56" i="1"/>
  <c r="Q64" i="1"/>
  <c r="Q74" i="1"/>
  <c r="B86" i="1"/>
  <c r="T140" i="1"/>
  <c r="H81" i="1"/>
  <c r="I52" i="1"/>
  <c r="E54" i="1"/>
  <c r="B83" i="1"/>
  <c r="M23" i="1"/>
  <c r="D32" i="1"/>
  <c r="L25" i="1"/>
  <c r="W25" i="1" s="1"/>
  <c r="K42" i="1"/>
  <c r="I12" i="1"/>
  <c r="D21" i="1"/>
  <c r="T31" i="1"/>
  <c r="P91" i="1"/>
  <c r="M130" i="1"/>
  <c r="D70" i="1"/>
  <c r="U22" i="1"/>
  <c r="V67" i="1"/>
  <c r="H30" i="1"/>
  <c r="E14" i="1"/>
  <c r="R44" i="1"/>
  <c r="K17" i="1"/>
  <c r="G27" i="1"/>
  <c r="G78" i="1"/>
  <c r="R49" i="1"/>
  <c r="D58" i="1"/>
  <c r="U25" i="1"/>
  <c r="O9" i="1"/>
  <c r="R61" i="1"/>
  <c r="B52" i="1"/>
  <c r="G84" i="1"/>
  <c r="B64" i="1"/>
  <c r="N31" i="1"/>
  <c r="Z31" i="1" s="1"/>
  <c r="G88" i="1"/>
  <c r="V24" i="1"/>
  <c r="J77" i="1"/>
  <c r="Q134" i="1"/>
  <c r="M64" i="1"/>
  <c r="P10" i="1"/>
  <c r="F31" i="1"/>
  <c r="D39" i="1"/>
  <c r="O104" i="1"/>
  <c r="C88" i="1"/>
  <c r="K40" i="1"/>
  <c r="U49" i="1"/>
  <c r="K18" i="1"/>
  <c r="P13" i="1"/>
  <c r="D36" i="1"/>
  <c r="M106" i="1"/>
  <c r="U52" i="1"/>
  <c r="E53" i="1"/>
  <c r="O39" i="1"/>
  <c r="V20" i="1"/>
  <c r="G112" i="1"/>
  <c r="Q39" i="1"/>
  <c r="F34" i="1"/>
  <c r="O59" i="1"/>
  <c r="R64" i="1"/>
  <c r="N101" i="1"/>
  <c r="Z101" i="1" s="1"/>
  <c r="H139" i="1"/>
  <c r="E84" i="1"/>
  <c r="O61" i="1"/>
  <c r="J10" i="1"/>
  <c r="R97" i="1"/>
  <c r="V93" i="1"/>
  <c r="G96" i="1"/>
  <c r="D124" i="1"/>
  <c r="P87" i="1"/>
  <c r="U30" i="1"/>
  <c r="E78" i="1"/>
  <c r="Q79" i="1"/>
  <c r="R27" i="1"/>
  <c r="F63" i="1"/>
  <c r="T46" i="1"/>
  <c r="L81" i="1"/>
  <c r="W81" i="1" s="1"/>
  <c r="J75" i="1"/>
  <c r="K75" i="1"/>
  <c r="V14" i="1"/>
  <c r="O63" i="1"/>
  <c r="K73" i="1"/>
  <c r="O67" i="1"/>
  <c r="J23" i="1"/>
  <c r="H103" i="1"/>
  <c r="T174" i="1"/>
  <c r="B179" i="1"/>
  <c r="B105" i="1"/>
  <c r="E169" i="1"/>
  <c r="K148" i="1"/>
  <c r="P138" i="1"/>
  <c r="Q117" i="1"/>
  <c r="D186" i="1"/>
  <c r="T161" i="1"/>
  <c r="L170" i="1"/>
  <c r="W170" i="1" s="1"/>
  <c r="J120" i="1"/>
  <c r="I46" i="1"/>
  <c r="G176" i="1"/>
  <c r="N143" i="1"/>
  <c r="Z143" i="1" s="1"/>
  <c r="E120" i="1"/>
  <c r="H125" i="1"/>
  <c r="V104" i="1"/>
  <c r="R162" i="1"/>
  <c r="O211" i="1"/>
  <c r="K205" i="1"/>
  <c r="F96" i="1"/>
  <c r="K145" i="1"/>
  <c r="U146" i="1"/>
  <c r="N212" i="1"/>
  <c r="Z212" i="1" s="1"/>
  <c r="G147" i="1"/>
  <c r="Q188" i="1"/>
  <c r="E151" i="1"/>
  <c r="E99" i="1"/>
  <c r="E56" i="1"/>
  <c r="D67" i="1"/>
  <c r="O136" i="1"/>
  <c r="P62" i="1"/>
  <c r="L118" i="1"/>
  <c r="W118" i="1" s="1"/>
  <c r="K60" i="1"/>
  <c r="B74" i="1"/>
  <c r="O138" i="1"/>
  <c r="P111" i="1"/>
  <c r="T135" i="1"/>
  <c r="D127" i="1"/>
  <c r="M101" i="1"/>
  <c r="U143" i="1"/>
  <c r="L110" i="1"/>
  <c r="W110" i="1" s="1"/>
  <c r="E104" i="1"/>
  <c r="N190" i="1"/>
  <c r="Z190" i="1" s="1"/>
  <c r="K95" i="1"/>
  <c r="N102" i="1"/>
  <c r="Z102" i="1" s="1"/>
  <c r="U187" i="1"/>
  <c r="V94" i="1"/>
  <c r="G173" i="1"/>
  <c r="U139" i="1"/>
  <c r="I130" i="1"/>
  <c r="S95" i="1"/>
  <c r="J141" i="1"/>
  <c r="O134" i="1"/>
  <c r="I123" i="1"/>
  <c r="R103" i="1"/>
  <c r="M98" i="1"/>
  <c r="I148" i="1"/>
  <c r="R178" i="1"/>
  <c r="H124" i="1"/>
  <c r="D206" i="1"/>
  <c r="J207" i="1"/>
  <c r="V112" i="1"/>
  <c r="F153" i="1"/>
  <c r="V205" i="1"/>
  <c r="E206" i="1"/>
  <c r="G185" i="1"/>
  <c r="S67" i="1"/>
  <c r="O83" i="1"/>
  <c r="G79" i="1"/>
  <c r="M100" i="1"/>
  <c r="G21" i="1"/>
  <c r="M76" i="1"/>
  <c r="R77" i="1"/>
  <c r="O10" i="1"/>
  <c r="K28" i="1"/>
  <c r="F17" i="1"/>
  <c r="K48" i="1"/>
  <c r="F86" i="1"/>
  <c r="E80" i="1"/>
  <c r="P60" i="1"/>
  <c r="F59" i="1"/>
  <c r="N124" i="1"/>
  <c r="Z124" i="1" s="1"/>
  <c r="I88" i="1"/>
  <c r="D69" i="1"/>
  <c r="Q102" i="1"/>
  <c r="L190" i="1"/>
  <c r="W190" i="1" s="1"/>
  <c r="S184" i="1"/>
  <c r="E103" i="1"/>
  <c r="J160" i="1"/>
  <c r="M213" i="1"/>
  <c r="L93" i="1"/>
  <c r="W93" i="1" s="1"/>
  <c r="K166" i="1"/>
  <c r="T210" i="1"/>
  <c r="H135" i="1"/>
  <c r="Q201" i="1"/>
  <c r="M115" i="1"/>
  <c r="M172" i="1"/>
  <c r="Q87" i="1"/>
  <c r="B117" i="1"/>
  <c r="R143" i="1"/>
  <c r="V116" i="1"/>
  <c r="P67" i="1"/>
  <c r="Q132" i="1"/>
  <c r="P188" i="1"/>
  <c r="N113" i="1"/>
  <c r="Z113" i="1" s="1"/>
  <c r="K103" i="1"/>
  <c r="F91" i="1"/>
  <c r="M174" i="1"/>
  <c r="U197" i="1"/>
  <c r="C203" i="1"/>
  <c r="V214" i="1"/>
  <c r="C168" i="1"/>
  <c r="D160" i="1"/>
  <c r="C38" i="1"/>
  <c r="M26" i="1"/>
  <c r="F29" i="1"/>
  <c r="L70" i="1"/>
  <c r="W70" i="1" s="1"/>
  <c r="B109" i="1"/>
  <c r="R75" i="1"/>
  <c r="B59" i="1"/>
  <c r="D81" i="1"/>
  <c r="Q84" i="1"/>
  <c r="E140" i="1"/>
  <c r="Q115" i="1"/>
  <c r="D97" i="1"/>
  <c r="D130" i="1"/>
  <c r="E136" i="1"/>
  <c r="G105" i="1"/>
  <c r="D167" i="1"/>
  <c r="R84" i="1"/>
  <c r="R92" i="1"/>
  <c r="E90" i="1"/>
  <c r="T201" i="1"/>
  <c r="U147" i="1"/>
  <c r="K171" i="1"/>
  <c r="U196" i="1"/>
  <c r="B194" i="1"/>
  <c r="F159" i="1"/>
  <c r="E168" i="1"/>
  <c r="I141" i="1"/>
  <c r="C113" i="1"/>
  <c r="C163" i="1"/>
  <c r="L152" i="1"/>
  <c r="W152" i="1" s="1"/>
  <c r="K213" i="1"/>
  <c r="G158" i="1"/>
  <c r="Q151" i="1"/>
  <c r="T152" i="1"/>
  <c r="B116" i="1"/>
  <c r="K194" i="1"/>
  <c r="E185" i="1"/>
  <c r="S103" i="1"/>
  <c r="E186" i="1"/>
  <c r="B61" i="1"/>
  <c r="K74" i="1"/>
  <c r="G26" i="1"/>
  <c r="E87" i="1"/>
  <c r="H45" i="1"/>
  <c r="O30" i="1"/>
  <c r="M90" i="1"/>
  <c r="J72" i="1"/>
  <c r="I110" i="1"/>
  <c r="F21" i="1"/>
  <c r="T61" i="1"/>
  <c r="H70" i="1"/>
  <c r="L127" i="1"/>
  <c r="W127" i="1" s="1"/>
  <c r="D56" i="1"/>
  <c r="L113" i="1"/>
  <c r="W113" i="1" s="1"/>
  <c r="P58" i="1"/>
  <c r="J86" i="1"/>
  <c r="O66" i="1"/>
  <c r="N72" i="1"/>
  <c r="Z72" i="1" s="1"/>
  <c r="T109" i="1"/>
  <c r="I161" i="1"/>
  <c r="R118" i="1"/>
  <c r="F69" i="1"/>
  <c r="F166" i="1"/>
  <c r="I165" i="1"/>
  <c r="I62" i="1"/>
  <c r="M163" i="1"/>
  <c r="N110" i="1"/>
  <c r="Z110" i="1" s="1"/>
  <c r="G188" i="1"/>
  <c r="C147" i="1"/>
  <c r="P108" i="1"/>
  <c r="O169" i="1"/>
  <c r="M86" i="1"/>
  <c r="B185" i="1"/>
  <c r="C118" i="1"/>
  <c r="O175" i="1"/>
  <c r="E107" i="1"/>
  <c r="N189" i="1"/>
  <c r="Z189" i="1" s="1"/>
  <c r="V129" i="1"/>
  <c r="H105" i="1"/>
  <c r="I149" i="1"/>
  <c r="C151" i="1"/>
  <c r="U115" i="1"/>
  <c r="C149" i="1"/>
  <c r="B120" i="1"/>
  <c r="N144" i="1"/>
  <c r="Z144" i="1" s="1"/>
  <c r="K183" i="1"/>
  <c r="M33" i="1"/>
  <c r="Q25" i="1"/>
  <c r="H57" i="1"/>
  <c r="R41" i="1"/>
  <c r="V77" i="1"/>
  <c r="E97" i="1"/>
  <c r="J105" i="1"/>
  <c r="K92" i="1"/>
  <c r="T79" i="1"/>
  <c r="S113" i="1"/>
  <c r="G92" i="1"/>
  <c r="F102" i="1"/>
  <c r="B180" i="1"/>
  <c r="V137" i="1"/>
  <c r="D114" i="1"/>
  <c r="F122" i="1"/>
  <c r="K174" i="1"/>
  <c r="U190" i="1"/>
  <c r="U79" i="1"/>
  <c r="L166" i="1"/>
  <c r="W166" i="1" s="1"/>
  <c r="S148" i="1"/>
  <c r="F115" i="1"/>
  <c r="C133" i="1"/>
  <c r="T102" i="1"/>
  <c r="O132" i="1"/>
  <c r="O201" i="1"/>
  <c r="B57" i="1"/>
  <c r="J119" i="1"/>
  <c r="V175" i="1"/>
  <c r="Q193" i="1"/>
  <c r="M136" i="1"/>
  <c r="H211" i="1"/>
  <c r="V192" i="1"/>
  <c r="R153" i="1"/>
  <c r="H209" i="1"/>
  <c r="O181" i="1"/>
  <c r="O190" i="1"/>
  <c r="I155" i="1"/>
  <c r="G102" i="1"/>
  <c r="U54" i="1"/>
  <c r="I51" i="1"/>
  <c r="Q28" i="1"/>
  <c r="T36" i="1"/>
  <c r="K20" i="1"/>
  <c r="I82" i="1"/>
  <c r="M11" i="1"/>
  <c r="M75" i="1"/>
  <c r="R45" i="1"/>
  <c r="M60" i="1"/>
  <c r="Q85" i="1"/>
  <c r="H63" i="1"/>
  <c r="F75" i="1"/>
  <c r="I96" i="1"/>
  <c r="E113" i="1"/>
  <c r="H87" i="1"/>
  <c r="R115" i="1"/>
  <c r="I106" i="1"/>
  <c r="Q181" i="1"/>
  <c r="O157" i="1"/>
  <c r="S108" i="1"/>
  <c r="C73" i="1"/>
  <c r="Q142" i="1"/>
  <c r="D109" i="1"/>
  <c r="D185" i="1"/>
  <c r="V25" i="1"/>
  <c r="D142" i="1"/>
  <c r="E189" i="1"/>
  <c r="S90" i="1"/>
  <c r="N164" i="1"/>
  <c r="Z164" i="1" s="1"/>
  <c r="U138" i="1"/>
  <c r="S174" i="1"/>
  <c r="D93" i="1"/>
  <c r="Q106" i="1"/>
  <c r="B95" i="1"/>
  <c r="U173" i="1"/>
  <c r="S192" i="1"/>
  <c r="L199" i="1"/>
  <c r="W199" i="1" s="1"/>
  <c r="T133" i="1"/>
  <c r="C103" i="1"/>
  <c r="J209" i="1"/>
  <c r="P181" i="1"/>
  <c r="U165" i="1"/>
  <c r="H205" i="1"/>
  <c r="I140" i="1"/>
  <c r="F206" i="1"/>
  <c r="K34" i="1"/>
  <c r="C51" i="1"/>
  <c r="P139" i="1"/>
  <c r="T118" i="1"/>
  <c r="V80" i="1"/>
  <c r="M135" i="1"/>
  <c r="P109" i="1"/>
  <c r="V81" i="1"/>
  <c r="T83" i="1"/>
  <c r="Q114" i="1"/>
  <c r="R111" i="1"/>
  <c r="Q89" i="1"/>
  <c r="J204" i="1"/>
  <c r="M204" i="1"/>
  <c r="U123" i="1"/>
  <c r="T184" i="1"/>
  <c r="E79" i="1"/>
  <c r="K167" i="1"/>
  <c r="T124" i="1"/>
  <c r="O85" i="1"/>
  <c r="C128" i="1"/>
  <c r="R109" i="1"/>
  <c r="C181" i="1"/>
  <c r="U113" i="1"/>
  <c r="F199" i="1"/>
  <c r="U169" i="1"/>
  <c r="N137" i="1"/>
  <c r="Z137" i="1" s="1"/>
  <c r="D96" i="1"/>
  <c r="N198" i="1"/>
  <c r="Z198" i="1" s="1"/>
  <c r="L180" i="1"/>
  <c r="W180" i="1" s="1"/>
  <c r="P215" i="1"/>
  <c r="H68" i="1"/>
  <c r="D156" i="1"/>
  <c r="I178" i="1"/>
  <c r="R154" i="1"/>
  <c r="J148" i="1"/>
  <c r="K215" i="1"/>
  <c r="F156" i="1"/>
  <c r="D53" i="1"/>
  <c r="J36" i="1"/>
  <c r="S72" i="1"/>
  <c r="T127" i="1"/>
  <c r="E9" i="1"/>
  <c r="P56" i="1"/>
  <c r="C30" i="1"/>
  <c r="L56" i="1"/>
  <c r="W56" i="1" s="1"/>
  <c r="Q61" i="1"/>
  <c r="B35" i="1"/>
  <c r="J59" i="1"/>
  <c r="F50" i="1"/>
  <c r="F55" i="1"/>
  <c r="Q56" i="1"/>
  <c r="L85" i="1"/>
  <c r="W85" i="1" s="1"/>
  <c r="G114" i="1"/>
  <c r="P125" i="1"/>
  <c r="K89" i="1"/>
  <c r="I91" i="1"/>
  <c r="L125" i="1"/>
  <c r="W125" i="1" s="1"/>
  <c r="D179" i="1"/>
  <c r="S114" i="1"/>
  <c r="R187" i="1"/>
  <c r="S207" i="1"/>
  <c r="B91" i="1"/>
  <c r="M166" i="1"/>
  <c r="F87" i="1"/>
  <c r="F126" i="1"/>
  <c r="U213" i="1"/>
  <c r="R139" i="1"/>
  <c r="P156" i="1"/>
  <c r="M89" i="1"/>
  <c r="T123" i="1"/>
  <c r="J124" i="1"/>
  <c r="J155" i="1"/>
  <c r="K136" i="1"/>
  <c r="N192" i="1"/>
  <c r="Z192" i="1" s="1"/>
  <c r="I169" i="1"/>
  <c r="V145" i="1"/>
  <c r="L196" i="1"/>
  <c r="W196" i="1" s="1"/>
  <c r="R215" i="1"/>
  <c r="F193" i="1"/>
  <c r="M168" i="1"/>
  <c r="M193" i="1"/>
  <c r="C188" i="1"/>
  <c r="N96" i="1"/>
  <c r="Z96" i="1" s="1"/>
  <c r="T160" i="1"/>
  <c r="B46" i="1"/>
  <c r="F71" i="1"/>
  <c r="D13" i="1"/>
  <c r="Q77" i="1"/>
  <c r="Q120" i="1"/>
  <c r="C112" i="1"/>
  <c r="O72" i="1"/>
  <c r="C27" i="1"/>
  <c r="C31" i="1"/>
  <c r="J88" i="1"/>
  <c r="I112" i="1"/>
  <c r="L96" i="1"/>
  <c r="W96" i="1" s="1"/>
  <c r="S181" i="1"/>
  <c r="O137" i="1"/>
  <c r="S179" i="1"/>
  <c r="K94" i="1"/>
  <c r="C190" i="1"/>
  <c r="G198" i="1"/>
  <c r="G125" i="1"/>
  <c r="H127" i="1"/>
  <c r="V190" i="1"/>
  <c r="M180" i="1"/>
  <c r="N157" i="1"/>
  <c r="Z157" i="1" s="1"/>
  <c r="O90" i="1"/>
  <c r="G80" i="1"/>
  <c r="K162" i="1"/>
  <c r="R179" i="1"/>
  <c r="B203" i="1"/>
  <c r="T138" i="1"/>
  <c r="E171" i="1"/>
  <c r="U158" i="1"/>
  <c r="N61" i="1"/>
  <c r="Z61" i="1" s="1"/>
  <c r="J170" i="1"/>
  <c r="U157" i="1"/>
  <c r="O171" i="1"/>
  <c r="I204" i="1"/>
  <c r="K192" i="1"/>
  <c r="C155" i="1"/>
  <c r="F57" i="1"/>
  <c r="D30" i="1"/>
  <c r="U85" i="1"/>
  <c r="Q68" i="1"/>
  <c r="S19" i="1"/>
  <c r="B71" i="1"/>
  <c r="V39" i="1"/>
  <c r="G68" i="1"/>
  <c r="D45" i="1"/>
  <c r="P12" i="1"/>
  <c r="B13" i="1"/>
  <c r="U38" i="1"/>
  <c r="P78" i="1"/>
  <c r="M97" i="1"/>
  <c r="B49" i="1"/>
  <c r="U55" i="1"/>
  <c r="Q123" i="1"/>
  <c r="I90" i="1"/>
  <c r="J87" i="1"/>
  <c r="H59" i="1"/>
  <c r="O155" i="1"/>
  <c r="T107" i="1"/>
  <c r="M99" i="1"/>
  <c r="F24" i="1"/>
  <c r="C150" i="1"/>
  <c r="C143" i="1"/>
  <c r="J101" i="1"/>
  <c r="U129" i="1"/>
  <c r="M114" i="1"/>
  <c r="E156" i="1"/>
  <c r="D85" i="1"/>
  <c r="V130" i="1"/>
  <c r="K190" i="1"/>
  <c r="H179" i="1"/>
  <c r="L88" i="1"/>
  <c r="W88" i="1" s="1"/>
  <c r="O178" i="1"/>
  <c r="V154" i="1"/>
  <c r="D164" i="1"/>
  <c r="R211" i="1"/>
  <c r="U212" i="1"/>
  <c r="C192" i="1"/>
  <c r="D194" i="1"/>
  <c r="I177" i="1"/>
  <c r="C170" i="1"/>
  <c r="L136" i="1"/>
  <c r="W136" i="1" s="1"/>
  <c r="S175" i="1"/>
  <c r="R161" i="1"/>
  <c r="U130" i="1"/>
  <c r="V62" i="1"/>
  <c r="U44" i="1"/>
  <c r="D92" i="1"/>
  <c r="U69" i="1"/>
  <c r="E127" i="1"/>
  <c r="G98" i="1"/>
  <c r="Q81" i="1"/>
  <c r="T119" i="1"/>
  <c r="R126" i="1"/>
  <c r="J127" i="1"/>
  <c r="J203" i="1"/>
  <c r="P81" i="1"/>
  <c r="N62" i="1"/>
  <c r="Z62" i="1" s="1"/>
  <c r="U171" i="1"/>
  <c r="K97" i="1"/>
  <c r="E123" i="1"/>
  <c r="T144" i="1"/>
  <c r="U120" i="1"/>
  <c r="E74" i="1"/>
  <c r="U63" i="1"/>
  <c r="G89" i="1"/>
  <c r="J116" i="1"/>
  <c r="H109" i="1"/>
  <c r="E100" i="1"/>
  <c r="H184" i="1"/>
  <c r="J144" i="1"/>
  <c r="E139" i="1"/>
  <c r="B170" i="1"/>
  <c r="P147" i="1"/>
  <c r="S159" i="1"/>
  <c r="S165" i="1"/>
  <c r="H171" i="1"/>
  <c r="L187" i="1"/>
  <c r="W187" i="1" s="1"/>
  <c r="J182" i="1"/>
  <c r="D121" i="1"/>
  <c r="S104" i="1"/>
  <c r="U192" i="1"/>
  <c r="U18" i="1"/>
  <c r="R12" i="1"/>
  <c r="K62" i="1"/>
  <c r="S137" i="1"/>
  <c r="L116" i="1"/>
  <c r="W116" i="1" s="1"/>
  <c r="F51" i="1"/>
  <c r="M28" i="1"/>
  <c r="F19" i="1"/>
  <c r="E85" i="1"/>
  <c r="P79" i="1"/>
  <c r="C54" i="1"/>
  <c r="G22" i="1"/>
  <c r="L61" i="1"/>
  <c r="W61" i="1" s="1"/>
  <c r="N103" i="1"/>
  <c r="Z103" i="1" s="1"/>
  <c r="T75" i="1"/>
  <c r="U41" i="1"/>
  <c r="G100" i="1"/>
  <c r="Q128" i="1"/>
  <c r="O183" i="1"/>
  <c r="Q184" i="1"/>
  <c r="V211" i="1"/>
  <c r="E180" i="1"/>
  <c r="K155" i="1"/>
  <c r="N90" i="1"/>
  <c r="Z90" i="1" s="1"/>
  <c r="P165" i="1"/>
  <c r="O209" i="1"/>
  <c r="M96" i="1"/>
  <c r="L169" i="1"/>
  <c r="W169" i="1" s="1"/>
  <c r="N111" i="1"/>
  <c r="Z111" i="1" s="1"/>
  <c r="E196" i="1"/>
  <c r="B197" i="1"/>
  <c r="O102" i="1"/>
  <c r="L101" i="1"/>
  <c r="W101" i="1" s="1"/>
  <c r="P146" i="1"/>
  <c r="J195" i="1"/>
  <c r="R114" i="1"/>
  <c r="O145" i="1"/>
  <c r="R146" i="1"/>
  <c r="L181" i="1"/>
  <c r="W181" i="1" s="1"/>
  <c r="T90" i="1"/>
  <c r="B158" i="1"/>
  <c r="Q195" i="1"/>
  <c r="T215" i="1"/>
  <c r="S203" i="1"/>
  <c r="S188" i="1"/>
  <c r="O199" i="1"/>
  <c r="R50" i="1"/>
  <c r="V38" i="1"/>
  <c r="E42" i="1"/>
  <c r="K116" i="1"/>
  <c r="U121" i="1"/>
  <c r="V59" i="1"/>
  <c r="Q139" i="1"/>
  <c r="H96" i="1"/>
  <c r="Q112" i="1"/>
  <c r="E61" i="1"/>
  <c r="S77" i="1"/>
  <c r="V106" i="1"/>
  <c r="L144" i="1"/>
  <c r="W144" i="1" s="1"/>
  <c r="S44" i="1"/>
  <c r="T128" i="1"/>
  <c r="S172" i="1"/>
  <c r="I98" i="1"/>
  <c r="G124" i="1"/>
  <c r="R145" i="1"/>
  <c r="P119" i="1"/>
  <c r="E117" i="1"/>
  <c r="M103" i="1"/>
  <c r="E145" i="1"/>
  <c r="B100" i="1"/>
  <c r="B127" i="1"/>
  <c r="E119" i="1"/>
  <c r="B135" i="1"/>
  <c r="L128" i="1"/>
  <c r="W128" i="1" s="1"/>
  <c r="N108" i="1"/>
  <c r="Z108" i="1" s="1"/>
  <c r="M146" i="1"/>
  <c r="R212" i="1"/>
  <c r="B176" i="1"/>
  <c r="L165" i="1"/>
  <c r="W165" i="1" s="1"/>
  <c r="M93" i="1"/>
  <c r="S171" i="1"/>
  <c r="K173" i="1"/>
  <c r="J138" i="1"/>
  <c r="P164" i="1"/>
  <c r="D143" i="1"/>
  <c r="C32" i="1"/>
  <c r="P54" i="1"/>
  <c r="U78" i="1"/>
  <c r="O77" i="1"/>
  <c r="F42" i="1"/>
  <c r="R72" i="1"/>
  <c r="S21" i="1"/>
  <c r="S71" i="1"/>
  <c r="R136" i="1"/>
  <c r="T13" i="1"/>
  <c r="U84" i="1"/>
  <c r="C23" i="1"/>
  <c r="G34" i="1"/>
  <c r="U40" i="1"/>
  <c r="Q57" i="1"/>
  <c r="Q78" i="1"/>
  <c r="L63" i="1"/>
  <c r="W63" i="1" s="1"/>
  <c r="J102" i="1"/>
  <c r="B103" i="1"/>
  <c r="S136" i="1"/>
  <c r="K157" i="1"/>
  <c r="G113" i="1"/>
  <c r="M147" i="1"/>
  <c r="M74" i="1"/>
  <c r="R98" i="1"/>
  <c r="F185" i="1"/>
  <c r="K99" i="1"/>
  <c r="E188" i="1"/>
  <c r="B129" i="1"/>
  <c r="G129" i="1"/>
  <c r="I175" i="1"/>
  <c r="U103" i="1"/>
  <c r="I173" i="1"/>
  <c r="D181" i="1"/>
  <c r="D104" i="1"/>
  <c r="P170" i="1"/>
  <c r="T186" i="1"/>
  <c r="B188" i="1"/>
  <c r="O141" i="1"/>
  <c r="R150" i="1"/>
  <c r="B146" i="1"/>
  <c r="B157" i="1"/>
  <c r="D195" i="1"/>
  <c r="L147" i="1"/>
  <c r="W147" i="1" s="1"/>
  <c r="G166" i="1"/>
  <c r="H100" i="1"/>
  <c r="N33" i="1"/>
  <c r="Z33" i="1" s="1"/>
  <c r="T70" i="1"/>
  <c r="M27" i="1"/>
  <c r="I26" i="1"/>
  <c r="S85" i="1"/>
  <c r="O50" i="1"/>
  <c r="U80" i="1"/>
  <c r="M137" i="1"/>
  <c r="R110" i="1"/>
  <c r="Q54" i="1"/>
  <c r="D100" i="1"/>
  <c r="G94" i="1"/>
  <c r="Q185" i="1"/>
  <c r="T63" i="1"/>
  <c r="R184" i="1"/>
  <c r="B125" i="1"/>
  <c r="Q189" i="1"/>
  <c r="S190" i="1"/>
  <c r="V132" i="1"/>
  <c r="G186" i="1"/>
  <c r="V193" i="1"/>
  <c r="I70" i="1"/>
  <c r="U88" i="1"/>
  <c r="U159" i="1"/>
  <c r="S123" i="1"/>
  <c r="L145" i="1"/>
  <c r="W145" i="1" s="1"/>
  <c r="L138" i="1"/>
  <c r="W138" i="1" s="1"/>
  <c r="B160" i="1"/>
  <c r="E187" i="1"/>
  <c r="O92" i="1"/>
  <c r="M196" i="1"/>
  <c r="V163" i="1"/>
  <c r="U149" i="1"/>
  <c r="K175" i="1"/>
  <c r="S117" i="1"/>
  <c r="H190" i="1"/>
  <c r="N211" i="1"/>
  <c r="Z211" i="1" s="1"/>
  <c r="N165" i="1"/>
  <c r="Z165" i="1" s="1"/>
  <c r="F208" i="1"/>
  <c r="M17" i="1"/>
  <c r="I74" i="1"/>
  <c r="N49" i="1"/>
  <c r="Z49" i="1" s="1"/>
  <c r="S63" i="1"/>
  <c r="P107" i="1"/>
  <c r="F20" i="1"/>
  <c r="D110" i="1"/>
  <c r="Q107" i="1"/>
  <c r="C77" i="1"/>
  <c r="P80" i="1"/>
  <c r="F138" i="1"/>
  <c r="D140" i="1"/>
  <c r="N159" i="1"/>
  <c r="Z159" i="1" s="1"/>
  <c r="E163" i="1"/>
  <c r="O97" i="1"/>
  <c r="H80" i="1"/>
  <c r="L92" i="1"/>
  <c r="W92" i="1" s="1"/>
  <c r="S198" i="1"/>
  <c r="S191" i="1"/>
  <c r="U82" i="1"/>
  <c r="G110" i="1"/>
  <c r="H172" i="1"/>
  <c r="N99" i="1"/>
  <c r="Z99" i="1" s="1"/>
  <c r="B90" i="1"/>
  <c r="L114" i="1"/>
  <c r="W114" i="1" s="1"/>
  <c r="V167" i="1"/>
  <c r="S131" i="1"/>
  <c r="J48" i="1"/>
  <c r="R128" i="1"/>
  <c r="R181" i="1"/>
  <c r="J153" i="1"/>
  <c r="N202" i="1"/>
  <c r="Z202" i="1" s="1"/>
  <c r="J78" i="1"/>
  <c r="D176" i="1"/>
  <c r="G177" i="1"/>
  <c r="J161" i="1"/>
  <c r="D154" i="1"/>
  <c r="T196" i="1"/>
  <c r="L197" i="1"/>
  <c r="W197" i="1" s="1"/>
  <c r="B25" i="1"/>
  <c r="C57" i="1"/>
  <c r="H107" i="1"/>
  <c r="M22" i="1"/>
  <c r="U114" i="1"/>
  <c r="K43" i="1"/>
  <c r="L134" i="1"/>
  <c r="W134" i="1" s="1"/>
  <c r="D132" i="1"/>
  <c r="C66" i="1"/>
  <c r="K121" i="1"/>
  <c r="U111" i="1"/>
  <c r="E126" i="1"/>
  <c r="T168" i="1"/>
  <c r="I122" i="1"/>
  <c r="H89" i="1"/>
  <c r="U168" i="1"/>
  <c r="S147" i="1"/>
  <c r="S212" i="1"/>
  <c r="O170" i="1"/>
  <c r="I111" i="1"/>
  <c r="F104" i="1"/>
  <c r="B98" i="1"/>
  <c r="K114" i="1"/>
  <c r="J139" i="1"/>
  <c r="H132" i="1"/>
  <c r="C213" i="1"/>
  <c r="G137" i="1"/>
  <c r="F123" i="1"/>
  <c r="C111" i="1"/>
  <c r="U99" i="1"/>
  <c r="M165" i="1"/>
  <c r="H142" i="1"/>
  <c r="D106" i="1"/>
  <c r="E175" i="1"/>
  <c r="L130" i="1"/>
  <c r="W130" i="1" s="1"/>
  <c r="F215" i="1"/>
  <c r="L176" i="1"/>
  <c r="W176" i="1" s="1"/>
  <c r="G41" i="1"/>
  <c r="E106" i="1"/>
  <c r="I72" i="1"/>
  <c r="H35" i="1"/>
  <c r="D91" i="1"/>
  <c r="C129" i="1"/>
  <c r="T111" i="1"/>
  <c r="F62" i="1"/>
  <c r="R73" i="1"/>
  <c r="U95" i="1"/>
  <c r="H119" i="1"/>
  <c r="N199" i="1"/>
  <c r="Z199" i="1" s="1"/>
  <c r="K188" i="1"/>
  <c r="H75" i="1"/>
  <c r="J136" i="1"/>
  <c r="O71" i="1"/>
  <c r="S86" i="1"/>
  <c r="E82" i="1"/>
  <c r="I54" i="1"/>
  <c r="C97" i="1"/>
  <c r="L46" i="1"/>
  <c r="W46" i="1" s="1"/>
  <c r="S27" i="1"/>
  <c r="K88" i="1"/>
  <c r="G134" i="1"/>
  <c r="M153" i="1"/>
  <c r="B106" i="1"/>
  <c r="M127" i="1"/>
  <c r="M107" i="1"/>
  <c r="T148" i="1"/>
  <c r="T134" i="1"/>
  <c r="V86" i="1"/>
  <c r="F173" i="1"/>
  <c r="E130" i="1"/>
  <c r="U145" i="1"/>
  <c r="P153" i="1"/>
  <c r="C101" i="1"/>
  <c r="O191" i="1"/>
  <c r="B101" i="1"/>
  <c r="Q144" i="1"/>
  <c r="G152" i="1"/>
  <c r="M195" i="1"/>
  <c r="O164" i="1"/>
  <c r="R152" i="1"/>
  <c r="O152" i="1"/>
  <c r="E178" i="1"/>
  <c r="I201" i="1"/>
  <c r="E159" i="1"/>
  <c r="J149" i="1"/>
  <c r="V158" i="1"/>
  <c r="R37" i="1"/>
  <c r="H74" i="1"/>
  <c r="E73" i="1"/>
  <c r="N37" i="1"/>
  <c r="Z37" i="1" s="1"/>
  <c r="V61" i="1"/>
  <c r="S31" i="1"/>
  <c r="F111" i="1"/>
  <c r="O108" i="1"/>
  <c r="S18" i="1"/>
  <c r="O73" i="1"/>
  <c r="J110" i="1"/>
  <c r="V143" i="1"/>
  <c r="R169" i="1"/>
  <c r="U188" i="1"/>
  <c r="M185" i="1"/>
  <c r="M71" i="1"/>
  <c r="U131" i="1"/>
  <c r="O193" i="1"/>
  <c r="Q103" i="1"/>
  <c r="T142" i="1"/>
  <c r="D90" i="1"/>
  <c r="U153" i="1"/>
  <c r="D165" i="1"/>
  <c r="M134" i="1"/>
  <c r="F151" i="1"/>
  <c r="O188" i="1"/>
  <c r="L31" i="1"/>
  <c r="W31" i="1" s="1"/>
  <c r="E164" i="1"/>
  <c r="C154" i="1"/>
  <c r="F155" i="1"/>
  <c r="E191" i="1"/>
  <c r="J197" i="1"/>
  <c r="B177" i="1"/>
  <c r="L203" i="1"/>
  <c r="W203" i="1" s="1"/>
  <c r="P155" i="1"/>
  <c r="F207" i="1"/>
  <c r="I193" i="1"/>
  <c r="U65" i="1"/>
  <c r="Q80" i="1"/>
  <c r="T18" i="1"/>
  <c r="N98" i="1"/>
  <c r="Z98" i="1" s="1"/>
  <c r="T80" i="1"/>
  <c r="N105" i="1"/>
  <c r="Z105" i="1" s="1"/>
  <c r="D118" i="1"/>
  <c r="B67" i="1"/>
  <c r="O62" i="1"/>
  <c r="S96" i="1"/>
  <c r="N94" i="1"/>
  <c r="Z94" i="1" s="1"/>
  <c r="G86" i="1"/>
  <c r="G183" i="1"/>
  <c r="I131" i="1"/>
  <c r="E92" i="1"/>
  <c r="I102" i="1"/>
  <c r="J99" i="1"/>
  <c r="O122" i="1"/>
  <c r="K108" i="1"/>
  <c r="D75" i="1"/>
  <c r="R112" i="1"/>
  <c r="R116" i="1"/>
  <c r="S150" i="1"/>
  <c r="T188" i="1"/>
  <c r="H97" i="1"/>
  <c r="H196" i="1"/>
  <c r="S121" i="1"/>
  <c r="O131" i="1"/>
  <c r="G169" i="1"/>
  <c r="G146" i="1"/>
  <c r="T193" i="1"/>
  <c r="O194" i="1"/>
  <c r="P137" i="1"/>
  <c r="Q92" i="1"/>
  <c r="U100" i="1"/>
  <c r="N183" i="1"/>
  <c r="Z183" i="1" s="1"/>
  <c r="M192" i="1"/>
  <c r="D102" i="1"/>
  <c r="L120" i="1"/>
  <c r="W120" i="1" s="1"/>
  <c r="R90" i="1"/>
  <c r="C172" i="1"/>
  <c r="B140" i="1"/>
  <c r="O182" i="1"/>
  <c r="S93" i="1"/>
  <c r="G179" i="1"/>
  <c r="E179" i="1"/>
  <c r="T171" i="1"/>
  <c r="H150" i="1"/>
  <c r="T159" i="1"/>
  <c r="T32" i="1"/>
  <c r="M45" i="1"/>
  <c r="D40" i="1"/>
  <c r="M42" i="1"/>
  <c r="M116" i="1"/>
  <c r="Q126" i="1"/>
  <c r="R123" i="1"/>
  <c r="T76" i="1"/>
  <c r="S132" i="1"/>
  <c r="V101" i="1"/>
  <c r="P98" i="1"/>
  <c r="J117" i="1"/>
  <c r="M187" i="1"/>
  <c r="B122" i="1"/>
  <c r="V107" i="1"/>
  <c r="T74" i="1"/>
  <c r="K163" i="1"/>
  <c r="M194" i="1"/>
  <c r="O159" i="1"/>
  <c r="B130" i="1"/>
  <c r="B175" i="1"/>
  <c r="B138" i="1"/>
  <c r="V181" i="1"/>
  <c r="Q176" i="1"/>
  <c r="P127" i="1"/>
  <c r="T60" i="1"/>
  <c r="E88" i="1"/>
  <c r="F171" i="1"/>
  <c r="H195" i="1"/>
  <c r="K196" i="1"/>
  <c r="V142" i="1"/>
  <c r="C137" i="1"/>
  <c r="F120" i="1"/>
  <c r="R193" i="1"/>
  <c r="F118" i="1"/>
  <c r="D182" i="1"/>
  <c r="N196" i="1"/>
  <c r="Z196" i="1" s="1"/>
  <c r="C62" i="1"/>
  <c r="K69" i="1"/>
  <c r="E27" i="1"/>
  <c r="B104" i="1"/>
  <c r="E50" i="1"/>
  <c r="O117" i="1"/>
  <c r="R91" i="1"/>
  <c r="E121" i="1"/>
  <c r="T49" i="1"/>
  <c r="F135" i="1"/>
  <c r="L201" i="1"/>
  <c r="W201" i="1" s="1"/>
  <c r="G72" i="1"/>
  <c r="T165" i="1"/>
  <c r="B147" i="1"/>
  <c r="R63" i="1"/>
  <c r="S76" i="1"/>
  <c r="E17" i="1"/>
  <c r="P120" i="1"/>
  <c r="D137" i="1"/>
  <c r="N48" i="1"/>
  <c r="Z48" i="1" s="1"/>
  <c r="K86" i="1"/>
  <c r="P95" i="1"/>
  <c r="N126" i="1"/>
  <c r="Z126" i="1" s="1"/>
  <c r="L141" i="1"/>
  <c r="W141" i="1" s="1"/>
  <c r="M88" i="1"/>
  <c r="G69" i="1"/>
  <c r="T100" i="1"/>
  <c r="I78" i="1"/>
  <c r="E170" i="1"/>
  <c r="I67" i="1"/>
  <c r="O105" i="1"/>
  <c r="O150" i="1"/>
  <c r="I138" i="1"/>
  <c r="V188" i="1"/>
  <c r="H138" i="1"/>
  <c r="H92" i="1"/>
  <c r="J166" i="1"/>
  <c r="E204" i="1"/>
  <c r="B152" i="1"/>
  <c r="J194" i="1"/>
  <c r="H194" i="1"/>
  <c r="Q207" i="1"/>
  <c r="T208" i="1"/>
  <c r="R194" i="1"/>
  <c r="N154" i="1"/>
  <c r="Z154" i="1" s="1"/>
  <c r="B196" i="1"/>
  <c r="R172" i="1"/>
  <c r="M206" i="1"/>
  <c r="J162" i="1"/>
  <c r="O57" i="1"/>
  <c r="V52" i="1"/>
  <c r="G52" i="1"/>
  <c r="U74" i="1"/>
  <c r="F90" i="1"/>
  <c r="O106" i="1"/>
  <c r="J89" i="1"/>
  <c r="L71" i="1"/>
  <c r="W71" i="1" s="1"/>
  <c r="R96" i="1"/>
  <c r="I38" i="1"/>
  <c r="R99" i="1"/>
  <c r="B133" i="1"/>
  <c r="C164" i="1"/>
  <c r="U177" i="1"/>
  <c r="O143" i="1"/>
  <c r="P122" i="1"/>
  <c r="F107" i="1"/>
  <c r="K195" i="1"/>
  <c r="E66" i="1"/>
  <c r="U185" i="1"/>
  <c r="N93" i="1"/>
  <c r="Z93" i="1" s="1"/>
  <c r="R15" i="1"/>
  <c r="Q157" i="1"/>
  <c r="S84" i="1"/>
  <c r="T169" i="1"/>
  <c r="H122" i="1"/>
  <c r="K118" i="1"/>
  <c r="H88" i="1"/>
  <c r="F196" i="1"/>
  <c r="F195" i="1"/>
  <c r="T143" i="1"/>
  <c r="M156" i="1"/>
  <c r="K154" i="1"/>
  <c r="V85" i="1"/>
  <c r="I174" i="1"/>
  <c r="R159" i="1"/>
  <c r="Q148" i="1"/>
  <c r="M44" i="1"/>
  <c r="Q16" i="1"/>
  <c r="G19" i="1"/>
  <c r="E21" i="1"/>
  <c r="O33" i="1"/>
  <c r="N135" i="1"/>
  <c r="Z135" i="1" s="1"/>
  <c r="Q60" i="1"/>
  <c r="F119" i="1"/>
  <c r="I126" i="1"/>
  <c r="H136" i="1"/>
  <c r="N85" i="1"/>
  <c r="Z85" i="1" s="1"/>
  <c r="G75" i="1"/>
  <c r="Q133" i="1"/>
  <c r="U125" i="1"/>
  <c r="C107" i="1"/>
  <c r="F133" i="1"/>
  <c r="B63" i="1"/>
  <c r="F97" i="1"/>
  <c r="E135" i="1"/>
  <c r="K52" i="1"/>
  <c r="M87" i="1"/>
  <c r="Q152" i="1"/>
  <c r="D158" i="1"/>
  <c r="R134" i="1"/>
  <c r="L121" i="1"/>
  <c r="W121" i="1" s="1"/>
  <c r="N191" i="1"/>
  <c r="Z191" i="1" s="1"/>
  <c r="T117" i="1"/>
  <c r="I81" i="1"/>
  <c r="G170" i="1"/>
  <c r="U101" i="1"/>
  <c r="M161" i="1"/>
  <c r="G141" i="1"/>
  <c r="U204" i="1"/>
  <c r="K138" i="1"/>
  <c r="B115" i="1"/>
  <c r="F148" i="1"/>
  <c r="N145" i="1"/>
  <c r="Z145" i="1" s="1"/>
  <c r="T112" i="1"/>
  <c r="S98" i="1"/>
  <c r="U170" i="1"/>
  <c r="J92" i="1"/>
  <c r="H183" i="1"/>
  <c r="V135" i="1"/>
  <c r="P195" i="1"/>
  <c r="T192" i="1"/>
  <c r="I208" i="1"/>
  <c r="M191" i="1"/>
  <c r="D152" i="1"/>
  <c r="V99" i="1"/>
  <c r="B31" i="1"/>
  <c r="H84" i="1"/>
  <c r="Q59" i="1"/>
  <c r="M92" i="1"/>
  <c r="K131" i="1"/>
  <c r="P104" i="1"/>
  <c r="C43" i="1"/>
  <c r="E65" i="1"/>
  <c r="S94" i="1"/>
  <c r="F124" i="1"/>
  <c r="H98" i="1"/>
  <c r="F175" i="1"/>
  <c r="M120" i="1"/>
  <c r="P121" i="1"/>
  <c r="V155" i="1"/>
  <c r="F143" i="1"/>
  <c r="H108" i="1"/>
  <c r="T116" i="1"/>
  <c r="G175" i="1"/>
  <c r="B178" i="1"/>
  <c r="N87" i="1"/>
  <c r="Z87" i="1" s="1"/>
  <c r="V128" i="1"/>
  <c r="R183" i="1"/>
  <c r="I192" i="1"/>
  <c r="H151" i="1"/>
  <c r="M59" i="1"/>
  <c r="L153" i="1"/>
  <c r="W153" i="1" s="1"/>
  <c r="V140" i="1"/>
  <c r="F66" i="1"/>
  <c r="T131" i="1"/>
  <c r="L171" i="1"/>
  <c r="W171" i="1" s="1"/>
  <c r="N197" i="1"/>
  <c r="Z197" i="1" s="1"/>
  <c r="B213" i="1"/>
  <c r="F190" i="1"/>
  <c r="L178" i="1"/>
  <c r="W178" i="1" s="1"/>
  <c r="P203" i="1"/>
  <c r="L32" i="1"/>
  <c r="W32" i="1" s="1"/>
  <c r="L37" i="1"/>
  <c r="W37" i="1" s="1"/>
  <c r="H26" i="1"/>
  <c r="E69" i="1"/>
  <c r="O101" i="1"/>
  <c r="S92" i="1"/>
  <c r="P48" i="1"/>
  <c r="P106" i="1"/>
  <c r="T92" i="1"/>
  <c r="O78" i="1"/>
  <c r="S81" i="1"/>
  <c r="I168" i="1"/>
  <c r="G193" i="1"/>
  <c r="M85" i="1"/>
  <c r="G39" i="1"/>
  <c r="F95" i="1"/>
  <c r="R129" i="1"/>
  <c r="B69" i="1"/>
  <c r="Q109" i="1"/>
  <c r="L59" i="1"/>
  <c r="W59" i="1" s="1"/>
  <c r="C52" i="1"/>
  <c r="O118" i="1"/>
  <c r="J145" i="1"/>
  <c r="S102" i="1"/>
  <c r="O129" i="1"/>
  <c r="T145" i="1"/>
  <c r="S158" i="1"/>
  <c r="L158" i="1"/>
  <c r="W158" i="1" s="1"/>
  <c r="S118" i="1"/>
  <c r="T150" i="1"/>
  <c r="T194" i="1"/>
  <c r="U127" i="1"/>
  <c r="M169" i="1"/>
  <c r="J159" i="1"/>
  <c r="I152" i="1"/>
  <c r="N89" i="1"/>
  <c r="Z89" i="1" s="1"/>
  <c r="T209" i="1"/>
  <c r="J184" i="1"/>
  <c r="C76" i="1"/>
  <c r="Q172" i="1"/>
  <c r="S97" i="1"/>
  <c r="D147" i="1"/>
  <c r="H174" i="1"/>
  <c r="R100" i="1"/>
  <c r="Q173" i="1"/>
  <c r="V149" i="1"/>
  <c r="L139" i="1"/>
  <c r="W139" i="1" s="1"/>
  <c r="J179" i="1"/>
  <c r="B161" i="1"/>
  <c r="Q24" i="1"/>
  <c r="F56" i="1"/>
  <c r="L38" i="1"/>
  <c r="W38" i="1" s="1"/>
  <c r="I133" i="1"/>
  <c r="V63" i="1"/>
  <c r="N119" i="1"/>
  <c r="Z119" i="1" s="1"/>
  <c r="I43" i="1"/>
  <c r="N70" i="1"/>
  <c r="Z70" i="1" s="1"/>
  <c r="E132" i="1"/>
  <c r="E137" i="1"/>
  <c r="U134" i="1"/>
  <c r="T120" i="1"/>
  <c r="D126" i="1"/>
  <c r="U112" i="1"/>
  <c r="G150" i="1"/>
  <c r="F183" i="1"/>
  <c r="V126" i="1"/>
  <c r="U108" i="1"/>
  <c r="T190" i="1"/>
  <c r="C109" i="1"/>
  <c r="O111" i="1"/>
  <c r="H170" i="1"/>
  <c r="V98" i="1"/>
  <c r="P116" i="1"/>
  <c r="F213" i="1"/>
  <c r="G97" i="1"/>
  <c r="D169" i="1"/>
  <c r="K197" i="1"/>
  <c r="T176" i="1"/>
  <c r="G171" i="1"/>
  <c r="N214" i="1"/>
  <c r="Z214" i="1" s="1"/>
  <c r="O91" i="1"/>
  <c r="H152" i="1"/>
  <c r="R185" i="1"/>
  <c r="G196" i="1"/>
  <c r="P174" i="1"/>
  <c r="S59" i="1"/>
  <c r="H62" i="1"/>
  <c r="H53" i="1"/>
  <c r="I114" i="1"/>
  <c r="U140" i="1"/>
  <c r="U12" i="1"/>
  <c r="O55" i="1"/>
  <c r="J118" i="1"/>
  <c r="S91" i="1"/>
  <c r="C81" i="1"/>
  <c r="C123" i="1"/>
  <c r="V183" i="1"/>
  <c r="R120" i="1"/>
  <c r="D76" i="1"/>
  <c r="I86" i="1"/>
  <c r="D46" i="1"/>
  <c r="C134" i="1"/>
  <c r="S116" i="1"/>
  <c r="R107" i="1"/>
  <c r="S99" i="1"/>
  <c r="B139" i="1"/>
  <c r="H90" i="1"/>
  <c r="L210" i="1"/>
  <c r="W210" i="1" s="1"/>
  <c r="M164" i="1"/>
  <c r="E161" i="1"/>
  <c r="M144" i="1"/>
  <c r="G132" i="1"/>
  <c r="N150" i="1"/>
  <c r="Z150" i="1" s="1"/>
  <c r="S107" i="1"/>
  <c r="V134" i="1"/>
  <c r="M201" i="1"/>
  <c r="K104" i="1"/>
  <c r="H113" i="1"/>
  <c r="L122" i="1"/>
  <c r="W122" i="1" s="1"/>
  <c r="R125" i="1"/>
  <c r="T125" i="1"/>
  <c r="G164" i="1"/>
  <c r="E128" i="1"/>
  <c r="S106" i="1"/>
  <c r="T206" i="1"/>
  <c r="T146" i="1"/>
  <c r="I188" i="1"/>
  <c r="T197" i="1"/>
  <c r="E199" i="1"/>
  <c r="K169" i="1"/>
  <c r="N177" i="1"/>
  <c r="Z177" i="1" s="1"/>
  <c r="P191" i="1"/>
  <c r="C189" i="1"/>
  <c r="G36" i="1"/>
  <c r="F72" i="1"/>
  <c r="G9" i="1"/>
  <c r="R62" i="1"/>
  <c r="P63" i="1"/>
  <c r="Q110" i="1"/>
  <c r="G93" i="1"/>
  <c r="Q93" i="1"/>
  <c r="N51" i="1"/>
  <c r="Z51" i="1" s="1"/>
  <c r="T108" i="1"/>
  <c r="S110" i="1"/>
  <c r="D177" i="1"/>
  <c r="R176" i="1"/>
  <c r="F127" i="1"/>
  <c r="T153" i="1"/>
  <c r="J192" i="1"/>
  <c r="U91" i="1"/>
  <c r="L151" i="1"/>
  <c r="W151" i="1" s="1"/>
  <c r="K128" i="1"/>
  <c r="N104" i="1"/>
  <c r="Z104" i="1" s="1"/>
  <c r="P196" i="1"/>
  <c r="U164" i="1"/>
  <c r="D117" i="1"/>
  <c r="V97" i="1"/>
  <c r="N172" i="1"/>
  <c r="Z172" i="1" s="1"/>
  <c r="L146" i="1"/>
  <c r="W146" i="1" s="1"/>
  <c r="E153" i="1"/>
  <c r="J176" i="1"/>
  <c r="O176" i="1"/>
  <c r="R177" i="1"/>
  <c r="B189" i="1"/>
  <c r="D141" i="1"/>
  <c r="E143" i="1"/>
  <c r="G115" i="1"/>
  <c r="M167" i="1"/>
  <c r="Q67" i="1"/>
  <c r="H198" i="1"/>
  <c r="V48" i="1"/>
  <c r="L35" i="1"/>
  <c r="W35" i="1" s="1"/>
  <c r="I11" i="1"/>
  <c r="I125" i="1"/>
  <c r="N114" i="1"/>
  <c r="Z114" i="1" s="1"/>
  <c r="B131" i="1"/>
  <c r="M83" i="1"/>
  <c r="G55" i="1"/>
  <c r="G133" i="1"/>
  <c r="G122" i="1"/>
  <c r="E124" i="1"/>
  <c r="P92" i="1"/>
  <c r="F147" i="1"/>
  <c r="G123" i="1"/>
  <c r="E108" i="1"/>
  <c r="J152" i="1"/>
  <c r="O153" i="1"/>
  <c r="S146" i="1"/>
  <c r="O140" i="1"/>
  <c r="D74" i="1"/>
  <c r="L102" i="1"/>
  <c r="W102" i="1" s="1"/>
  <c r="J114" i="1"/>
  <c r="C176" i="1"/>
  <c r="T78" i="1"/>
  <c r="D68" i="1"/>
  <c r="C79" i="1"/>
  <c r="C152" i="1"/>
  <c r="U50" i="1"/>
  <c r="O86" i="1"/>
  <c r="I20" i="1"/>
  <c r="B110" i="1"/>
  <c r="U178" i="1"/>
  <c r="V123" i="1"/>
  <c r="R138" i="1"/>
  <c r="B210" i="1"/>
  <c r="S109" i="1"/>
  <c r="I87" i="1"/>
  <c r="E72" i="1"/>
  <c r="N86" i="1"/>
  <c r="Z86" i="1" s="1"/>
  <c r="E172" i="1"/>
  <c r="R156" i="1"/>
  <c r="K198" i="1"/>
  <c r="I167" i="1"/>
  <c r="I158" i="1"/>
  <c r="J81" i="1"/>
  <c r="L202" i="1"/>
  <c r="W202" i="1" s="1"/>
  <c r="U155" i="1"/>
  <c r="K87" i="1"/>
  <c r="R200" i="1"/>
  <c r="V146" i="1"/>
  <c r="V40" i="1"/>
  <c r="L10" i="1"/>
  <c r="W10" i="1" s="1"/>
  <c r="B43" i="1"/>
  <c r="B62" i="1"/>
  <c r="S57" i="1"/>
  <c r="Q72" i="1"/>
  <c r="C131" i="1"/>
  <c r="C132" i="1"/>
  <c r="M41" i="1"/>
  <c r="L29" i="1"/>
  <c r="W29" i="1" s="1"/>
  <c r="T185" i="1"/>
  <c r="S206" i="1"/>
  <c r="R131" i="1"/>
  <c r="K120" i="1"/>
  <c r="K135" i="1"/>
  <c r="G130" i="1"/>
  <c r="I92" i="1"/>
  <c r="L179" i="1"/>
  <c r="W179" i="1" s="1"/>
  <c r="J115" i="1"/>
  <c r="C114" i="1"/>
  <c r="P65" i="1"/>
  <c r="J76" i="1"/>
  <c r="G148" i="1"/>
  <c r="F141" i="1"/>
  <c r="Q100" i="1"/>
  <c r="I194" i="1"/>
  <c r="F74" i="1"/>
  <c r="H67" i="1"/>
  <c r="N161" i="1"/>
  <c r="Z161" i="1" s="1"/>
  <c r="P126" i="1"/>
  <c r="C173" i="1"/>
  <c r="E190" i="1"/>
  <c r="R160" i="1"/>
  <c r="P185" i="1"/>
  <c r="I170" i="1"/>
  <c r="P176" i="1"/>
  <c r="S204" i="1"/>
  <c r="F198" i="1"/>
  <c r="F209" i="1"/>
  <c r="N50" i="1"/>
  <c r="Z50" i="1" s="1"/>
  <c r="C67" i="1"/>
  <c r="D35" i="1"/>
  <c r="F11" i="1"/>
  <c r="R76" i="1"/>
  <c r="D113" i="1"/>
  <c r="G120" i="1"/>
  <c r="F130" i="1"/>
  <c r="O96" i="1"/>
  <c r="N53" i="1"/>
  <c r="Z53" i="1" s="1"/>
  <c r="F108" i="1"/>
  <c r="M121" i="1"/>
  <c r="Q101" i="1"/>
  <c r="L86" i="1"/>
  <c r="W86" i="1" s="1"/>
  <c r="I176" i="1"/>
  <c r="V168" i="1"/>
  <c r="E59" i="1"/>
  <c r="M214" i="1"/>
  <c r="C178" i="1"/>
  <c r="B148" i="1"/>
  <c r="I94" i="1"/>
  <c r="H111" i="1"/>
  <c r="H86" i="1"/>
  <c r="H193" i="1"/>
  <c r="H116" i="1"/>
  <c r="T182" i="1"/>
  <c r="T91" i="1"/>
  <c r="B119" i="1"/>
  <c r="M145" i="1"/>
  <c r="Q122" i="1"/>
  <c r="R94" i="1"/>
  <c r="F161" i="1"/>
  <c r="R140" i="1"/>
  <c r="G194" i="1"/>
  <c r="J123" i="1"/>
  <c r="L193" i="1"/>
  <c r="W193" i="1" s="1"/>
  <c r="R190" i="1"/>
  <c r="I73" i="1"/>
  <c r="R133" i="1"/>
  <c r="G168" i="1"/>
  <c r="M139" i="1"/>
  <c r="H161" i="1"/>
  <c r="F99" i="1"/>
  <c r="S156" i="1"/>
  <c r="P94" i="1"/>
  <c r="K185" i="1"/>
  <c r="D171" i="1"/>
  <c r="F67" i="1"/>
  <c r="H91" i="1"/>
  <c r="G30" i="1"/>
  <c r="P57" i="1"/>
  <c r="F117" i="1"/>
  <c r="V28" i="1"/>
  <c r="Q104" i="1"/>
  <c r="B73" i="1"/>
  <c r="G71" i="1"/>
  <c r="T94" i="1"/>
  <c r="Q192" i="1"/>
  <c r="U152" i="1"/>
  <c r="E110" i="1"/>
  <c r="O162" i="1"/>
  <c r="R157" i="1"/>
  <c r="C84" i="1"/>
  <c r="B111" i="1"/>
  <c r="I196" i="1"/>
  <c r="R127" i="1"/>
  <c r="B168" i="1"/>
  <c r="F140" i="1"/>
  <c r="J134" i="1"/>
  <c r="B142" i="1"/>
  <c r="K123" i="1"/>
  <c r="P88" i="1"/>
  <c r="T170" i="1"/>
  <c r="H128" i="1"/>
  <c r="U172" i="1"/>
  <c r="R124" i="1"/>
  <c r="N205" i="1"/>
  <c r="Z205" i="1" s="1"/>
  <c r="N149" i="1"/>
  <c r="Z149" i="1" s="1"/>
  <c r="C191" i="1"/>
  <c r="M184" i="1"/>
  <c r="U211" i="1"/>
  <c r="V172" i="1"/>
  <c r="H180" i="1"/>
  <c r="S157" i="1"/>
  <c r="I189" i="1"/>
  <c r="K152" i="1"/>
  <c r="I30" i="1"/>
  <c r="R79" i="1"/>
  <c r="Q36" i="1"/>
  <c r="J112" i="1"/>
  <c r="V138" i="1"/>
  <c r="Q71" i="1"/>
  <c r="N64" i="1"/>
  <c r="Z64" i="1" s="1"/>
  <c r="K102" i="1"/>
  <c r="N140" i="1"/>
  <c r="Z140" i="1" s="1"/>
  <c r="H106" i="1"/>
  <c r="I103" i="1"/>
  <c r="J80" i="1"/>
  <c r="M128" i="1"/>
  <c r="O113" i="1"/>
  <c r="L79" i="1"/>
  <c r="W79" i="1" s="1"/>
  <c r="T101" i="1"/>
  <c r="B94" i="1"/>
  <c r="O116" i="1"/>
  <c r="K125" i="1"/>
  <c r="N88" i="1"/>
  <c r="Z88" i="1" s="1"/>
  <c r="P14" i="1"/>
  <c r="V29" i="1"/>
  <c r="V131" i="1"/>
  <c r="J93" i="1"/>
  <c r="F172" i="1"/>
  <c r="V174" i="1"/>
  <c r="H133" i="1"/>
  <c r="F92" i="1"/>
  <c r="I156" i="1"/>
  <c r="H189" i="1"/>
  <c r="K142" i="1"/>
  <c r="Q121" i="1"/>
  <c r="D84" i="1"/>
  <c r="P175" i="1"/>
  <c r="K84" i="1"/>
  <c r="Q70" i="1"/>
  <c r="U142" i="1"/>
  <c r="F112" i="1"/>
  <c r="E144" i="1"/>
  <c r="J172" i="1"/>
  <c r="E160" i="1"/>
  <c r="J202" i="1"/>
  <c r="C180" i="1"/>
  <c r="B124" i="1"/>
  <c r="F146" i="1"/>
  <c r="H165" i="1"/>
  <c r="B72" i="1"/>
  <c r="S80" i="1"/>
  <c r="U20" i="1"/>
  <c r="H55" i="1"/>
  <c r="G85" i="1"/>
  <c r="L87" i="1"/>
  <c r="W87" i="1" s="1"/>
  <c r="T95" i="1"/>
  <c r="S105" i="1"/>
  <c r="K65" i="1"/>
  <c r="L9" i="1"/>
  <c r="V95" i="1"/>
  <c r="K101" i="1"/>
  <c r="L211" i="1"/>
  <c r="W211" i="1" s="1"/>
  <c r="G111" i="1"/>
  <c r="C136" i="1"/>
  <c r="H94" i="1"/>
  <c r="P100" i="1"/>
  <c r="J130" i="1"/>
  <c r="S115" i="1"/>
  <c r="T126" i="1"/>
  <c r="C162" i="1"/>
  <c r="G135" i="1"/>
  <c r="C122" i="1"/>
  <c r="U166" i="1"/>
  <c r="N118" i="1"/>
  <c r="Z118" i="1" s="1"/>
  <c r="I116" i="1"/>
  <c r="H176" i="1"/>
  <c r="H121" i="1"/>
  <c r="I154" i="1"/>
  <c r="H204" i="1"/>
  <c r="F64" i="1"/>
  <c r="P214" i="1"/>
  <c r="T207" i="1"/>
  <c r="O189" i="1"/>
  <c r="E197" i="1"/>
  <c r="F163" i="1"/>
  <c r="F181" i="1"/>
  <c r="Q158" i="1"/>
  <c r="J167" i="1"/>
  <c r="I153" i="1"/>
  <c r="P45" i="1"/>
  <c r="T27" i="1"/>
  <c r="C63" i="1"/>
  <c r="C102" i="1"/>
  <c r="P99" i="1"/>
  <c r="O103" i="1"/>
  <c r="O125" i="1"/>
  <c r="U98" i="1"/>
  <c r="H117" i="1"/>
  <c r="V69" i="1"/>
  <c r="T98" i="1"/>
  <c r="U61" i="1"/>
  <c r="L191" i="1"/>
  <c r="W191" i="1" s="1"/>
  <c r="K133" i="1"/>
  <c r="F184" i="1"/>
  <c r="M56" i="1"/>
  <c r="D134" i="1"/>
  <c r="F164" i="1"/>
  <c r="F152" i="1"/>
  <c r="L159" i="1"/>
  <c r="W159" i="1" s="1"/>
  <c r="M102" i="1"/>
  <c r="E194" i="1"/>
  <c r="I180" i="1"/>
  <c r="R104" i="1"/>
  <c r="N91" i="1"/>
  <c r="Z91" i="1" s="1"/>
  <c r="H83" i="1"/>
  <c r="D88" i="1"/>
  <c r="Q135" i="1"/>
  <c r="U214" i="1"/>
  <c r="J122" i="1"/>
  <c r="F180" i="1"/>
  <c r="T99" i="1"/>
  <c r="H72" i="1"/>
  <c r="N176" i="1"/>
  <c r="Z176" i="1" s="1"/>
  <c r="O121" i="1"/>
  <c r="J65" i="1"/>
  <c r="V162" i="1"/>
  <c r="D172" i="1"/>
  <c r="O195" i="1"/>
  <c r="R165" i="1"/>
  <c r="B166" i="1"/>
  <c r="R205" i="1"/>
  <c r="Q149" i="1"/>
  <c r="H140" i="1"/>
  <c r="B153" i="1"/>
  <c r="G174" i="1"/>
  <c r="J55" i="1"/>
  <c r="E41" i="1"/>
  <c r="I45" i="1"/>
  <c r="G67" i="1"/>
  <c r="P71" i="1"/>
  <c r="P90" i="1"/>
  <c r="M72" i="1"/>
  <c r="F61" i="1"/>
  <c r="G117" i="1"/>
  <c r="P70" i="1"/>
  <c r="M108" i="1"/>
  <c r="N80" i="1"/>
  <c r="Z80" i="1" s="1"/>
  <c r="F167" i="1"/>
  <c r="J106" i="1"/>
  <c r="V75" i="1"/>
  <c r="U199" i="1"/>
  <c r="N156" i="1"/>
  <c r="Z156" i="1" s="1"/>
  <c r="V96" i="1"/>
  <c r="S10" i="1"/>
  <c r="I144" i="1"/>
  <c r="G181" i="1"/>
  <c r="V111" i="1"/>
  <c r="S120" i="1"/>
  <c r="S167" i="1"/>
  <c r="D150" i="1"/>
  <c r="C93" i="1"/>
  <c r="P172" i="1"/>
  <c r="I101" i="1"/>
  <c r="Q108" i="1"/>
  <c r="G180" i="1"/>
  <c r="M131" i="1"/>
  <c r="Q191" i="1"/>
  <c r="K158" i="1"/>
  <c r="S127" i="1"/>
  <c r="C209" i="1"/>
  <c r="J190" i="1"/>
  <c r="F131" i="1"/>
  <c r="P59" i="1"/>
  <c r="H160" i="1"/>
  <c r="P209" i="1"/>
  <c r="V36" i="1"/>
  <c r="F47" i="1"/>
  <c r="Q46" i="1"/>
  <c r="V27" i="1"/>
  <c r="H112" i="1"/>
  <c r="P101" i="1"/>
  <c r="E102" i="1"/>
  <c r="N75" i="1"/>
  <c r="Z75" i="1" s="1"/>
  <c r="D54" i="1"/>
  <c r="G119" i="1"/>
  <c r="V118" i="1"/>
  <c r="L26" i="1"/>
  <c r="W26" i="1" s="1"/>
  <c r="G87" i="1"/>
  <c r="M94" i="1"/>
  <c r="P163" i="1"/>
  <c r="J82" i="1"/>
  <c r="T97" i="1"/>
  <c r="F132" i="1"/>
  <c r="L126" i="1"/>
  <c r="W126" i="1" s="1"/>
  <c r="L164" i="1"/>
  <c r="W164" i="1" s="1"/>
  <c r="L80" i="1"/>
  <c r="W80" i="1" s="1"/>
  <c r="T86" i="1"/>
  <c r="L206" i="1"/>
  <c r="W206" i="1" s="1"/>
  <c r="T105" i="1"/>
  <c r="S187" i="1"/>
  <c r="H153" i="1"/>
  <c r="B195" i="1"/>
  <c r="G167" i="1"/>
  <c r="E158" i="1"/>
  <c r="H178" i="1"/>
  <c r="L189" i="1"/>
  <c r="W189" i="1" s="1"/>
  <c r="R80" i="1"/>
  <c r="C141" i="1"/>
  <c r="M208" i="1"/>
  <c r="M177" i="1"/>
  <c r="M148" i="1"/>
  <c r="M117" i="1"/>
  <c r="Q137" i="1"/>
  <c r="I179" i="1"/>
  <c r="P166" i="1"/>
  <c r="N120" i="1"/>
  <c r="Z120" i="1" s="1"/>
  <c r="B212" i="1"/>
  <c r="L157" i="1"/>
  <c r="W157" i="1" s="1"/>
  <c r="C206" i="1"/>
  <c r="D173" i="1"/>
  <c r="E96" i="1"/>
  <c r="F45" i="1"/>
  <c r="J60" i="1"/>
  <c r="U56" i="1"/>
  <c r="K68" i="1"/>
  <c r="N100" i="1"/>
  <c r="Z100" i="1" s="1"/>
  <c r="Q88" i="1"/>
  <c r="G101" i="1"/>
  <c r="N59" i="1"/>
  <c r="Z59" i="1" s="1"/>
  <c r="I47" i="1"/>
  <c r="I107" i="1"/>
  <c r="I109" i="1"/>
  <c r="C117" i="1"/>
  <c r="N171" i="1"/>
  <c r="Z171" i="1" s="1"/>
  <c r="H162" i="1"/>
  <c r="N131" i="1"/>
  <c r="Z131" i="1" s="1"/>
  <c r="K176" i="1"/>
  <c r="P140" i="1"/>
  <c r="T175" i="1"/>
  <c r="V92" i="1"/>
  <c r="R117" i="1"/>
  <c r="L133" i="1"/>
  <c r="W133" i="1" s="1"/>
  <c r="L131" i="1"/>
  <c r="W131" i="1" s="1"/>
  <c r="J187" i="1"/>
  <c r="P198" i="1"/>
  <c r="F134" i="1"/>
  <c r="Q111" i="1"/>
  <c r="C64" i="1"/>
  <c r="T122" i="1"/>
  <c r="N107" i="1"/>
  <c r="Z107" i="1" s="1"/>
  <c r="E181" i="1"/>
  <c r="I200" i="1"/>
  <c r="O192" i="1"/>
  <c r="S73" i="1"/>
  <c r="P129" i="1"/>
  <c r="G189" i="1"/>
  <c r="C138" i="1"/>
  <c r="V53" i="1"/>
  <c r="E109" i="1"/>
  <c r="V83" i="1"/>
  <c r="L195" i="1"/>
  <c r="W195" i="1" s="1"/>
  <c r="K124" i="1"/>
  <c r="N35" i="1"/>
  <c r="Z35" i="1" s="1"/>
  <c r="V37" i="1"/>
  <c r="S139" i="1"/>
  <c r="T81" i="1"/>
  <c r="R43" i="1"/>
  <c r="M140" i="1"/>
  <c r="H104" i="1"/>
  <c r="R28" i="1"/>
  <c r="I120" i="1"/>
  <c r="G65" i="1"/>
  <c r="P134" i="1"/>
  <c r="U107" i="1"/>
  <c r="N158" i="1"/>
  <c r="Z158" i="1" s="1"/>
  <c r="Q52" i="1"/>
  <c r="L161" i="1"/>
  <c r="W161" i="1" s="1"/>
  <c r="O94" i="1"/>
  <c r="U126" i="1"/>
  <c r="K210" i="1"/>
  <c r="R113" i="1"/>
  <c r="O100" i="1"/>
  <c r="C87" i="1"/>
  <c r="J125" i="1"/>
  <c r="R70" i="1"/>
  <c r="T211" i="1"/>
  <c r="D128" i="1"/>
  <c r="P89" i="1"/>
  <c r="I97" i="1"/>
  <c r="P97" i="1"/>
  <c r="E198" i="1"/>
  <c r="C99" i="1"/>
  <c r="V91" i="1"/>
  <c r="V169" i="1"/>
  <c r="U96" i="1"/>
  <c r="P194" i="1"/>
  <c r="K178" i="1"/>
  <c r="N179" i="1"/>
  <c r="Z179" i="1" s="1"/>
  <c r="P148" i="1"/>
  <c r="R142" i="1"/>
  <c r="S178" i="1"/>
  <c r="O95" i="1"/>
  <c r="P144" i="1"/>
  <c r="C157" i="1"/>
  <c r="H207" i="1"/>
  <c r="T191" i="1"/>
  <c r="I22" i="1"/>
  <c r="G45" i="1"/>
  <c r="K72" i="1"/>
  <c r="O93" i="1"/>
  <c r="M13" i="1"/>
  <c r="V66" i="1"/>
  <c r="M58" i="1"/>
  <c r="L41" i="1"/>
  <c r="W41" i="1" s="1"/>
  <c r="F116" i="1"/>
  <c r="G108" i="1"/>
  <c r="B78" i="1"/>
  <c r="O110" i="1"/>
  <c r="M205" i="1"/>
  <c r="C106" i="1"/>
  <c r="L115" i="1"/>
  <c r="W115" i="1" s="1"/>
  <c r="F81" i="1"/>
  <c r="F85" i="1"/>
  <c r="P86" i="1"/>
  <c r="L112" i="1"/>
  <c r="W112" i="1" s="1"/>
  <c r="V159" i="1"/>
  <c r="Q180" i="1"/>
  <c r="H149" i="1"/>
  <c r="K98" i="1"/>
  <c r="N185" i="1"/>
  <c r="Z185" i="1" s="1"/>
  <c r="Q165" i="1"/>
  <c r="G143" i="1"/>
  <c r="U132" i="1"/>
  <c r="P135" i="1"/>
  <c r="S185" i="1"/>
  <c r="S163" i="1"/>
  <c r="V176" i="1"/>
  <c r="T195" i="1"/>
  <c r="L117" i="1"/>
  <c r="W117" i="1" s="1"/>
  <c r="O142" i="1"/>
  <c r="Q96" i="1"/>
  <c r="O206" i="1"/>
  <c r="J49" i="1"/>
  <c r="J177" i="1"/>
  <c r="J98" i="1"/>
  <c r="U14" i="1"/>
  <c r="L60" i="1"/>
  <c r="W60" i="1" s="1"/>
  <c r="G23" i="1"/>
  <c r="E62" i="1"/>
  <c r="D105" i="1"/>
  <c r="R16" i="1"/>
  <c r="T69" i="1"/>
  <c r="F114" i="1"/>
  <c r="F105" i="1"/>
  <c r="N42" i="1"/>
  <c r="Z42" i="1" s="1"/>
  <c r="E40" i="1"/>
  <c r="L124" i="1"/>
  <c r="W124" i="1" s="1"/>
  <c r="N147" i="1"/>
  <c r="Z147" i="1" s="1"/>
  <c r="S186" i="1"/>
  <c r="N115" i="1"/>
  <c r="Z115" i="1" s="1"/>
  <c r="B40" i="1"/>
  <c r="L182" i="1"/>
  <c r="W182" i="1" s="1"/>
  <c r="M154" i="1"/>
  <c r="P182" i="1"/>
  <c r="R173" i="1"/>
  <c r="E138" i="1"/>
  <c r="G178" i="1"/>
  <c r="O174" i="1"/>
  <c r="N167" i="1"/>
  <c r="Z167" i="1" s="1"/>
  <c r="P132" i="1"/>
  <c r="D155" i="1"/>
  <c r="B184" i="1"/>
  <c r="C90" i="1"/>
  <c r="T110" i="1"/>
  <c r="J104" i="1"/>
  <c r="M142" i="1"/>
  <c r="F94" i="1"/>
  <c r="J133" i="1"/>
  <c r="E202" i="1"/>
  <c r="M112" i="1"/>
  <c r="N195" i="1"/>
  <c r="Z195" i="1" s="1"/>
  <c r="O212" i="1"/>
  <c r="R213" i="1"/>
  <c r="U189" i="1"/>
  <c r="C86" i="1"/>
  <c r="Q204" i="1"/>
  <c r="U110" i="1"/>
  <c r="U117" i="1"/>
  <c r="B156" i="1"/>
  <c r="I89" i="1"/>
  <c r="R192" i="1"/>
  <c r="T17" i="1"/>
  <c r="P69" i="1"/>
  <c r="M24" i="1"/>
  <c r="D111" i="1"/>
  <c r="U87" i="1"/>
  <c r="H43" i="1"/>
  <c r="E116" i="1"/>
  <c r="G61" i="1"/>
  <c r="U92" i="1"/>
  <c r="B76" i="1"/>
  <c r="B81" i="1"/>
  <c r="N127" i="1"/>
  <c r="Z127" i="1" s="1"/>
  <c r="B149" i="1"/>
  <c r="U137" i="1"/>
  <c r="P157" i="1"/>
  <c r="K91" i="1"/>
  <c r="B70" i="1"/>
  <c r="P177" i="1"/>
  <c r="B144" i="1"/>
  <c r="J95" i="1"/>
  <c r="U206" i="1"/>
  <c r="F77" i="1"/>
  <c r="O119" i="1"/>
  <c r="Q53" i="1"/>
  <c r="L109" i="1"/>
  <c r="W109" i="1" s="1"/>
  <c r="P102" i="1"/>
  <c r="O109" i="1"/>
  <c r="T177" i="1"/>
  <c r="Q175" i="1"/>
  <c r="U160" i="1"/>
  <c r="H155" i="1"/>
  <c r="R196" i="1"/>
  <c r="C145" i="1"/>
  <c r="T183" i="1"/>
  <c r="U180" i="1"/>
  <c r="O161" i="1"/>
  <c r="T189" i="1"/>
  <c r="G156" i="1"/>
  <c r="D191" i="1"/>
  <c r="C41" i="1"/>
  <c r="O58" i="1"/>
  <c r="F41" i="1"/>
  <c r="E64" i="1"/>
  <c r="K77" i="1"/>
  <c r="L69" i="1"/>
  <c r="W69" i="1" s="1"/>
  <c r="U62" i="1"/>
  <c r="Q90" i="1"/>
  <c r="G103" i="1"/>
  <c r="D87" i="1"/>
  <c r="J107" i="1"/>
  <c r="Q125" i="1"/>
  <c r="I119" i="1"/>
  <c r="R168" i="1"/>
  <c r="N83" i="1"/>
  <c r="Z83" i="1" s="1"/>
  <c r="M132" i="1"/>
  <c r="C82" i="1"/>
  <c r="Q83" i="1"/>
  <c r="R197" i="1"/>
  <c r="B77" i="1"/>
  <c r="R93" i="1"/>
  <c r="P113" i="1"/>
  <c r="S208" i="1"/>
  <c r="B141" i="1"/>
  <c r="N188" i="1"/>
  <c r="Z188" i="1" s="1"/>
  <c r="V171" i="1"/>
  <c r="J103" i="1"/>
  <c r="I121" i="1"/>
  <c r="E77" i="1"/>
  <c r="B163" i="1"/>
  <c r="K143" i="1"/>
  <c r="D201" i="1"/>
  <c r="N175" i="1"/>
  <c r="Z175" i="1" s="1"/>
  <c r="H148" i="1"/>
  <c r="Q98" i="1"/>
  <c r="F89" i="1"/>
  <c r="T155" i="1"/>
  <c r="F214" i="1"/>
  <c r="V88" i="1"/>
  <c r="O89" i="1"/>
  <c r="V182" i="1"/>
  <c r="Q166" i="1"/>
  <c r="P202" i="1"/>
  <c r="I212" i="1"/>
  <c r="B143" i="1"/>
  <c r="P193" i="1"/>
  <c r="P36" i="1"/>
  <c r="P23" i="1"/>
  <c r="C85" i="1"/>
  <c r="B107" i="1"/>
  <c r="L64" i="1"/>
  <c r="W64" i="1" s="1"/>
  <c r="E94" i="1"/>
  <c r="S89" i="1"/>
  <c r="O11" i="1"/>
  <c r="L105" i="1"/>
  <c r="W105" i="1" s="1"/>
  <c r="H120" i="1"/>
  <c r="S65" i="1"/>
  <c r="U104" i="1"/>
  <c r="G190" i="1"/>
  <c r="J171" i="1"/>
  <c r="L163" i="1"/>
  <c r="W163" i="1" s="1"/>
  <c r="E129" i="1"/>
  <c r="U156" i="1"/>
  <c r="K203" i="1"/>
  <c r="R87" i="1"/>
  <c r="B68" i="1"/>
  <c r="M182" i="1"/>
  <c r="H126" i="1"/>
  <c r="S166" i="1"/>
  <c r="U97" i="1"/>
  <c r="V156" i="1"/>
  <c r="L200" i="1"/>
  <c r="W200" i="1" s="1"/>
  <c r="D86" i="1"/>
  <c r="M104" i="1"/>
  <c r="H168" i="1"/>
  <c r="O200" i="1"/>
  <c r="H206" i="1"/>
  <c r="U203" i="1"/>
  <c r="Q182" i="1"/>
  <c r="V164" i="1"/>
  <c r="T85" i="1"/>
  <c r="E125" i="1"/>
  <c r="J180" i="1"/>
  <c r="K76" i="1"/>
  <c r="Q194" i="1"/>
  <c r="L43" i="1"/>
  <c r="W43" i="1" s="1"/>
  <c r="O40" i="1"/>
  <c r="V78" i="1"/>
  <c r="G73" i="1"/>
  <c r="C110" i="1"/>
  <c r="C115" i="1"/>
  <c r="E24" i="1"/>
  <c r="D129" i="1"/>
  <c r="R20" i="1"/>
  <c r="Q131" i="1"/>
  <c r="D107" i="1"/>
  <c r="L150" i="1"/>
  <c r="W150" i="1" s="1"/>
  <c r="J108" i="1"/>
  <c r="O135" i="1"/>
  <c r="Q95" i="1"/>
  <c r="R108" i="1"/>
  <c r="I100" i="1"/>
  <c r="N138" i="1"/>
  <c r="Z138" i="1" s="1"/>
  <c r="C183" i="1"/>
  <c r="D116" i="1"/>
  <c r="Q214" i="1"/>
  <c r="G151" i="1"/>
  <c r="Q200" i="1"/>
  <c r="J189" i="1"/>
  <c r="C159" i="1"/>
  <c r="F128" i="1"/>
  <c r="I207" i="1"/>
  <c r="T179" i="1"/>
  <c r="L204" i="1"/>
  <c r="W204" i="1" s="1"/>
  <c r="T202" i="1"/>
  <c r="F178" i="1"/>
  <c r="B214" i="1"/>
  <c r="Q199" i="1"/>
  <c r="J214" i="1"/>
  <c r="G153" i="1"/>
  <c r="M67" i="1"/>
  <c r="Q136" i="1"/>
  <c r="J168" i="1"/>
  <c r="O124" i="1"/>
  <c r="C120" i="1"/>
  <c r="L188" i="1"/>
  <c r="W188" i="1" s="1"/>
  <c r="T181" i="1"/>
  <c r="L167" i="1"/>
  <c r="W167" i="1" s="1"/>
  <c r="J186" i="1"/>
  <c r="D188" i="1"/>
  <c r="R180" i="1"/>
  <c r="B208" i="1"/>
  <c r="U93" i="1"/>
  <c r="C186" i="1"/>
  <c r="M171" i="1"/>
  <c r="K209" i="1"/>
  <c r="D207" i="1"/>
  <c r="K83" i="1"/>
  <c r="P68" i="1"/>
  <c r="L160" i="1"/>
  <c r="W160" i="1" s="1"/>
  <c r="D145" i="1"/>
  <c r="G145" i="1"/>
  <c r="I135" i="1"/>
  <c r="R175" i="1"/>
  <c r="M141" i="1"/>
  <c r="H169" i="1"/>
  <c r="H187" i="1"/>
  <c r="L143" i="1"/>
  <c r="W143" i="1" s="1"/>
  <c r="C193" i="1"/>
  <c r="C179" i="1"/>
  <c r="J143" i="1"/>
  <c r="I137" i="1"/>
  <c r="Q183" i="1"/>
  <c r="P210" i="1"/>
  <c r="P199" i="1"/>
  <c r="S145" i="1"/>
  <c r="L137" i="1"/>
  <c r="W137" i="1" s="1"/>
  <c r="K206" i="1"/>
  <c r="Q168" i="1"/>
  <c r="H191" i="1"/>
  <c r="M124" i="1"/>
  <c r="V209" i="1"/>
  <c r="N187" i="1"/>
  <c r="Z187" i="1" s="1"/>
  <c r="M188" i="1"/>
  <c r="K170" i="1"/>
  <c r="N173" i="1"/>
  <c r="Z173" i="1" s="1"/>
  <c r="H102" i="1"/>
  <c r="G142" i="1"/>
  <c r="H208" i="1"/>
  <c r="Q129" i="1"/>
  <c r="M209" i="1"/>
  <c r="K212" i="1"/>
  <c r="G213" i="1"/>
  <c r="M197" i="1"/>
  <c r="S126" i="1"/>
  <c r="T187" i="1"/>
  <c r="N121" i="1"/>
  <c r="Z121" i="1" s="1"/>
  <c r="B75" i="1"/>
  <c r="O186" i="1"/>
  <c r="G201" i="1"/>
  <c r="B155" i="1"/>
  <c r="C119" i="1"/>
  <c r="E183" i="1"/>
  <c r="I191" i="1"/>
  <c r="V201" i="1"/>
  <c r="J198" i="1"/>
  <c r="T147" i="1"/>
  <c r="V210" i="1"/>
  <c r="Q145" i="1"/>
  <c r="D196" i="1"/>
  <c r="G160" i="1"/>
  <c r="M190" i="1"/>
  <c r="G32" i="1"/>
  <c r="K160" i="1"/>
  <c r="I117" i="1"/>
  <c r="F192" i="1"/>
  <c r="B136" i="1"/>
  <c r="M155" i="1"/>
  <c r="B186" i="1"/>
  <c r="Q75" i="1"/>
  <c r="J174" i="1"/>
  <c r="N128" i="1"/>
  <c r="Z128" i="1" s="1"/>
  <c r="D205" i="1"/>
  <c r="Q190" i="1"/>
  <c r="F197" i="1"/>
  <c r="F204" i="1"/>
  <c r="L149" i="1"/>
  <c r="W149" i="1" s="1"/>
  <c r="H173" i="1"/>
  <c r="S202" i="1"/>
  <c r="U133" i="1"/>
  <c r="R69" i="1"/>
  <c r="B108" i="1"/>
  <c r="S101" i="1"/>
  <c r="P117" i="1"/>
  <c r="O179" i="1"/>
  <c r="D175" i="1"/>
  <c r="P145" i="1"/>
  <c r="U148" i="1"/>
  <c r="C214" i="1"/>
  <c r="N209" i="1"/>
  <c r="Z209" i="1" s="1"/>
  <c r="S209" i="1"/>
  <c r="D162" i="1"/>
  <c r="K181" i="1"/>
  <c r="L175" i="1"/>
  <c r="W175" i="1" s="1"/>
  <c r="Q205" i="1"/>
  <c r="P192" i="1"/>
  <c r="L155" i="1"/>
  <c r="W155" i="1" s="1"/>
  <c r="C124" i="1"/>
  <c r="I105" i="1"/>
  <c r="R203" i="1"/>
  <c r="T200" i="1"/>
  <c r="J208" i="1"/>
  <c r="U151" i="1"/>
  <c r="M152" i="1"/>
  <c r="T23" i="1"/>
  <c r="C212" i="1"/>
  <c r="R208" i="1"/>
  <c r="B165" i="1"/>
  <c r="F194" i="1"/>
  <c r="G203" i="1"/>
  <c r="S176" i="1"/>
  <c r="F170" i="1"/>
  <c r="N163" i="1"/>
  <c r="Z163" i="1" s="1"/>
  <c r="P173" i="1"/>
  <c r="T203" i="1"/>
  <c r="D189" i="1"/>
  <c r="O107" i="1"/>
  <c r="D108" i="1"/>
  <c r="K90" i="1"/>
  <c r="E148" i="1"/>
  <c r="P112" i="1"/>
  <c r="R191" i="1"/>
  <c r="N151" i="1"/>
  <c r="Z151" i="1" s="1"/>
  <c r="C215" i="1"/>
  <c r="P154" i="1"/>
  <c r="D211" i="1"/>
  <c r="E118" i="1"/>
  <c r="E115" i="1"/>
  <c r="O151" i="1"/>
  <c r="Q209" i="1"/>
  <c r="E154" i="1"/>
  <c r="F82" i="1"/>
  <c r="G184" i="1"/>
  <c r="V194" i="1"/>
  <c r="N141" i="1"/>
  <c r="Z141" i="1" s="1"/>
  <c r="J63" i="1"/>
  <c r="F110" i="1"/>
  <c r="H177" i="1"/>
  <c r="R130" i="1"/>
  <c r="M105" i="1"/>
  <c r="D57" i="1"/>
  <c r="P114" i="1"/>
  <c r="T129" i="1"/>
  <c r="G139" i="1"/>
  <c r="N169" i="1"/>
  <c r="Z169" i="1" s="1"/>
  <c r="G118" i="1"/>
  <c r="J90" i="1"/>
  <c r="S180" i="1"/>
  <c r="U186" i="1"/>
  <c r="S111" i="1"/>
  <c r="Q179" i="1"/>
  <c r="U182" i="1"/>
  <c r="H166" i="1"/>
  <c r="M133" i="1"/>
  <c r="U207" i="1"/>
  <c r="M149" i="1"/>
  <c r="O165" i="1"/>
  <c r="F169" i="1"/>
  <c r="S169" i="1"/>
  <c r="U136" i="1"/>
  <c r="D115" i="1"/>
  <c r="J163" i="1"/>
  <c r="M126" i="1"/>
  <c r="Q215" i="1"/>
  <c r="V110" i="1"/>
  <c r="M91" i="1"/>
  <c r="I108" i="1"/>
  <c r="U144" i="1"/>
  <c r="U162" i="1"/>
  <c r="N142" i="1"/>
  <c r="Z142" i="1" s="1"/>
  <c r="Q147" i="1"/>
  <c r="H137" i="1"/>
  <c r="U183" i="1"/>
  <c r="E173" i="1"/>
  <c r="B183" i="1"/>
  <c r="S177" i="1"/>
  <c r="I159" i="1"/>
  <c r="I66" i="1"/>
  <c r="D80" i="1"/>
  <c r="V180" i="1"/>
  <c r="D146" i="1"/>
  <c r="L107" i="1"/>
  <c r="W107" i="1" s="1"/>
  <c r="H146" i="1"/>
  <c r="K147" i="1"/>
  <c r="E177" i="1"/>
  <c r="Q146" i="1"/>
  <c r="P187" i="1"/>
  <c r="O208" i="1"/>
  <c r="F150" i="1"/>
  <c r="O126" i="1"/>
  <c r="H188" i="1"/>
  <c r="E211" i="1"/>
  <c r="O184" i="1"/>
  <c r="O173" i="1"/>
  <c r="E208" i="1"/>
  <c r="I171" i="1"/>
  <c r="O69" i="1"/>
  <c r="J129" i="1"/>
  <c r="K107" i="1"/>
  <c r="E83" i="1"/>
  <c r="Q178" i="1"/>
  <c r="S149" i="1"/>
  <c r="O130" i="1"/>
  <c r="J200" i="1"/>
  <c r="G204" i="1"/>
  <c r="H214" i="1"/>
  <c r="J73" i="1"/>
  <c r="P204" i="1"/>
  <c r="F189" i="1"/>
  <c r="V198" i="1"/>
  <c r="R209" i="1"/>
  <c r="F157" i="1"/>
  <c r="G91" i="1"/>
  <c r="E81" i="1"/>
  <c r="H101" i="1"/>
  <c r="L123" i="1"/>
  <c r="W123" i="1" s="1"/>
  <c r="P212" i="1"/>
  <c r="Q62" i="1"/>
  <c r="R101" i="1"/>
  <c r="F174" i="1"/>
  <c r="I164" i="1"/>
  <c r="E155" i="1"/>
  <c r="T205" i="1"/>
  <c r="T167" i="1"/>
  <c r="V178" i="1"/>
  <c r="K122" i="1"/>
  <c r="P124" i="1"/>
  <c r="T212" i="1"/>
  <c r="O196" i="1"/>
  <c r="N155" i="1"/>
  <c r="Z155" i="1" s="1"/>
  <c r="G215" i="1"/>
  <c r="F162" i="1"/>
  <c r="B128" i="1"/>
  <c r="S66" i="1"/>
  <c r="N97" i="1"/>
  <c r="Z97" i="1" s="1"/>
  <c r="B99" i="1"/>
  <c r="I95" i="1"/>
  <c r="Q150" i="1"/>
  <c r="G197" i="1"/>
  <c r="U202" i="1"/>
  <c r="H144" i="1"/>
  <c r="P197" i="1"/>
  <c r="L183" i="1"/>
  <c r="W183" i="1" s="1"/>
  <c r="D197" i="1"/>
  <c r="U215" i="1"/>
  <c r="I127" i="1"/>
  <c r="Q198" i="1"/>
  <c r="T172" i="1"/>
  <c r="F202" i="1"/>
  <c r="K191" i="1"/>
  <c r="C126" i="1"/>
  <c r="G210" i="1"/>
  <c r="R163" i="1"/>
  <c r="C94" i="1"/>
  <c r="F168" i="1"/>
  <c r="L74" i="1"/>
  <c r="W74" i="1" s="1"/>
  <c r="G107" i="1"/>
  <c r="M175" i="1"/>
  <c r="K211" i="1"/>
  <c r="V151" i="1"/>
  <c r="M178" i="1"/>
  <c r="P190" i="1"/>
  <c r="T96" i="1"/>
  <c r="P150" i="1"/>
  <c r="I172" i="1"/>
  <c r="Q196" i="1"/>
  <c r="C196" i="1"/>
  <c r="H95" i="1"/>
  <c r="J100" i="1"/>
  <c r="P168" i="1"/>
  <c r="E157" i="1"/>
  <c r="R214" i="1"/>
  <c r="O146" i="1"/>
  <c r="K204" i="1"/>
  <c r="S133" i="1"/>
  <c r="F103" i="1"/>
  <c r="M32" i="1"/>
  <c r="S162" i="1"/>
  <c r="I113" i="1"/>
  <c r="N132" i="1"/>
  <c r="Z132" i="1" s="1"/>
  <c r="T178" i="1"/>
  <c r="V202" i="1"/>
  <c r="K165" i="1"/>
  <c r="V199" i="1"/>
  <c r="R174" i="1"/>
  <c r="S173" i="1"/>
  <c r="S135" i="1"/>
  <c r="S129" i="1"/>
  <c r="G121" i="1"/>
  <c r="V124" i="1"/>
  <c r="P64" i="1"/>
  <c r="O168" i="1"/>
  <c r="E101" i="1"/>
  <c r="C175" i="1"/>
  <c r="R155" i="1"/>
  <c r="C36" i="1"/>
  <c r="F149" i="1"/>
  <c r="G209" i="1"/>
  <c r="M215" i="1"/>
  <c r="U71" i="1"/>
  <c r="Q141" i="1"/>
  <c r="C195" i="1"/>
  <c r="P186" i="1"/>
  <c r="C182" i="1"/>
  <c r="L89" i="1"/>
  <c r="W89" i="1" s="1"/>
  <c r="S64" i="1"/>
  <c r="I104" i="1"/>
  <c r="D139" i="1"/>
  <c r="R164" i="1"/>
  <c r="K150" i="1"/>
  <c r="C174" i="1"/>
  <c r="T154" i="1"/>
  <c r="U86" i="1"/>
  <c r="N170" i="1"/>
  <c r="Z170" i="1" s="1"/>
  <c r="I166" i="1"/>
  <c r="K159" i="1"/>
  <c r="S170" i="1"/>
  <c r="M157" i="1"/>
  <c r="H147" i="1"/>
  <c r="F179" i="1"/>
  <c r="L194" i="1"/>
  <c r="W194" i="1" s="1"/>
  <c r="R167" i="1"/>
  <c r="V200" i="1"/>
  <c r="N71" i="1"/>
  <c r="Z71" i="1" s="1"/>
  <c r="P128" i="1"/>
  <c r="J215" i="1"/>
  <c r="R119" i="1"/>
  <c r="D79" i="1"/>
  <c r="H197" i="1"/>
  <c r="B199" i="1"/>
  <c r="F139" i="1"/>
  <c r="D174" i="1"/>
  <c r="R186" i="1"/>
  <c r="S183" i="1"/>
  <c r="R158" i="1"/>
  <c r="I190" i="1"/>
  <c r="K202" i="1"/>
  <c r="D212" i="1"/>
  <c r="B202" i="1"/>
  <c r="D170" i="1"/>
  <c r="Q212" i="1"/>
  <c r="L83" i="1"/>
  <c r="W83" i="1" s="1"/>
  <c r="R65" i="1"/>
  <c r="Q91" i="1"/>
  <c r="E212" i="1"/>
  <c r="E89" i="1"/>
  <c r="L91" i="1"/>
  <c r="W91" i="1" s="1"/>
  <c r="D148" i="1"/>
  <c r="Q138" i="1"/>
  <c r="O147" i="1"/>
  <c r="L207" i="1"/>
  <c r="W207" i="1" s="1"/>
  <c r="T114" i="1"/>
  <c r="T214" i="1"/>
  <c r="L192" i="1"/>
  <c r="W192" i="1" s="1"/>
  <c r="T115" i="1"/>
  <c r="T71" i="1"/>
  <c r="F203" i="1"/>
  <c r="S197" i="1"/>
  <c r="P189" i="1"/>
  <c r="V43" i="1"/>
  <c r="T89" i="1"/>
  <c r="Q124" i="1"/>
  <c r="V207" i="1"/>
  <c r="P141" i="1"/>
  <c r="B173" i="1"/>
  <c r="H157" i="1"/>
  <c r="J135" i="1"/>
  <c r="Q177" i="1"/>
  <c r="V208" i="1"/>
  <c r="V166" i="1"/>
  <c r="M202" i="1"/>
  <c r="E105" i="1"/>
  <c r="B181" i="1"/>
  <c r="V147" i="1"/>
  <c r="O213" i="1"/>
  <c r="O205" i="1"/>
  <c r="D159" i="1"/>
  <c r="J18" i="1"/>
  <c r="L111" i="1"/>
  <c r="W111" i="1" s="1"/>
  <c r="C142" i="1"/>
  <c r="N166" i="1"/>
  <c r="Z166" i="1" s="1"/>
  <c r="L98" i="1"/>
  <c r="W98" i="1" s="1"/>
  <c r="C127" i="1"/>
  <c r="K93" i="1"/>
  <c r="T149" i="1"/>
  <c r="J196" i="1"/>
  <c r="Q202" i="1"/>
  <c r="O185" i="1"/>
  <c r="D98" i="1"/>
  <c r="F154" i="1"/>
  <c r="H186" i="1"/>
  <c r="D214" i="1"/>
  <c r="O144" i="1"/>
  <c r="N210" i="1"/>
  <c r="Z210" i="1" s="1"/>
  <c r="J199" i="1"/>
  <c r="N162" i="1"/>
  <c r="Z162" i="1" s="1"/>
  <c r="L84" i="1"/>
  <c r="W84" i="1" s="1"/>
  <c r="L104" i="1"/>
  <c r="W104" i="1" s="1"/>
  <c r="T47" i="1"/>
  <c r="L174" i="1"/>
  <c r="W174" i="1" s="1"/>
  <c r="U128" i="1"/>
  <c r="F144" i="1"/>
  <c r="V157" i="1"/>
  <c r="M179" i="1"/>
  <c r="I213" i="1"/>
  <c r="B151" i="1"/>
  <c r="M109" i="1"/>
  <c r="V203" i="1"/>
  <c r="B205" i="1"/>
  <c r="M198" i="1"/>
  <c r="K153" i="1"/>
  <c r="J96" i="1"/>
  <c r="R170" i="1"/>
  <c r="S211" i="1"/>
  <c r="N65" i="1"/>
  <c r="Z65" i="1" s="1"/>
  <c r="H114" i="1"/>
  <c r="T163" i="1"/>
  <c r="B33" i="1"/>
  <c r="B198" i="1"/>
  <c r="N168" i="1"/>
  <c r="Z168" i="1" s="1"/>
  <c r="B215" i="1"/>
  <c r="I132" i="1"/>
  <c r="P200" i="1"/>
  <c r="P169" i="1"/>
  <c r="G131" i="1"/>
  <c r="J193" i="1"/>
  <c r="P207" i="1"/>
  <c r="E152" i="1"/>
  <c r="K182" i="1"/>
  <c r="V196" i="1"/>
  <c r="C95" i="1"/>
  <c r="S122" i="1"/>
  <c r="M151" i="1"/>
  <c r="F100" i="1"/>
  <c r="Q167" i="1"/>
  <c r="F88" i="1"/>
  <c r="P179" i="1"/>
  <c r="R199" i="1"/>
  <c r="F145" i="1"/>
  <c r="C194" i="1"/>
  <c r="P130" i="1"/>
  <c r="V120" i="1"/>
  <c r="I206" i="1"/>
  <c r="P110" i="1"/>
  <c r="F187" i="1"/>
  <c r="P76" i="1"/>
  <c r="M158" i="1"/>
  <c r="J210" i="1"/>
  <c r="E215" i="1"/>
  <c r="G138" i="1"/>
  <c r="I147" i="1"/>
  <c r="J70" i="1"/>
  <c r="I209" i="1"/>
  <c r="B190" i="1"/>
  <c r="R106" i="1"/>
  <c r="K151" i="1"/>
  <c r="H64" i="1"/>
  <c r="S43" i="1"/>
  <c r="P133" i="1"/>
  <c r="C158" i="1"/>
  <c r="S153" i="1"/>
  <c r="D202" i="1"/>
  <c r="R105" i="1"/>
  <c r="S125" i="1"/>
  <c r="S193" i="1"/>
  <c r="K130" i="1"/>
  <c r="J164" i="1"/>
  <c r="S88" i="1"/>
  <c r="B137" i="1"/>
  <c r="Q127" i="1"/>
  <c r="Q160" i="1"/>
  <c r="I139" i="1"/>
  <c r="V148" i="1"/>
  <c r="D199" i="1"/>
  <c r="H167" i="1"/>
  <c r="K164" i="1"/>
  <c r="V215" i="1"/>
  <c r="N112" i="1"/>
  <c r="Z112" i="1" s="1"/>
  <c r="S200" i="1"/>
  <c r="T204" i="1"/>
  <c r="N204" i="1"/>
  <c r="Z204" i="1" s="1"/>
  <c r="E207" i="1"/>
  <c r="Q210" i="1"/>
  <c r="H201" i="1"/>
  <c r="H212" i="1"/>
  <c r="J156" i="1"/>
  <c r="D37" i="1"/>
  <c r="L95" i="1"/>
  <c r="W95" i="1" s="1"/>
  <c r="I83" i="1"/>
  <c r="K186" i="1"/>
  <c r="D190" i="1"/>
  <c r="S138" i="1"/>
  <c r="V161" i="1"/>
  <c r="U191" i="1"/>
  <c r="V187" i="1"/>
  <c r="N194" i="1"/>
  <c r="Z194" i="1" s="1"/>
  <c r="J142" i="1"/>
  <c r="L168" i="1"/>
  <c r="W168" i="1" s="1"/>
  <c r="S164" i="1"/>
  <c r="G211" i="1"/>
  <c r="G191" i="1"/>
  <c r="E209" i="1"/>
  <c r="V197" i="1"/>
  <c r="C165" i="1"/>
  <c r="F106" i="1"/>
  <c r="O64" i="1"/>
  <c r="E142" i="1"/>
  <c r="Q13" i="1"/>
  <c r="R95" i="1"/>
  <c r="V185" i="1"/>
  <c r="I186" i="1"/>
  <c r="N123" i="1"/>
  <c r="Z123" i="1" s="1"/>
  <c r="O202" i="1"/>
  <c r="G136" i="1"/>
  <c r="D122" i="1"/>
  <c r="H175" i="1"/>
  <c r="U201" i="1"/>
  <c r="J205" i="1"/>
  <c r="L208" i="1"/>
  <c r="W208" i="1" s="1"/>
  <c r="D209" i="1"/>
  <c r="H156" i="1"/>
  <c r="F158" i="1"/>
  <c r="O29" i="1"/>
  <c r="O127" i="1"/>
  <c r="Q116" i="1"/>
  <c r="F142" i="1"/>
  <c r="O167" i="1"/>
  <c r="L162" i="1"/>
  <c r="W162" i="1" s="1"/>
  <c r="H143" i="1"/>
  <c r="V121" i="1"/>
  <c r="B172" i="1"/>
  <c r="S161" i="1"/>
  <c r="N208" i="1"/>
  <c r="Z208" i="1" s="1"/>
  <c r="B164" i="1"/>
  <c r="O166" i="1"/>
  <c r="U209" i="1"/>
  <c r="P208" i="1"/>
  <c r="I182" i="1"/>
  <c r="I162" i="1"/>
  <c r="V165" i="1"/>
  <c r="S41" i="1"/>
  <c r="U122" i="1"/>
  <c r="J183" i="1"/>
  <c r="B96" i="1"/>
  <c r="C166" i="1"/>
  <c r="V139" i="1"/>
  <c r="P167" i="1"/>
  <c r="T141" i="1"/>
  <c r="H159" i="1"/>
  <c r="M129" i="1"/>
  <c r="M186" i="1"/>
  <c r="J111" i="1"/>
  <c r="N160" i="1"/>
  <c r="Z160" i="1" s="1"/>
  <c r="D149" i="1"/>
  <c r="J206" i="1"/>
  <c r="E166" i="1"/>
  <c r="C161" i="1"/>
  <c r="T158" i="1"/>
  <c r="C45" i="1"/>
  <c r="E16" i="1"/>
  <c r="R188" i="1"/>
  <c r="D133" i="1"/>
  <c r="I181" i="1"/>
  <c r="G155" i="1"/>
  <c r="F188" i="1"/>
  <c r="D183" i="1"/>
  <c r="C156" i="1"/>
  <c r="G206" i="1"/>
  <c r="G192" i="1"/>
  <c r="B92" i="1"/>
  <c r="J213" i="1"/>
  <c r="R148" i="1"/>
  <c r="U205" i="1"/>
  <c r="N186" i="1"/>
  <c r="Z186" i="1" s="1"/>
  <c r="T180" i="1"/>
  <c r="U210" i="1"/>
  <c r="S30" i="1"/>
  <c r="L62" i="1"/>
  <c r="W62" i="1" s="1"/>
  <c r="Q140" i="1"/>
  <c r="S49" i="1"/>
  <c r="D184" i="1"/>
  <c r="V144" i="1"/>
  <c r="E150" i="1"/>
  <c r="K199" i="1"/>
  <c r="K180" i="1"/>
  <c r="K79" i="1"/>
  <c r="N178" i="1"/>
  <c r="Z178" i="1" s="1"/>
  <c r="V204" i="1"/>
  <c r="H202" i="1"/>
  <c r="I199" i="1"/>
  <c r="R202" i="1"/>
  <c r="S201" i="1"/>
  <c r="U118" i="1"/>
  <c r="F176" i="1"/>
  <c r="D204" i="1"/>
  <c r="Q163" i="1"/>
  <c r="D120" i="1"/>
  <c r="I195" i="1"/>
  <c r="D144" i="1"/>
  <c r="G116" i="1"/>
  <c r="B204" i="1"/>
  <c r="N106" i="1"/>
  <c r="Z106" i="1" s="1"/>
  <c r="O204" i="1"/>
  <c r="S112" i="1"/>
  <c r="L184" i="1"/>
  <c r="W184" i="1" s="1"/>
  <c r="L50" i="1"/>
  <c r="W50" i="1" s="1"/>
  <c r="C139" i="1"/>
  <c r="P158" i="1"/>
  <c r="K141" i="1"/>
  <c r="J173" i="1"/>
  <c r="F129" i="1"/>
  <c r="B182" i="1"/>
  <c r="U89" i="1"/>
  <c r="E76" i="1"/>
  <c r="D101" i="1"/>
  <c r="S160" i="1"/>
  <c r="C198" i="1"/>
  <c r="O160" i="1"/>
  <c r="H164" i="1"/>
  <c r="M199" i="1"/>
  <c r="P143" i="1"/>
  <c r="D192" i="1"/>
  <c r="O215" i="1"/>
  <c r="S152" i="1"/>
  <c r="O203" i="1"/>
  <c r="U163" i="1"/>
  <c r="K172" i="1"/>
  <c r="K119" i="1"/>
  <c r="E174" i="1"/>
  <c r="L90" i="1"/>
  <c r="W90" i="1" s="1"/>
  <c r="C60" i="1"/>
  <c r="H37" i="1"/>
  <c r="B121" i="1"/>
  <c r="H181" i="1"/>
  <c r="C185" i="1"/>
  <c r="N116" i="1"/>
  <c r="Z116" i="1" s="1"/>
  <c r="Q162" i="1"/>
  <c r="H200" i="1"/>
  <c r="M160" i="1"/>
  <c r="F137" i="1"/>
  <c r="U195" i="1"/>
  <c r="F177" i="1"/>
  <c r="L142" i="1"/>
  <c r="W142" i="1" s="1"/>
  <c r="P159" i="1"/>
  <c r="E205" i="1"/>
  <c r="E146" i="1"/>
  <c r="B206" i="1"/>
  <c r="D123" i="1"/>
  <c r="C207" i="1"/>
  <c r="O98" i="1"/>
  <c r="I160" i="1"/>
  <c r="Q161" i="1"/>
  <c r="E131" i="1"/>
  <c r="K161" i="1"/>
  <c r="F165" i="1"/>
  <c r="G157" i="1"/>
  <c r="U184" i="1"/>
  <c r="E176" i="1"/>
  <c r="I129" i="1"/>
  <c r="N139" i="1"/>
  <c r="Z139" i="1" s="1"/>
  <c r="N174" i="1"/>
  <c r="Z174" i="1" s="1"/>
  <c r="U176" i="1"/>
  <c r="V160" i="1"/>
  <c r="I198" i="1"/>
  <c r="G126" i="1"/>
  <c r="K81" i="1"/>
  <c r="I84" i="1"/>
  <c r="U75" i="1"/>
  <c r="G51" i="1"/>
  <c r="B159" i="1"/>
  <c r="I136" i="1"/>
  <c r="B154" i="1"/>
  <c r="C144" i="1"/>
  <c r="T162" i="1"/>
  <c r="F182" i="1"/>
  <c r="G99" i="1"/>
  <c r="U83" i="1"/>
  <c r="G161" i="1"/>
  <c r="D151" i="1"/>
  <c r="H203" i="1"/>
  <c r="C201" i="1"/>
  <c r="P205" i="1"/>
  <c r="T130" i="1"/>
  <c r="D161" i="1"/>
  <c r="D210" i="1"/>
  <c r="M55" i="1"/>
  <c r="N134" i="1"/>
  <c r="Z134" i="1" s="1"/>
  <c r="G165" i="1"/>
  <c r="C187" i="1"/>
  <c r="N82" i="1"/>
  <c r="Z82" i="1" s="1"/>
  <c r="K168" i="1"/>
  <c r="G187" i="1"/>
  <c r="L198" i="1"/>
  <c r="W198" i="1" s="1"/>
  <c r="P201" i="1"/>
  <c r="K137" i="1"/>
  <c r="J165" i="1"/>
  <c r="O187" i="1"/>
  <c r="O139" i="1"/>
  <c r="S189" i="1"/>
  <c r="G140" i="1"/>
  <c r="S151" i="1"/>
  <c r="U194" i="1"/>
  <c r="Q186" i="1"/>
  <c r="R68" i="1"/>
  <c r="I99" i="1"/>
  <c r="F113" i="1"/>
  <c r="U57" i="1"/>
  <c r="K117" i="1"/>
  <c r="S143" i="1"/>
  <c r="I145" i="1"/>
  <c r="O180" i="1"/>
  <c r="P183" i="1"/>
  <c r="L82" i="1"/>
  <c r="W82" i="1" s="1"/>
  <c r="G106" i="1"/>
  <c r="L209" i="1"/>
  <c r="W209" i="1" s="1"/>
  <c r="J181" i="1"/>
  <c r="M123" i="1"/>
  <c r="I211" i="1"/>
  <c r="M77" i="1"/>
  <c r="R141" i="1"/>
  <c r="G212" i="1"/>
  <c r="K12" i="1"/>
  <c r="U72" i="1"/>
  <c r="M118" i="1"/>
  <c r="E91" i="1"/>
  <c r="U154" i="1"/>
  <c r="U175" i="1"/>
  <c r="Q169" i="1"/>
  <c r="N136" i="1"/>
  <c r="Z136" i="1" s="1"/>
  <c r="I143" i="1"/>
  <c r="P151" i="1"/>
  <c r="K149" i="1"/>
  <c r="M159" i="1"/>
  <c r="L156" i="1"/>
  <c r="W156" i="1" s="1"/>
  <c r="C205" i="1"/>
  <c r="C153" i="1"/>
  <c r="C160" i="1"/>
  <c r="J169" i="1"/>
  <c r="P211" i="1"/>
  <c r="M211" i="1"/>
  <c r="S214" i="1"/>
  <c r="D153" i="1"/>
  <c r="H210" i="1"/>
  <c r="V10" i="1"/>
  <c r="I183" i="1"/>
  <c r="B145" i="1"/>
  <c r="G202" i="1"/>
  <c r="M183" i="1"/>
  <c r="V136" i="1"/>
  <c r="M203" i="1"/>
  <c r="J146" i="1"/>
  <c r="D125" i="1"/>
  <c r="C197" i="1"/>
  <c r="U109" i="1"/>
  <c r="Q206" i="1"/>
  <c r="E210" i="1"/>
  <c r="V184" i="1"/>
  <c r="V191" i="1"/>
  <c r="T136" i="1"/>
  <c r="P93" i="1"/>
  <c r="E167" i="1"/>
  <c r="B201" i="1"/>
  <c r="G172" i="1"/>
  <c r="L215" i="1"/>
  <c r="W215" i="1" s="1"/>
  <c r="P118" i="1"/>
  <c r="B114" i="1"/>
  <c r="N152" i="1"/>
  <c r="Z152" i="1" s="1"/>
  <c r="J140" i="1"/>
  <c r="V179" i="1"/>
  <c r="R59" i="1"/>
  <c r="V113" i="1"/>
  <c r="G205" i="1"/>
  <c r="S196" i="1"/>
  <c r="M82" i="1"/>
  <c r="I93" i="1"/>
  <c r="D62" i="1"/>
  <c r="R195" i="1"/>
  <c r="E182" i="1"/>
  <c r="K109" i="1"/>
  <c r="E70" i="1"/>
  <c r="Q154" i="1"/>
  <c r="O79" i="1"/>
  <c r="N129" i="1"/>
  <c r="Z129" i="1" s="1"/>
  <c r="D112" i="1"/>
  <c r="K200" i="1"/>
  <c r="J191" i="1"/>
  <c r="M181" i="1"/>
  <c r="G144" i="1"/>
  <c r="P149" i="1"/>
  <c r="Q153" i="1"/>
  <c r="B174" i="1"/>
  <c r="S215" i="1"/>
  <c r="T166" i="1"/>
  <c r="T106" i="1"/>
  <c r="L173" i="1"/>
  <c r="W173" i="1" s="1"/>
  <c r="Q143" i="1"/>
  <c r="L185" i="1"/>
  <c r="W185" i="1" s="1"/>
  <c r="V117" i="1"/>
  <c r="G159" i="1"/>
  <c r="S155" i="1"/>
  <c r="U94" i="1"/>
  <c r="D136" i="1"/>
  <c r="K187" i="1"/>
  <c r="Q211" i="1"/>
  <c r="V189" i="1"/>
  <c r="R151" i="1"/>
  <c r="H78" i="1"/>
  <c r="D178" i="1"/>
  <c r="Q155" i="1"/>
  <c r="Q187" i="1"/>
  <c r="O210" i="1"/>
  <c r="I150" i="1"/>
  <c r="I124" i="1"/>
  <c r="M176" i="1"/>
  <c r="E201" i="1"/>
  <c r="K139" i="1"/>
  <c r="F200" i="1"/>
  <c r="V114" i="1"/>
  <c r="R171" i="1"/>
  <c r="Q156" i="1"/>
  <c r="D187" i="1"/>
  <c r="R206" i="1"/>
  <c r="B211" i="1"/>
  <c r="B193" i="1"/>
  <c r="J157" i="1"/>
  <c r="G182" i="1"/>
  <c r="D180" i="1"/>
  <c r="N207" i="1"/>
  <c r="Z207" i="1" s="1"/>
  <c r="U167" i="1"/>
  <c r="E200" i="1"/>
  <c r="O123" i="1"/>
  <c r="Q97" i="1"/>
  <c r="H182" i="1"/>
  <c r="D72" i="1"/>
  <c r="P103" i="1"/>
  <c r="P160" i="1"/>
  <c r="P162" i="1"/>
  <c r="O65" i="1"/>
  <c r="J132" i="1"/>
  <c r="K144" i="1"/>
  <c r="C169" i="1"/>
  <c r="L106" i="1"/>
  <c r="W106" i="1" s="1"/>
  <c r="G77" i="1"/>
  <c r="E162" i="1"/>
  <c r="I163" i="1"/>
  <c r="V206" i="1"/>
  <c r="M212" i="1"/>
  <c r="E213" i="1"/>
  <c r="F186" i="1"/>
  <c r="G200" i="1"/>
  <c r="D200" i="1"/>
  <c r="D135" i="1"/>
  <c r="O154" i="1"/>
  <c r="L100" i="1"/>
  <c r="W100" i="1" s="1"/>
  <c r="T104" i="1"/>
  <c r="J178" i="1"/>
  <c r="O163" i="1"/>
  <c r="S168" i="1"/>
  <c r="R207" i="1"/>
  <c r="N153" i="1"/>
  <c r="Z153" i="1" s="1"/>
  <c r="K208" i="1"/>
  <c r="R122" i="1"/>
  <c r="H118" i="1"/>
  <c r="T164" i="1"/>
  <c r="H199" i="1"/>
  <c r="V212" i="1"/>
  <c r="M170" i="1"/>
  <c r="U141" i="1"/>
  <c r="H213" i="1"/>
  <c r="U68" i="1"/>
  <c r="J91" i="1"/>
  <c r="V115" i="1"/>
  <c r="K106" i="1"/>
  <c r="Q159" i="1"/>
  <c r="R166" i="1"/>
  <c r="J150" i="1"/>
  <c r="M150" i="1"/>
  <c r="F160" i="1"/>
  <c r="R147" i="1"/>
  <c r="H145" i="1"/>
  <c r="G208" i="1"/>
  <c r="O148" i="1"/>
  <c r="B191" i="1"/>
  <c r="N180" i="1"/>
  <c r="Z180" i="1" s="1"/>
  <c r="K184" i="1"/>
  <c r="P152" i="1"/>
  <c r="G163" i="1"/>
  <c r="S100" i="1"/>
  <c r="T84" i="1"/>
  <c r="D215" i="1"/>
  <c r="S130" i="1"/>
  <c r="S128" i="1"/>
  <c r="U200" i="1"/>
  <c r="C210" i="1"/>
  <c r="U174" i="1"/>
  <c r="N184" i="1"/>
  <c r="Z184" i="1" s="1"/>
  <c r="J154" i="1"/>
  <c r="I151" i="1"/>
  <c r="E184" i="1"/>
  <c r="C211" i="1"/>
  <c r="O158" i="1"/>
  <c r="D213" i="1"/>
  <c r="E214" i="1"/>
  <c r="F211" i="1"/>
  <c r="N203" i="1"/>
  <c r="Z203" i="1" s="1"/>
  <c r="B167" i="1"/>
  <c r="V213" i="1"/>
  <c r="E149" i="1"/>
  <c r="O156" i="1"/>
  <c r="H123" i="1"/>
  <c r="V87" i="1"/>
  <c r="G199" i="1"/>
  <c r="E134" i="1"/>
  <c r="L186" i="1"/>
  <c r="W186" i="1" s="1"/>
  <c r="T93" i="1"/>
  <c r="B209" i="1"/>
  <c r="E147" i="1"/>
  <c r="F80" i="1"/>
  <c r="N213" i="1"/>
  <c r="Z213" i="1" s="1"/>
  <c r="C135" i="1"/>
  <c r="K134" i="1"/>
  <c r="R201" i="1"/>
  <c r="M125" i="1"/>
  <c r="H129" i="1"/>
  <c r="M173" i="1"/>
  <c r="J188" i="1"/>
  <c r="V195" i="1"/>
  <c r="M189" i="1"/>
  <c r="Q197" i="1"/>
  <c r="C98" i="1"/>
  <c r="R204" i="1"/>
  <c r="G162" i="1"/>
  <c r="U193" i="1"/>
  <c r="G214" i="1"/>
  <c r="C177" i="1"/>
  <c r="D193" i="1"/>
  <c r="Q105" i="1"/>
  <c r="V141" i="1"/>
  <c r="H192" i="1"/>
  <c r="P83" i="1"/>
  <c r="N92" i="1"/>
  <c r="Z92" i="1" s="1"/>
  <c r="L154" i="1"/>
  <c r="W154" i="1" s="1"/>
  <c r="C208" i="1"/>
  <c r="Q174" i="1"/>
  <c r="U26" i="1"/>
  <c r="S213" i="1"/>
  <c r="S205" i="1"/>
  <c r="N193" i="1"/>
  <c r="Z193" i="1" s="1"/>
  <c r="K193" i="1"/>
  <c r="I184" i="1"/>
  <c r="J158" i="1"/>
  <c r="M162" i="1"/>
  <c r="H215" i="1"/>
  <c r="N181" i="1"/>
  <c r="Z181" i="1" s="1"/>
  <c r="I185" i="1"/>
  <c r="B169" i="1"/>
  <c r="V64" i="1"/>
  <c r="B171" i="1"/>
  <c r="D163" i="1"/>
  <c r="T113" i="1"/>
  <c r="T157" i="1"/>
  <c r="R88" i="1"/>
  <c r="C146" i="1"/>
  <c r="T198" i="1"/>
  <c r="E141" i="1"/>
  <c r="H158" i="1"/>
  <c r="M200" i="1"/>
  <c r="U198" i="1"/>
  <c r="F136" i="1"/>
  <c r="O214" i="1"/>
  <c r="P178" i="1"/>
  <c r="P171" i="1"/>
  <c r="K105" i="1"/>
  <c r="H185" i="1"/>
  <c r="K207" i="1"/>
  <c r="U181" i="1"/>
  <c r="K146" i="1"/>
  <c r="D63" i="1"/>
  <c r="S68" i="1"/>
  <c r="J212" i="1"/>
  <c r="P142" i="1"/>
  <c r="O207" i="1"/>
  <c r="E193" i="1"/>
  <c r="Q130" i="1"/>
  <c r="N206" i="1"/>
  <c r="Z206" i="1" s="1"/>
  <c r="F212" i="1"/>
  <c r="D82" i="1"/>
  <c r="D168" i="1"/>
  <c r="B132" i="1"/>
  <c r="J211" i="1"/>
  <c r="B187" i="1"/>
  <c r="I187" i="1"/>
  <c r="K189" i="1"/>
  <c r="J147" i="1"/>
  <c r="V186" i="1"/>
  <c r="T139" i="1"/>
  <c r="K214" i="1"/>
  <c r="V170" i="1"/>
  <c r="I75" i="1"/>
  <c r="J185" i="1"/>
  <c r="B150" i="1"/>
  <c r="O149" i="1"/>
  <c r="V150" i="1"/>
  <c r="R132" i="1"/>
  <c r="T199" i="1"/>
  <c r="O198" i="1"/>
  <c r="D166" i="1"/>
  <c r="C202" i="1"/>
  <c r="C171" i="1"/>
  <c r="C199" i="1"/>
  <c r="G207" i="1"/>
  <c r="T151" i="1"/>
  <c r="I214" i="1"/>
  <c r="R198" i="1"/>
  <c r="L205" i="1"/>
  <c r="W205" i="1" s="1"/>
  <c r="D138" i="1"/>
  <c r="N146" i="1"/>
  <c r="Z146" i="1" s="1"/>
  <c r="K156" i="1"/>
  <c r="E133" i="1"/>
  <c r="F98" i="1"/>
  <c r="S39" i="1"/>
  <c r="U161" i="1"/>
  <c r="H110" i="1"/>
  <c r="S182" i="1"/>
  <c r="M207" i="1"/>
  <c r="M110" i="1"/>
  <c r="C148" i="1"/>
  <c r="E86" i="1"/>
  <c r="H134" i="1"/>
  <c r="Q99" i="1"/>
  <c r="Q203" i="1"/>
  <c r="R78" i="1"/>
  <c r="S144" i="1"/>
  <c r="P136" i="1"/>
  <c r="G127" i="1"/>
  <c r="S194" i="1"/>
  <c r="M143" i="1"/>
  <c r="I205" i="1"/>
  <c r="G95" i="1"/>
  <c r="K127" i="1"/>
  <c r="I203" i="1"/>
  <c r="R149" i="1"/>
  <c r="J121" i="1"/>
  <c r="Q119" i="1"/>
  <c r="V177" i="1"/>
  <c r="R182" i="1"/>
  <c r="S199" i="1"/>
  <c r="B134" i="1"/>
  <c r="E203" i="1"/>
  <c r="S154" i="1"/>
  <c r="R210" i="1"/>
  <c r="S87" i="1"/>
  <c r="B87" i="1"/>
  <c r="G195" i="1"/>
  <c r="L212" i="1"/>
  <c r="W212" i="1" s="1"/>
  <c r="C125" i="1"/>
  <c r="M113" i="1"/>
  <c r="G149" i="1"/>
  <c r="J151" i="1"/>
  <c r="C200" i="1"/>
  <c r="F205" i="1"/>
  <c r="T213" i="1"/>
  <c r="T88" i="1"/>
  <c r="S142" i="1"/>
  <c r="N182" i="1"/>
  <c r="Z182" i="1" s="1"/>
  <c r="K177" i="1"/>
  <c r="R86" i="1"/>
  <c r="C130" i="1"/>
  <c r="P184" i="1"/>
  <c r="P161" i="1"/>
  <c r="N201" i="1"/>
  <c r="Z201" i="1" s="1"/>
  <c r="T156" i="1"/>
  <c r="P213" i="1"/>
  <c r="R189" i="1"/>
  <c r="C184" i="1"/>
  <c r="H99" i="1"/>
  <c r="G154" i="1"/>
  <c r="S210" i="1"/>
  <c r="Q208" i="1"/>
  <c r="N215" i="1"/>
  <c r="Z215" i="1" s="1"/>
  <c r="B51" i="1"/>
  <c r="M48" i="1"/>
  <c r="K179" i="1"/>
  <c r="R135" i="1"/>
  <c r="N200" i="1"/>
  <c r="Z200" i="1" s="1"/>
  <c r="I215" i="1"/>
  <c r="I157" i="1"/>
  <c r="Q113" i="1"/>
  <c r="V72" i="1"/>
  <c r="K111" i="1"/>
  <c r="Q170" i="1"/>
  <c r="I210" i="1"/>
  <c r="F210" i="1"/>
  <c r="L148" i="1"/>
  <c r="W148" i="1" s="1"/>
  <c r="V152" i="1"/>
  <c r="D203" i="1"/>
  <c r="V90" i="1"/>
  <c r="B162" i="1"/>
  <c r="Q213" i="1"/>
  <c r="I146" i="1"/>
  <c r="Q171" i="1"/>
  <c r="T68" i="1"/>
  <c r="U150" i="1"/>
  <c r="E112" i="1"/>
  <c r="L213" i="1"/>
  <c r="W213" i="1" s="1"/>
  <c r="J201" i="1"/>
  <c r="K201" i="1"/>
  <c r="I57" i="1"/>
  <c r="I142" i="1"/>
  <c r="U208" i="1"/>
  <c r="D198" i="1"/>
  <c r="I202" i="1"/>
  <c r="L140" i="1"/>
  <c r="W140" i="1" s="1"/>
  <c r="H163" i="1"/>
  <c r="O177" i="1"/>
  <c r="C167" i="1"/>
  <c r="O115" i="1"/>
  <c r="V173" i="1"/>
  <c r="E93" i="1"/>
  <c r="O99" i="1"/>
  <c r="F201" i="1"/>
  <c r="L172" i="1"/>
  <c r="W172" i="1" s="1"/>
  <c r="L177" i="1"/>
  <c r="W177" i="1" s="1"/>
  <c r="O197" i="1"/>
  <c r="S195" i="1"/>
  <c r="V153" i="1"/>
  <c r="F121" i="1"/>
  <c r="E165" i="1"/>
  <c r="P206" i="1"/>
  <c r="H154" i="1"/>
  <c r="T173" i="1"/>
  <c r="N148" i="1"/>
  <c r="Z148" i="1" s="1"/>
  <c r="B200" i="1"/>
  <c r="F191" i="1"/>
  <c r="M210" i="1"/>
  <c r="C104" i="1"/>
  <c r="L214" i="1"/>
  <c r="W214" i="1" s="1"/>
  <c r="R144" i="1"/>
  <c r="D157" i="1"/>
  <c r="D131" i="1"/>
  <c r="C204" i="1"/>
  <c r="V102" i="1"/>
  <c r="O172" i="1"/>
  <c r="B192" i="1"/>
  <c r="Q164" i="1"/>
  <c r="P180" i="1"/>
  <c r="J94" i="1"/>
  <c r="U179" i="1"/>
  <c r="J175" i="1"/>
  <c r="E192" i="1"/>
  <c r="B207" i="1"/>
  <c r="I197" i="1"/>
  <c r="D208" i="1"/>
  <c r="P105" i="1"/>
  <c r="S119" i="1"/>
  <c r="E195" i="1"/>
  <c r="S141" i="1"/>
  <c r="B19" i="3"/>
  <c r="E7" i="4" a="1"/>
  <c r="D9" i="2"/>
  <c r="J4" i="1"/>
  <c r="B19" i="5" l="1"/>
  <c r="E8" i="4"/>
  <c r="D2" i="7" s="1"/>
  <c r="E10" i="4"/>
  <c r="E11" i="4"/>
  <c r="E12" i="4"/>
  <c r="E14" i="4"/>
  <c r="E7" i="4"/>
  <c r="C2" i="7" s="1"/>
  <c r="E9" i="4"/>
  <c r="E2" i="7" s="1"/>
  <c r="E13" i="4"/>
  <c r="G7" i="4" a="1"/>
  <c r="B31" i="4" a="1"/>
  <c r="AA8" i="1"/>
  <c r="J5" i="1" l="1"/>
  <c r="B37" i="4"/>
  <c r="B36" i="4"/>
  <c r="B35" i="4"/>
  <c r="B34" i="4"/>
  <c r="B33" i="4"/>
  <c r="B32" i="4"/>
  <c r="B31" i="4"/>
  <c r="B38" i="4"/>
  <c r="G10" i="4"/>
  <c r="G12" i="4"/>
  <c r="G13" i="4"/>
  <c r="G8" i="4"/>
  <c r="G11" i="4"/>
  <c r="G14" i="4"/>
  <c r="G7" i="4"/>
  <c r="G9" i="4"/>
  <c r="C7" i="4" l="1"/>
  <c r="C3" i="6"/>
  <c r="C18" i="4"/>
  <c r="I5" i="7" l="1"/>
  <c r="D76" i="7"/>
  <c r="C12" i="7"/>
  <c r="E100" i="7"/>
  <c r="C51" i="7"/>
  <c r="C34" i="7"/>
  <c r="E22" i="7"/>
  <c r="C36" i="7"/>
  <c r="E33" i="7"/>
  <c r="D88" i="7"/>
  <c r="E7" i="7"/>
  <c r="E62" i="7"/>
  <c r="D66" i="7"/>
  <c r="E82" i="7"/>
  <c r="D9" i="7"/>
  <c r="C25" i="7"/>
  <c r="C43" i="7"/>
  <c r="D84" i="7"/>
  <c r="D20" i="7"/>
  <c r="D73" i="7"/>
  <c r="C26" i="7"/>
  <c r="D10" i="7"/>
  <c r="E18" i="7"/>
  <c r="D35" i="7"/>
  <c r="C67" i="7"/>
  <c r="D55" i="7"/>
  <c r="D19" i="7"/>
  <c r="D22" i="7"/>
  <c r="C20" i="7"/>
  <c r="C54" i="7"/>
  <c r="D28" i="7"/>
  <c r="C57" i="7"/>
  <c r="C40" i="7"/>
  <c r="E84" i="7"/>
  <c r="E23" i="7"/>
  <c r="C102" i="7"/>
  <c r="D75" i="7"/>
  <c r="D31" i="7"/>
  <c r="C60" i="7"/>
  <c r="C96" i="7"/>
  <c r="C56" i="7"/>
  <c r="C74" i="7"/>
  <c r="D54" i="7"/>
  <c r="E39" i="7"/>
  <c r="D40" i="7"/>
  <c r="C100" i="7"/>
  <c r="C72" i="7"/>
  <c r="D39" i="7"/>
  <c r="C78" i="7"/>
  <c r="E10" i="7"/>
  <c r="C83" i="7"/>
  <c r="D89" i="7"/>
  <c r="D62" i="7"/>
  <c r="E80" i="7"/>
  <c r="E51" i="7"/>
  <c r="D49" i="7"/>
  <c r="E53" i="7"/>
  <c r="E72" i="7"/>
  <c r="C52" i="7"/>
  <c r="D86" i="7"/>
  <c r="C73" i="7"/>
  <c r="C8" i="7"/>
  <c r="E63" i="7"/>
  <c r="D12" i="7"/>
  <c r="C79" i="7"/>
  <c r="D70" i="7"/>
  <c r="E19" i="7"/>
  <c r="D65" i="7"/>
  <c r="E52" i="7"/>
  <c r="C14" i="7"/>
  <c r="D78" i="7"/>
  <c r="C32" i="7"/>
  <c r="E57" i="7"/>
  <c r="E28" i="7"/>
  <c r="E12" i="7"/>
  <c r="D51" i="7"/>
  <c r="C22" i="7"/>
  <c r="C81" i="7"/>
  <c r="D6" i="7"/>
  <c r="E11" i="7"/>
  <c r="E102" i="7"/>
  <c r="E14" i="7"/>
  <c r="E5" i="7"/>
  <c r="C58" i="7"/>
  <c r="C11" i="7"/>
  <c r="D16" i="7"/>
  <c r="D57" i="7"/>
  <c r="E40" i="7"/>
  <c r="E65" i="7"/>
  <c r="E50" i="7"/>
  <c r="E74" i="7"/>
  <c r="C93" i="7"/>
  <c r="E81" i="7"/>
  <c r="E47" i="7"/>
  <c r="C98" i="7"/>
  <c r="C77" i="7"/>
  <c r="E68" i="7"/>
  <c r="D42" i="7"/>
  <c r="D94" i="7"/>
  <c r="E97" i="7"/>
  <c r="D14" i="7"/>
  <c r="E29" i="7"/>
  <c r="E73" i="7"/>
  <c r="C44" i="7"/>
  <c r="D47" i="7"/>
  <c r="D26" i="7"/>
  <c r="E59" i="7"/>
  <c r="C5" i="7"/>
  <c r="D90" i="7"/>
  <c r="D80" i="7"/>
  <c r="C61" i="7"/>
  <c r="E9" i="7"/>
  <c r="D32" i="7"/>
  <c r="C48" i="7"/>
  <c r="C87" i="7"/>
  <c r="D33" i="7"/>
  <c r="E75" i="7"/>
  <c r="D92" i="7"/>
  <c r="E54" i="7"/>
  <c r="D53" i="7"/>
  <c r="E25" i="7"/>
  <c r="D82" i="7"/>
  <c r="E87" i="7"/>
  <c r="D72" i="7"/>
  <c r="D69" i="7"/>
  <c r="C28" i="7"/>
  <c r="D24" i="7"/>
  <c r="D61" i="7"/>
  <c r="D38" i="7"/>
  <c r="C65" i="7"/>
  <c r="D102" i="7"/>
  <c r="C13" i="7"/>
  <c r="D85" i="7"/>
  <c r="E21" i="7"/>
  <c r="D7" i="7"/>
  <c r="C95" i="7"/>
  <c r="E49" i="7"/>
  <c r="E35" i="7"/>
  <c r="C16" i="7"/>
  <c r="C90" i="7"/>
  <c r="C4" i="7"/>
  <c r="E17" i="7"/>
  <c r="C45" i="7"/>
  <c r="D98" i="7"/>
  <c r="E60" i="7"/>
  <c r="C84" i="7"/>
  <c r="D63" i="7"/>
  <c r="C68" i="7"/>
  <c r="E20" i="7"/>
  <c r="E36" i="7"/>
  <c r="E16" i="7"/>
  <c r="E42" i="7"/>
  <c r="D100" i="7"/>
  <c r="E41" i="7"/>
  <c r="E13" i="7"/>
  <c r="C99" i="7"/>
  <c r="C55" i="7"/>
  <c r="D21" i="7"/>
  <c r="C27" i="7"/>
  <c r="C31" i="7"/>
  <c r="E8" i="7"/>
  <c r="C6" i="7"/>
  <c r="C35" i="7"/>
  <c r="D77" i="7"/>
  <c r="E24" i="7"/>
  <c r="D36" i="7"/>
  <c r="E78" i="7"/>
  <c r="D15" i="7"/>
  <c r="D8" i="7"/>
  <c r="E30" i="7"/>
  <c r="D17" i="7"/>
  <c r="E99" i="7"/>
  <c r="E48" i="7"/>
  <c r="D46" i="7"/>
  <c r="C71" i="7"/>
  <c r="D4" i="7"/>
  <c r="D18" i="7"/>
  <c r="E43" i="7"/>
  <c r="D44" i="7"/>
  <c r="C66" i="7"/>
  <c r="D34" i="7"/>
  <c r="E96" i="7"/>
  <c r="C42" i="7"/>
  <c r="C62" i="7"/>
  <c r="C37" i="7"/>
  <c r="D87" i="7"/>
  <c r="E101" i="7"/>
  <c r="E91" i="7"/>
  <c r="C39" i="7"/>
  <c r="D50" i="7"/>
  <c r="D99" i="7"/>
  <c r="D48" i="7"/>
  <c r="C18" i="7"/>
  <c r="D56" i="7"/>
  <c r="E95" i="7"/>
  <c r="D23" i="7"/>
  <c r="C85" i="7"/>
  <c r="E64" i="7"/>
  <c r="E6" i="7"/>
  <c r="E89" i="7"/>
  <c r="D60" i="7"/>
  <c r="D30" i="7"/>
  <c r="E46" i="7"/>
  <c r="C69" i="7"/>
  <c r="D58" i="7"/>
  <c r="C88" i="7"/>
  <c r="D45" i="7"/>
  <c r="D41" i="7"/>
  <c r="E92" i="7"/>
  <c r="C30" i="7"/>
  <c r="E37" i="7"/>
  <c r="C17" i="7"/>
  <c r="C21" i="7"/>
  <c r="C70" i="7"/>
  <c r="E83" i="7"/>
  <c r="E86" i="7"/>
  <c r="C15" i="7"/>
  <c r="D79" i="7"/>
  <c r="D25" i="7"/>
  <c r="C86" i="7"/>
  <c r="D71" i="7"/>
  <c r="E4" i="7"/>
  <c r="E38" i="7"/>
  <c r="E31" i="7"/>
  <c r="E85" i="7"/>
  <c r="D5" i="7"/>
  <c r="D13" i="7"/>
  <c r="E69" i="7"/>
  <c r="C63" i="7"/>
  <c r="E15" i="7"/>
  <c r="E88" i="7"/>
  <c r="E56" i="7"/>
  <c r="D37" i="7"/>
  <c r="E94" i="7"/>
  <c r="C24" i="7"/>
  <c r="C41" i="7"/>
  <c r="C97" i="7"/>
  <c r="E93" i="7"/>
  <c r="E71" i="7"/>
  <c r="D101" i="7"/>
  <c r="C33" i="7"/>
  <c r="C47" i="7"/>
  <c r="E58" i="7"/>
  <c r="D67" i="7"/>
  <c r="D83" i="7"/>
  <c r="C92" i="7"/>
  <c r="D91" i="7"/>
  <c r="E77" i="7"/>
  <c r="C50" i="7"/>
  <c r="C76" i="7"/>
  <c r="D93" i="7"/>
  <c r="E26" i="7"/>
  <c r="D96" i="7"/>
  <c r="D27" i="7"/>
  <c r="D74" i="7"/>
  <c r="D43" i="7"/>
  <c r="C49" i="7"/>
  <c r="C91" i="7"/>
  <c r="E98" i="7"/>
  <c r="E44" i="7"/>
  <c r="D11" i="7"/>
  <c r="E90" i="7"/>
  <c r="C53" i="7"/>
  <c r="D29" i="7"/>
  <c r="C101" i="7"/>
  <c r="E79" i="7"/>
  <c r="C94" i="7"/>
  <c r="C29" i="7"/>
  <c r="E67" i="7"/>
  <c r="C80" i="7"/>
  <c r="E70" i="7"/>
  <c r="D81" i="7"/>
  <c r="D52" i="7"/>
  <c r="E45" i="7"/>
  <c r="E32" i="7"/>
  <c r="D68" i="7"/>
  <c r="E27" i="7"/>
  <c r="E76" i="7"/>
  <c r="C75" i="7"/>
  <c r="C46" i="7"/>
  <c r="D95" i="7"/>
  <c r="C82" i="7"/>
  <c r="D64" i="7"/>
  <c r="C64" i="7"/>
  <c r="C38" i="7"/>
  <c r="E55" i="7"/>
  <c r="C23" i="7"/>
  <c r="E61" i="7"/>
  <c r="C9" i="7"/>
  <c r="E34" i="7"/>
  <c r="C59" i="7"/>
  <c r="E66" i="7"/>
  <c r="C10" i="7"/>
  <c r="D59" i="7"/>
  <c r="C7" i="7"/>
  <c r="C19" i="7"/>
  <c r="D97" i="7"/>
  <c r="C89" i="7"/>
  <c r="B6" i="6" a="1"/>
  <c r="C20" i="4"/>
  <c r="D14" i="2" a="1"/>
  <c r="I72" i="2" l="1"/>
  <c r="N116" i="2"/>
  <c r="G363" i="2"/>
  <c r="L90" i="2"/>
  <c r="M308" i="2"/>
  <c r="O76" i="2"/>
  <c r="M363" i="2"/>
  <c r="O152" i="2"/>
  <c r="K300" i="2"/>
  <c r="J275" i="2"/>
  <c r="P305" i="2"/>
  <c r="J274" i="2"/>
  <c r="J161" i="2"/>
  <c r="K231" i="2"/>
  <c r="F136" i="2"/>
  <c r="M60" i="2"/>
  <c r="E97" i="2"/>
  <c r="I58" i="2"/>
  <c r="L198" i="2"/>
  <c r="D43" i="2"/>
  <c r="P164" i="2"/>
  <c r="J247" i="2"/>
  <c r="I156" i="2"/>
  <c r="D164" i="2"/>
  <c r="J223" i="2"/>
  <c r="H106" i="2"/>
  <c r="J216" i="2"/>
  <c r="G323" i="2"/>
  <c r="P77" i="2"/>
  <c r="E175" i="2"/>
  <c r="J45" i="2"/>
  <c r="F221" i="2"/>
  <c r="K76" i="2"/>
  <c r="M166" i="2"/>
  <c r="M75" i="2"/>
  <c r="L377" i="2"/>
  <c r="P310" i="2"/>
  <c r="H52" i="2"/>
  <c r="D204" i="2"/>
  <c r="L322" i="2"/>
  <c r="N144" i="2"/>
  <c r="O156" i="2"/>
  <c r="M96" i="2"/>
  <c r="J87" i="2"/>
  <c r="J357" i="2"/>
  <c r="K368" i="2"/>
  <c r="J287" i="2"/>
  <c r="K106" i="2"/>
  <c r="G324" i="2"/>
  <c r="H181" i="2"/>
  <c r="Q370" i="2"/>
  <c r="D284" i="2"/>
  <c r="O324" i="2"/>
  <c r="D335" i="2"/>
  <c r="O114" i="2"/>
  <c r="E333" i="2"/>
  <c r="H153" i="2"/>
  <c r="O197" i="2"/>
  <c r="P280" i="2"/>
  <c r="L63" i="2"/>
  <c r="D46" i="2"/>
  <c r="M159" i="2"/>
  <c r="H305" i="2"/>
  <c r="G386" i="2"/>
  <c r="I247" i="2"/>
  <c r="D67" i="2"/>
  <c r="M262" i="2"/>
  <c r="O331" i="2"/>
  <c r="P84" i="2"/>
  <c r="K89" i="2"/>
  <c r="L341" i="2"/>
  <c r="N194" i="2"/>
  <c r="H302" i="2"/>
  <c r="N283" i="2"/>
  <c r="F155" i="2"/>
  <c r="L162" i="2"/>
  <c r="O122" i="2"/>
  <c r="H94" i="2"/>
  <c r="O235" i="2"/>
  <c r="O378" i="2"/>
  <c r="G213" i="2"/>
  <c r="D169" i="2"/>
  <c r="M246" i="2"/>
  <c r="H97" i="2"/>
  <c r="K145" i="2"/>
  <c r="H36" i="2"/>
  <c r="N375" i="2"/>
  <c r="P315" i="2"/>
  <c r="I323" i="2"/>
  <c r="M249" i="2"/>
  <c r="M375" i="2"/>
  <c r="F355" i="2"/>
  <c r="I20" i="2"/>
  <c r="G266" i="2"/>
  <c r="I251" i="2"/>
  <c r="Q84" i="2"/>
  <c r="M254" i="2"/>
  <c r="Q349" i="2"/>
  <c r="P106" i="2"/>
  <c r="G226" i="2"/>
  <c r="I230" i="2"/>
  <c r="I37" i="2"/>
  <c r="E23" i="2"/>
  <c r="E350" i="2"/>
  <c r="F96" i="2"/>
  <c r="F133" i="2"/>
  <c r="I80" i="2"/>
  <c r="M59" i="2"/>
  <c r="I286" i="2"/>
  <c r="J322" i="2"/>
  <c r="O213" i="2"/>
  <c r="N383" i="2"/>
  <c r="I128" i="2"/>
  <c r="N142" i="2"/>
  <c r="N174" i="2"/>
  <c r="I381" i="2"/>
  <c r="L133" i="2"/>
  <c r="K241" i="2"/>
  <c r="L225" i="2"/>
  <c r="F306" i="2"/>
  <c r="E230" i="2"/>
  <c r="I202" i="2"/>
  <c r="K351" i="2"/>
  <c r="F253" i="2"/>
  <c r="J284" i="2"/>
  <c r="F304" i="2"/>
  <c r="E198" i="2"/>
  <c r="J135" i="2"/>
  <c r="D240" i="2"/>
  <c r="E131" i="2"/>
  <c r="E263" i="2"/>
  <c r="O134" i="2"/>
  <c r="E179" i="2"/>
  <c r="G381" i="2"/>
  <c r="I175" i="2"/>
  <c r="H122" i="2"/>
  <c r="F369" i="2"/>
  <c r="E51" i="2"/>
  <c r="E363" i="2"/>
  <c r="L122" i="2"/>
  <c r="F362" i="2"/>
  <c r="M190" i="2"/>
  <c r="I319" i="2"/>
  <c r="H208" i="2"/>
  <c r="K127" i="2"/>
  <c r="M205" i="2"/>
  <c r="I370" i="2"/>
  <c r="E138" i="2"/>
  <c r="K91" i="2"/>
  <c r="M325" i="2"/>
  <c r="Q188" i="2"/>
  <c r="H236" i="2"/>
  <c r="Q145" i="2"/>
  <c r="H352" i="2"/>
  <c r="J73" i="2"/>
  <c r="G206" i="2"/>
  <c r="L19" i="2"/>
  <c r="G192" i="2"/>
  <c r="L247" i="2"/>
  <c r="E110" i="2"/>
  <c r="H365" i="2"/>
  <c r="Q46" i="2"/>
  <c r="D30" i="2"/>
  <c r="E384" i="2"/>
  <c r="I94" i="2"/>
  <c r="E259" i="2"/>
  <c r="N57" i="2"/>
  <c r="F34" i="2"/>
  <c r="O229" i="2"/>
  <c r="F260" i="2"/>
  <c r="G142" i="2"/>
  <c r="F329" i="2"/>
  <c r="J214" i="2"/>
  <c r="N292" i="2"/>
  <c r="I334" i="2"/>
  <c r="Q225" i="2"/>
  <c r="Q275" i="2"/>
  <c r="K98" i="2"/>
  <c r="O359" i="2"/>
  <c r="K59" i="2"/>
  <c r="D339" i="2"/>
  <c r="M40" i="2"/>
  <c r="K78" i="2"/>
  <c r="P246" i="2"/>
  <c r="O266" i="2"/>
  <c r="P367" i="2"/>
  <c r="D352" i="2"/>
  <c r="Q30" i="2"/>
  <c r="P302" i="2"/>
  <c r="G154" i="2"/>
  <c r="O186" i="2"/>
  <c r="D157" i="2"/>
  <c r="I241" i="2"/>
  <c r="G23" i="2"/>
  <c r="L369" i="2"/>
  <c r="F237" i="2"/>
  <c r="K235" i="2"/>
  <c r="G383" i="2"/>
  <c r="F173" i="2"/>
  <c r="I40" i="2"/>
  <c r="E45" i="2"/>
  <c r="K101" i="2"/>
  <c r="K181" i="2"/>
  <c r="J18" i="2"/>
  <c r="K334" i="2"/>
  <c r="G114" i="2"/>
  <c r="O66" i="2"/>
  <c r="K333" i="2"/>
  <c r="D40" i="2"/>
  <c r="M41" i="2"/>
  <c r="E193" i="2"/>
  <c r="K121" i="2"/>
  <c r="Q141" i="2"/>
  <c r="P113" i="2"/>
  <c r="H148" i="2"/>
  <c r="K107" i="2"/>
  <c r="M264" i="2"/>
  <c r="D348" i="2"/>
  <c r="P36" i="2"/>
  <c r="O221" i="2"/>
  <c r="P336" i="2"/>
  <c r="N236" i="2"/>
  <c r="N58" i="2"/>
  <c r="G179" i="2"/>
  <c r="F36" i="2"/>
  <c r="M16" i="2"/>
  <c r="F74" i="2"/>
  <c r="G46" i="2"/>
  <c r="H161" i="2"/>
  <c r="H269" i="2"/>
  <c r="I347" i="2"/>
  <c r="G160" i="2"/>
  <c r="H312" i="2"/>
  <c r="M220" i="2"/>
  <c r="D305" i="2"/>
  <c r="O80" i="2"/>
  <c r="K139" i="2"/>
  <c r="D234" i="2"/>
  <c r="P62" i="2"/>
  <c r="P218" i="2"/>
  <c r="F300" i="2"/>
  <c r="N361" i="2"/>
  <c r="G50" i="2"/>
  <c r="Q386" i="2"/>
  <c r="J191" i="2"/>
  <c r="H350" i="2"/>
  <c r="J270" i="2"/>
  <c r="P199" i="2"/>
  <c r="D123" i="2"/>
  <c r="N378" i="2"/>
  <c r="M321" i="2"/>
  <c r="I110" i="2"/>
  <c r="D156" i="2"/>
  <c r="L274" i="2"/>
  <c r="J143" i="2"/>
  <c r="P181" i="2"/>
  <c r="K183" i="2"/>
  <c r="E53" i="2"/>
  <c r="Q97" i="2"/>
  <c r="L260" i="2"/>
  <c r="J333" i="2"/>
  <c r="J28" i="2"/>
  <c r="E334" i="2"/>
  <c r="D359" i="2"/>
  <c r="L312" i="2"/>
  <c r="J36" i="2"/>
  <c r="I139" i="2"/>
  <c r="I384" i="2"/>
  <c r="J245" i="2"/>
  <c r="E247" i="2"/>
  <c r="K77" i="2"/>
  <c r="Q184" i="2"/>
  <c r="I252" i="2"/>
  <c r="G222" i="2"/>
  <c r="L360" i="2"/>
  <c r="Q364" i="2"/>
  <c r="G67" i="2"/>
  <c r="F263" i="2"/>
  <c r="M126" i="2"/>
  <c r="I386" i="2"/>
  <c r="E146" i="2"/>
  <c r="M293" i="2"/>
  <c r="I119" i="2"/>
  <c r="F232" i="2"/>
  <c r="F318" i="2"/>
  <c r="D370" i="2"/>
  <c r="M103" i="2"/>
  <c r="I183" i="2"/>
  <c r="N371" i="2"/>
  <c r="O47" i="2"/>
  <c r="M200" i="2"/>
  <c r="O249" i="2"/>
  <c r="F99" i="2"/>
  <c r="G115" i="2"/>
  <c r="N245" i="2"/>
  <c r="N341" i="2"/>
  <c r="J54" i="2"/>
  <c r="D25" i="2"/>
  <c r="I336" i="2"/>
  <c r="Q98" i="2"/>
  <c r="J51" i="2"/>
  <c r="K317" i="2"/>
  <c r="O233" i="2"/>
  <c r="O26" i="2"/>
  <c r="L34" i="2"/>
  <c r="L339" i="2"/>
  <c r="N337" i="2"/>
  <c r="E279" i="2"/>
  <c r="E238" i="2"/>
  <c r="D150" i="2"/>
  <c r="G137" i="2"/>
  <c r="K193" i="2"/>
  <c r="E173" i="2"/>
  <c r="H189" i="2"/>
  <c r="J70" i="2"/>
  <c r="O322" i="2"/>
  <c r="K141" i="2"/>
  <c r="L25" i="2"/>
  <c r="F75" i="2"/>
  <c r="P141" i="2"/>
  <c r="E301" i="2"/>
  <c r="E153" i="2"/>
  <c r="F256" i="2"/>
  <c r="Q162" i="2"/>
  <c r="K282" i="2"/>
  <c r="I224" i="2"/>
  <c r="K116" i="2"/>
  <c r="K342" i="2"/>
  <c r="E180" i="2"/>
  <c r="H134" i="2"/>
  <c r="L215" i="2"/>
  <c r="F93" i="2"/>
  <c r="L165" i="2"/>
  <c r="D126" i="2"/>
  <c r="O38" i="2"/>
  <c r="Q127" i="2"/>
  <c r="P285" i="2"/>
  <c r="L345" i="2"/>
  <c r="I263" i="2"/>
  <c r="J129" i="2"/>
  <c r="M383" i="2"/>
  <c r="H85" i="2"/>
  <c r="M275" i="2"/>
  <c r="H192" i="2"/>
  <c r="N75" i="2"/>
  <c r="D34" i="2"/>
  <c r="M141" i="2"/>
  <c r="L364" i="2"/>
  <c r="E80" i="2"/>
  <c r="I136" i="2"/>
  <c r="J119" i="2"/>
  <c r="K281" i="2"/>
  <c r="L372" i="2"/>
  <c r="I160" i="2"/>
  <c r="K79" i="2"/>
  <c r="I144" i="2"/>
  <c r="L290" i="2"/>
  <c r="I279" i="2"/>
  <c r="K29" i="2"/>
  <c r="Q113" i="2"/>
  <c r="G288" i="2"/>
  <c r="Q373" i="2"/>
  <c r="O348" i="2"/>
  <c r="I313" i="2"/>
  <c r="K158" i="2"/>
  <c r="L206" i="2"/>
  <c r="D208" i="2"/>
  <c r="E223" i="2"/>
  <c r="L226" i="2"/>
  <c r="O150" i="2"/>
  <c r="N104" i="2"/>
  <c r="N170" i="2"/>
  <c r="I228" i="2"/>
  <c r="G205" i="2"/>
  <c r="I227" i="2"/>
  <c r="H216" i="2"/>
  <c r="E60" i="2"/>
  <c r="G232" i="2"/>
  <c r="K381" i="2"/>
  <c r="J139" i="2"/>
  <c r="Q87" i="2"/>
  <c r="D231" i="2"/>
  <c r="G47" i="2"/>
  <c r="N173" i="2"/>
  <c r="H386" i="2"/>
  <c r="J69" i="2"/>
  <c r="L356" i="2"/>
  <c r="E341" i="2"/>
  <c r="M290" i="2"/>
  <c r="Q86" i="2"/>
  <c r="L301" i="2"/>
  <c r="K367" i="2"/>
  <c r="N367" i="2"/>
  <c r="I246" i="2"/>
  <c r="Q83" i="2"/>
  <c r="H288" i="2"/>
  <c r="H316" i="2"/>
  <c r="J56" i="2"/>
  <c r="D273" i="2"/>
  <c r="P371" i="2"/>
  <c r="N232" i="2"/>
  <c r="H174" i="2"/>
  <c r="J105" i="2"/>
  <c r="K355" i="2"/>
  <c r="M180" i="2"/>
  <c r="K199" i="2"/>
  <c r="D179" i="2"/>
  <c r="K369" i="2"/>
  <c r="Q317" i="2"/>
  <c r="J180" i="2"/>
  <c r="M186" i="2"/>
  <c r="G319" i="2"/>
  <c r="O131" i="2"/>
  <c r="G18" i="2"/>
  <c r="M63" i="2"/>
  <c r="K228" i="2"/>
  <c r="Q130" i="2"/>
  <c r="E255" i="2"/>
  <c r="D357" i="2"/>
  <c r="K376" i="2"/>
  <c r="D337" i="2"/>
  <c r="I233" i="2"/>
  <c r="G80" i="2"/>
  <c r="M354" i="2"/>
  <c r="E386" i="2"/>
  <c r="M147" i="2"/>
  <c r="J157" i="2"/>
  <c r="I155" i="2"/>
  <c r="J125" i="2"/>
  <c r="O209" i="2"/>
  <c r="P108" i="2"/>
  <c r="F349" i="2"/>
  <c r="P85" i="2"/>
  <c r="P47" i="2"/>
  <c r="P52" i="2"/>
  <c r="I134" i="2"/>
  <c r="P380" i="2"/>
  <c r="M334" i="2"/>
  <c r="Q250" i="2"/>
  <c r="I142" i="2"/>
  <c r="M56" i="2"/>
  <c r="E319" i="2"/>
  <c r="P152" i="2"/>
  <c r="J174" i="2"/>
  <c r="N45" i="2"/>
  <c r="P295" i="2"/>
  <c r="N183" i="2"/>
  <c r="G273" i="2"/>
  <c r="P159" i="2"/>
  <c r="L184" i="2"/>
  <c r="J82" i="2"/>
  <c r="J220" i="2"/>
  <c r="Q306" i="2"/>
  <c r="O127" i="2"/>
  <c r="P122" i="2"/>
  <c r="D356" i="2"/>
  <c r="K363" i="2"/>
  <c r="O264" i="2"/>
  <c r="Q138" i="2"/>
  <c r="L230" i="2"/>
  <c r="D366" i="2"/>
  <c r="N163" i="2"/>
  <c r="F226" i="2"/>
  <c r="E133" i="2"/>
  <c r="L244" i="2"/>
  <c r="G113" i="2"/>
  <c r="J27" i="2"/>
  <c r="G162" i="2"/>
  <c r="O269" i="2"/>
  <c r="L73" i="2"/>
  <c r="E225" i="2"/>
  <c r="H109" i="2"/>
  <c r="F89" i="2"/>
  <c r="N231" i="2"/>
  <c r="P116" i="2"/>
  <c r="M355" i="2"/>
  <c r="J130" i="2"/>
  <c r="M108" i="2"/>
  <c r="L279" i="2"/>
  <c r="Q245" i="2"/>
  <c r="P231" i="2"/>
  <c r="F272" i="2"/>
  <c r="H127" i="2"/>
  <c r="F248" i="2"/>
  <c r="J213" i="2"/>
  <c r="E16" i="2"/>
  <c r="H103" i="2"/>
  <c r="M32" i="2"/>
  <c r="H296" i="2"/>
  <c r="N225" i="2"/>
  <c r="F149" i="2"/>
  <c r="I375" i="2"/>
  <c r="O247" i="2"/>
  <c r="M174" i="2"/>
  <c r="D185" i="2"/>
  <c r="K234" i="2"/>
  <c r="K90" i="2"/>
  <c r="H156" i="2"/>
  <c r="G98" i="2"/>
  <c r="P127" i="2"/>
  <c r="D141" i="2"/>
  <c r="N82" i="2"/>
  <c r="J89" i="2"/>
  <c r="H340" i="2"/>
  <c r="E249" i="2"/>
  <c r="J330" i="2"/>
  <c r="Q366" i="2"/>
  <c r="M329" i="2"/>
  <c r="D221" i="2"/>
  <c r="N290" i="2"/>
  <c r="Q210" i="2"/>
  <c r="Q156" i="2"/>
  <c r="J167" i="2"/>
  <c r="G155" i="2"/>
  <c r="N240" i="2"/>
  <c r="I285" i="2"/>
  <c r="Q228" i="2"/>
  <c r="H171" i="2"/>
  <c r="P252" i="2"/>
  <c r="M193" i="2"/>
  <c r="O383" i="2"/>
  <c r="M382" i="2"/>
  <c r="G214" i="2"/>
  <c r="E264" i="2"/>
  <c r="K257" i="2"/>
  <c r="H101" i="2"/>
  <c r="N319" i="2"/>
  <c r="Q342" i="2"/>
  <c r="E216" i="2"/>
  <c r="J39" i="2"/>
  <c r="D23" i="2"/>
  <c r="Q333" i="2"/>
  <c r="K356" i="2"/>
  <c r="P313" i="2"/>
  <c r="P104" i="2"/>
  <c r="P275" i="2"/>
  <c r="H330" i="2"/>
  <c r="F33" i="2"/>
  <c r="E95" i="2"/>
  <c r="G37" i="2"/>
  <c r="D333" i="2"/>
  <c r="J222" i="2"/>
  <c r="J208" i="2"/>
  <c r="J182" i="2"/>
  <c r="D219" i="2"/>
  <c r="I111" i="2"/>
  <c r="E206" i="2"/>
  <c r="J309" i="2"/>
  <c r="M154" i="2"/>
  <c r="K64" i="2"/>
  <c r="J269" i="2"/>
  <c r="O130" i="2"/>
  <c r="D105" i="2"/>
  <c r="Q359" i="2"/>
  <c r="D307" i="2"/>
  <c r="G94" i="2"/>
  <c r="H344" i="2"/>
  <c r="I22" i="2"/>
  <c r="O117" i="2"/>
  <c r="H225" i="2"/>
  <c r="I355" i="2"/>
  <c r="O382" i="2"/>
  <c r="G249" i="2"/>
  <c r="G89" i="2"/>
  <c r="P54" i="2"/>
  <c r="P327" i="2"/>
  <c r="O181" i="2"/>
  <c r="F17" i="2"/>
  <c r="Q274" i="2"/>
  <c r="P229" i="2"/>
  <c r="K206" i="2"/>
  <c r="Q164" i="2"/>
  <c r="H60" i="2"/>
  <c r="D368" i="2"/>
  <c r="L105" i="2"/>
  <c r="L325" i="2"/>
  <c r="N362" i="2"/>
  <c r="E253" i="2"/>
  <c r="E382" i="2"/>
  <c r="M121" i="2"/>
  <c r="L200" i="2"/>
  <c r="G163" i="2"/>
  <c r="Q24" i="2"/>
  <c r="H226" i="2"/>
  <c r="Q375" i="2"/>
  <c r="D270" i="2"/>
  <c r="F234" i="2"/>
  <c r="I253" i="2"/>
  <c r="G283" i="2"/>
  <c r="F174" i="2"/>
  <c r="L142" i="2"/>
  <c r="J58" i="2"/>
  <c r="D18" i="2"/>
  <c r="O141" i="2"/>
  <c r="N76" i="2"/>
  <c r="H126" i="2"/>
  <c r="P316" i="2"/>
  <c r="Q331" i="2"/>
  <c r="I154" i="2"/>
  <c r="G334" i="2"/>
  <c r="F296" i="2"/>
  <c r="D77" i="2"/>
  <c r="H47" i="2"/>
  <c r="O199" i="2"/>
  <c r="M337" i="2"/>
  <c r="D211" i="2"/>
  <c r="I365" i="2"/>
  <c r="F196" i="2"/>
  <c r="N131" i="2"/>
  <c r="E152" i="2"/>
  <c r="Q272" i="2"/>
  <c r="L131" i="2"/>
  <c r="P42" i="2"/>
  <c r="N345" i="2"/>
  <c r="M48" i="2"/>
  <c r="J145" i="2"/>
  <c r="J110" i="2"/>
  <c r="I83" i="2"/>
  <c r="D380" i="2"/>
  <c r="I291" i="2"/>
  <c r="N121" i="2"/>
  <c r="K267" i="2"/>
  <c r="P338" i="2"/>
  <c r="F295" i="2"/>
  <c r="D124" i="2"/>
  <c r="H326" i="2"/>
  <c r="E232" i="2"/>
  <c r="D322" i="2"/>
  <c r="I278" i="2"/>
  <c r="F143" i="2"/>
  <c r="H43" i="2"/>
  <c r="F141" i="2"/>
  <c r="H264" i="2"/>
  <c r="L229" i="2"/>
  <c r="J374" i="2"/>
  <c r="J84" i="2"/>
  <c r="P241" i="2"/>
  <c r="I325" i="2"/>
  <c r="H297" i="2"/>
  <c r="Q38" i="2"/>
  <c r="Q270" i="2"/>
  <c r="D103" i="2"/>
  <c r="N343" i="2"/>
  <c r="H323" i="2"/>
  <c r="K170" i="2"/>
  <c r="P208" i="2"/>
  <c r="M97" i="2"/>
  <c r="K278" i="2"/>
  <c r="M364" i="2"/>
  <c r="N79" i="2"/>
  <c r="O43" i="2"/>
  <c r="F43" i="2"/>
  <c r="M353" i="2"/>
  <c r="D76" i="2"/>
  <c r="H224" i="2"/>
  <c r="H40" i="2"/>
  <c r="Q324" i="2"/>
  <c r="M370" i="2"/>
  <c r="K348" i="2"/>
  <c r="E357" i="2"/>
  <c r="I61" i="2"/>
  <c r="P235" i="2"/>
  <c r="P289" i="2"/>
  <c r="Q124" i="2"/>
  <c r="F32" i="2"/>
  <c r="E283" i="2"/>
  <c r="H118" i="2"/>
  <c r="N102" i="2"/>
  <c r="G28" i="2"/>
  <c r="K322" i="2"/>
  <c r="E145" i="2"/>
  <c r="J67" i="2"/>
  <c r="Q150" i="2"/>
  <c r="L333" i="2"/>
  <c r="O311" i="2"/>
  <c r="E174" i="2"/>
  <c r="I137" i="2"/>
  <c r="P356" i="2"/>
  <c r="P274" i="2"/>
  <c r="F264" i="2"/>
  <c r="E98" i="2"/>
  <c r="M138" i="2"/>
  <c r="P70" i="2"/>
  <c r="O282" i="2"/>
  <c r="E351" i="2"/>
  <c r="O95" i="2"/>
  <c r="P251" i="2"/>
  <c r="F348" i="2"/>
  <c r="L70" i="2"/>
  <c r="I243" i="2"/>
  <c r="Q39" i="2"/>
  <c r="N353" i="2"/>
  <c r="P193" i="2"/>
  <c r="K210" i="2"/>
  <c r="F51" i="2"/>
  <c r="N44" i="2"/>
  <c r="D66" i="2"/>
  <c r="G354" i="2"/>
  <c r="E329" i="2"/>
  <c r="F320" i="2"/>
  <c r="Q103" i="2"/>
  <c r="G140" i="2"/>
  <c r="H175" i="2"/>
  <c r="Q50" i="2"/>
  <c r="N192" i="2"/>
  <c r="M273" i="2"/>
  <c r="D268" i="2"/>
  <c r="P151" i="2"/>
  <c r="I268" i="2"/>
  <c r="M360" i="2"/>
  <c r="P191" i="2"/>
  <c r="F307" i="2"/>
  <c r="N379" i="2"/>
  <c r="F161" i="2"/>
  <c r="I189" i="2"/>
  <c r="J149" i="2"/>
  <c r="D245" i="2"/>
  <c r="K218" i="2"/>
  <c r="D181" i="2"/>
  <c r="G165" i="2"/>
  <c r="D88" i="2"/>
  <c r="P271" i="2"/>
  <c r="O297" i="2"/>
  <c r="F130" i="2"/>
  <c r="J126" i="2"/>
  <c r="D383" i="2"/>
  <c r="O251" i="2"/>
  <c r="M72" i="2"/>
  <c r="J262" i="2"/>
  <c r="Q76" i="2"/>
  <c r="M239" i="2"/>
  <c r="N210" i="2"/>
  <c r="O295" i="2"/>
  <c r="P110" i="2"/>
  <c r="I238" i="2"/>
  <c r="K73" i="2"/>
  <c r="F222" i="2"/>
  <c r="P102" i="2"/>
  <c r="G58" i="2"/>
  <c r="Q176" i="2"/>
  <c r="H69" i="2"/>
  <c r="G282" i="2"/>
  <c r="E379" i="2"/>
  <c r="F346" i="2"/>
  <c r="N368" i="2"/>
  <c r="J304" i="2"/>
  <c r="I248" i="2"/>
  <c r="Q347" i="2"/>
  <c r="N164" i="2"/>
  <c r="H42" i="2"/>
  <c r="L362" i="2"/>
  <c r="O268" i="2"/>
  <c r="H151" i="2"/>
  <c r="H184" i="2"/>
  <c r="E64" i="2"/>
  <c r="Q63" i="2"/>
  <c r="J106" i="2"/>
  <c r="H200" i="2"/>
  <c r="P239" i="2"/>
  <c r="E84" i="2"/>
  <c r="L28" i="2"/>
  <c r="I130" i="2"/>
  <c r="D180" i="2"/>
  <c r="K176" i="2"/>
  <c r="M207" i="2"/>
  <c r="M31" i="2"/>
  <c r="K150" i="2"/>
  <c r="E233" i="2"/>
  <c r="H196" i="2"/>
  <c r="Q229" i="2"/>
  <c r="I57" i="2"/>
  <c r="L379" i="2"/>
  <c r="L302" i="2"/>
  <c r="I366" i="2"/>
  <c r="Q385" i="2"/>
  <c r="L26" i="2"/>
  <c r="I383" i="2"/>
  <c r="H90" i="2"/>
  <c r="L41" i="2"/>
  <c r="E207" i="2"/>
  <c r="H108" i="2"/>
  <c r="H223" i="2"/>
  <c r="J272" i="2"/>
  <c r="N182" i="2"/>
  <c r="D183" i="2"/>
  <c r="F102" i="2"/>
  <c r="E39" i="2"/>
  <c r="M68" i="2"/>
  <c r="D282" i="2"/>
  <c r="J310" i="2"/>
  <c r="H21" i="2"/>
  <c r="E307" i="2"/>
  <c r="O340" i="2"/>
  <c r="N196" i="2"/>
  <c r="L118" i="2"/>
  <c r="I32" i="2"/>
  <c r="I98" i="2"/>
  <c r="L365" i="2"/>
  <c r="K23" i="2"/>
  <c r="D44" i="2"/>
  <c r="F378" i="2"/>
  <c r="E317" i="2"/>
  <c r="E282" i="2"/>
  <c r="Q94" i="2"/>
  <c r="N185" i="2"/>
  <c r="E349" i="2"/>
  <c r="L186" i="2"/>
  <c r="I75" i="2"/>
  <c r="K113" i="2"/>
  <c r="L375" i="2"/>
  <c r="G152" i="2"/>
  <c r="D217" i="2"/>
  <c r="D325" i="2"/>
  <c r="N261" i="2"/>
  <c r="D172" i="2"/>
  <c r="E166" i="2"/>
  <c r="L213" i="2"/>
  <c r="M81" i="2"/>
  <c r="O196" i="2"/>
  <c r="O85" i="2"/>
  <c r="D110" i="2"/>
  <c r="Q78" i="2"/>
  <c r="E54" i="2"/>
  <c r="L109" i="2"/>
  <c r="D99" i="2"/>
  <c r="H360" i="2"/>
  <c r="P378" i="2"/>
  <c r="I99" i="2"/>
  <c r="J141" i="2"/>
  <c r="J104" i="2"/>
  <c r="H41" i="2"/>
  <c r="P262" i="2"/>
  <c r="F160" i="2"/>
  <c r="H82" i="2"/>
  <c r="G259" i="2"/>
  <c r="O149" i="2"/>
  <c r="L174" i="2"/>
  <c r="M117" i="2"/>
  <c r="L159" i="2"/>
  <c r="L175" i="2"/>
  <c r="D297" i="2"/>
  <c r="H353" i="2"/>
  <c r="M171" i="2"/>
  <c r="M99" i="2"/>
  <c r="G166" i="2"/>
  <c r="P100" i="2"/>
  <c r="M286" i="2"/>
  <c r="F31" i="2"/>
  <c r="H111" i="2"/>
  <c r="E252" i="2"/>
  <c r="I28" i="2"/>
  <c r="Q95" i="2"/>
  <c r="Q111" i="2"/>
  <c r="H128" i="2"/>
  <c r="J40" i="2"/>
  <c r="K286" i="2"/>
  <c r="G171" i="2"/>
  <c r="H335" i="2"/>
  <c r="E147" i="2"/>
  <c r="H28" i="2"/>
  <c r="N198" i="2"/>
  <c r="P112" i="2"/>
  <c r="M347" i="2"/>
  <c r="N268" i="2"/>
  <c r="H311" i="2"/>
  <c r="F246" i="2"/>
  <c r="I249" i="2"/>
  <c r="K346" i="2"/>
  <c r="D215" i="2"/>
  <c r="H261" i="2"/>
  <c r="E356" i="2"/>
  <c r="J334" i="2"/>
  <c r="H204" i="2"/>
  <c r="D92" i="2"/>
  <c r="G185" i="2"/>
  <c r="K316" i="2"/>
  <c r="G176" i="2"/>
  <c r="E212" i="2"/>
  <c r="M49" i="2"/>
  <c r="M65" i="2"/>
  <c r="K319" i="2"/>
  <c r="J76" i="2"/>
  <c r="J186" i="2"/>
  <c r="H32" i="2"/>
  <c r="D39" i="2"/>
  <c r="K100" i="2"/>
  <c r="F328" i="2"/>
  <c r="N21" i="2"/>
  <c r="O138" i="2"/>
  <c r="K58" i="2"/>
  <c r="Q365" i="2"/>
  <c r="H306" i="2"/>
  <c r="P186" i="2"/>
  <c r="F216" i="2"/>
  <c r="G169" i="2"/>
  <c r="O144" i="2"/>
  <c r="F370" i="2"/>
  <c r="L210" i="2"/>
  <c r="P101" i="2"/>
  <c r="F277" i="2"/>
  <c r="N157" i="2"/>
  <c r="K80" i="2"/>
  <c r="J99" i="2"/>
  <c r="L74" i="2"/>
  <c r="J271" i="2"/>
  <c r="D349" i="2"/>
  <c r="K223" i="2"/>
  <c r="G51" i="2"/>
  <c r="K347" i="2"/>
  <c r="P16" i="2"/>
  <c r="L62" i="2"/>
  <c r="L71" i="2"/>
  <c r="Q60" i="2"/>
  <c r="N327" i="2"/>
  <c r="L324" i="2"/>
  <c r="H84" i="2"/>
  <c r="N346" i="2"/>
  <c r="M58" i="2"/>
  <c r="D38" i="2"/>
  <c r="I242" i="2"/>
  <c r="J385" i="2"/>
  <c r="M247" i="2"/>
  <c r="J266" i="2"/>
  <c r="P373" i="2"/>
  <c r="O129" i="2"/>
  <c r="O364" i="2"/>
  <c r="H198" i="2"/>
  <c r="M233" i="2"/>
  <c r="D115" i="2"/>
  <c r="G82" i="2"/>
  <c r="M102" i="2"/>
  <c r="M336" i="2"/>
  <c r="J79" i="2"/>
  <c r="J268" i="2"/>
  <c r="G270" i="2"/>
  <c r="L158" i="2"/>
  <c r="L128" i="2"/>
  <c r="P263" i="2"/>
  <c r="I206" i="2"/>
  <c r="K349" i="2"/>
  <c r="I26" i="2"/>
  <c r="O386" i="2"/>
  <c r="L305" i="2"/>
  <c r="D41" i="2"/>
  <c r="E30" i="2"/>
  <c r="O160" i="2"/>
  <c r="M225" i="2"/>
  <c r="I351" i="2"/>
  <c r="H138" i="2"/>
  <c r="I95" i="2"/>
  <c r="I244" i="2"/>
  <c r="G352" i="2"/>
  <c r="K259" i="2"/>
  <c r="K275" i="2"/>
  <c r="J202" i="2"/>
  <c r="N83" i="2"/>
  <c r="G246" i="2"/>
  <c r="L311" i="2"/>
  <c r="Q194" i="2"/>
  <c r="G87" i="2"/>
  <c r="O195" i="2"/>
  <c r="F145" i="2"/>
  <c r="D57" i="2"/>
  <c r="I254" i="2"/>
  <c r="M168" i="2"/>
  <c r="Q88" i="2"/>
  <c r="E155" i="2"/>
  <c r="D168" i="2"/>
  <c r="H283" i="2"/>
  <c r="J123" i="2"/>
  <c r="P171" i="2"/>
  <c r="E167" i="2"/>
  <c r="L117" i="2"/>
  <c r="F48" i="2"/>
  <c r="G202" i="2"/>
  <c r="E303" i="2"/>
  <c r="D258" i="2"/>
  <c r="M44" i="2"/>
  <c r="Q143" i="2"/>
  <c r="H380" i="2"/>
  <c r="F357" i="2"/>
  <c r="I361" i="2"/>
  <c r="K184" i="2"/>
  <c r="E355" i="2"/>
  <c r="N377" i="2"/>
  <c r="Q354" i="2"/>
  <c r="N109" i="2"/>
  <c r="H247" i="2"/>
  <c r="M62" i="2"/>
  <c r="G281" i="2"/>
  <c r="J19" i="2"/>
  <c r="F213" i="2"/>
  <c r="I260" i="2"/>
  <c r="Q147" i="2"/>
  <c r="G228" i="2"/>
  <c r="Q271" i="2"/>
  <c r="O205" i="2"/>
  <c r="M369" i="2"/>
  <c r="O372" i="2"/>
  <c r="G384" i="2"/>
  <c r="P180" i="2"/>
  <c r="Q36" i="2"/>
  <c r="N296" i="2"/>
  <c r="O258" i="2"/>
  <c r="J259" i="2"/>
  <c r="L219" i="2"/>
  <c r="J158" i="2"/>
  <c r="P268" i="2"/>
  <c r="O30" i="2"/>
  <c r="Q133" i="2"/>
  <c r="G298" i="2"/>
  <c r="N20" i="2"/>
  <c r="M202" i="2"/>
  <c r="L59" i="2"/>
  <c r="F49" i="2"/>
  <c r="M104" i="2"/>
  <c r="E312" i="2"/>
  <c r="D165" i="2"/>
  <c r="O54" i="2"/>
  <c r="G90" i="2"/>
  <c r="H276" i="2"/>
  <c r="H115" i="2"/>
  <c r="I360" i="2"/>
  <c r="D238" i="2"/>
  <c r="E315" i="2"/>
  <c r="J380" i="2"/>
  <c r="N312" i="2"/>
  <c r="P240" i="2"/>
  <c r="H61" i="2"/>
  <c r="N332" i="2"/>
  <c r="H142" i="2"/>
  <c r="P39" i="2"/>
  <c r="G48" i="2"/>
  <c r="I14" i="2"/>
  <c r="K302" i="2"/>
  <c r="Q193" i="2"/>
  <c r="N85" i="2"/>
  <c r="O200" i="2"/>
  <c r="G138" i="2"/>
  <c r="N28" i="2"/>
  <c r="N307" i="2"/>
  <c r="O316" i="2"/>
  <c r="Q202" i="2"/>
  <c r="M100" i="2"/>
  <c r="P172" i="2"/>
  <c r="F91" i="2"/>
  <c r="N179" i="2"/>
  <c r="H18" i="2"/>
  <c r="N133" i="2"/>
  <c r="L386" i="2"/>
  <c r="L304" i="2"/>
  <c r="I42" i="2"/>
  <c r="O367" i="2"/>
  <c r="O107" i="2"/>
  <c r="H370" i="2"/>
  <c r="Q22" i="2"/>
  <c r="O374" i="2"/>
  <c r="G17" i="2"/>
  <c r="F175" i="2"/>
  <c r="G251" i="2"/>
  <c r="D182" i="2"/>
  <c r="Q144" i="2"/>
  <c r="J249" i="2"/>
  <c r="H295" i="2"/>
  <c r="E96" i="2"/>
  <c r="M305" i="2"/>
  <c r="F166" i="2"/>
  <c r="E15" i="2"/>
  <c r="Q381" i="2"/>
  <c r="M242" i="2"/>
  <c r="P215" i="2"/>
  <c r="J323" i="2"/>
  <c r="J256" i="2"/>
  <c r="O253" i="2"/>
  <c r="I339" i="2"/>
  <c r="Q307" i="2"/>
  <c r="G276" i="2"/>
  <c r="H382" i="2"/>
  <c r="Q179" i="2"/>
  <c r="G146" i="2"/>
  <c r="L306" i="2"/>
  <c r="D90" i="2"/>
  <c r="L86" i="2"/>
  <c r="G331" i="2"/>
  <c r="Q356" i="2"/>
  <c r="G327" i="2"/>
  <c r="F255" i="2"/>
  <c r="F195" i="2"/>
  <c r="I217" i="2"/>
  <c r="E209" i="2"/>
  <c r="L83" i="2"/>
  <c r="Q232" i="2"/>
  <c r="P330" i="2"/>
  <c r="D98" i="2"/>
  <c r="M335" i="2"/>
  <c r="D27" i="2"/>
  <c r="O342" i="2"/>
  <c r="L327" i="2"/>
  <c r="M268" i="2"/>
  <c r="I19" i="2"/>
  <c r="L154" i="2"/>
  <c r="J253" i="2"/>
  <c r="M324" i="2"/>
  <c r="Q343" i="2"/>
  <c r="N374" i="2"/>
  <c r="L315" i="2"/>
  <c r="O53" i="2"/>
  <c r="J225" i="2"/>
  <c r="J314" i="2"/>
  <c r="J23" i="2"/>
  <c r="G95" i="2"/>
  <c r="F22" i="2"/>
  <c r="D274" i="2"/>
  <c r="D246" i="2"/>
  <c r="P46" i="2"/>
  <c r="M179" i="2"/>
  <c r="K30" i="2"/>
  <c r="D330" i="2"/>
  <c r="N112" i="2"/>
  <c r="Q112" i="2"/>
  <c r="F81" i="2"/>
  <c r="J320" i="2"/>
  <c r="O306" i="2"/>
  <c r="N168" i="2"/>
  <c r="G100" i="2"/>
  <c r="N65" i="2"/>
  <c r="Q293" i="2"/>
  <c r="K208" i="2"/>
  <c r="N265" i="2"/>
  <c r="L342" i="2"/>
  <c r="L189" i="2"/>
  <c r="F299" i="2"/>
  <c r="L87" i="2"/>
  <c r="N156" i="2"/>
  <c r="L145" i="2"/>
  <c r="I148" i="2"/>
  <c r="M287" i="2"/>
  <c r="P247" i="2"/>
  <c r="P185" i="2"/>
  <c r="L129" i="2"/>
  <c r="N96" i="2"/>
  <c r="O384" i="2"/>
  <c r="F158" i="2"/>
  <c r="K303" i="2"/>
  <c r="O345" i="2"/>
  <c r="I256" i="2"/>
  <c r="E122" i="2"/>
  <c r="Q327" i="2"/>
  <c r="K279" i="2"/>
  <c r="I21" i="2"/>
  <c r="L276" i="2"/>
  <c r="O349" i="2"/>
  <c r="G353" i="2"/>
  <c r="L266" i="2"/>
  <c r="D279" i="2"/>
  <c r="M238" i="2"/>
  <c r="D290" i="2"/>
  <c r="P301" i="2"/>
  <c r="Q131" i="2"/>
  <c r="H212" i="2"/>
  <c r="F135" i="2"/>
  <c r="N244" i="2"/>
  <c r="H62" i="2"/>
  <c r="I219" i="2"/>
  <c r="F259" i="2"/>
  <c r="N263" i="2"/>
  <c r="M292" i="2"/>
  <c r="O32" i="2"/>
  <c r="P87" i="2"/>
  <c r="Q299" i="2"/>
  <c r="I208" i="2"/>
  <c r="E337" i="2"/>
  <c r="M34" i="2"/>
  <c r="Q43" i="2"/>
  <c r="P53" i="2"/>
  <c r="J311" i="2"/>
  <c r="H93" i="2"/>
  <c r="P383" i="2"/>
  <c r="P270" i="2"/>
  <c r="L168" i="2"/>
  <c r="Q91" i="2"/>
  <c r="O360" i="2"/>
  <c r="K263" i="2"/>
  <c r="J317" i="2"/>
  <c r="L283" i="2"/>
  <c r="L366" i="2"/>
  <c r="I38" i="2"/>
  <c r="I340" i="2"/>
  <c r="K151" i="2"/>
  <c r="Q360" i="2"/>
  <c r="Q69" i="2"/>
  <c r="G267" i="2"/>
  <c r="F291" i="2"/>
  <c r="D360" i="2"/>
  <c r="O232" i="2"/>
  <c r="P293" i="2"/>
  <c r="G101" i="2"/>
  <c r="I138" i="2"/>
  <c r="M169" i="2"/>
  <c r="L273" i="2"/>
  <c r="O380" i="2"/>
  <c r="K197" i="2"/>
  <c r="K230" i="2"/>
  <c r="N237" i="2"/>
  <c r="M142" i="2"/>
  <c r="L44" i="2"/>
  <c r="K354" i="2"/>
  <c r="N365" i="2"/>
  <c r="P360" i="2"/>
  <c r="L351" i="2"/>
  <c r="I143" i="2"/>
  <c r="J72" i="2"/>
  <c r="O171" i="2"/>
  <c r="E99" i="2"/>
  <c r="H366" i="2"/>
  <c r="O105" i="2"/>
  <c r="G14" i="2"/>
  <c r="P300" i="2"/>
  <c r="D22" i="2"/>
  <c r="Q255" i="2"/>
  <c r="E210" i="2"/>
  <c r="O14" i="2"/>
  <c r="P34" i="2"/>
  <c r="M46" i="2"/>
  <c r="H121" i="2"/>
  <c r="E289" i="2"/>
  <c r="L196" i="2"/>
  <c r="E197" i="2"/>
  <c r="I378" i="2"/>
  <c r="N320" i="2"/>
  <c r="I135" i="2"/>
  <c r="Q242" i="2"/>
  <c r="L240" i="2"/>
  <c r="H145" i="2"/>
  <c r="G365" i="2"/>
  <c r="J209" i="2"/>
  <c r="K27" i="2"/>
  <c r="N66" i="2"/>
  <c r="N243" i="2"/>
  <c r="E202" i="2"/>
  <c r="J199" i="2"/>
  <c r="F134" i="2"/>
  <c r="E168" i="2"/>
  <c r="E113" i="2"/>
  <c r="M90" i="2"/>
  <c r="M198" i="2"/>
  <c r="L72" i="2"/>
  <c r="O327" i="2"/>
  <c r="O25" i="2"/>
  <c r="J382" i="2"/>
  <c r="E353" i="2"/>
  <c r="J278" i="2"/>
  <c r="N258" i="2"/>
  <c r="J282" i="2"/>
  <c r="I309" i="2"/>
  <c r="N264" i="2"/>
  <c r="I380" i="2"/>
  <c r="Q149" i="2"/>
  <c r="I371" i="2"/>
  <c r="D87" i="2"/>
  <c r="E192" i="2"/>
  <c r="E163" i="2"/>
  <c r="M283" i="2"/>
  <c r="O137" i="2"/>
  <c r="N209" i="2"/>
  <c r="O355" i="2"/>
  <c r="N199" i="2"/>
  <c r="Q106" i="2"/>
  <c r="I289" i="2"/>
  <c r="F367" i="2"/>
  <c r="Q19" i="2"/>
  <c r="Q31" i="2"/>
  <c r="P126" i="2"/>
  <c r="O184" i="2"/>
  <c r="O307" i="2"/>
  <c r="I126" i="2"/>
  <c r="F374" i="2"/>
  <c r="G263" i="2"/>
  <c r="G269" i="2"/>
  <c r="D229" i="2"/>
  <c r="K237" i="2"/>
  <c r="L373" i="2"/>
  <c r="P266" i="2"/>
  <c r="J29" i="2"/>
  <c r="D51" i="2"/>
  <c r="G62" i="2"/>
  <c r="G106" i="2"/>
  <c r="P248" i="2"/>
  <c r="E278" i="2"/>
  <c r="H37" i="2"/>
  <c r="Q174" i="2"/>
  <c r="O82" i="2"/>
  <c r="D236" i="2"/>
  <c r="Q123" i="2"/>
  <c r="O227" i="2"/>
  <c r="F250" i="2"/>
  <c r="N36" i="2"/>
  <c r="O182" i="2"/>
  <c r="D214" i="2"/>
  <c r="E134" i="2"/>
  <c r="F366" i="2"/>
  <c r="K305" i="2"/>
  <c r="G92" i="2"/>
  <c r="O42" i="2"/>
  <c r="D343" i="2"/>
  <c r="K24" i="2"/>
  <c r="J306" i="2"/>
  <c r="F140" i="2"/>
  <c r="O347" i="2"/>
  <c r="N81" i="2"/>
  <c r="F100" i="2"/>
  <c r="E21" i="2"/>
  <c r="D224" i="2"/>
  <c r="L135" i="2"/>
  <c r="K293" i="2"/>
  <c r="M322" i="2"/>
  <c r="H70" i="2"/>
  <c r="J279" i="2"/>
  <c r="F54" i="2"/>
  <c r="K215" i="2"/>
  <c r="K209" i="2"/>
  <c r="J15" i="2"/>
  <c r="H75" i="2"/>
  <c r="K261" i="2"/>
  <c r="I330" i="2"/>
  <c r="N354" i="2"/>
  <c r="G264" i="2"/>
  <c r="N249" i="2"/>
  <c r="I52" i="2"/>
  <c r="D326" i="2"/>
  <c r="O323" i="2"/>
  <c r="F199" i="2"/>
  <c r="M64" i="2"/>
  <c r="E151" i="2"/>
  <c r="L248" i="2"/>
  <c r="K328" i="2"/>
  <c r="I33" i="2"/>
  <c r="K252" i="2"/>
  <c r="I167" i="2"/>
  <c r="J98" i="2"/>
  <c r="H378" i="2"/>
  <c r="H195" i="2"/>
  <c r="I88" i="2"/>
  <c r="G153" i="2"/>
  <c r="N303" i="2"/>
  <c r="K274" i="2"/>
  <c r="F137" i="2"/>
  <c r="K344" i="2"/>
  <c r="L300" i="2"/>
  <c r="G68" i="2"/>
  <c r="M82" i="2"/>
  <c r="Q132" i="2"/>
  <c r="O18" i="2"/>
  <c r="D331" i="2"/>
  <c r="J371" i="2"/>
  <c r="P255" i="2"/>
  <c r="M150" i="2"/>
  <c r="N257" i="2"/>
  <c r="K364" i="2"/>
  <c r="K207" i="2"/>
  <c r="O17" i="2"/>
  <c r="N40" i="2"/>
  <c r="P377" i="2"/>
  <c r="N91" i="2"/>
  <c r="P265" i="2"/>
  <c r="P209" i="2"/>
  <c r="I294" i="2"/>
  <c r="H197" i="2"/>
  <c r="M385" i="2"/>
  <c r="D127" i="2"/>
  <c r="P299" i="2"/>
  <c r="J75" i="2"/>
  <c r="N52" i="2"/>
  <c r="N70" i="2"/>
  <c r="G340" i="2"/>
  <c r="F117" i="2"/>
  <c r="M125" i="2"/>
  <c r="F257" i="2"/>
  <c r="F98" i="2"/>
  <c r="Q72" i="2"/>
  <c r="M215" i="2"/>
  <c r="K54" i="2"/>
  <c r="P250" i="2"/>
  <c r="L95" i="2"/>
  <c r="M170" i="2"/>
  <c r="Q55" i="2"/>
  <c r="I373" i="2"/>
  <c r="E87" i="2"/>
  <c r="L263" i="2"/>
  <c r="H139" i="2"/>
  <c r="G59" i="2"/>
  <c r="E346" i="2"/>
  <c r="O157" i="2"/>
  <c r="K212" i="2"/>
  <c r="K82" i="2"/>
  <c r="D327" i="2"/>
  <c r="F52" i="2"/>
  <c r="N266" i="2"/>
  <c r="F219" i="2"/>
  <c r="I284" i="2"/>
  <c r="P79" i="2"/>
  <c r="P49" i="2"/>
  <c r="F120" i="2"/>
  <c r="J183" i="2"/>
  <c r="F57" i="2"/>
  <c r="I329" i="2"/>
  <c r="O313" i="2"/>
  <c r="K310" i="2"/>
  <c r="P82" i="2"/>
  <c r="K326" i="2"/>
  <c r="P143" i="2"/>
  <c r="J30" i="2"/>
  <c r="D200" i="2"/>
  <c r="L106" i="2"/>
  <c r="F182" i="2"/>
  <c r="N15" i="2"/>
  <c r="D128" i="2"/>
  <c r="G356" i="2"/>
  <c r="L163" i="2"/>
  <c r="H355" i="2"/>
  <c r="J227" i="2"/>
  <c r="F278" i="2"/>
  <c r="L330" i="2"/>
  <c r="O191" i="2"/>
  <c r="D171" i="2"/>
  <c r="I114" i="2"/>
  <c r="F69" i="2"/>
  <c r="G250" i="2"/>
  <c r="N235" i="2"/>
  <c r="H315" i="2"/>
  <c r="H362" i="2"/>
  <c r="K203" i="2"/>
  <c r="N25" i="2"/>
  <c r="Q309" i="2"/>
  <c r="M195" i="2"/>
  <c r="G124" i="2"/>
  <c r="N191" i="2"/>
  <c r="D285" i="2"/>
  <c r="E140" i="2"/>
  <c r="I159" i="2"/>
  <c r="I177" i="2"/>
  <c r="H331" i="2"/>
  <c r="L103" i="2"/>
  <c r="P260" i="2"/>
  <c r="K144" i="2"/>
  <c r="I231" i="2"/>
  <c r="G33" i="2"/>
  <c r="O21" i="2"/>
  <c r="L164" i="2"/>
  <c r="E226" i="2"/>
  <c r="P308" i="2"/>
  <c r="I23" i="2"/>
  <c r="D269" i="2"/>
  <c r="L296" i="2"/>
  <c r="G81" i="2"/>
  <c r="H253" i="2"/>
  <c r="P296" i="2"/>
  <c r="N14" i="2"/>
  <c r="K17" i="2"/>
  <c r="L139" i="2"/>
  <c r="M173" i="2"/>
  <c r="H260" i="2"/>
  <c r="D17" i="2"/>
  <c r="L116" i="2"/>
  <c r="O49" i="2"/>
  <c r="J24" i="2"/>
  <c r="E70" i="2"/>
  <c r="F379" i="2"/>
  <c r="E299" i="2"/>
  <c r="M346" i="2"/>
  <c r="N333" i="2"/>
  <c r="O61" i="2"/>
  <c r="M129" i="2"/>
  <c r="O187" i="2"/>
  <c r="L380" i="2"/>
  <c r="Q219" i="2"/>
  <c r="O185" i="2"/>
  <c r="N285" i="2"/>
  <c r="E234" i="2"/>
  <c r="L232" i="2"/>
  <c r="M218" i="2"/>
  <c r="G321" i="2"/>
  <c r="N338" i="2"/>
  <c r="H83" i="2"/>
  <c r="F270" i="2"/>
  <c r="E55" i="2"/>
  <c r="O183" i="2"/>
  <c r="J373" i="2"/>
  <c r="H245" i="2"/>
  <c r="G121" i="2"/>
  <c r="E62" i="2"/>
  <c r="I85" i="2"/>
  <c r="P119" i="2"/>
  <c r="E243" i="2"/>
  <c r="G104" i="2"/>
  <c r="M348" i="2"/>
  <c r="F311" i="2"/>
  <c r="K313" i="2"/>
  <c r="J349" i="2"/>
  <c r="H74" i="2"/>
  <c r="D104" i="2"/>
  <c r="H112" i="2"/>
  <c r="D334" i="2"/>
  <c r="M258" i="2"/>
  <c r="M377" i="2"/>
  <c r="Q351" i="2"/>
  <c r="D130" i="2"/>
  <c r="O56" i="2"/>
  <c r="K137" i="2"/>
  <c r="O75" i="2"/>
  <c r="N322" i="2"/>
  <c r="G141" i="2"/>
  <c r="P253" i="2"/>
  <c r="G182" i="2"/>
  <c r="G108" i="2"/>
  <c r="D167" i="2"/>
  <c r="N204" i="2"/>
  <c r="F258" i="2"/>
  <c r="J252" i="2"/>
  <c r="D295" i="2"/>
  <c r="P131" i="2"/>
  <c r="K53" i="2"/>
  <c r="Q357" i="2"/>
  <c r="K122" i="2"/>
  <c r="O273" i="2"/>
  <c r="F44" i="2"/>
  <c r="M356" i="2"/>
  <c r="D355" i="2"/>
  <c r="J212" i="2"/>
  <c r="L14" i="2"/>
  <c r="Q361" i="2"/>
  <c r="K33" i="2"/>
  <c r="D28" i="2"/>
  <c r="Q325" i="2"/>
  <c r="O243" i="2"/>
  <c r="Q197" i="2"/>
  <c r="F73" i="2"/>
  <c r="Q237" i="2"/>
  <c r="N373" i="2"/>
  <c r="P341" i="2"/>
  <c r="K133" i="2"/>
  <c r="O151" i="2"/>
  <c r="P261" i="2"/>
  <c r="M228" i="2"/>
  <c r="L99" i="2"/>
  <c r="H241" i="2"/>
  <c r="Q108" i="2"/>
  <c r="M128" i="2"/>
  <c r="P323" i="2"/>
  <c r="M30" i="2"/>
  <c r="F359" i="2"/>
  <c r="M261" i="2"/>
  <c r="J16" i="2"/>
  <c r="F190" i="2"/>
  <c r="M279" i="2"/>
  <c r="K194" i="2"/>
  <c r="K273" i="2"/>
  <c r="N284" i="2"/>
  <c r="O302" i="2"/>
  <c r="D212" i="2"/>
  <c r="D134" i="2"/>
  <c r="E106" i="2"/>
  <c r="P352" i="2"/>
  <c r="H384" i="2"/>
  <c r="M223" i="2"/>
  <c r="F154" i="2"/>
  <c r="J242" i="2"/>
  <c r="H325" i="2"/>
  <c r="J356" i="2"/>
  <c r="K329" i="2"/>
  <c r="I116" i="2"/>
  <c r="E370" i="2"/>
  <c r="L231" i="2"/>
  <c r="O83" i="2"/>
  <c r="D53" i="2"/>
  <c r="O104" i="2"/>
  <c r="E78" i="2"/>
  <c r="L123" i="2"/>
  <c r="F185" i="2"/>
  <c r="Q314" i="2"/>
  <c r="F290" i="2"/>
  <c r="D267" i="2"/>
  <c r="P342" i="2"/>
  <c r="O86" i="2"/>
  <c r="J111" i="2"/>
  <c r="J53" i="2"/>
  <c r="O344" i="2"/>
  <c r="E72" i="2"/>
  <c r="E372" i="2"/>
  <c r="Q177" i="2"/>
  <c r="L24" i="2"/>
  <c r="D14" i="2"/>
  <c r="Q153" i="2"/>
  <c r="J264" i="2"/>
  <c r="P14" i="2"/>
  <c r="N39" i="2"/>
  <c r="P35" i="2"/>
  <c r="M122" i="2"/>
  <c r="D296" i="2"/>
  <c r="D376" i="2"/>
  <c r="J351" i="2"/>
  <c r="H286" i="2"/>
  <c r="J326" i="2"/>
  <c r="H34" i="2"/>
  <c r="H146" i="2"/>
  <c r="L132" i="2"/>
  <c r="H254" i="2"/>
  <c r="N35" i="2"/>
  <c r="K353" i="2"/>
  <c r="G198" i="2"/>
  <c r="K124" i="2"/>
  <c r="M89" i="2"/>
  <c r="G343" i="2"/>
  <c r="D85" i="2"/>
  <c r="G112" i="2"/>
  <c r="G364" i="2"/>
  <c r="H258" i="2"/>
  <c r="M342" i="2"/>
  <c r="Q175" i="2"/>
  <c r="I54" i="2"/>
  <c r="N50" i="2"/>
  <c r="I235" i="2"/>
  <c r="D52" i="2"/>
  <c r="G224" i="2"/>
  <c r="P162" i="2"/>
  <c r="L224" i="2"/>
  <c r="N314" i="2"/>
  <c r="O167" i="2"/>
  <c r="I352" i="2"/>
  <c r="N299" i="2"/>
  <c r="F233" i="2"/>
  <c r="L363" i="2"/>
  <c r="F198" i="2"/>
  <c r="J375" i="2"/>
  <c r="F111" i="2"/>
  <c r="L242" i="2"/>
  <c r="O296" i="2"/>
  <c r="D319" i="2"/>
  <c r="G229" i="2"/>
  <c r="P137" i="2"/>
  <c r="P335" i="2"/>
  <c r="K321" i="2"/>
  <c r="N125" i="2"/>
  <c r="E181" i="2"/>
  <c r="J43" i="2"/>
  <c r="L350" i="2"/>
  <c r="J379" i="2"/>
  <c r="N195" i="2"/>
  <c r="G110" i="2"/>
  <c r="I84" i="2"/>
  <c r="N177" i="2"/>
  <c r="Q276" i="2"/>
  <c r="O74" i="2"/>
  <c r="N306" i="2"/>
  <c r="G369" i="2"/>
  <c r="Q165" i="2"/>
  <c r="I273" i="2"/>
  <c r="Q254" i="2"/>
  <c r="Q140" i="2"/>
  <c r="O20" i="2"/>
  <c r="P170" i="2"/>
  <c r="P259" i="2"/>
  <c r="O357" i="2"/>
  <c r="F121" i="2"/>
  <c r="D122" i="2"/>
  <c r="L17" i="2"/>
  <c r="P322" i="2"/>
  <c r="H79" i="2"/>
  <c r="Q352" i="2"/>
  <c r="K37" i="2"/>
  <c r="Q248" i="2"/>
  <c r="K323" i="2"/>
  <c r="E49" i="2"/>
  <c r="D97" i="2"/>
  <c r="L344" i="2"/>
  <c r="E75" i="2"/>
  <c r="L368" i="2"/>
  <c r="I367" i="2"/>
  <c r="E172" i="2"/>
  <c r="D213" i="2"/>
  <c r="F20" i="2"/>
  <c r="O241" i="2"/>
  <c r="P349" i="2"/>
  <c r="G300" i="2"/>
  <c r="O161" i="2"/>
  <c r="Q253" i="2"/>
  <c r="N78" i="2"/>
  <c r="L114" i="2"/>
  <c r="M86" i="2"/>
  <c r="L31" i="2"/>
  <c r="H132" i="2"/>
  <c r="P123" i="2"/>
  <c r="J372" i="2"/>
  <c r="K289" i="2"/>
  <c r="Q183" i="2"/>
  <c r="F169" i="2"/>
  <c r="H320" i="2"/>
  <c r="E361" i="2"/>
  <c r="K339" i="2"/>
  <c r="N122" i="2"/>
  <c r="D19" i="2"/>
  <c r="O279" i="2"/>
  <c r="J337" i="2"/>
  <c r="L250" i="2"/>
  <c r="F242" i="2"/>
  <c r="N34" i="2"/>
  <c r="F156" i="2"/>
  <c r="G168" i="2"/>
  <c r="O294" i="2"/>
  <c r="N87" i="2"/>
  <c r="J20" i="2"/>
  <c r="Q204" i="2"/>
  <c r="H230" i="2"/>
  <c r="J277" i="2"/>
  <c r="I298" i="2"/>
  <c r="K256" i="2"/>
  <c r="I306" i="2"/>
  <c r="I104" i="2"/>
  <c r="Q65" i="2"/>
  <c r="Q28" i="2"/>
  <c r="O110" i="2"/>
  <c r="F212" i="2"/>
  <c r="F37" i="2"/>
  <c r="D261" i="2"/>
  <c r="I205" i="2"/>
  <c r="J117" i="2"/>
  <c r="G297" i="2"/>
  <c r="F269" i="2"/>
  <c r="L222" i="2"/>
  <c r="L211" i="2"/>
  <c r="G265" i="2"/>
  <c r="E50" i="2"/>
  <c r="O69" i="2"/>
  <c r="L32" i="2"/>
  <c r="M57" i="2"/>
  <c r="P220" i="2"/>
  <c r="G157" i="2"/>
  <c r="Q346" i="2"/>
  <c r="I41" i="2"/>
  <c r="O113" i="2"/>
  <c r="I64" i="2"/>
  <c r="J290" i="2"/>
  <c r="E246" i="2"/>
  <c r="Q252" i="2"/>
  <c r="L18" i="2"/>
  <c r="N286" i="2"/>
  <c r="I201" i="2"/>
  <c r="M27" i="2"/>
  <c r="G237" i="2"/>
  <c r="N348" i="2"/>
  <c r="O381" i="2"/>
  <c r="J134" i="2"/>
  <c r="L299" i="2"/>
  <c r="L167" i="2"/>
  <c r="D254" i="2"/>
  <c r="P128" i="2"/>
  <c r="P269" i="2"/>
  <c r="L349" i="2"/>
  <c r="I296" i="2"/>
  <c r="L47" i="2"/>
  <c r="E250" i="2"/>
  <c r="N141" i="2"/>
  <c r="F50" i="2"/>
  <c r="J151" i="2"/>
  <c r="E121" i="2"/>
  <c r="F262" i="2"/>
  <c r="N49" i="2"/>
  <c r="D362" i="2"/>
  <c r="K361" i="2"/>
  <c r="D375" i="2"/>
  <c r="K296" i="2"/>
  <c r="K255" i="2"/>
  <c r="I133" i="2"/>
  <c r="H309" i="2"/>
  <c r="E125" i="2"/>
  <c r="H68" i="2"/>
  <c r="H273" i="2"/>
  <c r="F14" i="2"/>
  <c r="M301" i="2"/>
  <c r="J122" i="2"/>
  <c r="H180" i="2"/>
  <c r="N189" i="2"/>
  <c r="D299" i="2"/>
  <c r="F131" i="2"/>
  <c r="F301" i="2"/>
  <c r="K26" i="2"/>
  <c r="L157" i="2"/>
  <c r="J232" i="2"/>
  <c r="M362" i="2"/>
  <c r="G56" i="2"/>
  <c r="K226" i="2"/>
  <c r="Q172" i="2"/>
  <c r="F309" i="2"/>
  <c r="E114" i="2"/>
  <c r="G277" i="2"/>
  <c r="K285" i="2"/>
  <c r="F377" i="2"/>
  <c r="K294" i="2"/>
  <c r="H194" i="2"/>
  <c r="I377" i="2"/>
  <c r="Q218" i="2"/>
  <c r="E82" i="2"/>
  <c r="O334" i="2"/>
  <c r="Q128" i="2"/>
  <c r="I43" i="2"/>
  <c r="M160" i="2"/>
  <c r="P258" i="2"/>
  <c r="H280" i="2"/>
  <c r="J254" i="2"/>
  <c r="D21" i="2"/>
  <c r="K102" i="2"/>
  <c r="Q320" i="2"/>
  <c r="F261" i="2"/>
  <c r="H135" i="2"/>
  <c r="G357" i="2"/>
  <c r="J114" i="2"/>
  <c r="Q206" i="2"/>
  <c r="D323" i="2"/>
  <c r="D289" i="2"/>
  <c r="P65" i="2"/>
  <c r="K362" i="2"/>
  <c r="P121" i="2"/>
  <c r="G231" i="2"/>
  <c r="J156" i="2"/>
  <c r="D202" i="2"/>
  <c r="O365" i="2"/>
  <c r="Q53" i="2"/>
  <c r="E323" i="2"/>
  <c r="D71" i="2"/>
  <c r="F119" i="2"/>
  <c r="G382" i="2"/>
  <c r="M374" i="2"/>
  <c r="K379" i="2"/>
  <c r="D143" i="2"/>
  <c r="F194" i="2"/>
  <c r="I213" i="2"/>
  <c r="J344" i="2"/>
  <c r="F308" i="2"/>
  <c r="K128" i="2"/>
  <c r="K187" i="2"/>
  <c r="K268" i="2"/>
  <c r="O224" i="2"/>
  <c r="H53" i="2"/>
  <c r="L359" i="2"/>
  <c r="F350" i="2"/>
  <c r="F42" i="2"/>
  <c r="E297" i="2"/>
  <c r="I357" i="2"/>
  <c r="Q155" i="2"/>
  <c r="Q334" i="2"/>
  <c r="P98" i="2"/>
  <c r="H190" i="2"/>
  <c r="D374" i="2"/>
  <c r="D114" i="2"/>
  <c r="J163" i="2"/>
  <c r="O178" i="2"/>
  <c r="N171" i="2"/>
  <c r="G211" i="2"/>
  <c r="H191" i="2"/>
  <c r="F279" i="2"/>
  <c r="G373" i="2"/>
  <c r="I255" i="2"/>
  <c r="M250" i="2"/>
  <c r="G318" i="2"/>
  <c r="I66" i="2"/>
  <c r="H215" i="2"/>
  <c r="D15" i="2"/>
  <c r="Q296" i="2"/>
  <c r="F325" i="2"/>
  <c r="I315" i="2"/>
  <c r="H385" i="2"/>
  <c r="F56" i="2"/>
  <c r="Q368" i="2"/>
  <c r="P17" i="2"/>
  <c r="J142" i="2"/>
  <c r="D55" i="2"/>
  <c r="E150" i="2"/>
  <c r="Q44" i="2"/>
  <c r="O31" i="2"/>
  <c r="M98" i="2"/>
  <c r="P44" i="2"/>
  <c r="I121" i="2"/>
  <c r="E295" i="2"/>
  <c r="J248" i="2"/>
  <c r="E112" i="2"/>
  <c r="I385" i="2"/>
  <c r="M221" i="2"/>
  <c r="I118" i="2"/>
  <c r="J160" i="2"/>
  <c r="H377" i="2"/>
  <c r="H267" i="2"/>
  <c r="F184" i="2"/>
  <c r="O58" i="2"/>
  <c r="K171" i="2"/>
  <c r="P206" i="2"/>
  <c r="K114" i="2"/>
  <c r="P168" i="2"/>
  <c r="I266" i="2"/>
  <c r="E119" i="2"/>
  <c r="N166" i="2"/>
  <c r="F87" i="2"/>
  <c r="H172" i="2"/>
  <c r="O288" i="2"/>
  <c r="J300" i="2"/>
  <c r="H66" i="2"/>
  <c r="F361" i="2"/>
  <c r="G336" i="2"/>
  <c r="Q64" i="2"/>
  <c r="H271" i="2"/>
  <c r="P25" i="2"/>
  <c r="D187" i="2"/>
  <c r="P363" i="2"/>
  <c r="N29" i="2"/>
  <c r="Q302" i="2"/>
  <c r="G295" i="2"/>
  <c r="I368" i="2"/>
  <c r="D301" i="2"/>
  <c r="F327" i="2"/>
  <c r="N129" i="2"/>
  <c r="O256" i="2"/>
  <c r="N381" i="2"/>
  <c r="D109" i="2"/>
  <c r="K244" i="2"/>
  <c r="O179" i="2"/>
  <c r="J83" i="2"/>
  <c r="E43" i="2"/>
  <c r="Q23" i="2"/>
  <c r="L384" i="2"/>
  <c r="D189" i="2"/>
  <c r="M214" i="2"/>
  <c r="L120" i="2"/>
  <c r="Q203" i="2"/>
  <c r="I300" i="2"/>
  <c r="P198" i="2"/>
  <c r="I93" i="2"/>
  <c r="L50" i="2"/>
  <c r="I34" i="2"/>
  <c r="N24" i="2"/>
  <c r="J312" i="2"/>
  <c r="N136" i="2"/>
  <c r="K284" i="2"/>
  <c r="K360" i="2"/>
  <c r="J321" i="2"/>
  <c r="D252" i="2"/>
  <c r="I281" i="2"/>
  <c r="G88" i="2"/>
  <c r="I236" i="2"/>
  <c r="M92" i="2"/>
  <c r="I344" i="2"/>
  <c r="G84" i="2"/>
  <c r="M323" i="2"/>
  <c r="L172" i="2"/>
  <c r="Q116" i="2"/>
  <c r="P139" i="2"/>
  <c r="P344" i="2"/>
  <c r="Q238" i="2"/>
  <c r="Q146" i="2"/>
  <c r="F217" i="2"/>
  <c r="K69" i="2"/>
  <c r="O19" i="2"/>
  <c r="P153" i="2"/>
  <c r="G131" i="2"/>
  <c r="J281" i="2"/>
  <c r="I337" i="2"/>
  <c r="I97" i="2"/>
  <c r="L23" i="2"/>
  <c r="N27" i="2"/>
  <c r="L321" i="2"/>
  <c r="G191" i="2"/>
  <c r="J97" i="2"/>
  <c r="K271" i="2"/>
  <c r="N118" i="2"/>
  <c r="E101" i="2"/>
  <c r="P157" i="2"/>
  <c r="O315" i="2"/>
  <c r="N256" i="2"/>
  <c r="L212" i="2"/>
  <c r="G313" i="2"/>
  <c r="K253" i="2"/>
  <c r="H222" i="2"/>
  <c r="E188" i="2"/>
  <c r="P207" i="2"/>
  <c r="P136" i="2"/>
  <c r="M45" i="2"/>
  <c r="Q326" i="2"/>
  <c r="D263" i="2"/>
  <c r="G144" i="2"/>
  <c r="L284" i="2"/>
  <c r="D262" i="2"/>
  <c r="J74" i="2"/>
  <c r="I200" i="2"/>
  <c r="L197" i="2"/>
  <c r="Q339" i="2"/>
  <c r="K65" i="2"/>
  <c r="L371" i="2"/>
  <c r="Q117" i="2"/>
  <c r="H168" i="2"/>
  <c r="Q332" i="2"/>
  <c r="E31" i="2"/>
  <c r="E105" i="2"/>
  <c r="D378" i="2"/>
  <c r="M309" i="2"/>
  <c r="H213" i="2"/>
  <c r="M115" i="2"/>
  <c r="G20" i="2"/>
  <c r="F79" i="2"/>
  <c r="Q196" i="2"/>
  <c r="J17" i="2"/>
  <c r="L313" i="2"/>
  <c r="N208" i="2"/>
  <c r="G293" i="2"/>
  <c r="L216" i="2"/>
  <c r="M339" i="2"/>
  <c r="E309" i="2"/>
  <c r="F363" i="2"/>
  <c r="N132" i="2"/>
  <c r="K74" i="2"/>
  <c r="G361" i="2"/>
  <c r="N193" i="2"/>
  <c r="N47" i="2"/>
  <c r="P132" i="2"/>
  <c r="L256" i="2"/>
  <c r="K383" i="2"/>
  <c r="E378" i="2"/>
  <c r="O277" i="2"/>
  <c r="J81" i="2"/>
  <c r="L319" i="2"/>
  <c r="H277" i="2"/>
  <c r="Q273" i="2"/>
  <c r="P37" i="2"/>
  <c r="P224" i="2"/>
  <c r="L113" i="2"/>
  <c r="G60" i="2"/>
  <c r="L138" i="2"/>
  <c r="N251" i="2"/>
  <c r="F235" i="2"/>
  <c r="K188" i="2"/>
  <c r="N305" i="2"/>
  <c r="H363" i="2"/>
  <c r="F62" i="2"/>
  <c r="K378" i="2"/>
  <c r="M139" i="2"/>
  <c r="M298" i="2"/>
  <c r="N178" i="2"/>
  <c r="G208" i="2"/>
  <c r="Q26" i="2"/>
  <c r="L92" i="2"/>
  <c r="I105" i="2"/>
  <c r="E342" i="2"/>
  <c r="I55" i="2"/>
  <c r="J226" i="2"/>
  <c r="M53" i="2"/>
  <c r="M231" i="2"/>
  <c r="K66" i="2"/>
  <c r="K39" i="2"/>
  <c r="P307" i="2"/>
  <c r="O177" i="2"/>
  <c r="H129" i="2"/>
  <c r="L326" i="2"/>
  <c r="P216" i="2"/>
  <c r="L223" i="2"/>
  <c r="Q298" i="2"/>
  <c r="G377" i="2"/>
  <c r="L89" i="2"/>
  <c r="H345" i="2"/>
  <c r="F108" i="2"/>
  <c r="L238" i="2"/>
  <c r="Q209" i="2"/>
  <c r="G111" i="2"/>
  <c r="G346" i="2"/>
  <c r="O287" i="2"/>
  <c r="E100" i="2"/>
  <c r="M76" i="2"/>
  <c r="J92" i="2"/>
  <c r="H157" i="2"/>
  <c r="M191" i="2"/>
  <c r="N339" i="2"/>
  <c r="P210" i="2"/>
  <c r="K19" i="2"/>
  <c r="O148" i="2"/>
  <c r="I356" i="2"/>
  <c r="J178" i="2"/>
  <c r="F139" i="2"/>
  <c r="N359" i="2"/>
  <c r="P56" i="2"/>
  <c r="Q297" i="2"/>
  <c r="G240" i="2"/>
  <c r="H114" i="2"/>
  <c r="M208" i="2"/>
  <c r="O300" i="2"/>
  <c r="P51" i="2"/>
  <c r="H304" i="2"/>
  <c r="P234" i="2"/>
  <c r="E19" i="2"/>
  <c r="D293" i="2"/>
  <c r="E269" i="2"/>
  <c r="P329" i="2"/>
  <c r="K147" i="2"/>
  <c r="N248" i="2"/>
  <c r="N227" i="2"/>
  <c r="G294" i="2"/>
  <c r="M94" i="2"/>
  <c r="K350" i="2"/>
  <c r="I307" i="2"/>
  <c r="G375" i="2"/>
  <c r="I166" i="2"/>
  <c r="F142" i="2"/>
  <c r="D60" i="2"/>
  <c r="I269" i="2"/>
  <c r="Q121" i="2"/>
  <c r="J96" i="2"/>
  <c r="Q207" i="2"/>
  <c r="N250" i="2"/>
  <c r="K331" i="2"/>
  <c r="J155" i="2"/>
  <c r="P368" i="2"/>
  <c r="I362" i="2"/>
  <c r="N38" i="2"/>
  <c r="I50" i="2"/>
  <c r="P105" i="2"/>
  <c r="F243" i="2"/>
  <c r="Q288" i="2"/>
  <c r="F351" i="2"/>
  <c r="K345" i="2"/>
  <c r="D35" i="2"/>
  <c r="Q52" i="2"/>
  <c r="K335" i="2"/>
  <c r="F26" i="2"/>
  <c r="N90" i="2"/>
  <c r="L191" i="2"/>
  <c r="Q190" i="2"/>
  <c r="F16" i="2"/>
  <c r="I39" i="2"/>
  <c r="G71" i="2"/>
  <c r="N72" i="2"/>
  <c r="M318" i="2"/>
  <c r="M327" i="2"/>
  <c r="N128" i="2"/>
  <c r="G243" i="2"/>
  <c r="O276" i="2"/>
  <c r="I16" i="2"/>
  <c r="E383" i="2"/>
  <c r="O371" i="2"/>
  <c r="L367" i="2"/>
  <c r="F80" i="2"/>
  <c r="G310" i="2"/>
  <c r="J303" i="2"/>
  <c r="H321" i="2"/>
  <c r="K229" i="2"/>
  <c r="H287" i="2"/>
  <c r="K247" i="2"/>
  <c r="E336" i="2"/>
  <c r="O337" i="2"/>
  <c r="O335" i="2"/>
  <c r="Q27" i="2"/>
  <c r="Q305" i="2"/>
  <c r="M243" i="2"/>
  <c r="N175" i="2"/>
  <c r="N297" i="2"/>
  <c r="F319" i="2"/>
  <c r="M236" i="2"/>
  <c r="N325" i="2"/>
  <c r="F287" i="2"/>
  <c r="H71" i="2"/>
  <c r="E116" i="2"/>
  <c r="P244" i="2"/>
  <c r="Q126" i="2"/>
  <c r="I215" i="2"/>
  <c r="E38" i="2"/>
  <c r="J361" i="2"/>
  <c r="F144" i="2"/>
  <c r="E127" i="2"/>
  <c r="E201" i="2"/>
  <c r="E376" i="2"/>
  <c r="P149" i="2"/>
  <c r="N267" i="2"/>
  <c r="L177" i="2"/>
  <c r="I301" i="2"/>
  <c r="D45" i="2"/>
  <c r="P188" i="2"/>
  <c r="L227" i="2"/>
  <c r="G379" i="2"/>
  <c r="Q316" i="2"/>
  <c r="M157" i="2"/>
  <c r="L102" i="2"/>
  <c r="G261" i="2"/>
  <c r="G311" i="2"/>
  <c r="G350" i="2"/>
  <c r="Q173" i="2"/>
  <c r="F18" i="2"/>
  <c r="Q264" i="2"/>
  <c r="J22" i="2"/>
  <c r="N366" i="2"/>
  <c r="E231" i="2"/>
  <c r="H251" i="2"/>
  <c r="G26" i="2"/>
  <c r="J188" i="2"/>
  <c r="J228" i="2"/>
  <c r="F64" i="2"/>
  <c r="Q350" i="2"/>
  <c r="Q17" i="2"/>
  <c r="G221" i="2"/>
  <c r="E343" i="2"/>
  <c r="O67" i="2"/>
  <c r="N67" i="2"/>
  <c r="E196" i="2"/>
  <c r="G150" i="2"/>
  <c r="P21" i="2"/>
  <c r="M333" i="2"/>
  <c r="O51" i="2"/>
  <c r="E360" i="2"/>
  <c r="D312" i="2"/>
  <c r="M87" i="2"/>
  <c r="E185" i="2"/>
  <c r="H104" i="2"/>
  <c r="K148" i="2"/>
  <c r="Q383" i="2"/>
  <c r="G126" i="2"/>
  <c r="O88" i="2"/>
  <c r="L98" i="2"/>
  <c r="N222" i="2"/>
  <c r="N32" i="2"/>
  <c r="E296" i="2"/>
  <c r="H206" i="2"/>
  <c r="K272" i="2"/>
  <c r="D116" i="2"/>
  <c r="J171" i="2"/>
  <c r="P257" i="2"/>
  <c r="I359" i="2"/>
  <c r="M226" i="2"/>
  <c r="O285" i="2"/>
  <c r="L94" i="2"/>
  <c r="N165" i="2"/>
  <c r="G339" i="2"/>
  <c r="E171" i="2"/>
  <c r="H244" i="2"/>
  <c r="P245" i="2"/>
  <c r="I332" i="2"/>
  <c r="M50" i="2"/>
  <c r="K375" i="2"/>
  <c r="I318" i="2"/>
  <c r="N282" i="2"/>
  <c r="I149" i="2"/>
  <c r="P81" i="2"/>
  <c r="O333" i="2"/>
  <c r="K180" i="2"/>
  <c r="L205" i="2"/>
  <c r="M345" i="2"/>
  <c r="J185" i="2"/>
  <c r="P160" i="2"/>
  <c r="O27" i="2"/>
  <c r="H193" i="2"/>
  <c r="K260" i="2"/>
  <c r="H170" i="2"/>
  <c r="F25" i="2"/>
  <c r="H369" i="2"/>
  <c r="F341" i="2"/>
  <c r="Q223" i="2"/>
  <c r="O99" i="2"/>
  <c r="P357" i="2"/>
  <c r="J44" i="2"/>
  <c r="M376" i="2"/>
  <c r="E90" i="2"/>
  <c r="Q59" i="2"/>
  <c r="M127" i="2"/>
  <c r="M184" i="2"/>
  <c r="Q67" i="2"/>
  <c r="K295" i="2"/>
  <c r="L85" i="2"/>
  <c r="I157" i="2"/>
  <c r="I292" i="2"/>
  <c r="P290" i="2"/>
  <c r="G289" i="2"/>
  <c r="K357" i="2"/>
  <c r="M316" i="2"/>
  <c r="P298" i="2"/>
  <c r="M152" i="2"/>
  <c r="O281" i="2"/>
  <c r="F67" i="2"/>
  <c r="E339" i="2"/>
  <c r="K249" i="2"/>
  <c r="N63" i="2"/>
  <c r="N226" i="2"/>
  <c r="O326" i="2"/>
  <c r="H88" i="2"/>
  <c r="P111" i="2"/>
  <c r="J293" i="2"/>
  <c r="D186" i="2"/>
  <c r="K162" i="2"/>
  <c r="Q118" i="2"/>
  <c r="D107" i="2"/>
  <c r="F60" i="2"/>
  <c r="G77" i="2"/>
  <c r="G44" i="2"/>
  <c r="L374" i="2"/>
  <c r="E52" i="2"/>
  <c r="E37" i="2"/>
  <c r="K50" i="2"/>
  <c r="I123" i="2"/>
  <c r="N215" i="2"/>
  <c r="G345" i="2"/>
  <c r="J172" i="2"/>
  <c r="M343" i="2"/>
  <c r="L303" i="2"/>
  <c r="P134" i="2"/>
  <c r="I53" i="2"/>
  <c r="N274" i="2"/>
  <c r="D353" i="2"/>
  <c r="E235" i="2"/>
  <c r="O169" i="2"/>
  <c r="D93" i="2"/>
  <c r="J154" i="2"/>
  <c r="G41" i="2"/>
  <c r="G102" i="2"/>
  <c r="G34" i="2"/>
  <c r="O217" i="2"/>
  <c r="K134" i="2"/>
  <c r="J197" i="2"/>
  <c r="F215" i="2"/>
  <c r="P158" i="2"/>
  <c r="K129" i="2"/>
  <c r="F70" i="2"/>
  <c r="Q221" i="2"/>
  <c r="Q256" i="2"/>
  <c r="G172" i="2"/>
  <c r="F335" i="2"/>
  <c r="I317" i="2"/>
  <c r="H38" i="2"/>
  <c r="L173" i="2"/>
  <c r="D145" i="2"/>
  <c r="J345" i="2"/>
  <c r="G274" i="2"/>
  <c r="G223" i="2"/>
  <c r="I321" i="2"/>
  <c r="N119" i="2"/>
  <c r="I171" i="2"/>
  <c r="Q215" i="2"/>
  <c r="M113" i="2"/>
  <c r="L255" i="2"/>
  <c r="E227" i="2"/>
  <c r="E178" i="2"/>
  <c r="K220" i="2"/>
  <c r="K288" i="2"/>
  <c r="G302" i="2"/>
  <c r="G123" i="2"/>
  <c r="K195" i="2"/>
  <c r="H147" i="2"/>
  <c r="F203" i="2"/>
  <c r="G75" i="2"/>
  <c r="K163" i="2"/>
  <c r="N344" i="2"/>
  <c r="M288" i="2"/>
  <c r="I101" i="2"/>
  <c r="F15" i="2"/>
  <c r="J189" i="2"/>
  <c r="L237" i="2"/>
  <c r="Q289" i="2"/>
  <c r="N100" i="2"/>
  <c r="E108" i="2"/>
  <c r="K264" i="2"/>
  <c r="L281" i="2"/>
  <c r="M277" i="2"/>
  <c r="I15" i="2"/>
  <c r="J42" i="2"/>
  <c r="K31" i="2"/>
  <c r="G181" i="2"/>
  <c r="F188" i="2"/>
  <c r="P78" i="2"/>
  <c r="J176" i="2"/>
  <c r="G303" i="2"/>
  <c r="I216" i="2"/>
  <c r="J359" i="2"/>
  <c r="E261" i="2"/>
  <c r="M313" i="2"/>
  <c r="J77" i="2"/>
  <c r="O34" i="2"/>
  <c r="L208" i="2"/>
  <c r="F116" i="2"/>
  <c r="P71" i="2"/>
  <c r="P32" i="2"/>
  <c r="O356" i="2"/>
  <c r="J55" i="2"/>
  <c r="G99" i="2"/>
  <c r="E104" i="2"/>
  <c r="P205" i="2"/>
  <c r="J109" i="2"/>
  <c r="D340" i="2"/>
  <c r="N187" i="2"/>
  <c r="P331" i="2"/>
  <c r="I172" i="2"/>
  <c r="J88" i="2"/>
  <c r="E320" i="2"/>
  <c r="F271" i="2"/>
  <c r="G308" i="2"/>
  <c r="P238" i="2"/>
  <c r="I147" i="2"/>
  <c r="M371" i="2"/>
  <c r="J71" i="2"/>
  <c r="H300" i="2"/>
  <c r="Q35" i="2"/>
  <c r="D328" i="2"/>
  <c r="I314" i="2"/>
  <c r="E348" i="2"/>
  <c r="J37" i="2"/>
  <c r="Q287" i="2"/>
  <c r="Q100" i="2"/>
  <c r="D158" i="2"/>
  <c r="Q93" i="2"/>
  <c r="N152" i="2"/>
  <c r="E115" i="2"/>
  <c r="Q90" i="2"/>
  <c r="J38" i="2"/>
  <c r="F28" i="2"/>
  <c r="E354" i="2"/>
  <c r="L292" i="2"/>
  <c r="M251" i="2"/>
  <c r="F85" i="2"/>
  <c r="L176" i="2"/>
  <c r="E137" i="2"/>
  <c r="D317" i="2"/>
  <c r="O339" i="2"/>
  <c r="M158" i="2"/>
  <c r="G24" i="2"/>
  <c r="L166" i="2"/>
  <c r="F159" i="2"/>
  <c r="O376" i="2"/>
  <c r="I194" i="2"/>
  <c r="M73" i="2"/>
  <c r="M124" i="2"/>
  <c r="O101" i="2"/>
  <c r="M380" i="2"/>
  <c r="H313" i="2"/>
  <c r="D220" i="2"/>
  <c r="G132" i="2"/>
  <c r="Q235" i="2"/>
  <c r="P142" i="2"/>
  <c r="M54" i="2"/>
  <c r="Q382" i="2"/>
  <c r="P304" i="2"/>
  <c r="N126" i="2"/>
  <c r="J280" i="2"/>
  <c r="F153" i="2"/>
  <c r="D162" i="2"/>
  <c r="E338" i="2"/>
  <c r="D137" i="2"/>
  <c r="N291" i="2"/>
  <c r="D147" i="2"/>
  <c r="N269" i="2"/>
  <c r="G42" i="2"/>
  <c r="F208" i="2"/>
  <c r="Q258" i="2"/>
  <c r="K291" i="2"/>
  <c r="J342" i="2"/>
  <c r="L192" i="2"/>
  <c r="J187" i="2"/>
  <c r="J384" i="2"/>
  <c r="D225" i="2"/>
  <c r="F358" i="2"/>
  <c r="N159" i="2"/>
  <c r="J21" i="2"/>
  <c r="H341" i="2"/>
  <c r="I288" i="2"/>
  <c r="E187" i="2"/>
  <c r="I82" i="2"/>
  <c r="H219" i="2"/>
  <c r="O263" i="2"/>
  <c r="G349" i="2"/>
  <c r="E69" i="2"/>
  <c r="E311" i="2"/>
  <c r="M300" i="2"/>
  <c r="I226" i="2"/>
  <c r="F78" i="2"/>
  <c r="K115" i="2"/>
  <c r="J78" i="2"/>
  <c r="N262" i="2"/>
  <c r="O158" i="2"/>
  <c r="Q301" i="2"/>
  <c r="L30" i="2"/>
  <c r="E141" i="2"/>
  <c r="G54" i="2"/>
  <c r="L76" i="2"/>
  <c r="G200" i="2"/>
  <c r="H130" i="2"/>
  <c r="G158" i="2"/>
  <c r="L52" i="2"/>
  <c r="K280" i="2"/>
  <c r="J383" i="2"/>
  <c r="Q199" i="2"/>
  <c r="O210" i="2"/>
  <c r="D300" i="2"/>
  <c r="O361" i="2"/>
  <c r="F106" i="2"/>
  <c r="P97" i="2"/>
  <c r="P203" i="2"/>
  <c r="F110" i="2"/>
  <c r="O92" i="2"/>
  <c r="J231" i="2"/>
  <c r="L269" i="2"/>
  <c r="L179" i="2"/>
  <c r="F112" i="2"/>
  <c r="F218" i="2"/>
  <c r="Q279" i="2"/>
  <c r="G225" i="2"/>
  <c r="N111" i="2"/>
  <c r="D386" i="2"/>
  <c r="Q120" i="2"/>
  <c r="G256" i="2"/>
  <c r="E331" i="2"/>
  <c r="E322" i="2"/>
  <c r="F171" i="2"/>
  <c r="J85" i="2"/>
  <c r="P184" i="2"/>
  <c r="N310" i="2"/>
  <c r="G304" i="2"/>
  <c r="E33" i="2"/>
  <c r="N349" i="2"/>
  <c r="D166" i="2"/>
  <c r="E34" i="2"/>
  <c r="P89" i="2"/>
  <c r="D111" i="2"/>
  <c r="I115" i="2"/>
  <c r="L82" i="2"/>
  <c r="I207" i="2"/>
  <c r="J133" i="2"/>
  <c r="O93" i="2"/>
  <c r="G316" i="2"/>
  <c r="F181" i="2"/>
  <c r="K324" i="2"/>
  <c r="O366" i="2"/>
  <c r="N218" i="2"/>
  <c r="L84" i="2"/>
  <c r="G177" i="2"/>
  <c r="K336" i="2"/>
  <c r="I312" i="2"/>
  <c r="Q92" i="2"/>
  <c r="O65" i="2"/>
  <c r="Q263" i="2"/>
  <c r="G194" i="2"/>
  <c r="G385" i="2"/>
  <c r="F254" i="2"/>
  <c r="O309" i="2"/>
  <c r="N184" i="2"/>
  <c r="I76" i="2"/>
  <c r="O270" i="2"/>
  <c r="G351" i="2"/>
  <c r="H73" i="2"/>
  <c r="J148" i="2"/>
  <c r="F66" i="2"/>
  <c r="N64" i="2"/>
  <c r="I250" i="2"/>
  <c r="J25" i="2"/>
  <c r="K35" i="2"/>
  <c r="M224" i="2"/>
  <c r="E154" i="2"/>
  <c r="J112" i="2"/>
  <c r="K225" i="2"/>
  <c r="M18" i="2"/>
  <c r="P103" i="2"/>
  <c r="M358" i="2"/>
  <c r="M78" i="2"/>
  <c r="F238" i="2"/>
  <c r="O259" i="2"/>
  <c r="K243" i="2"/>
  <c r="O248" i="2"/>
  <c r="H221" i="2"/>
  <c r="J295" i="2"/>
  <c r="E211" i="2"/>
  <c r="E126" i="2"/>
  <c r="F94" i="2"/>
  <c r="K373" i="2"/>
  <c r="F197" i="2"/>
  <c r="K315" i="2"/>
  <c r="G36" i="2"/>
  <c r="G196" i="2"/>
  <c r="D69" i="2"/>
  <c r="Q208" i="2"/>
  <c r="H368" i="2"/>
  <c r="K168" i="2"/>
  <c r="Q300" i="2"/>
  <c r="L140" i="2"/>
  <c r="F282" i="2"/>
  <c r="L78" i="2"/>
  <c r="D16" i="2"/>
  <c r="I89" i="2"/>
  <c r="O39" i="2"/>
  <c r="Q48" i="2"/>
  <c r="M210" i="2"/>
  <c r="P332" i="2"/>
  <c r="I36" i="2"/>
  <c r="H249" i="2"/>
  <c r="P190" i="2"/>
  <c r="Q266" i="2"/>
  <c r="E306" i="2"/>
  <c r="D302" i="2"/>
  <c r="N206" i="2"/>
  <c r="N202" i="2"/>
  <c r="P27" i="2"/>
  <c r="K167" i="2"/>
  <c r="D31" i="2"/>
  <c r="H117" i="2"/>
  <c r="P232" i="2"/>
  <c r="O78" i="2"/>
  <c r="D54" i="2"/>
  <c r="J116" i="2"/>
  <c r="M137" i="2"/>
  <c r="F58" i="2"/>
  <c r="N203" i="2"/>
  <c r="N167" i="2"/>
  <c r="H205" i="2"/>
  <c r="D338" i="2"/>
  <c r="I71" i="2"/>
  <c r="H333" i="2"/>
  <c r="J283" i="2"/>
  <c r="K178" i="2"/>
  <c r="L295" i="2"/>
  <c r="D178" i="2"/>
  <c r="L21" i="2"/>
  <c r="Q230" i="2"/>
  <c r="K166" i="2"/>
  <c r="L57" i="2"/>
  <c r="O135" i="2"/>
  <c r="J169" i="2"/>
  <c r="G151" i="2"/>
  <c r="E61" i="2"/>
  <c r="O208" i="2"/>
  <c r="J246" i="2"/>
  <c r="E214" i="2"/>
  <c r="Q186" i="2"/>
  <c r="O352" i="2"/>
  <c r="J124" i="2"/>
  <c r="I146" i="2"/>
  <c r="J296" i="2"/>
  <c r="I35" i="2"/>
  <c r="H257" i="2"/>
  <c r="I87" i="2"/>
  <c r="Q311" i="2"/>
  <c r="N376" i="2"/>
  <c r="P40" i="2"/>
  <c r="K95" i="2"/>
  <c r="G78" i="2"/>
  <c r="E374" i="2"/>
  <c r="O274" i="2"/>
  <c r="K18" i="2"/>
  <c r="E88" i="2"/>
  <c r="L323" i="2"/>
  <c r="K200" i="2"/>
  <c r="G258" i="2"/>
  <c r="L236" i="2"/>
  <c r="F223" i="2"/>
  <c r="Q79" i="2"/>
  <c r="J198" i="2"/>
  <c r="L218" i="2"/>
  <c r="I197" i="2"/>
  <c r="M69" i="2"/>
  <c r="Q233" i="2"/>
  <c r="Q243" i="2"/>
  <c r="P370" i="2"/>
  <c r="H17" i="2"/>
  <c r="N213" i="2"/>
  <c r="E169" i="2"/>
  <c r="M109" i="2"/>
  <c r="N130" i="2"/>
  <c r="F285" i="2"/>
  <c r="H327" i="2"/>
  <c r="N101" i="2"/>
  <c r="Q139" i="2"/>
  <c r="E81" i="2"/>
  <c r="E268" i="2"/>
  <c r="F151" i="2"/>
  <c r="G254" i="2"/>
  <c r="H379" i="2"/>
  <c r="E139" i="2"/>
  <c r="F292" i="2"/>
  <c r="O119" i="2"/>
  <c r="F332" i="2"/>
  <c r="N107" i="2"/>
  <c r="H232" i="2"/>
  <c r="N254" i="2"/>
  <c r="J364" i="2"/>
  <c r="D329" i="2"/>
  <c r="E117" i="2"/>
  <c r="G342" i="2"/>
  <c r="I287" i="2"/>
  <c r="J267" i="2"/>
  <c r="D191" i="2"/>
  <c r="K189" i="2"/>
  <c r="I212" i="2"/>
  <c r="O162" i="2"/>
  <c r="L309" i="2"/>
  <c r="N207" i="2"/>
  <c r="O226" i="2"/>
  <c r="G96" i="2"/>
  <c r="E288" i="2"/>
  <c r="O188" i="2"/>
  <c r="L204" i="2"/>
  <c r="O377" i="2"/>
  <c r="I316" i="2"/>
  <c r="Q212" i="2"/>
  <c r="I358" i="2"/>
  <c r="M315" i="2"/>
  <c r="P226" i="2"/>
  <c r="L332" i="2"/>
  <c r="L272" i="2"/>
  <c r="Q110" i="2"/>
  <c r="D298" i="2"/>
  <c r="E270" i="2"/>
  <c r="O71" i="2"/>
  <c r="H229" i="2"/>
  <c r="J113" i="2"/>
  <c r="K232" i="2"/>
  <c r="Q257" i="2"/>
  <c r="G322" i="2"/>
  <c r="O72" i="2"/>
  <c r="K358" i="2"/>
  <c r="G195" i="2"/>
  <c r="M118" i="2"/>
  <c r="G15" i="2"/>
  <c r="L354" i="2"/>
  <c r="J325" i="2"/>
  <c r="O126" i="2"/>
  <c r="E77" i="2"/>
  <c r="I122" i="2"/>
  <c r="I382" i="2"/>
  <c r="G199" i="2"/>
  <c r="L107" i="2"/>
  <c r="G332" i="2"/>
  <c r="K366" i="2"/>
  <c r="I199" i="2"/>
  <c r="O228" i="2"/>
  <c r="F186" i="2"/>
  <c r="D195" i="2"/>
  <c r="Q169" i="2"/>
  <c r="O332" i="2"/>
  <c r="P67" i="2"/>
  <c r="O314" i="2"/>
  <c r="D159" i="2"/>
  <c r="P76" i="2"/>
  <c r="M338" i="2"/>
  <c r="H207" i="2"/>
  <c r="G291" i="2"/>
  <c r="G216" i="2"/>
  <c r="O109" i="2"/>
  <c r="G218" i="2"/>
  <c r="G189" i="2"/>
  <c r="M219" i="2"/>
  <c r="P339" i="2"/>
  <c r="O139" i="2"/>
  <c r="M19" i="2"/>
  <c r="O59" i="2"/>
  <c r="P213" i="2"/>
  <c r="O305" i="2"/>
  <c r="F383" i="2"/>
  <c r="N214" i="2"/>
  <c r="O238" i="2"/>
  <c r="H239" i="2"/>
  <c r="E79" i="2"/>
  <c r="P384" i="2"/>
  <c r="E275" i="2"/>
  <c r="H342" i="2"/>
  <c r="O97" i="2"/>
  <c r="H81" i="2"/>
  <c r="J200" i="2"/>
  <c r="H162" i="2"/>
  <c r="O125" i="2"/>
  <c r="M51" i="2"/>
  <c r="P192" i="2"/>
  <c r="D379" i="2"/>
  <c r="F342" i="2"/>
  <c r="H346" i="2"/>
  <c r="Q29" i="2"/>
  <c r="E26" i="2"/>
  <c r="D209" i="2"/>
  <c r="O244" i="2"/>
  <c r="F107" i="2"/>
  <c r="Q348" i="2"/>
  <c r="L80" i="2"/>
  <c r="I372" i="2"/>
  <c r="N86" i="2"/>
  <c r="O206" i="2"/>
  <c r="G235" i="2"/>
  <c r="P183" i="2"/>
  <c r="O147" i="2"/>
  <c r="N328" i="2"/>
  <c r="E325" i="2"/>
  <c r="N311" i="2"/>
  <c r="D303" i="2"/>
  <c r="H143" i="2"/>
  <c r="M230" i="2"/>
  <c r="O124" i="2"/>
  <c r="F337" i="2"/>
  <c r="F172" i="2"/>
  <c r="N153" i="2"/>
  <c r="H338" i="2"/>
  <c r="D174" i="2"/>
  <c r="J41" i="2"/>
  <c r="M271" i="2"/>
  <c r="I186" i="2"/>
  <c r="G278" i="2"/>
  <c r="E58" i="2"/>
  <c r="P337" i="2"/>
  <c r="K365" i="2"/>
  <c r="O271" i="2"/>
  <c r="J260" i="2"/>
  <c r="H131" i="2"/>
  <c r="N93" i="2"/>
  <c r="Q367" i="2"/>
  <c r="K146" i="2"/>
  <c r="P23" i="2"/>
  <c r="K62" i="2"/>
  <c r="I354" i="2"/>
  <c r="E129" i="2"/>
  <c r="F266" i="2"/>
  <c r="O172" i="2"/>
  <c r="F324" i="2"/>
  <c r="I47" i="2"/>
  <c r="G309" i="2"/>
  <c r="L271" i="2"/>
  <c r="O193" i="2"/>
  <c r="L278" i="2"/>
  <c r="K99" i="2"/>
  <c r="D136" i="2"/>
  <c r="O68" i="2"/>
  <c r="M43" i="2"/>
  <c r="O304" i="2"/>
  <c r="J386" i="2"/>
  <c r="N190" i="2"/>
  <c r="N42" i="2"/>
  <c r="J115" i="2"/>
  <c r="I331" i="2"/>
  <c r="M255" i="2"/>
  <c r="P28" i="2"/>
  <c r="L88" i="2"/>
  <c r="P345" i="2"/>
  <c r="I311" i="2"/>
  <c r="H307" i="2"/>
  <c r="I59" i="2"/>
  <c r="O237" i="2"/>
  <c r="F40" i="2"/>
  <c r="Q330" i="2"/>
  <c r="F288" i="2"/>
  <c r="O77" i="2"/>
  <c r="D292" i="2"/>
  <c r="P175" i="2"/>
  <c r="H211" i="2"/>
  <c r="L121" i="2"/>
  <c r="M366" i="2"/>
  <c r="L246" i="2"/>
  <c r="K198" i="2"/>
  <c r="M151" i="2"/>
  <c r="J377" i="2"/>
  <c r="H218" i="2"/>
  <c r="E149" i="2"/>
  <c r="H95" i="2"/>
  <c r="P124" i="2"/>
  <c r="E148" i="2"/>
  <c r="L181" i="2"/>
  <c r="H167" i="2"/>
  <c r="E316" i="2"/>
  <c r="M372" i="2"/>
  <c r="E280" i="2"/>
  <c r="P92" i="2"/>
  <c r="N380" i="2"/>
  <c r="P320" i="2"/>
  <c r="J121" i="2"/>
  <c r="D205" i="2"/>
  <c r="I169" i="2"/>
  <c r="Q41" i="2"/>
  <c r="Q358" i="2"/>
  <c r="J80" i="2"/>
  <c r="N172" i="2"/>
  <c r="I96" i="2"/>
  <c r="P340" i="2"/>
  <c r="N336" i="2"/>
  <c r="N242" i="2"/>
  <c r="Q136" i="2"/>
  <c r="Q240" i="2"/>
  <c r="J250" i="2"/>
  <c r="L355" i="2"/>
  <c r="M274" i="2"/>
  <c r="M77" i="2"/>
  <c r="P334" i="2"/>
  <c r="J238" i="2"/>
  <c r="G188" i="2"/>
  <c r="P237" i="2"/>
  <c r="D133" i="2"/>
  <c r="P167" i="2"/>
  <c r="J57" i="2"/>
  <c r="I176" i="2"/>
  <c r="D247" i="2"/>
  <c r="I295" i="2"/>
  <c r="G149" i="2"/>
  <c r="D188" i="2"/>
  <c r="P350" i="2"/>
  <c r="Q96" i="2"/>
  <c r="Q303" i="2"/>
  <c r="F147" i="2"/>
  <c r="E124" i="2"/>
  <c r="K164" i="2"/>
  <c r="Q244" i="2"/>
  <c r="Q104" i="2"/>
  <c r="J52" i="2"/>
  <c r="J352" i="2"/>
  <c r="J144" i="2"/>
  <c r="O52" i="2"/>
  <c r="J26" i="2"/>
  <c r="H234" i="2"/>
  <c r="H285" i="2"/>
  <c r="I267" i="2"/>
  <c r="H357" i="2"/>
  <c r="E308" i="2"/>
  <c r="I69" i="2"/>
  <c r="N19" i="2"/>
  <c r="M317" i="2"/>
  <c r="L69" i="2"/>
  <c r="D250" i="2"/>
  <c r="G183" i="2"/>
  <c r="J103" i="2"/>
  <c r="D358" i="2"/>
  <c r="F23" i="2"/>
  <c r="L207" i="2"/>
  <c r="G320" i="2"/>
  <c r="J363" i="2"/>
  <c r="E221" i="2"/>
  <c r="P94" i="2"/>
  <c r="F381" i="2"/>
  <c r="K385" i="2"/>
  <c r="G330" i="2"/>
  <c r="K216" i="2"/>
  <c r="M175" i="2"/>
  <c r="O214" i="2"/>
  <c r="P38" i="2"/>
  <c r="I107" i="2"/>
  <c r="I225" i="2"/>
  <c r="I280" i="2"/>
  <c r="D59" i="2"/>
  <c r="D342" i="2"/>
  <c r="P26" i="2"/>
  <c r="D196" i="2"/>
  <c r="F273" i="2"/>
  <c r="O286" i="2"/>
  <c r="O212" i="2"/>
  <c r="K174" i="2"/>
  <c r="L328" i="2"/>
  <c r="P249" i="2"/>
  <c r="D94" i="2"/>
  <c r="F29" i="2"/>
  <c r="I78" i="2"/>
  <c r="Q322" i="2"/>
  <c r="D281" i="2"/>
  <c r="H238" i="2"/>
  <c r="N272" i="2"/>
  <c r="I190" i="2"/>
  <c r="E335" i="2"/>
  <c r="L217" i="2"/>
  <c r="Q157" i="2"/>
  <c r="D193" i="2"/>
  <c r="Q337" i="2"/>
  <c r="E25" i="2"/>
  <c r="K238" i="2"/>
  <c r="J327" i="2"/>
  <c r="Q340" i="2"/>
  <c r="O175" i="2"/>
  <c r="L267" i="2"/>
  <c r="M232" i="2"/>
  <c r="K136" i="2"/>
  <c r="F227" i="2"/>
  <c r="J132" i="2"/>
  <c r="F314" i="2"/>
  <c r="K63" i="2"/>
  <c r="D153" i="2"/>
  <c r="Q329" i="2"/>
  <c r="O369" i="2"/>
  <c r="I348" i="2"/>
  <c r="L294" i="2"/>
  <c r="F138" i="2"/>
  <c r="N335" i="2"/>
  <c r="M196" i="2"/>
  <c r="P361" i="2"/>
  <c r="P99" i="2"/>
  <c r="G93" i="2"/>
  <c r="O260" i="2"/>
  <c r="P364" i="2"/>
  <c r="E321" i="2"/>
  <c r="L257" i="2"/>
  <c r="G245" i="2"/>
  <c r="K42" i="2"/>
  <c r="Q107" i="2"/>
  <c r="J358" i="2"/>
  <c r="J315" i="2"/>
  <c r="Q158" i="2"/>
  <c r="J236" i="2"/>
  <c r="Q227" i="2"/>
  <c r="G119" i="2"/>
  <c r="G238" i="2"/>
  <c r="Q40" i="2"/>
  <c r="E83" i="2"/>
  <c r="I229" i="2"/>
  <c r="Q269" i="2"/>
  <c r="P83" i="2"/>
  <c r="H150" i="2"/>
  <c r="P189" i="2"/>
  <c r="I328" i="2"/>
  <c r="E35" i="2"/>
  <c r="N301" i="2"/>
  <c r="G148" i="2"/>
  <c r="E262" i="2"/>
  <c r="O250" i="2"/>
  <c r="P200" i="2"/>
  <c r="O328" i="2"/>
  <c r="D381" i="2"/>
  <c r="F347" i="2"/>
  <c r="D142" i="2"/>
  <c r="N205" i="2"/>
  <c r="Q267" i="2"/>
  <c r="F68" i="2"/>
  <c r="Q236" i="2"/>
  <c r="P33" i="2"/>
  <c r="H250" i="2"/>
  <c r="Q14" i="2"/>
  <c r="Q192" i="2"/>
  <c r="O336" i="2"/>
  <c r="L180" i="2"/>
  <c r="E184" i="2"/>
  <c r="O62" i="2"/>
  <c r="I196" i="2"/>
  <c r="F354" i="2"/>
  <c r="O239" i="2"/>
  <c r="H159" i="2"/>
  <c r="K93" i="2"/>
  <c r="F209" i="2"/>
  <c r="Q57" i="2"/>
  <c r="G275" i="2"/>
  <c r="D117" i="2"/>
  <c r="P328" i="2"/>
  <c r="F241" i="2"/>
  <c r="P187" i="2"/>
  <c r="H351" i="2"/>
  <c r="O145" i="2"/>
  <c r="O170" i="2"/>
  <c r="J184" i="2"/>
  <c r="P80" i="2"/>
  <c r="P291" i="2"/>
  <c r="J289" i="2"/>
  <c r="Q81" i="2"/>
  <c r="P326" i="2"/>
  <c r="F109" i="2"/>
  <c r="O174" i="2"/>
  <c r="I48" i="2"/>
  <c r="J346" i="2"/>
  <c r="P195" i="2"/>
  <c r="M253" i="2"/>
  <c r="Q182" i="2"/>
  <c r="H337" i="2"/>
  <c r="M182" i="2"/>
  <c r="K283" i="2"/>
  <c r="K14" i="2"/>
  <c r="P178" i="2"/>
  <c r="M143" i="2"/>
  <c r="D163" i="2"/>
  <c r="E156" i="2"/>
  <c r="I24" i="2"/>
  <c r="Q66" i="2"/>
  <c r="N160" i="2"/>
  <c r="M29" i="2"/>
  <c r="E345" i="2"/>
  <c r="H188" i="2"/>
  <c r="N51" i="2"/>
  <c r="M291" i="2"/>
  <c r="N351" i="2"/>
  <c r="F375" i="2"/>
  <c r="E300" i="2"/>
  <c r="D101" i="2"/>
  <c r="M119" i="2"/>
  <c r="J108" i="2"/>
  <c r="M222" i="2"/>
  <c r="N308" i="2"/>
  <c r="P147" i="2"/>
  <c r="H303" i="2"/>
  <c r="L335" i="2"/>
  <c r="F76" i="2"/>
  <c r="P95" i="2"/>
  <c r="N181" i="2"/>
  <c r="I335" i="2"/>
  <c r="H64" i="2"/>
  <c r="D80" i="2"/>
  <c r="D361" i="2"/>
  <c r="P138" i="2"/>
  <c r="N239" i="2"/>
  <c r="L29" i="2"/>
  <c r="N186" i="2"/>
  <c r="O128" i="2"/>
  <c r="H33" i="2"/>
  <c r="E36" i="2"/>
  <c r="F30" i="2"/>
  <c r="K20" i="2"/>
  <c r="Q151" i="2"/>
  <c r="J95" i="2"/>
  <c r="L97" i="2"/>
  <c r="N276" i="2"/>
  <c r="L209" i="2"/>
  <c r="G65" i="2"/>
  <c r="L199" i="2"/>
  <c r="L100" i="2"/>
  <c r="D102" i="2"/>
  <c r="I374" i="2"/>
  <c r="K45" i="2"/>
  <c r="Q380" i="2"/>
  <c r="G156" i="2"/>
  <c r="E32" i="2"/>
  <c r="G359" i="2"/>
  <c r="D237" i="2"/>
  <c r="G212" i="2"/>
  <c r="G38" i="2"/>
  <c r="F187" i="2"/>
  <c r="D350" i="2"/>
  <c r="J61" i="2"/>
  <c r="E194" i="2"/>
  <c r="E65" i="2"/>
  <c r="M269" i="2"/>
  <c r="D255" i="2"/>
  <c r="P161" i="2"/>
  <c r="E371" i="2"/>
  <c r="E74" i="2"/>
  <c r="D82" i="2"/>
  <c r="P22" i="2"/>
  <c r="Q353" i="2"/>
  <c r="J234" i="2"/>
  <c r="G145" i="2"/>
  <c r="K97" i="2"/>
  <c r="L245" i="2"/>
  <c r="G234" i="2"/>
  <c r="H235" i="2"/>
  <c r="L194" i="2"/>
  <c r="J313" i="2"/>
  <c r="F340" i="2"/>
  <c r="D344" i="2"/>
  <c r="N356" i="2"/>
  <c r="J166" i="2"/>
  <c r="E123" i="2"/>
  <c r="J190" i="2"/>
  <c r="F123" i="2"/>
  <c r="P292" i="2"/>
  <c r="H16" i="2"/>
  <c r="O81" i="2"/>
  <c r="D64" i="2"/>
  <c r="E228" i="2"/>
  <c r="H243" i="2"/>
  <c r="I163" i="2"/>
  <c r="G374" i="2"/>
  <c r="O50" i="2"/>
  <c r="P30" i="2"/>
  <c r="K205" i="2"/>
  <c r="P288" i="2"/>
  <c r="N280" i="2"/>
  <c r="M112" i="2"/>
  <c r="I51" i="2"/>
  <c r="F230" i="2"/>
  <c r="L143" i="2"/>
  <c r="M306" i="2"/>
  <c r="N188" i="2"/>
  <c r="H356" i="2"/>
  <c r="M149" i="2"/>
  <c r="N340" i="2"/>
  <c r="M311" i="2"/>
  <c r="Q54" i="2"/>
  <c r="J251" i="2"/>
  <c r="I181" i="2"/>
  <c r="G348" i="2"/>
  <c r="O370" i="2"/>
  <c r="J49" i="2"/>
  <c r="M88" i="2"/>
  <c r="G204" i="2"/>
  <c r="L16" i="2"/>
  <c r="L22" i="2"/>
  <c r="N318" i="2"/>
  <c r="K86" i="2"/>
  <c r="F283" i="2"/>
  <c r="M303" i="2"/>
  <c r="I131" i="2"/>
  <c r="I117" i="2"/>
  <c r="E132" i="2"/>
  <c r="L53" i="2"/>
  <c r="F113" i="2"/>
  <c r="N46" i="2"/>
  <c r="L64" i="2"/>
  <c r="G371" i="2"/>
  <c r="I304" i="2"/>
  <c r="G201" i="2"/>
  <c r="J237" i="2"/>
  <c r="E359" i="2"/>
  <c r="G376" i="2"/>
  <c r="K71" i="2"/>
  <c r="J175" i="2"/>
  <c r="P61" i="2"/>
  <c r="J229" i="2"/>
  <c r="E18" i="2"/>
  <c r="D161" i="2"/>
  <c r="P286" i="2"/>
  <c r="H274" i="2"/>
  <c r="H240" i="2"/>
  <c r="L136" i="2"/>
  <c r="L155" i="2"/>
  <c r="Q16" i="2"/>
  <c r="L270" i="2"/>
  <c r="G233" i="2"/>
  <c r="M285" i="2"/>
  <c r="L183" i="2"/>
  <c r="P362" i="2"/>
  <c r="E328" i="2"/>
  <c r="H336" i="2"/>
  <c r="H76" i="2"/>
  <c r="N154" i="2"/>
  <c r="P96" i="2"/>
  <c r="D24" i="2"/>
  <c r="K219" i="2"/>
  <c r="P376" i="2"/>
  <c r="K125" i="2"/>
  <c r="P276" i="2"/>
  <c r="H290" i="2"/>
  <c r="P68" i="2"/>
  <c r="N120" i="2"/>
  <c r="D341" i="2"/>
  <c r="Q77" i="2"/>
  <c r="P166" i="2"/>
  <c r="O108" i="2"/>
  <c r="Q80" i="2"/>
  <c r="E41" i="2"/>
  <c r="F302" i="2"/>
  <c r="H231" i="2"/>
  <c r="K213" i="2"/>
  <c r="D113" i="2"/>
  <c r="Q335" i="2"/>
  <c r="M284" i="2"/>
  <c r="Q281" i="2"/>
  <c r="M276" i="2"/>
  <c r="E304" i="2"/>
  <c r="M209" i="2"/>
  <c r="D70" i="2"/>
  <c r="M259" i="2"/>
  <c r="O203" i="2"/>
  <c r="H102" i="2"/>
  <c r="I218" i="2"/>
  <c r="J59" i="2"/>
  <c r="N241" i="2"/>
  <c r="H110" i="2"/>
  <c r="M42" i="2"/>
  <c r="H158" i="2"/>
  <c r="L75" i="2"/>
  <c r="L258" i="2"/>
  <c r="G255" i="2"/>
  <c r="H289" i="2"/>
  <c r="N234" i="2"/>
  <c r="J369" i="2"/>
  <c r="H91" i="2"/>
  <c r="K265" i="2"/>
  <c r="F225" i="2"/>
  <c r="J137" i="2"/>
  <c r="M302" i="2"/>
  <c r="D309" i="2"/>
  <c r="I290" i="2"/>
  <c r="F46" i="2"/>
  <c r="L61" i="2"/>
  <c r="L265" i="2"/>
  <c r="K21" i="2"/>
  <c r="P243" i="2"/>
  <c r="D74" i="2"/>
  <c r="D272" i="2"/>
  <c r="L348" i="2"/>
  <c r="M326" i="2"/>
  <c r="L193" i="2"/>
  <c r="I379" i="2"/>
  <c r="Q372" i="2"/>
  <c r="D320" i="2"/>
  <c r="P156" i="2"/>
  <c r="G86" i="2"/>
  <c r="I70" i="2"/>
  <c r="E144" i="2"/>
  <c r="N143" i="2"/>
  <c r="D199" i="2"/>
  <c r="Q152" i="2"/>
  <c r="I140" i="2"/>
  <c r="M111" i="2"/>
  <c r="P385" i="2"/>
  <c r="J243" i="2"/>
  <c r="M252" i="2"/>
  <c r="J348" i="2"/>
  <c r="G173" i="2"/>
  <c r="K60" i="2"/>
  <c r="L185" i="2"/>
  <c r="Q341" i="2"/>
  <c r="K292" i="2"/>
  <c r="O98" i="2"/>
  <c r="Q211" i="2"/>
  <c r="I182" i="2"/>
  <c r="F176" i="2"/>
  <c r="Q247" i="2"/>
  <c r="N238" i="2"/>
  <c r="Q371" i="2"/>
  <c r="Q191" i="2"/>
  <c r="O24" i="2"/>
  <c r="I92" i="2"/>
  <c r="G307" i="2"/>
  <c r="E298" i="2"/>
  <c r="O55" i="2"/>
  <c r="H45" i="2"/>
  <c r="P294" i="2"/>
  <c r="J47" i="2"/>
  <c r="Q378" i="2"/>
  <c r="P348" i="2"/>
  <c r="N124" i="2"/>
  <c r="D306" i="2"/>
  <c r="Q20" i="2"/>
  <c r="G301" i="2"/>
  <c r="Q362" i="2"/>
  <c r="M172" i="2"/>
  <c r="M297" i="2"/>
  <c r="L37" i="2"/>
  <c r="F90" i="2"/>
  <c r="G207" i="2"/>
  <c r="O261" i="2"/>
  <c r="M176" i="2"/>
  <c r="J136" i="2"/>
  <c r="H48" i="2"/>
  <c r="I145" i="2"/>
  <c r="E29" i="2"/>
  <c r="D72" i="2"/>
  <c r="G190" i="2"/>
  <c r="Q286" i="2"/>
  <c r="J165" i="2"/>
  <c r="G209" i="2"/>
  <c r="M71" i="2"/>
  <c r="D56" i="2"/>
  <c r="L297" i="2"/>
  <c r="H202" i="2"/>
  <c r="P319" i="2"/>
  <c r="F245" i="2"/>
  <c r="E293" i="2"/>
  <c r="J168" i="2"/>
  <c r="L112" i="2"/>
  <c r="O87" i="2"/>
  <c r="N89" i="2"/>
  <c r="P374" i="2"/>
  <c r="Q56" i="2"/>
  <c r="J324" i="2"/>
  <c r="O278" i="2"/>
  <c r="D29" i="2"/>
  <c r="N26" i="2"/>
  <c r="G215" i="2"/>
  <c r="D304" i="2"/>
  <c r="P179" i="2"/>
  <c r="O375" i="2"/>
  <c r="F152" i="2"/>
  <c r="I324" i="2"/>
  <c r="E327" i="2"/>
  <c r="K55" i="2"/>
  <c r="J335" i="2"/>
  <c r="N323" i="2"/>
  <c r="J341" i="2"/>
  <c r="K371" i="2"/>
  <c r="Q82" i="2"/>
  <c r="K359" i="2"/>
  <c r="O201" i="2"/>
  <c r="H160" i="2"/>
  <c r="E302" i="2"/>
  <c r="G22" i="2"/>
  <c r="E93" i="2"/>
  <c r="I165" i="2"/>
  <c r="E267" i="2"/>
  <c r="G268" i="2"/>
  <c r="F333" i="2"/>
  <c r="J100" i="2"/>
  <c r="P325" i="2"/>
  <c r="P355" i="2"/>
  <c r="J305" i="2"/>
  <c r="I74" i="2"/>
  <c r="D154" i="2"/>
  <c r="J239" i="2"/>
  <c r="F72" i="2"/>
  <c r="I305" i="2"/>
  <c r="E182" i="2"/>
  <c r="Q189" i="2"/>
  <c r="N281" i="2"/>
  <c r="H113" i="2"/>
  <c r="F45" i="2"/>
  <c r="K308" i="2"/>
  <c r="I151" i="2"/>
  <c r="J298" i="2"/>
  <c r="N326" i="2"/>
  <c r="M134" i="2"/>
  <c r="Q71" i="2"/>
  <c r="L147" i="2"/>
  <c r="K61" i="2"/>
  <c r="Q379" i="2"/>
  <c r="H140" i="2"/>
  <c r="M344" i="2"/>
  <c r="Q148" i="2"/>
  <c r="E272" i="2"/>
  <c r="H210" i="2"/>
  <c r="O132" i="2"/>
  <c r="K103" i="2"/>
  <c r="H133" i="2"/>
  <c r="J196" i="2"/>
  <c r="K84" i="2"/>
  <c r="F310" i="2"/>
  <c r="G358" i="2"/>
  <c r="F228" i="2"/>
  <c r="M194" i="2"/>
  <c r="P375" i="2"/>
  <c r="M24" i="2"/>
  <c r="E199" i="2"/>
  <c r="O246" i="2"/>
  <c r="N84" i="2"/>
  <c r="K248" i="2"/>
  <c r="G184" i="2"/>
  <c r="Q318" i="2"/>
  <c r="I153" i="2"/>
  <c r="H281" i="2"/>
  <c r="H314" i="2"/>
  <c r="K68" i="2"/>
  <c r="L314" i="2"/>
  <c r="P75" i="2"/>
  <c r="H381" i="2"/>
  <c r="H152" i="2"/>
  <c r="L340" i="2"/>
  <c r="N221" i="2"/>
  <c r="H278" i="2"/>
  <c r="K81" i="2"/>
  <c r="O96" i="2"/>
  <c r="P165" i="2"/>
  <c r="I346" i="2"/>
  <c r="J301" i="2"/>
  <c r="H72" i="2"/>
  <c r="Q369" i="2"/>
  <c r="D65" i="2"/>
  <c r="H123" i="2"/>
  <c r="G362" i="2"/>
  <c r="E229" i="2"/>
  <c r="D152" i="2"/>
  <c r="K341" i="2"/>
  <c r="Q319" i="2"/>
  <c r="O291" i="2"/>
  <c r="M132" i="2"/>
  <c r="L119" i="2"/>
  <c r="I170" i="2"/>
  <c r="M189" i="2"/>
  <c r="O362" i="2"/>
  <c r="N342" i="2"/>
  <c r="N288" i="2"/>
  <c r="O308" i="2"/>
  <c r="P324" i="2"/>
  <c r="F275" i="2"/>
  <c r="D106" i="2"/>
  <c r="K156" i="2"/>
  <c r="K112" i="2"/>
  <c r="J244" i="2"/>
  <c r="E373" i="2"/>
  <c r="J127" i="2"/>
  <c r="E375" i="2"/>
  <c r="P31" i="2"/>
  <c r="F41" i="2"/>
  <c r="G287" i="2"/>
  <c r="P120" i="2"/>
  <c r="P19" i="2"/>
  <c r="I77" i="2"/>
  <c r="E111" i="2"/>
  <c r="D276" i="2"/>
  <c r="F268" i="2"/>
  <c r="P150" i="2"/>
  <c r="G127" i="2"/>
  <c r="I25" i="2"/>
  <c r="E190" i="2"/>
  <c r="K221" i="2"/>
  <c r="E85" i="2"/>
  <c r="I264" i="2"/>
  <c r="O123" i="2"/>
  <c r="H77" i="2"/>
  <c r="Q234" i="2"/>
  <c r="H201" i="2"/>
  <c r="L298" i="2"/>
  <c r="M267" i="2"/>
  <c r="E364" i="2"/>
  <c r="G161" i="2"/>
  <c r="P312" i="2"/>
  <c r="M61" i="2"/>
  <c r="P256" i="2"/>
  <c r="O37" i="2"/>
  <c r="J336" i="2"/>
  <c r="H63" i="2"/>
  <c r="F207" i="2"/>
  <c r="M21" i="2"/>
  <c r="H15" i="2"/>
  <c r="J152" i="2"/>
  <c r="F103" i="2"/>
  <c r="M80" i="2"/>
  <c r="J131" i="2"/>
  <c r="I297" i="2"/>
  <c r="O168" i="2"/>
  <c r="K87" i="2"/>
  <c r="I184" i="2"/>
  <c r="P154" i="2"/>
  <c r="Q277" i="2"/>
  <c r="N298" i="2"/>
  <c r="E310" i="2"/>
  <c r="O29" i="2"/>
  <c r="K161" i="2"/>
  <c r="O262" i="2"/>
  <c r="I338" i="2"/>
  <c r="P57" i="2"/>
  <c r="O73" i="2"/>
  <c r="G167" i="2"/>
  <c r="N352" i="2"/>
  <c r="O28" i="2"/>
  <c r="L190" i="2"/>
  <c r="Q216" i="2"/>
  <c r="N33" i="2"/>
  <c r="L141" i="2"/>
  <c r="H100" i="2"/>
  <c r="H237" i="2"/>
  <c r="F201" i="2"/>
  <c r="L280" i="2"/>
  <c r="M265" i="2"/>
  <c r="J34" i="2"/>
  <c r="M332" i="2"/>
  <c r="E162" i="2"/>
  <c r="F180" i="2"/>
  <c r="K314" i="2"/>
  <c r="L358" i="2"/>
  <c r="M17" i="2"/>
  <c r="K25" i="2"/>
  <c r="F244" i="2"/>
  <c r="H149" i="2"/>
  <c r="J340" i="2"/>
  <c r="L137" i="2"/>
  <c r="M237" i="2"/>
  <c r="D63" i="2"/>
  <c r="K123" i="2"/>
  <c r="Q47" i="2"/>
  <c r="N74" i="2"/>
  <c r="K138" i="2"/>
  <c r="N357" i="2"/>
  <c r="J339" i="2"/>
  <c r="P90" i="2"/>
  <c r="G133" i="2"/>
  <c r="D313" i="2"/>
  <c r="E340" i="2"/>
  <c r="O176" i="2"/>
  <c r="F284" i="2"/>
  <c r="D382" i="2"/>
  <c r="Q214" i="2"/>
  <c r="D210" i="2"/>
  <c r="P129" i="2"/>
  <c r="K155" i="2"/>
  <c r="Q246" i="2"/>
  <c r="P135" i="2"/>
  <c r="P346" i="2"/>
  <c r="F334" i="2"/>
  <c r="F372" i="2"/>
  <c r="J201" i="2"/>
  <c r="J332" i="2"/>
  <c r="O293" i="2"/>
  <c r="P354" i="2"/>
  <c r="D120" i="2"/>
  <c r="F336" i="2"/>
  <c r="K239" i="2"/>
  <c r="N150" i="2"/>
  <c r="E265" i="2"/>
  <c r="H164" i="2"/>
  <c r="L264" i="2"/>
  <c r="H46" i="2"/>
  <c r="D372" i="2"/>
  <c r="E218" i="2"/>
  <c r="N201" i="2"/>
  <c r="E40" i="2"/>
  <c r="F345" i="2"/>
  <c r="P114" i="2"/>
  <c r="E290" i="2"/>
  <c r="J46" i="2"/>
  <c r="P173" i="2"/>
  <c r="Q284" i="2"/>
  <c r="I81" i="2"/>
  <c r="N287" i="2"/>
  <c r="N134" i="2"/>
  <c r="J241" i="2"/>
  <c r="J316" i="2"/>
  <c r="M187" i="2"/>
  <c r="D201" i="2"/>
  <c r="E236" i="2"/>
  <c r="M296" i="2"/>
  <c r="M307" i="2"/>
  <c r="G61" i="2"/>
  <c r="N309" i="2"/>
  <c r="J368" i="2"/>
  <c r="E377" i="2"/>
  <c r="N330" i="2"/>
  <c r="G344" i="2"/>
  <c r="O280" i="2"/>
  <c r="N149" i="2"/>
  <c r="L376" i="2"/>
  <c r="F170" i="2"/>
  <c r="Q115" i="2"/>
  <c r="F344" i="2"/>
  <c r="Q363" i="2"/>
  <c r="E46" i="2"/>
  <c r="L146" i="2"/>
  <c r="N123" i="2"/>
  <c r="L252" i="2"/>
  <c r="H203" i="2"/>
  <c r="M52" i="2"/>
  <c r="N321" i="2"/>
  <c r="H259" i="2"/>
  <c r="I68" i="2"/>
  <c r="I220" i="2"/>
  <c r="F115" i="2"/>
  <c r="I125" i="2"/>
  <c r="N358" i="2"/>
  <c r="F373" i="2"/>
  <c r="N80" i="2"/>
  <c r="I258" i="2"/>
  <c r="L170" i="2"/>
  <c r="M66" i="2"/>
  <c r="I127" i="2"/>
  <c r="P306" i="2"/>
  <c r="K15" i="2"/>
  <c r="I108" i="2"/>
  <c r="O223" i="2"/>
  <c r="M359" i="2"/>
  <c r="O163" i="2"/>
  <c r="D131" i="2"/>
  <c r="G257" i="2"/>
  <c r="N115" i="2"/>
  <c r="N95" i="2"/>
  <c r="M248" i="2"/>
  <c r="F148" i="2"/>
  <c r="K165" i="2"/>
  <c r="L182" i="2"/>
  <c r="I193" i="2"/>
  <c r="E220" i="2"/>
  <c r="K337" i="2"/>
  <c r="E254" i="2"/>
  <c r="H24" i="2"/>
  <c r="K306" i="2"/>
  <c r="G285" i="2"/>
  <c r="P118" i="2"/>
  <c r="D79" i="2"/>
  <c r="O192" i="2"/>
  <c r="P115" i="2"/>
  <c r="G35" i="2"/>
  <c r="D151" i="2"/>
  <c r="N247" i="2"/>
  <c r="D363" i="2"/>
  <c r="H272" i="2"/>
  <c r="K70" i="2"/>
  <c r="M256" i="2"/>
  <c r="L79" i="2"/>
  <c r="D384" i="2"/>
  <c r="I369" i="2"/>
  <c r="L239" i="2"/>
  <c r="O218" i="2"/>
  <c r="G279" i="2"/>
  <c r="G193" i="2"/>
  <c r="G236" i="2"/>
  <c r="F92" i="2"/>
  <c r="D223" i="2"/>
  <c r="O207" i="2"/>
  <c r="L43" i="2"/>
  <c r="H292" i="2"/>
  <c r="Q154" i="2"/>
  <c r="L36" i="2"/>
  <c r="H86" i="2"/>
  <c r="Q241" i="2"/>
  <c r="E200" i="2"/>
  <c r="O146" i="2"/>
  <c r="I86" i="2"/>
  <c r="J35" i="2"/>
  <c r="N316" i="2"/>
  <c r="D138" i="2"/>
  <c r="P130" i="2"/>
  <c r="M83" i="2"/>
  <c r="M85" i="2"/>
  <c r="I191" i="2"/>
  <c r="O23" i="2"/>
  <c r="D132" i="2"/>
  <c r="K172" i="2"/>
  <c r="L124" i="2"/>
  <c r="O290" i="2"/>
  <c r="K36" i="2"/>
  <c r="L308" i="2"/>
  <c r="J297" i="2"/>
  <c r="L233" i="2"/>
  <c r="K211" i="2"/>
  <c r="P60" i="2"/>
  <c r="N331" i="2"/>
  <c r="F384" i="2"/>
  <c r="F125" i="2"/>
  <c r="M289" i="2"/>
  <c r="D42" i="2"/>
  <c r="N295" i="2"/>
  <c r="E368" i="2"/>
  <c r="G55" i="2"/>
  <c r="G186" i="2"/>
  <c r="O216" i="2"/>
  <c r="E56" i="2"/>
  <c r="Q285" i="2"/>
  <c r="D259" i="2"/>
  <c r="M93" i="2"/>
  <c r="P272" i="2"/>
  <c r="N56" i="2"/>
  <c r="K177" i="2"/>
  <c r="Q167" i="2"/>
  <c r="N259" i="2"/>
  <c r="M361" i="2"/>
  <c r="J128" i="2"/>
  <c r="P125" i="2"/>
  <c r="K270" i="2"/>
  <c r="M107" i="2"/>
  <c r="L352" i="2"/>
  <c r="Q344" i="2"/>
  <c r="F83" i="2"/>
  <c r="H30" i="2"/>
  <c r="L127" i="2"/>
  <c r="G366" i="2"/>
  <c r="H343" i="2"/>
  <c r="G333" i="2"/>
  <c r="M201" i="2"/>
  <c r="G368" i="2"/>
  <c r="E143" i="2"/>
  <c r="Q308" i="2"/>
  <c r="O121" i="2"/>
  <c r="H185" i="2"/>
  <c r="G164" i="2"/>
  <c r="Q159" i="2"/>
  <c r="N355" i="2"/>
  <c r="J318" i="2"/>
  <c r="J307" i="2"/>
  <c r="G306" i="2"/>
  <c r="D139" i="2"/>
  <c r="P72" i="2"/>
  <c r="H214" i="2"/>
  <c r="F128" i="2"/>
  <c r="F146" i="2"/>
  <c r="O154" i="2"/>
  <c r="M212" i="2"/>
  <c r="Q70" i="2"/>
  <c r="Q345" i="2"/>
  <c r="E176" i="2"/>
  <c r="F211" i="2"/>
  <c r="M304" i="2"/>
  <c r="K343" i="2"/>
  <c r="P109" i="2"/>
  <c r="J107" i="2"/>
  <c r="O222" i="2"/>
  <c r="F124" i="2"/>
  <c r="Q313" i="2"/>
  <c r="O198" i="2"/>
  <c r="E142" i="2"/>
  <c r="O79" i="2"/>
  <c r="I67" i="2"/>
  <c r="K246" i="2"/>
  <c r="J366" i="2"/>
  <c r="Q15" i="2"/>
  <c r="L152" i="2"/>
  <c r="N372" i="2"/>
  <c r="M55" i="2"/>
  <c r="E71" i="2"/>
  <c r="K352" i="2"/>
  <c r="H375" i="2"/>
  <c r="O317" i="2"/>
  <c r="Q61" i="2"/>
  <c r="O106" i="2"/>
  <c r="I209" i="2"/>
  <c r="J347" i="2"/>
  <c r="H116" i="2"/>
  <c r="L221" i="2"/>
  <c r="M384" i="2"/>
  <c r="E86" i="2"/>
  <c r="K386" i="2"/>
  <c r="M133" i="2"/>
  <c r="H310" i="2"/>
  <c r="O329" i="2"/>
  <c r="G29" i="2"/>
  <c r="K22" i="2"/>
  <c r="G116" i="2"/>
  <c r="O90" i="2"/>
  <c r="F312" i="2"/>
  <c r="E385" i="2"/>
  <c r="E367" i="2"/>
  <c r="J355" i="2"/>
  <c r="E205" i="2"/>
  <c r="H187" i="2"/>
  <c r="D20" i="2"/>
  <c r="E285" i="2"/>
  <c r="P382" i="2"/>
  <c r="N200" i="2"/>
  <c r="L243" i="2"/>
  <c r="M67" i="2"/>
  <c r="O89" i="2"/>
  <c r="G83" i="2"/>
  <c r="F114" i="2"/>
  <c r="K46" i="2"/>
  <c r="O100" i="2"/>
  <c r="Q323" i="2"/>
  <c r="N158" i="2"/>
  <c r="N145" i="2"/>
  <c r="N147" i="2"/>
  <c r="G253" i="2"/>
  <c r="O120" i="2"/>
  <c r="G118" i="2"/>
  <c r="K110" i="2"/>
  <c r="F157" i="2"/>
  <c r="F126" i="2"/>
  <c r="I364" i="2"/>
  <c r="Q68" i="2"/>
  <c r="D346" i="2"/>
  <c r="L385" i="2"/>
  <c r="F118" i="2"/>
  <c r="P366" i="2"/>
  <c r="G271" i="2"/>
  <c r="E28" i="2"/>
  <c r="L241" i="2"/>
  <c r="D62" i="2"/>
  <c r="Q251" i="2"/>
  <c r="M185" i="2"/>
  <c r="K372" i="2"/>
  <c r="Q125" i="2"/>
  <c r="G290" i="2"/>
  <c r="N114" i="2"/>
  <c r="I342" i="2"/>
  <c r="H279" i="2"/>
  <c r="D321" i="2"/>
  <c r="F164" i="2"/>
  <c r="O194" i="2"/>
  <c r="M177" i="2"/>
  <c r="L27" i="2"/>
  <c r="O91" i="2"/>
  <c r="J211" i="2"/>
  <c r="J64" i="2"/>
  <c r="F224" i="2"/>
  <c r="P148" i="2"/>
  <c r="N155" i="2"/>
  <c r="N30" i="2"/>
  <c r="O292" i="2"/>
  <c r="K262" i="2"/>
  <c r="H98" i="2"/>
  <c r="G32" i="2"/>
  <c r="G49" i="2"/>
  <c r="P365" i="2"/>
  <c r="G170" i="2"/>
  <c r="N364" i="2"/>
  <c r="J207" i="2"/>
  <c r="J328" i="2"/>
  <c r="K135" i="2"/>
  <c r="D206" i="2"/>
  <c r="E369" i="2"/>
  <c r="N386" i="2"/>
  <c r="M379" i="2"/>
  <c r="G314" i="2"/>
  <c r="D228" i="2"/>
  <c r="D324" i="2"/>
  <c r="J215" i="2"/>
  <c r="H137" i="2"/>
  <c r="H248" i="2"/>
  <c r="E17" i="2"/>
  <c r="M155" i="2"/>
  <c r="O189" i="2"/>
  <c r="E260" i="2"/>
  <c r="G66" i="2"/>
  <c r="H107" i="2"/>
  <c r="O204" i="2"/>
  <c r="O111" i="2"/>
  <c r="P48" i="2"/>
  <c r="D125" i="2"/>
  <c r="N137" i="2"/>
  <c r="F63" i="2"/>
  <c r="M22" i="2"/>
  <c r="H56" i="2"/>
  <c r="M280" i="2"/>
  <c r="N230" i="2"/>
  <c r="P197" i="2"/>
  <c r="K44" i="2"/>
  <c r="L151" i="2"/>
  <c r="N220" i="2"/>
  <c r="P222" i="2"/>
  <c r="F168" i="2"/>
  <c r="M135" i="2"/>
  <c r="N110" i="2"/>
  <c r="F200" i="2"/>
  <c r="F167" i="2"/>
  <c r="E305" i="2"/>
  <c r="E313" i="2"/>
  <c r="H20" i="2"/>
  <c r="G329" i="2"/>
  <c r="K130" i="2"/>
  <c r="P86" i="2"/>
  <c r="F82" i="2"/>
  <c r="D275" i="2"/>
  <c r="Q18" i="2"/>
  <c r="P386" i="2"/>
  <c r="F231" i="2"/>
  <c r="F86" i="2"/>
  <c r="H59" i="2"/>
  <c r="L93" i="2"/>
  <c r="M203" i="2"/>
  <c r="N97" i="2"/>
  <c r="N270" i="2"/>
  <c r="J101" i="2"/>
  <c r="M199" i="2"/>
  <c r="M163" i="2"/>
  <c r="N98" i="2"/>
  <c r="J33" i="2"/>
  <c r="E213" i="2"/>
  <c r="P281" i="2"/>
  <c r="D257" i="2"/>
  <c r="N169" i="2"/>
  <c r="L383" i="2"/>
  <c r="N99" i="2"/>
  <c r="I73" i="2"/>
  <c r="E330" i="2"/>
  <c r="G370" i="2"/>
  <c r="I187" i="2"/>
  <c r="G52" i="2"/>
  <c r="D233" i="2"/>
  <c r="G355" i="2"/>
  <c r="O289" i="2"/>
  <c r="N302" i="2"/>
  <c r="I239" i="2"/>
  <c r="M33" i="2"/>
  <c r="H163" i="2"/>
  <c r="J219" i="2"/>
  <c r="L347" i="2"/>
  <c r="N37" i="2"/>
  <c r="J140" i="2"/>
  <c r="G143" i="2"/>
  <c r="I326" i="2"/>
  <c r="O64" i="2"/>
  <c r="I277" i="2"/>
  <c r="H89" i="2"/>
  <c r="L382" i="2"/>
  <c r="D50" i="2"/>
  <c r="N71" i="2"/>
  <c r="J255" i="2"/>
  <c r="O368" i="2"/>
  <c r="O363" i="2"/>
  <c r="D84" i="2"/>
  <c r="F385" i="2"/>
  <c r="L195" i="2"/>
  <c r="M197" i="2"/>
  <c r="F206" i="2"/>
  <c r="G280" i="2"/>
  <c r="L54" i="2"/>
  <c r="F192" i="2"/>
  <c r="M15" i="2"/>
  <c r="O136" i="2"/>
  <c r="G305" i="2"/>
  <c r="D265" i="2"/>
  <c r="E294" i="2"/>
  <c r="Q89" i="2"/>
  <c r="J162" i="2"/>
  <c r="E240" i="2"/>
  <c r="L228" i="2"/>
  <c r="M270" i="2"/>
  <c r="L336" i="2"/>
  <c r="K179" i="2"/>
  <c r="O140" i="2"/>
  <c r="K105" i="2"/>
  <c r="G21" i="2"/>
  <c r="F101" i="2"/>
  <c r="H209" i="2"/>
  <c r="G337" i="2"/>
  <c r="F132" i="2"/>
  <c r="Q280" i="2"/>
  <c r="F265" i="2"/>
  <c r="E103" i="2"/>
  <c r="Q265" i="2"/>
  <c r="N22" i="2"/>
  <c r="Q259" i="2"/>
  <c r="L45" i="2"/>
  <c r="P351" i="2"/>
  <c r="N151" i="2"/>
  <c r="L96" i="2"/>
  <c r="L156" i="2"/>
  <c r="J329" i="2"/>
  <c r="E63" i="2"/>
  <c r="F303" i="2"/>
  <c r="Q58" i="2"/>
  <c r="P177" i="2"/>
  <c r="M340" i="2"/>
  <c r="L275" i="2"/>
  <c r="Q134" i="2"/>
  <c r="P372" i="2"/>
  <c r="K108" i="2"/>
  <c r="F281" i="2"/>
  <c r="I27" i="2"/>
  <c r="F339" i="2"/>
  <c r="E118" i="2"/>
  <c r="F364" i="2"/>
  <c r="N370" i="2"/>
  <c r="D244" i="2"/>
  <c r="G286" i="2"/>
  <c r="F330" i="2"/>
  <c r="M368" i="2"/>
  <c r="Q292" i="2"/>
  <c r="H318" i="2"/>
  <c r="N289" i="2"/>
  <c r="G57" i="2"/>
  <c r="F305" i="2"/>
  <c r="P93" i="2"/>
  <c r="P204" i="2"/>
  <c r="K131" i="2"/>
  <c r="N88" i="2"/>
  <c r="J118" i="2"/>
  <c r="E22" i="2"/>
  <c r="H136" i="2"/>
  <c r="J319" i="2"/>
  <c r="D118" i="2"/>
  <c r="O236" i="2"/>
  <c r="E344" i="2"/>
  <c r="K320" i="2"/>
  <c r="Q268" i="2"/>
  <c r="H317" i="2"/>
  <c r="J65" i="2"/>
  <c r="D332" i="2"/>
  <c r="F321" i="2"/>
  <c r="D286" i="2"/>
  <c r="L56" i="2"/>
  <c r="H182" i="2"/>
  <c r="K43" i="2"/>
  <c r="K140" i="2"/>
  <c r="Q226" i="2"/>
  <c r="E130" i="2"/>
  <c r="L307" i="2"/>
  <c r="P20" i="2"/>
  <c r="E73" i="2"/>
  <c r="I262" i="2"/>
  <c r="K202" i="2"/>
  <c r="L65" i="2"/>
  <c r="N223" i="2"/>
  <c r="J147" i="2"/>
  <c r="N317" i="2"/>
  <c r="J91" i="2"/>
  <c r="M25" i="2"/>
  <c r="G252" i="2"/>
  <c r="N108" i="2"/>
  <c r="M101" i="2"/>
  <c r="N300" i="2"/>
  <c r="M37" i="2"/>
  <c r="F183" i="2"/>
  <c r="O36" i="2"/>
  <c r="I113" i="2"/>
  <c r="F204" i="2"/>
  <c r="P358" i="2"/>
  <c r="D89" i="2"/>
  <c r="N273" i="2"/>
  <c r="N294" i="2"/>
  <c r="I106" i="2"/>
  <c r="M235" i="2"/>
  <c r="H270" i="2"/>
  <c r="G31" i="2"/>
  <c r="E135" i="2"/>
  <c r="P24" i="2"/>
  <c r="P318" i="2"/>
  <c r="G128" i="2"/>
  <c r="N113" i="2"/>
  <c r="G292" i="2"/>
  <c r="E318" i="2"/>
  <c r="E291" i="2"/>
  <c r="I211" i="2"/>
  <c r="L187" i="2"/>
  <c r="E239" i="2"/>
  <c r="O245" i="2"/>
  <c r="M84" i="2"/>
  <c r="J63" i="2"/>
  <c r="F104" i="2"/>
  <c r="O283" i="2"/>
  <c r="H376" i="2"/>
  <c r="D266" i="2"/>
  <c r="P196" i="2"/>
  <c r="E281" i="2"/>
  <c r="M35" i="2"/>
  <c r="I234" i="2"/>
  <c r="P223" i="2"/>
  <c r="K380" i="2"/>
  <c r="P343" i="2"/>
  <c r="J233" i="2"/>
  <c r="P58" i="2"/>
  <c r="E48" i="2"/>
  <c r="E92" i="2"/>
  <c r="M217" i="2"/>
  <c r="I302" i="2"/>
  <c r="I210" i="2"/>
  <c r="Q180" i="2"/>
  <c r="O254" i="2"/>
  <c r="E347" i="2"/>
  <c r="O354" i="2"/>
  <c r="N347" i="2"/>
  <c r="L110" i="2"/>
  <c r="E365" i="2"/>
  <c r="O44" i="2"/>
  <c r="M245" i="2"/>
  <c r="O321" i="2"/>
  <c r="O112" i="2"/>
  <c r="F177" i="2"/>
  <c r="Q262" i="2"/>
  <c r="D354" i="2"/>
  <c r="F249" i="2"/>
  <c r="L287" i="2"/>
  <c r="H99" i="2"/>
  <c r="E286" i="2"/>
  <c r="J86" i="2"/>
  <c r="E76" i="2"/>
  <c r="M23" i="2"/>
  <c r="I363" i="2"/>
  <c r="G73" i="2"/>
  <c r="H78" i="2"/>
  <c r="F240" i="2"/>
  <c r="N16" i="2"/>
  <c r="D184" i="2"/>
  <c r="O173" i="2"/>
  <c r="I232" i="2"/>
  <c r="F19" i="2"/>
  <c r="K173" i="2"/>
  <c r="E107" i="2"/>
  <c r="H177" i="2"/>
  <c r="P227" i="2"/>
  <c r="F24" i="2"/>
  <c r="O22" i="2"/>
  <c r="O358" i="2"/>
  <c r="D364" i="2"/>
  <c r="M299" i="2"/>
  <c r="M319" i="2"/>
  <c r="P201" i="2"/>
  <c r="P50" i="2"/>
  <c r="O102" i="2"/>
  <c r="F317" i="2"/>
  <c r="L317" i="2"/>
  <c r="K75" i="2"/>
  <c r="D365" i="2"/>
  <c r="G262" i="2"/>
  <c r="D308" i="2"/>
  <c r="O40" i="2"/>
  <c r="D49" i="2"/>
  <c r="L253" i="2"/>
  <c r="D294" i="2"/>
  <c r="E251" i="2"/>
  <c r="I31" i="2"/>
  <c r="L58" i="2"/>
  <c r="O299" i="2"/>
  <c r="D239" i="2"/>
  <c r="N106" i="2"/>
  <c r="N77" i="2"/>
  <c r="D226" i="2"/>
  <c r="K266" i="2"/>
  <c r="M211" i="2"/>
  <c r="J150" i="2"/>
  <c r="M47" i="2"/>
  <c r="H372" i="2"/>
  <c r="H217" i="2"/>
  <c r="H301" i="2"/>
  <c r="E381" i="2"/>
  <c r="O325" i="2"/>
  <c r="K330" i="2"/>
  <c r="Q166" i="2"/>
  <c r="F267" i="2"/>
  <c r="I293" i="2"/>
  <c r="P163" i="2"/>
  <c r="J365" i="2"/>
  <c r="M79" i="2"/>
  <c r="E14" i="2"/>
  <c r="H252" i="2"/>
  <c r="K154" i="2"/>
  <c r="K28" i="2"/>
  <c r="O284" i="2"/>
  <c r="P273" i="2"/>
  <c r="M130" i="2"/>
  <c r="O301" i="2"/>
  <c r="O190" i="2"/>
  <c r="H308" i="2"/>
  <c r="I259" i="2"/>
  <c r="M260" i="2"/>
  <c r="G30" i="2"/>
  <c r="O219" i="2"/>
  <c r="D194" i="2"/>
  <c r="H176" i="2"/>
  <c r="L115" i="2"/>
  <c r="G338" i="2"/>
  <c r="H373" i="2"/>
  <c r="M192" i="2"/>
  <c r="L203" i="2"/>
  <c r="G39" i="2"/>
  <c r="Q198" i="2"/>
  <c r="F371" i="2"/>
  <c r="L20" i="2"/>
  <c r="Q62" i="2"/>
  <c r="D377" i="2"/>
  <c r="K149" i="2"/>
  <c r="K47" i="2"/>
  <c r="J205" i="2"/>
  <c r="L251" i="2"/>
  <c r="F236" i="2"/>
  <c r="M39" i="2"/>
  <c r="N161" i="2"/>
  <c r="H35" i="2"/>
  <c r="F205" i="2"/>
  <c r="E326" i="2"/>
  <c r="K384" i="2"/>
  <c r="G27" i="2"/>
  <c r="D253" i="2"/>
  <c r="K318" i="2"/>
  <c r="N271" i="2"/>
  <c r="L81" i="2"/>
  <c r="J94" i="2"/>
  <c r="L15" i="2"/>
  <c r="D222" i="2"/>
  <c r="K169" i="2"/>
  <c r="H25" i="2"/>
  <c r="D192" i="2"/>
  <c r="M123" i="2"/>
  <c r="P267" i="2"/>
  <c r="M386" i="2"/>
  <c r="K186" i="2"/>
  <c r="G219" i="2"/>
  <c r="J146" i="2"/>
  <c r="Q222" i="2"/>
  <c r="J367" i="2"/>
  <c r="H125" i="2"/>
  <c r="Q355" i="2"/>
  <c r="K217" i="2"/>
  <c r="P73" i="2"/>
  <c r="D248" i="2"/>
  <c r="O346" i="2"/>
  <c r="L101" i="2"/>
  <c r="O115" i="2"/>
  <c r="F163" i="2"/>
  <c r="M26" i="2"/>
  <c r="P254" i="2"/>
  <c r="K374" i="2"/>
  <c r="Q135" i="2"/>
  <c r="K304" i="2"/>
  <c r="I245" i="2"/>
  <c r="P311" i="2"/>
  <c r="J179" i="2"/>
  <c r="J378" i="2"/>
  <c r="M188" i="2"/>
  <c r="E284" i="2"/>
  <c r="E352" i="2"/>
  <c r="K16" i="2"/>
  <c r="Q85" i="2"/>
  <c r="O63" i="2"/>
  <c r="O318" i="2"/>
  <c r="I188" i="2"/>
  <c r="I18" i="2"/>
  <c r="M95" i="2"/>
  <c r="L338" i="2"/>
  <c r="F38" i="2"/>
  <c r="Q290" i="2"/>
  <c r="J192" i="2"/>
  <c r="O320" i="2"/>
  <c r="K120" i="2"/>
  <c r="Q34" i="2"/>
  <c r="N233" i="2"/>
  <c r="H265" i="2"/>
  <c r="L202" i="2"/>
  <c r="K94" i="2"/>
  <c r="G178" i="2"/>
  <c r="I275" i="2"/>
  <c r="H324" i="2"/>
  <c r="G76" i="2"/>
  <c r="P155" i="2"/>
  <c r="G122" i="2"/>
  <c r="N139" i="2"/>
  <c r="M240" i="2"/>
  <c r="Q99" i="2"/>
  <c r="K32" i="2"/>
  <c r="D170" i="2"/>
  <c r="O153" i="2"/>
  <c r="J294" i="2"/>
  <c r="E102" i="2"/>
  <c r="E237" i="2"/>
  <c r="Q315" i="2"/>
  <c r="D176" i="2"/>
  <c r="M165" i="2"/>
  <c r="E94" i="2"/>
  <c r="F27" i="2"/>
  <c r="H349" i="2"/>
  <c r="P91" i="2"/>
  <c r="I327" i="2"/>
  <c r="K377" i="2"/>
  <c r="P212" i="2"/>
  <c r="G135" i="2"/>
  <c r="L150" i="2"/>
  <c r="N148" i="2"/>
  <c r="F35" i="2"/>
  <c r="G125" i="2"/>
  <c r="M38" i="2"/>
  <c r="L254" i="2"/>
  <c r="F343" i="2"/>
  <c r="M146" i="2"/>
  <c r="F239" i="2"/>
  <c r="G105" i="2"/>
  <c r="M178" i="2"/>
  <c r="M36" i="2"/>
  <c r="F322" i="2"/>
  <c r="Q377" i="2"/>
  <c r="L33" i="2"/>
  <c r="M282" i="2"/>
  <c r="K191" i="2"/>
  <c r="H227" i="2"/>
  <c r="N162" i="2"/>
  <c r="Q51" i="2"/>
  <c r="L261" i="2"/>
  <c r="N360" i="2"/>
  <c r="P303" i="2"/>
  <c r="D203" i="2"/>
  <c r="N135" i="2"/>
  <c r="M216" i="2"/>
  <c r="L66" i="2"/>
  <c r="K227" i="2"/>
  <c r="N275" i="2"/>
  <c r="H282" i="2"/>
  <c r="L316" i="2"/>
  <c r="L42" i="2"/>
  <c r="E287" i="2"/>
  <c r="H262" i="2"/>
  <c r="D230" i="2"/>
  <c r="P140" i="2"/>
  <c r="L285" i="2"/>
  <c r="I341" i="2"/>
  <c r="N278" i="2"/>
  <c r="L178" i="2"/>
  <c r="G380" i="2"/>
  <c r="J285" i="2"/>
  <c r="K340" i="2"/>
  <c r="F356" i="2"/>
  <c r="P88" i="2"/>
  <c r="O155" i="2"/>
  <c r="L286" i="2"/>
  <c r="D345" i="2"/>
  <c r="L337" i="2"/>
  <c r="O353" i="2"/>
  <c r="N48" i="2"/>
  <c r="H361" i="2"/>
  <c r="K41" i="2"/>
  <c r="I223" i="2"/>
  <c r="N43" i="2"/>
  <c r="Q75" i="2"/>
  <c r="D155" i="2"/>
  <c r="K290" i="2"/>
  <c r="D75" i="2"/>
  <c r="Q42" i="2"/>
  <c r="N92" i="2"/>
  <c r="K312" i="2"/>
  <c r="G328" i="2"/>
  <c r="Q185" i="2"/>
  <c r="M331" i="2"/>
  <c r="D73" i="2"/>
  <c r="H65" i="2"/>
  <c r="K175" i="2"/>
  <c r="L148" i="2"/>
  <c r="P264" i="2"/>
  <c r="D197" i="2"/>
  <c r="O16" i="2"/>
  <c r="F162" i="2"/>
  <c r="Q201" i="2"/>
  <c r="M373" i="2"/>
  <c r="O275" i="2"/>
  <c r="N334" i="2"/>
  <c r="G117" i="2"/>
  <c r="G378" i="2"/>
  <c r="Q376" i="2"/>
  <c r="I308" i="2"/>
  <c r="E324" i="2"/>
  <c r="P45" i="2"/>
  <c r="P317" i="2"/>
  <c r="H199" i="2"/>
  <c r="I152" i="2"/>
  <c r="I141" i="2"/>
  <c r="F191" i="2"/>
  <c r="P144" i="2"/>
  <c r="N68" i="2"/>
  <c r="M70" i="2"/>
  <c r="N217" i="2"/>
  <c r="M281" i="2"/>
  <c r="Q384" i="2"/>
  <c r="K185" i="2"/>
  <c r="L60" i="2"/>
  <c r="K192" i="2"/>
  <c r="I46" i="2"/>
  <c r="H23" i="2"/>
  <c r="E195" i="2"/>
  <c r="H242" i="2"/>
  <c r="L381" i="2"/>
  <c r="G19" i="2"/>
  <c r="I320" i="2"/>
  <c r="Q291" i="2"/>
  <c r="L361" i="2"/>
  <c r="E314" i="2"/>
  <c r="O33" i="2"/>
  <c r="H51" i="2"/>
  <c r="G296" i="2"/>
  <c r="O330" i="2"/>
  <c r="O230" i="2"/>
  <c r="K298" i="2"/>
  <c r="J350" i="2"/>
  <c r="J354" i="2"/>
  <c r="M28" i="2"/>
  <c r="M229" i="2"/>
  <c r="N304" i="2"/>
  <c r="J230" i="2"/>
  <c r="K297" i="2"/>
  <c r="J102" i="2"/>
  <c r="F150" i="2"/>
  <c r="O57" i="2"/>
  <c r="Q33" i="2"/>
  <c r="F229" i="2"/>
  <c r="O84" i="2"/>
  <c r="Q310" i="2"/>
  <c r="D61" i="2"/>
  <c r="H339" i="2"/>
  <c r="O211" i="2"/>
  <c r="K57" i="2"/>
  <c r="O164" i="2"/>
  <c r="D58" i="2"/>
  <c r="F179" i="2"/>
  <c r="K250" i="2"/>
  <c r="M266" i="2"/>
  <c r="K240" i="2"/>
  <c r="E266" i="2"/>
  <c r="M314" i="2"/>
  <c r="I56" i="2"/>
  <c r="E44" i="2"/>
  <c r="Q282" i="2"/>
  <c r="D190" i="2"/>
  <c r="P381" i="2"/>
  <c r="D256" i="2"/>
  <c r="J291" i="2"/>
  <c r="P230" i="2"/>
  <c r="E161" i="2"/>
  <c r="I272" i="2"/>
  <c r="O70" i="2"/>
  <c r="D277" i="2"/>
  <c r="H275" i="2"/>
  <c r="N384" i="2"/>
  <c r="D129" i="2"/>
  <c r="F59" i="2"/>
  <c r="O338" i="2"/>
  <c r="J235" i="2"/>
  <c r="D144" i="2"/>
  <c r="K236" i="2"/>
  <c r="F331" i="2"/>
  <c r="K142" i="2"/>
  <c r="O234" i="2"/>
  <c r="L49" i="2"/>
  <c r="I179" i="2"/>
  <c r="K251" i="2"/>
  <c r="K96" i="2"/>
  <c r="M330" i="2"/>
  <c r="E157" i="2"/>
  <c r="D146" i="2"/>
  <c r="N127" i="2"/>
  <c r="K182" i="2"/>
  <c r="E27" i="2"/>
  <c r="I158" i="2"/>
  <c r="D351" i="2"/>
  <c r="M352" i="2"/>
  <c r="P133" i="2"/>
  <c r="G136" i="2"/>
  <c r="P225" i="2"/>
  <c r="G174" i="2"/>
  <c r="F39" i="2"/>
  <c r="N224" i="2"/>
  <c r="L262" i="2"/>
  <c r="P219" i="2"/>
  <c r="K382" i="2"/>
  <c r="E191" i="2"/>
  <c r="N369" i="2"/>
  <c r="P369" i="2"/>
  <c r="O116" i="2"/>
  <c r="E177" i="2"/>
  <c r="Q137" i="2"/>
  <c r="L346" i="2"/>
  <c r="Q217" i="2"/>
  <c r="Q338" i="2"/>
  <c r="P236" i="2"/>
  <c r="F326" i="2"/>
  <c r="F252" i="2"/>
  <c r="M241" i="2"/>
  <c r="O142" i="2"/>
  <c r="F189" i="2"/>
  <c r="E292" i="2"/>
  <c r="E366" i="2"/>
  <c r="N211" i="2"/>
  <c r="P379" i="2"/>
  <c r="F165" i="2"/>
  <c r="Q160" i="2"/>
  <c r="O220" i="2"/>
  <c r="D32" i="2"/>
  <c r="K126" i="2"/>
  <c r="Q161" i="2"/>
  <c r="E241" i="2"/>
  <c r="Q195" i="2"/>
  <c r="K72" i="2"/>
  <c r="H359" i="2"/>
  <c r="G79" i="2"/>
  <c r="K325" i="2"/>
  <c r="E242" i="2"/>
  <c r="G247" i="2"/>
  <c r="F293" i="2"/>
  <c r="G16" i="2"/>
  <c r="P43" i="2"/>
  <c r="F274" i="2"/>
  <c r="F88" i="2"/>
  <c r="J159" i="2"/>
  <c r="P74" i="2"/>
  <c r="H29" i="2"/>
  <c r="M106" i="2"/>
  <c r="E160" i="2"/>
  <c r="G97" i="2"/>
  <c r="K196" i="2"/>
  <c r="O341" i="2"/>
  <c r="L125" i="2"/>
  <c r="K38" i="2"/>
  <c r="D78" i="2"/>
  <c r="K67" i="2"/>
  <c r="P309" i="2"/>
  <c r="D175" i="2"/>
  <c r="E66" i="2"/>
  <c r="J120" i="2"/>
  <c r="E189" i="2"/>
  <c r="D100" i="2"/>
  <c r="K88" i="2"/>
  <c r="O373" i="2"/>
  <c r="G43" i="2"/>
  <c r="E42" i="2"/>
  <c r="D173" i="2"/>
  <c r="D86" i="2"/>
  <c r="N329" i="2"/>
  <c r="O385" i="2"/>
  <c r="K52" i="2"/>
  <c r="F360" i="2"/>
  <c r="N363" i="2"/>
  <c r="H329" i="2"/>
  <c r="H50" i="2"/>
  <c r="M144" i="2"/>
  <c r="F65" i="2"/>
  <c r="H87" i="2"/>
  <c r="H165" i="2"/>
  <c r="N279" i="2"/>
  <c r="H58" i="2"/>
  <c r="Q220" i="2"/>
  <c r="J276" i="2"/>
  <c r="F286" i="2"/>
  <c r="H92" i="2"/>
  <c r="E274" i="2"/>
  <c r="H347" i="2"/>
  <c r="G45" i="2"/>
  <c r="I270" i="2"/>
  <c r="J173" i="2"/>
  <c r="F323" i="2"/>
  <c r="I44" i="2"/>
  <c r="P211" i="2"/>
  <c r="P174" i="2"/>
  <c r="E258" i="2"/>
  <c r="D36" i="2"/>
  <c r="E222" i="2"/>
  <c r="N94" i="2"/>
  <c r="H246" i="2"/>
  <c r="G109" i="2"/>
  <c r="I102" i="2"/>
  <c r="I198" i="2"/>
  <c r="G63" i="2"/>
  <c r="F365" i="2"/>
  <c r="I271" i="2"/>
  <c r="Q178" i="2"/>
  <c r="G103" i="2"/>
  <c r="L310" i="2"/>
  <c r="J331" i="2"/>
  <c r="M378" i="2"/>
  <c r="J90" i="2"/>
  <c r="G175" i="2"/>
  <c r="K258" i="2"/>
  <c r="P284" i="2"/>
  <c r="O343" i="2"/>
  <c r="L68" i="2"/>
  <c r="I322" i="2"/>
  <c r="E380" i="2"/>
  <c r="G335" i="2"/>
  <c r="H319" i="2"/>
  <c r="Q205" i="2"/>
  <c r="P221" i="2"/>
  <c r="D369" i="2"/>
  <c r="M312" i="2"/>
  <c r="D83" i="2"/>
  <c r="N146" i="2"/>
  <c r="O257" i="2"/>
  <c r="D288" i="2"/>
  <c r="K287" i="2"/>
  <c r="P214" i="2"/>
  <c r="Q129" i="2"/>
  <c r="K190" i="2"/>
  <c r="Q312" i="2"/>
  <c r="H19" i="2"/>
  <c r="Q74" i="2"/>
  <c r="G284" i="2"/>
  <c r="N23" i="2"/>
  <c r="O319" i="2"/>
  <c r="G72" i="2"/>
  <c r="O240" i="2"/>
  <c r="F95" i="2"/>
  <c r="O225" i="2"/>
  <c r="M367" i="2"/>
  <c r="G203" i="2"/>
  <c r="M162" i="2"/>
  <c r="D336" i="2"/>
  <c r="P41" i="2"/>
  <c r="K157" i="2"/>
  <c r="O143" i="2"/>
  <c r="I185" i="2"/>
  <c r="J224" i="2"/>
  <c r="D47" i="2"/>
  <c r="L35" i="2"/>
  <c r="H268" i="2"/>
  <c r="E358" i="2"/>
  <c r="F313" i="2"/>
  <c r="Q45" i="2"/>
  <c r="F294" i="2"/>
  <c r="I195" i="2"/>
  <c r="L91" i="2"/>
  <c r="D264" i="2"/>
  <c r="J261" i="2"/>
  <c r="O231" i="2"/>
  <c r="G347" i="2"/>
  <c r="E20" i="2"/>
  <c r="F55" i="2"/>
  <c r="K233" i="2"/>
  <c r="H55" i="2"/>
  <c r="H322" i="2"/>
  <c r="M91" i="2"/>
  <c r="E89" i="2"/>
  <c r="M131" i="2"/>
  <c r="M110" i="2"/>
  <c r="E136" i="2"/>
  <c r="Q114" i="2"/>
  <c r="D251" i="2"/>
  <c r="D373" i="2"/>
  <c r="I30" i="2"/>
  <c r="J308" i="2"/>
  <c r="K338" i="2"/>
  <c r="Q122" i="2"/>
  <c r="J32" i="2"/>
  <c r="D108" i="2"/>
  <c r="D135" i="2"/>
  <c r="Q224" i="2"/>
  <c r="M320" i="2"/>
  <c r="K254" i="2"/>
  <c r="M257" i="2"/>
  <c r="Q304" i="2"/>
  <c r="J338" i="2"/>
  <c r="Q295" i="2"/>
  <c r="O94" i="2"/>
  <c r="I100" i="2"/>
  <c r="D160" i="2"/>
  <c r="I274" i="2"/>
  <c r="L370" i="2"/>
  <c r="I192" i="2"/>
  <c r="M20" i="2"/>
  <c r="L291" i="2"/>
  <c r="D140" i="2"/>
  <c r="G139" i="2"/>
  <c r="J381" i="2"/>
  <c r="O312" i="2"/>
  <c r="K242" i="2"/>
  <c r="D112" i="2"/>
  <c r="I353" i="2"/>
  <c r="I109" i="2"/>
  <c r="K327" i="2"/>
  <c r="G180" i="2"/>
  <c r="P283" i="2"/>
  <c r="K56" i="2"/>
  <c r="H255" i="2"/>
  <c r="D216" i="2"/>
  <c r="G85" i="2"/>
  <c r="G315" i="2"/>
  <c r="K143" i="2"/>
  <c r="J31" i="2"/>
  <c r="L288" i="2"/>
  <c r="J206" i="2"/>
  <c r="I333" i="2"/>
  <c r="I237" i="2"/>
  <c r="J292" i="2"/>
  <c r="F105" i="2"/>
  <c r="E219" i="2"/>
  <c r="G299" i="2"/>
  <c r="K204" i="2"/>
  <c r="D260" i="2"/>
  <c r="P63" i="2"/>
  <c r="K370" i="2"/>
  <c r="L282" i="2"/>
  <c r="F220" i="2"/>
  <c r="D385" i="2"/>
  <c r="H328" i="2"/>
  <c r="D241" i="2"/>
  <c r="J48" i="2"/>
  <c r="D316" i="2"/>
  <c r="N55" i="2"/>
  <c r="H179" i="2"/>
  <c r="G159" i="2"/>
  <c r="J273" i="2"/>
  <c r="M145" i="2"/>
  <c r="E109" i="2"/>
  <c r="P277" i="2"/>
  <c r="G220" i="2"/>
  <c r="K311" i="2"/>
  <c r="F247" i="2"/>
  <c r="O133" i="2"/>
  <c r="K104" i="2"/>
  <c r="L130" i="2"/>
  <c r="O15" i="2"/>
  <c r="I45" i="2"/>
  <c r="F53" i="2"/>
  <c r="F276" i="2"/>
  <c r="I162" i="2"/>
  <c r="G147" i="2"/>
  <c r="I161" i="2"/>
  <c r="M116" i="2"/>
  <c r="F122" i="2"/>
  <c r="P279" i="2"/>
  <c r="J195" i="2"/>
  <c r="E208" i="2"/>
  <c r="N60" i="2"/>
  <c r="O310" i="2"/>
  <c r="F368" i="2"/>
  <c r="J164" i="2"/>
  <c r="H154" i="2"/>
  <c r="Q336" i="2"/>
  <c r="O351" i="2"/>
  <c r="D311" i="2"/>
  <c r="G217" i="2"/>
  <c r="L353" i="2"/>
  <c r="D242" i="2"/>
  <c r="G187" i="2"/>
  <c r="H332" i="2"/>
  <c r="I343" i="2"/>
  <c r="J203" i="2"/>
  <c r="J210" i="2"/>
  <c r="J360" i="2"/>
  <c r="H348" i="2"/>
  <c r="J93" i="2"/>
  <c r="N138" i="2"/>
  <c r="D198" i="2"/>
  <c r="Q187" i="2"/>
  <c r="M156" i="2"/>
  <c r="K276" i="2"/>
  <c r="K277" i="2"/>
  <c r="L161" i="2"/>
  <c r="H291" i="2"/>
  <c r="N69" i="2"/>
  <c r="J14" i="2"/>
  <c r="H284" i="2"/>
  <c r="I65" i="2"/>
  <c r="E273" i="2"/>
  <c r="Q25" i="2"/>
  <c r="N350" i="2"/>
  <c r="I376" i="2"/>
  <c r="H105" i="2"/>
  <c r="D314" i="2"/>
  <c r="I79" i="2"/>
  <c r="I221" i="2"/>
  <c r="D371" i="2"/>
  <c r="K159" i="2"/>
  <c r="L334" i="2"/>
  <c r="P202" i="2"/>
  <c r="L357" i="2"/>
  <c r="L40" i="2"/>
  <c r="J50" i="2"/>
  <c r="F338" i="2"/>
  <c r="N212" i="2"/>
  <c r="Q21" i="2"/>
  <c r="O267" i="2"/>
  <c r="G272" i="2"/>
  <c r="I29" i="2"/>
  <c r="I164" i="2"/>
  <c r="P64" i="2"/>
  <c r="J217" i="2"/>
  <c r="L134" i="2"/>
  <c r="K214" i="2"/>
  <c r="F129" i="2"/>
  <c r="P217" i="2"/>
  <c r="E47" i="2"/>
  <c r="K332" i="2"/>
  <c r="P278" i="2"/>
  <c r="Q283" i="2"/>
  <c r="L160" i="2"/>
  <c r="P145" i="2"/>
  <c r="F386" i="2"/>
  <c r="N31" i="2"/>
  <c r="P69" i="2"/>
  <c r="M263" i="2"/>
  <c r="P282" i="2"/>
  <c r="L144" i="2"/>
  <c r="E67" i="2"/>
  <c r="I49" i="2"/>
  <c r="P182" i="2"/>
  <c r="N105" i="2"/>
  <c r="L149" i="2"/>
  <c r="K111" i="2"/>
  <c r="M278" i="2"/>
  <c r="H44" i="2"/>
  <c r="H119" i="2"/>
  <c r="F21" i="2"/>
  <c r="E204" i="2"/>
  <c r="P169" i="2"/>
  <c r="N253" i="2"/>
  <c r="J376" i="2"/>
  <c r="E170" i="2"/>
  <c r="L277" i="2"/>
  <c r="G230" i="2"/>
  <c r="Q328" i="2"/>
  <c r="D315" i="2"/>
  <c r="L171" i="2"/>
  <c r="E257" i="2"/>
  <c r="I214" i="2"/>
  <c r="J257" i="2"/>
  <c r="K51" i="2"/>
  <c r="L329" i="2"/>
  <c r="H374" i="2"/>
  <c r="M181" i="2"/>
  <c r="F297" i="2"/>
  <c r="O46" i="2"/>
  <c r="E224" i="2"/>
  <c r="D121" i="2"/>
  <c r="H49" i="2"/>
  <c r="F127" i="2"/>
  <c r="I265" i="2"/>
  <c r="I345" i="2"/>
  <c r="I103" i="2"/>
  <c r="J362" i="2"/>
  <c r="F202" i="2"/>
  <c r="H31" i="2"/>
  <c r="L38" i="2"/>
  <c r="G129" i="2"/>
  <c r="H144" i="2"/>
  <c r="N228" i="2"/>
  <c r="Q102" i="2"/>
  <c r="D310" i="2"/>
  <c r="I310" i="2"/>
  <c r="J288" i="2"/>
  <c r="N315" i="2"/>
  <c r="H178" i="2"/>
  <c r="H228" i="2"/>
  <c r="I90" i="2"/>
  <c r="D37" i="2"/>
  <c r="K49" i="2"/>
  <c r="I303" i="2"/>
  <c r="N382" i="2"/>
  <c r="Q142" i="2"/>
  <c r="F316" i="2"/>
  <c r="D95" i="2"/>
  <c r="K301" i="2"/>
  <c r="K83" i="2"/>
  <c r="M14" i="2"/>
  <c r="P228" i="2"/>
  <c r="Q32" i="2"/>
  <c r="G70" i="2"/>
  <c r="G341" i="2"/>
  <c r="N246" i="2"/>
  <c r="O35" i="2"/>
  <c r="K85" i="2"/>
  <c r="L220" i="2"/>
  <c r="K309" i="2"/>
  <c r="P55" i="2"/>
  <c r="O298" i="2"/>
  <c r="F353" i="2"/>
  <c r="Q101" i="2"/>
  <c r="G317" i="2"/>
  <c r="G372" i="2"/>
  <c r="G244" i="2"/>
  <c r="P287" i="2"/>
  <c r="M350" i="2"/>
  <c r="J263" i="2"/>
  <c r="H358" i="2"/>
  <c r="G248" i="2"/>
  <c r="I91" i="2"/>
  <c r="L259" i="2"/>
  <c r="J240" i="2"/>
  <c r="D287" i="2"/>
  <c r="I60" i="2"/>
  <c r="O265" i="2"/>
  <c r="N17" i="2"/>
  <c r="I257" i="2"/>
  <c r="D347" i="2"/>
  <c r="H27" i="2"/>
  <c r="G239" i="2"/>
  <c r="K152" i="2"/>
  <c r="G367" i="2"/>
  <c r="N219" i="2"/>
  <c r="M153" i="2"/>
  <c r="K48" i="2"/>
  <c r="N324" i="2"/>
  <c r="E215" i="2"/>
  <c r="D91" i="2"/>
  <c r="L46" i="2"/>
  <c r="P59" i="2"/>
  <c r="N313" i="2"/>
  <c r="F251" i="2"/>
  <c r="E68" i="2"/>
  <c r="L108" i="2"/>
  <c r="E164" i="2"/>
  <c r="L111" i="2"/>
  <c r="H293" i="2"/>
  <c r="K92" i="2"/>
  <c r="O272" i="2"/>
  <c r="F380" i="2"/>
  <c r="I282" i="2"/>
  <c r="O303" i="2"/>
  <c r="F210" i="2"/>
  <c r="L378" i="2"/>
  <c r="J286" i="2"/>
  <c r="H183" i="2"/>
  <c r="I174" i="2"/>
  <c r="Q170" i="2"/>
  <c r="F193" i="2"/>
  <c r="L214" i="2"/>
  <c r="H67" i="2"/>
  <c r="G91" i="2"/>
  <c r="N62" i="2"/>
  <c r="N216" i="2"/>
  <c r="E91" i="2"/>
  <c r="J221" i="2"/>
  <c r="M357" i="2"/>
  <c r="I283" i="2"/>
  <c r="F47" i="2"/>
  <c r="D271" i="2"/>
  <c r="D207" i="2"/>
  <c r="N41" i="2"/>
  <c r="Q249" i="2"/>
  <c r="L104" i="2"/>
  <c r="D280" i="2"/>
  <c r="M140" i="2"/>
  <c r="Q213" i="2"/>
  <c r="D232" i="2"/>
  <c r="I350" i="2"/>
  <c r="N176" i="2"/>
  <c r="J177" i="2"/>
  <c r="H383" i="2"/>
  <c r="H299" i="2"/>
  <c r="H22" i="2"/>
  <c r="M341" i="2"/>
  <c r="D243" i="2"/>
  <c r="K118" i="2"/>
  <c r="K269" i="2"/>
  <c r="J299" i="2"/>
  <c r="H263" i="2"/>
  <c r="I112" i="2"/>
  <c r="F298" i="2"/>
  <c r="D367" i="2"/>
  <c r="M295" i="2"/>
  <c r="J218" i="2"/>
  <c r="H220" i="2"/>
  <c r="P297" i="2"/>
  <c r="G69" i="2"/>
  <c r="O215" i="2"/>
  <c r="N140" i="2"/>
  <c r="E183" i="2"/>
  <c r="D81" i="2"/>
  <c r="G360" i="2"/>
  <c r="N252" i="2"/>
  <c r="N180" i="2"/>
  <c r="Q109" i="2"/>
  <c r="Q168" i="2"/>
  <c r="H186" i="2"/>
  <c r="K307" i="2"/>
  <c r="G242" i="2"/>
  <c r="N255" i="2"/>
  <c r="H39" i="2"/>
  <c r="L55" i="2"/>
  <c r="L77" i="2"/>
  <c r="D218" i="2"/>
  <c r="P333" i="2"/>
  <c r="J170" i="2"/>
  <c r="J353" i="2"/>
  <c r="I180" i="2"/>
  <c r="Q163" i="2"/>
  <c r="H367" i="2"/>
  <c r="Q105" i="2"/>
  <c r="E277" i="2"/>
  <c r="D96" i="2"/>
  <c r="H294" i="2"/>
  <c r="L48" i="2"/>
  <c r="H54" i="2"/>
  <c r="L320" i="2"/>
  <c r="J302" i="2"/>
  <c r="I299" i="2"/>
  <c r="M167" i="2"/>
  <c r="I276" i="2"/>
  <c r="O180" i="2"/>
  <c r="I17" i="2"/>
  <c r="F280" i="2"/>
  <c r="M227" i="2"/>
  <c r="P314" i="2"/>
  <c r="D177" i="2"/>
  <c r="L169" i="2"/>
  <c r="K132" i="2"/>
  <c r="N18" i="2"/>
  <c r="M381" i="2"/>
  <c r="O166" i="2"/>
  <c r="H80" i="2"/>
  <c r="Q49" i="2"/>
  <c r="G312" i="2"/>
  <c r="E276" i="2"/>
  <c r="G260" i="2"/>
  <c r="J370" i="2"/>
  <c r="M365" i="2"/>
  <c r="H371" i="2"/>
  <c r="Q181" i="2"/>
  <c r="J60" i="2"/>
  <c r="M148" i="2"/>
  <c r="Q119" i="2"/>
  <c r="E165" i="2"/>
  <c r="F382" i="2"/>
  <c r="N103" i="2"/>
  <c r="M206" i="2"/>
  <c r="L51" i="2"/>
  <c r="Q260" i="2"/>
  <c r="K117" i="2"/>
  <c r="I222" i="2"/>
  <c r="M105" i="2"/>
  <c r="M272" i="2"/>
  <c r="E186" i="2"/>
  <c r="H266" i="2"/>
  <c r="I178" i="2"/>
  <c r="D48" i="2"/>
  <c r="E362" i="2"/>
  <c r="Q374" i="2"/>
  <c r="I173" i="2"/>
  <c r="M136" i="2"/>
  <c r="Q171" i="2"/>
  <c r="O118" i="2"/>
  <c r="I204" i="2"/>
  <c r="K299" i="2"/>
  <c r="N260" i="2"/>
  <c r="G74" i="2"/>
  <c r="L268" i="2"/>
  <c r="L331" i="2"/>
  <c r="I120" i="2"/>
  <c r="F352" i="2"/>
  <c r="E57" i="2"/>
  <c r="I349" i="2"/>
  <c r="F214" i="2"/>
  <c r="O159" i="2"/>
  <c r="L67" i="2"/>
  <c r="G64" i="2"/>
  <c r="O41" i="2"/>
  <c r="D148" i="2"/>
  <c r="J181" i="2"/>
  <c r="P18" i="2"/>
  <c r="N59" i="2"/>
  <c r="P176" i="2"/>
  <c r="O45" i="2"/>
  <c r="I129" i="2"/>
  <c r="I203" i="2"/>
  <c r="E159" i="2"/>
  <c r="H256" i="2"/>
  <c r="O242" i="2"/>
  <c r="M114" i="2"/>
  <c r="M244" i="2"/>
  <c r="P146" i="2"/>
  <c r="N73" i="2"/>
  <c r="N53" i="2"/>
  <c r="H124" i="2"/>
  <c r="P15" i="2"/>
  <c r="M349" i="2"/>
  <c r="F84" i="2"/>
  <c r="J265" i="2"/>
  <c r="H155" i="2"/>
  <c r="K160" i="2"/>
  <c r="G241" i="2"/>
  <c r="G326" i="2"/>
  <c r="D318" i="2"/>
  <c r="L234" i="2"/>
  <c r="K34" i="2"/>
  <c r="J153" i="2"/>
  <c r="Q37" i="2"/>
  <c r="F71" i="2"/>
  <c r="D235" i="2"/>
  <c r="J68" i="2"/>
  <c r="M351" i="2"/>
  <c r="P242" i="2"/>
  <c r="D119" i="2"/>
  <c r="P194" i="2"/>
  <c r="J66" i="2"/>
  <c r="O60" i="2"/>
  <c r="Q321" i="2"/>
  <c r="M164" i="2"/>
  <c r="E24" i="2"/>
  <c r="H57" i="2"/>
  <c r="N197" i="2"/>
  <c r="P353" i="2"/>
  <c r="G107" i="2"/>
  <c r="M183" i="2"/>
  <c r="K119" i="2"/>
  <c r="G53" i="2"/>
  <c r="H26" i="2"/>
  <c r="G120" i="2"/>
  <c r="D33" i="2"/>
  <c r="O379" i="2"/>
  <c r="I240" i="2"/>
  <c r="E245" i="2"/>
  <c r="K153" i="2"/>
  <c r="F289" i="2"/>
  <c r="L201" i="2"/>
  <c r="M204" i="2"/>
  <c r="L343" i="2"/>
  <c r="L318" i="2"/>
  <c r="I124" i="2"/>
  <c r="Q73" i="2"/>
  <c r="G197" i="2"/>
  <c r="D68" i="2"/>
  <c r="D291" i="2"/>
  <c r="Q294" i="2"/>
  <c r="Q200" i="2"/>
  <c r="N293" i="2"/>
  <c r="E59" i="2"/>
  <c r="L235" i="2"/>
  <c r="E158" i="2"/>
  <c r="L153" i="2"/>
  <c r="N277" i="2"/>
  <c r="M310" i="2"/>
  <c r="E217" i="2"/>
  <c r="J343" i="2"/>
  <c r="P347" i="2"/>
  <c r="E128" i="2"/>
  <c r="H14" i="2"/>
  <c r="I261" i="2"/>
  <c r="F77" i="2"/>
  <c r="H141" i="2"/>
  <c r="D278" i="2"/>
  <c r="J193" i="2"/>
  <c r="Q231" i="2"/>
  <c r="J194" i="2"/>
  <c r="M120" i="2"/>
  <c r="D26" i="2"/>
  <c r="H364" i="2"/>
  <c r="M234" i="2"/>
  <c r="G130" i="2"/>
  <c r="H334" i="2"/>
  <c r="F376" i="2"/>
  <c r="F315" i="2"/>
  <c r="P233" i="2"/>
  <c r="L289" i="2"/>
  <c r="O252" i="2"/>
  <c r="Q261" i="2"/>
  <c r="P321" i="2"/>
  <c r="H233" i="2"/>
  <c r="I168" i="2"/>
  <c r="I63" i="2"/>
  <c r="K224" i="2"/>
  <c r="M213" i="2"/>
  <c r="P107" i="2"/>
  <c r="J258" i="2"/>
  <c r="G210" i="2"/>
  <c r="M294" i="2"/>
  <c r="H96" i="2"/>
  <c r="J204" i="2"/>
  <c r="G325" i="2"/>
  <c r="K109" i="2"/>
  <c r="H298" i="2"/>
  <c r="P117" i="2"/>
  <c r="P359" i="2"/>
  <c r="F178" i="2"/>
  <c r="L293" i="2"/>
  <c r="O350" i="2"/>
  <c r="O255" i="2"/>
  <c r="H120" i="2"/>
  <c r="H354" i="2"/>
  <c r="O165" i="2"/>
  <c r="O103" i="2"/>
  <c r="L39" i="2"/>
  <c r="O202" i="2"/>
  <c r="F97" i="2"/>
  <c r="K201" i="2"/>
  <c r="N229" i="2"/>
  <c r="Q239" i="2"/>
  <c r="I132" i="2"/>
  <c r="D249" i="2"/>
  <c r="P66" i="2"/>
  <c r="L188" i="2"/>
  <c r="E271" i="2"/>
  <c r="G227" i="2"/>
  <c r="J138" i="2"/>
  <c r="Q278" i="2"/>
  <c r="M74" i="2"/>
  <c r="H166" i="2"/>
  <c r="F61" i="2"/>
  <c r="H173" i="2"/>
  <c r="E248" i="2"/>
  <c r="M328" i="2"/>
  <c r="L249" i="2"/>
  <c r="E332" i="2"/>
  <c r="G40" i="2"/>
  <c r="E120" i="2"/>
  <c r="E244" i="2"/>
  <c r="L126" i="2"/>
  <c r="K245" i="2"/>
  <c r="O48" i="2"/>
  <c r="N385" i="2"/>
  <c r="J62" i="2"/>
  <c r="M161" i="2"/>
  <c r="E203" i="2"/>
  <c r="P29" i="2"/>
  <c r="D283" i="2"/>
  <c r="E256" i="2"/>
  <c r="K40" i="2"/>
  <c r="I150" i="2"/>
  <c r="K222" i="2"/>
  <c r="N61" i="2"/>
  <c r="G25" i="2"/>
  <c r="D149" i="2"/>
  <c r="G134" i="2"/>
  <c r="N117" i="2"/>
  <c r="D227" i="2"/>
  <c r="N54" i="2"/>
  <c r="H169" i="2"/>
  <c r="I62" i="2"/>
  <c r="AF72" i="6"/>
  <c r="BM100" i="6"/>
  <c r="BX91" i="6"/>
  <c r="D100" i="6"/>
  <c r="R76" i="6"/>
  <c r="AS17" i="6"/>
  <c r="BR118" i="6"/>
  <c r="CN86" i="6"/>
  <c r="CM54" i="6"/>
  <c r="AT19" i="6"/>
  <c r="M46" i="6"/>
  <c r="AT112" i="6"/>
  <c r="BT112" i="6"/>
  <c r="Q79" i="6"/>
  <c r="AM97" i="6"/>
  <c r="CM68" i="6"/>
  <c r="CD71" i="6"/>
  <c r="BM70" i="6"/>
  <c r="BR81" i="6"/>
  <c r="BZ93" i="6"/>
  <c r="P57" i="6"/>
  <c r="AV113" i="6"/>
  <c r="BQ47" i="6"/>
  <c r="BJ61" i="6"/>
  <c r="CJ117" i="6"/>
  <c r="AN23" i="6"/>
  <c r="Q29" i="6"/>
  <c r="BQ114" i="6"/>
  <c r="AF87" i="6"/>
  <c r="BJ57" i="6"/>
  <c r="Q40" i="6"/>
  <c r="AE17" i="6"/>
  <c r="AI39" i="6"/>
  <c r="AA83" i="6"/>
  <c r="AS89" i="6"/>
  <c r="BA97" i="6"/>
  <c r="S101" i="6"/>
  <c r="G53" i="6"/>
  <c r="I97" i="6"/>
  <c r="U86" i="6"/>
  <c r="BT101" i="6"/>
  <c r="AL60" i="6"/>
  <c r="F6" i="6"/>
  <c r="CL64" i="6"/>
  <c r="G8" i="6"/>
  <c r="AF105" i="6"/>
  <c r="CL84" i="6"/>
  <c r="AB117" i="6"/>
  <c r="R53" i="6"/>
  <c r="BP116" i="6"/>
  <c r="AN20" i="6"/>
  <c r="BD60" i="6"/>
  <c r="Q78" i="6"/>
  <c r="CK59" i="6"/>
  <c r="BR48" i="6"/>
  <c r="BW77" i="6"/>
  <c r="AS66" i="6"/>
  <c r="Z56" i="6"/>
  <c r="BB58" i="6"/>
  <c r="CD6" i="6"/>
  <c r="E97" i="6"/>
  <c r="BC111" i="6"/>
  <c r="N103" i="6"/>
  <c r="BX67" i="6"/>
  <c r="H95" i="6"/>
  <c r="BJ102" i="6"/>
  <c r="CC10" i="6"/>
  <c r="CN119" i="6"/>
  <c r="AC29" i="6"/>
  <c r="BH12" i="6"/>
  <c r="CE108" i="6"/>
  <c r="Z76" i="6"/>
  <c r="F62" i="6"/>
  <c r="BS83" i="6"/>
  <c r="BV104" i="6"/>
  <c r="CI118" i="6"/>
  <c r="AJ36" i="6"/>
  <c r="BU92" i="6"/>
  <c r="AZ110" i="6"/>
  <c r="BE53" i="6"/>
  <c r="BK18" i="6"/>
  <c r="I88" i="6"/>
  <c r="D110" i="6"/>
  <c r="Q103" i="6"/>
  <c r="BN116" i="6"/>
  <c r="O100" i="6"/>
  <c r="CL9" i="6"/>
  <c r="AD29" i="6"/>
  <c r="AO88" i="6"/>
  <c r="BL103" i="6"/>
  <c r="BV115" i="6"/>
  <c r="AH77" i="6"/>
  <c r="BD67" i="6"/>
  <c r="AQ42" i="6"/>
  <c r="AW53" i="6"/>
  <c r="BB94" i="6"/>
  <c r="AO65" i="6"/>
  <c r="AJ101" i="6"/>
  <c r="J101" i="6"/>
  <c r="AT50" i="6"/>
  <c r="Y75" i="6"/>
  <c r="AC64" i="6"/>
  <c r="BX15" i="6"/>
  <c r="O62" i="6"/>
  <c r="AF21" i="6"/>
  <c r="CG69" i="6"/>
  <c r="AV116" i="6"/>
  <c r="N82" i="6"/>
  <c r="BJ78" i="6"/>
  <c r="E95" i="6"/>
  <c r="BY26" i="6"/>
  <c r="Q91" i="6"/>
  <c r="AA80" i="6"/>
  <c r="AT57" i="6"/>
  <c r="AR72" i="6"/>
  <c r="CG48" i="6"/>
  <c r="AW107" i="6"/>
  <c r="BC81" i="6"/>
  <c r="BP97" i="6"/>
  <c r="I121" i="6"/>
  <c r="AN72" i="6"/>
  <c r="AP80" i="6"/>
  <c r="BL73" i="6"/>
  <c r="AQ88" i="6"/>
  <c r="AI103" i="6"/>
  <c r="BR86" i="6"/>
  <c r="CJ114" i="6"/>
  <c r="BC68" i="6"/>
  <c r="AA101" i="6"/>
  <c r="BZ27" i="6"/>
  <c r="AL99" i="6"/>
  <c r="CB30" i="6"/>
  <c r="CE24" i="6"/>
  <c r="CG36" i="6"/>
  <c r="AC41" i="6"/>
  <c r="BE58" i="6"/>
  <c r="BL92" i="6"/>
  <c r="BI37" i="6"/>
  <c r="BM101" i="6"/>
  <c r="AX23" i="6"/>
  <c r="CM19" i="6"/>
  <c r="S69" i="6"/>
  <c r="O72" i="6"/>
  <c r="X56" i="6"/>
  <c r="CK87" i="6"/>
  <c r="F17" i="6"/>
  <c r="AJ32" i="6"/>
  <c r="CM104" i="6"/>
  <c r="AJ66" i="6"/>
  <c r="CN113" i="6"/>
  <c r="AF93" i="6"/>
  <c r="BX118" i="6"/>
  <c r="BP58" i="6"/>
  <c r="AG112" i="6"/>
  <c r="AS90" i="6"/>
  <c r="AI58" i="6"/>
  <c r="BB118" i="6"/>
  <c r="AE113" i="6"/>
  <c r="J60" i="6"/>
  <c r="BW113" i="6"/>
  <c r="S34" i="6"/>
  <c r="L75" i="6"/>
  <c r="BE24" i="6"/>
  <c r="BQ117" i="6"/>
  <c r="S105" i="6"/>
  <c r="AK101" i="6"/>
  <c r="BU49" i="6"/>
  <c r="AB68" i="6"/>
  <c r="CL24" i="6"/>
  <c r="W17" i="6"/>
  <c r="CH56" i="6"/>
  <c r="CF77" i="6"/>
  <c r="BT15" i="6"/>
  <c r="BG106" i="6"/>
  <c r="BJ119" i="6"/>
  <c r="CC99" i="6"/>
  <c r="D92" i="6"/>
  <c r="AU9" i="6"/>
  <c r="AT90" i="6"/>
  <c r="BU89" i="6"/>
  <c r="AX54" i="6"/>
  <c r="AK19" i="6"/>
  <c r="AM24" i="6"/>
  <c r="AV24" i="6"/>
  <c r="CA88" i="6"/>
  <c r="BW98" i="6"/>
  <c r="D86" i="6"/>
  <c r="AY120" i="6"/>
  <c r="C97" i="6"/>
  <c r="I114" i="6"/>
  <c r="X65" i="6"/>
  <c r="C15" i="6"/>
  <c r="CJ77" i="6"/>
  <c r="BC118" i="6"/>
  <c r="CJ98" i="6"/>
  <c r="BH24" i="6"/>
  <c r="BB64" i="6"/>
  <c r="BF7" i="6"/>
  <c r="AK30" i="6"/>
  <c r="B98" i="6"/>
  <c r="BP46" i="6"/>
  <c r="AZ97" i="6"/>
  <c r="J21" i="6"/>
  <c r="BD39" i="6"/>
  <c r="BK56" i="6"/>
  <c r="AF20" i="6"/>
  <c r="BX79" i="6"/>
  <c r="BV50" i="6"/>
  <c r="AV87" i="6"/>
  <c r="AQ112" i="6"/>
  <c r="AS7" i="6"/>
  <c r="BF113" i="6"/>
  <c r="CC97" i="6"/>
  <c r="AB103" i="6"/>
  <c r="CL60" i="6"/>
  <c r="AV6" i="6"/>
  <c r="G27" i="6"/>
  <c r="AO24" i="6"/>
  <c r="BN95" i="6"/>
  <c r="BN42" i="6"/>
  <c r="AS37" i="6"/>
  <c r="BJ75" i="6"/>
  <c r="V99" i="6"/>
  <c r="S53" i="6"/>
  <c r="BA93" i="6"/>
  <c r="Z120" i="6"/>
  <c r="AG39" i="6"/>
  <c r="CD49" i="6"/>
  <c r="BT105" i="6"/>
  <c r="BI94" i="6"/>
  <c r="AB85" i="6"/>
  <c r="K83" i="6"/>
  <c r="C33" i="6"/>
  <c r="BA102" i="6"/>
  <c r="J92" i="6"/>
  <c r="X74" i="6"/>
  <c r="BB117" i="6"/>
  <c r="S76" i="6"/>
  <c r="AU75" i="6"/>
  <c r="BP113" i="6"/>
  <c r="B84" i="6"/>
  <c r="BJ67" i="6"/>
  <c r="W42" i="6"/>
  <c r="BP70" i="6"/>
  <c r="U104" i="6"/>
  <c r="Z73" i="6"/>
  <c r="Y120" i="6"/>
  <c r="AX55" i="6"/>
  <c r="AM119" i="6"/>
  <c r="BA64" i="6"/>
  <c r="BH117" i="6"/>
  <c r="BD109" i="6"/>
  <c r="AK117" i="6"/>
  <c r="CA71" i="6"/>
  <c r="AZ77" i="6"/>
  <c r="BJ115" i="6"/>
  <c r="S44" i="6"/>
  <c r="AE107" i="6"/>
  <c r="H53" i="6"/>
  <c r="BT59" i="6"/>
  <c r="BH51" i="6"/>
  <c r="CL90" i="6"/>
  <c r="C23" i="6"/>
  <c r="AN53" i="6"/>
  <c r="W64" i="6"/>
  <c r="J44" i="6"/>
  <c r="AM68" i="6"/>
  <c r="K31" i="6"/>
  <c r="AH112" i="6"/>
  <c r="BC42" i="6"/>
  <c r="O68" i="6"/>
  <c r="AK80" i="6"/>
  <c r="BQ39" i="6"/>
  <c r="BK96" i="6"/>
  <c r="AS120" i="6"/>
  <c r="BP12" i="6"/>
  <c r="CC113" i="6"/>
  <c r="M104" i="6"/>
  <c r="R111" i="6"/>
  <c r="AO84" i="6"/>
  <c r="AV28" i="6"/>
  <c r="U83" i="6"/>
  <c r="BG74" i="6"/>
  <c r="BR90" i="6"/>
  <c r="CN82" i="6"/>
  <c r="AP81" i="6"/>
  <c r="AG98" i="6"/>
  <c r="AH56" i="6"/>
  <c r="AB42" i="6"/>
  <c r="R104" i="6"/>
  <c r="BL28" i="6"/>
  <c r="E37" i="6"/>
  <c r="BP8" i="6"/>
  <c r="AS85" i="6"/>
  <c r="AB80" i="6"/>
  <c r="CN33" i="6"/>
  <c r="AD93" i="6"/>
  <c r="CF58" i="6"/>
  <c r="CE102" i="6"/>
  <c r="BE46" i="6"/>
  <c r="CL42" i="6"/>
  <c r="BE85" i="6"/>
  <c r="CJ81" i="6"/>
  <c r="AK94" i="6"/>
  <c r="BC116" i="6"/>
  <c r="L34" i="6"/>
  <c r="G60" i="6"/>
  <c r="AQ69" i="6"/>
  <c r="AT22" i="6"/>
  <c r="BU76" i="6"/>
  <c r="J97" i="6"/>
  <c r="BX111" i="6"/>
  <c r="H71" i="6"/>
  <c r="B77" i="6"/>
  <c r="BO21" i="6"/>
  <c r="V85" i="6"/>
  <c r="BJ80" i="6"/>
  <c r="AB95" i="6"/>
  <c r="BX47" i="6"/>
  <c r="BI114" i="6"/>
  <c r="AA99" i="6"/>
  <c r="U37" i="6"/>
  <c r="Z119" i="6"/>
  <c r="AQ75" i="6"/>
  <c r="CA72" i="6"/>
  <c r="BE8" i="6"/>
  <c r="CL62" i="6"/>
  <c r="AX87" i="6"/>
  <c r="AK93" i="6"/>
  <c r="U95" i="6"/>
  <c r="CN32" i="6"/>
  <c r="AG119" i="6"/>
  <c r="AC54" i="6"/>
  <c r="CD111" i="6"/>
  <c r="D93" i="6"/>
  <c r="AC32" i="6"/>
  <c r="CK116" i="6"/>
  <c r="CI50" i="6"/>
  <c r="B87" i="6"/>
  <c r="BG120" i="6"/>
  <c r="AY60" i="6"/>
  <c r="CE101" i="6"/>
  <c r="AZ111" i="6"/>
  <c r="CN15" i="6"/>
  <c r="D62" i="6"/>
  <c r="Y67" i="6"/>
  <c r="Y53" i="6"/>
  <c r="CF101" i="6"/>
  <c r="P12" i="6"/>
  <c r="CI92" i="6"/>
  <c r="E83" i="6"/>
  <c r="CK21" i="6"/>
  <c r="AY24" i="6"/>
  <c r="AA29" i="6"/>
  <c r="H94" i="6"/>
  <c r="BU104" i="6"/>
  <c r="W80" i="6"/>
  <c r="AK88" i="6"/>
  <c r="U17" i="6"/>
  <c r="AA7" i="6"/>
  <c r="F10" i="6"/>
  <c r="AR113" i="6"/>
  <c r="CL120" i="6"/>
  <c r="AE61" i="6"/>
  <c r="BH41" i="6"/>
  <c r="N93" i="6"/>
  <c r="AL50" i="6"/>
  <c r="AT71" i="6"/>
  <c r="AZ91" i="6"/>
  <c r="O69" i="6"/>
  <c r="D66" i="6"/>
  <c r="D82" i="6"/>
  <c r="Z95" i="6"/>
  <c r="AR20" i="6"/>
  <c r="BS82" i="6"/>
  <c r="CM109" i="6"/>
  <c r="AI87" i="6"/>
  <c r="I61" i="6"/>
  <c r="H31" i="6"/>
  <c r="BM79" i="6"/>
  <c r="BU77" i="6"/>
  <c r="BN44" i="6"/>
  <c r="BM73" i="6"/>
  <c r="AW102" i="6"/>
  <c r="BF105" i="6"/>
  <c r="CN87" i="6"/>
  <c r="C116" i="6"/>
  <c r="AI92" i="6"/>
  <c r="F72" i="6"/>
  <c r="AX67" i="6"/>
  <c r="N84" i="6"/>
  <c r="U97" i="6"/>
  <c r="BG11" i="6"/>
  <c r="AO100" i="6"/>
  <c r="T50" i="6"/>
  <c r="BJ109" i="6"/>
  <c r="AA104" i="6"/>
  <c r="BS9" i="6"/>
  <c r="BT76" i="6"/>
  <c r="BV116" i="6"/>
  <c r="AT109" i="6"/>
  <c r="O59" i="6"/>
  <c r="BB41" i="6"/>
  <c r="AD90" i="6"/>
  <c r="AI98" i="6"/>
  <c r="BQ81" i="6"/>
  <c r="CI77" i="6"/>
  <c r="G44" i="6"/>
  <c r="BV56" i="6"/>
  <c r="N108" i="6"/>
  <c r="BE48" i="6"/>
  <c r="CG34" i="6"/>
  <c r="CK58" i="6"/>
  <c r="AC57" i="6"/>
  <c r="BM39" i="6"/>
  <c r="CC111" i="6"/>
  <c r="AM120" i="6"/>
  <c r="AM112" i="6"/>
  <c r="F100" i="6"/>
  <c r="E84" i="6"/>
  <c r="AY88" i="6"/>
  <c r="F69" i="6"/>
  <c r="Y39" i="6"/>
  <c r="AV98" i="6"/>
  <c r="AQ35" i="6"/>
  <c r="AV121" i="6"/>
  <c r="BV97" i="6"/>
  <c r="AL48" i="6"/>
  <c r="BD23" i="6"/>
  <c r="AU111" i="6"/>
  <c r="AV74" i="6"/>
  <c r="I36" i="6"/>
  <c r="W59" i="6"/>
  <c r="B21" i="6"/>
  <c r="BP109" i="6"/>
  <c r="G102" i="6"/>
  <c r="T32" i="6"/>
  <c r="F101" i="6"/>
  <c r="AV112" i="6"/>
  <c r="Z10" i="6"/>
  <c r="V97" i="6"/>
  <c r="BL6" i="6"/>
  <c r="BI79" i="6"/>
  <c r="AY78" i="6"/>
  <c r="AF80" i="6"/>
  <c r="BZ37" i="6"/>
  <c r="CD66" i="6"/>
  <c r="BH44" i="6"/>
  <c r="BW79" i="6"/>
  <c r="BY43" i="6"/>
  <c r="AZ114" i="6"/>
  <c r="BS103" i="6"/>
  <c r="AX11" i="6"/>
  <c r="BA7" i="6"/>
  <c r="R9" i="6"/>
  <c r="AA86" i="6"/>
  <c r="CN83" i="6"/>
  <c r="AK26" i="6"/>
  <c r="BY116" i="6"/>
  <c r="CE92" i="6"/>
  <c r="B99" i="6"/>
  <c r="AE116" i="6"/>
  <c r="X78" i="6"/>
  <c r="E99" i="6"/>
  <c r="BW40" i="6"/>
  <c r="CD68" i="6"/>
  <c r="AF121" i="6"/>
  <c r="BR111" i="6"/>
  <c r="AY49" i="6"/>
  <c r="Z61" i="6"/>
  <c r="BO117" i="6"/>
  <c r="E68" i="6"/>
  <c r="M45" i="6"/>
  <c r="BR69" i="6"/>
  <c r="AX47" i="6"/>
  <c r="AM102" i="6"/>
  <c r="BW18" i="6"/>
  <c r="CG67" i="6"/>
  <c r="J103" i="6"/>
  <c r="CA20" i="6"/>
  <c r="BI74" i="6"/>
  <c r="AO26" i="6"/>
  <c r="Y27" i="6"/>
  <c r="Z48" i="6"/>
  <c r="Z42" i="6"/>
  <c r="E36" i="6"/>
  <c r="CF10" i="6"/>
  <c r="CK69" i="6"/>
  <c r="AA118" i="6"/>
  <c r="BU78" i="6"/>
  <c r="BO19" i="6"/>
  <c r="AC101" i="6"/>
  <c r="U50" i="6"/>
  <c r="M15" i="6"/>
  <c r="AK119" i="6"/>
  <c r="P26" i="6"/>
  <c r="BY83" i="6"/>
  <c r="BC22" i="6"/>
  <c r="AB36" i="6"/>
  <c r="AO77" i="6"/>
  <c r="BM48" i="6"/>
  <c r="S7" i="6"/>
  <c r="AL104" i="6"/>
  <c r="G112" i="6"/>
  <c r="BZ30" i="6"/>
  <c r="AI41" i="6"/>
  <c r="I69" i="6"/>
  <c r="D63" i="6"/>
  <c r="CD98" i="6"/>
  <c r="BJ105" i="6"/>
  <c r="CM72" i="6"/>
  <c r="F61" i="6"/>
  <c r="J83" i="6"/>
  <c r="BV117" i="6"/>
  <c r="AS81" i="6"/>
  <c r="AL28" i="6"/>
  <c r="W105" i="6"/>
  <c r="BP63" i="6"/>
  <c r="AQ82" i="6"/>
  <c r="Q37" i="6"/>
  <c r="AB82" i="6"/>
  <c r="CC81" i="6"/>
  <c r="AG13" i="6"/>
  <c r="J54" i="6"/>
  <c r="T65" i="6"/>
  <c r="AG81" i="6"/>
  <c r="CI40" i="6"/>
  <c r="T109" i="6"/>
  <c r="AP117" i="6"/>
  <c r="BR121" i="6"/>
  <c r="AX34" i="6"/>
  <c r="CM66" i="6"/>
  <c r="AV64" i="6"/>
  <c r="Z60" i="6"/>
  <c r="BX112" i="6"/>
  <c r="BS66" i="6"/>
  <c r="I72" i="6"/>
  <c r="BR80" i="6"/>
  <c r="T70" i="6"/>
  <c r="F60" i="6"/>
  <c r="CF70" i="6"/>
  <c r="AU69" i="6"/>
  <c r="CE98" i="6"/>
  <c r="BO83" i="6"/>
  <c r="AM81" i="6"/>
  <c r="BH77" i="6"/>
  <c r="P105" i="6"/>
  <c r="AV110" i="6"/>
  <c r="V76" i="6"/>
  <c r="T56" i="6"/>
  <c r="CL12" i="6"/>
  <c r="G16" i="6"/>
  <c r="BR92" i="6"/>
  <c r="G19" i="6"/>
  <c r="BJ25" i="6"/>
  <c r="BF17" i="6"/>
  <c r="BY36" i="6"/>
  <c r="N109" i="6"/>
  <c r="AR76" i="6"/>
  <c r="CA80" i="6"/>
  <c r="AI77" i="6"/>
  <c r="AH12" i="6"/>
  <c r="AE88" i="6"/>
  <c r="I24" i="6"/>
  <c r="AB37" i="6"/>
  <c r="R90" i="6"/>
  <c r="BV66" i="6"/>
  <c r="AQ65" i="6"/>
  <c r="AL84" i="6"/>
  <c r="CK107" i="6"/>
  <c r="CH53" i="6"/>
  <c r="AS69" i="6"/>
  <c r="AR64" i="6"/>
  <c r="AB10" i="6"/>
  <c r="AA60" i="6"/>
  <c r="CB39" i="6"/>
  <c r="CB80" i="6"/>
  <c r="N90" i="6"/>
  <c r="CD34" i="6"/>
  <c r="X52" i="6"/>
  <c r="AS102" i="6"/>
  <c r="AH26" i="6"/>
  <c r="B18" i="6"/>
  <c r="CI79" i="6"/>
  <c r="AJ93" i="6"/>
  <c r="CH73" i="6"/>
  <c r="AG53" i="6"/>
  <c r="AP110" i="6"/>
  <c r="D107" i="6"/>
  <c r="AT69" i="6"/>
  <c r="BV121" i="6"/>
  <c r="AA109" i="6"/>
  <c r="K113" i="6"/>
  <c r="AL51" i="6"/>
  <c r="AT30" i="6"/>
  <c r="AX112" i="6"/>
  <c r="CL22" i="6"/>
  <c r="AE12" i="6"/>
  <c r="Y104" i="6"/>
  <c r="BS58" i="6"/>
  <c r="AM20" i="6"/>
  <c r="CF29" i="6"/>
  <c r="BP54" i="6"/>
  <c r="BU43" i="6"/>
  <c r="AM36" i="6"/>
  <c r="B81" i="6"/>
  <c r="BQ74" i="6"/>
  <c r="I96" i="6"/>
  <c r="BS44" i="6"/>
  <c r="S66" i="6"/>
  <c r="AF91" i="6"/>
  <c r="AC10" i="6"/>
  <c r="AK53" i="6"/>
  <c r="BB115" i="6"/>
  <c r="E113" i="6"/>
  <c r="BM90" i="6"/>
  <c r="BK76" i="6"/>
  <c r="BF54" i="6"/>
  <c r="AN15" i="6"/>
  <c r="CD96" i="6"/>
  <c r="CK113" i="6"/>
  <c r="P27" i="6"/>
  <c r="BK84" i="6"/>
  <c r="F80" i="6"/>
  <c r="D118" i="6"/>
  <c r="BL38" i="6"/>
  <c r="AJ40" i="6"/>
  <c r="AR79" i="6"/>
  <c r="B100" i="6"/>
  <c r="CM83" i="6"/>
  <c r="M117" i="6"/>
  <c r="BP95" i="6"/>
  <c r="AT10" i="6"/>
  <c r="BB98" i="6"/>
  <c r="AL112" i="6"/>
  <c r="Y118" i="6"/>
  <c r="CI12" i="6"/>
  <c r="BE28" i="6"/>
  <c r="AS76" i="6"/>
  <c r="AH34" i="6"/>
  <c r="BG84" i="6"/>
  <c r="BM78" i="6"/>
  <c r="AO99" i="6"/>
  <c r="O81" i="6"/>
  <c r="S70" i="6"/>
  <c r="K66" i="6"/>
  <c r="CL36" i="6"/>
  <c r="G30" i="6"/>
  <c r="U51" i="6"/>
  <c r="BK47" i="6"/>
  <c r="P43" i="6"/>
  <c r="AH64" i="6"/>
  <c r="CC45" i="6"/>
  <c r="CA119" i="6"/>
  <c r="BY72" i="6"/>
  <c r="AP19" i="6"/>
  <c r="BW10" i="6"/>
  <c r="BR36" i="6"/>
  <c r="AU68" i="6"/>
  <c r="CH86" i="6"/>
  <c r="BQ50" i="6"/>
  <c r="I29" i="6"/>
  <c r="AC79" i="6"/>
  <c r="J67" i="6"/>
  <c r="M36" i="6"/>
  <c r="CH117" i="6"/>
  <c r="CF102" i="6"/>
  <c r="CI113" i="6"/>
  <c r="CF74" i="6"/>
  <c r="CD87" i="6"/>
  <c r="AV33" i="6"/>
  <c r="T42" i="6"/>
  <c r="BB112" i="6"/>
  <c r="AA79" i="6"/>
  <c r="C92" i="6"/>
  <c r="P119" i="6"/>
  <c r="G113" i="6"/>
  <c r="E58" i="6"/>
  <c r="O63" i="6"/>
  <c r="B108" i="6"/>
  <c r="BW27" i="6"/>
  <c r="AZ68" i="6"/>
  <c r="AM76" i="6"/>
  <c r="Y87" i="6"/>
  <c r="AV109" i="6"/>
  <c r="O89" i="6"/>
  <c r="BB73" i="6"/>
  <c r="BT66" i="6"/>
  <c r="CG37" i="6"/>
  <c r="CM103" i="6"/>
  <c r="BQ75" i="6"/>
  <c r="BG87" i="6"/>
  <c r="BS19" i="6"/>
  <c r="H30" i="6"/>
  <c r="BL80" i="6"/>
  <c r="AA93" i="6"/>
  <c r="AX42" i="6"/>
  <c r="BJ16" i="6"/>
  <c r="AL52" i="6"/>
  <c r="M59" i="6"/>
  <c r="CN34" i="6"/>
  <c r="P15" i="6"/>
  <c r="AW85" i="6"/>
  <c r="BD48" i="6"/>
  <c r="S84" i="6"/>
  <c r="AY44" i="6"/>
  <c r="Q52" i="6"/>
  <c r="BE91" i="6"/>
  <c r="BZ107" i="6"/>
  <c r="CM95" i="6"/>
  <c r="P66" i="6"/>
  <c r="AP72" i="6"/>
  <c r="CL95" i="6"/>
  <c r="AG18" i="6"/>
  <c r="Y101" i="6"/>
  <c r="AA52" i="6"/>
  <c r="BW30" i="6"/>
  <c r="BM105" i="6"/>
  <c r="CJ71" i="6"/>
  <c r="CC91" i="6"/>
  <c r="BK90" i="6"/>
  <c r="BT67" i="6"/>
  <c r="BH114" i="6"/>
  <c r="AV19" i="6"/>
  <c r="AT105" i="6"/>
  <c r="BP30" i="6"/>
  <c r="G14" i="6"/>
  <c r="Z23" i="6"/>
  <c r="C75" i="6"/>
  <c r="N49" i="6"/>
  <c r="L83" i="6"/>
  <c r="W13" i="6"/>
  <c r="AC19" i="6"/>
  <c r="BV81" i="6"/>
  <c r="AZ6" i="6"/>
  <c r="CA100" i="6"/>
  <c r="BQ97" i="6"/>
  <c r="BU64" i="6"/>
  <c r="BO84" i="6"/>
  <c r="BI29" i="6"/>
  <c r="E40" i="6"/>
  <c r="BL46" i="6"/>
  <c r="AV60" i="6"/>
  <c r="BW60" i="6"/>
  <c r="BR119" i="6"/>
  <c r="Y66" i="6"/>
  <c r="G67" i="6"/>
  <c r="M121" i="6"/>
  <c r="BZ91" i="6"/>
  <c r="AM37" i="6"/>
  <c r="AC63" i="6"/>
  <c r="AO113" i="6"/>
  <c r="H82" i="6"/>
  <c r="BH67" i="6"/>
  <c r="E76" i="6"/>
  <c r="BH38" i="6"/>
  <c r="N83" i="6"/>
  <c r="AH74" i="6"/>
  <c r="AI107" i="6"/>
  <c r="K33" i="6"/>
  <c r="CF51" i="6"/>
  <c r="BG6" i="6"/>
  <c r="CC36" i="6"/>
  <c r="CA92" i="6"/>
  <c r="BA45" i="6"/>
  <c r="AH110" i="6"/>
  <c r="BR77" i="6"/>
  <c r="AP119" i="6"/>
  <c r="X72" i="6"/>
  <c r="D23" i="6"/>
  <c r="AX81" i="6"/>
  <c r="AS86" i="6"/>
  <c r="CE11" i="6"/>
  <c r="AZ27" i="6"/>
  <c r="BF72" i="6"/>
  <c r="BL71" i="6"/>
  <c r="L21" i="6"/>
  <c r="BJ82" i="6"/>
  <c r="AT73" i="6"/>
  <c r="H77" i="6"/>
  <c r="AN61" i="6"/>
  <c r="CN88" i="6"/>
  <c r="BP19" i="6"/>
  <c r="AN37" i="6"/>
  <c r="O16" i="6"/>
  <c r="BG93" i="6"/>
  <c r="E105" i="6"/>
  <c r="BH43" i="6"/>
  <c r="N42" i="6"/>
  <c r="AC51" i="6"/>
  <c r="V100" i="6"/>
  <c r="AM105" i="6"/>
  <c r="K106" i="6"/>
  <c r="BO20" i="6"/>
  <c r="CN108" i="6"/>
  <c r="BI32" i="6"/>
  <c r="AJ77" i="6"/>
  <c r="BV60" i="6"/>
  <c r="D21" i="6"/>
  <c r="CA116" i="6"/>
  <c r="AW89" i="6"/>
  <c r="CJ73" i="6"/>
  <c r="BC107" i="6"/>
  <c r="R44" i="6"/>
  <c r="AR8" i="6"/>
  <c r="BL16" i="6"/>
  <c r="BJ36" i="6"/>
  <c r="U99" i="6"/>
  <c r="Y110" i="6"/>
  <c r="L80" i="6"/>
  <c r="AQ78" i="6"/>
  <c r="CA98" i="6"/>
  <c r="H42" i="6"/>
  <c r="BB59" i="6"/>
  <c r="Z98" i="6"/>
  <c r="CN110" i="6"/>
  <c r="AG60" i="6"/>
  <c r="BE73" i="6"/>
  <c r="CH120" i="6"/>
  <c r="BE104" i="6"/>
  <c r="BC97" i="6"/>
  <c r="CB82" i="6"/>
  <c r="S86" i="6"/>
  <c r="B66" i="6"/>
  <c r="BT61" i="6"/>
  <c r="AO31" i="6"/>
  <c r="CD22" i="6"/>
  <c r="Z24" i="6"/>
  <c r="BU119" i="6"/>
  <c r="AN100" i="6"/>
  <c r="BB120" i="6"/>
  <c r="CH114" i="6"/>
  <c r="AZ58" i="6"/>
  <c r="CH6" i="6"/>
  <c r="AV82" i="6"/>
  <c r="AZ70" i="6"/>
  <c r="K15" i="6"/>
  <c r="BJ11" i="6"/>
  <c r="AC48" i="6"/>
  <c r="AP85" i="6"/>
  <c r="CB75" i="6"/>
  <c r="CA82" i="6"/>
  <c r="CC80" i="6"/>
  <c r="AC68" i="6"/>
  <c r="AC37" i="6"/>
  <c r="BH115" i="6"/>
  <c r="AV104" i="6"/>
  <c r="BP42" i="6"/>
  <c r="M64" i="6"/>
  <c r="AP87" i="6"/>
  <c r="AA110" i="6"/>
  <c r="Y78" i="6"/>
  <c r="BT40" i="6"/>
  <c r="BM91" i="6"/>
  <c r="Y94" i="6"/>
  <c r="CB119" i="6"/>
  <c r="F20" i="6"/>
  <c r="CD15" i="6"/>
  <c r="AF76" i="6"/>
  <c r="CB120" i="6"/>
  <c r="BL26" i="6"/>
  <c r="E88" i="6"/>
  <c r="BI31" i="6"/>
  <c r="BK15" i="6"/>
  <c r="S20" i="6"/>
  <c r="BJ92" i="6"/>
  <c r="CF9" i="6"/>
  <c r="CJ50" i="6"/>
  <c r="CL75" i="6"/>
  <c r="S107" i="6"/>
  <c r="CI88" i="6"/>
  <c r="J99" i="6"/>
  <c r="F58" i="6"/>
  <c r="BM11" i="6"/>
  <c r="CM71" i="6"/>
  <c r="CJ11" i="6"/>
  <c r="O97" i="6"/>
  <c r="BN49" i="6"/>
  <c r="AT43" i="6"/>
  <c r="M102" i="6"/>
  <c r="U48" i="6"/>
  <c r="BU82" i="6"/>
  <c r="S116" i="6"/>
  <c r="AP121" i="6"/>
  <c r="AB14" i="6"/>
  <c r="AN55" i="6"/>
  <c r="BE84" i="6"/>
  <c r="AC56" i="6"/>
  <c r="C52" i="6"/>
  <c r="CB72" i="6"/>
  <c r="I45" i="6"/>
  <c r="BB30" i="6"/>
  <c r="AF13" i="6"/>
  <c r="W79" i="6"/>
  <c r="AJ37" i="6"/>
  <c r="AD24" i="6"/>
  <c r="D47" i="6"/>
  <c r="AO32" i="6"/>
  <c r="W54" i="6"/>
  <c r="M103" i="6"/>
  <c r="BQ32" i="6"/>
  <c r="CJ78" i="6"/>
  <c r="BY99" i="6"/>
  <c r="AD31" i="6"/>
  <c r="BT113" i="6"/>
  <c r="AO96" i="6"/>
  <c r="AW113" i="6"/>
  <c r="AL24" i="6"/>
  <c r="BW106" i="6"/>
  <c r="BG109" i="6"/>
  <c r="AY85" i="6"/>
  <c r="D119" i="6"/>
  <c r="U39" i="6"/>
  <c r="K35" i="6"/>
  <c r="BA113" i="6"/>
  <c r="BP108" i="6"/>
  <c r="AA90" i="6"/>
  <c r="F88" i="6"/>
  <c r="BM92" i="6"/>
  <c r="T9" i="6"/>
  <c r="AL108" i="6"/>
  <c r="BE44" i="6"/>
  <c r="T44" i="6"/>
  <c r="AO115" i="6"/>
  <c r="BN12" i="6"/>
  <c r="BX84" i="6"/>
  <c r="BJ98" i="6"/>
  <c r="P117" i="6"/>
  <c r="AE108" i="6"/>
  <c r="BG69" i="6"/>
  <c r="B11" i="6"/>
  <c r="CD104" i="6"/>
  <c r="BM58" i="6"/>
  <c r="Y51" i="6"/>
  <c r="BE37" i="6"/>
  <c r="P73" i="6"/>
  <c r="N73" i="6"/>
  <c r="AF38" i="6"/>
  <c r="X86" i="6"/>
  <c r="R25" i="6"/>
  <c r="BL77" i="6"/>
  <c r="BI64" i="6"/>
  <c r="I94" i="6"/>
  <c r="AL82" i="6"/>
  <c r="AS95" i="6"/>
  <c r="CM108" i="6"/>
  <c r="BV87" i="6"/>
  <c r="CM16" i="6"/>
  <c r="CF112" i="6"/>
  <c r="AW43" i="6"/>
  <c r="AR14" i="6"/>
  <c r="S15" i="6"/>
  <c r="BZ98" i="6"/>
  <c r="D25" i="6"/>
  <c r="BZ67" i="6"/>
  <c r="Z65" i="6"/>
  <c r="BD90" i="6"/>
  <c r="AH113" i="6"/>
  <c r="AB86" i="6"/>
  <c r="BC113" i="6"/>
  <c r="K56" i="6"/>
  <c r="AG85" i="6"/>
  <c r="CM51" i="6"/>
  <c r="BC72" i="6"/>
  <c r="CC74" i="6"/>
  <c r="AN35" i="6"/>
  <c r="BN91" i="6"/>
  <c r="BZ79" i="6"/>
  <c r="AZ120" i="6"/>
  <c r="BK51" i="6"/>
  <c r="BH88" i="6"/>
  <c r="BK34" i="6"/>
  <c r="AF7" i="6"/>
  <c r="AL110" i="6"/>
  <c r="S111" i="6"/>
  <c r="AK91" i="6"/>
  <c r="BR64" i="6"/>
  <c r="BO76" i="6"/>
  <c r="BD80" i="6"/>
  <c r="CD27" i="6"/>
  <c r="BZ99" i="6"/>
  <c r="AD56" i="6"/>
  <c r="CF113" i="6"/>
  <c r="BD99" i="6"/>
  <c r="X79" i="6"/>
  <c r="CB55" i="6"/>
  <c r="AU105" i="6"/>
  <c r="CB56" i="6"/>
  <c r="AH119" i="6"/>
  <c r="BO110" i="6"/>
  <c r="AQ85" i="6"/>
  <c r="U88" i="6"/>
  <c r="I120" i="6"/>
  <c r="CA86" i="6"/>
  <c r="BZ101" i="6"/>
  <c r="AM49" i="6"/>
  <c r="G64" i="6"/>
  <c r="CH11" i="6"/>
  <c r="P63" i="6"/>
  <c r="AT86" i="6"/>
  <c r="CD21" i="6"/>
  <c r="CN107" i="6"/>
  <c r="BM35" i="6"/>
  <c r="AU38" i="6"/>
  <c r="AL103" i="6"/>
  <c r="CM65" i="6"/>
  <c r="BH74" i="6"/>
  <c r="AY50" i="6"/>
  <c r="P28" i="6"/>
  <c r="R54" i="6"/>
  <c r="BG79" i="6"/>
  <c r="AW99" i="6"/>
  <c r="BJ83" i="6"/>
  <c r="CI102" i="6"/>
  <c r="X27" i="6"/>
  <c r="BO109" i="6"/>
  <c r="BS43" i="6"/>
  <c r="D41" i="6"/>
  <c r="AM27" i="6"/>
  <c r="AT65" i="6"/>
  <c r="AP71" i="6"/>
  <c r="AP77" i="6"/>
  <c r="AP84" i="6"/>
  <c r="S22" i="6"/>
  <c r="H87" i="6"/>
  <c r="CI108" i="6"/>
  <c r="BC76" i="6"/>
  <c r="Q17" i="6"/>
  <c r="AY63" i="6"/>
  <c r="CK63" i="6"/>
  <c r="AJ98" i="6"/>
  <c r="D109" i="6"/>
  <c r="BZ70" i="6"/>
  <c r="U33" i="6"/>
  <c r="AU29" i="6"/>
  <c r="AJ115" i="6"/>
  <c r="BA117" i="6"/>
  <c r="AW47" i="6"/>
  <c r="BK26" i="6"/>
  <c r="BX88" i="6"/>
  <c r="AR41" i="6"/>
  <c r="CE12" i="6"/>
  <c r="CG60" i="6"/>
  <c r="AF96" i="6"/>
  <c r="AX10" i="6"/>
  <c r="CF94" i="6"/>
  <c r="BI84" i="6"/>
  <c r="AD77" i="6"/>
  <c r="G111" i="6"/>
  <c r="BE108" i="6"/>
  <c r="AY86" i="6"/>
  <c r="S8" i="6"/>
  <c r="S102" i="6"/>
  <c r="BA103" i="6"/>
  <c r="U108" i="6"/>
  <c r="M70" i="6"/>
  <c r="AW30" i="6"/>
  <c r="AP120" i="6"/>
  <c r="AD21" i="6"/>
  <c r="AE33" i="6"/>
  <c r="AT96" i="6"/>
  <c r="B58" i="6"/>
  <c r="J66" i="6"/>
  <c r="BD70" i="6"/>
  <c r="AV103" i="6"/>
  <c r="CJ20" i="6"/>
  <c r="BJ39" i="6"/>
  <c r="AE21" i="6"/>
  <c r="BJ59" i="6"/>
  <c r="CC55" i="6"/>
  <c r="BA6" i="6"/>
  <c r="AW74" i="6"/>
  <c r="BS6" i="6"/>
  <c r="C64" i="6"/>
  <c r="BQ103" i="6"/>
  <c r="BB97" i="6"/>
  <c r="AM48" i="6"/>
  <c r="AQ121" i="6"/>
  <c r="BW47" i="6"/>
  <c r="BY93" i="6"/>
  <c r="CC6" i="6"/>
  <c r="AP29" i="6"/>
  <c r="AD76" i="6"/>
  <c r="BM111" i="6"/>
  <c r="AG56" i="6"/>
  <c r="AX94" i="6"/>
  <c r="N23" i="6"/>
  <c r="F12" i="6"/>
  <c r="AM28" i="6"/>
  <c r="BA115" i="6"/>
  <c r="Z45" i="6"/>
  <c r="R106" i="6"/>
  <c r="AB77" i="6"/>
  <c r="BT8" i="6"/>
  <c r="BR76" i="6"/>
  <c r="CC88" i="6"/>
  <c r="CL65" i="6"/>
  <c r="AL26" i="6"/>
  <c r="BB114" i="6"/>
  <c r="BI102" i="6"/>
  <c r="K76" i="6"/>
  <c r="CB28" i="6"/>
  <c r="AM100" i="6"/>
  <c r="AI12" i="6"/>
  <c r="BT107" i="6"/>
  <c r="C7" i="6"/>
  <c r="AD104" i="6"/>
  <c r="AM107" i="6"/>
  <c r="R95" i="6"/>
  <c r="L47" i="6"/>
  <c r="G114" i="6"/>
  <c r="BI11" i="6"/>
  <c r="CG97" i="6"/>
  <c r="N114" i="6"/>
  <c r="CE95" i="6"/>
  <c r="CB104" i="6"/>
  <c r="D44" i="6"/>
  <c r="CN9" i="6"/>
  <c r="AQ117" i="6"/>
  <c r="N68" i="6"/>
  <c r="AO110" i="6"/>
  <c r="K23" i="6"/>
  <c r="AJ42" i="6"/>
  <c r="BG33" i="6"/>
  <c r="AX110" i="6"/>
  <c r="AE74" i="6"/>
  <c r="J26" i="6"/>
  <c r="H26" i="6"/>
  <c r="F44" i="6"/>
  <c r="H101" i="6"/>
  <c r="AY66" i="6"/>
  <c r="AK75" i="6"/>
  <c r="CA91" i="6"/>
  <c r="AG64" i="6"/>
  <c r="BR59" i="6"/>
  <c r="P54" i="6"/>
  <c r="I98" i="6"/>
  <c r="BB69" i="6"/>
  <c r="BU72" i="6"/>
  <c r="BJ81" i="6"/>
  <c r="CI32" i="6"/>
  <c r="Z43" i="6"/>
  <c r="AK24" i="6"/>
  <c r="BJ106" i="6"/>
  <c r="CG31" i="6"/>
  <c r="BE57" i="6"/>
  <c r="CN121" i="6"/>
  <c r="O77" i="6"/>
  <c r="BP20" i="6"/>
  <c r="M19" i="6"/>
  <c r="CL25" i="6"/>
  <c r="BA39" i="6"/>
  <c r="G22" i="6"/>
  <c r="T81" i="6"/>
  <c r="G23" i="6"/>
  <c r="G109" i="6"/>
  <c r="AJ67" i="6"/>
  <c r="K108" i="6"/>
  <c r="BJ43" i="6"/>
  <c r="BX58" i="6"/>
  <c r="BO46" i="6"/>
  <c r="BY120" i="6"/>
  <c r="CB44" i="6"/>
  <c r="BE56" i="6"/>
  <c r="BS95" i="6"/>
  <c r="BV8" i="6"/>
  <c r="I111" i="6"/>
  <c r="AC58" i="6"/>
  <c r="BY53" i="6"/>
  <c r="AR108" i="6"/>
  <c r="AD85" i="6"/>
  <c r="AO79" i="6"/>
  <c r="AM104" i="6"/>
  <c r="E121" i="6"/>
  <c r="BE69" i="6"/>
  <c r="AI119" i="6"/>
  <c r="BR65" i="6"/>
  <c r="AS22" i="6"/>
  <c r="AY39" i="6"/>
  <c r="O79" i="6"/>
  <c r="AN103" i="6"/>
  <c r="BQ90" i="6"/>
  <c r="BG24" i="6"/>
  <c r="V113" i="6"/>
  <c r="BG91" i="6"/>
  <c r="BQ62" i="6"/>
  <c r="CB11" i="6"/>
  <c r="CJ112" i="6"/>
  <c r="AP86" i="6"/>
  <c r="AQ73" i="6"/>
  <c r="K69" i="6"/>
  <c r="CN56" i="6"/>
  <c r="BQ37" i="6"/>
  <c r="S81" i="6"/>
  <c r="CF103" i="6"/>
  <c r="BV86" i="6"/>
  <c r="AL25" i="6"/>
  <c r="AG8" i="6"/>
  <c r="AV21" i="6"/>
  <c r="CJ79" i="6"/>
  <c r="AC102" i="6"/>
  <c r="CC82" i="6"/>
  <c r="CA75" i="6"/>
  <c r="K9" i="6"/>
  <c r="BC117" i="6"/>
  <c r="J104" i="6"/>
  <c r="AV44" i="6"/>
  <c r="CL110" i="6"/>
  <c r="BB110" i="6"/>
  <c r="L77" i="6"/>
  <c r="BU53" i="6"/>
  <c r="AZ78" i="6"/>
  <c r="AY59" i="6"/>
  <c r="AK9" i="6"/>
  <c r="CI52" i="6"/>
  <c r="BY19" i="6"/>
  <c r="Q11" i="6"/>
  <c r="CH116" i="6"/>
  <c r="AK113" i="6"/>
  <c r="CC62" i="6"/>
  <c r="G80" i="6"/>
  <c r="AN120" i="6"/>
  <c r="BJ90" i="6"/>
  <c r="BT121" i="6"/>
  <c r="Y15" i="6"/>
  <c r="J22" i="6"/>
  <c r="AU8" i="6"/>
  <c r="F97" i="6"/>
  <c r="AK46" i="6"/>
  <c r="BF56" i="6"/>
  <c r="BD12" i="6"/>
  <c r="B69" i="6"/>
  <c r="BO55" i="6"/>
  <c r="BU88" i="6"/>
  <c r="AE71" i="6"/>
  <c r="AD86" i="6"/>
  <c r="BL41" i="6"/>
  <c r="AN80" i="6"/>
  <c r="AN74" i="6"/>
  <c r="AI115" i="6"/>
  <c r="AU117" i="6"/>
  <c r="AB89" i="6"/>
  <c r="BJ89" i="6"/>
  <c r="AB118" i="6"/>
  <c r="O33" i="6"/>
  <c r="W52" i="6"/>
  <c r="BX110" i="6"/>
  <c r="BH21" i="6"/>
  <c r="BV39" i="6"/>
  <c r="Y114" i="6"/>
  <c r="CL11" i="6"/>
  <c r="AX97" i="6"/>
  <c r="C18" i="6"/>
  <c r="AI34" i="6"/>
  <c r="BU22" i="6"/>
  <c r="AK60" i="6"/>
  <c r="BI50" i="6"/>
  <c r="BB13" i="6"/>
  <c r="C42" i="6"/>
  <c r="CA68" i="6"/>
  <c r="AJ114" i="6"/>
  <c r="BF49" i="6"/>
  <c r="L109" i="6"/>
  <c r="AX71" i="6"/>
  <c r="BY41" i="6"/>
  <c r="AJ26" i="6"/>
  <c r="H79" i="6"/>
  <c r="AE66" i="6"/>
  <c r="AA92" i="6"/>
  <c r="P10" i="6"/>
  <c r="J72" i="6"/>
  <c r="BS87" i="6"/>
  <c r="G78" i="6"/>
  <c r="H118" i="6"/>
  <c r="CI34" i="6"/>
  <c r="BN121" i="6"/>
  <c r="AC81" i="6"/>
  <c r="Z53" i="6"/>
  <c r="X118" i="6"/>
  <c r="CM25" i="6"/>
  <c r="P60" i="6"/>
  <c r="AQ89" i="6"/>
  <c r="Z68" i="6"/>
  <c r="AX41" i="6"/>
  <c r="AF28" i="6"/>
  <c r="CL86" i="6"/>
  <c r="CH93" i="6"/>
  <c r="AY13" i="6"/>
  <c r="BQ61" i="6"/>
  <c r="CE64" i="6"/>
  <c r="F104" i="6"/>
  <c r="G25" i="6"/>
  <c r="CE14" i="6"/>
  <c r="BZ118" i="6"/>
  <c r="AR26" i="6"/>
  <c r="BA56" i="6"/>
  <c r="CH7" i="6"/>
  <c r="Z7" i="6"/>
  <c r="AM103" i="6"/>
  <c r="AB6" i="6"/>
  <c r="AH47" i="6"/>
  <c r="CG93" i="6"/>
  <c r="BS79" i="6"/>
  <c r="BI113" i="6"/>
  <c r="BK95" i="6"/>
  <c r="AM84" i="6"/>
  <c r="E11" i="6"/>
  <c r="BP68" i="6"/>
  <c r="I89" i="6"/>
  <c r="BR72" i="6"/>
  <c r="J61" i="6"/>
  <c r="BV33" i="6"/>
  <c r="U24" i="6"/>
  <c r="AF118" i="6"/>
  <c r="BV94" i="6"/>
  <c r="BT36" i="6"/>
  <c r="BG61" i="6"/>
  <c r="BL27" i="6"/>
  <c r="CD20" i="6"/>
  <c r="BW89" i="6"/>
  <c r="BJ103" i="6"/>
  <c r="AN105" i="6"/>
  <c r="AB57" i="6"/>
  <c r="AM13" i="6"/>
  <c r="W108" i="6"/>
  <c r="T60" i="6"/>
  <c r="BN79" i="6"/>
  <c r="AH83" i="6"/>
  <c r="AN115" i="6"/>
  <c r="CK73" i="6"/>
  <c r="AY95" i="6"/>
  <c r="BL74" i="6"/>
  <c r="CK48" i="6"/>
  <c r="C71" i="6"/>
  <c r="BC77" i="6"/>
  <c r="BF107" i="6"/>
  <c r="AK63" i="6"/>
  <c r="CB29" i="6"/>
  <c r="AD68" i="6"/>
  <c r="BF114" i="6"/>
  <c r="H80" i="6"/>
  <c r="BL99" i="6"/>
  <c r="AI82" i="6"/>
  <c r="U22" i="6"/>
  <c r="AY80" i="6"/>
  <c r="BW52" i="6"/>
  <c r="BT120" i="6"/>
  <c r="AK47" i="6"/>
  <c r="J46" i="6"/>
  <c r="CA17" i="6"/>
  <c r="BB106" i="6"/>
  <c r="BS108" i="6"/>
  <c r="W34" i="6"/>
  <c r="BZ103" i="6"/>
  <c r="E32" i="6"/>
  <c r="R92" i="6"/>
  <c r="AU110" i="6"/>
  <c r="BS67" i="6"/>
  <c r="AA105" i="6"/>
  <c r="CJ23" i="6"/>
  <c r="Y77" i="6"/>
  <c r="BF108" i="6"/>
  <c r="AM94" i="6"/>
  <c r="BF111" i="6"/>
  <c r="BE111" i="6"/>
  <c r="CH66" i="6"/>
  <c r="T116" i="6"/>
  <c r="CB113" i="6"/>
  <c r="AZ56" i="6"/>
  <c r="BC103" i="6"/>
  <c r="BX95" i="6"/>
  <c r="BO25" i="6"/>
  <c r="BH30" i="6"/>
  <c r="R75" i="6"/>
  <c r="AR120" i="6"/>
  <c r="AR23" i="6"/>
  <c r="CG100" i="6"/>
  <c r="AQ114" i="6"/>
  <c r="CG22" i="6"/>
  <c r="CJ62" i="6"/>
  <c r="CA24" i="6"/>
  <c r="W30" i="6"/>
  <c r="CG80" i="6"/>
  <c r="CH87" i="6"/>
  <c r="O110" i="6"/>
  <c r="AW80" i="6"/>
  <c r="BW50" i="6"/>
  <c r="CM96" i="6"/>
  <c r="F34" i="6"/>
  <c r="AM33" i="6"/>
  <c r="BU91" i="6"/>
  <c r="F64" i="6"/>
  <c r="Z19" i="6"/>
  <c r="BI65" i="6"/>
  <c r="CC87" i="6"/>
  <c r="BY106" i="6"/>
  <c r="BP13" i="6"/>
  <c r="M62" i="6"/>
  <c r="M57" i="6"/>
  <c r="AG86" i="6"/>
  <c r="G62" i="6"/>
  <c r="Z72" i="6"/>
  <c r="BI111" i="6"/>
  <c r="BE35" i="6"/>
  <c r="CE80" i="6"/>
  <c r="CL111" i="6"/>
  <c r="AY111" i="6"/>
  <c r="AY102" i="6"/>
  <c r="CN75" i="6"/>
  <c r="N111" i="6"/>
  <c r="AW12" i="6"/>
  <c r="N65" i="6"/>
  <c r="AM63" i="6"/>
  <c r="CK53" i="6"/>
  <c r="CC119" i="6"/>
  <c r="CB35" i="6"/>
  <c r="CI8" i="6"/>
  <c r="CE43" i="6"/>
  <c r="AI85" i="6"/>
  <c r="BY114" i="6"/>
  <c r="Q36" i="6"/>
  <c r="AU71" i="6"/>
  <c r="CN120" i="6"/>
  <c r="CK84" i="6"/>
  <c r="Z8" i="6"/>
  <c r="Y108" i="6"/>
  <c r="C107" i="6"/>
  <c r="AS40" i="6"/>
  <c r="AD92" i="6"/>
  <c r="AK90" i="6"/>
  <c r="Q27" i="6"/>
  <c r="AC109" i="6"/>
  <c r="S46" i="6"/>
  <c r="AR74" i="6"/>
  <c r="O70" i="6"/>
  <c r="BQ67" i="6"/>
  <c r="T72" i="6"/>
  <c r="CL113" i="6"/>
  <c r="BL62" i="6"/>
  <c r="D79" i="6"/>
  <c r="AA116" i="6"/>
  <c r="BE99" i="6"/>
  <c r="O80" i="6"/>
  <c r="BW78" i="6"/>
  <c r="BB83" i="6"/>
  <c r="CK101" i="6"/>
  <c r="AP46" i="6"/>
  <c r="AU97" i="6"/>
  <c r="AN62" i="6"/>
  <c r="CN106" i="6"/>
  <c r="T83" i="6"/>
  <c r="CN11" i="6"/>
  <c r="V104" i="6"/>
  <c r="AY55" i="6"/>
  <c r="BD61" i="6"/>
  <c r="BW22" i="6"/>
  <c r="AX114" i="6"/>
  <c r="BD7" i="6"/>
  <c r="CN71" i="6"/>
  <c r="G46" i="6"/>
  <c r="AU12" i="6"/>
  <c r="CC57" i="6"/>
  <c r="BJ35" i="6"/>
  <c r="AA59" i="6"/>
  <c r="S79" i="6"/>
  <c r="AC96" i="6"/>
  <c r="F110" i="6"/>
  <c r="BX37" i="6"/>
  <c r="AN67" i="6"/>
  <c r="F78" i="6"/>
  <c r="J107" i="6"/>
  <c r="N80" i="6"/>
  <c r="P38" i="6"/>
  <c r="AR88" i="6"/>
  <c r="CD65" i="6"/>
  <c r="BG113" i="6"/>
  <c r="CA48" i="6"/>
  <c r="L58" i="6"/>
  <c r="CD86" i="6"/>
  <c r="AY76" i="6"/>
  <c r="BW51" i="6"/>
  <c r="T40" i="6"/>
  <c r="AD94" i="6"/>
  <c r="H96" i="6"/>
  <c r="K29" i="6"/>
  <c r="E75" i="6"/>
  <c r="CI109" i="6"/>
  <c r="AZ100" i="6"/>
  <c r="S67" i="6"/>
  <c r="AC17" i="6"/>
  <c r="F84" i="6"/>
  <c r="AD81" i="6"/>
  <c r="I43" i="6"/>
  <c r="AQ100" i="6"/>
  <c r="C70" i="6"/>
  <c r="AT91" i="6"/>
  <c r="S119" i="6"/>
  <c r="N53" i="6"/>
  <c r="AJ33" i="6"/>
  <c r="CB25" i="6"/>
  <c r="AX57" i="6"/>
  <c r="AE111" i="6"/>
  <c r="T30" i="6"/>
  <c r="O107" i="6"/>
  <c r="AA41" i="6"/>
  <c r="Q92" i="6"/>
  <c r="Z47" i="6"/>
  <c r="AH75" i="6"/>
  <c r="AK104" i="6"/>
  <c r="Z30" i="6"/>
  <c r="BR41" i="6"/>
  <c r="BH45" i="6"/>
  <c r="CB32" i="6"/>
  <c r="AE86" i="6"/>
  <c r="M75" i="6"/>
  <c r="E24" i="6"/>
  <c r="CL117" i="6"/>
  <c r="AO108" i="6"/>
  <c r="BZ115" i="6"/>
  <c r="E87" i="6"/>
  <c r="BQ111" i="6"/>
  <c r="BV73" i="6"/>
  <c r="F108" i="6"/>
  <c r="Z113" i="6"/>
  <c r="BM81" i="6"/>
  <c r="CN68" i="6"/>
  <c r="B101" i="6"/>
  <c r="BU87" i="6"/>
  <c r="AR75" i="6"/>
  <c r="N16" i="6"/>
  <c r="AT20" i="6"/>
  <c r="AY28" i="6"/>
  <c r="CI36" i="6"/>
  <c r="BO111" i="6"/>
  <c r="AM99" i="6"/>
  <c r="BX19" i="6"/>
  <c r="AJ79" i="6"/>
  <c r="CG115" i="6"/>
  <c r="CJ33" i="6"/>
  <c r="BL68" i="6"/>
  <c r="E82" i="6"/>
  <c r="AP24" i="6"/>
  <c r="M60" i="6"/>
  <c r="AG22" i="6"/>
  <c r="B27" i="6"/>
  <c r="CK94" i="6"/>
  <c r="BS49" i="6"/>
  <c r="AX96" i="6"/>
  <c r="AC25" i="6"/>
  <c r="BQ104" i="6"/>
  <c r="X59" i="6"/>
  <c r="BN55" i="6"/>
  <c r="Z67" i="6"/>
  <c r="T79" i="6"/>
  <c r="AY74" i="6"/>
  <c r="X96" i="6"/>
  <c r="BC63" i="6"/>
  <c r="BI120" i="6"/>
  <c r="O111" i="6"/>
  <c r="AG49" i="6"/>
  <c r="BK93" i="6"/>
  <c r="Y84" i="6"/>
  <c r="CB66" i="6"/>
  <c r="BS65" i="6"/>
  <c r="Y32" i="6"/>
  <c r="BA118" i="6"/>
  <c r="AC116" i="6"/>
  <c r="CK120" i="6"/>
  <c r="D73" i="6"/>
  <c r="BQ63" i="6"/>
  <c r="AU102" i="6"/>
  <c r="G31" i="6"/>
  <c r="AM80" i="6"/>
  <c r="CE61" i="6"/>
  <c r="J52" i="6"/>
  <c r="BM31" i="6"/>
  <c r="BJ76" i="6"/>
  <c r="CM33" i="6"/>
  <c r="AE98" i="6"/>
  <c r="CF79" i="6"/>
  <c r="BG121" i="6"/>
  <c r="BX45" i="6"/>
  <c r="AH103" i="6"/>
  <c r="AK67" i="6"/>
  <c r="AU80" i="6"/>
  <c r="BZ63" i="6"/>
  <c r="BK77" i="6"/>
  <c r="K99" i="6"/>
  <c r="BY29" i="6"/>
  <c r="BX66" i="6"/>
  <c r="BB62" i="6"/>
  <c r="BC86" i="6"/>
  <c r="BR105" i="6"/>
  <c r="AE90" i="6"/>
  <c r="BQ108" i="6"/>
  <c r="V11" i="6"/>
  <c r="AO42" i="6"/>
  <c r="E63" i="6"/>
  <c r="AK29" i="6"/>
  <c r="BF53" i="6"/>
  <c r="S82" i="6"/>
  <c r="AM111" i="6"/>
  <c r="AS14" i="6"/>
  <c r="BR94" i="6"/>
  <c r="BF92" i="6"/>
  <c r="CD72" i="6"/>
  <c r="AP62" i="6"/>
  <c r="CL17" i="6"/>
  <c r="BJ58" i="6"/>
  <c r="AX72" i="6"/>
  <c r="CD40" i="6"/>
  <c r="G91" i="6"/>
  <c r="BH48" i="6"/>
  <c r="CB102" i="6"/>
  <c r="AC55" i="6"/>
  <c r="G35" i="6"/>
  <c r="AS8" i="6"/>
  <c r="CL114" i="6"/>
  <c r="AN77" i="6"/>
  <c r="AK39" i="6"/>
  <c r="AS30" i="6"/>
  <c r="BC26" i="6"/>
  <c r="Q33" i="6"/>
  <c r="CC83" i="6"/>
  <c r="Z51" i="6"/>
  <c r="D106" i="6"/>
  <c r="AO30" i="6"/>
  <c r="CN14" i="6"/>
  <c r="BZ87" i="6"/>
  <c r="AK73" i="6"/>
  <c r="BG64" i="6"/>
  <c r="AT11" i="6"/>
  <c r="CD103" i="6"/>
  <c r="AZ79" i="6"/>
  <c r="BC34" i="6"/>
  <c r="BQ58" i="6"/>
  <c r="M119" i="6"/>
  <c r="BE86" i="6"/>
  <c r="E90" i="6"/>
  <c r="AT76" i="6"/>
  <c r="F27" i="6"/>
  <c r="V81" i="6"/>
  <c r="BR60" i="6"/>
  <c r="BN30" i="6"/>
  <c r="AK48" i="6"/>
  <c r="BR63" i="6"/>
  <c r="AD84" i="6"/>
  <c r="AP91" i="6"/>
  <c r="CG110" i="6"/>
  <c r="AH6" i="6"/>
  <c r="BE98" i="6"/>
  <c r="BS99" i="6"/>
  <c r="AS114" i="6"/>
  <c r="BM106" i="6"/>
  <c r="AT85" i="6"/>
  <c r="F94" i="6"/>
  <c r="CK112" i="6"/>
  <c r="BD29" i="6"/>
  <c r="E42" i="6"/>
  <c r="H86" i="6"/>
  <c r="BQ93" i="6"/>
  <c r="AN73" i="6"/>
  <c r="BR42" i="6"/>
  <c r="F68" i="6"/>
  <c r="BB108" i="6"/>
  <c r="Q115" i="6"/>
  <c r="AC20" i="6"/>
  <c r="BI80" i="6"/>
  <c r="BY32" i="6"/>
  <c r="V87" i="6"/>
  <c r="N77" i="6"/>
  <c r="BG38" i="6"/>
  <c r="BN39" i="6"/>
  <c r="AM96" i="6"/>
  <c r="CN85" i="6"/>
  <c r="AE102" i="6"/>
  <c r="AS55" i="6"/>
  <c r="BP43" i="6"/>
  <c r="AI89" i="6"/>
  <c r="AN99" i="6"/>
  <c r="BU68" i="6"/>
  <c r="BW42" i="6"/>
  <c r="T26" i="6"/>
  <c r="AT87" i="6"/>
  <c r="AO95" i="6"/>
  <c r="Z104" i="6"/>
  <c r="BL34" i="6"/>
  <c r="CD70" i="6"/>
  <c r="BL87" i="6"/>
  <c r="BR100" i="6"/>
  <c r="AT61" i="6"/>
  <c r="AB46" i="6"/>
  <c r="CF22" i="6"/>
  <c r="L10" i="6"/>
  <c r="BQ34" i="6"/>
  <c r="AC78" i="6"/>
  <c r="E119" i="6"/>
  <c r="AR10" i="6"/>
  <c r="X53" i="6"/>
  <c r="AH10" i="6"/>
  <c r="AA73" i="6"/>
  <c r="BV80" i="6"/>
  <c r="BR39" i="6"/>
  <c r="W27" i="6"/>
  <c r="AQ72" i="6"/>
  <c r="AI71" i="6"/>
  <c r="BQ85" i="6"/>
  <c r="AA102" i="6"/>
  <c r="BP91" i="6"/>
  <c r="BF120" i="6"/>
  <c r="CC104" i="6"/>
  <c r="BO64" i="6"/>
  <c r="AF94" i="6"/>
  <c r="M86" i="6"/>
  <c r="CJ55" i="6"/>
  <c r="BF35" i="6"/>
  <c r="AV67" i="6"/>
  <c r="AY25" i="6"/>
  <c r="BI21" i="6"/>
  <c r="AQ68" i="6"/>
  <c r="CK100" i="6"/>
  <c r="BI53" i="6"/>
  <c r="BI107" i="6"/>
  <c r="AK78" i="6"/>
  <c r="CL103" i="6"/>
  <c r="BT95" i="6"/>
  <c r="AV120" i="6"/>
  <c r="BT23" i="6"/>
  <c r="AL44" i="6"/>
  <c r="CI101" i="6"/>
  <c r="AN97" i="6"/>
  <c r="AY53" i="6"/>
  <c r="AE119" i="6"/>
  <c r="CK108" i="6"/>
  <c r="AX79" i="6"/>
  <c r="AV83" i="6"/>
  <c r="BW80" i="6"/>
  <c r="AV59" i="6"/>
  <c r="BO57" i="6"/>
  <c r="AA22" i="6"/>
  <c r="BC92" i="6"/>
  <c r="BX100" i="6"/>
  <c r="AV63" i="6"/>
  <c r="BO115" i="6"/>
  <c r="BG112" i="6"/>
  <c r="CJ83" i="6"/>
  <c r="BY115" i="6"/>
  <c r="CJ76" i="6"/>
  <c r="BG67" i="6"/>
  <c r="AD115" i="6"/>
  <c r="BX115" i="6"/>
  <c r="BU33" i="6"/>
  <c r="CN115" i="6"/>
  <c r="L27" i="6"/>
  <c r="CL99" i="6"/>
  <c r="AK64" i="6"/>
  <c r="CN58" i="6"/>
  <c r="BF84" i="6"/>
  <c r="AT93" i="6"/>
  <c r="CE109" i="6"/>
  <c r="BC56" i="6"/>
  <c r="AM35" i="6"/>
  <c r="CN10" i="6"/>
  <c r="P17" i="6"/>
  <c r="AF90" i="6"/>
  <c r="R52" i="6"/>
  <c r="BN64" i="6"/>
  <c r="BR104" i="6"/>
  <c r="M116" i="6"/>
  <c r="AT121" i="6"/>
  <c r="Q6" i="6"/>
  <c r="H121" i="6"/>
  <c r="U30" i="6"/>
  <c r="B46" i="6"/>
  <c r="X12" i="6"/>
  <c r="AP83" i="6"/>
  <c r="C111" i="6"/>
  <c r="BI83" i="6"/>
  <c r="AB83" i="6"/>
  <c r="BM34" i="6"/>
  <c r="X102" i="6"/>
  <c r="B90" i="6"/>
  <c r="CG98" i="6"/>
  <c r="AM93" i="6"/>
  <c r="BQ71" i="6"/>
  <c r="AJ75" i="6"/>
  <c r="CN98" i="6"/>
  <c r="L19" i="6"/>
  <c r="S29" i="6"/>
  <c r="CJ74" i="6"/>
  <c r="G87" i="6"/>
  <c r="X6" i="6"/>
  <c r="BJ20" i="6"/>
  <c r="H51" i="6"/>
  <c r="AS26" i="6"/>
  <c r="CI99" i="6"/>
  <c r="CH59" i="6"/>
  <c r="U68" i="6"/>
  <c r="BB70" i="6"/>
  <c r="CD47" i="6"/>
  <c r="BW100" i="6"/>
  <c r="AE69" i="6"/>
  <c r="BT90" i="6"/>
  <c r="Q74" i="6"/>
  <c r="AG72" i="6"/>
  <c r="BR45" i="6"/>
  <c r="AZ101" i="6"/>
  <c r="N112" i="6"/>
  <c r="CK62" i="6"/>
  <c r="AI33" i="6"/>
  <c r="AJ20" i="6"/>
  <c r="AS9" i="6"/>
  <c r="BN109" i="6"/>
  <c r="AW115" i="6"/>
  <c r="AL47" i="6"/>
  <c r="CI16" i="6"/>
  <c r="AH99" i="6"/>
  <c r="AY121" i="6"/>
  <c r="CB103" i="6"/>
  <c r="AS43" i="6"/>
  <c r="AI111" i="6"/>
  <c r="AW77" i="6"/>
  <c r="CG70" i="6"/>
  <c r="AG99" i="6"/>
  <c r="Z39" i="6"/>
  <c r="H78" i="6"/>
  <c r="AU84" i="6"/>
  <c r="AN75" i="6"/>
  <c r="R19" i="6"/>
  <c r="CE81" i="6"/>
  <c r="AQ70" i="6"/>
  <c r="BV19" i="6"/>
  <c r="BN108" i="6"/>
  <c r="AN101" i="6"/>
  <c r="AI114" i="6"/>
  <c r="CI33" i="6"/>
  <c r="BD59" i="6"/>
  <c r="BV77" i="6"/>
  <c r="BM69" i="6"/>
  <c r="BW71" i="6"/>
  <c r="AL37" i="6"/>
  <c r="BZ22" i="6"/>
  <c r="CJ95" i="6"/>
  <c r="AR95" i="6"/>
  <c r="AN113" i="6"/>
  <c r="BJ118" i="6"/>
  <c r="CN31" i="6"/>
  <c r="BG40" i="6"/>
  <c r="CA57" i="6"/>
  <c r="BX20" i="6"/>
  <c r="U16" i="6"/>
  <c r="U35" i="6"/>
  <c r="AA44" i="6"/>
  <c r="AM17" i="6"/>
  <c r="AX95" i="6"/>
  <c r="BG70" i="6"/>
  <c r="C48" i="6"/>
  <c r="AV18" i="6"/>
  <c r="BV18" i="6"/>
  <c r="M89" i="6"/>
  <c r="X75" i="6"/>
  <c r="AN90" i="6"/>
  <c r="CJ105" i="6"/>
  <c r="H105" i="6"/>
  <c r="V37" i="6"/>
  <c r="CK75" i="6"/>
  <c r="CI110" i="6"/>
  <c r="CC69" i="6"/>
  <c r="CM29" i="6"/>
  <c r="G43" i="6"/>
  <c r="BD87" i="6"/>
  <c r="J65" i="6"/>
  <c r="CM52" i="6"/>
  <c r="CE66" i="6"/>
  <c r="BD55" i="6"/>
  <c r="H19" i="6"/>
  <c r="Z84" i="6"/>
  <c r="C115" i="6"/>
  <c r="BB14" i="6"/>
  <c r="BM86" i="6"/>
  <c r="BV65" i="6"/>
  <c r="O101" i="6"/>
  <c r="M106" i="6"/>
  <c r="BZ24" i="6"/>
  <c r="CA8" i="6"/>
  <c r="AF82" i="6"/>
  <c r="B117" i="6"/>
  <c r="AY12" i="6"/>
  <c r="BP107" i="6"/>
  <c r="C114" i="6"/>
  <c r="AW16" i="6"/>
  <c r="BW73" i="6"/>
  <c r="BF90" i="6"/>
  <c r="CJ111" i="6"/>
  <c r="CL61" i="6"/>
  <c r="AG92" i="6"/>
  <c r="BE43" i="6"/>
  <c r="AC92" i="6"/>
  <c r="CH65" i="6"/>
  <c r="M93" i="6"/>
  <c r="AX120" i="6"/>
  <c r="CL80" i="6"/>
  <c r="AR119" i="6"/>
  <c r="BB12" i="6"/>
  <c r="G68" i="6"/>
  <c r="BY107" i="6"/>
  <c r="CF108" i="6"/>
  <c r="AM70" i="6"/>
  <c r="AF33" i="6"/>
  <c r="BG115" i="6"/>
  <c r="B94" i="6"/>
  <c r="CE70" i="6"/>
  <c r="K72" i="6"/>
  <c r="BW116" i="6"/>
  <c r="R24" i="6"/>
  <c r="G93" i="6"/>
  <c r="BA83" i="6"/>
  <c r="BV11" i="6"/>
  <c r="CC25" i="6"/>
  <c r="O21" i="6"/>
  <c r="BD65" i="6"/>
  <c r="AO53" i="6"/>
  <c r="Z17" i="6"/>
  <c r="BA69" i="6"/>
  <c r="BA108" i="6"/>
  <c r="CD118" i="6"/>
  <c r="BA71" i="6"/>
  <c r="BH105" i="6"/>
  <c r="Z35" i="6"/>
  <c r="G6" i="6"/>
  <c r="AK51" i="6"/>
  <c r="BV46" i="6"/>
  <c r="BU79" i="6"/>
  <c r="C119" i="6"/>
  <c r="Z40" i="6"/>
  <c r="CK34" i="6"/>
  <c r="I76" i="6"/>
  <c r="AD60" i="6"/>
  <c r="CC85" i="6"/>
  <c r="CE54" i="6"/>
  <c r="V66" i="6"/>
  <c r="O114" i="6"/>
  <c r="BZ40" i="6"/>
  <c r="BJ14" i="6"/>
  <c r="V59" i="6"/>
  <c r="AX28" i="6"/>
  <c r="AE36" i="6"/>
  <c r="AU113" i="6"/>
  <c r="J7" i="6"/>
  <c r="BR113" i="6"/>
  <c r="U77" i="6"/>
  <c r="W66" i="6"/>
  <c r="K81" i="6"/>
  <c r="AT120" i="6"/>
  <c r="B86" i="6"/>
  <c r="T58" i="6"/>
  <c r="AM87" i="6"/>
  <c r="BK94" i="6"/>
  <c r="BE76" i="6"/>
  <c r="AG97" i="6"/>
  <c r="BS76" i="6"/>
  <c r="R81" i="6"/>
  <c r="AW90" i="6"/>
  <c r="CI115" i="6"/>
  <c r="W72" i="6"/>
  <c r="BM9" i="6"/>
  <c r="AU53" i="6"/>
  <c r="O87" i="6"/>
  <c r="W24" i="6"/>
  <c r="N64" i="6"/>
  <c r="CJ115" i="6"/>
  <c r="BT100" i="6"/>
  <c r="CH72" i="6"/>
  <c r="AH117" i="6"/>
  <c r="J12" i="6"/>
  <c r="G81" i="6"/>
  <c r="J63" i="6"/>
  <c r="BO43" i="6"/>
  <c r="L71" i="6"/>
  <c r="H57" i="6"/>
  <c r="CC103" i="6"/>
  <c r="AW106" i="6"/>
  <c r="BE30" i="6"/>
  <c r="AN7" i="6"/>
  <c r="CB107" i="6"/>
  <c r="AA57" i="6"/>
  <c r="BS57" i="6"/>
  <c r="AA77" i="6"/>
  <c r="F23" i="6"/>
  <c r="BW58" i="6"/>
  <c r="E69" i="6"/>
  <c r="N113" i="6"/>
  <c r="B17" i="6"/>
  <c r="AC11" i="6"/>
  <c r="BF70" i="6"/>
  <c r="G95" i="6"/>
  <c r="AY104" i="6"/>
  <c r="BT97" i="6"/>
  <c r="AA88" i="6"/>
  <c r="V93" i="6"/>
  <c r="AE68" i="6"/>
  <c r="BM17" i="6"/>
  <c r="AC86" i="6"/>
  <c r="CD76" i="6"/>
  <c r="AR110" i="6"/>
  <c r="BU93" i="6"/>
  <c r="CH63" i="6"/>
  <c r="BS80" i="6"/>
  <c r="AB48" i="6"/>
  <c r="BH104" i="6"/>
  <c r="AC117" i="6"/>
  <c r="AO93" i="6"/>
  <c r="AX117" i="6"/>
  <c r="BZ66" i="6"/>
  <c r="CM11" i="6"/>
  <c r="BU67" i="6"/>
  <c r="BZ94" i="6"/>
  <c r="P50" i="6"/>
  <c r="AU76" i="6"/>
  <c r="BV79" i="6"/>
  <c r="O99" i="6"/>
  <c r="AH61" i="6"/>
  <c r="F82" i="6"/>
  <c r="AW114" i="6"/>
  <c r="AI105" i="6"/>
  <c r="AD102" i="6"/>
  <c r="CA23" i="6"/>
  <c r="AI72" i="6"/>
  <c r="D98" i="6"/>
  <c r="CJ87" i="6"/>
  <c r="BB67" i="6"/>
  <c r="AE58" i="6"/>
  <c r="CM113" i="6"/>
  <c r="BK42" i="6"/>
  <c r="CH78" i="6"/>
  <c r="R47" i="6"/>
  <c r="CJ24" i="6"/>
  <c r="BP112" i="6"/>
  <c r="CC11" i="6"/>
  <c r="CD19" i="6"/>
  <c r="BQ82" i="6"/>
  <c r="L22" i="6"/>
  <c r="AL91" i="6"/>
  <c r="N60" i="6"/>
  <c r="BX116" i="6"/>
  <c r="C100" i="6"/>
  <c r="F54" i="6"/>
  <c r="E70" i="6"/>
  <c r="BL118" i="6"/>
  <c r="AX65" i="6"/>
  <c r="AX13" i="6"/>
  <c r="H13" i="6"/>
  <c r="BL82" i="6"/>
  <c r="BW68" i="6"/>
  <c r="AU114" i="6"/>
  <c r="AN112" i="6"/>
  <c r="BP7" i="6"/>
  <c r="Q30" i="6"/>
  <c r="D37" i="6"/>
  <c r="CB92" i="6"/>
  <c r="AX49" i="6"/>
  <c r="AM78" i="6"/>
  <c r="CM107" i="6"/>
  <c r="T103" i="6"/>
  <c r="AN79" i="6"/>
  <c r="BW119" i="6"/>
  <c r="BZ8" i="6"/>
  <c r="Z26" i="6"/>
  <c r="CK6" i="6"/>
  <c r="AY110" i="6"/>
  <c r="CM56" i="6"/>
  <c r="CL50" i="6"/>
  <c r="AK33" i="6"/>
  <c r="BL57" i="6"/>
  <c r="AG71" i="6"/>
  <c r="CD120" i="6"/>
  <c r="BQ118" i="6"/>
  <c r="BX92" i="6"/>
  <c r="BT19" i="6"/>
  <c r="U18" i="6"/>
  <c r="Y105" i="6"/>
  <c r="J58" i="6"/>
  <c r="AG30" i="6"/>
  <c r="AC91" i="6"/>
  <c r="BV43" i="6"/>
  <c r="AJ38" i="6"/>
  <c r="AZ29" i="6"/>
  <c r="AZ90" i="6"/>
  <c r="BQ23" i="6"/>
  <c r="AA14" i="6"/>
  <c r="AM109" i="6"/>
  <c r="AB38" i="6"/>
  <c r="BI116" i="6"/>
  <c r="BR89" i="6"/>
  <c r="BZ75" i="6"/>
  <c r="CK88" i="6"/>
  <c r="P8" i="6"/>
  <c r="O82" i="6"/>
  <c r="AS18" i="6"/>
  <c r="Z90" i="6"/>
  <c r="BY75" i="6"/>
  <c r="CE104" i="6"/>
  <c r="I118" i="6"/>
  <c r="BX26" i="6"/>
  <c r="AZ24" i="6"/>
  <c r="AI97" i="6"/>
  <c r="AI51" i="6"/>
  <c r="BA86" i="6"/>
  <c r="AE104" i="6"/>
  <c r="CF26" i="6"/>
  <c r="W71" i="6"/>
  <c r="P19" i="6"/>
  <c r="BR96" i="6"/>
  <c r="CG78" i="6"/>
  <c r="AC50" i="6"/>
  <c r="BD82" i="6"/>
  <c r="BM77" i="6"/>
  <c r="BL111" i="6"/>
  <c r="BA70" i="6"/>
  <c r="BR16" i="6"/>
  <c r="AC83" i="6"/>
  <c r="O47" i="6"/>
  <c r="S36" i="6"/>
  <c r="BJ100" i="6"/>
  <c r="S88" i="6"/>
  <c r="G100" i="6"/>
  <c r="I90" i="6"/>
  <c r="X89" i="6"/>
  <c r="AA24" i="6"/>
  <c r="BQ121" i="6"/>
  <c r="V70" i="6"/>
  <c r="BL94" i="6"/>
  <c r="AO38" i="6"/>
  <c r="BO16" i="6"/>
  <c r="BI105" i="6"/>
  <c r="BM121" i="6"/>
  <c r="B85" i="6"/>
  <c r="C73" i="6"/>
  <c r="AI67" i="6"/>
  <c r="CM110" i="6"/>
  <c r="H59" i="6"/>
  <c r="BF80" i="6"/>
  <c r="BO31" i="6"/>
  <c r="H108" i="6"/>
  <c r="AE51" i="6"/>
  <c r="BT106" i="6"/>
  <c r="M16" i="6"/>
  <c r="AV66" i="6"/>
  <c r="X95" i="6"/>
  <c r="CA97" i="6"/>
  <c r="BI108" i="6"/>
  <c r="H99" i="6"/>
  <c r="I110" i="6"/>
  <c r="BH49" i="6"/>
  <c r="C95" i="6"/>
  <c r="AL106" i="6"/>
  <c r="X73" i="6"/>
  <c r="AS52" i="6"/>
  <c r="BA109" i="6"/>
  <c r="AK18" i="6"/>
  <c r="CL43" i="6"/>
  <c r="BM89" i="6"/>
  <c r="BY84" i="6"/>
  <c r="BU86" i="6"/>
  <c r="B70" i="6"/>
  <c r="BI96" i="6"/>
  <c r="BY81" i="6"/>
  <c r="BF88" i="6"/>
  <c r="E85" i="6"/>
  <c r="K75" i="6"/>
  <c r="K114" i="6"/>
  <c r="CJ47" i="6"/>
  <c r="R88" i="6"/>
  <c r="BZ104" i="6"/>
  <c r="AD113" i="6"/>
  <c r="BD107" i="6"/>
  <c r="AA10" i="6"/>
  <c r="X66" i="6"/>
  <c r="U105" i="6"/>
  <c r="L113" i="6"/>
  <c r="BZ85" i="6"/>
  <c r="CE35" i="6"/>
  <c r="BX90" i="6"/>
  <c r="AV31" i="6"/>
  <c r="C27" i="6"/>
  <c r="BW87" i="6"/>
  <c r="BJ85" i="6"/>
  <c r="CA31" i="6"/>
  <c r="AI110" i="6"/>
  <c r="BE119" i="6"/>
  <c r="G94" i="6"/>
  <c r="AC85" i="6"/>
  <c r="AJ63" i="6"/>
  <c r="S71" i="6"/>
  <c r="AJ112" i="6"/>
  <c r="CI45" i="6"/>
  <c r="BB116" i="6"/>
  <c r="BD18" i="6"/>
  <c r="AU14" i="6"/>
  <c r="H56" i="6"/>
  <c r="CL30" i="6"/>
  <c r="AO97" i="6"/>
  <c r="Q104" i="6"/>
  <c r="AQ56" i="6"/>
  <c r="CL89" i="6"/>
  <c r="AO59" i="6"/>
  <c r="CM46" i="6"/>
  <c r="BR98" i="6"/>
  <c r="CH119" i="6"/>
  <c r="CC98" i="6"/>
  <c r="R43" i="6"/>
  <c r="BA68" i="6"/>
  <c r="BG77" i="6"/>
  <c r="CE52" i="6"/>
  <c r="BI103" i="6"/>
  <c r="BX25" i="6"/>
  <c r="BG28" i="6"/>
  <c r="AY92" i="6"/>
  <c r="BU84" i="6"/>
  <c r="Z13" i="6"/>
  <c r="BE100" i="6"/>
  <c r="N11" i="6"/>
  <c r="AL71" i="6"/>
  <c r="CH61" i="6"/>
  <c r="CB83" i="6"/>
  <c r="AQ33" i="6"/>
  <c r="CE26" i="6"/>
  <c r="AB94" i="6"/>
  <c r="BB9" i="6"/>
  <c r="AC21" i="6"/>
  <c r="AF120" i="6"/>
  <c r="BL112" i="6"/>
  <c r="BH22" i="6"/>
  <c r="BH96" i="6"/>
  <c r="D87" i="6"/>
  <c r="CL67" i="6"/>
  <c r="AB108" i="6"/>
  <c r="BW94" i="6"/>
  <c r="J30" i="6"/>
  <c r="BX78" i="6"/>
  <c r="AQ106" i="6"/>
  <c r="R119" i="6"/>
  <c r="BF96" i="6"/>
  <c r="AF10" i="6"/>
  <c r="AE24" i="6"/>
  <c r="BQ13" i="6"/>
  <c r="AC40" i="6"/>
  <c r="BU47" i="6"/>
  <c r="CD94" i="6"/>
  <c r="AR85" i="6"/>
  <c r="B97" i="6"/>
  <c r="AP44" i="6"/>
  <c r="W40" i="6"/>
  <c r="CE96" i="6"/>
  <c r="BR56" i="6"/>
  <c r="AJ59" i="6"/>
  <c r="CM88" i="6"/>
  <c r="AW63" i="6"/>
  <c r="AA87" i="6"/>
  <c r="AJ108" i="6"/>
  <c r="AU116" i="6"/>
  <c r="BD24" i="6"/>
  <c r="BR6" i="6"/>
  <c r="CJ88" i="6"/>
  <c r="BZ89" i="6"/>
  <c r="BZ82" i="6"/>
  <c r="W33" i="6"/>
  <c r="AO61" i="6"/>
  <c r="CD54" i="6"/>
  <c r="AU42" i="6"/>
  <c r="U120" i="6"/>
  <c r="M118" i="6"/>
  <c r="I41" i="6"/>
  <c r="BE77" i="6"/>
  <c r="W88" i="6"/>
  <c r="BJ29" i="6"/>
  <c r="AR77" i="6"/>
  <c r="AJ9" i="6"/>
  <c r="M37" i="6"/>
  <c r="D85" i="6"/>
  <c r="P102" i="6"/>
  <c r="BW121" i="6"/>
  <c r="R70" i="6"/>
  <c r="AN107" i="6"/>
  <c r="AP93" i="6"/>
  <c r="M47" i="6"/>
  <c r="BV101" i="6"/>
  <c r="CN89" i="6"/>
  <c r="E86" i="6"/>
  <c r="AB61" i="6"/>
  <c r="Y52" i="6"/>
  <c r="BE61" i="6"/>
  <c r="B16" i="6"/>
  <c r="L89" i="6"/>
  <c r="AL64" i="6"/>
  <c r="CF119" i="6"/>
  <c r="L115" i="6"/>
  <c r="AZ52" i="6"/>
  <c r="BT62" i="6"/>
  <c r="BS69" i="6"/>
  <c r="BS54" i="6"/>
  <c r="AH98" i="6"/>
  <c r="I81" i="6"/>
  <c r="O108" i="6"/>
  <c r="CH24" i="6"/>
  <c r="BJ49" i="6"/>
  <c r="AK118" i="6"/>
  <c r="BR99" i="6"/>
  <c r="BZ97" i="6"/>
  <c r="L65" i="6"/>
  <c r="CB97" i="6"/>
  <c r="BF86" i="6"/>
  <c r="AR82" i="6"/>
  <c r="BP9" i="6"/>
  <c r="AL90" i="6"/>
  <c r="D80" i="6"/>
  <c r="AW35" i="6"/>
  <c r="BW66" i="6"/>
  <c r="J79" i="6"/>
  <c r="BD103" i="6"/>
  <c r="D22" i="6"/>
  <c r="M112" i="6"/>
  <c r="CI26" i="6"/>
  <c r="AN88" i="6"/>
  <c r="AM64" i="6"/>
  <c r="H29" i="6"/>
  <c r="AI20" i="6"/>
  <c r="CG104" i="6"/>
  <c r="BV100" i="6"/>
  <c r="BY76" i="6"/>
  <c r="AX61" i="6"/>
  <c r="N24" i="6"/>
  <c r="CJ17" i="6"/>
  <c r="AN17" i="6"/>
  <c r="H74" i="6"/>
  <c r="B80" i="6"/>
  <c r="X68" i="6"/>
  <c r="M81" i="6"/>
  <c r="BU101" i="6"/>
  <c r="BN68" i="6"/>
  <c r="AK83" i="6"/>
  <c r="CN92" i="6"/>
  <c r="Y6" i="6"/>
  <c r="U53" i="6"/>
  <c r="Q46" i="6"/>
  <c r="I50" i="6"/>
  <c r="AE49" i="6"/>
  <c r="AI69" i="6"/>
  <c r="CN46" i="6"/>
  <c r="BY12" i="6"/>
  <c r="L74" i="6"/>
  <c r="AC24" i="6"/>
  <c r="BO26" i="6"/>
  <c r="Z116" i="6"/>
  <c r="Q96" i="6"/>
  <c r="CK70" i="6"/>
  <c r="BM6" i="6"/>
  <c r="M23" i="6"/>
  <c r="AH66" i="6"/>
  <c r="D40" i="6"/>
  <c r="AZ88" i="6"/>
  <c r="CA34" i="6"/>
  <c r="CG113" i="6"/>
  <c r="AE100" i="6"/>
  <c r="AH82" i="6"/>
  <c r="O119" i="6"/>
  <c r="I27" i="6"/>
  <c r="Q65" i="6"/>
  <c r="BS24" i="6"/>
  <c r="CI73" i="6"/>
  <c r="X120" i="6"/>
  <c r="B71" i="6"/>
  <c r="H98" i="6"/>
  <c r="F67" i="6"/>
  <c r="Y81" i="6"/>
  <c r="U115" i="6"/>
  <c r="AM118" i="6"/>
  <c r="BW112" i="6"/>
  <c r="CJ90" i="6"/>
  <c r="R85" i="6"/>
  <c r="Z110" i="6"/>
  <c r="P103" i="6"/>
  <c r="BT77" i="6"/>
  <c r="CC107" i="6"/>
  <c r="AW64" i="6"/>
  <c r="AZ46" i="6"/>
  <c r="V48" i="6"/>
  <c r="AA111" i="6"/>
  <c r="AV84" i="6"/>
  <c r="BW74" i="6"/>
  <c r="CK111" i="6"/>
  <c r="BB89" i="6"/>
  <c r="P85" i="6"/>
  <c r="AL11" i="6"/>
  <c r="AS111" i="6"/>
  <c r="V72" i="6"/>
  <c r="CH111" i="6"/>
  <c r="Y20" i="6"/>
  <c r="X81" i="6"/>
  <c r="CD45" i="6"/>
  <c r="J70" i="6"/>
  <c r="AK103" i="6"/>
  <c r="AB24" i="6"/>
  <c r="BF109" i="6"/>
  <c r="V121" i="6"/>
  <c r="H84" i="6"/>
  <c r="BL61" i="6"/>
  <c r="AG103" i="6"/>
  <c r="BU117" i="6"/>
  <c r="AO17" i="6"/>
  <c r="CB100" i="6"/>
  <c r="I18" i="6"/>
  <c r="L16" i="6"/>
  <c r="CD16" i="6"/>
  <c r="CK40" i="6"/>
  <c r="BG97" i="6"/>
  <c r="X83" i="6"/>
  <c r="AI88" i="6"/>
  <c r="CE53" i="6"/>
  <c r="L85" i="6"/>
  <c r="AH120" i="6"/>
  <c r="Y36" i="6"/>
  <c r="AN91" i="6"/>
  <c r="BZ88" i="6"/>
  <c r="AQ47" i="6"/>
  <c r="AR21" i="6"/>
  <c r="BP111" i="6"/>
  <c r="AM114" i="6"/>
  <c r="E47" i="6"/>
  <c r="BN38" i="6"/>
  <c r="U100" i="6"/>
  <c r="Z93" i="6"/>
  <c r="BI54" i="6"/>
  <c r="AC99" i="6"/>
  <c r="W15" i="6"/>
  <c r="BR95" i="6"/>
  <c r="CC101" i="6"/>
  <c r="Y71" i="6"/>
  <c r="CG109" i="6"/>
  <c r="AQ71" i="6"/>
  <c r="BG16" i="6"/>
  <c r="CD48" i="6"/>
  <c r="AX113" i="6"/>
  <c r="BK101" i="6"/>
  <c r="G70" i="6"/>
  <c r="BH107" i="6"/>
  <c r="BW110" i="6"/>
  <c r="BQ66" i="6"/>
  <c r="Z80" i="6"/>
  <c r="BN22" i="6"/>
  <c r="CF120" i="6"/>
  <c r="CM47" i="6"/>
  <c r="AZ108" i="6"/>
  <c r="CH43" i="6"/>
  <c r="BH95" i="6"/>
  <c r="AB107" i="6"/>
  <c r="V110" i="6"/>
  <c r="AP31" i="6"/>
  <c r="BW67" i="6"/>
  <c r="AQ67" i="6"/>
  <c r="BY112" i="6"/>
  <c r="AF102" i="6"/>
  <c r="BS74" i="6"/>
  <c r="BX98" i="6"/>
  <c r="BL76" i="6"/>
  <c r="AS119" i="6"/>
  <c r="J16" i="6"/>
  <c r="U96" i="6"/>
  <c r="L117" i="6"/>
  <c r="AW111" i="6"/>
  <c r="BC70" i="6"/>
  <c r="AK116" i="6"/>
  <c r="BT86" i="6"/>
  <c r="AC53" i="6"/>
  <c r="BG12" i="6"/>
  <c r="M66" i="6"/>
  <c r="AY103" i="6"/>
  <c r="AQ83" i="6"/>
  <c r="Q109" i="6"/>
  <c r="CM97" i="6"/>
  <c r="CD13" i="6"/>
  <c r="E108" i="6"/>
  <c r="CG32" i="6"/>
  <c r="CA61" i="6"/>
  <c r="K88" i="6"/>
  <c r="K26" i="6"/>
  <c r="CN79" i="6"/>
  <c r="N29" i="6"/>
  <c r="CN116" i="6"/>
  <c r="P49" i="6"/>
  <c r="AB113" i="6"/>
  <c r="X80" i="6"/>
  <c r="AD96" i="6"/>
  <c r="BT60" i="6"/>
  <c r="BC106" i="6"/>
  <c r="CF98" i="6"/>
  <c r="AP116" i="6"/>
  <c r="AI65" i="6"/>
  <c r="W35" i="6"/>
  <c r="BL113" i="6"/>
  <c r="AL113" i="6"/>
  <c r="BQ107" i="6"/>
  <c r="CL107" i="6"/>
  <c r="AN83" i="6"/>
  <c r="AE91" i="6"/>
  <c r="BO91" i="6"/>
  <c r="F14" i="6"/>
  <c r="T96" i="6"/>
  <c r="CI31" i="6"/>
  <c r="BU71" i="6"/>
  <c r="CK98" i="6"/>
  <c r="AW33" i="6"/>
  <c r="AZ113" i="6"/>
  <c r="N81" i="6"/>
  <c r="AD42" i="6"/>
  <c r="AS50" i="6"/>
  <c r="BT99" i="6"/>
  <c r="BV70" i="6"/>
  <c r="H67" i="6"/>
  <c r="CM112" i="6"/>
  <c r="AW81" i="6"/>
  <c r="BO81" i="6"/>
  <c r="BM10" i="6"/>
  <c r="AX90" i="6"/>
  <c r="K70" i="6"/>
  <c r="BL58" i="6"/>
  <c r="BD72" i="6"/>
  <c r="CG51" i="6"/>
  <c r="BV106" i="6"/>
  <c r="BP86" i="6"/>
  <c r="BX55" i="6"/>
  <c r="BM44" i="6"/>
  <c r="BQ49" i="6"/>
  <c r="AQ53" i="6"/>
  <c r="CK43" i="6"/>
  <c r="BU102" i="6"/>
  <c r="C82" i="6"/>
  <c r="T94" i="6"/>
  <c r="CK13" i="6"/>
  <c r="P48" i="6"/>
  <c r="BW24" i="6"/>
  <c r="BA41" i="6"/>
  <c r="BA74" i="6"/>
  <c r="BG72" i="6"/>
  <c r="BC90" i="6"/>
  <c r="BF64" i="6"/>
  <c r="T57" i="6"/>
  <c r="BM116" i="6"/>
  <c r="BI91" i="6"/>
  <c r="Y24" i="6"/>
  <c r="D77" i="6"/>
  <c r="W99" i="6"/>
  <c r="CG17" i="6"/>
  <c r="AC95" i="6"/>
  <c r="U43" i="6"/>
  <c r="AQ97" i="6"/>
  <c r="BM63" i="6"/>
  <c r="BV111" i="6"/>
  <c r="C25" i="6"/>
  <c r="AT100" i="6"/>
  <c r="BP31" i="6"/>
  <c r="AW70" i="6"/>
  <c r="BY38" i="6"/>
  <c r="BB65" i="6"/>
  <c r="S55" i="6"/>
  <c r="BZ105" i="6"/>
  <c r="CL91" i="6"/>
  <c r="AG34" i="6"/>
  <c r="AS36" i="6"/>
  <c r="BV91" i="6"/>
  <c r="AP56" i="6"/>
  <c r="CB121" i="6"/>
  <c r="BC36" i="6"/>
  <c r="I49" i="6"/>
  <c r="B37" i="6"/>
  <c r="L100" i="6"/>
  <c r="G90" i="6"/>
  <c r="CL79" i="6"/>
  <c r="M99" i="6"/>
  <c r="AD39" i="6"/>
  <c r="CN12" i="6"/>
  <c r="AA61" i="6"/>
  <c r="AV7" i="6"/>
  <c r="BQ99" i="6"/>
  <c r="BH53" i="6"/>
  <c r="AV111" i="6"/>
  <c r="BO118" i="6"/>
  <c r="BH98" i="6"/>
  <c r="AP118" i="6"/>
  <c r="CN84" i="6"/>
  <c r="BG59" i="6"/>
  <c r="BE25" i="6"/>
  <c r="BJ18" i="6"/>
  <c r="AX74" i="6"/>
  <c r="AM69" i="6"/>
  <c r="AS98" i="6"/>
  <c r="AX45" i="6"/>
  <c r="AR58" i="6"/>
  <c r="BC108" i="6"/>
  <c r="AC9" i="6"/>
  <c r="AK37" i="6"/>
  <c r="BD119" i="6"/>
  <c r="AE114" i="6"/>
  <c r="N107" i="6"/>
  <c r="BY68" i="6"/>
  <c r="CK110" i="6"/>
  <c r="AX103" i="6"/>
  <c r="CI93" i="6"/>
  <c r="BS47" i="6"/>
  <c r="AY68" i="6"/>
  <c r="L46" i="6"/>
  <c r="CG116" i="6"/>
  <c r="Z34" i="6"/>
  <c r="W45" i="6"/>
  <c r="Z82" i="6"/>
  <c r="BJ116" i="6"/>
  <c r="AD100" i="6"/>
  <c r="CB17" i="6"/>
  <c r="M21" i="6"/>
  <c r="AA78" i="6"/>
  <c r="CN20" i="6"/>
  <c r="AN49" i="6"/>
  <c r="CJ103" i="6"/>
  <c r="AC121" i="6"/>
  <c r="AV75" i="6"/>
  <c r="BB35" i="6"/>
  <c r="Y16" i="6"/>
  <c r="K37" i="6"/>
  <c r="AB102" i="6"/>
  <c r="E7" i="6"/>
  <c r="BR101" i="6"/>
  <c r="CH64" i="6"/>
  <c r="G41" i="6"/>
  <c r="G69" i="6"/>
  <c r="H97" i="6"/>
  <c r="CK20" i="6"/>
  <c r="BT118" i="6"/>
  <c r="CL72" i="6"/>
  <c r="BN114" i="6"/>
  <c r="S38" i="6"/>
  <c r="BV71" i="6"/>
  <c r="AB25" i="6"/>
  <c r="BT119" i="6"/>
  <c r="CC96" i="6"/>
  <c r="AO109" i="6"/>
  <c r="CK103" i="6"/>
  <c r="BQ44" i="6"/>
  <c r="AP76" i="6"/>
  <c r="BG88" i="6"/>
  <c r="Y60" i="6"/>
  <c r="CG107" i="6"/>
  <c r="BY87" i="6"/>
  <c r="CM63" i="6"/>
  <c r="BD91" i="6"/>
  <c r="AK7" i="6"/>
  <c r="CL63" i="6"/>
  <c r="BP35" i="6"/>
  <c r="U92" i="6"/>
  <c r="AJ83" i="6"/>
  <c r="BX14" i="6"/>
  <c r="K118" i="6"/>
  <c r="BN111" i="6"/>
  <c r="BA59" i="6"/>
  <c r="J108" i="6"/>
  <c r="Z96" i="6"/>
  <c r="AA97" i="6"/>
  <c r="BO98" i="6"/>
  <c r="M92" i="6"/>
  <c r="BP26" i="6"/>
  <c r="R17" i="6"/>
  <c r="BK88" i="6"/>
  <c r="AB33" i="6"/>
  <c r="AY20" i="6"/>
  <c r="B22" i="6"/>
  <c r="CJ93" i="6"/>
  <c r="O75" i="6"/>
  <c r="I57" i="6"/>
  <c r="C11" i="6"/>
  <c r="BI63" i="6"/>
  <c r="CI15" i="6"/>
  <c r="BV57" i="6"/>
  <c r="I70" i="6"/>
  <c r="CC94" i="6"/>
  <c r="V46" i="6"/>
  <c r="AQ61" i="6"/>
  <c r="X39" i="6"/>
  <c r="AA121" i="6"/>
  <c r="D101" i="6"/>
  <c r="AW86" i="6"/>
  <c r="D105" i="6"/>
  <c r="CB108" i="6"/>
  <c r="AV101" i="6"/>
  <c r="BV96" i="6"/>
  <c r="AE73" i="6"/>
  <c r="BA52" i="6"/>
  <c r="J98" i="6"/>
  <c r="BI99" i="6"/>
  <c r="CL19" i="6"/>
  <c r="BJ33" i="6"/>
  <c r="CM85" i="6"/>
  <c r="Y29" i="6"/>
  <c r="X18" i="6"/>
  <c r="W73" i="6"/>
  <c r="CE15" i="6"/>
  <c r="E109" i="6"/>
  <c r="P90" i="6"/>
  <c r="BZ21" i="6"/>
  <c r="AN117" i="6"/>
  <c r="M114" i="6"/>
  <c r="AP50" i="6"/>
  <c r="BU40" i="6"/>
  <c r="AZ67" i="6"/>
  <c r="Q47" i="6"/>
  <c r="U57" i="6"/>
  <c r="AW69" i="6"/>
  <c r="CM105" i="6"/>
  <c r="BP22" i="6"/>
  <c r="BI76" i="6"/>
  <c r="P104" i="6"/>
  <c r="W61" i="6"/>
  <c r="P93" i="6"/>
  <c r="CH41" i="6"/>
  <c r="BM75" i="6"/>
  <c r="AM82" i="6"/>
  <c r="O120" i="6"/>
  <c r="AF68" i="6"/>
  <c r="D67" i="6"/>
  <c r="AP108" i="6"/>
  <c r="AQ86" i="6"/>
  <c r="AD6" i="6"/>
  <c r="BL98" i="6"/>
  <c r="CC14" i="6"/>
  <c r="AO13" i="6"/>
  <c r="BP39" i="6"/>
  <c r="W112" i="6"/>
  <c r="J76" i="6"/>
  <c r="AC47" i="6"/>
  <c r="BG8" i="6"/>
  <c r="BX12" i="6"/>
  <c r="AR92" i="6"/>
  <c r="AI55" i="6"/>
  <c r="AQ102" i="6"/>
  <c r="L105" i="6"/>
  <c r="BL35" i="6"/>
  <c r="BE39" i="6"/>
  <c r="H113" i="6"/>
  <c r="L87" i="6"/>
  <c r="F99" i="6"/>
  <c r="Q68" i="6"/>
  <c r="CJ9" i="6"/>
  <c r="AI35" i="6"/>
  <c r="T113" i="6"/>
  <c r="I56" i="6"/>
  <c r="Y91" i="6"/>
  <c r="BB88" i="6"/>
  <c r="I60" i="6"/>
  <c r="BN82" i="6"/>
  <c r="CB59" i="6"/>
  <c r="BE103" i="6"/>
  <c r="AZ10" i="6"/>
  <c r="V96" i="6"/>
  <c r="R84" i="6"/>
  <c r="X111" i="6"/>
  <c r="AN24" i="6"/>
  <c r="X23" i="6"/>
  <c r="BC120" i="6"/>
  <c r="BH93" i="6"/>
  <c r="AY30" i="6"/>
  <c r="L91" i="6"/>
  <c r="M68" i="6"/>
  <c r="CB50" i="6"/>
  <c r="P98" i="6"/>
  <c r="BH37" i="6"/>
  <c r="AA32" i="6"/>
  <c r="AL63" i="6"/>
  <c r="AA82" i="6"/>
  <c r="BU59" i="6"/>
  <c r="BR26" i="6"/>
  <c r="BX49" i="6"/>
  <c r="CB36" i="6"/>
  <c r="CF12" i="6"/>
  <c r="AJ94" i="6"/>
  <c r="CD100" i="6"/>
  <c r="R12" i="6"/>
  <c r="I91" i="6"/>
  <c r="AB17" i="6"/>
  <c r="AP104" i="6"/>
  <c r="L107" i="6"/>
  <c r="BA18" i="6"/>
  <c r="BG23" i="6"/>
  <c r="CA110" i="6"/>
  <c r="CG26" i="6"/>
  <c r="BN15" i="6"/>
  <c r="AJ100" i="6"/>
  <c r="Y68" i="6"/>
  <c r="W91" i="6"/>
  <c r="W44" i="6"/>
  <c r="G54" i="6"/>
  <c r="AG90" i="6"/>
  <c r="T6" i="6"/>
  <c r="AE82" i="6"/>
  <c r="CC26" i="6"/>
  <c r="AW97" i="6"/>
  <c r="BE62" i="6"/>
  <c r="S92" i="6"/>
  <c r="BM109" i="6"/>
  <c r="BA63" i="6"/>
  <c r="AC107" i="6"/>
  <c r="D117" i="6"/>
  <c r="AT94" i="6"/>
  <c r="AA54" i="6"/>
  <c r="CA70" i="6"/>
  <c r="CD61" i="6"/>
  <c r="CD106" i="6"/>
  <c r="AP99" i="6"/>
  <c r="BH32" i="6"/>
  <c r="AO22" i="6"/>
  <c r="S73" i="6"/>
  <c r="BE33" i="6"/>
  <c r="BF37" i="6"/>
  <c r="CM23" i="6"/>
  <c r="AN102" i="6"/>
  <c r="Y47" i="6"/>
  <c r="CK47" i="6"/>
  <c r="E60" i="6"/>
  <c r="AY11" i="6"/>
  <c r="I116" i="6"/>
  <c r="BJ73" i="6"/>
  <c r="CI82" i="6"/>
  <c r="CD97" i="6"/>
  <c r="AZ60" i="6"/>
  <c r="P68" i="6"/>
  <c r="CM6" i="6"/>
  <c r="BC8" i="6"/>
  <c r="CB61" i="6"/>
  <c r="S37" i="6"/>
  <c r="E22" i="6"/>
  <c r="W87" i="6"/>
  <c r="AZ26" i="6"/>
  <c r="AG26" i="6"/>
  <c r="AP78" i="6"/>
  <c r="BU34" i="6"/>
  <c r="AH101" i="6"/>
  <c r="AS80" i="6"/>
  <c r="CH106" i="6"/>
  <c r="CA66" i="6"/>
  <c r="BO82" i="6"/>
  <c r="BQ109" i="6"/>
  <c r="BX30" i="6"/>
  <c r="AX115" i="6"/>
  <c r="CD110" i="6"/>
  <c r="BI55" i="6"/>
  <c r="BD89" i="6"/>
  <c r="T92" i="6"/>
  <c r="D112" i="6"/>
  <c r="BT74" i="6"/>
  <c r="C9" i="6"/>
  <c r="AY96" i="6"/>
  <c r="CF81" i="6"/>
  <c r="Y93" i="6"/>
  <c r="AV78" i="6"/>
  <c r="CF107" i="6"/>
  <c r="K110" i="6"/>
  <c r="BZ17" i="6"/>
  <c r="CI41" i="6"/>
  <c r="W23" i="6"/>
  <c r="AQ15" i="6"/>
  <c r="AU91" i="6"/>
  <c r="D65" i="6"/>
  <c r="B111" i="6"/>
  <c r="AV102" i="6"/>
  <c r="M26" i="6"/>
  <c r="AF111" i="6"/>
  <c r="AQ58" i="6"/>
  <c r="I63" i="6"/>
  <c r="AB111" i="6"/>
  <c r="AH9" i="6"/>
  <c r="BI104" i="6"/>
  <c r="BP92" i="6"/>
  <c r="Y113" i="6"/>
  <c r="P14" i="6"/>
  <c r="BE55" i="6"/>
  <c r="AK36" i="6"/>
  <c r="AX119" i="6"/>
  <c r="CB99" i="6"/>
  <c r="R30" i="6"/>
  <c r="AY46" i="6"/>
  <c r="AH84" i="6"/>
  <c r="BK28" i="6"/>
  <c r="BZ33" i="6"/>
  <c r="BP52" i="6"/>
  <c r="BG42" i="6"/>
  <c r="CK18" i="6"/>
  <c r="BX33" i="6"/>
  <c r="D19" i="6"/>
  <c r="AD35" i="6"/>
  <c r="BD116" i="6"/>
  <c r="AV94" i="6"/>
  <c r="BV114" i="6"/>
  <c r="G84" i="6"/>
  <c r="AG93" i="6"/>
  <c r="AB52" i="6"/>
  <c r="BX117" i="6"/>
  <c r="CI22" i="6"/>
  <c r="AM7" i="6"/>
  <c r="AW73" i="6"/>
  <c r="AM83" i="6"/>
  <c r="Q42" i="6"/>
  <c r="F77" i="6"/>
  <c r="AF24" i="6"/>
  <c r="AY97" i="6"/>
  <c r="BF45" i="6"/>
  <c r="AR80" i="6"/>
  <c r="W25" i="6"/>
  <c r="AI79" i="6"/>
  <c r="AQ119" i="6"/>
  <c r="AI102" i="6"/>
  <c r="BX54" i="6"/>
  <c r="Z55" i="6"/>
  <c r="AX26" i="6"/>
  <c r="G37" i="6"/>
  <c r="Y92" i="6"/>
  <c r="BA98" i="6"/>
  <c r="T91" i="6"/>
  <c r="AJ25" i="6"/>
  <c r="P116" i="6"/>
  <c r="C81" i="6"/>
  <c r="AG104" i="6"/>
  <c r="BK112" i="6"/>
  <c r="AW104" i="6"/>
  <c r="BK79" i="6"/>
  <c r="X50" i="6"/>
  <c r="I67" i="6"/>
  <c r="BH79" i="6"/>
  <c r="X14" i="6"/>
  <c r="BX38" i="6"/>
  <c r="H62" i="6"/>
  <c r="BK116" i="6"/>
  <c r="K71" i="6"/>
  <c r="AA89" i="6"/>
  <c r="AC115" i="6"/>
  <c r="M72" i="6"/>
  <c r="AT77" i="6"/>
  <c r="S118" i="6"/>
  <c r="V107" i="6"/>
  <c r="BP66" i="6"/>
  <c r="AX91" i="6"/>
  <c r="O109" i="6"/>
  <c r="BZ100" i="6"/>
  <c r="AD41" i="6"/>
  <c r="AR104" i="6"/>
  <c r="J116" i="6"/>
  <c r="W78" i="6"/>
  <c r="AF61" i="6"/>
  <c r="AG69" i="6"/>
  <c r="BA106" i="6"/>
  <c r="BE70" i="6"/>
  <c r="BX106" i="6"/>
  <c r="BX71" i="6"/>
  <c r="E100" i="6"/>
  <c r="AY69" i="6"/>
  <c r="M67" i="6"/>
  <c r="CE100" i="6"/>
  <c r="AN32" i="6"/>
  <c r="CH110" i="6"/>
  <c r="S12" i="6"/>
  <c r="CA78" i="6"/>
  <c r="CN104" i="6"/>
  <c r="CC52" i="6"/>
  <c r="AH79" i="6"/>
  <c r="O74" i="6"/>
  <c r="AG12" i="6"/>
  <c r="AQ120" i="6"/>
  <c r="F85" i="6"/>
  <c r="AX77" i="6"/>
  <c r="AG14" i="6"/>
  <c r="BC20" i="6"/>
  <c r="C106" i="6"/>
  <c r="P111" i="6"/>
  <c r="J20" i="6"/>
  <c r="AW67" i="6"/>
  <c r="BS46" i="6"/>
  <c r="Z74" i="6"/>
  <c r="J102" i="6"/>
  <c r="BG26" i="6"/>
  <c r="AA34" i="6"/>
  <c r="BN87" i="6"/>
  <c r="BU95" i="6"/>
  <c r="AP103" i="6"/>
  <c r="AO120" i="6"/>
  <c r="N76" i="6"/>
  <c r="CL116" i="6"/>
  <c r="AL13" i="6"/>
  <c r="F106" i="6"/>
  <c r="BT22" i="6"/>
  <c r="BH92" i="6"/>
  <c r="C49" i="6"/>
  <c r="R117" i="6"/>
  <c r="BN6" i="6"/>
  <c r="BF77" i="6"/>
  <c r="BD73" i="6"/>
  <c r="BJ53" i="6"/>
  <c r="K100" i="6"/>
  <c r="Y38" i="6"/>
  <c r="AG73" i="6"/>
  <c r="P67" i="6"/>
  <c r="BU106" i="6"/>
  <c r="AR87" i="6"/>
  <c r="BA92" i="6"/>
  <c r="AL65" i="6"/>
  <c r="BB50" i="6"/>
  <c r="BQ46" i="6"/>
  <c r="BS17" i="6"/>
  <c r="BV44" i="6"/>
  <c r="AN121" i="6"/>
  <c r="BI28" i="6"/>
  <c r="BP69" i="6"/>
  <c r="AY37" i="6"/>
  <c r="BP73" i="6"/>
  <c r="L23" i="6"/>
  <c r="P41" i="6"/>
  <c r="CF121" i="6"/>
  <c r="U113" i="6"/>
  <c r="CL57" i="6"/>
  <c r="BN11" i="6"/>
  <c r="AB76" i="6"/>
  <c r="B102" i="6"/>
  <c r="CE68" i="6"/>
  <c r="BC52" i="6"/>
  <c r="AH91" i="6"/>
  <c r="AA74" i="6"/>
  <c r="CM76" i="6"/>
  <c r="BD85" i="6"/>
  <c r="D95" i="6"/>
  <c r="AB28" i="6"/>
  <c r="X87" i="6"/>
  <c r="CN51" i="6"/>
  <c r="R78" i="6"/>
  <c r="V98" i="6"/>
  <c r="P97" i="6"/>
  <c r="BR120" i="6"/>
  <c r="CF115" i="6"/>
  <c r="AY89" i="6"/>
  <c r="AX93" i="6"/>
  <c r="CJ72" i="6"/>
  <c r="BD84" i="6"/>
  <c r="BJ112" i="6"/>
  <c r="CA114" i="6"/>
  <c r="BP76" i="6"/>
  <c r="AD72" i="6"/>
  <c r="V53" i="6"/>
  <c r="AF16" i="6"/>
  <c r="C51" i="6"/>
  <c r="M56" i="6"/>
  <c r="CA33" i="6"/>
  <c r="T118" i="6"/>
  <c r="BS93" i="6"/>
  <c r="U25" i="6"/>
  <c r="BM108" i="6"/>
  <c r="AM110" i="6"/>
  <c r="BY73" i="6"/>
  <c r="BP74" i="6"/>
  <c r="M65" i="6"/>
  <c r="N30" i="6"/>
  <c r="X44" i="6"/>
  <c r="AF36" i="6"/>
  <c r="BQ27" i="6"/>
  <c r="AH46" i="6"/>
  <c r="CG91" i="6"/>
  <c r="AQ93" i="6"/>
  <c r="D60" i="6"/>
  <c r="AX15" i="6"/>
  <c r="BX80" i="6"/>
  <c r="BJ50" i="6"/>
  <c r="C44" i="6"/>
  <c r="AJ81" i="6"/>
  <c r="L121" i="6"/>
  <c r="BW114" i="6"/>
  <c r="CB68" i="6"/>
  <c r="Z107" i="6"/>
  <c r="Z70" i="6"/>
  <c r="CM118" i="6"/>
  <c r="BO60" i="6"/>
  <c r="BD32" i="6"/>
  <c r="G120" i="6"/>
  <c r="BY67" i="6"/>
  <c r="K101" i="6"/>
  <c r="P71" i="6"/>
  <c r="BJ104" i="6"/>
  <c r="BD56" i="6"/>
  <c r="AH116" i="6"/>
  <c r="AK68" i="6"/>
  <c r="BI26" i="6"/>
  <c r="CI90" i="6"/>
  <c r="AF79" i="6"/>
  <c r="CD93" i="6"/>
  <c r="BR114" i="6"/>
  <c r="CF61" i="6"/>
  <c r="AD66" i="6"/>
  <c r="AV9" i="6"/>
  <c r="BI115" i="6"/>
  <c r="M74" i="6"/>
  <c r="AU86" i="6"/>
  <c r="CL73" i="6"/>
  <c r="BU83" i="6"/>
  <c r="BB119" i="6"/>
  <c r="K85" i="6"/>
  <c r="BL88" i="6"/>
  <c r="BQ9" i="6"/>
  <c r="U56" i="6"/>
  <c r="BG50" i="6"/>
  <c r="E54" i="6"/>
  <c r="BS70" i="6"/>
  <c r="CH105" i="6"/>
  <c r="AS115" i="6"/>
  <c r="CM91" i="6"/>
  <c r="CK22" i="6"/>
  <c r="CD42" i="6"/>
  <c r="BQ36" i="6"/>
  <c r="CL45" i="6"/>
  <c r="BP82" i="6"/>
  <c r="AE75" i="6"/>
  <c r="AL45" i="6"/>
  <c r="BW14" i="6"/>
  <c r="CB101" i="6"/>
  <c r="BG82" i="6"/>
  <c r="I101" i="6"/>
  <c r="BI87" i="6"/>
  <c r="BZ53" i="6"/>
  <c r="AJ85" i="6"/>
  <c r="AR45" i="6"/>
  <c r="BE94" i="6"/>
  <c r="CC93" i="6"/>
  <c r="CM12" i="6"/>
  <c r="BK8" i="6"/>
  <c r="K86" i="6"/>
  <c r="CM21" i="6"/>
  <c r="BD106" i="6"/>
  <c r="CG94" i="6"/>
  <c r="AJ88" i="6"/>
  <c r="AR103" i="6"/>
  <c r="E79" i="6"/>
  <c r="BX105" i="6"/>
  <c r="AA65" i="6"/>
  <c r="AK105" i="6"/>
  <c r="CL94" i="6"/>
  <c r="AH89" i="6"/>
  <c r="Q113" i="6"/>
  <c r="Y13" i="6"/>
  <c r="L68" i="6"/>
  <c r="BL97" i="6"/>
  <c r="BM102" i="6"/>
  <c r="CI10" i="6"/>
  <c r="CD99" i="6"/>
  <c r="X90" i="6"/>
  <c r="Q76" i="6"/>
  <c r="V43" i="6"/>
  <c r="AO72" i="6"/>
  <c r="AU65" i="6"/>
  <c r="AJ11" i="6"/>
  <c r="CH52" i="6"/>
  <c r="Y64" i="6"/>
  <c r="AR121" i="6"/>
  <c r="X48" i="6"/>
  <c r="N37" i="6"/>
  <c r="AZ94" i="6"/>
  <c r="D83" i="6"/>
  <c r="BC91" i="6"/>
  <c r="M11" i="6"/>
  <c r="CM64" i="6"/>
  <c r="BP16" i="6"/>
  <c r="F119" i="6"/>
  <c r="BK35" i="6"/>
  <c r="CN45" i="6"/>
  <c r="J33" i="6"/>
  <c r="BB11" i="6"/>
  <c r="CF31" i="6"/>
  <c r="BG37" i="6"/>
  <c r="AR15" i="6"/>
  <c r="BL96" i="6"/>
  <c r="BN80" i="6"/>
  <c r="CD112" i="6"/>
  <c r="AE45" i="6"/>
  <c r="BA72" i="6"/>
  <c r="H104" i="6"/>
  <c r="BU45" i="6"/>
  <c r="BK78" i="6"/>
  <c r="AA33" i="6"/>
  <c r="BP110" i="6"/>
  <c r="BO86" i="6"/>
  <c r="J105" i="6"/>
  <c r="BG17" i="6"/>
  <c r="BX121" i="6"/>
  <c r="BY62" i="6"/>
  <c r="AQ101" i="6"/>
  <c r="H44" i="6"/>
  <c r="BH80" i="6"/>
  <c r="R118" i="6"/>
  <c r="T110" i="6"/>
  <c r="BZ116" i="6"/>
  <c r="Y85" i="6"/>
  <c r="CA56" i="6"/>
  <c r="AF106" i="6"/>
  <c r="X9" i="6"/>
  <c r="AN86" i="6"/>
  <c r="AC88" i="6"/>
  <c r="AS99" i="6"/>
  <c r="AI9" i="6"/>
  <c r="U54" i="6"/>
  <c r="N88" i="6"/>
  <c r="P62" i="6"/>
  <c r="V24" i="6"/>
  <c r="BF57" i="6"/>
  <c r="W29" i="6"/>
  <c r="BC110" i="6"/>
  <c r="G89" i="6"/>
  <c r="BY96" i="6"/>
  <c r="AZ17" i="6"/>
  <c r="BR9" i="6"/>
  <c r="O37" i="6"/>
  <c r="CJ42" i="6"/>
  <c r="AA91" i="6"/>
  <c r="AA51" i="6"/>
  <c r="CH22" i="6"/>
  <c r="E101" i="6"/>
  <c r="BS107" i="6"/>
  <c r="CI7" i="6"/>
  <c r="AQ115" i="6"/>
  <c r="CI68" i="6"/>
  <c r="AO114" i="6"/>
  <c r="Y111" i="6"/>
  <c r="BO13" i="6"/>
  <c r="CN103" i="6"/>
  <c r="CM98" i="6"/>
  <c r="CD11" i="6"/>
  <c r="AS108" i="6"/>
  <c r="BN94" i="6"/>
  <c r="AB51" i="6"/>
  <c r="CF52" i="6"/>
  <c r="BN45" i="6"/>
  <c r="AC71" i="6"/>
  <c r="AK62" i="6"/>
  <c r="AI83" i="6"/>
  <c r="CL93" i="6"/>
  <c r="AL109" i="6"/>
  <c r="CG72" i="6"/>
  <c r="AD61" i="6"/>
  <c r="AI56" i="6"/>
  <c r="AR22" i="6"/>
  <c r="BB39" i="6"/>
  <c r="CF80" i="6"/>
  <c r="H70" i="6"/>
  <c r="AS71" i="6"/>
  <c r="BF20" i="6"/>
  <c r="CJ16" i="6"/>
  <c r="AU59" i="6"/>
  <c r="Y97" i="6"/>
  <c r="F59" i="6"/>
  <c r="AR32" i="6"/>
  <c r="AK92" i="6"/>
  <c r="BQ14" i="6"/>
  <c r="BK36" i="6"/>
  <c r="CL14" i="6"/>
  <c r="CF63" i="6"/>
  <c r="AF55" i="6"/>
  <c r="B113" i="6"/>
  <c r="BU121" i="6"/>
  <c r="AJ87" i="6"/>
  <c r="BW96" i="6"/>
  <c r="BD94" i="6"/>
  <c r="AX100" i="6"/>
  <c r="CA14" i="6"/>
  <c r="F30" i="6"/>
  <c r="B68" i="6"/>
  <c r="BO107" i="6"/>
  <c r="BQ77" i="6"/>
  <c r="CD64" i="6"/>
  <c r="CJ104" i="6"/>
  <c r="BI119" i="6"/>
  <c r="X42" i="6"/>
  <c r="J15" i="6"/>
  <c r="BJ60" i="6"/>
  <c r="AV14" i="6"/>
  <c r="CD31" i="6"/>
  <c r="BW63" i="6"/>
  <c r="AE106" i="6"/>
  <c r="BE47" i="6"/>
  <c r="L42" i="6"/>
  <c r="BG107" i="6"/>
  <c r="BR79" i="6"/>
  <c r="AF116" i="6"/>
  <c r="M94" i="6"/>
  <c r="BA34" i="6"/>
  <c r="BQ91" i="6"/>
  <c r="AZ89" i="6"/>
  <c r="BD45" i="6"/>
  <c r="S91" i="6"/>
  <c r="BI43" i="6"/>
  <c r="T29" i="6"/>
  <c r="C110" i="6"/>
  <c r="G77" i="6"/>
  <c r="O60" i="6"/>
  <c r="O64" i="6"/>
  <c r="AP12" i="6"/>
  <c r="CD33" i="6"/>
  <c r="CE115" i="6"/>
  <c r="BE71" i="6"/>
  <c r="V109" i="6"/>
  <c r="G110" i="6"/>
  <c r="BA67" i="6"/>
  <c r="AZ30" i="6"/>
  <c r="BO15" i="6"/>
  <c r="C77" i="6"/>
  <c r="V68" i="6"/>
  <c r="AY67" i="6"/>
  <c r="CJ34" i="6"/>
  <c r="BS33" i="6"/>
  <c r="CL20" i="6"/>
  <c r="E98" i="6"/>
  <c r="AX21" i="6"/>
  <c r="AN48" i="6"/>
  <c r="AJ113" i="6"/>
  <c r="BT81" i="6"/>
  <c r="T105" i="6"/>
  <c r="BQ102" i="6"/>
  <c r="B8" i="6"/>
  <c r="Q62" i="6"/>
  <c r="AN36" i="6"/>
  <c r="T90" i="6"/>
  <c r="AX121" i="6"/>
  <c r="U62" i="6"/>
  <c r="B59" i="6"/>
  <c r="C55" i="6"/>
  <c r="P23" i="6"/>
  <c r="AJ95" i="6"/>
  <c r="AG58" i="6"/>
  <c r="CH45" i="6"/>
  <c r="BW55" i="6"/>
  <c r="AI59" i="6"/>
  <c r="AK40" i="6"/>
  <c r="AQ105" i="6"/>
  <c r="AY75" i="6"/>
  <c r="CD101" i="6"/>
  <c r="CE117" i="6"/>
  <c r="BQ98" i="6"/>
  <c r="X58" i="6"/>
  <c r="AV50" i="6"/>
  <c r="BZ78" i="6"/>
  <c r="AM77" i="6"/>
  <c r="K80" i="6"/>
  <c r="BT68" i="6"/>
  <c r="D51" i="6"/>
  <c r="G61" i="6"/>
  <c r="CA69" i="6"/>
  <c r="P70" i="6"/>
  <c r="X54" i="6"/>
  <c r="BN65" i="6"/>
  <c r="BH89" i="6"/>
  <c r="B121" i="6"/>
  <c r="AO70" i="6"/>
  <c r="Q67" i="6"/>
  <c r="R37" i="6"/>
  <c r="CN76" i="6"/>
  <c r="K73" i="6"/>
  <c r="J89" i="6"/>
  <c r="BO85" i="6"/>
  <c r="BQ80" i="6"/>
  <c r="AL92" i="6"/>
  <c r="BM40" i="6"/>
  <c r="CD80" i="6"/>
  <c r="CJ31" i="6"/>
  <c r="BN115" i="6"/>
  <c r="BZ59" i="6"/>
  <c r="I82" i="6"/>
  <c r="BG13" i="6"/>
  <c r="AA94" i="6"/>
  <c r="BK102" i="6"/>
  <c r="BK16" i="6"/>
  <c r="AB18" i="6"/>
  <c r="T11" i="6"/>
  <c r="AS27" i="6"/>
  <c r="S40" i="6"/>
  <c r="CJ75" i="6"/>
  <c r="BW12" i="6"/>
  <c r="T95" i="6"/>
  <c r="AI90" i="6"/>
  <c r="AR25" i="6"/>
  <c r="AQ40" i="6"/>
  <c r="H41" i="6"/>
  <c r="AC46" i="6"/>
  <c r="CJ121" i="6"/>
  <c r="AB53" i="6"/>
  <c r="BW48" i="6"/>
  <c r="CN29" i="6"/>
  <c r="CJ29" i="6"/>
  <c r="C13" i="6"/>
  <c r="BB103" i="6"/>
  <c r="B6" i="6"/>
  <c r="AS116" i="6"/>
  <c r="C78" i="6"/>
  <c r="AM116" i="6"/>
  <c r="CK12" i="6"/>
  <c r="BO100" i="6"/>
  <c r="AT103" i="6"/>
  <c r="AY34" i="6"/>
  <c r="BF42" i="6"/>
  <c r="O98" i="6"/>
  <c r="S24" i="6"/>
  <c r="BK89" i="6"/>
  <c r="B50" i="6"/>
  <c r="AT18" i="6"/>
  <c r="T14" i="6"/>
  <c r="BK52" i="6"/>
  <c r="AI29" i="6"/>
  <c r="X29" i="6"/>
  <c r="CI114" i="6"/>
  <c r="CM92" i="6"/>
  <c r="K74" i="6"/>
  <c r="AT66" i="6"/>
  <c r="P112" i="6"/>
  <c r="I23" i="6"/>
  <c r="V14" i="6"/>
  <c r="AI62" i="6"/>
  <c r="AK32" i="6"/>
  <c r="AJ102" i="6"/>
  <c r="AL22" i="6"/>
  <c r="AA25" i="6"/>
  <c r="J84" i="6"/>
  <c r="BG48" i="6"/>
  <c r="CH94" i="6"/>
  <c r="AQ23" i="6"/>
  <c r="CG121" i="6"/>
  <c r="Z103" i="6"/>
  <c r="CJ40" i="6"/>
  <c r="BV105" i="6"/>
  <c r="Q118" i="6"/>
  <c r="BJ69" i="6"/>
  <c r="BI48" i="6"/>
  <c r="BY98" i="6"/>
  <c r="BN63" i="6"/>
  <c r="CC32" i="6"/>
  <c r="AU67" i="6"/>
  <c r="AH94" i="6"/>
  <c r="N58" i="6"/>
  <c r="W67" i="6"/>
  <c r="AT29" i="6"/>
  <c r="C84" i="6"/>
  <c r="CE114" i="6"/>
  <c r="AR70" i="6"/>
  <c r="L104" i="6"/>
  <c r="BQ96" i="6"/>
  <c r="S61" i="6"/>
  <c r="AX35" i="6"/>
  <c r="BK68" i="6"/>
  <c r="BZ36" i="6"/>
  <c r="CE33" i="6"/>
  <c r="BR102" i="6"/>
  <c r="BX51" i="6"/>
  <c r="BB19" i="6"/>
  <c r="BB24" i="6"/>
  <c r="AK59" i="6"/>
  <c r="AY23" i="6"/>
  <c r="R11" i="6"/>
  <c r="AF119" i="6"/>
  <c r="AL74" i="6"/>
  <c r="CA22" i="6"/>
  <c r="BK22" i="6"/>
  <c r="AP10" i="6"/>
  <c r="W12" i="6"/>
  <c r="J114" i="6"/>
  <c r="CG15" i="6"/>
  <c r="BT110" i="6"/>
  <c r="CD14" i="6"/>
  <c r="AE76" i="6"/>
  <c r="G103" i="6"/>
  <c r="BM29" i="6"/>
  <c r="BF15" i="6"/>
  <c r="R72" i="6"/>
  <c r="S19" i="6"/>
  <c r="E13" i="6"/>
  <c r="AX66" i="6"/>
  <c r="CD55" i="6"/>
  <c r="BF102" i="6"/>
  <c r="BJ68" i="6"/>
  <c r="AZ8" i="6"/>
  <c r="F66" i="6"/>
  <c r="AW54" i="6"/>
  <c r="I46" i="6"/>
  <c r="R103" i="6"/>
  <c r="X69" i="6"/>
  <c r="AE31" i="6"/>
  <c r="CN30" i="6"/>
  <c r="BI27" i="6"/>
  <c r="BC67" i="6"/>
  <c r="L110" i="6"/>
  <c r="BB82" i="6"/>
  <c r="AZ57" i="6"/>
  <c r="AZ81" i="6"/>
  <c r="J117" i="6"/>
  <c r="E49" i="6"/>
  <c r="C101" i="6"/>
  <c r="BI118" i="6"/>
  <c r="AF22" i="6"/>
  <c r="O102" i="6"/>
  <c r="AY105" i="6"/>
  <c r="E16" i="6"/>
  <c r="O19" i="6"/>
  <c r="BY15" i="6"/>
  <c r="CD115" i="6"/>
  <c r="AS47" i="6"/>
  <c r="D74" i="6"/>
  <c r="P25" i="6"/>
  <c r="BH34" i="6"/>
  <c r="Q28" i="6"/>
  <c r="AC119" i="6"/>
  <c r="BQ33" i="6"/>
  <c r="E66" i="6"/>
  <c r="AJ19" i="6"/>
  <c r="AX7" i="6"/>
  <c r="L50" i="6"/>
  <c r="M14" i="6"/>
  <c r="S42" i="6"/>
  <c r="BT71" i="6"/>
  <c r="BR78" i="6"/>
  <c r="CK121" i="6"/>
  <c r="S104" i="6"/>
  <c r="CG16" i="6"/>
  <c r="H75" i="6"/>
  <c r="AI68" i="6"/>
  <c r="AO58" i="6"/>
  <c r="X17" i="6"/>
  <c r="CB105" i="6"/>
  <c r="U65" i="6"/>
  <c r="AT42" i="6"/>
  <c r="CD81" i="6"/>
  <c r="AQ74" i="6"/>
  <c r="O42" i="6"/>
  <c r="CD95" i="6"/>
  <c r="BV95" i="6"/>
  <c r="CM13" i="6"/>
  <c r="AH72" i="6"/>
  <c r="Q93" i="6"/>
  <c r="CI86" i="6"/>
  <c r="CJ36" i="6"/>
  <c r="BU97" i="6"/>
  <c r="I92" i="6"/>
  <c r="Y98" i="6"/>
  <c r="R71" i="6"/>
  <c r="BD115" i="6"/>
  <c r="CN7" i="6"/>
  <c r="BM83" i="6"/>
  <c r="BU23" i="6"/>
  <c r="CK81" i="6"/>
  <c r="BA66" i="6"/>
  <c r="AM65" i="6"/>
  <c r="CA90" i="6"/>
  <c r="F92" i="6"/>
  <c r="BX65" i="6"/>
  <c r="CC43" i="6"/>
  <c r="CL68" i="6"/>
  <c r="BU114" i="6"/>
  <c r="CE119" i="6"/>
  <c r="AK121" i="6"/>
  <c r="BQ115" i="6"/>
  <c r="CM28" i="6"/>
  <c r="CC17" i="6"/>
  <c r="CN93" i="6"/>
  <c r="CG89" i="6"/>
  <c r="BL33" i="6"/>
  <c r="BU116" i="6"/>
  <c r="AL6" i="6"/>
  <c r="BV24" i="6"/>
  <c r="AJ116" i="6"/>
  <c r="CL6" i="6"/>
  <c r="BK50" i="6"/>
  <c r="AH50" i="6"/>
  <c r="AI52" i="6"/>
  <c r="O27" i="6"/>
  <c r="W70" i="6"/>
  <c r="BD74" i="6"/>
  <c r="BD111" i="6"/>
  <c r="R113" i="6"/>
  <c r="BA100" i="6"/>
  <c r="AF77" i="6"/>
  <c r="BD68" i="6"/>
  <c r="AT60" i="6"/>
  <c r="CF11" i="6"/>
  <c r="CI117" i="6"/>
  <c r="K120" i="6"/>
  <c r="CN63" i="6"/>
  <c r="AJ82" i="6"/>
  <c r="CG62" i="6"/>
  <c r="AD17" i="6"/>
  <c r="BW13" i="6"/>
  <c r="BN7" i="6"/>
  <c r="BA107" i="6"/>
  <c r="AI46" i="6"/>
  <c r="BE15" i="6"/>
  <c r="CG68" i="6"/>
  <c r="BU20" i="6"/>
  <c r="CN8" i="6"/>
  <c r="AP67" i="6"/>
  <c r="BR87" i="6"/>
  <c r="U117" i="6"/>
  <c r="B47" i="6"/>
  <c r="W93" i="6"/>
  <c r="Q111" i="6"/>
  <c r="AM115" i="6"/>
  <c r="J69" i="6"/>
  <c r="BS32" i="6"/>
  <c r="CG85" i="6"/>
  <c r="Y96" i="6"/>
  <c r="R101" i="6"/>
  <c r="T43" i="6"/>
  <c r="AP35" i="6"/>
  <c r="AM121" i="6"/>
  <c r="BK40" i="6"/>
  <c r="AL76" i="6"/>
  <c r="BS21" i="6"/>
  <c r="BB111" i="6"/>
  <c r="E8" i="6"/>
  <c r="AW14" i="6"/>
  <c r="BJ120" i="6"/>
  <c r="V26" i="6"/>
  <c r="BB76" i="6"/>
  <c r="AJ6" i="6"/>
  <c r="AO49" i="6"/>
  <c r="AN95" i="6"/>
  <c r="BB66" i="6"/>
  <c r="BU37" i="6"/>
  <c r="J82" i="6"/>
  <c r="CI43" i="6"/>
  <c r="K62" i="6"/>
  <c r="BG81" i="6"/>
  <c r="CH98" i="6"/>
  <c r="T88" i="6"/>
  <c r="BD105" i="6"/>
  <c r="CF104" i="6"/>
  <c r="BL75" i="6"/>
  <c r="BO73" i="6"/>
  <c r="BH59" i="6"/>
  <c r="BX42" i="6"/>
  <c r="CH71" i="6"/>
  <c r="V94" i="6"/>
  <c r="AG110" i="6"/>
  <c r="N102" i="6"/>
  <c r="BR24" i="6"/>
  <c r="CA53" i="6"/>
  <c r="AY51" i="6"/>
  <c r="AO86" i="6"/>
  <c r="AU61" i="6"/>
  <c r="R45" i="6"/>
  <c r="AT8" i="6"/>
  <c r="G32" i="6"/>
  <c r="V118" i="6"/>
  <c r="CI78" i="6"/>
  <c r="BY70" i="6"/>
  <c r="CN23" i="6"/>
  <c r="J17" i="6"/>
  <c r="AK99" i="6"/>
  <c r="AR101" i="6"/>
  <c r="BQ24" i="6"/>
  <c r="AB44" i="6"/>
  <c r="AH102" i="6"/>
  <c r="Q60" i="6"/>
  <c r="AL69" i="6"/>
  <c r="U107" i="6"/>
  <c r="BU27" i="6"/>
  <c r="BH81" i="6"/>
  <c r="M84" i="6"/>
  <c r="BP81" i="6"/>
  <c r="CI121" i="6"/>
  <c r="BH73" i="6"/>
  <c r="AT35" i="6"/>
  <c r="H88" i="6"/>
  <c r="AW21" i="6"/>
  <c r="CD113" i="6"/>
  <c r="BM120" i="6"/>
  <c r="AZ112" i="6"/>
  <c r="Q102" i="6"/>
  <c r="CG117" i="6"/>
  <c r="BT92" i="6"/>
  <c r="BV38" i="6"/>
  <c r="BU46" i="6"/>
  <c r="BN19" i="6"/>
  <c r="I103" i="6"/>
  <c r="Q119" i="6"/>
  <c r="CC110" i="6"/>
  <c r="BZ61" i="6"/>
  <c r="BF78" i="6"/>
  <c r="BC62" i="6"/>
  <c r="V86" i="6"/>
  <c r="L69" i="6"/>
  <c r="BI85" i="6"/>
  <c r="CK96" i="6"/>
  <c r="AJ119" i="6"/>
  <c r="BS61" i="6"/>
  <c r="AE77" i="6"/>
  <c r="T52" i="6"/>
  <c r="H32" i="6"/>
  <c r="BT72" i="6"/>
  <c r="CG102" i="6"/>
  <c r="Q99" i="6"/>
  <c r="AV96" i="6"/>
  <c r="BY65" i="6"/>
  <c r="T8" i="6"/>
  <c r="AR98" i="6"/>
  <c r="CF90" i="6"/>
  <c r="O116" i="6"/>
  <c r="BC61" i="6"/>
  <c r="AI91" i="6"/>
  <c r="AB70" i="6"/>
  <c r="AC70" i="6"/>
  <c r="BY59" i="6"/>
  <c r="CB60" i="6"/>
  <c r="BS14" i="6"/>
  <c r="AK70" i="6"/>
  <c r="BU29" i="6"/>
  <c r="R82" i="6"/>
  <c r="BB61" i="6"/>
  <c r="R29" i="6"/>
  <c r="AE80" i="6"/>
  <c r="D52" i="6"/>
  <c r="AC72" i="6"/>
  <c r="BT87" i="6"/>
  <c r="U121" i="6"/>
  <c r="AY115" i="6"/>
  <c r="CN39" i="6"/>
  <c r="CF28" i="6"/>
  <c r="AP112" i="6"/>
  <c r="BB16" i="6"/>
  <c r="F103" i="6"/>
  <c r="CN90" i="6"/>
  <c r="CN73" i="6"/>
  <c r="V10" i="6"/>
  <c r="BN69" i="6"/>
  <c r="BL15" i="6"/>
  <c r="CN41" i="6"/>
  <c r="BN72" i="6"/>
  <c r="AB47" i="6"/>
  <c r="BE112" i="6"/>
  <c r="CN26" i="6"/>
  <c r="W50" i="6"/>
  <c r="T23" i="6"/>
  <c r="AJ65" i="6"/>
  <c r="AF81" i="6"/>
  <c r="BR107" i="6"/>
  <c r="AM34" i="6"/>
  <c r="BN100" i="6"/>
  <c r="Y7" i="6"/>
  <c r="AV79" i="6"/>
  <c r="Z69" i="6"/>
  <c r="AE22" i="6"/>
  <c r="AK15" i="6"/>
  <c r="CL53" i="6"/>
  <c r="AK112" i="6"/>
  <c r="BN74" i="6"/>
  <c r="U26" i="6"/>
  <c r="J93" i="6"/>
  <c r="AM9" i="6"/>
  <c r="O93" i="6"/>
  <c r="AI30" i="6"/>
  <c r="AC16" i="6"/>
  <c r="CM121" i="6"/>
  <c r="W68" i="6"/>
  <c r="CM7" i="6"/>
  <c r="CG43" i="6"/>
  <c r="BJ64" i="6"/>
  <c r="AQ92" i="6"/>
  <c r="CB111" i="6"/>
  <c r="AF58" i="6"/>
  <c r="S100" i="6"/>
  <c r="AL94" i="6"/>
  <c r="AR11" i="6"/>
  <c r="AV16" i="6"/>
  <c r="BC100" i="6"/>
  <c r="AI120" i="6"/>
  <c r="G56" i="6"/>
  <c r="CC38" i="6"/>
  <c r="R63" i="6"/>
  <c r="AX12" i="6"/>
  <c r="AR114" i="6"/>
  <c r="J96" i="6"/>
  <c r="CL100" i="6"/>
  <c r="C43" i="6"/>
  <c r="BL17" i="6"/>
  <c r="BI39" i="6"/>
  <c r="BW93" i="6"/>
  <c r="AU99" i="6"/>
  <c r="BW99" i="6"/>
  <c r="BW76" i="6"/>
  <c r="BS86" i="6"/>
  <c r="B118" i="6"/>
  <c r="AL29" i="6"/>
  <c r="AZ74" i="6"/>
  <c r="B60" i="6"/>
  <c r="G24" i="6"/>
  <c r="CJ85" i="6"/>
  <c r="BF115" i="6"/>
  <c r="CD117" i="6"/>
  <c r="AH21" i="6"/>
  <c r="CI94" i="6"/>
  <c r="BK29" i="6"/>
  <c r="CE85" i="6"/>
  <c r="BW26" i="6"/>
  <c r="BV29" i="6"/>
  <c r="AA117" i="6"/>
  <c r="AN46" i="6"/>
  <c r="AZ117" i="6"/>
  <c r="R27" i="6"/>
  <c r="X112" i="6"/>
  <c r="CA99" i="6"/>
  <c r="CA37" i="6"/>
  <c r="AM98" i="6"/>
  <c r="AL72" i="6"/>
  <c r="AJ46" i="6"/>
  <c r="P118" i="6"/>
  <c r="AV47" i="6"/>
  <c r="BI44" i="6"/>
  <c r="BV27" i="6"/>
  <c r="C67" i="6"/>
  <c r="BA81" i="6"/>
  <c r="BS114" i="6"/>
  <c r="AG65" i="6"/>
  <c r="CH74" i="6"/>
  <c r="K61" i="6"/>
  <c r="Z106" i="6"/>
  <c r="BM41" i="6"/>
  <c r="BO54" i="6"/>
  <c r="W117" i="6"/>
  <c r="CJ46" i="6"/>
  <c r="AV46" i="6"/>
  <c r="AI112" i="6"/>
  <c r="AR12" i="6"/>
  <c r="BY105" i="6"/>
  <c r="CH115" i="6"/>
  <c r="BY79" i="6"/>
  <c r="M38" i="6"/>
  <c r="AV52" i="6"/>
  <c r="AV58" i="6"/>
  <c r="BF67" i="6"/>
  <c r="BO77" i="6"/>
  <c r="E62" i="6"/>
  <c r="BH84" i="6"/>
  <c r="AI101" i="6"/>
  <c r="B40" i="6"/>
  <c r="CH118" i="6"/>
  <c r="BI71" i="6"/>
  <c r="BR112" i="6"/>
  <c r="Y31" i="6"/>
  <c r="E71" i="6"/>
  <c r="S9" i="6"/>
  <c r="BN70" i="6"/>
  <c r="Y63" i="6"/>
  <c r="BX13" i="6"/>
  <c r="BD46" i="6"/>
  <c r="AU83" i="6"/>
  <c r="U69" i="6"/>
  <c r="O57" i="6"/>
  <c r="CK106" i="6"/>
  <c r="AA108" i="6"/>
  <c r="AT98" i="6"/>
  <c r="BD19" i="6"/>
  <c r="BC102" i="6"/>
  <c r="AW84" i="6"/>
  <c r="BN99" i="6"/>
  <c r="AS88" i="6"/>
  <c r="J19" i="6"/>
  <c r="BP11" i="6"/>
  <c r="BM33" i="6"/>
  <c r="AD8" i="6"/>
  <c r="AQ57" i="6"/>
  <c r="CK31" i="6"/>
  <c r="CG106" i="6"/>
  <c r="CI9" i="6"/>
  <c r="AV41" i="6"/>
  <c r="AG109" i="6"/>
  <c r="BI19" i="6"/>
  <c r="X11" i="6"/>
  <c r="AQ96" i="6"/>
  <c r="CC12" i="6"/>
  <c r="AI113" i="6"/>
  <c r="AW20" i="6"/>
  <c r="Q26" i="6"/>
  <c r="AO27" i="6"/>
  <c r="C14" i="6"/>
  <c r="O23" i="6"/>
  <c r="M110" i="6"/>
  <c r="BP119" i="6"/>
  <c r="AM12" i="6"/>
  <c r="BL121" i="6"/>
  <c r="X67" i="6"/>
  <c r="D14" i="6"/>
  <c r="W103" i="6"/>
  <c r="AV40" i="6"/>
  <c r="CB12" i="6"/>
  <c r="CG64" i="6"/>
  <c r="BT21" i="6"/>
  <c r="BH83" i="6"/>
  <c r="AT26" i="6"/>
  <c r="AO33" i="6"/>
  <c r="AG102" i="6"/>
  <c r="AZ63" i="6"/>
  <c r="D68" i="6"/>
  <c r="AH121" i="6"/>
  <c r="CA76" i="6"/>
  <c r="AR47" i="6"/>
  <c r="S52" i="6"/>
  <c r="AX59" i="6"/>
  <c r="AK109" i="6"/>
  <c r="CL55" i="6"/>
  <c r="BD101" i="6"/>
  <c r="Q105" i="6"/>
  <c r="AO92" i="6"/>
  <c r="BW69" i="6"/>
  <c r="BQ18" i="6"/>
  <c r="AP59" i="6"/>
  <c r="AG80" i="6"/>
  <c r="CI28" i="6"/>
  <c r="BM94" i="6"/>
  <c r="BY52" i="6"/>
  <c r="BC114" i="6"/>
  <c r="BA46" i="6"/>
  <c r="AD108" i="6"/>
  <c r="T112" i="6"/>
  <c r="AA113" i="6"/>
  <c r="M54" i="6"/>
  <c r="BH18" i="6"/>
  <c r="AQ60" i="6"/>
  <c r="BB99" i="6"/>
  <c r="BM49" i="6"/>
  <c r="BU41" i="6"/>
  <c r="AO71" i="6"/>
  <c r="AO82" i="6"/>
  <c r="AZ85" i="6"/>
  <c r="T54" i="6"/>
  <c r="CD82" i="6"/>
  <c r="Z77" i="6"/>
  <c r="W46" i="6"/>
  <c r="Y58" i="6"/>
  <c r="BM112" i="6"/>
  <c r="T107" i="6"/>
  <c r="Y59" i="6"/>
  <c r="CL37" i="6"/>
  <c r="AG78" i="6"/>
  <c r="L11" i="6"/>
  <c r="N48" i="6"/>
  <c r="BV83" i="6"/>
  <c r="BJ62" i="6"/>
  <c r="X19" i="6"/>
  <c r="AI8" i="6"/>
  <c r="S6" i="6"/>
  <c r="AB90" i="6"/>
  <c r="BC93" i="6"/>
  <c r="BN48" i="6"/>
  <c r="BY48" i="6"/>
  <c r="BQ101" i="6"/>
  <c r="BP18" i="6"/>
  <c r="K34" i="6"/>
  <c r="CN38" i="6"/>
  <c r="C88" i="6"/>
  <c r="BB44" i="6"/>
  <c r="AH20" i="6"/>
  <c r="B112" i="6"/>
  <c r="AI118" i="6"/>
  <c r="S97" i="6"/>
  <c r="BK62" i="6"/>
  <c r="BC53" i="6"/>
  <c r="AZ95" i="6"/>
  <c r="BM23" i="6"/>
  <c r="AN96" i="6"/>
  <c r="AP28" i="6"/>
  <c r="CC77" i="6"/>
  <c r="AQ45" i="6"/>
  <c r="AL105" i="6"/>
  <c r="AE50" i="6"/>
  <c r="H23" i="6"/>
  <c r="AP88" i="6"/>
  <c r="Z81" i="6"/>
  <c r="AW37" i="6"/>
  <c r="F22" i="6"/>
  <c r="AO39" i="6"/>
  <c r="BC37" i="6"/>
  <c r="CL40" i="6"/>
  <c r="I95" i="6"/>
  <c r="C35" i="6"/>
  <c r="AF112" i="6"/>
  <c r="BP104" i="6"/>
  <c r="AZ41" i="6"/>
  <c r="S60" i="6"/>
  <c r="BQ45" i="6"/>
  <c r="AO23" i="6"/>
  <c r="F51" i="6"/>
  <c r="AE103" i="6"/>
  <c r="AX62" i="6"/>
  <c r="AB121" i="6"/>
  <c r="AN94" i="6"/>
  <c r="BB75" i="6"/>
  <c r="BF23" i="6"/>
  <c r="AB26" i="6"/>
  <c r="BP78" i="6"/>
  <c r="CD102" i="6"/>
  <c r="C117" i="6"/>
  <c r="BZ112" i="6"/>
  <c r="BA26" i="6"/>
  <c r="CH17" i="6"/>
  <c r="AI37" i="6"/>
  <c r="CA62" i="6"/>
  <c r="BU14" i="6"/>
  <c r="BZ64" i="6"/>
  <c r="O121" i="6"/>
  <c r="BL93" i="6"/>
  <c r="Q32" i="6"/>
  <c r="CH21" i="6"/>
  <c r="BC87" i="6"/>
  <c r="CN42" i="6"/>
  <c r="I34" i="6"/>
  <c r="AG91" i="6"/>
  <c r="BD118" i="6"/>
  <c r="AF66" i="6"/>
  <c r="CC20" i="6"/>
  <c r="V62" i="6"/>
  <c r="F73" i="6"/>
  <c r="CK104" i="6"/>
  <c r="AW61" i="6"/>
  <c r="BA80" i="6"/>
  <c r="BB104" i="6"/>
  <c r="J87" i="6"/>
  <c r="BJ56" i="6"/>
  <c r="CG105" i="6"/>
  <c r="AS28" i="6"/>
  <c r="U112" i="6"/>
  <c r="S89" i="6"/>
  <c r="X103" i="6"/>
  <c r="BF24" i="6"/>
  <c r="BS77" i="6"/>
  <c r="AI47" i="6"/>
  <c r="Y117" i="6"/>
  <c r="J8" i="6"/>
  <c r="Q20" i="6"/>
  <c r="AH43" i="6"/>
  <c r="BI72" i="6"/>
  <c r="CN37" i="6"/>
  <c r="AL12" i="6"/>
  <c r="AX40" i="6"/>
  <c r="CG120" i="6"/>
  <c r="AY41" i="6"/>
  <c r="BC39" i="6"/>
  <c r="AY19" i="6"/>
  <c r="AK110" i="6"/>
  <c r="B89" i="6"/>
  <c r="U98" i="6"/>
  <c r="AQ51" i="6"/>
  <c r="AS62" i="6"/>
  <c r="BF63" i="6"/>
  <c r="BP84" i="6"/>
  <c r="I77" i="6"/>
  <c r="CE17" i="6"/>
  <c r="CH23" i="6"/>
  <c r="CC72" i="6"/>
  <c r="C104" i="6"/>
  <c r="BE21" i="6"/>
  <c r="BC31" i="6"/>
  <c r="BX72" i="6"/>
  <c r="BV69" i="6"/>
  <c r="BA49" i="6"/>
  <c r="F105" i="6"/>
  <c r="BG15" i="6"/>
  <c r="CH101" i="6"/>
  <c r="BF66" i="6"/>
  <c r="S56" i="6"/>
  <c r="CI112" i="6"/>
  <c r="BI89" i="6"/>
  <c r="CL105" i="6"/>
  <c r="U6" i="6"/>
  <c r="B83" i="6"/>
  <c r="CF25" i="6"/>
  <c r="BK14" i="6"/>
  <c r="AJ90" i="6"/>
  <c r="BL109" i="6"/>
  <c r="BU17" i="6"/>
  <c r="BR38" i="6"/>
  <c r="AQ104" i="6"/>
  <c r="BB42" i="6"/>
  <c r="L108" i="6"/>
  <c r="CG6" i="6"/>
  <c r="BT55" i="6"/>
  <c r="CN59" i="6"/>
  <c r="BL30" i="6"/>
  <c r="Y42" i="6"/>
  <c r="AE19" i="6"/>
  <c r="L114" i="6"/>
  <c r="X34" i="6"/>
  <c r="BT37" i="6"/>
  <c r="CH90" i="6"/>
  <c r="BY42" i="6"/>
  <c r="BQ89" i="6"/>
  <c r="J42" i="6"/>
  <c r="AN52" i="6"/>
  <c r="CM80" i="6"/>
  <c r="CA120" i="6"/>
  <c r="CB79" i="6"/>
  <c r="CB9" i="6"/>
  <c r="BQ105" i="6"/>
  <c r="BT43" i="6"/>
  <c r="AC108" i="6"/>
  <c r="BT75" i="6"/>
  <c r="CI67" i="6"/>
  <c r="AD63" i="6"/>
  <c r="CA29" i="6"/>
  <c r="AW79" i="6"/>
  <c r="BU109" i="6"/>
  <c r="Y10" i="6"/>
  <c r="BE97" i="6"/>
  <c r="N66" i="6"/>
  <c r="AY83" i="6"/>
  <c r="CJ63" i="6"/>
  <c r="BU8" i="6"/>
  <c r="AF69" i="6"/>
  <c r="N52" i="6"/>
  <c r="X21" i="6"/>
  <c r="BY94" i="6"/>
  <c r="AA30" i="6"/>
  <c r="Q63" i="6"/>
  <c r="F116" i="6"/>
  <c r="CB62" i="6"/>
  <c r="BY9" i="6"/>
  <c r="Z99" i="6"/>
  <c r="AP98" i="6"/>
  <c r="BW21" i="6"/>
  <c r="AG32" i="6"/>
  <c r="AU34" i="6"/>
  <c r="BQ87" i="6"/>
  <c r="AZ47" i="6"/>
  <c r="BJ51" i="6"/>
  <c r="AG118" i="6"/>
  <c r="BJ71" i="6"/>
  <c r="Z75" i="6"/>
  <c r="U34" i="6"/>
  <c r="Y79" i="6"/>
  <c r="BH64" i="6"/>
  <c r="Y50" i="6"/>
  <c r="S49" i="6"/>
  <c r="CE32" i="6"/>
  <c r="BB102" i="6"/>
  <c r="H7" i="6"/>
  <c r="AX27" i="6"/>
  <c r="BO65" i="6"/>
  <c r="CB98" i="6"/>
  <c r="BP100" i="6"/>
  <c r="P107" i="6"/>
  <c r="CM18" i="6"/>
  <c r="AV20" i="6"/>
  <c r="BY49" i="6"/>
  <c r="U81" i="6"/>
  <c r="BJ8" i="6"/>
  <c r="BL115" i="6"/>
  <c r="BR74" i="6"/>
  <c r="BX11" i="6"/>
  <c r="AT97" i="6"/>
  <c r="BJ97" i="6"/>
  <c r="K18" i="6"/>
  <c r="AN29" i="6"/>
  <c r="BF65" i="6"/>
  <c r="AU15" i="6"/>
  <c r="BY33" i="6"/>
  <c r="F87" i="6"/>
  <c r="X77" i="6"/>
  <c r="BR83" i="6"/>
  <c r="W7" i="6"/>
  <c r="BH106" i="6"/>
  <c r="AB8" i="6"/>
  <c r="AO25" i="6"/>
  <c r="CF44" i="6"/>
  <c r="W53" i="6"/>
  <c r="AD50" i="6"/>
  <c r="AU109" i="6"/>
  <c r="BS27" i="6"/>
  <c r="V7" i="6"/>
  <c r="AC62" i="6"/>
  <c r="AW39" i="6"/>
  <c r="N25" i="6"/>
  <c r="O6" i="6"/>
  <c r="CC105" i="6"/>
  <c r="F81" i="6"/>
  <c r="AX108" i="6"/>
  <c r="AN78" i="6"/>
  <c r="F55" i="6"/>
  <c r="AF54" i="6"/>
  <c r="BC69" i="6"/>
  <c r="CG28" i="6"/>
  <c r="Q89" i="6"/>
  <c r="AA48" i="6"/>
  <c r="N54" i="6"/>
  <c r="AZ64" i="6"/>
  <c r="AT32" i="6"/>
  <c r="AZ9" i="6"/>
  <c r="B62" i="6"/>
  <c r="AA21" i="6"/>
  <c r="BO119" i="6"/>
  <c r="J74" i="6"/>
  <c r="BS97" i="6"/>
  <c r="AX70" i="6"/>
  <c r="AE23" i="6"/>
  <c r="X117" i="6"/>
  <c r="BC30" i="6"/>
  <c r="BB15" i="6"/>
  <c r="CI53" i="6"/>
  <c r="W20" i="6"/>
  <c r="AB81" i="6"/>
  <c r="CM79" i="6"/>
  <c r="AT15" i="6"/>
  <c r="CK89" i="6"/>
  <c r="AG114" i="6"/>
  <c r="AB112" i="6"/>
  <c r="AA103" i="6"/>
  <c r="BX57" i="6"/>
  <c r="CL78" i="6"/>
  <c r="AF67" i="6"/>
  <c r="BD112" i="6"/>
  <c r="R107" i="6"/>
  <c r="AY9" i="6"/>
  <c r="BR85" i="6"/>
  <c r="AF114" i="6"/>
  <c r="P22" i="6"/>
  <c r="BK53" i="6"/>
  <c r="CL10" i="6"/>
  <c r="CH49" i="6"/>
  <c r="BH78" i="6"/>
  <c r="BE13" i="6"/>
  <c r="CJ109" i="6"/>
  <c r="AC34" i="6"/>
  <c r="CC64" i="6"/>
  <c r="CE27" i="6"/>
  <c r="BS7" i="6"/>
  <c r="CN47" i="6"/>
  <c r="AT41" i="6"/>
  <c r="BK31" i="6"/>
  <c r="C74" i="6"/>
  <c r="Q121" i="6"/>
  <c r="C22" i="6"/>
  <c r="F96" i="6"/>
  <c r="K43" i="6"/>
  <c r="BA78" i="6"/>
  <c r="AR91" i="6"/>
  <c r="BM113" i="6"/>
  <c r="BO34" i="6"/>
  <c r="AQ46" i="6"/>
  <c r="AP73" i="6"/>
  <c r="BK110" i="6"/>
  <c r="AZ11" i="6"/>
  <c r="AH39" i="6"/>
  <c r="CL54" i="6"/>
  <c r="AE97" i="6"/>
  <c r="BC40" i="6"/>
  <c r="BK106" i="6"/>
  <c r="BK6" i="6"/>
  <c r="J120" i="6"/>
  <c r="CE6" i="6"/>
  <c r="BC28" i="6"/>
  <c r="AJ29" i="6"/>
  <c r="F121" i="6"/>
  <c r="BX69" i="6"/>
  <c r="BK111" i="6"/>
  <c r="B75" i="6"/>
  <c r="AI6" i="6"/>
  <c r="AJ27" i="6"/>
  <c r="AL7" i="6"/>
  <c r="CH28" i="6"/>
  <c r="T111" i="6"/>
  <c r="AY57" i="6"/>
  <c r="CI97" i="6"/>
  <c r="AD7" i="6"/>
  <c r="BJ9" i="6"/>
  <c r="AL98" i="6"/>
  <c r="BZ102" i="6"/>
  <c r="CF39" i="6"/>
  <c r="AG55" i="6"/>
  <c r="AQ66" i="6"/>
  <c r="I38" i="6"/>
  <c r="P45" i="6"/>
  <c r="BD50" i="6"/>
  <c r="BK121" i="6"/>
  <c r="CH97" i="6"/>
  <c r="BY50" i="6"/>
  <c r="R105" i="6"/>
  <c r="BL101" i="6"/>
  <c r="BF68" i="6"/>
  <c r="W47" i="6"/>
  <c r="T28" i="6"/>
  <c r="BZ68" i="6"/>
  <c r="BI13" i="6"/>
  <c r="AU41" i="6"/>
  <c r="E45" i="6"/>
  <c r="CA46" i="6"/>
  <c r="AH73" i="6"/>
  <c r="BP77" i="6"/>
  <c r="CJ68" i="6"/>
  <c r="AJ106" i="6"/>
  <c r="Z112" i="6"/>
  <c r="AH51" i="6"/>
  <c r="K105" i="6"/>
  <c r="BJ30" i="6"/>
  <c r="BN117" i="6"/>
  <c r="BA65" i="6"/>
  <c r="AV51" i="6"/>
  <c r="AL95" i="6"/>
  <c r="AD111" i="6"/>
  <c r="T33" i="6"/>
  <c r="K94" i="6"/>
  <c r="BE110" i="6"/>
  <c r="CC75" i="6"/>
  <c r="U73" i="6"/>
  <c r="BD14" i="6"/>
  <c r="AK106" i="6"/>
  <c r="U76" i="6"/>
  <c r="CL49" i="6"/>
  <c r="AP94" i="6"/>
  <c r="V95" i="6"/>
  <c r="AE53" i="6"/>
  <c r="BG62" i="6"/>
  <c r="H89" i="6"/>
  <c r="N106" i="6"/>
  <c r="BA120" i="6"/>
  <c r="CA18" i="6"/>
  <c r="BI77" i="6"/>
  <c r="BT115" i="6"/>
  <c r="AY26" i="6"/>
  <c r="BN31" i="6"/>
  <c r="X84" i="6"/>
  <c r="S51" i="6"/>
  <c r="CA108" i="6"/>
  <c r="F50" i="6"/>
  <c r="BB100" i="6"/>
  <c r="BX59" i="6"/>
  <c r="F56" i="6"/>
  <c r="AU18" i="6"/>
  <c r="AS53" i="6"/>
  <c r="R42" i="6"/>
  <c r="AY77" i="6"/>
  <c r="BO58" i="6"/>
  <c r="U61" i="6"/>
  <c r="B115" i="6"/>
  <c r="CJ6" i="6"/>
  <c r="F57" i="6"/>
  <c r="BO8" i="6"/>
  <c r="BF36" i="6"/>
  <c r="P101" i="6"/>
  <c r="CI48" i="6"/>
  <c r="AD80" i="6"/>
  <c r="AY33" i="6"/>
  <c r="Z89" i="6"/>
  <c r="AX18" i="6"/>
  <c r="B63" i="6"/>
  <c r="AW25" i="6"/>
  <c r="AO56" i="6"/>
  <c r="CL81" i="6"/>
  <c r="CN22" i="6"/>
  <c r="AO63" i="6"/>
  <c r="T15" i="6"/>
  <c r="AM71" i="6"/>
  <c r="BK57" i="6"/>
  <c r="BN85" i="6"/>
  <c r="BY17" i="6"/>
  <c r="BP87" i="6"/>
  <c r="BL81" i="6"/>
  <c r="AH35" i="6"/>
  <c r="AM8" i="6"/>
  <c r="BS112" i="6"/>
  <c r="AJ44" i="6"/>
  <c r="T100" i="6"/>
  <c r="CM69" i="6"/>
  <c r="N32" i="6"/>
  <c r="BJ66" i="6"/>
  <c r="BA10" i="6"/>
  <c r="CE69" i="6"/>
  <c r="O56" i="6"/>
  <c r="AW19" i="6"/>
  <c r="BK70" i="6"/>
  <c r="W116" i="6"/>
  <c r="BT51" i="6"/>
  <c r="BT14" i="6"/>
  <c r="T121" i="6"/>
  <c r="AK120" i="6"/>
  <c r="M87" i="6"/>
  <c r="AU100" i="6"/>
  <c r="BT111" i="6"/>
  <c r="AH62" i="6"/>
  <c r="BT84" i="6"/>
  <c r="CK25" i="6"/>
  <c r="CK39" i="6"/>
  <c r="CA21" i="6"/>
  <c r="U66" i="6"/>
  <c r="BG49" i="6"/>
  <c r="BR31" i="6"/>
  <c r="AL80" i="6"/>
  <c r="AV118" i="6"/>
  <c r="BC109" i="6"/>
  <c r="P72" i="6"/>
  <c r="BV14" i="6"/>
  <c r="CN28" i="6"/>
  <c r="BD47" i="6"/>
  <c r="BW8" i="6"/>
  <c r="BM118" i="6"/>
  <c r="BL23" i="6"/>
  <c r="N94" i="6"/>
  <c r="BJ45" i="6"/>
  <c r="B107" i="6"/>
  <c r="BO38" i="6"/>
  <c r="BG119" i="6"/>
  <c r="M100" i="6"/>
  <c r="AR84" i="6"/>
  <c r="N36" i="6"/>
  <c r="N19" i="6"/>
  <c r="O118" i="6"/>
  <c r="N75" i="6"/>
  <c r="AL32" i="6"/>
  <c r="BG117" i="6"/>
  <c r="BO94" i="6"/>
  <c r="CG47" i="6"/>
  <c r="U14" i="6"/>
  <c r="AL119" i="6"/>
  <c r="B35" i="6"/>
  <c r="CC13" i="6"/>
  <c r="AW65" i="6"/>
  <c r="AN50" i="6"/>
  <c r="BW83" i="6"/>
  <c r="O13" i="6"/>
  <c r="BC54" i="6"/>
  <c r="Q73" i="6"/>
  <c r="AB20" i="6"/>
  <c r="AD54" i="6"/>
  <c r="AM16" i="6"/>
  <c r="AW75" i="6"/>
  <c r="AK45" i="6"/>
  <c r="CH84" i="6"/>
  <c r="Y100" i="6"/>
  <c r="T21" i="6"/>
  <c r="AM117" i="6"/>
  <c r="Q22" i="6"/>
  <c r="F111" i="6"/>
  <c r="AR18" i="6"/>
  <c r="BF44" i="6"/>
  <c r="BD44" i="6"/>
  <c r="AM41" i="6"/>
  <c r="CN95" i="6"/>
  <c r="E41" i="6"/>
  <c r="AG75" i="6"/>
  <c r="BY56" i="6"/>
  <c r="AY32" i="6"/>
  <c r="AK89" i="6"/>
  <c r="AN31" i="6"/>
  <c r="AD89" i="6"/>
  <c r="AO21" i="6"/>
  <c r="AK20" i="6"/>
  <c r="AZ36" i="6"/>
  <c r="BH58" i="6"/>
  <c r="L95" i="6"/>
  <c r="N26" i="6"/>
  <c r="CH82" i="6"/>
  <c r="BQ19" i="6"/>
  <c r="CH102" i="6"/>
  <c r="AO68" i="6"/>
  <c r="T35" i="6"/>
  <c r="BQ31" i="6"/>
  <c r="AL30" i="6"/>
  <c r="R62" i="6"/>
  <c r="X16" i="6"/>
  <c r="CI100" i="6"/>
  <c r="BN33" i="6"/>
  <c r="L97" i="6"/>
  <c r="AH118" i="6"/>
  <c r="CF60" i="6"/>
  <c r="G86" i="6"/>
  <c r="AL118" i="6"/>
  <c r="X60" i="6"/>
  <c r="BN54" i="6"/>
  <c r="BD78" i="6"/>
  <c r="BM71" i="6"/>
  <c r="AK25" i="6"/>
  <c r="BW107" i="6"/>
  <c r="AD19" i="6"/>
  <c r="BF10" i="6"/>
  <c r="Y45" i="6"/>
  <c r="AY118" i="6"/>
  <c r="CC84" i="6"/>
  <c r="AR62" i="6"/>
  <c r="AR53" i="6"/>
  <c r="J36" i="6"/>
  <c r="F102" i="6"/>
  <c r="R116" i="6"/>
  <c r="AV115" i="6"/>
  <c r="V27" i="6"/>
  <c r="K111" i="6"/>
  <c r="I26" i="6"/>
  <c r="AX85" i="6"/>
  <c r="BS118" i="6"/>
  <c r="BX39" i="6"/>
  <c r="L92" i="6"/>
  <c r="BN93" i="6"/>
  <c r="BO39" i="6"/>
  <c r="T7" i="6"/>
  <c r="AS20" i="6"/>
  <c r="E9" i="6"/>
  <c r="Z63" i="6"/>
  <c r="AE62" i="6"/>
  <c r="BZ95" i="6"/>
  <c r="AF71" i="6"/>
  <c r="Z52" i="6"/>
  <c r="CJ86" i="6"/>
  <c r="BI49" i="6"/>
  <c r="N18" i="6"/>
  <c r="BB96" i="6"/>
  <c r="I115" i="6"/>
  <c r="AA50" i="6"/>
  <c r="M90" i="6"/>
  <c r="AO19" i="6"/>
  <c r="AR99" i="6"/>
  <c r="I22" i="6"/>
  <c r="AK65" i="6"/>
  <c r="AV93" i="6"/>
  <c r="CJ64" i="6"/>
  <c r="CJ65" i="6"/>
  <c r="BQ95" i="6"/>
  <c r="AG113" i="6"/>
  <c r="E25" i="6"/>
  <c r="BV89" i="6"/>
  <c r="AM31" i="6"/>
  <c r="AT59" i="6"/>
  <c r="BI46" i="6"/>
  <c r="AL19" i="6"/>
  <c r="T114" i="6"/>
  <c r="BE65" i="6"/>
  <c r="BH94" i="6"/>
  <c r="S96" i="6"/>
  <c r="B34" i="6"/>
  <c r="B26" i="6"/>
  <c r="F11" i="6"/>
  <c r="CC86" i="6"/>
  <c r="CJ48" i="6"/>
  <c r="AV76" i="6"/>
  <c r="BO103" i="6"/>
  <c r="AX84" i="6"/>
  <c r="BS11" i="6"/>
  <c r="CD119" i="6"/>
  <c r="AI81" i="6"/>
  <c r="CI65" i="6"/>
  <c r="H16" i="6"/>
  <c r="BX86" i="6"/>
  <c r="CA47" i="6"/>
  <c r="CB24" i="6"/>
  <c r="BD35" i="6"/>
  <c r="H93" i="6"/>
  <c r="Q66" i="6"/>
  <c r="Q101" i="6"/>
  <c r="AY70" i="6"/>
  <c r="AM19" i="6"/>
  <c r="AR49" i="6"/>
  <c r="AZ102" i="6"/>
  <c r="BE120" i="6"/>
  <c r="AK95" i="6"/>
  <c r="BX60" i="6"/>
  <c r="L6" i="6"/>
  <c r="AN59" i="6"/>
  <c r="AT51" i="6"/>
  <c r="AX9" i="6"/>
  <c r="O91" i="6"/>
  <c r="U31" i="6"/>
  <c r="P65" i="6"/>
  <c r="BW105" i="6"/>
  <c r="AI121" i="6"/>
  <c r="AG15" i="6"/>
  <c r="AG95" i="6"/>
  <c r="AF85" i="6"/>
  <c r="AV86" i="6"/>
  <c r="AN30" i="6"/>
  <c r="AO52" i="6"/>
  <c r="CA106" i="6"/>
  <c r="BU120" i="6"/>
  <c r="O32" i="6"/>
  <c r="BL83" i="6"/>
  <c r="BI52" i="6"/>
  <c r="BO79" i="6"/>
  <c r="BC105" i="6"/>
  <c r="CC66" i="6"/>
  <c r="U10" i="6"/>
  <c r="AR116" i="6"/>
  <c r="BJ77" i="6"/>
  <c r="C66" i="6"/>
  <c r="CH121" i="6"/>
  <c r="AV107" i="6"/>
  <c r="AL88" i="6"/>
  <c r="BE23" i="6"/>
  <c r="S108" i="6"/>
  <c r="CE110" i="6"/>
  <c r="BT114" i="6"/>
  <c r="AF40" i="6"/>
  <c r="CF69" i="6"/>
  <c r="AJ7" i="6"/>
  <c r="BN107" i="6"/>
  <c r="BS91" i="6"/>
  <c r="AW92" i="6"/>
  <c r="CN97" i="6"/>
  <c r="BG71" i="6"/>
  <c r="T48" i="6"/>
  <c r="BC112" i="6"/>
  <c r="U79" i="6"/>
  <c r="CK15" i="6"/>
  <c r="AH13" i="6"/>
  <c r="G116" i="6"/>
  <c r="R73" i="6"/>
  <c r="CI42" i="6"/>
  <c r="BG94" i="6"/>
  <c r="I68" i="6"/>
  <c r="BN77" i="6"/>
  <c r="T77" i="6"/>
  <c r="BQ17" i="6"/>
  <c r="CG84" i="6"/>
  <c r="S114" i="6"/>
  <c r="AK72" i="6"/>
  <c r="BP101" i="6"/>
  <c r="BK114" i="6"/>
  <c r="O44" i="6"/>
  <c r="BA23" i="6"/>
  <c r="BB93" i="6"/>
  <c r="AM22" i="6"/>
  <c r="E72" i="6"/>
  <c r="BF14" i="6"/>
  <c r="BY119" i="6"/>
  <c r="BN71" i="6"/>
  <c r="BS90" i="6"/>
  <c r="AW117" i="6"/>
  <c r="AD118" i="6"/>
  <c r="Y103" i="6"/>
  <c r="AJ15" i="6"/>
  <c r="AR102" i="6"/>
  <c r="AY18" i="6"/>
  <c r="AX68" i="6"/>
  <c r="M8" i="6"/>
  <c r="BJ54" i="6"/>
  <c r="BB113" i="6"/>
  <c r="BH76" i="6"/>
  <c r="U118" i="6"/>
  <c r="BL104" i="6"/>
  <c r="H109" i="6"/>
  <c r="P35" i="6"/>
  <c r="BI101" i="6"/>
  <c r="CK41" i="6"/>
  <c r="I10" i="6"/>
  <c r="AP63" i="6"/>
  <c r="BS16" i="6"/>
  <c r="X109" i="6"/>
  <c r="BU111" i="6"/>
  <c r="Y56" i="6"/>
  <c r="CF57" i="6"/>
  <c r="S115" i="6"/>
  <c r="AI100" i="6"/>
  <c r="AM55" i="6"/>
  <c r="AW22" i="6"/>
  <c r="BH82" i="6"/>
  <c r="D97" i="6"/>
  <c r="BM27" i="6"/>
  <c r="BK39" i="6"/>
  <c r="AC14" i="6"/>
  <c r="AL39" i="6"/>
  <c r="E93" i="6"/>
  <c r="W83" i="6"/>
  <c r="CE34" i="6"/>
  <c r="CH39" i="6"/>
  <c r="CA107" i="6"/>
  <c r="Y40" i="6"/>
  <c r="BT52" i="6"/>
  <c r="AJ111" i="6"/>
  <c r="BV107" i="6"/>
  <c r="BJ93" i="6"/>
  <c r="AB56" i="6"/>
  <c r="CJ35" i="6"/>
  <c r="AE48" i="6"/>
  <c r="CN18" i="6"/>
  <c r="I47" i="6"/>
  <c r="W55" i="6"/>
  <c r="AN19" i="6"/>
  <c r="CE77" i="6"/>
  <c r="AE70" i="6"/>
  <c r="AW83" i="6"/>
  <c r="AX20" i="6"/>
  <c r="AD95" i="6"/>
  <c r="BW88" i="6"/>
  <c r="BY28" i="6"/>
  <c r="AC97" i="6"/>
  <c r="CB48" i="6"/>
  <c r="T62" i="6"/>
  <c r="BT65" i="6"/>
  <c r="AL100" i="6"/>
  <c r="X49" i="6"/>
  <c r="AX80" i="6"/>
  <c r="BE90" i="6"/>
  <c r="AB59" i="6"/>
  <c r="BW31" i="6"/>
  <c r="CM9" i="6"/>
  <c r="Q87" i="6"/>
  <c r="BQ110" i="6"/>
  <c r="P106" i="6"/>
  <c r="BW109" i="6"/>
  <c r="CA77" i="6"/>
  <c r="CJ120" i="6"/>
  <c r="BV58" i="6"/>
  <c r="CM111" i="6"/>
  <c r="C57" i="6"/>
  <c r="AL23" i="6"/>
  <c r="BG51" i="6"/>
  <c r="BW19" i="6"/>
  <c r="BL40" i="6"/>
  <c r="BJ6" i="6"/>
  <c r="BJ111" i="6"/>
  <c r="U85" i="6"/>
  <c r="AN60" i="6"/>
  <c r="AH45" i="6"/>
  <c r="R23" i="6"/>
  <c r="H12" i="6"/>
  <c r="CI55" i="6"/>
  <c r="AW42" i="6"/>
  <c r="N59" i="6"/>
  <c r="AF50" i="6"/>
  <c r="AK55" i="6"/>
  <c r="CA117" i="6"/>
  <c r="K57" i="6"/>
  <c r="BU30" i="6"/>
  <c r="AQ91" i="6"/>
  <c r="K41" i="6"/>
  <c r="BO53" i="6"/>
  <c r="BI86" i="6"/>
  <c r="F42" i="6"/>
  <c r="E117" i="6"/>
  <c r="AM92" i="6"/>
  <c r="W111" i="6"/>
  <c r="AX36" i="6"/>
  <c r="BH87" i="6"/>
  <c r="BU80" i="6"/>
  <c r="AT75" i="6"/>
  <c r="AS70" i="6"/>
  <c r="CN114" i="6"/>
  <c r="BT80" i="6"/>
  <c r="CA41" i="6"/>
  <c r="BT31" i="6"/>
  <c r="AG107" i="6"/>
  <c r="BA114" i="6"/>
  <c r="CA44" i="6"/>
  <c r="BO52" i="6"/>
  <c r="AB87" i="6"/>
  <c r="CK61" i="6"/>
  <c r="L24" i="6"/>
  <c r="CH103" i="6"/>
  <c r="BB57" i="6"/>
  <c r="BO24" i="6"/>
  <c r="CI71" i="6"/>
  <c r="R110" i="6"/>
  <c r="AJ51" i="6"/>
  <c r="BD113" i="6"/>
  <c r="AK31" i="6"/>
  <c r="H64" i="6"/>
  <c r="V83" i="6"/>
  <c r="D36" i="6"/>
  <c r="H36" i="6"/>
  <c r="AH49" i="6"/>
  <c r="BF58" i="6"/>
  <c r="AZ14" i="6"/>
  <c r="H24" i="6"/>
  <c r="CM100" i="6"/>
  <c r="BQ119" i="6"/>
  <c r="AA98" i="6"/>
  <c r="AG46" i="6"/>
  <c r="I52" i="6"/>
  <c r="BS101" i="6"/>
  <c r="BV40" i="6"/>
  <c r="X33" i="6"/>
  <c r="CM34" i="6"/>
  <c r="CH29" i="6"/>
  <c r="C61" i="6"/>
  <c r="AI49" i="6"/>
  <c r="AR48" i="6"/>
  <c r="AQ7" i="6"/>
  <c r="V77" i="6"/>
  <c r="BT17" i="6"/>
  <c r="BB51" i="6"/>
  <c r="AX50" i="6"/>
  <c r="AC44" i="6"/>
  <c r="BH61" i="6"/>
  <c r="G97" i="6"/>
  <c r="BR116" i="6"/>
  <c r="AA63" i="6"/>
  <c r="J121" i="6"/>
  <c r="AC74" i="6"/>
  <c r="BG86" i="6"/>
  <c r="AL70" i="6"/>
  <c r="CD85" i="6"/>
  <c r="J88" i="6"/>
  <c r="BM42" i="6"/>
  <c r="AB60" i="6"/>
  <c r="AE81" i="6"/>
  <c r="F8" i="6"/>
  <c r="BB121" i="6"/>
  <c r="M98" i="6"/>
  <c r="BY30" i="6"/>
  <c r="V51" i="6"/>
  <c r="CK52" i="6"/>
  <c r="T102" i="6"/>
  <c r="X55" i="6"/>
  <c r="AJ78" i="6"/>
  <c r="BO51" i="6"/>
  <c r="BC27" i="6"/>
  <c r="CI81" i="6"/>
  <c r="BO11" i="6"/>
  <c r="AL46" i="6"/>
  <c r="Y57" i="6"/>
  <c r="BJ95" i="6"/>
  <c r="BV12" i="6"/>
  <c r="BX18" i="6"/>
  <c r="CI83" i="6"/>
  <c r="U29" i="6"/>
  <c r="AO37" i="6"/>
  <c r="AY7" i="6"/>
  <c r="AS73" i="6"/>
  <c r="BP99" i="6"/>
  <c r="AK10" i="6"/>
  <c r="BO10" i="6"/>
  <c r="CH14" i="6"/>
  <c r="AA23" i="6"/>
  <c r="BG73" i="6"/>
  <c r="CM53" i="6"/>
  <c r="BS73" i="6"/>
  <c r="AT68" i="6"/>
  <c r="J34" i="6"/>
  <c r="Q69" i="6"/>
  <c r="BK82" i="6"/>
  <c r="X99" i="6"/>
  <c r="AD47" i="6"/>
  <c r="BH72" i="6"/>
  <c r="AT110" i="6"/>
  <c r="AZ48" i="6"/>
  <c r="E120" i="6"/>
  <c r="H63" i="6"/>
  <c r="BB20" i="6"/>
  <c r="W76" i="6"/>
  <c r="N71" i="6"/>
  <c r="BR43" i="6"/>
  <c r="CD51" i="6"/>
  <c r="BE14" i="6"/>
  <c r="CM32" i="6"/>
  <c r="CB78" i="6"/>
  <c r="CE111" i="6"/>
  <c r="AP17" i="6"/>
  <c r="AP52" i="6"/>
  <c r="AQ64" i="6"/>
  <c r="BZ76" i="6"/>
  <c r="AN22" i="6"/>
  <c r="R80" i="6"/>
  <c r="CA67" i="6"/>
  <c r="M107" i="6"/>
  <c r="AL87" i="6"/>
  <c r="CM50" i="6"/>
  <c r="T37" i="6"/>
  <c r="D7" i="6"/>
  <c r="AF89" i="6"/>
  <c r="BZ109" i="6"/>
  <c r="AW93" i="6"/>
  <c r="BY80" i="6"/>
  <c r="AI61" i="6"/>
  <c r="Z33" i="6"/>
  <c r="AD70" i="6"/>
  <c r="AP7" i="6"/>
  <c r="BF89" i="6"/>
  <c r="BL25" i="6"/>
  <c r="BG19" i="6"/>
  <c r="CK42" i="6"/>
  <c r="BA105" i="6"/>
  <c r="AB75" i="6"/>
  <c r="CL104" i="6"/>
  <c r="CC41" i="6"/>
  <c r="AB106" i="6"/>
  <c r="AR50" i="6"/>
  <c r="BH52" i="6"/>
  <c r="CF75" i="6"/>
  <c r="BP57" i="6"/>
  <c r="AD62" i="6"/>
  <c r="K50" i="6"/>
  <c r="AZ93" i="6"/>
  <c r="X108" i="6"/>
  <c r="AC118" i="6"/>
  <c r="R86" i="6"/>
  <c r="AH69" i="6"/>
  <c r="X61" i="6"/>
  <c r="J62" i="6"/>
  <c r="C94" i="6"/>
  <c r="BQ65" i="6"/>
  <c r="AL21" i="6"/>
  <c r="Q18" i="6"/>
  <c r="BF118" i="6"/>
  <c r="AS112" i="6"/>
  <c r="BU75" i="6"/>
  <c r="CF13" i="6"/>
  <c r="AW119" i="6"/>
  <c r="C38" i="6"/>
  <c r="BR10" i="6"/>
  <c r="Z100" i="6"/>
  <c r="BW7" i="6"/>
  <c r="BC49" i="6"/>
  <c r="Y9" i="6"/>
  <c r="BI15" i="6"/>
  <c r="AQ24" i="6"/>
  <c r="AR66" i="6"/>
  <c r="BY55" i="6"/>
  <c r="D8" i="6"/>
  <c r="CJ118" i="6"/>
  <c r="AE16" i="6"/>
  <c r="BC38" i="6"/>
  <c r="P33" i="6"/>
  <c r="AP90" i="6"/>
  <c r="CI64" i="6"/>
  <c r="AP95" i="6"/>
  <c r="BZ16" i="6"/>
  <c r="BV93" i="6"/>
  <c r="AV117" i="6"/>
  <c r="T73" i="6"/>
  <c r="BI30" i="6"/>
  <c r="I37" i="6"/>
  <c r="CI44" i="6"/>
  <c r="CM70" i="6"/>
  <c r="CI18" i="6"/>
  <c r="M12" i="6"/>
  <c r="CG9" i="6"/>
  <c r="AG68" i="6"/>
  <c r="AQ79" i="6"/>
  <c r="AR63" i="6"/>
  <c r="BM110" i="6"/>
  <c r="BC48" i="6"/>
  <c r="B103" i="6"/>
  <c r="R108" i="6"/>
  <c r="BL9" i="6"/>
  <c r="CC47" i="6"/>
  <c r="BK12" i="6"/>
  <c r="K65" i="6"/>
  <c r="BM97" i="6"/>
  <c r="BK63" i="6"/>
  <c r="CJ100" i="6"/>
  <c r="AU13" i="6"/>
  <c r="BQ106" i="6"/>
  <c r="Z97" i="6"/>
  <c r="AI63" i="6"/>
  <c r="BS100" i="6"/>
  <c r="BJ84" i="6"/>
  <c r="BZ120" i="6"/>
  <c r="AZ107" i="6"/>
  <c r="BT91" i="6"/>
  <c r="W75" i="6"/>
  <c r="AI15" i="6"/>
  <c r="CN74" i="6"/>
  <c r="CE75" i="6"/>
  <c r="AK34" i="6"/>
  <c r="X51" i="6"/>
  <c r="BY92" i="6"/>
  <c r="BF38" i="6"/>
  <c r="BO90" i="6"/>
  <c r="AR24" i="6"/>
  <c r="CC60" i="6"/>
  <c r="CE97" i="6"/>
  <c r="Q112" i="6"/>
  <c r="AG106" i="6"/>
  <c r="CA26" i="6"/>
  <c r="BF61" i="6"/>
  <c r="L96" i="6"/>
  <c r="BS68" i="6"/>
  <c r="Z109" i="6"/>
  <c r="U80" i="6"/>
  <c r="BD98" i="6"/>
  <c r="AL101" i="6"/>
  <c r="J51" i="6"/>
  <c r="AI66" i="6"/>
  <c r="BP29" i="6"/>
  <c r="AW32" i="6"/>
  <c r="C83" i="6"/>
  <c r="Q90" i="6"/>
  <c r="CI103" i="6"/>
  <c r="CG103" i="6"/>
  <c r="R97" i="6"/>
  <c r="AO101" i="6"/>
  <c r="Q57" i="6"/>
  <c r="BK65" i="6"/>
  <c r="CI6" i="6"/>
  <c r="BY10" i="6"/>
  <c r="P13" i="6"/>
  <c r="CJ51" i="6"/>
  <c r="CL106" i="6"/>
  <c r="J110" i="6"/>
  <c r="AW7" i="6"/>
  <c r="CL39" i="6"/>
  <c r="B53" i="6"/>
  <c r="BX82" i="6"/>
  <c r="CB40" i="6"/>
  <c r="BB31" i="6"/>
  <c r="AD52" i="6"/>
  <c r="R31" i="6"/>
  <c r="CN25" i="6"/>
  <c r="Q94" i="6"/>
  <c r="BE27" i="6"/>
  <c r="AB31" i="6"/>
  <c r="C58" i="6"/>
  <c r="BE75" i="6"/>
  <c r="BP80" i="6"/>
  <c r="D55" i="6"/>
  <c r="P121" i="6"/>
  <c r="CK76" i="6"/>
  <c r="B20" i="6"/>
  <c r="CB52" i="6"/>
  <c r="AT108" i="6"/>
  <c r="AE118" i="6"/>
  <c r="AP74" i="6"/>
  <c r="AZ84" i="6"/>
  <c r="BS36" i="6"/>
  <c r="AZ50" i="6"/>
  <c r="AP60" i="6"/>
  <c r="CE62" i="6"/>
  <c r="AB104" i="6"/>
  <c r="AL83" i="6"/>
  <c r="CC59" i="6"/>
  <c r="AW87" i="6"/>
  <c r="N7" i="6"/>
  <c r="BP102" i="6"/>
  <c r="I117" i="6"/>
  <c r="Q120" i="6"/>
  <c r="R15" i="6"/>
  <c r="K32" i="6"/>
  <c r="AR65" i="6"/>
  <c r="AJ30" i="6"/>
  <c r="AQ107" i="6"/>
  <c r="CL82" i="6"/>
  <c r="BX113" i="6"/>
  <c r="V54" i="6"/>
  <c r="V64" i="6"/>
  <c r="AY58" i="6"/>
  <c r="Q71" i="6"/>
  <c r="BG52" i="6"/>
  <c r="AT89" i="6"/>
  <c r="D18" i="6"/>
  <c r="J6" i="6"/>
  <c r="R21" i="6"/>
  <c r="X57" i="6"/>
  <c r="BU113" i="6"/>
  <c r="CK56" i="6"/>
  <c r="BF26" i="6"/>
  <c r="CJ67" i="6"/>
  <c r="BI56" i="6"/>
  <c r="G12" i="6"/>
  <c r="CA105" i="6"/>
  <c r="BQ11" i="6"/>
  <c r="BO35" i="6"/>
  <c r="AK54" i="6"/>
  <c r="BN73" i="6"/>
  <c r="CL121" i="6"/>
  <c r="CK95" i="6"/>
  <c r="BA58" i="6"/>
  <c r="BS64" i="6"/>
  <c r="BP49" i="6"/>
  <c r="CI54" i="6"/>
  <c r="CL15" i="6"/>
  <c r="G18" i="6"/>
  <c r="V63" i="6"/>
  <c r="J59" i="6"/>
  <c r="F28" i="6"/>
  <c r="CL118" i="6"/>
  <c r="AN84" i="6"/>
  <c r="CH42" i="6"/>
  <c r="BY78" i="6"/>
  <c r="AS61" i="6"/>
  <c r="S48" i="6"/>
  <c r="S93" i="6"/>
  <c r="V47" i="6"/>
  <c r="BB32" i="6"/>
  <c r="CC37" i="6"/>
  <c r="BY64" i="6"/>
  <c r="H120" i="6"/>
  <c r="Q117" i="6"/>
  <c r="AN13" i="6"/>
  <c r="X32" i="6"/>
  <c r="AO9" i="6"/>
  <c r="CI106" i="6"/>
  <c r="H33" i="6"/>
  <c r="CA101" i="6"/>
  <c r="AC42" i="6"/>
  <c r="BB43" i="6"/>
  <c r="W107" i="6"/>
  <c r="G99" i="6"/>
  <c r="X64" i="6"/>
  <c r="BA47" i="6"/>
  <c r="AL33" i="6"/>
  <c r="AD106" i="6"/>
  <c r="S25" i="6"/>
  <c r="CE47" i="6"/>
  <c r="BS15" i="6"/>
  <c r="AA31" i="6"/>
  <c r="CM22" i="6"/>
  <c r="BO101" i="6"/>
  <c r="BC73" i="6"/>
  <c r="AL59" i="6"/>
  <c r="CA51" i="6"/>
  <c r="CH80" i="6"/>
  <c r="AR19" i="6"/>
  <c r="BM46" i="6"/>
  <c r="AS94" i="6"/>
  <c r="H48" i="6"/>
  <c r="O83" i="6"/>
  <c r="AD9" i="6"/>
  <c r="AJ39" i="6"/>
  <c r="BC12" i="6"/>
  <c r="CM44" i="6"/>
  <c r="N91" i="6"/>
  <c r="N118" i="6"/>
  <c r="BY58" i="6"/>
  <c r="BF19" i="6"/>
  <c r="BI35" i="6"/>
  <c r="J55" i="6"/>
  <c r="V42" i="6"/>
  <c r="AE43" i="6"/>
  <c r="AS75" i="6"/>
  <c r="CM57" i="6"/>
  <c r="BT104" i="6"/>
  <c r="CI76" i="6"/>
  <c r="CB71" i="6"/>
  <c r="AR9" i="6"/>
  <c r="AH95" i="6"/>
  <c r="BA73" i="6"/>
  <c r="X26" i="6"/>
  <c r="AL89" i="6"/>
  <c r="BU70" i="6"/>
  <c r="AZ119" i="6"/>
  <c r="CH58" i="6"/>
  <c r="AE25" i="6"/>
  <c r="AJ55" i="6"/>
  <c r="CB18" i="6"/>
  <c r="AV37" i="6"/>
  <c r="BF6" i="6"/>
  <c r="CF49" i="6"/>
  <c r="BG35" i="6"/>
  <c r="N20" i="6"/>
  <c r="BX76" i="6"/>
  <c r="CF48" i="6"/>
  <c r="CB37" i="6"/>
  <c r="CB54" i="6"/>
  <c r="D13" i="6"/>
  <c r="BQ28" i="6"/>
  <c r="BJ46" i="6"/>
  <c r="N51" i="6"/>
  <c r="AE120" i="6"/>
  <c r="AM23" i="6"/>
  <c r="R102" i="6"/>
  <c r="AV54" i="6"/>
  <c r="CK67" i="6"/>
  <c r="BA85" i="6"/>
  <c r="BO28" i="6"/>
  <c r="H58" i="6"/>
  <c r="BA96" i="6"/>
  <c r="E92" i="6"/>
  <c r="CG50" i="6"/>
  <c r="BX28" i="6"/>
  <c r="M43" i="6"/>
  <c r="BZ83" i="6"/>
  <c r="CH60" i="6"/>
  <c r="AK115" i="6"/>
  <c r="BN61" i="6"/>
  <c r="AR97" i="6"/>
  <c r="AN10" i="6"/>
  <c r="I58" i="6"/>
  <c r="BQ100" i="6"/>
  <c r="AG116" i="6"/>
  <c r="AL66" i="6"/>
  <c r="BN120" i="6"/>
  <c r="H114" i="6"/>
  <c r="BE80" i="6"/>
  <c r="BS81" i="6"/>
  <c r="N12" i="6"/>
  <c r="BJ24" i="6"/>
  <c r="AV72" i="6"/>
  <c r="BV84" i="6"/>
  <c r="AU56" i="6"/>
  <c r="AX106" i="6"/>
  <c r="AM52" i="6"/>
  <c r="BM72" i="6"/>
  <c r="K17" i="6"/>
  <c r="BE109" i="6"/>
  <c r="CC109" i="6"/>
  <c r="AA69" i="6"/>
  <c r="G52" i="6"/>
  <c r="BM107" i="6"/>
  <c r="BZ14" i="6"/>
  <c r="R98" i="6"/>
  <c r="N13" i="6"/>
  <c r="K42" i="6"/>
  <c r="X25" i="6"/>
  <c r="AM72" i="6"/>
  <c r="BP83" i="6"/>
  <c r="BM61" i="6"/>
  <c r="BT49" i="6"/>
  <c r="BG60" i="6"/>
  <c r="CE63" i="6"/>
  <c r="CG20" i="6"/>
  <c r="Z20" i="6"/>
  <c r="E59" i="6"/>
  <c r="BF93" i="6"/>
  <c r="AJ52" i="6"/>
  <c r="CG75" i="6"/>
  <c r="R6" i="6"/>
  <c r="BE81" i="6"/>
  <c r="AN33" i="6"/>
  <c r="AE8" i="6"/>
  <c r="AU66" i="6"/>
  <c r="AH57" i="6"/>
  <c r="S10" i="6"/>
  <c r="AC112" i="6"/>
  <c r="D76" i="6"/>
  <c r="BQ48" i="6"/>
  <c r="CJ99" i="6"/>
  <c r="BE78" i="6"/>
  <c r="CF30" i="6"/>
  <c r="AS51" i="6"/>
  <c r="BO45" i="6"/>
  <c r="BP62" i="6"/>
  <c r="CF47" i="6"/>
  <c r="CG56" i="6"/>
  <c r="Q14" i="6"/>
  <c r="AX32" i="6"/>
  <c r="AG96" i="6"/>
  <c r="AF26" i="6"/>
  <c r="P83" i="6"/>
  <c r="BO99" i="6"/>
  <c r="CG61" i="6"/>
  <c r="N6" i="6"/>
  <c r="F24" i="6"/>
  <c r="BC15" i="6"/>
  <c r="Q107" i="6"/>
  <c r="BL8" i="6"/>
  <c r="R41" i="6"/>
  <c r="BD114" i="6"/>
  <c r="AP57" i="6"/>
  <c r="BK72" i="6"/>
  <c r="CN54" i="6"/>
  <c r="BP36" i="6"/>
  <c r="BH66" i="6"/>
  <c r="D34" i="6"/>
  <c r="BB109" i="6"/>
  <c r="AW13" i="6"/>
  <c r="W119" i="6"/>
  <c r="CK99" i="6"/>
  <c r="J31" i="6"/>
  <c r="BX75" i="6"/>
  <c r="BZ62" i="6"/>
  <c r="W97" i="6"/>
  <c r="AG74" i="6"/>
  <c r="BS113" i="6"/>
  <c r="AJ97" i="6"/>
  <c r="C17" i="6"/>
  <c r="AR30" i="6"/>
  <c r="N92" i="6"/>
  <c r="BR88" i="6"/>
  <c r="K116" i="6"/>
  <c r="CB47" i="6"/>
  <c r="BE116" i="6"/>
  <c r="AF47" i="6"/>
  <c r="AF107" i="6"/>
  <c r="O84" i="6"/>
  <c r="AF98" i="6"/>
  <c r="CH48" i="6"/>
  <c r="CA49" i="6"/>
  <c r="BM117" i="6"/>
  <c r="BO44" i="6"/>
  <c r="T36" i="6"/>
  <c r="V67" i="6"/>
  <c r="L17" i="6"/>
  <c r="B104" i="6"/>
  <c r="AB32" i="6"/>
  <c r="AH109" i="6"/>
  <c r="AH14" i="6"/>
  <c r="BE10" i="6"/>
  <c r="CF111" i="6"/>
  <c r="AU44" i="6"/>
  <c r="O61" i="6"/>
  <c r="AW55" i="6"/>
  <c r="BT30" i="6"/>
  <c r="AX83" i="6"/>
  <c r="E46" i="6"/>
  <c r="AH11" i="6"/>
  <c r="Y37" i="6"/>
  <c r="B9" i="6"/>
  <c r="O58" i="6"/>
  <c r="BO72" i="6"/>
  <c r="D99" i="6"/>
  <c r="AW26" i="6"/>
  <c r="AC77" i="6"/>
  <c r="AE34" i="6"/>
  <c r="CI84" i="6"/>
  <c r="L26" i="6"/>
  <c r="K19" i="6"/>
  <c r="E21" i="6"/>
  <c r="P84" i="6"/>
  <c r="BT64" i="6"/>
  <c r="K51" i="6"/>
  <c r="CI89" i="6"/>
  <c r="BZ114" i="6"/>
  <c r="CN99" i="6"/>
  <c r="CE41" i="6"/>
  <c r="N56" i="6"/>
  <c r="BC18" i="6"/>
  <c r="BK61" i="6"/>
  <c r="AL121" i="6"/>
  <c r="BT33" i="6"/>
  <c r="H20" i="6"/>
  <c r="BZ108" i="6"/>
  <c r="BM114" i="6"/>
  <c r="AE35" i="6"/>
  <c r="AZ35" i="6"/>
  <c r="BA84" i="6"/>
  <c r="BO105" i="6"/>
  <c r="B23" i="6"/>
  <c r="Y35" i="6"/>
  <c r="T12" i="6"/>
  <c r="G63" i="6"/>
  <c r="CK51" i="6"/>
  <c r="G59" i="6"/>
  <c r="CB6" i="6"/>
  <c r="CD105" i="6"/>
  <c r="AF39" i="6"/>
  <c r="I62" i="6"/>
  <c r="AY47" i="6"/>
  <c r="H107" i="6"/>
  <c r="AB12" i="6"/>
  <c r="BL78" i="6"/>
  <c r="BE83" i="6"/>
  <c r="AC43" i="6"/>
  <c r="AQ6" i="6"/>
  <c r="CG111" i="6"/>
  <c r="U84" i="6"/>
  <c r="Q116" i="6"/>
  <c r="AO51" i="6"/>
  <c r="CF15" i="6"/>
  <c r="BZ26" i="6"/>
  <c r="BW11" i="6"/>
  <c r="AI116" i="6"/>
  <c r="Q97" i="6"/>
  <c r="BL39" i="6"/>
  <c r="V75" i="6"/>
  <c r="AE94" i="6"/>
  <c r="J71" i="6"/>
  <c r="AY22" i="6"/>
  <c r="BG80" i="6"/>
  <c r="BY44" i="6"/>
  <c r="AN106" i="6"/>
  <c r="AA49" i="6"/>
  <c r="AQ76" i="6"/>
  <c r="U116" i="6"/>
  <c r="AA28" i="6"/>
  <c r="AV39" i="6"/>
  <c r="BU10" i="6"/>
  <c r="CB14" i="6"/>
  <c r="K25" i="6"/>
  <c r="BR91" i="6"/>
  <c r="K96" i="6"/>
  <c r="AU94" i="6"/>
  <c r="BK97" i="6"/>
  <c r="AZ62" i="6"/>
  <c r="CJ101" i="6"/>
  <c r="BZ80" i="6"/>
  <c r="BO68" i="6"/>
  <c r="BC71" i="6"/>
  <c r="AF115" i="6"/>
  <c r="BI10" i="6"/>
  <c r="AL61" i="6"/>
  <c r="AB73" i="6"/>
  <c r="S99" i="6"/>
  <c r="CA15" i="6"/>
  <c r="BI82" i="6"/>
  <c r="CF110" i="6"/>
  <c r="M91" i="6"/>
  <c r="U44" i="6"/>
  <c r="BO29" i="6"/>
  <c r="AS93" i="6"/>
  <c r="AB71" i="6"/>
  <c r="BQ73" i="6"/>
  <c r="P120" i="6"/>
  <c r="BC84" i="6"/>
  <c r="S83" i="6"/>
  <c r="AK97" i="6"/>
  <c r="AJ54" i="6"/>
  <c r="CM120" i="6"/>
  <c r="CK29" i="6"/>
  <c r="L73" i="6"/>
  <c r="BJ108" i="6"/>
  <c r="AH58" i="6"/>
  <c r="M105" i="6"/>
  <c r="AE6" i="6"/>
  <c r="BL19" i="6"/>
  <c r="AN89" i="6"/>
  <c r="BH86" i="6"/>
  <c r="BR18" i="6"/>
  <c r="W48" i="6"/>
  <c r="BA9" i="6"/>
  <c r="J29" i="6"/>
  <c r="C68" i="6"/>
  <c r="H15" i="6"/>
  <c r="CB23" i="6"/>
  <c r="AS39" i="6"/>
  <c r="AC87" i="6"/>
  <c r="BD6" i="6"/>
  <c r="P109" i="6"/>
  <c r="CG77" i="6"/>
  <c r="AS113" i="6"/>
  <c r="BB8" i="6"/>
  <c r="V32" i="6"/>
  <c r="CB8" i="6"/>
  <c r="AF48" i="6"/>
  <c r="AZ105" i="6"/>
  <c r="CD25" i="6"/>
  <c r="CG27" i="6"/>
  <c r="BX22" i="6"/>
  <c r="BW57" i="6"/>
  <c r="CA113" i="6"/>
  <c r="M20" i="6"/>
  <c r="BI117" i="6"/>
  <c r="BY85" i="6"/>
  <c r="BX62" i="6"/>
  <c r="AW27" i="6"/>
  <c r="BK46" i="6"/>
  <c r="B116" i="6"/>
  <c r="BW118" i="6"/>
  <c r="M39" i="6"/>
  <c r="BU85" i="6"/>
  <c r="F39" i="6"/>
  <c r="AR43" i="6"/>
  <c r="BV55" i="6"/>
  <c r="AE46" i="6"/>
  <c r="AY116" i="6"/>
  <c r="AJ70" i="6"/>
  <c r="E112" i="6"/>
  <c r="AD18" i="6"/>
  <c r="X71" i="6"/>
  <c r="BU103" i="6"/>
  <c r="CB117" i="6"/>
  <c r="AG9" i="6"/>
  <c r="CM115" i="6"/>
  <c r="BQ40" i="6"/>
  <c r="CK45" i="6"/>
  <c r="T87" i="6"/>
  <c r="AO11" i="6"/>
  <c r="E39" i="6"/>
  <c r="R13" i="6"/>
  <c r="AA95" i="6"/>
  <c r="AW44" i="6"/>
  <c r="S98" i="6"/>
  <c r="BA61" i="6"/>
  <c r="AT36" i="6"/>
  <c r="AI75" i="6"/>
  <c r="AI19" i="6"/>
  <c r="Z78" i="6"/>
  <c r="BI106" i="6"/>
  <c r="M10" i="6"/>
  <c r="G51" i="6"/>
  <c r="CB95" i="6"/>
  <c r="CI107" i="6"/>
  <c r="AL41" i="6"/>
  <c r="BT41" i="6"/>
  <c r="BZ60" i="6"/>
  <c r="L8" i="6"/>
  <c r="AG21" i="6"/>
  <c r="V50" i="6"/>
  <c r="BL56" i="6"/>
  <c r="L15" i="6"/>
  <c r="CE78" i="6"/>
  <c r="AX92" i="6"/>
  <c r="BN105" i="6"/>
  <c r="CE89" i="6"/>
  <c r="AM32" i="6"/>
  <c r="CG49" i="6"/>
  <c r="BA91" i="6"/>
  <c r="R32" i="6"/>
  <c r="AB105" i="6"/>
  <c r="P37" i="6"/>
  <c r="K77" i="6"/>
  <c r="I119" i="6"/>
  <c r="B93" i="6"/>
  <c r="CK86" i="6"/>
  <c r="AZ23" i="6"/>
  <c r="S45" i="6"/>
  <c r="U42" i="6"/>
  <c r="J68" i="6"/>
  <c r="AN27" i="6"/>
  <c r="R36" i="6"/>
  <c r="R46" i="6"/>
  <c r="O24" i="6"/>
  <c r="BW104" i="6"/>
  <c r="CE37" i="6"/>
  <c r="B12" i="6"/>
  <c r="V31" i="6"/>
  <c r="BK20" i="6"/>
  <c r="K121" i="6"/>
  <c r="BR28" i="6"/>
  <c r="CI57" i="6"/>
  <c r="C29" i="6"/>
  <c r="BT50" i="6"/>
  <c r="BC85" i="6"/>
  <c r="Z91" i="6"/>
  <c r="AK102" i="6"/>
  <c r="AZ20" i="6"/>
  <c r="CH35" i="6"/>
  <c r="AW88" i="6"/>
  <c r="BS115" i="6"/>
  <c r="BN27" i="6"/>
  <c r="S112" i="6"/>
  <c r="AP38" i="6"/>
  <c r="BM19" i="6"/>
  <c r="AE84" i="6"/>
  <c r="X36" i="6"/>
  <c r="V115" i="6"/>
  <c r="AP109" i="6"/>
  <c r="P115" i="6"/>
  <c r="I14" i="6"/>
  <c r="BV42" i="6"/>
  <c r="AQ81" i="6"/>
  <c r="BL119" i="6"/>
  <c r="I87" i="6"/>
  <c r="CL23" i="6"/>
  <c r="BD53" i="6"/>
  <c r="BM98" i="6"/>
  <c r="CK119" i="6"/>
  <c r="AP49" i="6"/>
  <c r="CA27" i="6"/>
  <c r="CG71" i="6"/>
  <c r="AJ64" i="6"/>
  <c r="BV119" i="6"/>
  <c r="F75" i="6"/>
  <c r="CA104" i="6"/>
  <c r="BS52" i="6"/>
  <c r="BH20" i="6"/>
  <c r="CK102" i="6"/>
  <c r="BK120" i="6"/>
  <c r="AZ12" i="6"/>
  <c r="I20" i="6"/>
  <c r="X101" i="6"/>
  <c r="Q15" i="6"/>
  <c r="AV61" i="6"/>
  <c r="BT44" i="6"/>
  <c r="W81" i="6"/>
  <c r="T64" i="6"/>
  <c r="CL108" i="6"/>
  <c r="CJ37" i="6"/>
  <c r="AP113" i="6"/>
  <c r="S13" i="6"/>
  <c r="CD77" i="6"/>
  <c r="AY93" i="6"/>
  <c r="BV6" i="6"/>
  <c r="G58" i="6"/>
  <c r="BE106" i="6"/>
  <c r="AP54" i="6"/>
  <c r="Y65" i="6"/>
  <c r="BH103" i="6"/>
  <c r="H73" i="6"/>
  <c r="CG33" i="6"/>
  <c r="BC98" i="6"/>
  <c r="N17" i="6"/>
  <c r="O50" i="6"/>
  <c r="AK17" i="6"/>
  <c r="AE29" i="6"/>
  <c r="BL107" i="6"/>
  <c r="CN57" i="6"/>
  <c r="E26" i="6"/>
  <c r="AS24" i="6"/>
  <c r="M108" i="6"/>
  <c r="BY54" i="6"/>
  <c r="O106" i="6"/>
  <c r="BY117" i="6"/>
  <c r="CD9" i="6"/>
  <c r="L62" i="6"/>
  <c r="P88" i="6"/>
  <c r="BC89" i="6"/>
  <c r="K24" i="6"/>
  <c r="AR117" i="6"/>
  <c r="AX24" i="6"/>
  <c r="W10" i="6"/>
  <c r="BC45" i="6"/>
  <c r="U114" i="6"/>
  <c r="AS67" i="6"/>
  <c r="BQ56" i="6"/>
  <c r="CH27" i="6"/>
  <c r="Z36" i="6"/>
  <c r="BE114" i="6"/>
  <c r="AA106" i="6"/>
  <c r="AK21" i="6"/>
  <c r="BF79" i="6"/>
  <c r="BK81" i="6"/>
  <c r="AF108" i="6"/>
  <c r="BV30" i="6"/>
  <c r="Q9" i="6"/>
  <c r="AT114" i="6"/>
  <c r="AY113" i="6"/>
  <c r="K112" i="6"/>
  <c r="AF15" i="6"/>
  <c r="L93" i="6"/>
  <c r="BG110" i="6"/>
  <c r="Y25" i="6"/>
  <c r="AW52" i="6"/>
  <c r="AY117" i="6"/>
  <c r="BP61" i="6"/>
  <c r="BZ121" i="6"/>
  <c r="CF105" i="6"/>
  <c r="AT38" i="6"/>
  <c r="U101" i="6"/>
  <c r="AN58" i="6"/>
  <c r="N104" i="6"/>
  <c r="AJ103" i="6"/>
  <c r="BN97" i="6"/>
  <c r="BS34" i="6"/>
  <c r="BG63" i="6"/>
  <c r="AU28" i="6"/>
  <c r="AU36" i="6"/>
  <c r="BU42" i="6"/>
  <c r="I104" i="6"/>
  <c r="L82" i="6"/>
  <c r="AB93" i="6"/>
  <c r="CB94" i="6"/>
  <c r="M33" i="6"/>
  <c r="BP44" i="6"/>
  <c r="CC71" i="6"/>
  <c r="CD30" i="6"/>
  <c r="N35" i="6"/>
  <c r="BW41" i="6"/>
  <c r="O25" i="6"/>
  <c r="BL53" i="6"/>
  <c r="C121" i="6"/>
  <c r="AT44" i="6"/>
  <c r="T69" i="6"/>
  <c r="AC59" i="6"/>
  <c r="BV102" i="6"/>
  <c r="AN43" i="6"/>
  <c r="T108" i="6"/>
  <c r="AG31" i="6"/>
  <c r="CL52" i="6"/>
  <c r="CI74" i="6"/>
  <c r="CC90" i="6"/>
  <c r="BY110" i="6"/>
  <c r="CA50" i="6"/>
  <c r="CF17" i="6"/>
  <c r="AR59" i="6"/>
  <c r="I9" i="6"/>
  <c r="BS42" i="6"/>
  <c r="K90" i="6"/>
  <c r="R87" i="6"/>
  <c r="AI54" i="6"/>
  <c r="BS89" i="6"/>
  <c r="BX102" i="6"/>
  <c r="BJ96" i="6"/>
  <c r="AX116" i="6"/>
  <c r="BW101" i="6"/>
  <c r="M30" i="6"/>
  <c r="Q83" i="6"/>
  <c r="BY24" i="6"/>
  <c r="CM90" i="6"/>
  <c r="AO60" i="6"/>
  <c r="AV38" i="6"/>
  <c r="AR109" i="6"/>
  <c r="X47" i="6"/>
  <c r="D89" i="6"/>
  <c r="AT56" i="6"/>
  <c r="CE18" i="6"/>
  <c r="AJ13" i="6"/>
  <c r="AF37" i="6"/>
  <c r="AI80" i="6"/>
  <c r="BH108" i="6"/>
  <c r="AK79" i="6"/>
  <c r="I35" i="6"/>
  <c r="BB37" i="6"/>
  <c r="BF48" i="6"/>
  <c r="T75" i="6"/>
  <c r="BI12" i="6"/>
  <c r="BX120" i="6"/>
  <c r="H47" i="6"/>
  <c r="AS84" i="6"/>
  <c r="CJ19" i="6"/>
  <c r="BI14" i="6"/>
  <c r="CF86" i="6"/>
  <c r="P56" i="6"/>
  <c r="AK81" i="6"/>
  <c r="AX98" i="6"/>
  <c r="AF113" i="6"/>
  <c r="W57" i="6"/>
  <c r="AJ69" i="6"/>
  <c r="G72" i="6"/>
  <c r="J45" i="6"/>
  <c r="BN36" i="6"/>
  <c r="CI69" i="6"/>
  <c r="AA75" i="6"/>
  <c r="AQ110" i="6"/>
  <c r="BF119" i="6"/>
  <c r="AZ75" i="6"/>
  <c r="AQ26" i="6"/>
  <c r="V40" i="6"/>
  <c r="AF41" i="6"/>
  <c r="BA48" i="6"/>
  <c r="AS16" i="6"/>
  <c r="AD112" i="6"/>
  <c r="AJ53" i="6"/>
  <c r="H6" i="6"/>
  <c r="X30" i="6"/>
  <c r="CE107" i="6"/>
  <c r="AS87" i="6"/>
  <c r="CC63" i="6"/>
  <c r="D59" i="6"/>
  <c r="AG67" i="6"/>
  <c r="R49" i="6"/>
  <c r="AC67" i="6"/>
  <c r="AP25" i="6"/>
  <c r="O7" i="6"/>
  <c r="BQ78" i="6"/>
  <c r="CB81" i="6"/>
  <c r="BY118" i="6"/>
  <c r="BU63" i="6"/>
  <c r="AL38" i="6"/>
  <c r="CG99" i="6"/>
  <c r="BL31" i="6"/>
  <c r="AJ35" i="6"/>
  <c r="H22" i="6"/>
  <c r="BR15" i="6"/>
  <c r="S87" i="6"/>
  <c r="BS105" i="6"/>
  <c r="O67" i="6"/>
  <c r="BO37" i="6"/>
  <c r="AY84" i="6"/>
  <c r="AD27" i="6"/>
  <c r="F9" i="6"/>
  <c r="BH10" i="6"/>
  <c r="P24" i="6"/>
  <c r="T39" i="6"/>
  <c r="AX75" i="6"/>
  <c r="CG82" i="6"/>
  <c r="AU77" i="6"/>
  <c r="BE40" i="6"/>
  <c r="I75" i="6"/>
  <c r="D69" i="6"/>
  <c r="U23" i="6"/>
  <c r="F71" i="6"/>
  <c r="BI18" i="6"/>
  <c r="CC115" i="6"/>
  <c r="CA118" i="6"/>
  <c r="BQ94" i="6"/>
  <c r="O90" i="6"/>
  <c r="AO46" i="6"/>
  <c r="D30" i="6"/>
  <c r="AR27" i="6"/>
  <c r="BT85" i="6"/>
  <c r="BN18" i="6"/>
  <c r="H8" i="6"/>
  <c r="BK44" i="6"/>
  <c r="CM31" i="6"/>
  <c r="AH87" i="6"/>
  <c r="AZ109" i="6"/>
  <c r="CB86" i="6"/>
  <c r="CA60" i="6"/>
  <c r="AS78" i="6"/>
  <c r="BR82" i="6"/>
  <c r="AU40" i="6"/>
  <c r="AK66" i="6"/>
  <c r="CN49" i="6"/>
  <c r="AO116" i="6"/>
  <c r="AB55" i="6"/>
  <c r="AE65" i="6"/>
  <c r="BZ81" i="6"/>
  <c r="CN17" i="6"/>
  <c r="AY81" i="6"/>
  <c r="CJ107" i="6"/>
  <c r="K93" i="6"/>
  <c r="AX6" i="6"/>
  <c r="BB25" i="6"/>
  <c r="F93" i="6"/>
  <c r="CB87" i="6"/>
  <c r="K54" i="6"/>
  <c r="AR67" i="6"/>
  <c r="BN75" i="6"/>
  <c r="AM57" i="6"/>
  <c r="BV26" i="6"/>
  <c r="CN94" i="6"/>
  <c r="AT106" i="6"/>
  <c r="BQ79" i="6"/>
  <c r="AU118" i="6"/>
  <c r="BF46" i="6"/>
  <c r="BY27" i="6"/>
  <c r="T101" i="6"/>
  <c r="AH100" i="6"/>
  <c r="Q106" i="6"/>
  <c r="CC108" i="6"/>
  <c r="AL27" i="6"/>
  <c r="F115" i="6"/>
  <c r="B88" i="6"/>
  <c r="Z49" i="6"/>
  <c r="AZ82" i="6"/>
  <c r="G79" i="6"/>
  <c r="CL56" i="6"/>
  <c r="T98" i="6"/>
  <c r="N79" i="6"/>
  <c r="BG103" i="6"/>
  <c r="BB34" i="6"/>
  <c r="BZ113" i="6"/>
  <c r="BJ22" i="6"/>
  <c r="BP59" i="6"/>
  <c r="BL18" i="6"/>
  <c r="AC18" i="6"/>
  <c r="BN21" i="6"/>
  <c r="CE105" i="6"/>
  <c r="CL27" i="6"/>
  <c r="CD53" i="6"/>
  <c r="L66" i="6"/>
  <c r="W100" i="6"/>
  <c r="Z54" i="6"/>
  <c r="CC78" i="6"/>
  <c r="AU81" i="6"/>
  <c r="AC69" i="6"/>
  <c r="H116" i="6"/>
  <c r="BI34" i="6"/>
  <c r="BU90" i="6"/>
  <c r="CM116" i="6"/>
  <c r="CF37" i="6"/>
  <c r="BT24" i="6"/>
  <c r="BZ77" i="6"/>
  <c r="AN18" i="6"/>
  <c r="F65" i="6"/>
  <c r="BU98" i="6"/>
  <c r="CH100" i="6"/>
  <c r="CI46" i="6"/>
  <c r="BA14" i="6"/>
  <c r="BI6" i="6"/>
  <c r="CK23" i="6"/>
  <c r="G75" i="6"/>
  <c r="BF99" i="6"/>
  <c r="Z14" i="6"/>
  <c r="AS63" i="6"/>
  <c r="AJ91" i="6"/>
  <c r="CF16" i="6"/>
  <c r="AV95" i="6"/>
  <c r="X8" i="6"/>
  <c r="CD63" i="6"/>
  <c r="BY66" i="6"/>
  <c r="J75" i="6"/>
  <c r="BP94" i="6"/>
  <c r="BH39" i="6"/>
  <c r="BM80" i="6"/>
  <c r="BA77" i="6"/>
  <c r="BG111" i="6"/>
  <c r="CM27" i="6"/>
  <c r="R57" i="6"/>
  <c r="AS23" i="6"/>
  <c r="BI24" i="6"/>
  <c r="AX16" i="6"/>
  <c r="J91" i="6"/>
  <c r="AE79" i="6"/>
  <c r="AA55" i="6"/>
  <c r="U19" i="6"/>
  <c r="AD53" i="6"/>
  <c r="R112" i="6"/>
  <c r="BT58" i="6"/>
  <c r="AJ62" i="6"/>
  <c r="CG40" i="6"/>
  <c r="CB21" i="6"/>
  <c r="Z66" i="6"/>
  <c r="G83" i="6"/>
  <c r="BN67" i="6"/>
  <c r="D88" i="6"/>
  <c r="BR51" i="6"/>
  <c r="C32" i="6"/>
  <c r="C65" i="6"/>
  <c r="BP56" i="6"/>
  <c r="CA89" i="6"/>
  <c r="E102" i="6"/>
  <c r="BL20" i="6"/>
  <c r="BM59" i="6"/>
  <c r="AJ118" i="6"/>
  <c r="AS10" i="6"/>
  <c r="O48" i="6"/>
  <c r="BI112" i="6"/>
  <c r="CL34" i="6"/>
  <c r="BV22" i="6"/>
  <c r="AI96" i="6"/>
  <c r="BZ48" i="6"/>
  <c r="CJ94" i="6"/>
  <c r="BI9" i="6"/>
  <c r="AJ28" i="6"/>
  <c r="BX77" i="6"/>
  <c r="BX6" i="6"/>
  <c r="BD51" i="6"/>
  <c r="CN101" i="6"/>
  <c r="R66" i="6"/>
  <c r="M18" i="6"/>
  <c r="H28" i="6"/>
  <c r="CC79" i="6"/>
  <c r="AR44" i="6"/>
  <c r="BT73" i="6"/>
  <c r="AQ17" i="6"/>
  <c r="AD51" i="6"/>
  <c r="L9" i="6"/>
  <c r="BQ10" i="6"/>
  <c r="U71" i="6"/>
  <c r="AO107" i="6"/>
  <c r="AZ69" i="6"/>
  <c r="AW57" i="6"/>
  <c r="V120" i="6"/>
  <c r="BW20" i="6"/>
  <c r="BP55" i="6"/>
  <c r="BV47" i="6"/>
  <c r="BK59" i="6"/>
  <c r="BT27" i="6"/>
  <c r="E48" i="6"/>
  <c r="BX34" i="6"/>
  <c r="AU92" i="6"/>
  <c r="G108" i="6"/>
  <c r="AI25" i="6"/>
  <c r="U106" i="6"/>
  <c r="AZ51" i="6"/>
  <c r="T71" i="6"/>
  <c r="AK74" i="6"/>
  <c r="CK68" i="6"/>
  <c r="BO49" i="6"/>
  <c r="AH24" i="6"/>
  <c r="BI62" i="6"/>
  <c r="BU39" i="6"/>
  <c r="AW110" i="6"/>
  <c r="BX114" i="6"/>
  <c r="BM24" i="6"/>
  <c r="AX107" i="6"/>
  <c r="BT47" i="6"/>
  <c r="BA50" i="6"/>
  <c r="Z111" i="6"/>
  <c r="BI109" i="6"/>
  <c r="L116" i="6"/>
  <c r="D104" i="6"/>
  <c r="AR40" i="6"/>
  <c r="AQ36" i="6"/>
  <c r="BY14" i="6"/>
  <c r="AK84" i="6"/>
  <c r="T78" i="6"/>
  <c r="T55" i="6"/>
  <c r="BK91" i="6"/>
  <c r="BO50" i="6"/>
  <c r="AZ49" i="6"/>
  <c r="Y55" i="6"/>
  <c r="M24" i="6"/>
  <c r="BE45" i="6"/>
  <c r="BL63" i="6"/>
  <c r="AU115" i="6"/>
  <c r="CH108" i="6"/>
  <c r="H81" i="6"/>
  <c r="BM37" i="6"/>
  <c r="AQ18" i="6"/>
  <c r="CH95" i="6"/>
  <c r="BF100" i="6"/>
  <c r="L29" i="6"/>
  <c r="AB66" i="6"/>
  <c r="AP58" i="6"/>
  <c r="BQ64" i="6"/>
  <c r="BY63" i="6"/>
  <c r="BY113" i="6"/>
  <c r="BY40" i="6"/>
  <c r="BP89" i="6"/>
  <c r="L32" i="6"/>
  <c r="BO33" i="6"/>
  <c r="Z57" i="6"/>
  <c r="G33" i="6"/>
  <c r="AM61" i="6"/>
  <c r="BG75" i="6"/>
  <c r="N63" i="6"/>
  <c r="AA67" i="6"/>
  <c r="J25" i="6"/>
  <c r="CE112" i="6"/>
  <c r="X37" i="6"/>
  <c r="AA36" i="6"/>
  <c r="BE67" i="6"/>
  <c r="AL78" i="6"/>
  <c r="BZ110" i="6"/>
  <c r="V61" i="6"/>
  <c r="AT84" i="6"/>
  <c r="BZ28" i="6"/>
  <c r="BR70" i="6"/>
  <c r="BY57" i="6"/>
  <c r="H111" i="6"/>
  <c r="AT6" i="6"/>
  <c r="AS19" i="6"/>
  <c r="D26" i="6"/>
  <c r="BH55" i="6"/>
  <c r="AS57" i="6"/>
  <c r="Y115" i="6"/>
  <c r="BA42" i="6"/>
  <c r="BT28" i="6"/>
  <c r="BM64" i="6"/>
  <c r="AN41" i="6"/>
  <c r="AN116" i="6"/>
  <c r="BV31" i="6"/>
  <c r="BA33" i="6"/>
  <c r="CI13" i="6"/>
  <c r="I44" i="6"/>
  <c r="BK58" i="6"/>
  <c r="CM58" i="6"/>
  <c r="B55" i="6"/>
  <c r="BH100" i="6"/>
  <c r="AU104" i="6"/>
  <c r="D11" i="6"/>
  <c r="AI48" i="6"/>
  <c r="BN46" i="6"/>
  <c r="C20" i="6"/>
  <c r="BN76" i="6"/>
  <c r="CG87" i="6"/>
  <c r="BH6" i="6"/>
  <c r="CJ32" i="6"/>
  <c r="AP22" i="6"/>
  <c r="BP103" i="6"/>
  <c r="AJ84" i="6"/>
  <c r="BA62" i="6"/>
  <c r="J28" i="6"/>
  <c r="M42" i="6"/>
  <c r="B32" i="6"/>
  <c r="Q82" i="6"/>
  <c r="L102" i="6"/>
  <c r="AH70" i="6"/>
  <c r="AF53" i="6"/>
  <c r="BL50" i="6"/>
  <c r="BU69" i="6"/>
  <c r="BU54" i="6"/>
  <c r="AM79" i="6"/>
  <c r="Y107" i="6"/>
  <c r="O26" i="6"/>
  <c r="AF56" i="6"/>
  <c r="V19" i="6"/>
  <c r="BI78" i="6"/>
  <c r="D103" i="6"/>
  <c r="D91" i="6"/>
  <c r="BC66" i="6"/>
  <c r="CK114" i="6"/>
  <c r="BL48" i="6"/>
  <c r="CE84" i="6"/>
  <c r="AE110" i="6"/>
  <c r="BM20" i="6"/>
  <c r="BE60" i="6"/>
  <c r="AO28" i="6"/>
  <c r="CB34" i="6"/>
  <c r="U102" i="6"/>
  <c r="BM67" i="6"/>
  <c r="AY108" i="6"/>
  <c r="I40" i="6"/>
  <c r="AI53" i="6"/>
  <c r="T76" i="6"/>
  <c r="BU52" i="6"/>
  <c r="W38" i="6"/>
  <c r="M80" i="6"/>
  <c r="AQ14" i="6"/>
  <c r="F109" i="6"/>
  <c r="E30" i="6"/>
  <c r="B65" i="6"/>
  <c r="AY82" i="6"/>
  <c r="W74" i="6"/>
  <c r="K11" i="6"/>
  <c r="BL70" i="6"/>
  <c r="BG32" i="6"/>
  <c r="BT83" i="6"/>
  <c r="BF52" i="6"/>
  <c r="AI26" i="6"/>
  <c r="CI66" i="6"/>
  <c r="N69" i="6"/>
  <c r="U89" i="6"/>
  <c r="AM106" i="6"/>
  <c r="R7" i="6"/>
  <c r="G71" i="6"/>
  <c r="AK28" i="6"/>
  <c r="BY77" i="6"/>
  <c r="AV70" i="6"/>
  <c r="CC39" i="6"/>
  <c r="Q45" i="6"/>
  <c r="AW6" i="6"/>
  <c r="BC78" i="6"/>
  <c r="CL98" i="6"/>
  <c r="AG48" i="6"/>
  <c r="CE88" i="6"/>
  <c r="P75" i="6"/>
  <c r="B82" i="6"/>
  <c r="AU24" i="6"/>
  <c r="AL85" i="6"/>
  <c r="B45" i="6"/>
  <c r="AG51" i="6"/>
  <c r="BI69" i="6"/>
  <c r="E77" i="6"/>
  <c r="CN62" i="6"/>
  <c r="F90" i="6"/>
  <c r="P82" i="6"/>
  <c r="AY21" i="6"/>
  <c r="BF55" i="6"/>
  <c r="BY7" i="6"/>
  <c r="N97" i="6"/>
  <c r="AB88" i="6"/>
  <c r="BM56" i="6"/>
  <c r="G106" i="6"/>
  <c r="D20" i="6"/>
  <c r="BB45" i="6"/>
  <c r="BN47" i="6"/>
  <c r="AD107" i="6"/>
  <c r="AE112" i="6"/>
  <c r="AL96" i="6"/>
  <c r="AY107" i="6"/>
  <c r="CN13" i="6"/>
  <c r="F89" i="6"/>
  <c r="AY62" i="6"/>
  <c r="BQ60" i="6"/>
  <c r="BL11" i="6"/>
  <c r="Y34" i="6"/>
  <c r="G96" i="6"/>
  <c r="BB71" i="6"/>
  <c r="CD69" i="6"/>
  <c r="BJ88" i="6"/>
  <c r="H9" i="6"/>
  <c r="AT23" i="6"/>
  <c r="AH16" i="6"/>
  <c r="AH78" i="6"/>
  <c r="AH80" i="6"/>
  <c r="L37" i="6"/>
  <c r="AZ19" i="6"/>
  <c r="CG119" i="6"/>
  <c r="AV45" i="6"/>
  <c r="X113" i="6"/>
  <c r="BY11" i="6"/>
  <c r="F95" i="6"/>
  <c r="AJ12" i="6"/>
  <c r="BL65" i="6"/>
  <c r="BW61" i="6"/>
  <c r="BA79" i="6"/>
  <c r="AY6" i="6"/>
  <c r="AX46" i="6"/>
  <c r="CF84" i="6"/>
  <c r="W110" i="6"/>
  <c r="AA20" i="6"/>
  <c r="AG105" i="6"/>
  <c r="BN17" i="6"/>
  <c r="AM108" i="6"/>
  <c r="J27" i="6"/>
  <c r="BA88" i="6"/>
  <c r="CE59" i="6"/>
  <c r="D115" i="6"/>
  <c r="BU11" i="6"/>
  <c r="BS45" i="6"/>
  <c r="BK64" i="6"/>
  <c r="K27" i="6"/>
  <c r="CB42" i="6"/>
  <c r="BK19" i="6"/>
  <c r="S110" i="6"/>
  <c r="C6" i="6"/>
  <c r="AZ86" i="6"/>
  <c r="CF82" i="6"/>
  <c r="AJ16" i="6"/>
  <c r="BA21" i="6"/>
  <c r="J32" i="6"/>
  <c r="M34" i="6"/>
  <c r="BL47" i="6"/>
  <c r="Y89" i="6"/>
  <c r="G10" i="6"/>
  <c r="BR117" i="6"/>
  <c r="AH25" i="6"/>
  <c r="AF74" i="6"/>
  <c r="CG14" i="6"/>
  <c r="BN106" i="6"/>
  <c r="J18" i="6"/>
  <c r="BF59" i="6"/>
  <c r="BA60" i="6"/>
  <c r="BY121" i="6"/>
  <c r="AX31" i="6"/>
  <c r="BT34" i="6"/>
  <c r="BI92" i="6"/>
  <c r="AE87" i="6"/>
  <c r="Y41" i="6"/>
  <c r="AO48" i="6"/>
  <c r="BE6" i="6"/>
  <c r="AE38" i="6"/>
  <c r="AL58" i="6"/>
  <c r="AV62" i="6"/>
  <c r="BW35" i="6"/>
  <c r="P16" i="6"/>
  <c r="X94" i="6"/>
  <c r="CC116" i="6"/>
  <c r="F26" i="6"/>
  <c r="BR11" i="6"/>
  <c r="T63" i="6"/>
  <c r="BE64" i="6"/>
  <c r="CD109" i="6"/>
  <c r="AW72" i="6"/>
  <c r="BO108" i="6"/>
  <c r="Q10" i="6"/>
  <c r="CI56" i="6"/>
  <c r="L28" i="6"/>
  <c r="BZ11" i="6"/>
  <c r="BS31" i="6"/>
  <c r="O65" i="6"/>
  <c r="AW40" i="6"/>
  <c r="B28" i="6"/>
  <c r="CC121" i="6"/>
  <c r="BV28" i="6"/>
  <c r="BX107" i="6"/>
  <c r="CC65" i="6"/>
  <c r="AA81" i="6"/>
  <c r="AL67" i="6"/>
  <c r="BP85" i="6"/>
  <c r="BU55" i="6"/>
  <c r="CD43" i="6"/>
  <c r="N34" i="6"/>
  <c r="BW44" i="6"/>
  <c r="BS59" i="6"/>
  <c r="AR31" i="6"/>
  <c r="BR49" i="6"/>
  <c r="B120" i="6"/>
  <c r="AI40" i="6"/>
  <c r="BO92" i="6"/>
  <c r="N89" i="6"/>
  <c r="D46" i="6"/>
  <c r="BU56" i="6"/>
  <c r="BG90" i="6"/>
  <c r="C118" i="6"/>
  <c r="K109" i="6"/>
  <c r="BL79" i="6"/>
  <c r="CH12" i="6"/>
  <c r="CL92" i="6"/>
  <c r="E106" i="6"/>
  <c r="AM47" i="6"/>
  <c r="AY54" i="6"/>
  <c r="BO80" i="6"/>
  <c r="CG13" i="6"/>
  <c r="AZ44" i="6"/>
  <c r="BC14" i="6"/>
  <c r="C112" i="6"/>
  <c r="BP27" i="6"/>
  <c r="CH37" i="6"/>
  <c r="H85" i="6"/>
  <c r="E111" i="6"/>
  <c r="CD74" i="6"/>
  <c r="BJ110" i="6"/>
  <c r="BW16" i="6"/>
  <c r="BF27" i="6"/>
  <c r="L86" i="6"/>
  <c r="CH20" i="6"/>
  <c r="AW28" i="6"/>
  <c r="BR115" i="6"/>
  <c r="BL36" i="6"/>
  <c r="U78" i="6"/>
  <c r="AU112" i="6"/>
  <c r="B7" i="6"/>
  <c r="E115" i="6"/>
  <c r="BD9" i="6"/>
  <c r="BR22" i="6"/>
  <c r="AW91" i="6"/>
  <c r="CD83" i="6"/>
  <c r="AA26" i="6"/>
  <c r="CC29" i="6"/>
  <c r="BD100" i="6"/>
  <c r="O76" i="6"/>
  <c r="O105" i="6"/>
  <c r="BF31" i="6"/>
  <c r="AS107" i="6"/>
  <c r="D81" i="6"/>
  <c r="O36" i="6"/>
  <c r="BS94" i="6"/>
  <c r="BG118" i="6"/>
  <c r="AD121" i="6"/>
  <c r="AE92" i="6"/>
  <c r="N98" i="6"/>
  <c r="AZ80" i="6"/>
  <c r="AF29" i="6"/>
  <c r="AL31" i="6"/>
  <c r="BL117" i="6"/>
  <c r="Z29" i="6"/>
  <c r="AQ38" i="6"/>
  <c r="AU26" i="6"/>
  <c r="C62" i="6"/>
  <c r="CK44" i="6"/>
  <c r="BL114" i="6"/>
  <c r="BJ70" i="6"/>
  <c r="BL90" i="6"/>
  <c r="BJ38" i="6"/>
  <c r="CE103" i="6"/>
  <c r="AW41" i="6"/>
  <c r="P100" i="6"/>
  <c r="BE50" i="6"/>
  <c r="BJ34" i="6"/>
  <c r="BQ43" i="6"/>
  <c r="E38" i="6"/>
  <c r="BJ107" i="6"/>
  <c r="N119" i="6"/>
  <c r="AE115" i="6"/>
  <c r="AW118" i="6"/>
  <c r="AO121" i="6"/>
  <c r="BF81" i="6"/>
  <c r="BZ50" i="6"/>
  <c r="CM45" i="6"/>
  <c r="I6" i="6"/>
  <c r="O51" i="6"/>
  <c r="BS119" i="6"/>
  <c r="CL47" i="6"/>
  <c r="AS83" i="6"/>
  <c r="BB49" i="6"/>
  <c r="BY88" i="6"/>
  <c r="AT55" i="6"/>
  <c r="W89" i="6"/>
  <c r="AU63" i="6"/>
  <c r="BG10" i="6"/>
  <c r="BZ10" i="6"/>
  <c r="BU25" i="6"/>
  <c r="AV73" i="6"/>
  <c r="AY79" i="6"/>
  <c r="AD119" i="6"/>
  <c r="G92" i="6"/>
  <c r="I108" i="6"/>
  <c r="BH113" i="6"/>
  <c r="BL51" i="6"/>
  <c r="AF63" i="6"/>
  <c r="AF35" i="6"/>
  <c r="CK80" i="6"/>
  <c r="P92" i="6"/>
  <c r="CB45" i="6"/>
  <c r="I99" i="6"/>
  <c r="BO88" i="6"/>
  <c r="BN66" i="6"/>
  <c r="BD16" i="6"/>
  <c r="AY73" i="6"/>
  <c r="CH50" i="6"/>
  <c r="R40" i="6"/>
  <c r="AX58" i="6"/>
  <c r="CH15" i="6"/>
  <c r="AO54" i="6"/>
  <c r="AE40" i="6"/>
  <c r="BB105" i="6"/>
  <c r="BE26" i="6"/>
  <c r="AO98" i="6"/>
  <c r="BC7" i="6"/>
  <c r="BV53" i="6"/>
  <c r="BB80" i="6"/>
  <c r="CI39" i="6"/>
  <c r="BQ70" i="6"/>
  <c r="AL116" i="6"/>
  <c r="O40" i="6"/>
  <c r="H72" i="6"/>
  <c r="AD71" i="6"/>
  <c r="CK85" i="6"/>
  <c r="M69" i="6"/>
  <c r="CH10" i="6"/>
  <c r="P78" i="6"/>
  <c r="CN70" i="6"/>
  <c r="BO75" i="6"/>
  <c r="BV68" i="6"/>
  <c r="J49" i="6"/>
  <c r="BP28" i="6"/>
  <c r="BP41" i="6"/>
  <c r="AV22" i="6"/>
  <c r="AM62" i="6"/>
  <c r="CN44" i="6"/>
  <c r="F120" i="6"/>
  <c r="F79" i="6"/>
  <c r="BV110" i="6"/>
  <c r="P44" i="6"/>
  <c r="AE9" i="6"/>
  <c r="BW33" i="6"/>
  <c r="M85" i="6"/>
  <c r="X91" i="6"/>
  <c r="BW102" i="6"/>
  <c r="M52" i="6"/>
  <c r="AP6" i="6"/>
  <c r="CH55" i="6"/>
  <c r="AI22" i="6"/>
  <c r="L64" i="6"/>
  <c r="F25" i="6"/>
  <c r="CE86" i="6"/>
  <c r="R61" i="6"/>
  <c r="V91" i="6"/>
  <c r="CC68" i="6"/>
  <c r="K87" i="6"/>
  <c r="AK69" i="6"/>
  <c r="BL67" i="6"/>
  <c r="BM62" i="6"/>
  <c r="H27" i="6"/>
  <c r="CG45" i="6"/>
  <c r="BI73" i="6"/>
  <c r="CF21" i="6"/>
  <c r="CC102" i="6"/>
  <c r="P59" i="6"/>
  <c r="AF52" i="6"/>
  <c r="C90" i="6"/>
  <c r="AC113" i="6"/>
  <c r="AL53" i="6"/>
  <c r="E67" i="6"/>
  <c r="AW112" i="6"/>
  <c r="CN100" i="6"/>
  <c r="BP25" i="6"/>
  <c r="K102" i="6"/>
  <c r="BB87" i="6"/>
  <c r="BN78" i="6"/>
  <c r="BG76" i="6"/>
  <c r="V117" i="6"/>
  <c r="BY108" i="6"/>
  <c r="CJ14" i="6"/>
  <c r="AO91" i="6"/>
  <c r="AN34" i="6"/>
  <c r="AF88" i="6"/>
  <c r="AM43" i="6"/>
  <c r="L76" i="6"/>
  <c r="AP45" i="6"/>
  <c r="CD24" i="6"/>
  <c r="BX109" i="6"/>
  <c r="CB64" i="6"/>
  <c r="CK46" i="6"/>
  <c r="BT20" i="6"/>
  <c r="BO116" i="6"/>
  <c r="BU18" i="6"/>
  <c r="CH96" i="6"/>
  <c r="BE49" i="6"/>
  <c r="BL29" i="6"/>
  <c r="BG78" i="6"/>
  <c r="Y121" i="6"/>
  <c r="BD10" i="6"/>
  <c r="CK32" i="6"/>
  <c r="AY10" i="6"/>
  <c r="I105" i="6"/>
  <c r="Y19" i="6"/>
  <c r="AU121" i="6"/>
  <c r="G45" i="6"/>
  <c r="BD42" i="6"/>
  <c r="AB27" i="6"/>
  <c r="H66" i="6"/>
  <c r="U67" i="6"/>
  <c r="CH36" i="6"/>
  <c r="BO93" i="6"/>
  <c r="Z38" i="6"/>
  <c r="BF32" i="6"/>
  <c r="CJ18" i="6"/>
  <c r="AM44" i="6"/>
  <c r="CA54" i="6"/>
  <c r="AT16" i="6"/>
  <c r="BT9" i="6"/>
  <c r="BD28" i="6"/>
  <c r="AX109" i="6"/>
  <c r="N95" i="6"/>
  <c r="X110" i="6"/>
  <c r="CM67" i="6"/>
  <c r="CD58" i="6"/>
  <c r="V82" i="6"/>
  <c r="AA84" i="6"/>
  <c r="BF47" i="6"/>
  <c r="P94" i="6"/>
  <c r="M71" i="6"/>
  <c r="U93" i="6"/>
  <c r="C108" i="6"/>
  <c r="I100" i="6"/>
  <c r="BR17" i="6"/>
  <c r="AE14" i="6"/>
  <c r="AI94" i="6"/>
  <c r="C56" i="6"/>
  <c r="CJ49" i="6"/>
  <c r="X63" i="6"/>
  <c r="BS102" i="6"/>
  <c r="Y119" i="6"/>
  <c r="CL69" i="6"/>
  <c r="BK92" i="6"/>
  <c r="AL15" i="6"/>
  <c r="U91" i="6"/>
  <c r="F49" i="6"/>
  <c r="T89" i="6"/>
  <c r="AG33" i="6"/>
  <c r="AD23" i="6"/>
  <c r="W95" i="6"/>
  <c r="AP97" i="6"/>
  <c r="F83" i="6"/>
  <c r="R55" i="6"/>
  <c r="AW76" i="6"/>
  <c r="CN6" i="6"/>
  <c r="W43" i="6"/>
  <c r="BX50" i="6"/>
  <c r="CK37" i="6"/>
  <c r="CN72" i="6"/>
  <c r="CB63" i="6"/>
  <c r="R65" i="6"/>
  <c r="BL95" i="6"/>
  <c r="CG108" i="6"/>
  <c r="D70" i="6"/>
  <c r="BR68" i="6"/>
  <c r="CN50" i="6"/>
  <c r="AA35" i="6"/>
  <c r="CJ58" i="6"/>
  <c r="BL66" i="6"/>
  <c r="AF11" i="6"/>
  <c r="AZ106" i="6"/>
  <c r="W101" i="6"/>
  <c r="BP96" i="6"/>
  <c r="BL69" i="6"/>
  <c r="J113" i="6"/>
  <c r="BO114" i="6"/>
  <c r="BZ96" i="6"/>
  <c r="BH16" i="6"/>
  <c r="G88" i="6"/>
  <c r="BQ120" i="6"/>
  <c r="AB67" i="6"/>
  <c r="AB120" i="6"/>
  <c r="BB60" i="6"/>
  <c r="AE39" i="6"/>
  <c r="I112" i="6"/>
  <c r="U28" i="6"/>
  <c r="BM87" i="6"/>
  <c r="BE59" i="6"/>
  <c r="AM67" i="6"/>
  <c r="X70" i="6"/>
  <c r="BN52" i="6"/>
  <c r="Q43" i="6"/>
  <c r="R96" i="6"/>
  <c r="AU20" i="6"/>
  <c r="BH47" i="6"/>
  <c r="BN13" i="6"/>
  <c r="AY14" i="6"/>
  <c r="CD23" i="6"/>
  <c r="AR89" i="6"/>
  <c r="AH115" i="6"/>
  <c r="AR57" i="6"/>
  <c r="BQ57" i="6"/>
  <c r="BC16" i="6"/>
  <c r="CL101" i="6"/>
  <c r="AO7" i="6"/>
  <c r="BJ23" i="6"/>
  <c r="BK55" i="6"/>
  <c r="BV78" i="6"/>
  <c r="BM52" i="6"/>
  <c r="BK23" i="6"/>
  <c r="BE68" i="6"/>
  <c r="K44" i="6"/>
  <c r="AG52" i="6"/>
  <c r="AT7" i="6"/>
  <c r="CG101" i="6"/>
  <c r="BV54" i="6"/>
  <c r="CF62" i="6"/>
  <c r="O9" i="6"/>
  <c r="BH35" i="6"/>
  <c r="BO61" i="6"/>
  <c r="L41" i="6"/>
  <c r="AT9" i="6"/>
  <c r="BZ49" i="6"/>
  <c r="B91" i="6"/>
  <c r="AP106" i="6"/>
  <c r="N115" i="6"/>
  <c r="BB33" i="6"/>
  <c r="BW15" i="6"/>
  <c r="BF82" i="6"/>
  <c r="BI47" i="6"/>
  <c r="AN6" i="6"/>
  <c r="R50" i="6"/>
  <c r="N9" i="6"/>
  <c r="K117" i="6"/>
  <c r="BI58" i="6"/>
  <c r="BB46" i="6"/>
  <c r="CE74" i="6"/>
  <c r="AP89" i="6"/>
  <c r="N33" i="6"/>
  <c r="AP32" i="6"/>
  <c r="B57" i="6"/>
  <c r="CA35" i="6"/>
  <c r="BW54" i="6"/>
  <c r="AG111" i="6"/>
  <c r="BZ44" i="6"/>
  <c r="D111" i="6"/>
  <c r="AY106" i="6"/>
  <c r="BP114" i="6"/>
  <c r="CF41" i="6"/>
  <c r="BP115" i="6"/>
  <c r="BG85" i="6"/>
  <c r="J39" i="6"/>
  <c r="I107" i="6"/>
  <c r="CM99" i="6"/>
  <c r="CN48" i="6"/>
  <c r="P32" i="6"/>
  <c r="X13" i="6"/>
  <c r="AH96" i="6"/>
  <c r="AQ113" i="6"/>
  <c r="AN98" i="6"/>
  <c r="BY39" i="6"/>
  <c r="CM119" i="6"/>
  <c r="H18" i="6"/>
  <c r="AS110" i="6"/>
  <c r="AZ33" i="6"/>
  <c r="CJ59" i="6"/>
  <c r="AD74" i="6"/>
  <c r="AX63" i="6"/>
  <c r="CG118" i="6"/>
  <c r="BR13" i="6"/>
  <c r="BQ88" i="6"/>
  <c r="Y14" i="6"/>
  <c r="BW25" i="6"/>
  <c r="AT27" i="6"/>
  <c r="BP106" i="6"/>
  <c r="AC120" i="6"/>
  <c r="AX101" i="6"/>
  <c r="CE93" i="6"/>
  <c r="I93" i="6"/>
  <c r="X100" i="6"/>
  <c r="C45" i="6"/>
  <c r="AJ73" i="6"/>
  <c r="L81" i="6"/>
  <c r="BL10" i="6"/>
  <c r="BY37" i="6"/>
  <c r="BS121" i="6"/>
  <c r="CB96" i="6"/>
  <c r="J80" i="6"/>
  <c r="AM85" i="6"/>
  <c r="CF24" i="6"/>
  <c r="BV108" i="6"/>
  <c r="J43" i="6"/>
  <c r="BN25" i="6"/>
  <c r="K14" i="6"/>
  <c r="AM26" i="6"/>
  <c r="BD63" i="6"/>
  <c r="BK98" i="6"/>
  <c r="BI97" i="6"/>
  <c r="D90" i="6"/>
  <c r="P7" i="6"/>
  <c r="AD97" i="6"/>
  <c r="I109" i="6"/>
  <c r="Q70" i="6"/>
  <c r="AB65" i="6"/>
  <c r="CJ66" i="6"/>
  <c r="CG76" i="6"/>
  <c r="AK50" i="6"/>
  <c r="Z6" i="6"/>
  <c r="CD78" i="6"/>
  <c r="CC114" i="6"/>
  <c r="CE10" i="6"/>
  <c r="BW38" i="6"/>
  <c r="W26" i="6"/>
  <c r="BE89" i="6"/>
  <c r="AD44" i="6"/>
  <c r="G118" i="6"/>
  <c r="CB118" i="6"/>
  <c r="CM87" i="6"/>
  <c r="BE42" i="6"/>
  <c r="CL16" i="6"/>
  <c r="CI58" i="6"/>
  <c r="BK11" i="6"/>
  <c r="AG28" i="6"/>
  <c r="BD26" i="6"/>
  <c r="Y30" i="6"/>
  <c r="AB16" i="6"/>
  <c r="CL97" i="6"/>
  <c r="W109" i="6"/>
  <c r="AT47" i="6"/>
  <c r="AB19" i="6"/>
  <c r="CK54" i="6"/>
  <c r="CA103" i="6"/>
  <c r="BT89" i="6"/>
  <c r="U75" i="6"/>
  <c r="S18" i="6"/>
  <c r="AI117" i="6"/>
  <c r="CC44" i="6"/>
  <c r="T120" i="6"/>
  <c r="D84" i="6"/>
  <c r="AP79" i="6"/>
  <c r="W90" i="6"/>
  <c r="BF41" i="6"/>
  <c r="D94" i="6"/>
  <c r="CB77" i="6"/>
  <c r="AP39" i="6"/>
  <c r="AY40" i="6"/>
  <c r="BM57" i="6"/>
  <c r="AU23" i="6"/>
  <c r="G104" i="6"/>
  <c r="S78" i="6"/>
  <c r="AH104" i="6"/>
  <c r="AS58" i="6"/>
  <c r="AN119" i="6"/>
  <c r="CG42" i="6"/>
  <c r="BJ41" i="6"/>
  <c r="U90" i="6"/>
  <c r="AB23" i="6"/>
  <c r="BF50" i="6"/>
  <c r="AO104" i="6"/>
  <c r="I39" i="6"/>
  <c r="AD67" i="6"/>
  <c r="BI81" i="6"/>
  <c r="D45" i="6"/>
  <c r="AV71" i="6"/>
  <c r="CI30" i="6"/>
  <c r="E64" i="6"/>
  <c r="BM28" i="6"/>
  <c r="CA7" i="6"/>
  <c r="CI80" i="6"/>
  <c r="BB38" i="6"/>
  <c r="CG79" i="6"/>
  <c r="T19" i="6"/>
  <c r="BS62" i="6"/>
  <c r="AR111" i="6"/>
  <c r="N14" i="6"/>
  <c r="AS60" i="6"/>
  <c r="C96" i="6"/>
  <c r="AI57" i="6"/>
  <c r="BM13" i="6"/>
  <c r="D58" i="6"/>
  <c r="L78" i="6"/>
  <c r="BI42" i="6"/>
  <c r="O45" i="6"/>
  <c r="I65" i="6"/>
  <c r="N8" i="6"/>
  <c r="BH50" i="6"/>
  <c r="L40" i="6"/>
  <c r="AT82" i="6"/>
  <c r="AM15" i="6"/>
  <c r="AP66" i="6"/>
  <c r="AP107" i="6"/>
  <c r="CA65" i="6"/>
  <c r="U7" i="6"/>
  <c r="CI20" i="6"/>
  <c r="CC54" i="6"/>
  <c r="T13" i="6"/>
  <c r="BB54" i="6"/>
  <c r="BG98" i="6"/>
  <c r="J78" i="6"/>
  <c r="AX89" i="6"/>
  <c r="AA100" i="6"/>
  <c r="V57" i="6"/>
  <c r="CG86" i="6"/>
  <c r="BC47" i="6"/>
  <c r="O95" i="6"/>
  <c r="BA27" i="6"/>
  <c r="BU26" i="6"/>
  <c r="X38" i="6"/>
  <c r="AW58" i="6"/>
  <c r="CA43" i="6"/>
  <c r="BL49" i="6"/>
  <c r="I84" i="6"/>
  <c r="F52" i="6"/>
  <c r="E52" i="6"/>
  <c r="CD17" i="6"/>
  <c r="S75" i="6"/>
  <c r="BE87" i="6"/>
  <c r="Z121" i="6"/>
  <c r="AO55" i="6"/>
  <c r="L56" i="6"/>
  <c r="AW120" i="6"/>
  <c r="AS77" i="6"/>
  <c r="BL100" i="6"/>
  <c r="AV85" i="6"/>
  <c r="AJ23" i="6"/>
  <c r="W63" i="6"/>
  <c r="P108" i="6"/>
  <c r="AN92" i="6"/>
  <c r="AE30" i="6"/>
  <c r="BP93" i="6"/>
  <c r="V25" i="6"/>
  <c r="AB49" i="6"/>
  <c r="J111" i="6"/>
  <c r="BI17" i="6"/>
  <c r="AQ108" i="6"/>
  <c r="BJ117" i="6"/>
  <c r="AF43" i="6"/>
  <c r="X115" i="6"/>
  <c r="AT115" i="6"/>
  <c r="CK17" i="6"/>
  <c r="S27" i="6"/>
  <c r="CM102" i="6"/>
  <c r="CD88" i="6"/>
  <c r="AZ83" i="6"/>
  <c r="AJ68" i="6"/>
  <c r="Z12" i="6"/>
  <c r="BZ13" i="6"/>
  <c r="AB96" i="6"/>
  <c r="T24" i="6"/>
  <c r="CF92" i="6"/>
  <c r="CE76" i="6"/>
  <c r="BV16" i="6"/>
  <c r="BM103" i="6"/>
  <c r="M82" i="6"/>
  <c r="BR14" i="6"/>
  <c r="V106" i="6"/>
  <c r="BZ71" i="6"/>
  <c r="CE8" i="6"/>
  <c r="BQ116" i="6"/>
  <c r="O29" i="6"/>
  <c r="AP13" i="6"/>
  <c r="CB93" i="6"/>
  <c r="E50" i="6"/>
  <c r="AW109" i="6"/>
  <c r="AE85" i="6"/>
  <c r="CG18" i="6"/>
  <c r="AN45" i="6"/>
  <c r="N99" i="6"/>
  <c r="CJ119" i="6"/>
  <c r="G38" i="6"/>
  <c r="AG82" i="6"/>
  <c r="CI59" i="6"/>
  <c r="BV61" i="6"/>
  <c r="CB58" i="6"/>
  <c r="CG35" i="6"/>
  <c r="BF13" i="6"/>
  <c r="B79" i="6"/>
  <c r="I79" i="6"/>
  <c r="V28" i="6"/>
  <c r="BU66" i="6"/>
  <c r="BE72" i="6"/>
  <c r="AR105" i="6"/>
  <c r="BJ65" i="6"/>
  <c r="D38" i="6"/>
  <c r="BP71" i="6"/>
  <c r="BJ87" i="6"/>
  <c r="BC65" i="6"/>
  <c r="W22" i="6"/>
  <c r="BR19" i="6"/>
  <c r="Y109" i="6"/>
  <c r="F113" i="6"/>
  <c r="N62" i="6"/>
  <c r="BR27" i="6"/>
  <c r="CD62" i="6"/>
  <c r="AG115" i="6"/>
  <c r="CB116" i="6"/>
  <c r="BP34" i="6"/>
  <c r="AU62" i="6"/>
  <c r="N121" i="6"/>
  <c r="AO117" i="6"/>
  <c r="CL26" i="6"/>
  <c r="BG20" i="6"/>
  <c r="N10" i="6"/>
  <c r="BK86" i="6"/>
  <c r="R77" i="6"/>
  <c r="F70" i="6"/>
  <c r="CG41" i="6"/>
  <c r="M50" i="6"/>
  <c r="X46" i="6"/>
  <c r="CF23" i="6"/>
  <c r="AD33" i="6"/>
  <c r="W85" i="6"/>
  <c r="C91" i="6"/>
  <c r="AJ71" i="6"/>
  <c r="BV35" i="6"/>
  <c r="AZ21" i="6"/>
  <c r="BV34" i="6"/>
  <c r="BM54" i="6"/>
  <c r="W36" i="6"/>
  <c r="L54" i="6"/>
  <c r="AB45" i="6"/>
  <c r="Z102" i="6"/>
  <c r="K52" i="6"/>
  <c r="O55" i="6"/>
  <c r="BW75" i="6"/>
  <c r="Z62" i="6"/>
  <c r="BP17" i="6"/>
  <c r="BA99" i="6"/>
  <c r="AZ16" i="6"/>
  <c r="AL62" i="6"/>
  <c r="AD14" i="6"/>
  <c r="S17" i="6"/>
  <c r="AZ103" i="6"/>
  <c r="BI66" i="6"/>
  <c r="Y46" i="6"/>
  <c r="F38" i="6"/>
  <c r="CH113" i="6"/>
  <c r="U38" i="6"/>
  <c r="BD58" i="6"/>
  <c r="E51" i="6"/>
  <c r="CC51" i="6"/>
  <c r="B31" i="6"/>
  <c r="BF22" i="6"/>
  <c r="Z59" i="6"/>
  <c r="AQ50" i="6"/>
  <c r="AV97" i="6"/>
  <c r="BY91" i="6"/>
  <c r="AA6" i="6"/>
  <c r="R79" i="6"/>
  <c r="K55" i="6"/>
  <c r="D72" i="6"/>
  <c r="L99" i="6"/>
  <c r="F7" i="6"/>
  <c r="AS48" i="6"/>
  <c r="AD22" i="6"/>
  <c r="BS88" i="6"/>
  <c r="BO56" i="6"/>
  <c r="BV48" i="6"/>
  <c r="BN60" i="6"/>
  <c r="C98" i="6"/>
  <c r="AI86" i="6"/>
  <c r="B51" i="6"/>
  <c r="AB116" i="6"/>
  <c r="CA87" i="6"/>
  <c r="CE121" i="6"/>
  <c r="AE47" i="6"/>
  <c r="V103" i="6"/>
  <c r="BV63" i="6"/>
  <c r="BD33" i="6"/>
  <c r="AO15" i="6"/>
  <c r="BM55" i="6"/>
  <c r="CI85" i="6"/>
  <c r="D56" i="6"/>
  <c r="G50" i="6"/>
  <c r="C54" i="6"/>
  <c r="CM73" i="6"/>
  <c r="CD59" i="6"/>
  <c r="CF45" i="6"/>
  <c r="AG40" i="6"/>
  <c r="AZ71" i="6"/>
  <c r="CH38" i="6"/>
  <c r="AC35" i="6"/>
  <c r="E116" i="6"/>
  <c r="O104" i="6"/>
  <c r="BB7" i="6"/>
  <c r="B13" i="6"/>
  <c r="C105" i="6"/>
  <c r="AX60" i="6"/>
  <c r="AX73" i="6"/>
  <c r="AY31" i="6"/>
  <c r="AI43" i="6"/>
  <c r="AI31" i="6"/>
  <c r="AG47" i="6"/>
  <c r="BA12" i="6"/>
  <c r="BD120" i="6"/>
  <c r="O53" i="6"/>
  <c r="U87" i="6"/>
  <c r="BO95" i="6"/>
  <c r="BP40" i="6"/>
  <c r="BH11" i="6"/>
  <c r="BO89" i="6"/>
  <c r="AQ41" i="6"/>
  <c r="CD79" i="6"/>
  <c r="AL49" i="6"/>
  <c r="CD46" i="6"/>
  <c r="BM45" i="6"/>
  <c r="BA19" i="6"/>
  <c r="CE65" i="6"/>
  <c r="T99" i="6"/>
  <c r="AS82" i="6"/>
  <c r="H38" i="6"/>
  <c r="I48" i="6"/>
  <c r="BI93" i="6"/>
  <c r="W49" i="6"/>
  <c r="BS84" i="6"/>
  <c r="H52" i="6"/>
  <c r="BK32" i="6"/>
  <c r="CI21" i="6"/>
  <c r="BF85" i="6"/>
  <c r="CF91" i="6"/>
  <c r="Q72" i="6"/>
  <c r="AH85" i="6"/>
  <c r="AT45" i="6"/>
  <c r="S63" i="6"/>
  <c r="R33" i="6"/>
  <c r="AY36" i="6"/>
  <c r="AA53" i="6"/>
  <c r="BM85" i="6"/>
  <c r="AI28" i="6"/>
  <c r="AS92" i="6"/>
  <c r="AF104" i="6"/>
  <c r="AZ115" i="6"/>
  <c r="BQ25" i="6"/>
  <c r="AW17" i="6"/>
  <c r="Y112" i="6"/>
  <c r="CE56" i="6"/>
  <c r="AB64" i="6"/>
  <c r="CE94" i="6"/>
  <c r="BO17" i="6"/>
  <c r="D102" i="6"/>
  <c r="CE83" i="6"/>
  <c r="W60" i="6"/>
  <c r="CA95" i="6"/>
  <c r="CB7" i="6"/>
  <c r="BG43" i="6"/>
  <c r="BL7" i="6"/>
  <c r="BX21" i="6"/>
  <c r="L38" i="6"/>
  <c r="AU30" i="6"/>
  <c r="CK27" i="6"/>
  <c r="BD95" i="6"/>
  <c r="AI10" i="6"/>
  <c r="CI61" i="6"/>
  <c r="BI67" i="6"/>
  <c r="BM18" i="6"/>
  <c r="AF44" i="6"/>
  <c r="Q24" i="6"/>
  <c r="R39" i="6"/>
  <c r="BT7" i="6"/>
  <c r="Z50" i="6"/>
  <c r="BB53" i="6"/>
  <c r="BG101" i="6"/>
  <c r="L7" i="6"/>
  <c r="D35" i="6"/>
  <c r="BK104" i="6"/>
  <c r="T51" i="6"/>
  <c r="W69" i="6"/>
  <c r="BA89" i="6"/>
  <c r="AE15" i="6"/>
  <c r="AN14" i="6"/>
  <c r="CL74" i="6"/>
  <c r="N105" i="6"/>
  <c r="AB22" i="6"/>
  <c r="CJ41" i="6"/>
  <c r="CG63" i="6"/>
  <c r="AA96" i="6"/>
  <c r="AQ43" i="6"/>
  <c r="CF59" i="6"/>
  <c r="BK80" i="6"/>
  <c r="BP51" i="6"/>
  <c r="X93" i="6"/>
  <c r="S50" i="6"/>
  <c r="BG55" i="6"/>
  <c r="CG65" i="6"/>
  <c r="AK41" i="6"/>
  <c r="AS35" i="6"/>
  <c r="AH81" i="6"/>
  <c r="AD73" i="6"/>
  <c r="Z83" i="6"/>
  <c r="O73" i="6"/>
  <c r="BV25" i="6"/>
  <c r="CG57" i="6"/>
  <c r="F29" i="6"/>
  <c r="BY61" i="6"/>
  <c r="AE54" i="6"/>
  <c r="CC106" i="6"/>
  <c r="U12" i="6"/>
  <c r="AH97" i="6"/>
  <c r="CN19" i="6"/>
  <c r="AJ45" i="6"/>
  <c r="AH59" i="6"/>
  <c r="AT118" i="6"/>
  <c r="BL91" i="6"/>
  <c r="BO106" i="6"/>
  <c r="AU46" i="6"/>
  <c r="BV64" i="6"/>
  <c r="AV89" i="6"/>
  <c r="AS25" i="6"/>
  <c r="AP69" i="6"/>
  <c r="F31" i="6"/>
  <c r="AQ103" i="6"/>
  <c r="AO18" i="6"/>
  <c r="BV88" i="6"/>
  <c r="BS18" i="6"/>
  <c r="BK113" i="6"/>
  <c r="BE118" i="6"/>
  <c r="V17" i="6"/>
  <c r="BU61" i="6"/>
  <c r="AC26" i="6"/>
  <c r="D49" i="6"/>
  <c r="BB18" i="6"/>
  <c r="AA107" i="6"/>
  <c r="AX86" i="6"/>
  <c r="BN58" i="6"/>
  <c r="P79" i="6"/>
  <c r="AM66" i="6"/>
  <c r="BK45" i="6"/>
  <c r="BQ20" i="6"/>
  <c r="CC24" i="6"/>
  <c r="AN109" i="6"/>
  <c r="BP47" i="6"/>
  <c r="CJ108" i="6"/>
  <c r="Q110" i="6"/>
  <c r="BL102" i="6"/>
  <c r="AD82" i="6"/>
  <c r="BZ42" i="6"/>
  <c r="AK57" i="6"/>
  <c r="AQ22" i="6"/>
  <c r="CE29" i="6"/>
  <c r="AA58" i="6"/>
  <c r="AV36" i="6"/>
  <c r="AL17" i="6"/>
  <c r="I55" i="6"/>
  <c r="CK78" i="6"/>
  <c r="BI68" i="6"/>
  <c r="CA40" i="6"/>
  <c r="AT33" i="6"/>
  <c r="O10" i="6"/>
  <c r="AE18" i="6"/>
  <c r="J57" i="6"/>
  <c r="BM15" i="6"/>
  <c r="AQ62" i="6"/>
  <c r="AN64" i="6"/>
  <c r="BG27" i="6"/>
  <c r="AD114" i="6"/>
  <c r="BI70" i="6"/>
  <c r="M83" i="6"/>
  <c r="L12" i="6"/>
  <c r="AT117" i="6"/>
  <c r="BO48" i="6"/>
  <c r="BD81" i="6"/>
  <c r="CI116" i="6"/>
  <c r="AU17" i="6"/>
  <c r="BB72" i="6"/>
  <c r="AZ37" i="6"/>
  <c r="BE107" i="6"/>
  <c r="AU95" i="6"/>
  <c r="AU90" i="6"/>
  <c r="AR51" i="6"/>
  <c r="CF109" i="6"/>
  <c r="B49" i="6"/>
  <c r="AZ87" i="6"/>
  <c r="CG7" i="6"/>
  <c r="CH83" i="6"/>
  <c r="BJ17" i="6"/>
  <c r="BW72" i="6"/>
  <c r="H35" i="6"/>
  <c r="T104" i="6"/>
  <c r="BH121" i="6"/>
  <c r="CC95" i="6"/>
  <c r="AU31" i="6"/>
  <c r="AM30" i="6"/>
  <c r="X22" i="6"/>
  <c r="BM21" i="6"/>
  <c r="Q100" i="6"/>
  <c r="F53" i="6"/>
  <c r="CN65" i="6"/>
  <c r="AH18" i="6"/>
  <c r="O117" i="6"/>
  <c r="BU35" i="6"/>
  <c r="BH111" i="6"/>
  <c r="BG29" i="6"/>
  <c r="Y90" i="6"/>
  <c r="AC73" i="6"/>
  <c r="D113" i="6"/>
  <c r="BD97" i="6"/>
  <c r="X20" i="6"/>
  <c r="V79" i="6"/>
  <c r="CA81" i="6"/>
  <c r="AI42" i="6"/>
  <c r="AN66" i="6"/>
  <c r="B114" i="6"/>
  <c r="BN29" i="6"/>
  <c r="P18" i="6"/>
  <c r="BV85" i="6"/>
  <c r="BP48" i="6"/>
  <c r="J40" i="6"/>
  <c r="AP14" i="6"/>
  <c r="J50" i="6"/>
  <c r="AL43" i="6"/>
  <c r="S109" i="6"/>
  <c r="BR73" i="6"/>
  <c r="BV112" i="6"/>
  <c r="AN85" i="6"/>
  <c r="P39" i="6"/>
  <c r="P55" i="6"/>
  <c r="J81" i="6"/>
  <c r="CM77" i="6"/>
  <c r="BG34" i="6"/>
  <c r="BO69" i="6"/>
  <c r="CJ13" i="6"/>
  <c r="AR118" i="6"/>
  <c r="AL93" i="6"/>
  <c r="W37" i="6"/>
  <c r="N55" i="6"/>
  <c r="AH65" i="6"/>
  <c r="BF75" i="6"/>
  <c r="CC53" i="6"/>
  <c r="S43" i="6"/>
  <c r="K104" i="6"/>
  <c r="S35" i="6"/>
  <c r="BS71" i="6"/>
  <c r="AS109" i="6"/>
  <c r="W113" i="6"/>
  <c r="I74" i="6"/>
  <c r="Q25" i="6"/>
  <c r="Q108" i="6"/>
  <c r="CE90" i="6"/>
  <c r="BG116" i="6"/>
  <c r="J38" i="6"/>
  <c r="E78" i="6"/>
  <c r="H91" i="6"/>
  <c r="CA83" i="6"/>
  <c r="BW9" i="6"/>
  <c r="AA47" i="6"/>
  <c r="BL14" i="6"/>
  <c r="V84" i="6"/>
  <c r="CL87" i="6"/>
  <c r="AP40" i="6"/>
  <c r="AO69" i="6"/>
  <c r="AM113" i="6"/>
  <c r="CM24" i="6"/>
  <c r="K68" i="6"/>
  <c r="BE63" i="6"/>
  <c r="CL29" i="6"/>
  <c r="AU22" i="6"/>
  <c r="CM61" i="6"/>
  <c r="C40" i="6"/>
  <c r="X82" i="6"/>
  <c r="Y88" i="6"/>
  <c r="AU98" i="6"/>
  <c r="AG42" i="6"/>
  <c r="BE95" i="6"/>
  <c r="E57" i="6"/>
  <c r="AW68" i="6"/>
  <c r="AL36" i="6"/>
  <c r="N87" i="6"/>
  <c r="CE16" i="6"/>
  <c r="F37" i="6"/>
  <c r="E20" i="6"/>
  <c r="AK100" i="6"/>
  <c r="BJ42" i="6"/>
  <c r="V44" i="6"/>
  <c r="CC67" i="6"/>
  <c r="BX81" i="6"/>
  <c r="C72" i="6"/>
  <c r="AD120" i="6"/>
  <c r="BR20" i="6"/>
  <c r="CJ82" i="6"/>
  <c r="CI120" i="6"/>
  <c r="BM25" i="6"/>
  <c r="K39" i="6"/>
  <c r="AB91" i="6"/>
  <c r="C24" i="6"/>
  <c r="CG12" i="6"/>
  <c r="F112" i="6"/>
  <c r="BH120" i="6"/>
  <c r="AS96" i="6"/>
  <c r="BF106" i="6"/>
  <c r="AF60" i="6"/>
  <c r="BO27" i="6"/>
  <c r="BJ94" i="6"/>
  <c r="CM117" i="6"/>
  <c r="AM60" i="6"/>
  <c r="C60" i="6"/>
  <c r="BJ74" i="6"/>
  <c r="BM68" i="6"/>
  <c r="CE51" i="6"/>
  <c r="BM12" i="6"/>
  <c r="BO74" i="6"/>
  <c r="AO103" i="6"/>
  <c r="O31" i="6"/>
  <c r="BF18" i="6"/>
  <c r="BP65" i="6"/>
  <c r="CB90" i="6"/>
  <c r="CG21" i="6"/>
  <c r="G65" i="6"/>
  <c r="BS10" i="6"/>
  <c r="CB16" i="6"/>
  <c r="CE106" i="6"/>
  <c r="V65" i="6"/>
  <c r="W9" i="6"/>
  <c r="M13" i="6"/>
  <c r="CG58" i="6"/>
  <c r="AD57" i="6"/>
  <c r="BR53" i="6"/>
  <c r="BU31" i="6"/>
  <c r="AE93" i="6"/>
  <c r="BA20" i="6"/>
  <c r="BQ54" i="6"/>
  <c r="AF12" i="6"/>
  <c r="BV92" i="6"/>
  <c r="L70" i="6"/>
  <c r="BP67" i="6"/>
  <c r="CL77" i="6"/>
  <c r="D31" i="6"/>
  <c r="F47" i="6"/>
  <c r="CL18" i="6"/>
  <c r="AA37" i="6"/>
  <c r="F48" i="6"/>
  <c r="AA70" i="6"/>
  <c r="S11" i="6"/>
  <c r="BW56" i="6"/>
  <c r="AW100" i="6"/>
  <c r="O39" i="6"/>
  <c r="B105" i="6"/>
  <c r="BQ15" i="6"/>
  <c r="AF70" i="6"/>
  <c r="X45" i="6"/>
  <c r="J94" i="6"/>
  <c r="M78" i="6"/>
  <c r="AH33" i="6"/>
  <c r="G107" i="6"/>
  <c r="BZ9" i="6"/>
  <c r="CF96" i="6"/>
  <c r="M6" i="6"/>
  <c r="J56" i="6"/>
  <c r="P76" i="6"/>
  <c r="AO8" i="6"/>
  <c r="BP105" i="6"/>
  <c r="AW116" i="6"/>
  <c r="N85" i="6"/>
  <c r="L106" i="6"/>
  <c r="P96" i="6"/>
  <c r="AQ11" i="6"/>
  <c r="BW65" i="6"/>
  <c r="CI72" i="6"/>
  <c r="BT38" i="6"/>
  <c r="AC84" i="6"/>
  <c r="BB101" i="6"/>
  <c r="O11" i="6"/>
  <c r="AC94" i="6"/>
  <c r="AR112" i="6"/>
  <c r="BC75" i="6"/>
  <c r="CG11" i="6"/>
  <c r="BS120" i="6"/>
  <c r="O22" i="6"/>
  <c r="K46" i="6"/>
  <c r="H40" i="6"/>
  <c r="D50" i="6"/>
  <c r="BU105" i="6"/>
  <c r="BE12" i="6"/>
  <c r="CI119" i="6"/>
  <c r="AU87" i="6"/>
  <c r="CM62" i="6"/>
  <c r="E10" i="6"/>
  <c r="BL12" i="6"/>
  <c r="BO47" i="6"/>
  <c r="BM7" i="6"/>
  <c r="BH60" i="6"/>
  <c r="H60" i="6"/>
  <c r="B48" i="6"/>
  <c r="AV15" i="6"/>
  <c r="CB57" i="6"/>
  <c r="BF73" i="6"/>
  <c r="BS12" i="6"/>
  <c r="CJ70" i="6"/>
  <c r="BW29" i="6"/>
  <c r="AL10" i="6"/>
  <c r="BE115" i="6"/>
  <c r="BU28" i="6"/>
  <c r="CE120" i="6"/>
  <c r="Q12" i="6"/>
  <c r="AX38" i="6"/>
  <c r="CI37" i="6"/>
  <c r="BA55" i="6"/>
  <c r="CJ102" i="6"/>
  <c r="CK35" i="6"/>
  <c r="BF62" i="6"/>
  <c r="AF27" i="6"/>
  <c r="Z117" i="6"/>
  <c r="R91" i="6"/>
  <c r="AU73" i="6"/>
  <c r="O71" i="6"/>
  <c r="BX52" i="6"/>
  <c r="AB110" i="6"/>
  <c r="Q56" i="6"/>
  <c r="R38" i="6"/>
  <c r="K21" i="6"/>
  <c r="AH76" i="6"/>
  <c r="CL96" i="6"/>
  <c r="BE16" i="6"/>
  <c r="AJ17" i="6"/>
  <c r="L36" i="6"/>
  <c r="AS45" i="6"/>
  <c r="AN63" i="6"/>
  <c r="CB76" i="6"/>
  <c r="AP115" i="6"/>
  <c r="AH108" i="6"/>
  <c r="AX102" i="6"/>
  <c r="CM41" i="6"/>
  <c r="F32" i="6"/>
  <c r="AA38" i="6"/>
  <c r="W21" i="6"/>
  <c r="Y82" i="6"/>
  <c r="CJ15" i="6"/>
  <c r="BM53" i="6"/>
  <c r="AP75" i="6"/>
  <c r="BK71" i="6"/>
  <c r="AD45" i="6"/>
  <c r="CD84" i="6"/>
  <c r="AQ31" i="6"/>
  <c r="W114" i="6"/>
  <c r="CK28" i="6"/>
  <c r="AC111" i="6"/>
  <c r="AO62" i="6"/>
  <c r="CE31" i="6"/>
  <c r="M101" i="6"/>
  <c r="AI17" i="6"/>
  <c r="G121" i="6"/>
  <c r="CA102" i="6"/>
  <c r="BE102" i="6"/>
  <c r="U70" i="6"/>
  <c r="AM51" i="6"/>
  <c r="AH28" i="6"/>
  <c r="BJ91" i="6"/>
  <c r="BX108" i="6"/>
  <c r="CD92" i="6"/>
  <c r="G57" i="6"/>
  <c r="AD10" i="6"/>
  <c r="BR47" i="6"/>
  <c r="V33" i="6"/>
  <c r="AR13" i="6"/>
  <c r="AV8" i="6"/>
  <c r="CD60" i="6"/>
  <c r="R16" i="6"/>
  <c r="O17" i="6"/>
  <c r="BX56" i="6"/>
  <c r="BE54" i="6"/>
  <c r="BN34" i="6"/>
  <c r="AQ21" i="6"/>
  <c r="CE118" i="6"/>
  <c r="G21" i="6"/>
  <c r="AT58" i="6"/>
  <c r="AX19" i="6"/>
  <c r="AV68" i="6"/>
  <c r="CM94" i="6"/>
  <c r="BX96" i="6"/>
  <c r="O20" i="6"/>
  <c r="CF40" i="6"/>
  <c r="BU12" i="6"/>
  <c r="V12" i="6"/>
  <c r="AN87" i="6"/>
  <c r="BC99" i="6"/>
  <c r="BF87" i="6"/>
  <c r="BB68" i="6"/>
  <c r="D64" i="6"/>
  <c r="BO6" i="6"/>
  <c r="AY91" i="6"/>
  <c r="AU16" i="6"/>
  <c r="B10" i="6"/>
  <c r="S39" i="6"/>
  <c r="BP6" i="6"/>
  <c r="AL35" i="6"/>
  <c r="CD12" i="6"/>
  <c r="AV80" i="6"/>
  <c r="R83" i="6"/>
  <c r="BP60" i="6"/>
  <c r="CA84" i="6"/>
  <c r="N27" i="6"/>
  <c r="AD26" i="6"/>
  <c r="BW43" i="6"/>
  <c r="AM59" i="6"/>
  <c r="AI106" i="6"/>
  <c r="AX76" i="6"/>
  <c r="BZ57" i="6"/>
  <c r="CM75" i="6"/>
  <c r="CJ38" i="6"/>
  <c r="CJ113" i="6"/>
  <c r="BG45" i="6"/>
  <c r="G101" i="6"/>
  <c r="CN96" i="6"/>
  <c r="AR93" i="6"/>
  <c r="AU72" i="6"/>
  <c r="G39" i="6"/>
  <c r="CF65" i="6"/>
  <c r="BU32" i="6"/>
  <c r="CI38" i="6"/>
  <c r="X107" i="6"/>
  <c r="BF97" i="6"/>
  <c r="CI47" i="6"/>
  <c r="BV52" i="6"/>
  <c r="C50" i="6"/>
  <c r="BI51" i="6"/>
  <c r="Z94" i="6"/>
  <c r="AR46" i="6"/>
  <c r="BM60" i="6"/>
  <c r="P64" i="6"/>
  <c r="BD52" i="6"/>
  <c r="M88" i="6"/>
  <c r="BL106" i="6"/>
  <c r="AL81" i="6"/>
  <c r="BH118" i="6"/>
  <c r="AF30" i="6"/>
  <c r="CL66" i="6"/>
  <c r="AF97" i="6"/>
  <c r="AQ55" i="6"/>
  <c r="CC31" i="6"/>
  <c r="AY43" i="6"/>
  <c r="BE51" i="6"/>
  <c r="Q84" i="6"/>
  <c r="AR81" i="6"/>
  <c r="AO6" i="6"/>
  <c r="AL115" i="6"/>
  <c r="CB20" i="6"/>
  <c r="BV109" i="6"/>
  <c r="U15" i="6"/>
  <c r="AI27" i="6"/>
  <c r="BM115" i="6"/>
  <c r="E34" i="6"/>
  <c r="AF95" i="6"/>
  <c r="BZ90" i="6"/>
  <c r="AV26" i="6"/>
  <c r="Y80" i="6"/>
  <c r="BB56" i="6"/>
  <c r="AW71" i="6"/>
  <c r="V90" i="6"/>
  <c r="BA121" i="6"/>
  <c r="M22" i="6"/>
  <c r="BJ12" i="6"/>
  <c r="AD103" i="6"/>
  <c r="BF110" i="6"/>
  <c r="CK115" i="6"/>
  <c r="CJ80" i="6"/>
  <c r="N101" i="6"/>
  <c r="CH104" i="6"/>
  <c r="B52" i="6"/>
  <c r="S14" i="6"/>
  <c r="BC50" i="6"/>
  <c r="AH30" i="6"/>
  <c r="AF59" i="6"/>
  <c r="BK54" i="6"/>
  <c r="AZ98" i="6"/>
  <c r="BR110" i="6"/>
  <c r="AR106" i="6"/>
  <c r="BA94" i="6"/>
  <c r="BB23" i="6"/>
  <c r="CB69" i="6"/>
  <c r="K59" i="6"/>
  <c r="CC16" i="6"/>
  <c r="AS31" i="6"/>
  <c r="BH29" i="6"/>
  <c r="G29" i="6"/>
  <c r="BK48" i="6"/>
  <c r="BO40" i="6"/>
  <c r="T53" i="6"/>
  <c r="Q41" i="6"/>
  <c r="AB11" i="6"/>
  <c r="I83" i="6"/>
  <c r="AI104" i="6"/>
  <c r="BE113" i="6"/>
  <c r="BP90" i="6"/>
  <c r="BQ68" i="6"/>
  <c r="AG87" i="6"/>
  <c r="V35" i="6"/>
  <c r="T25" i="6"/>
  <c r="AQ80" i="6"/>
  <c r="Z22" i="6"/>
  <c r="S57" i="6"/>
  <c r="CE99" i="6"/>
  <c r="AP105" i="6"/>
  <c r="W14" i="6"/>
  <c r="K63" i="6"/>
  <c r="M49" i="6"/>
  <c r="BT54" i="6"/>
  <c r="AN108" i="6"/>
  <c r="V9" i="6"/>
  <c r="CA85" i="6"/>
  <c r="AQ30" i="6"/>
  <c r="AZ45" i="6"/>
  <c r="R121" i="6"/>
  <c r="U20" i="6"/>
  <c r="J13" i="6"/>
  <c r="G55" i="6"/>
  <c r="AL8" i="6"/>
  <c r="AH90" i="6"/>
  <c r="S28" i="6"/>
  <c r="AR71" i="6"/>
  <c r="L52" i="6"/>
  <c r="AR68" i="6"/>
  <c r="CI49" i="6"/>
  <c r="CM36" i="6"/>
  <c r="AY15" i="6"/>
  <c r="CN43" i="6"/>
  <c r="CG83" i="6"/>
  <c r="BJ114" i="6"/>
  <c r="AM53" i="6"/>
  <c r="BK17" i="6"/>
  <c r="AZ25" i="6"/>
  <c r="BC41" i="6"/>
  <c r="AX78" i="6"/>
  <c r="AB69" i="6"/>
  <c r="BC32" i="6"/>
  <c r="AQ13" i="6"/>
  <c r="BT42" i="6"/>
  <c r="AU33" i="6"/>
  <c r="CE44" i="6"/>
  <c r="AW78" i="6"/>
  <c r="K67" i="6"/>
  <c r="BD77" i="6"/>
  <c r="BY31" i="6"/>
  <c r="CB85" i="6"/>
  <c r="BR84" i="6"/>
  <c r="C31" i="6"/>
  <c r="Z58" i="6"/>
  <c r="H102" i="6"/>
  <c r="BJ113" i="6"/>
  <c r="O92" i="6"/>
  <c r="BZ7" i="6"/>
  <c r="AU45" i="6"/>
  <c r="BZ86" i="6"/>
  <c r="O85" i="6"/>
  <c r="BA40" i="6"/>
  <c r="BU50" i="6"/>
  <c r="AU106" i="6"/>
  <c r="BS40" i="6"/>
  <c r="AM25" i="6"/>
  <c r="L51" i="6"/>
  <c r="AE28" i="6"/>
  <c r="S106" i="6"/>
  <c r="AW56" i="6"/>
  <c r="AZ55" i="6"/>
  <c r="AC61" i="6"/>
  <c r="C39" i="6"/>
  <c r="AI16" i="6"/>
  <c r="M25" i="6"/>
  <c r="BF21" i="6"/>
  <c r="BZ84" i="6"/>
  <c r="BL89" i="6"/>
  <c r="CH85" i="6"/>
  <c r="CE46" i="6"/>
  <c r="AX39" i="6"/>
  <c r="CF78" i="6"/>
  <c r="X76" i="6"/>
  <c r="AG121" i="6"/>
  <c r="BS48" i="6"/>
  <c r="AF25" i="6"/>
  <c r="C21" i="6"/>
  <c r="BW95" i="6"/>
  <c r="AU89" i="6"/>
  <c r="BH28" i="6"/>
  <c r="AG100" i="6"/>
  <c r="AA18" i="6"/>
  <c r="S31" i="6"/>
  <c r="AV42" i="6"/>
  <c r="AJ76" i="6"/>
  <c r="BE19" i="6"/>
  <c r="AN69" i="6"/>
  <c r="AY16" i="6"/>
  <c r="V92" i="6"/>
  <c r="BH109" i="6"/>
  <c r="AO118" i="6"/>
  <c r="AK77" i="6"/>
  <c r="AB30" i="6"/>
  <c r="BE74" i="6"/>
  <c r="K12" i="6"/>
  <c r="AC75" i="6"/>
  <c r="BG104" i="6"/>
  <c r="AF101" i="6"/>
  <c r="AV10" i="6"/>
  <c r="AC23" i="6"/>
  <c r="CF46" i="6"/>
  <c r="F19" i="6"/>
  <c r="AS121" i="6"/>
  <c r="CB27" i="6"/>
  <c r="AG57" i="6"/>
  <c r="S30" i="6"/>
  <c r="U45" i="6"/>
  <c r="CD121" i="6"/>
  <c r="CB70" i="6"/>
  <c r="AC60" i="6"/>
  <c r="B33" i="6"/>
  <c r="B67" i="6"/>
  <c r="CB13" i="6"/>
  <c r="AC106" i="6"/>
  <c r="BS28" i="6"/>
  <c r="BJ79" i="6"/>
  <c r="AE11" i="6"/>
  <c r="G49" i="6"/>
  <c r="BM8" i="6"/>
  <c r="BT53" i="6"/>
  <c r="AG94" i="6"/>
  <c r="CJ27" i="6"/>
  <c r="AB50" i="6"/>
  <c r="BH13" i="6"/>
  <c r="BN28" i="6"/>
  <c r="AY45" i="6"/>
  <c r="C19" i="6"/>
  <c r="AG11" i="6"/>
  <c r="AA16" i="6"/>
  <c r="BV120" i="6"/>
  <c r="AZ99" i="6"/>
  <c r="AD105" i="6"/>
  <c r="AM46" i="6"/>
  <c r="BG96" i="6"/>
  <c r="BY102" i="6"/>
  <c r="CA115" i="6"/>
  <c r="AY71" i="6"/>
  <c r="AC105" i="6"/>
  <c r="BR7" i="6"/>
  <c r="BU36" i="6"/>
  <c r="AZ96" i="6"/>
  <c r="V80" i="6"/>
  <c r="I73" i="6"/>
  <c r="L39" i="6"/>
  <c r="BD117" i="6"/>
  <c r="AD75" i="6"/>
  <c r="AN47" i="6"/>
  <c r="BU100" i="6"/>
  <c r="BI7" i="6"/>
  <c r="BA119" i="6"/>
  <c r="CM38" i="6"/>
  <c r="BI22" i="6"/>
  <c r="AG89" i="6"/>
  <c r="AT72" i="6"/>
  <c r="L79" i="6"/>
  <c r="CN55" i="6"/>
  <c r="BB77" i="6"/>
  <c r="AP68" i="6"/>
  <c r="Z31" i="6"/>
  <c r="BD25" i="6"/>
  <c r="AW36" i="6"/>
  <c r="BU81" i="6"/>
  <c r="AX111" i="6"/>
  <c r="CA111" i="6"/>
  <c r="X24" i="6"/>
  <c r="BQ69" i="6"/>
  <c r="AO81" i="6"/>
  <c r="BT26" i="6"/>
  <c r="BV13" i="6"/>
  <c r="BF74" i="6"/>
  <c r="AT14" i="6"/>
  <c r="BL86" i="6"/>
  <c r="BR23" i="6"/>
  <c r="AH42" i="6"/>
  <c r="B106" i="6"/>
  <c r="AM10" i="6"/>
  <c r="BL52" i="6"/>
  <c r="CA11" i="6"/>
  <c r="BD76" i="6"/>
  <c r="CH81" i="6"/>
  <c r="BI33" i="6"/>
  <c r="BP37" i="6"/>
  <c r="C93" i="6"/>
  <c r="CF20" i="6"/>
  <c r="AI60" i="6"/>
  <c r="G13" i="6"/>
  <c r="I102" i="6"/>
  <c r="AE101" i="6"/>
  <c r="G34" i="6"/>
  <c r="CF95" i="6"/>
  <c r="CN112" i="6"/>
  <c r="AH107" i="6"/>
  <c r="O41" i="6"/>
  <c r="CA121" i="6"/>
  <c r="BU115" i="6"/>
  <c r="U58" i="6"/>
  <c r="J48" i="6"/>
  <c r="AD65" i="6"/>
  <c r="BX16" i="6"/>
  <c r="BB6" i="6"/>
  <c r="CB114" i="6"/>
  <c r="CN53" i="6"/>
  <c r="N117" i="6"/>
  <c r="BN98" i="6"/>
  <c r="P30" i="6"/>
  <c r="N70" i="6"/>
  <c r="C37" i="6"/>
  <c r="BW39" i="6"/>
  <c r="CA94" i="6"/>
  <c r="O115" i="6"/>
  <c r="AN56" i="6"/>
  <c r="AS59" i="6"/>
  <c r="CA19" i="6"/>
  <c r="H61" i="6"/>
  <c r="AP37" i="6"/>
  <c r="AC98" i="6"/>
  <c r="AX30" i="6"/>
  <c r="N46" i="6"/>
  <c r="AJ22" i="6"/>
  <c r="CC46" i="6"/>
  <c r="BK24" i="6"/>
  <c r="CH99" i="6"/>
  <c r="BP24" i="6"/>
  <c r="CB88" i="6"/>
  <c r="E35" i="6"/>
  <c r="BD36" i="6"/>
  <c r="AO20" i="6"/>
  <c r="L48" i="6"/>
  <c r="CB38" i="6"/>
  <c r="N72" i="6"/>
  <c r="F40" i="6"/>
  <c r="D48" i="6"/>
  <c r="AH23" i="6"/>
  <c r="AG23" i="6"/>
  <c r="BH27" i="6"/>
  <c r="BH36" i="6"/>
  <c r="AO83" i="6"/>
  <c r="BY71" i="6"/>
  <c r="BW92" i="6"/>
  <c r="CN64" i="6"/>
  <c r="Q16" i="6"/>
  <c r="J37" i="6"/>
  <c r="CF32" i="6"/>
  <c r="AG83" i="6"/>
  <c r="BE29" i="6"/>
  <c r="AX104" i="6"/>
  <c r="BA32" i="6"/>
  <c r="AD58" i="6"/>
  <c r="AS97" i="6"/>
  <c r="AP70" i="6"/>
  <c r="CK33" i="6"/>
  <c r="BH69" i="6"/>
  <c r="AU49" i="6"/>
  <c r="AY29" i="6"/>
  <c r="BN90" i="6"/>
  <c r="AL54" i="6"/>
  <c r="K79" i="6"/>
  <c r="C10" i="6"/>
  <c r="AO34" i="6"/>
  <c r="C12" i="6"/>
  <c r="L72" i="6"/>
  <c r="D33" i="6"/>
  <c r="CI96" i="6"/>
  <c r="AE72" i="6"/>
  <c r="AH41" i="6"/>
  <c r="V22" i="6"/>
  <c r="AU103" i="6"/>
  <c r="AX37" i="6"/>
  <c r="W28" i="6"/>
  <c r="BD34" i="6"/>
  <c r="T115" i="6"/>
  <c r="BV62" i="6"/>
  <c r="BK100" i="6"/>
  <c r="AT67" i="6"/>
  <c r="M58" i="6"/>
  <c r="AK6" i="6"/>
  <c r="AJ99" i="6"/>
  <c r="CE23" i="6"/>
  <c r="BB27" i="6"/>
  <c r="Y83" i="6"/>
  <c r="O94" i="6"/>
  <c r="AP18" i="6"/>
  <c r="BL54" i="6"/>
  <c r="AL42" i="6"/>
  <c r="BA16" i="6"/>
  <c r="AX82" i="6"/>
  <c r="BY109" i="6"/>
  <c r="BS41" i="6"/>
  <c r="AJ89" i="6"/>
  <c r="AT92" i="6"/>
  <c r="BH56" i="6"/>
  <c r="AO67" i="6"/>
  <c r="AH88" i="6"/>
  <c r="CG90" i="6"/>
  <c r="E114" i="6"/>
  <c r="L67" i="6"/>
  <c r="BO78" i="6"/>
  <c r="U119" i="6"/>
  <c r="L120" i="6"/>
  <c r="BS55" i="6"/>
  <c r="BC57" i="6"/>
  <c r="AS117" i="6"/>
  <c r="CE40" i="6"/>
  <c r="BY47" i="6"/>
  <c r="BH62" i="6"/>
  <c r="CG73" i="6"/>
  <c r="Y106" i="6"/>
  <c r="BT18" i="6"/>
  <c r="BB48" i="6"/>
  <c r="S90" i="6"/>
  <c r="J86" i="6"/>
  <c r="W11" i="6"/>
  <c r="AP102" i="6"/>
  <c r="AU120" i="6"/>
  <c r="B95" i="6"/>
  <c r="CF7" i="6"/>
  <c r="BD121" i="6"/>
  <c r="CA59" i="6"/>
  <c r="AW9" i="6"/>
  <c r="AD49" i="6"/>
  <c r="I30" i="6"/>
  <c r="CG39" i="6"/>
  <c r="BO71" i="6"/>
  <c r="E81" i="6"/>
  <c r="CM101" i="6"/>
  <c r="AY112" i="6"/>
  <c r="CI95" i="6"/>
  <c r="BH68" i="6"/>
  <c r="BD41" i="6"/>
  <c r="BV118" i="6"/>
  <c r="AD37" i="6"/>
  <c r="BE82" i="6"/>
  <c r="AZ28" i="6"/>
  <c r="M35" i="6"/>
  <c r="K78" i="6"/>
  <c r="AZ118" i="6"/>
  <c r="S94" i="6"/>
  <c r="BL108" i="6"/>
  <c r="BR66" i="6"/>
  <c r="BQ22" i="6"/>
  <c r="AB119" i="6"/>
  <c r="CJ30" i="6"/>
  <c r="P47" i="6"/>
  <c r="AF57" i="6"/>
  <c r="Z88" i="6"/>
  <c r="BZ32" i="6"/>
  <c r="T80" i="6"/>
  <c r="CH40" i="6"/>
  <c r="C113" i="6"/>
  <c r="BW32" i="6"/>
  <c r="Q80" i="6"/>
  <c r="H49" i="6"/>
  <c r="AK14" i="6"/>
  <c r="Y33" i="6"/>
  <c r="AF109" i="6"/>
  <c r="V13" i="6"/>
  <c r="H11" i="6"/>
  <c r="AI78" i="6"/>
  <c r="Q86" i="6"/>
  <c r="AS44" i="6"/>
  <c r="J11" i="6"/>
  <c r="BS37" i="6"/>
  <c r="S33" i="6"/>
  <c r="M111" i="6"/>
  <c r="CF116" i="6"/>
  <c r="BQ8" i="6"/>
  <c r="W16" i="6"/>
  <c r="AQ59" i="6"/>
  <c r="BN53" i="6"/>
  <c r="BE18" i="6"/>
  <c r="CM15" i="6"/>
  <c r="BO63" i="6"/>
  <c r="BU57" i="6"/>
  <c r="V105" i="6"/>
  <c r="BX27" i="6"/>
  <c r="BA53" i="6"/>
  <c r="CD37" i="6"/>
  <c r="AC110" i="6"/>
  <c r="AX17" i="6"/>
  <c r="BV98" i="6"/>
  <c r="BD79" i="6"/>
  <c r="P40" i="6"/>
  <c r="AS65" i="6"/>
  <c r="CL13" i="6"/>
  <c r="T97" i="6"/>
  <c r="AS106" i="6"/>
  <c r="L13" i="6"/>
  <c r="BB92" i="6"/>
  <c r="BE22" i="6"/>
  <c r="K30" i="6"/>
  <c r="BQ38" i="6"/>
  <c r="C47" i="6"/>
  <c r="BF104" i="6"/>
  <c r="I33" i="6"/>
  <c r="CH18" i="6"/>
  <c r="BC13" i="6"/>
  <c r="CL7" i="6"/>
  <c r="BG102" i="6"/>
  <c r="K115" i="6"/>
  <c r="AJ31" i="6"/>
  <c r="BT103" i="6"/>
  <c r="AD43" i="6"/>
  <c r="AZ65" i="6"/>
  <c r="BO113" i="6"/>
  <c r="BH14" i="6"/>
  <c r="AT17" i="6"/>
  <c r="Z85" i="6"/>
  <c r="AF23" i="6"/>
  <c r="BM65" i="6"/>
  <c r="BW53" i="6"/>
  <c r="CN60" i="6"/>
  <c r="BN62" i="6"/>
  <c r="AU43" i="6"/>
  <c r="AF51" i="6"/>
  <c r="AZ76" i="6"/>
  <c r="CG38" i="6"/>
  <c r="AO10" i="6"/>
  <c r="AH86" i="6"/>
  <c r="CF89" i="6"/>
  <c r="AX88" i="6"/>
  <c r="BY97" i="6"/>
  <c r="V36" i="6"/>
  <c r="CC40" i="6"/>
  <c r="BA57" i="6"/>
  <c r="BM51" i="6"/>
  <c r="T47" i="6"/>
  <c r="BF101" i="6"/>
  <c r="B64" i="6"/>
  <c r="CD91" i="6"/>
  <c r="CF38" i="6"/>
  <c r="BX119" i="6"/>
  <c r="BU24" i="6"/>
  <c r="BG7" i="6"/>
  <c r="X28" i="6"/>
  <c r="BP14" i="6"/>
  <c r="BE96" i="6"/>
  <c r="H103" i="6"/>
  <c r="AF86" i="6"/>
  <c r="AA43" i="6"/>
  <c r="BJ19" i="6"/>
  <c r="BT94" i="6"/>
  <c r="BJ13" i="6"/>
  <c r="N67" i="6"/>
  <c r="Z79" i="6"/>
  <c r="AP65" i="6"/>
  <c r="BZ41" i="6"/>
  <c r="AV57" i="6"/>
  <c r="CN80" i="6"/>
  <c r="AM95" i="6"/>
  <c r="R69" i="6"/>
  <c r="AG17" i="6"/>
  <c r="L90" i="6"/>
  <c r="CE39" i="6"/>
  <c r="CM60" i="6"/>
  <c r="CK92" i="6"/>
  <c r="CH79" i="6"/>
  <c r="K7" i="6"/>
  <c r="BS110" i="6"/>
  <c r="CH51" i="6"/>
  <c r="R14" i="6"/>
  <c r="BW120" i="6"/>
  <c r="AL117" i="6"/>
  <c r="H112" i="6"/>
  <c r="K84" i="6"/>
  <c r="BW6" i="6"/>
  <c r="AL73" i="6"/>
  <c r="AE121" i="6"/>
  <c r="Z44" i="6"/>
  <c r="BW90" i="6"/>
  <c r="BL13" i="6"/>
  <c r="AT63" i="6"/>
  <c r="Y21" i="6"/>
  <c r="O96" i="6"/>
  <c r="AE44" i="6"/>
  <c r="CJ12" i="6"/>
  <c r="C41" i="6"/>
  <c r="BV76" i="6"/>
  <c r="AD116" i="6"/>
  <c r="K49" i="6"/>
  <c r="AB62" i="6"/>
  <c r="BM84" i="6"/>
  <c r="AA64" i="6"/>
  <c r="AH93" i="6"/>
  <c r="BX41" i="6"/>
  <c r="X119" i="6"/>
  <c r="C79" i="6"/>
  <c r="P77" i="6"/>
  <c r="E107" i="6"/>
  <c r="P81" i="6"/>
  <c r="BW37" i="6"/>
  <c r="U94" i="6"/>
  <c r="AP47" i="6"/>
  <c r="BM74" i="6"/>
  <c r="BF116" i="6"/>
  <c r="CC27" i="6"/>
  <c r="CB33" i="6"/>
  <c r="BH42" i="6"/>
  <c r="AU52" i="6"/>
  <c r="K53" i="6"/>
  <c r="CI19" i="6"/>
  <c r="BN56" i="6"/>
  <c r="CJ69" i="6"/>
  <c r="E27" i="6"/>
  <c r="CG23" i="6"/>
  <c r="CM106" i="6"/>
  <c r="U40" i="6"/>
  <c r="CG29" i="6"/>
  <c r="CL119" i="6"/>
  <c r="AW23" i="6"/>
  <c r="Y62" i="6"/>
  <c r="BT10" i="6"/>
  <c r="Q58" i="6"/>
  <c r="AZ13" i="6"/>
  <c r="BX7" i="6"/>
  <c r="BN118" i="6"/>
  <c r="BF60" i="6"/>
  <c r="AB109" i="6"/>
  <c r="AO50" i="6"/>
  <c r="R100" i="6"/>
  <c r="BC17" i="6"/>
  <c r="BF29" i="6"/>
  <c r="AE26" i="6"/>
  <c r="CD108" i="6"/>
  <c r="H21" i="6"/>
  <c r="CJ21" i="6"/>
  <c r="CK90" i="6"/>
  <c r="BQ42" i="6"/>
  <c r="AA62" i="6"/>
  <c r="Q50" i="6"/>
  <c r="B42" i="6"/>
  <c r="N110" i="6"/>
  <c r="CF56" i="6"/>
  <c r="G42" i="6"/>
  <c r="AL120" i="6"/>
  <c r="T31" i="6"/>
  <c r="AE27" i="6"/>
  <c r="BH57" i="6"/>
  <c r="BH8" i="6"/>
  <c r="AQ37" i="6"/>
  <c r="BN101" i="6"/>
  <c r="AY65" i="6"/>
  <c r="AM89" i="6"/>
  <c r="U8" i="6"/>
  <c r="B110" i="6"/>
  <c r="C36" i="6"/>
  <c r="AT48" i="6"/>
  <c r="V39" i="6"/>
  <c r="BO12" i="6"/>
  <c r="AQ34" i="6"/>
  <c r="CI87" i="6"/>
  <c r="Q59" i="6"/>
  <c r="BO67" i="6"/>
  <c r="T45" i="6"/>
  <c r="D57" i="6"/>
  <c r="BC21" i="6"/>
  <c r="AT102" i="6"/>
  <c r="D53" i="6"/>
  <c r="B43" i="6"/>
  <c r="BL42" i="6"/>
  <c r="AY35" i="6"/>
  <c r="Z71" i="6"/>
  <c r="K40" i="6"/>
  <c r="M115" i="6"/>
  <c r="N15" i="6"/>
  <c r="CB91" i="6"/>
  <c r="BO70" i="6"/>
  <c r="G26" i="6"/>
  <c r="BI23" i="6"/>
  <c r="AD78" i="6"/>
  <c r="AY27" i="6"/>
  <c r="CM49" i="6"/>
  <c r="M51" i="6"/>
  <c r="U41" i="6"/>
  <c r="AG62" i="6"/>
  <c r="BR75" i="6"/>
  <c r="BF94" i="6"/>
  <c r="CK82" i="6"/>
  <c r="H54" i="6"/>
  <c r="T84" i="6"/>
  <c r="AQ99" i="6"/>
  <c r="V34" i="6"/>
  <c r="BH119" i="6"/>
  <c r="AR96" i="6"/>
  <c r="J115" i="6"/>
  <c r="Q81" i="6"/>
  <c r="AV56" i="6"/>
  <c r="AO102" i="6"/>
  <c r="BD64" i="6"/>
  <c r="BM32" i="6"/>
  <c r="AB100" i="6"/>
  <c r="P46" i="6"/>
  <c r="BZ15" i="6"/>
  <c r="AW94" i="6"/>
  <c r="BU9" i="6"/>
  <c r="AC82" i="6"/>
  <c r="F118" i="6"/>
  <c r="BV51" i="6"/>
  <c r="AF103" i="6"/>
  <c r="AE83" i="6"/>
  <c r="CK11" i="6"/>
  <c r="AD11" i="6"/>
  <c r="AN16" i="6"/>
  <c r="BT109" i="6"/>
  <c r="AN54" i="6"/>
  <c r="BG44" i="6"/>
  <c r="CG19" i="6"/>
  <c r="CM43" i="6"/>
  <c r="BZ38" i="6"/>
  <c r="CB106" i="6"/>
  <c r="N22" i="6"/>
  <c r="W19" i="6"/>
  <c r="BW86" i="6"/>
  <c r="CM8" i="6"/>
  <c r="BE7" i="6"/>
  <c r="V101" i="6"/>
  <c r="X116" i="6"/>
  <c r="BY34" i="6"/>
  <c r="K20" i="6"/>
  <c r="Z114" i="6"/>
  <c r="BP53" i="6"/>
  <c r="AZ22" i="6"/>
  <c r="AY8" i="6"/>
  <c r="AB84" i="6"/>
  <c r="AF42" i="6"/>
  <c r="AF34" i="6"/>
  <c r="CH70" i="6"/>
  <c r="AP114" i="6"/>
  <c r="AG25" i="6"/>
  <c r="BB85" i="6"/>
  <c r="BE105" i="6"/>
  <c r="BW36" i="6"/>
  <c r="F98" i="6"/>
  <c r="O88" i="6"/>
  <c r="BQ12" i="6"/>
  <c r="AT107" i="6"/>
  <c r="AW8" i="6"/>
  <c r="AZ15" i="6"/>
  <c r="I13" i="6"/>
  <c r="CK50" i="6"/>
  <c r="R28" i="6"/>
  <c r="BU110" i="6"/>
  <c r="AM18" i="6"/>
  <c r="AJ57" i="6"/>
  <c r="AG117" i="6"/>
  <c r="AV88" i="6"/>
  <c r="R56" i="6"/>
  <c r="AU108" i="6"/>
  <c r="P80" i="6"/>
  <c r="AN40" i="6"/>
  <c r="N44" i="6"/>
  <c r="Q38" i="6"/>
  <c r="S117" i="6"/>
  <c r="V8" i="6"/>
  <c r="D10" i="6"/>
  <c r="U9" i="6"/>
  <c r="CL33" i="6"/>
  <c r="BH26" i="6"/>
  <c r="N116" i="6"/>
  <c r="CA36" i="6"/>
  <c r="T38" i="6"/>
  <c r="CK91" i="6"/>
  <c r="BB36" i="6"/>
  <c r="V88" i="6"/>
  <c r="AZ54" i="6"/>
  <c r="BD54" i="6"/>
  <c r="AG54" i="6"/>
  <c r="BP120" i="6"/>
  <c r="BC104" i="6"/>
  <c r="BZ31" i="6"/>
  <c r="AP23" i="6"/>
  <c r="CG96" i="6"/>
  <c r="BU51" i="6"/>
  <c r="AS12" i="6"/>
  <c r="AJ18" i="6"/>
  <c r="AB79" i="6"/>
  <c r="BV45" i="6"/>
  <c r="R26" i="6"/>
  <c r="BA43" i="6"/>
  <c r="BP23" i="6"/>
  <c r="T119" i="6"/>
  <c r="AQ54" i="6"/>
  <c r="BU96" i="6"/>
  <c r="AY100" i="6"/>
  <c r="BA11" i="6"/>
  <c r="P114" i="6"/>
  <c r="CG88" i="6"/>
  <c r="M55" i="6"/>
  <c r="BQ86" i="6"/>
  <c r="AV32" i="6"/>
  <c r="AM6" i="6"/>
  <c r="AN25" i="6"/>
  <c r="AZ32" i="6"/>
  <c r="BL44" i="6"/>
  <c r="BA17" i="6"/>
  <c r="AG63" i="6"/>
  <c r="AB35" i="6"/>
  <c r="F107" i="6"/>
  <c r="E110" i="6"/>
  <c r="CC8" i="6"/>
  <c r="BH17" i="6"/>
  <c r="BB10" i="6"/>
  <c r="R22" i="6"/>
  <c r="BI110" i="6"/>
  <c r="BO62" i="6"/>
  <c r="BV74" i="6"/>
  <c r="CK8" i="6"/>
  <c r="N61" i="6"/>
  <c r="BR12" i="6"/>
  <c r="AH68" i="6"/>
  <c r="BH63" i="6"/>
  <c r="BF69" i="6"/>
  <c r="CK93" i="6"/>
  <c r="AT39" i="6"/>
  <c r="O43" i="6"/>
  <c r="BT96" i="6"/>
  <c r="BC74" i="6"/>
  <c r="W77" i="6"/>
  <c r="CE60" i="6"/>
  <c r="J100" i="6"/>
  <c r="AH38" i="6"/>
  <c r="CL46" i="6"/>
  <c r="BP15" i="6"/>
  <c r="CF19" i="6"/>
  <c r="E29" i="6"/>
  <c r="V69" i="6"/>
  <c r="CJ96" i="6"/>
  <c r="AO12" i="6"/>
  <c r="N47" i="6"/>
  <c r="CH67" i="6"/>
  <c r="BA54" i="6"/>
  <c r="CD41" i="6"/>
  <c r="AJ43" i="6"/>
  <c r="AF65" i="6"/>
  <c r="AW48" i="6"/>
  <c r="W120" i="6"/>
  <c r="BV41" i="6"/>
  <c r="U27" i="6"/>
  <c r="D32" i="6"/>
  <c r="AD36" i="6"/>
  <c r="BY60" i="6"/>
  <c r="CH76" i="6"/>
  <c r="BC121" i="6"/>
  <c r="S47" i="6"/>
  <c r="I51" i="6"/>
  <c r="CN78" i="6"/>
  <c r="BG46" i="6"/>
  <c r="AS72" i="6"/>
  <c r="BH91" i="6"/>
  <c r="AU107" i="6"/>
  <c r="BZ73" i="6"/>
  <c r="BH25" i="6"/>
  <c r="BX48" i="6"/>
  <c r="R59" i="6"/>
  <c r="BR32" i="6"/>
  <c r="AP96" i="6"/>
  <c r="CM78" i="6"/>
  <c r="AV105" i="6"/>
  <c r="BW28" i="6"/>
  <c r="BZ29" i="6"/>
  <c r="AX118" i="6"/>
  <c r="BG83" i="6"/>
  <c r="O12" i="6"/>
  <c r="T49" i="6"/>
  <c r="W58" i="6"/>
  <c r="AV114" i="6"/>
  <c r="CA9" i="6"/>
  <c r="BZ92" i="6"/>
  <c r="AC22" i="6"/>
  <c r="AH31" i="6"/>
  <c r="D96" i="6"/>
  <c r="AC28" i="6"/>
  <c r="CL31" i="6"/>
  <c r="CF73" i="6"/>
  <c r="BM66" i="6"/>
  <c r="Q31" i="6"/>
  <c r="CL59" i="6"/>
  <c r="BD69" i="6"/>
  <c r="BY22" i="6"/>
  <c r="AH92" i="6"/>
  <c r="AJ21" i="6"/>
  <c r="R64" i="6"/>
  <c r="CC61" i="6"/>
  <c r="CJ45" i="6"/>
  <c r="BQ76" i="6"/>
  <c r="CN66" i="6"/>
  <c r="BM104" i="6"/>
  <c r="BJ101" i="6"/>
  <c r="BG92" i="6"/>
  <c r="BI41" i="6"/>
  <c r="CL83" i="6"/>
  <c r="AV30" i="6"/>
  <c r="BI25" i="6"/>
  <c r="Y99" i="6"/>
  <c r="CN91" i="6"/>
  <c r="C26" i="6"/>
  <c r="AT40" i="6"/>
  <c r="BY89" i="6"/>
  <c r="AH36" i="6"/>
  <c r="CM26" i="6"/>
  <c r="BY69" i="6"/>
  <c r="E104" i="6"/>
  <c r="CG66" i="6"/>
  <c r="AA11" i="6"/>
  <c r="CA79" i="6"/>
  <c r="R120" i="6"/>
  <c r="BW46" i="6"/>
  <c r="CF18" i="6"/>
  <c r="AH29" i="6"/>
  <c r="X85" i="6"/>
  <c r="BV15" i="6"/>
  <c r="BU16" i="6"/>
  <c r="BS116" i="6"/>
  <c r="Q8" i="6"/>
  <c r="BP79" i="6"/>
  <c r="CJ22" i="6"/>
  <c r="G20" i="6"/>
  <c r="AG66" i="6"/>
  <c r="BZ19" i="6"/>
  <c r="V116" i="6"/>
  <c r="N28" i="6"/>
  <c r="AY72" i="6"/>
  <c r="V29" i="6"/>
  <c r="AE32" i="6"/>
  <c r="AI99" i="6"/>
  <c r="AN76" i="6"/>
  <c r="BS117" i="6"/>
  <c r="Y11" i="6"/>
  <c r="L94" i="6"/>
  <c r="BE117" i="6"/>
  <c r="AA27" i="6"/>
  <c r="AK111" i="6"/>
  <c r="BA28" i="6"/>
  <c r="S113" i="6"/>
  <c r="AI73" i="6"/>
  <c r="AO36" i="6"/>
  <c r="BK66" i="6"/>
  <c r="U11" i="6"/>
  <c r="BX63" i="6"/>
  <c r="BY104" i="6"/>
  <c r="W86" i="6"/>
  <c r="M76" i="6"/>
  <c r="C102" i="6"/>
  <c r="N38" i="6"/>
  <c r="BP64" i="6"/>
  <c r="CK79" i="6"/>
  <c r="AO87" i="6"/>
  <c r="CJ110" i="6"/>
  <c r="BO32" i="6"/>
  <c r="AM56" i="6"/>
  <c r="BY6" i="6"/>
  <c r="BM14" i="6"/>
  <c r="C28" i="6"/>
  <c r="AI95" i="6"/>
  <c r="AS74" i="6"/>
  <c r="J9" i="6"/>
  <c r="CE19" i="6"/>
  <c r="AN82" i="6"/>
  <c r="AR100" i="6"/>
  <c r="AH111" i="6"/>
  <c r="CM93" i="6"/>
  <c r="BK87" i="6"/>
  <c r="V21" i="6"/>
  <c r="W32" i="6"/>
  <c r="W98" i="6"/>
  <c r="CN118" i="6"/>
  <c r="BF103" i="6"/>
  <c r="CC22" i="6"/>
  <c r="BD27" i="6"/>
  <c r="I54" i="6"/>
  <c r="F86" i="6"/>
  <c r="S74" i="6"/>
  <c r="K6" i="6"/>
  <c r="AX25" i="6"/>
  <c r="J10" i="6"/>
  <c r="Y74" i="6"/>
  <c r="BG105" i="6"/>
  <c r="BN16" i="6"/>
  <c r="BD40" i="6"/>
  <c r="W118" i="6"/>
  <c r="AP101" i="6"/>
  <c r="CA39" i="6"/>
  <c r="BR62" i="6"/>
  <c r="BB84" i="6"/>
  <c r="BS98" i="6"/>
  <c r="AL20" i="6"/>
  <c r="CB84" i="6"/>
  <c r="C103" i="6"/>
  <c r="BK69" i="6"/>
  <c r="H43" i="6"/>
  <c r="M113" i="6"/>
  <c r="AN71" i="6"/>
  <c r="AC114" i="6"/>
  <c r="G73" i="6"/>
  <c r="CG24" i="6"/>
  <c r="AG6" i="6"/>
  <c r="AW46" i="6"/>
  <c r="N43" i="6"/>
  <c r="Y95" i="6"/>
  <c r="BE41" i="6"/>
  <c r="I8" i="6"/>
  <c r="BD30" i="6"/>
  <c r="V119" i="6"/>
  <c r="AD30" i="6"/>
  <c r="AE64" i="6"/>
  <c r="AU21" i="6"/>
  <c r="AC27" i="6"/>
  <c r="BU38" i="6"/>
  <c r="BC29" i="6"/>
  <c r="CD107" i="6"/>
  <c r="K36" i="6"/>
  <c r="W96" i="6"/>
  <c r="BG30" i="6"/>
  <c r="AV12" i="6"/>
  <c r="CL112" i="6"/>
  <c r="CH13" i="6"/>
  <c r="R58" i="6"/>
  <c r="W115" i="6"/>
  <c r="AY109" i="6"/>
  <c r="CE42" i="6"/>
  <c r="W65" i="6"/>
  <c r="J64" i="6"/>
  <c r="CA25" i="6"/>
  <c r="BR52" i="6"/>
  <c r="T27" i="6"/>
  <c r="AD117" i="6"/>
  <c r="AI38" i="6"/>
  <c r="AM54" i="6"/>
  <c r="AU55" i="6"/>
  <c r="CJ8" i="6"/>
  <c r="CC58" i="6"/>
  <c r="R48" i="6"/>
  <c r="AI74" i="6"/>
  <c r="CF53" i="6"/>
  <c r="BT46" i="6"/>
  <c r="H90" i="6"/>
  <c r="CD56" i="6"/>
  <c r="BU15" i="6"/>
  <c r="L35" i="6"/>
  <c r="AH54" i="6"/>
  <c r="BI95" i="6"/>
  <c r="P58" i="6"/>
  <c r="G17" i="6"/>
  <c r="BL37" i="6"/>
  <c r="AT13" i="6"/>
  <c r="BJ31" i="6"/>
  <c r="AM91" i="6"/>
  <c r="H17" i="6"/>
  <c r="BZ117" i="6"/>
  <c r="BR21" i="6"/>
  <c r="AP55" i="6"/>
  <c r="BH19" i="6"/>
  <c r="AO29" i="6"/>
  <c r="BA111" i="6"/>
  <c r="AU82" i="6"/>
  <c r="BH33" i="6"/>
  <c r="P21" i="6"/>
  <c r="AK23" i="6"/>
  <c r="S62" i="6"/>
  <c r="BN20" i="6"/>
  <c r="CE22" i="6"/>
  <c r="AT53" i="6"/>
  <c r="BY21" i="6"/>
  <c r="AU57" i="6"/>
  <c r="CF114" i="6"/>
  <c r="AU58" i="6"/>
  <c r="BC10" i="6"/>
  <c r="AN38" i="6"/>
  <c r="BC9" i="6"/>
  <c r="BP50" i="6"/>
  <c r="BX43" i="6"/>
  <c r="BR97" i="6"/>
  <c r="CH9" i="6"/>
  <c r="AT79" i="6"/>
  <c r="E89" i="6"/>
  <c r="AJ60" i="6"/>
  <c r="T82" i="6"/>
  <c r="W94" i="6"/>
  <c r="CA13" i="6"/>
  <c r="BL24" i="6"/>
  <c r="CA6" i="6"/>
  <c r="BA29" i="6"/>
  <c r="BE79" i="6"/>
  <c r="AR90" i="6"/>
  <c r="L30" i="6"/>
  <c r="BT48" i="6"/>
  <c r="BX83" i="6"/>
  <c r="AQ20" i="6"/>
  <c r="AN12" i="6"/>
  <c r="BT98" i="6"/>
  <c r="AC33" i="6"/>
  <c r="BV82" i="6"/>
  <c r="BM16" i="6"/>
  <c r="BZ46" i="6"/>
  <c r="CD67" i="6"/>
  <c r="C76" i="6"/>
  <c r="BX94" i="6"/>
  <c r="AG29" i="6"/>
  <c r="Q19" i="6"/>
  <c r="R67" i="6"/>
  <c r="K10" i="6"/>
  <c r="CH16" i="6"/>
  <c r="CB109" i="6"/>
  <c r="AG61" i="6"/>
  <c r="AB115" i="6"/>
  <c r="AT104" i="6"/>
  <c r="S64" i="6"/>
  <c r="BD31" i="6"/>
  <c r="P51" i="6"/>
  <c r="AO80" i="6"/>
  <c r="AV13" i="6"/>
  <c r="P95" i="6"/>
  <c r="P36" i="6"/>
  <c r="X35" i="6"/>
  <c r="T22" i="6"/>
  <c r="AU51" i="6"/>
  <c r="CH31" i="6"/>
  <c r="AC8" i="6"/>
  <c r="AI44" i="6"/>
  <c r="CM86" i="6"/>
  <c r="CC56" i="6"/>
  <c r="AG7" i="6"/>
  <c r="BT35" i="6"/>
  <c r="BO120" i="6"/>
  <c r="AR28" i="6"/>
  <c r="BJ86" i="6"/>
  <c r="BY111" i="6"/>
  <c r="CI51" i="6"/>
  <c r="CB89" i="6"/>
  <c r="X7" i="6"/>
  <c r="AH52" i="6"/>
  <c r="AK13" i="6"/>
  <c r="BO59" i="6"/>
  <c r="B24" i="6"/>
  <c r="BD57" i="6"/>
  <c r="D29" i="6"/>
  <c r="X15" i="6"/>
  <c r="BA95" i="6"/>
  <c r="AM11" i="6"/>
  <c r="BA51" i="6"/>
  <c r="CK36" i="6"/>
  <c r="AL77" i="6"/>
  <c r="AO90" i="6"/>
  <c r="BN26" i="6"/>
  <c r="AX14" i="6"/>
  <c r="AK42" i="6"/>
  <c r="BX9" i="6"/>
  <c r="BZ34" i="6"/>
  <c r="Y70" i="6"/>
  <c r="O46" i="6"/>
  <c r="AD32" i="6"/>
  <c r="B76" i="6"/>
  <c r="AU54" i="6"/>
  <c r="BF51" i="6"/>
  <c r="I64" i="6"/>
  <c r="AE117" i="6"/>
  <c r="BB40" i="6"/>
  <c r="CC34" i="6"/>
  <c r="L25" i="6"/>
  <c r="CN35" i="6"/>
  <c r="U36" i="6"/>
  <c r="CH68" i="6"/>
  <c r="BC23" i="6"/>
  <c r="AY98" i="6"/>
  <c r="AL79" i="6"/>
  <c r="V60" i="6"/>
  <c r="H117" i="6"/>
  <c r="P52" i="6"/>
  <c r="AH67" i="6"/>
  <c r="AP53" i="6"/>
  <c r="E73" i="6"/>
  <c r="U46" i="6"/>
  <c r="I42" i="6"/>
  <c r="AU79" i="6"/>
  <c r="BZ74" i="6"/>
  <c r="BS29" i="6"/>
  <c r="AX69" i="6"/>
  <c r="W6" i="6"/>
  <c r="CC49" i="6"/>
  <c r="E12" i="6"/>
  <c r="O54" i="6"/>
  <c r="S21" i="6"/>
  <c r="AK76" i="6"/>
  <c r="E44" i="6"/>
  <c r="AU7" i="6"/>
  <c r="AK98" i="6"/>
  <c r="BF83" i="6"/>
  <c r="AE59" i="6"/>
  <c r="N57" i="6"/>
  <c r="L119" i="6"/>
  <c r="AH105" i="6"/>
  <c r="BT25" i="6"/>
  <c r="L61" i="6"/>
  <c r="M27" i="6"/>
  <c r="AS104" i="6"/>
  <c r="CI63" i="6"/>
  <c r="BZ25" i="6"/>
  <c r="CL8" i="6"/>
  <c r="BG95" i="6"/>
  <c r="AV43" i="6"/>
  <c r="BB74" i="6"/>
  <c r="AM74" i="6"/>
  <c r="E65" i="6"/>
  <c r="X97" i="6"/>
  <c r="BF95" i="6"/>
  <c r="AJ48" i="6"/>
  <c r="B119" i="6"/>
  <c r="AV48" i="6"/>
  <c r="AK107" i="6"/>
  <c r="BN32" i="6"/>
  <c r="AB39" i="6"/>
  <c r="K60" i="6"/>
  <c r="AQ29" i="6"/>
  <c r="BA37" i="6"/>
  <c r="AW82" i="6"/>
  <c r="Z9" i="6"/>
  <c r="AN65" i="6"/>
  <c r="H37" i="6"/>
  <c r="AL97" i="6"/>
  <c r="Z21" i="6"/>
  <c r="AF46" i="6"/>
  <c r="S59" i="6"/>
  <c r="AK85" i="6"/>
  <c r="AA76" i="6"/>
  <c r="AW45" i="6"/>
  <c r="J119" i="6"/>
  <c r="AA120" i="6"/>
  <c r="BC96" i="6"/>
  <c r="T93" i="6"/>
  <c r="P87" i="6"/>
  <c r="J118" i="6"/>
  <c r="V108" i="6"/>
  <c r="AR37" i="6"/>
  <c r="B25" i="6"/>
  <c r="BG114" i="6"/>
  <c r="Y44" i="6"/>
  <c r="CN40" i="6"/>
  <c r="BB26" i="6"/>
  <c r="BD86" i="6"/>
  <c r="BW70" i="6"/>
  <c r="AZ92" i="6"/>
  <c r="H46" i="6"/>
  <c r="BN89" i="6"/>
  <c r="Y116" i="6"/>
  <c r="BV10" i="6"/>
  <c r="AU10" i="6"/>
  <c r="AM86" i="6"/>
  <c r="BA101" i="6"/>
  <c r="BU112" i="6"/>
  <c r="AL40" i="6"/>
  <c r="BR29" i="6"/>
  <c r="AE10" i="6"/>
  <c r="BU73" i="6"/>
  <c r="BA15" i="6"/>
  <c r="CN109" i="6"/>
  <c r="CB19" i="6"/>
  <c r="BD43" i="6"/>
  <c r="BA116" i="6"/>
  <c r="BQ52" i="6"/>
  <c r="AH8" i="6"/>
  <c r="CA109" i="6"/>
  <c r="AZ104" i="6"/>
  <c r="CH19" i="6"/>
  <c r="X31" i="6"/>
  <c r="CE91" i="6"/>
  <c r="CI14" i="6"/>
  <c r="AV35" i="6"/>
  <c r="AL55" i="6"/>
  <c r="AO105" i="6"/>
  <c r="I86" i="6"/>
  <c r="L55" i="6"/>
  <c r="S72" i="6"/>
  <c r="Q44" i="6"/>
  <c r="BS85" i="6"/>
  <c r="BL116" i="6"/>
  <c r="AU119" i="6"/>
  <c r="BY23" i="6"/>
  <c r="L112" i="6"/>
  <c r="K22" i="6"/>
  <c r="BM30" i="6"/>
  <c r="CD50" i="6"/>
  <c r="F74" i="6"/>
  <c r="CN52" i="6"/>
  <c r="BG57" i="6"/>
  <c r="BY18" i="6"/>
  <c r="BC25" i="6"/>
  <c r="BN59" i="6"/>
  <c r="E17" i="6"/>
  <c r="J106" i="6"/>
  <c r="AH60" i="6"/>
  <c r="CH46" i="6"/>
  <c r="AS38" i="6"/>
  <c r="B74" i="6"/>
  <c r="AB21" i="6"/>
  <c r="AD15" i="6"/>
  <c r="BD11" i="6"/>
  <c r="Q98" i="6"/>
  <c r="AV11" i="6"/>
  <c r="U59" i="6"/>
  <c r="BH116" i="6"/>
  <c r="BH112" i="6"/>
  <c r="BL55" i="6"/>
  <c r="BD66" i="6"/>
  <c r="CK49" i="6"/>
  <c r="BS53" i="6"/>
  <c r="AG120" i="6"/>
  <c r="BJ7" i="6"/>
  <c r="G48" i="6"/>
  <c r="BF11" i="6"/>
  <c r="R94" i="6"/>
  <c r="T67" i="6"/>
  <c r="AC52" i="6"/>
  <c r="S95" i="6"/>
  <c r="AG101" i="6"/>
  <c r="CC21" i="6"/>
  <c r="AE52" i="6"/>
  <c r="J95" i="6"/>
  <c r="S121" i="6"/>
  <c r="R34" i="6"/>
  <c r="BI98" i="6"/>
  <c r="V6" i="6"/>
  <c r="BC33" i="6"/>
  <c r="CD35" i="6"/>
  <c r="AD46" i="6"/>
  <c r="BU48" i="6"/>
  <c r="BK115" i="6"/>
  <c r="BA22" i="6"/>
  <c r="BR109" i="6"/>
  <c r="AI11" i="6"/>
  <c r="CE25" i="6"/>
  <c r="CE57" i="6"/>
  <c r="H45" i="6"/>
  <c r="BR58" i="6"/>
  <c r="AF8" i="6"/>
  <c r="BV23" i="6"/>
  <c r="AJ80" i="6"/>
  <c r="L14" i="6"/>
  <c r="AI84" i="6"/>
  <c r="AU50" i="6"/>
  <c r="CD75" i="6"/>
  <c r="AN28" i="6"/>
  <c r="P91" i="6"/>
  <c r="B15" i="6"/>
  <c r="T41" i="6"/>
  <c r="AS91" i="6"/>
  <c r="CH54" i="6"/>
  <c r="T16" i="6"/>
  <c r="AK35" i="6"/>
  <c r="BO41" i="6"/>
  <c r="W8" i="6"/>
  <c r="CB22" i="6"/>
  <c r="O103" i="6"/>
  <c r="AU78" i="6"/>
  <c r="BX40" i="6"/>
  <c r="BS72" i="6"/>
  <c r="AO94" i="6"/>
  <c r="BZ12" i="6"/>
  <c r="J112" i="6"/>
  <c r="AV77" i="6"/>
  <c r="CA42" i="6"/>
  <c r="AU88" i="6"/>
  <c r="BG68" i="6"/>
  <c r="E28" i="6"/>
  <c r="AP42" i="6"/>
  <c r="AD20" i="6"/>
  <c r="AA115" i="6"/>
  <c r="CK26" i="6"/>
  <c r="AF9" i="6"/>
  <c r="AF73" i="6"/>
  <c r="W39" i="6"/>
  <c r="BA25" i="6"/>
  <c r="BH110" i="6"/>
  <c r="BN103" i="6"/>
  <c r="AY48" i="6"/>
  <c r="BJ99" i="6"/>
  <c r="CA10" i="6"/>
  <c r="B39" i="6"/>
  <c r="AW50" i="6"/>
  <c r="U72" i="6"/>
  <c r="B30" i="6"/>
  <c r="AA112" i="6"/>
  <c r="BT11" i="6"/>
  <c r="CD116" i="6"/>
  <c r="BZ58" i="6"/>
  <c r="CF67" i="6"/>
  <c r="AN81" i="6"/>
  <c r="W84" i="6"/>
  <c r="BM76" i="6"/>
  <c r="F35" i="6"/>
  <c r="BA110" i="6"/>
  <c r="M77" i="6"/>
  <c r="BB86" i="6"/>
  <c r="CD29" i="6"/>
  <c r="O66" i="6"/>
  <c r="AN68" i="6"/>
  <c r="AW29" i="6"/>
  <c r="AB41" i="6"/>
  <c r="L43" i="6"/>
  <c r="I113" i="6"/>
  <c r="BD17" i="6"/>
  <c r="C53" i="6"/>
  <c r="BX87" i="6"/>
  <c r="X62" i="6"/>
  <c r="AT111" i="6"/>
  <c r="CI60" i="6"/>
  <c r="BN96" i="6"/>
  <c r="BZ55" i="6"/>
  <c r="V20" i="6"/>
  <c r="BA112" i="6"/>
  <c r="AF92" i="6"/>
  <c r="BG100" i="6"/>
  <c r="BK117" i="6"/>
  <c r="CE20" i="6"/>
  <c r="V45" i="6"/>
  <c r="AC93" i="6"/>
  <c r="AR86" i="6"/>
  <c r="AY64" i="6"/>
  <c r="AJ110" i="6"/>
  <c r="AU6" i="6"/>
  <c r="CD114" i="6"/>
  <c r="Z87" i="6"/>
  <c r="R8" i="6"/>
  <c r="E15" i="6"/>
  <c r="E74" i="6"/>
  <c r="AN70" i="6"/>
  <c r="AC15" i="6"/>
  <c r="AD91" i="6"/>
  <c r="CJ61" i="6"/>
  <c r="CC15" i="6"/>
  <c r="BA38" i="6"/>
  <c r="AW15" i="6"/>
  <c r="AG77" i="6"/>
  <c r="X43" i="6"/>
  <c r="AJ96" i="6"/>
  <c r="AP26" i="6"/>
  <c r="F91" i="6"/>
  <c r="BC46" i="6"/>
  <c r="BQ26" i="6"/>
  <c r="AN118" i="6"/>
  <c r="V74" i="6"/>
  <c r="O8" i="6"/>
  <c r="AM75" i="6"/>
  <c r="BN112" i="6"/>
  <c r="BE93" i="6"/>
  <c r="BP117" i="6"/>
  <c r="BZ106" i="6"/>
  <c r="AG38" i="6"/>
  <c r="BR57" i="6"/>
  <c r="BZ72" i="6"/>
  <c r="CF93" i="6"/>
  <c r="BB55" i="6"/>
  <c r="CM48" i="6"/>
  <c r="S16" i="6"/>
  <c r="BM38" i="6"/>
  <c r="AV27" i="6"/>
  <c r="CB41" i="6"/>
  <c r="AD13" i="6"/>
  <c r="CM20" i="6"/>
  <c r="F114" i="6"/>
  <c r="BL120" i="6"/>
  <c r="AG16" i="6"/>
  <c r="Y18" i="6"/>
  <c r="AY114" i="6"/>
  <c r="CC89" i="6"/>
  <c r="M120" i="6"/>
  <c r="BY100" i="6"/>
  <c r="CJ10" i="6"/>
  <c r="BB81" i="6"/>
  <c r="R99" i="6"/>
  <c r="AC65" i="6"/>
  <c r="AB97" i="6"/>
  <c r="AX44" i="6"/>
  <c r="F76" i="6"/>
  <c r="BD22" i="6"/>
  <c r="BX64" i="6"/>
  <c r="AE67" i="6"/>
  <c r="AV29" i="6"/>
  <c r="C85" i="6"/>
  <c r="V56" i="6"/>
  <c r="BC83" i="6"/>
  <c r="I53" i="6"/>
  <c r="D39" i="6"/>
  <c r="CK16" i="6"/>
  <c r="J85" i="6"/>
  <c r="AD101" i="6"/>
  <c r="AS6" i="6"/>
  <c r="CL58" i="6"/>
  <c r="BU13" i="6"/>
  <c r="BT39" i="6"/>
  <c r="CE36" i="6"/>
  <c r="T74" i="6"/>
  <c r="D78" i="6"/>
  <c r="J41" i="6"/>
  <c r="U21" i="6"/>
  <c r="AF99" i="6"/>
  <c r="AR94" i="6"/>
  <c r="BR34" i="6"/>
  <c r="AD99" i="6"/>
  <c r="R20" i="6"/>
  <c r="G119" i="6"/>
  <c r="AF49" i="6"/>
  <c r="BM50" i="6"/>
  <c r="AF64" i="6"/>
  <c r="AP16" i="6"/>
  <c r="Q35" i="6"/>
  <c r="AC36" i="6"/>
  <c r="BY20" i="6"/>
  <c r="O30" i="6"/>
  <c r="BM22" i="6"/>
  <c r="BN8" i="6"/>
  <c r="AF17" i="6"/>
  <c r="E61" i="6"/>
  <c r="AC7" i="6"/>
  <c r="H115" i="6"/>
  <c r="BO112" i="6"/>
  <c r="BR37" i="6"/>
  <c r="BO7" i="6"/>
  <c r="CM37" i="6"/>
  <c r="CH44" i="6"/>
  <c r="CH34" i="6"/>
  <c r="BJ121" i="6"/>
  <c r="AM90" i="6"/>
  <c r="BB22" i="6"/>
  <c r="X40" i="6"/>
  <c r="M28" i="6"/>
  <c r="CC33" i="6"/>
  <c r="BB52" i="6"/>
  <c r="CB31" i="6"/>
  <c r="BI121" i="6"/>
  <c r="BU62" i="6"/>
  <c r="AN44" i="6"/>
  <c r="BV37" i="6"/>
  <c r="CE48" i="6"/>
  <c r="M41" i="6"/>
  <c r="CL32" i="6"/>
  <c r="Y22" i="6"/>
  <c r="BX85" i="6"/>
  <c r="BH85" i="6"/>
  <c r="BT56" i="6"/>
  <c r="AY87" i="6"/>
  <c r="AG43" i="6"/>
  <c r="AT49" i="6"/>
  <c r="E6" i="6"/>
  <c r="M96" i="6"/>
  <c r="J53" i="6"/>
  <c r="K16" i="6"/>
  <c r="AX56" i="6"/>
  <c r="AK86" i="6"/>
  <c r="BJ27" i="6"/>
  <c r="BI59" i="6"/>
  <c r="CH57" i="6"/>
  <c r="B44" i="6"/>
  <c r="BN43" i="6"/>
  <c r="BK83" i="6"/>
  <c r="BC59" i="6"/>
  <c r="AA42" i="6"/>
  <c r="BX73" i="6"/>
  <c r="N45" i="6"/>
  <c r="BL84" i="6"/>
  <c r="AR61" i="6"/>
  <c r="AP41" i="6"/>
  <c r="AB101" i="6"/>
  <c r="AX99" i="6"/>
  <c r="BL110" i="6"/>
  <c r="E118" i="6"/>
  <c r="X10" i="6"/>
  <c r="F43" i="6"/>
  <c r="BK49" i="6"/>
  <c r="BV113" i="6"/>
  <c r="Z118" i="6"/>
  <c r="AU39" i="6"/>
  <c r="AU37" i="6"/>
  <c r="CC50" i="6"/>
  <c r="BZ56" i="6"/>
  <c r="AF117" i="6"/>
  <c r="BX93" i="6"/>
  <c r="D54" i="6"/>
  <c r="T20" i="6"/>
  <c r="BQ53" i="6"/>
  <c r="AR17" i="6"/>
  <c r="CF35" i="6"/>
  <c r="AQ44" i="6"/>
  <c r="Z108" i="6"/>
  <c r="AK22" i="6"/>
  <c r="CJ91" i="6"/>
  <c r="AE37" i="6"/>
  <c r="K45" i="6"/>
  <c r="U49" i="6"/>
  <c r="CG114" i="6"/>
  <c r="AT31" i="6"/>
  <c r="AD88" i="6"/>
  <c r="BN24" i="6"/>
  <c r="BZ43" i="6"/>
  <c r="L111" i="6"/>
  <c r="AB34" i="6"/>
  <c r="CB74" i="6"/>
  <c r="BR8" i="6"/>
  <c r="AI14" i="6"/>
  <c r="CL28" i="6"/>
  <c r="AU25" i="6"/>
  <c r="BI90" i="6"/>
  <c r="CG92" i="6"/>
  <c r="BL64" i="6"/>
  <c r="AW59" i="6"/>
  <c r="D116" i="6"/>
  <c r="O52" i="6"/>
  <c r="CA28" i="6"/>
  <c r="Q13" i="6"/>
  <c r="BI61" i="6"/>
  <c r="AP111" i="6"/>
  <c r="AH32" i="6"/>
  <c r="CA52" i="6"/>
  <c r="BL22" i="6"/>
  <c r="F33" i="6"/>
  <c r="AG35" i="6"/>
  <c r="BD92" i="6"/>
  <c r="BF117" i="6"/>
  <c r="AF32" i="6"/>
  <c r="AD28" i="6"/>
  <c r="CK60" i="6"/>
  <c r="AW31" i="6"/>
  <c r="BZ47" i="6"/>
  <c r="CB26" i="6"/>
  <c r="CB10" i="6"/>
  <c r="BT79" i="6"/>
  <c r="I71" i="6"/>
  <c r="U13" i="6"/>
  <c r="CA32" i="6"/>
  <c r="AE13" i="6"/>
  <c r="AP48" i="6"/>
  <c r="BW59" i="6"/>
  <c r="BA82" i="6"/>
  <c r="AC13" i="6"/>
  <c r="AB9" i="6"/>
  <c r="CF27" i="6"/>
  <c r="BC82" i="6"/>
  <c r="H106" i="6"/>
  <c r="BV103" i="6"/>
  <c r="CG53" i="6"/>
  <c r="Q95" i="6"/>
  <c r="BJ15" i="6"/>
  <c r="CJ26" i="6"/>
  <c r="BL72" i="6"/>
  <c r="AE96" i="6"/>
  <c r="CL35" i="6"/>
  <c r="W106" i="6"/>
  <c r="BJ44" i="6"/>
  <c r="CH33" i="6"/>
  <c r="AQ52" i="6"/>
  <c r="CG55" i="6"/>
  <c r="AT116" i="6"/>
  <c r="AI36" i="6"/>
  <c r="AV91" i="6"/>
  <c r="BW111" i="6"/>
  <c r="AN9" i="6"/>
  <c r="AK12" i="6"/>
  <c r="D28" i="6"/>
  <c r="CJ25" i="6"/>
  <c r="BQ92" i="6"/>
  <c r="D16" i="6"/>
  <c r="BG31" i="6"/>
  <c r="BF98" i="6"/>
  <c r="AO112" i="6"/>
  <c r="BV7" i="6"/>
  <c r="CL85" i="6"/>
  <c r="M7" i="6"/>
  <c r="AQ10" i="6"/>
  <c r="U32" i="6"/>
  <c r="AS79" i="6"/>
  <c r="Z32" i="6"/>
  <c r="AH37" i="6"/>
  <c r="B41" i="6"/>
  <c r="AF62" i="6"/>
  <c r="BD21" i="6"/>
  <c r="CJ53" i="6"/>
  <c r="AG50" i="6"/>
  <c r="CG46" i="6"/>
  <c r="BU21" i="6"/>
  <c r="B72" i="6"/>
  <c r="CF33" i="6"/>
  <c r="BW84" i="6"/>
  <c r="BO36" i="6"/>
  <c r="H92" i="6"/>
  <c r="Q34" i="6"/>
  <c r="C16" i="6"/>
  <c r="CH25" i="6"/>
  <c r="CI111" i="6"/>
  <c r="BI88" i="6"/>
  <c r="BQ112" i="6"/>
  <c r="AF6" i="6"/>
  <c r="AP15" i="6"/>
  <c r="CN61" i="6"/>
  <c r="BU44" i="6"/>
  <c r="E23" i="6"/>
  <c r="BO22" i="6"/>
  <c r="BI100" i="6"/>
  <c r="BA31" i="6"/>
  <c r="CN36" i="6"/>
  <c r="CK57" i="6"/>
  <c r="CB51" i="6"/>
  <c r="M61" i="6"/>
  <c r="CJ7" i="6"/>
  <c r="AS64" i="6"/>
  <c r="AX51" i="6"/>
  <c r="CF14" i="6"/>
  <c r="AS33" i="6"/>
  <c r="CK14" i="6"/>
  <c r="AJ117" i="6"/>
  <c r="BU99" i="6"/>
  <c r="BQ29" i="6"/>
  <c r="BD96" i="6"/>
  <c r="AG41" i="6"/>
  <c r="AA119" i="6"/>
  <c r="AI76" i="6"/>
  <c r="BU108" i="6"/>
  <c r="BD108" i="6"/>
  <c r="BN35" i="6"/>
  <c r="BQ51" i="6"/>
  <c r="AC49" i="6"/>
  <c r="AL107" i="6"/>
  <c r="BF28" i="6"/>
  <c r="K38" i="6"/>
  <c r="V102" i="6"/>
  <c r="AW62" i="6"/>
  <c r="CH32" i="6"/>
  <c r="BI57" i="6"/>
  <c r="U82" i="6"/>
  <c r="AA56" i="6"/>
  <c r="CL88" i="6"/>
  <c r="BX101" i="6"/>
  <c r="AT25" i="6"/>
  <c r="BE38" i="6"/>
  <c r="Y54" i="6"/>
  <c r="BV75" i="6"/>
  <c r="Z46" i="6"/>
  <c r="K64" i="6"/>
  <c r="AI64" i="6"/>
  <c r="BL43" i="6"/>
  <c r="BX99" i="6"/>
  <c r="L45" i="6"/>
  <c r="M40" i="6"/>
  <c r="AQ63" i="6"/>
  <c r="BB90" i="6"/>
  <c r="BU74" i="6"/>
  <c r="BR30" i="6"/>
  <c r="AU70" i="6"/>
  <c r="CA93" i="6"/>
  <c r="AU85" i="6"/>
  <c r="BK109" i="6"/>
  <c r="AK16" i="6"/>
  <c r="AZ66" i="6"/>
  <c r="AD79" i="6"/>
  <c r="AT52" i="6"/>
  <c r="B19" i="6"/>
  <c r="BV32" i="6"/>
  <c r="BG66" i="6"/>
  <c r="AM58" i="6"/>
  <c r="BZ111" i="6"/>
  <c r="C46" i="6"/>
  <c r="D12" i="6"/>
  <c r="CK55" i="6"/>
  <c r="AI109" i="6"/>
  <c r="BR71" i="6"/>
  <c r="AD109" i="6"/>
  <c r="AP27" i="6"/>
  <c r="W56" i="6"/>
  <c r="AT101" i="6"/>
  <c r="M53" i="6"/>
  <c r="CI27" i="6"/>
  <c r="CK109" i="6"/>
  <c r="J14" i="6"/>
  <c r="Y73" i="6"/>
  <c r="AU48" i="6"/>
  <c r="CD57" i="6"/>
  <c r="BK99" i="6"/>
  <c r="BC60" i="6"/>
  <c r="CN111" i="6"/>
  <c r="AO85" i="6"/>
  <c r="BZ45" i="6"/>
  <c r="BC11" i="6"/>
  <c r="CE9" i="6"/>
  <c r="Q114" i="6"/>
  <c r="CF50" i="6"/>
  <c r="BD75" i="6"/>
  <c r="AY52" i="6"/>
  <c r="BJ72" i="6"/>
  <c r="BX70" i="6"/>
  <c r="AG70" i="6"/>
  <c r="AM29" i="6"/>
  <c r="BH46" i="6"/>
  <c r="L18" i="6"/>
  <c r="Q49" i="6"/>
  <c r="BP72" i="6"/>
  <c r="AG108" i="6"/>
  <c r="CK77" i="6"/>
  <c r="BH71" i="6"/>
  <c r="O14" i="6"/>
  <c r="AQ32" i="6"/>
  <c r="AP33" i="6"/>
  <c r="AI21" i="6"/>
  <c r="AV99" i="6"/>
  <c r="BX10" i="6"/>
  <c r="M44" i="6"/>
  <c r="AC103" i="6"/>
  <c r="AN11" i="6"/>
  <c r="AT28" i="6"/>
  <c r="BT69" i="6"/>
  <c r="BX53" i="6"/>
  <c r="CE72" i="6"/>
  <c r="AA114" i="6"/>
  <c r="BL60" i="6"/>
  <c r="AR83" i="6"/>
  <c r="BN41" i="6"/>
  <c r="BO102" i="6"/>
  <c r="CI29" i="6"/>
  <c r="BR35" i="6"/>
  <c r="B29" i="6"/>
  <c r="CG74" i="6"/>
  <c r="CJ60" i="6"/>
  <c r="Z25" i="6"/>
  <c r="CH109" i="6"/>
  <c r="AE109" i="6"/>
  <c r="CH69" i="6"/>
  <c r="BA104" i="6"/>
  <c r="AO78" i="6"/>
  <c r="BS104" i="6"/>
  <c r="M73" i="6"/>
  <c r="CB15" i="6"/>
  <c r="CG30" i="6"/>
  <c r="AH55" i="6"/>
  <c r="CE21" i="6"/>
  <c r="B54" i="6"/>
  <c r="BO18" i="6"/>
  <c r="E80" i="6"/>
  <c r="Y61" i="6"/>
  <c r="Q51" i="6"/>
  <c r="O49" i="6"/>
  <c r="G74" i="6"/>
  <c r="T34" i="6"/>
  <c r="P113" i="6"/>
  <c r="S85" i="6"/>
  <c r="CF71" i="6"/>
  <c r="CJ92" i="6"/>
  <c r="V89" i="6"/>
  <c r="AM42" i="6"/>
  <c r="AQ27" i="6"/>
  <c r="BT45" i="6"/>
  <c r="BF9" i="6"/>
  <c r="O112" i="6"/>
  <c r="BN113" i="6"/>
  <c r="BY16" i="6"/>
  <c r="BB79" i="6"/>
  <c r="CE45" i="6"/>
  <c r="F41" i="6"/>
  <c r="T46" i="6"/>
  <c r="BB95" i="6"/>
  <c r="AR69" i="6"/>
  <c r="AT62" i="6"/>
  <c r="BU6" i="6"/>
  <c r="E33" i="6"/>
  <c r="BX97" i="6"/>
  <c r="Y48" i="6"/>
  <c r="CK74" i="6"/>
  <c r="M79" i="6"/>
  <c r="AW98" i="6"/>
  <c r="BZ54" i="6"/>
  <c r="BT82" i="6"/>
  <c r="AT119" i="6"/>
  <c r="AJ120" i="6"/>
  <c r="BK33" i="6"/>
  <c r="AA71" i="6"/>
  <c r="AQ19" i="6"/>
  <c r="Y43" i="6"/>
  <c r="AC30" i="6"/>
  <c r="E53" i="6"/>
  <c r="AR73" i="6"/>
  <c r="BJ10" i="6"/>
  <c r="BM119" i="6"/>
  <c r="CL70" i="6"/>
  <c r="CF43" i="6"/>
  <c r="CD10" i="6"/>
  <c r="H83" i="6"/>
  <c r="Z18" i="6"/>
  <c r="CF42" i="6"/>
  <c r="D17" i="6"/>
  <c r="S26" i="6"/>
  <c r="AY38" i="6"/>
  <c r="CF55" i="6"/>
  <c r="AA12" i="6"/>
  <c r="M48" i="6"/>
  <c r="BK103" i="6"/>
  <c r="CE50" i="6"/>
  <c r="BH90" i="6"/>
  <c r="AD25" i="6"/>
  <c r="M97" i="6"/>
  <c r="AP92" i="6"/>
  <c r="K28" i="6"/>
  <c r="BD49" i="6"/>
  <c r="G117" i="6"/>
  <c r="AO14" i="6"/>
  <c r="K91" i="6"/>
  <c r="AZ18" i="6"/>
  <c r="BM26" i="6"/>
  <c r="AT64" i="6"/>
  <c r="CB112" i="6"/>
  <c r="AX64" i="6"/>
  <c r="AJ104" i="6"/>
  <c r="U111" i="6"/>
  <c r="BG18" i="6"/>
  <c r="S68" i="6"/>
  <c r="CE7" i="6"/>
  <c r="CK24" i="6"/>
  <c r="AA72" i="6"/>
  <c r="BB29" i="6"/>
  <c r="AA9" i="6"/>
  <c r="AT80" i="6"/>
  <c r="BA8" i="6"/>
  <c r="AG76" i="6"/>
  <c r="AL9" i="6"/>
  <c r="Q75" i="6"/>
  <c r="BJ48" i="6"/>
  <c r="BX46" i="6"/>
  <c r="AJ50" i="6"/>
  <c r="BO121" i="6"/>
  <c r="AH63" i="6"/>
  <c r="D120" i="6"/>
  <c r="BM82" i="6"/>
  <c r="BD110" i="6"/>
  <c r="V111" i="6"/>
  <c r="AI18" i="6"/>
  <c r="AQ118" i="6"/>
  <c r="N78" i="6"/>
  <c r="G15" i="6"/>
  <c r="BJ37" i="6"/>
  <c r="CE28" i="6"/>
  <c r="AE95" i="6"/>
  <c r="BG89" i="6"/>
  <c r="D114" i="6"/>
  <c r="BS39" i="6"/>
  <c r="AS118" i="6"/>
  <c r="BU94" i="6"/>
  <c r="CH91" i="6"/>
  <c r="AK96" i="6"/>
  <c r="X92" i="6"/>
  <c r="BB63" i="6"/>
  <c r="AJ41" i="6"/>
  <c r="AP43" i="6"/>
  <c r="CF118" i="6"/>
  <c r="BF121" i="6"/>
  <c r="AV17" i="6"/>
  <c r="I7" i="6"/>
  <c r="CG112" i="6"/>
  <c r="AJ10" i="6"/>
  <c r="BK43" i="6"/>
  <c r="AP9" i="6"/>
  <c r="BG54" i="6"/>
  <c r="CC35" i="6"/>
  <c r="AL57" i="6"/>
  <c r="AP82" i="6"/>
  <c r="BC55" i="6"/>
  <c r="P53" i="6"/>
  <c r="BP38" i="6"/>
  <c r="CA74" i="6"/>
  <c r="Y17" i="6"/>
  <c r="R60" i="6"/>
  <c r="CG10" i="6"/>
  <c r="F36" i="6"/>
  <c r="BK105" i="6"/>
  <c r="G66" i="6"/>
  <c r="CI25" i="6"/>
  <c r="CC76" i="6"/>
  <c r="AJ107" i="6"/>
  <c r="D71" i="6"/>
  <c r="X106" i="6"/>
  <c r="CJ56" i="6"/>
  <c r="T61" i="6"/>
  <c r="AW38" i="6"/>
  <c r="N31" i="6"/>
  <c r="AD48" i="6"/>
  <c r="AH114" i="6"/>
  <c r="AO16" i="6"/>
  <c r="BA75" i="6"/>
  <c r="W82" i="6"/>
  <c r="CM14" i="6"/>
  <c r="BW97" i="6"/>
  <c r="BT16" i="6"/>
  <c r="BY13" i="6"/>
  <c r="AI108" i="6"/>
  <c r="AH106" i="6"/>
  <c r="BX8" i="6"/>
  <c r="J77" i="6"/>
  <c r="AJ24" i="6"/>
  <c r="BN110" i="6"/>
  <c r="I66" i="6"/>
  <c r="P29" i="6"/>
  <c r="Q7" i="6"/>
  <c r="BN88" i="6"/>
  <c r="J35" i="6"/>
  <c r="BV72" i="6"/>
  <c r="AS68" i="6"/>
  <c r="BQ16" i="6"/>
  <c r="AS100" i="6"/>
  <c r="BQ113" i="6"/>
  <c r="AM45" i="6"/>
  <c r="C120" i="6"/>
  <c r="CF106" i="6"/>
  <c r="AT83" i="6"/>
  <c r="BD37" i="6"/>
  <c r="BG41" i="6"/>
  <c r="BN119" i="6"/>
  <c r="CA16" i="6"/>
  <c r="BT57" i="6"/>
  <c r="G105" i="6"/>
  <c r="BX35" i="6"/>
  <c r="BF76" i="6"/>
  <c r="K95" i="6"/>
  <c r="AK114" i="6"/>
  <c r="BY45" i="6"/>
  <c r="CJ89" i="6"/>
  <c r="C30" i="6"/>
  <c r="AG84" i="6"/>
  <c r="P20" i="6"/>
  <c r="P74" i="6"/>
  <c r="BS20" i="6"/>
  <c r="W18" i="6"/>
  <c r="AG44" i="6"/>
  <c r="BW91" i="6"/>
  <c r="CF85" i="6"/>
  <c r="Q53" i="6"/>
  <c r="AB43" i="6"/>
  <c r="AX29" i="6"/>
  <c r="BS35" i="6"/>
  <c r="CM81" i="6"/>
  <c r="L98" i="6"/>
  <c r="M29" i="6"/>
  <c r="AM50" i="6"/>
  <c r="AP8" i="6"/>
  <c r="AY61" i="6"/>
  <c r="BS13" i="6"/>
  <c r="AN110" i="6"/>
  <c r="O15" i="6"/>
  <c r="BD62" i="6"/>
  <c r="AT46" i="6"/>
  <c r="P89" i="6"/>
  <c r="AD98" i="6"/>
  <c r="BZ65" i="6"/>
  <c r="AK61" i="6"/>
  <c r="BY74" i="6"/>
  <c r="BG21" i="6"/>
  <c r="AJ56" i="6"/>
  <c r="CN67" i="6"/>
  <c r="BF40" i="6"/>
  <c r="H14" i="6"/>
  <c r="AV49" i="6"/>
  <c r="BG65" i="6"/>
  <c r="CG59" i="6"/>
  <c r="L60" i="6"/>
  <c r="Y8" i="6"/>
  <c r="BE31" i="6"/>
  <c r="BS63" i="6"/>
  <c r="BD8" i="6"/>
  <c r="BJ40" i="6"/>
  <c r="BI40" i="6"/>
  <c r="AL75" i="6"/>
  <c r="H100" i="6"/>
  <c r="BJ52" i="6"/>
  <c r="V49" i="6"/>
  <c r="CB43" i="6"/>
  <c r="CJ57" i="6"/>
  <c r="BY86" i="6"/>
  <c r="CF88" i="6"/>
  <c r="BU7" i="6"/>
  <c r="AW10" i="6"/>
  <c r="BN51" i="6"/>
  <c r="AD38" i="6"/>
  <c r="AL114" i="6"/>
  <c r="Z92" i="6"/>
  <c r="BQ21" i="6"/>
  <c r="H110" i="6"/>
  <c r="Q55" i="6"/>
  <c r="CM42" i="6"/>
  <c r="CF99" i="6"/>
  <c r="AG59" i="6"/>
  <c r="AN114" i="6"/>
  <c r="CG95" i="6"/>
  <c r="C86" i="6"/>
  <c r="AE78" i="6"/>
  <c r="AQ95" i="6"/>
  <c r="AI7" i="6"/>
  <c r="E19" i="6"/>
  <c r="BW108" i="6"/>
  <c r="CM30" i="6"/>
  <c r="CI17" i="6"/>
  <c r="BD83" i="6"/>
  <c r="P69" i="6"/>
  <c r="X104" i="6"/>
  <c r="AU27" i="6"/>
  <c r="AK44" i="6"/>
  <c r="P99" i="6"/>
  <c r="L88" i="6"/>
  <c r="BR93" i="6"/>
  <c r="AH27" i="6"/>
  <c r="AO106" i="6"/>
  <c r="CI98" i="6"/>
  <c r="BY103" i="6"/>
  <c r="O113" i="6"/>
  <c r="BT12" i="6"/>
  <c r="CB115" i="6"/>
  <c r="BW34" i="6"/>
  <c r="AQ9" i="6"/>
  <c r="AZ116" i="6"/>
  <c r="BU19" i="6"/>
  <c r="AX8" i="6"/>
  <c r="CF36" i="6"/>
  <c r="CH75" i="6"/>
  <c r="AK52" i="6"/>
  <c r="BL21" i="6"/>
  <c r="AJ14" i="6"/>
  <c r="AJ8" i="6"/>
  <c r="AS46" i="6"/>
  <c r="U74" i="6"/>
  <c r="N96" i="6"/>
  <c r="BG56" i="6"/>
  <c r="BI20" i="6"/>
  <c r="J73" i="6"/>
  <c r="CA63" i="6"/>
  <c r="CJ44" i="6"/>
  <c r="BN57" i="6"/>
  <c r="CD18" i="6"/>
  <c r="BT117" i="6"/>
  <c r="AK43" i="6"/>
  <c r="AQ25" i="6"/>
  <c r="AR7" i="6"/>
  <c r="N39" i="6"/>
  <c r="AF84" i="6"/>
  <c r="Q77" i="6"/>
  <c r="L103" i="6"/>
  <c r="R74" i="6"/>
  <c r="V30" i="6"/>
  <c r="CD8" i="6"/>
  <c r="AZ42" i="6"/>
  <c r="BZ6" i="6"/>
  <c r="Q21" i="6"/>
  <c r="AB40" i="6"/>
  <c r="BI38" i="6"/>
  <c r="AC45" i="6"/>
  <c r="BJ26" i="6"/>
  <c r="BY51" i="6"/>
  <c r="P6" i="6"/>
  <c r="BO14" i="6"/>
  <c r="CC118" i="6"/>
  <c r="BB47" i="6"/>
  <c r="CI91" i="6"/>
  <c r="CN27" i="6"/>
  <c r="BC119" i="6"/>
  <c r="AS41" i="6"/>
  <c r="U60" i="6"/>
  <c r="AT37" i="6"/>
  <c r="AM40" i="6"/>
  <c r="CL44" i="6"/>
  <c r="BR106" i="6"/>
  <c r="BU107" i="6"/>
  <c r="CE38" i="6"/>
  <c r="P86" i="6"/>
  <c r="BC80" i="6"/>
  <c r="Q85" i="6"/>
  <c r="D6" i="6"/>
  <c r="AO64" i="6"/>
  <c r="CB73" i="6"/>
  <c r="CM10" i="6"/>
  <c r="BW81" i="6"/>
  <c r="AZ43" i="6"/>
  <c r="BH102" i="6"/>
  <c r="CC7" i="6"/>
  <c r="AD12" i="6"/>
  <c r="BR50" i="6"/>
  <c r="BL59" i="6"/>
  <c r="I25" i="6"/>
  <c r="P11" i="6"/>
  <c r="AY101" i="6"/>
  <c r="BF8" i="6"/>
  <c r="CF54" i="6"/>
  <c r="CG44" i="6"/>
  <c r="AS21" i="6"/>
  <c r="C89" i="6"/>
  <c r="AE56" i="6"/>
  <c r="AB15" i="6"/>
  <c r="AK56" i="6"/>
  <c r="Z64" i="6"/>
  <c r="G47" i="6"/>
  <c r="CF64" i="6"/>
  <c r="AP20" i="6"/>
  <c r="AS29" i="6"/>
  <c r="BP32" i="6"/>
  <c r="B38" i="6"/>
  <c r="K107" i="6"/>
  <c r="BN86" i="6"/>
  <c r="I80" i="6"/>
  <c r="U55" i="6"/>
  <c r="AU35" i="6"/>
  <c r="AW51" i="6"/>
  <c r="BO23" i="6"/>
  <c r="BG39" i="6"/>
  <c r="CK72" i="6"/>
  <c r="CG8" i="6"/>
  <c r="AQ28" i="6"/>
  <c r="BI75" i="6"/>
  <c r="BZ39" i="6"/>
  <c r="BK13" i="6"/>
  <c r="K13" i="6"/>
  <c r="T106" i="6"/>
  <c r="AZ7" i="6"/>
  <c r="AJ72" i="6"/>
  <c r="AU60" i="6"/>
  <c r="BQ84" i="6"/>
  <c r="BK21" i="6"/>
  <c r="AW49" i="6"/>
  <c r="CJ116" i="6"/>
  <c r="BF91" i="6"/>
  <c r="AW96" i="6"/>
  <c r="AK49" i="6"/>
  <c r="BR33" i="6"/>
  <c r="X98" i="6"/>
  <c r="AI32" i="6"/>
  <c r="BS8" i="6"/>
  <c r="I19" i="6"/>
  <c r="BR40" i="6"/>
  <c r="AO74" i="6"/>
  <c r="BX29" i="6"/>
  <c r="D15" i="6"/>
  <c r="BF34" i="6"/>
  <c r="BK41" i="6"/>
  <c r="AA17" i="6"/>
  <c r="CI105" i="6"/>
  <c r="CC117" i="6"/>
  <c r="AI45" i="6"/>
  <c r="F46" i="6"/>
  <c r="BG58" i="6"/>
  <c r="AG19" i="6"/>
  <c r="CC112" i="6"/>
  <c r="BV59" i="6"/>
  <c r="BA76" i="6"/>
  <c r="S41" i="6"/>
  <c r="BQ35" i="6"/>
  <c r="AG45" i="6"/>
  <c r="BS23" i="6"/>
  <c r="CE55" i="6"/>
  <c r="AW60" i="6"/>
  <c r="AM73" i="6"/>
  <c r="L63" i="6"/>
  <c r="H69" i="6"/>
  <c r="D75" i="6"/>
  <c r="AF75" i="6"/>
  <c r="BN40" i="6"/>
  <c r="CD36" i="6"/>
  <c r="P31" i="6"/>
  <c r="BC95" i="6"/>
  <c r="O28" i="6"/>
  <c r="AZ39" i="6"/>
  <c r="CK97" i="6"/>
  <c r="T59" i="6"/>
  <c r="AU64" i="6"/>
  <c r="D24" i="6"/>
  <c r="CI24" i="6"/>
  <c r="S54" i="6"/>
  <c r="BC115" i="6"/>
  <c r="CD26" i="6"/>
  <c r="L44" i="6"/>
  <c r="T66" i="6"/>
  <c r="Y86" i="6"/>
  <c r="CN81" i="6"/>
  <c r="CN102" i="6"/>
  <c r="AR52" i="6"/>
  <c r="AQ87" i="6"/>
  <c r="AQ16" i="6"/>
  <c r="F45" i="6"/>
  <c r="BI45" i="6"/>
  <c r="BS75" i="6"/>
  <c r="CK65" i="6"/>
  <c r="X121" i="6"/>
  <c r="S80" i="6"/>
  <c r="AT113" i="6"/>
  <c r="Y12" i="6"/>
  <c r="AJ58" i="6"/>
  <c r="BZ18" i="6"/>
  <c r="CL48" i="6"/>
  <c r="S77" i="6"/>
  <c r="AR35" i="6"/>
  <c r="AT70" i="6"/>
  <c r="R10" i="6"/>
  <c r="L49" i="6"/>
  <c r="V16" i="6"/>
  <c r="AK71" i="6"/>
  <c r="AS15" i="6"/>
  <c r="CK66" i="6"/>
  <c r="AZ31" i="6"/>
  <c r="BA36" i="6"/>
  <c r="BU118" i="6"/>
  <c r="G85" i="6"/>
  <c r="S23" i="6"/>
  <c r="I16" i="6"/>
  <c r="AS103" i="6"/>
  <c r="BU58" i="6"/>
  <c r="CG25" i="6"/>
  <c r="CJ39" i="6"/>
  <c r="AF78" i="6"/>
  <c r="BS106" i="6"/>
  <c r="AN42" i="6"/>
  <c r="AE60" i="6"/>
  <c r="BG53" i="6"/>
  <c r="BX24" i="6"/>
  <c r="CA45" i="6"/>
  <c r="CB65" i="6"/>
  <c r="AR107" i="6"/>
  <c r="CD52" i="6"/>
  <c r="BS30" i="6"/>
  <c r="V38" i="6"/>
  <c r="BY101" i="6"/>
  <c r="BK25" i="6"/>
  <c r="CK118" i="6"/>
  <c r="AT88" i="6"/>
  <c r="O18" i="6"/>
  <c r="CH107" i="6"/>
  <c r="BJ55" i="6"/>
  <c r="AE105" i="6"/>
  <c r="BZ35" i="6"/>
  <c r="BC24" i="6"/>
  <c r="AP64" i="6"/>
  <c r="CK38" i="6"/>
  <c r="CD90" i="6"/>
  <c r="T86" i="6"/>
  <c r="AL68" i="6"/>
  <c r="AF110" i="6"/>
  <c r="BS25" i="6"/>
  <c r="BW17" i="6"/>
  <c r="L101" i="6"/>
  <c r="AR38" i="6"/>
  <c r="AO45" i="6"/>
  <c r="AL56" i="6"/>
  <c r="CM40" i="6"/>
  <c r="BE92" i="6"/>
  <c r="BX44" i="6"/>
  <c r="AC39" i="6"/>
  <c r="Z11" i="6"/>
  <c r="CD7" i="6"/>
  <c r="AC104" i="6"/>
  <c r="AK58" i="6"/>
  <c r="AF100" i="6"/>
  <c r="BS26" i="6"/>
  <c r="CB67" i="6"/>
  <c r="CE71" i="6"/>
  <c r="AV81" i="6"/>
  <c r="G36" i="6"/>
  <c r="CC48" i="6"/>
  <c r="CH88" i="6"/>
  <c r="Z27" i="6"/>
  <c r="BX61" i="6"/>
  <c r="AN39" i="6"/>
  <c r="BX74" i="6"/>
  <c r="CM82" i="6"/>
  <c r="CA55" i="6"/>
  <c r="I85" i="6"/>
  <c r="CI11" i="6"/>
  <c r="CE49" i="6"/>
  <c r="N100" i="6"/>
  <c r="BQ41" i="6"/>
  <c r="BZ119" i="6"/>
  <c r="BN9" i="6"/>
  <c r="AN8" i="6"/>
  <c r="X114" i="6"/>
  <c r="BK38" i="6"/>
  <c r="AE99" i="6"/>
  <c r="AR54" i="6"/>
  <c r="AI23" i="6"/>
  <c r="CH47" i="6"/>
  <c r="AJ121" i="6"/>
  <c r="AG20" i="6"/>
  <c r="BD102" i="6"/>
  <c r="CM35" i="6"/>
  <c r="W31" i="6"/>
  <c r="L31" i="6"/>
  <c r="AT95" i="6"/>
  <c r="AH19" i="6"/>
  <c r="Z115" i="6"/>
  <c r="AR115" i="6"/>
  <c r="K8" i="6"/>
  <c r="CL115" i="6"/>
  <c r="AC80" i="6"/>
  <c r="CG54" i="6"/>
  <c r="AC12" i="6"/>
  <c r="AL86" i="6"/>
  <c r="BQ83" i="6"/>
  <c r="BD13" i="6"/>
  <c r="AD16" i="6"/>
  <c r="AK82" i="6"/>
  <c r="BP21" i="6"/>
  <c r="BT93" i="6"/>
  <c r="BN50" i="6"/>
  <c r="AA85" i="6"/>
  <c r="BB107" i="6"/>
  <c r="BE121" i="6"/>
  <c r="BK37" i="6"/>
  <c r="BN14" i="6"/>
  <c r="BX32" i="6"/>
  <c r="Q88" i="6"/>
  <c r="BK119" i="6"/>
  <c r="K82" i="6"/>
  <c r="AZ72" i="6"/>
  <c r="BE36" i="6"/>
  <c r="J109" i="6"/>
  <c r="AX43" i="6"/>
  <c r="K48" i="6"/>
  <c r="AC90" i="6"/>
  <c r="CL76" i="6"/>
  <c r="W92" i="6"/>
  <c r="AR34" i="6"/>
  <c r="BE11" i="6"/>
  <c r="AC31" i="6"/>
  <c r="J47" i="6"/>
  <c r="U47" i="6"/>
  <c r="AZ121" i="6"/>
  <c r="CA73" i="6"/>
  <c r="AP36" i="6"/>
  <c r="AL14" i="6"/>
  <c r="AZ38" i="6"/>
  <c r="BR67" i="6"/>
  <c r="CD73" i="6"/>
  <c r="K58" i="6"/>
  <c r="AK87" i="6"/>
  <c r="BS96" i="6"/>
  <c r="B109" i="6"/>
  <c r="CK10" i="6"/>
  <c r="BH15" i="6"/>
  <c r="AU47" i="6"/>
  <c r="P34" i="6"/>
  <c r="AT54" i="6"/>
  <c r="BM96" i="6"/>
  <c r="AB13" i="6"/>
  <c r="BG99" i="6"/>
  <c r="N74" i="6"/>
  <c r="AR42" i="6"/>
  <c r="BS51" i="6"/>
  <c r="D42" i="6"/>
  <c r="E31" i="6"/>
  <c r="CI75" i="6"/>
  <c r="BH23" i="6"/>
  <c r="AO119" i="6"/>
  <c r="BF43" i="6"/>
  <c r="BZ23" i="6"/>
  <c r="BK27" i="6"/>
  <c r="S120" i="6"/>
  <c r="AO47" i="6"/>
  <c r="AQ12" i="6"/>
  <c r="BH7" i="6"/>
  <c r="AI70" i="6"/>
  <c r="N40" i="6"/>
  <c r="V73" i="6"/>
  <c r="BD20" i="6"/>
  <c r="BB21" i="6"/>
  <c r="CI70" i="6"/>
  <c r="C80" i="6"/>
  <c r="CM84" i="6"/>
  <c r="AP100" i="6"/>
  <c r="L53" i="6"/>
  <c r="BL45" i="6"/>
  <c r="CC28" i="6"/>
  <c r="BC6" i="6"/>
  <c r="AA15" i="6"/>
  <c r="G9" i="6"/>
  <c r="AR33" i="6"/>
  <c r="AH7" i="6"/>
  <c r="CC100" i="6"/>
  <c r="AI93" i="6"/>
  <c r="AD34" i="6"/>
  <c r="AJ105" i="6"/>
  <c r="BT88" i="6"/>
  <c r="CN77" i="6"/>
  <c r="CK30" i="6"/>
  <c r="AY99" i="6"/>
  <c r="AI13" i="6"/>
  <c r="BF39" i="6"/>
  <c r="BO9" i="6"/>
  <c r="V52" i="6"/>
  <c r="AW11" i="6"/>
  <c r="H10" i="6"/>
  <c r="V58" i="6"/>
  <c r="BN104" i="6"/>
  <c r="I15" i="6"/>
  <c r="AK38" i="6"/>
  <c r="V55" i="6"/>
  <c r="AK11" i="6"/>
  <c r="N120" i="6"/>
  <c r="BN92" i="6"/>
  <c r="AN51" i="6"/>
  <c r="BN84" i="6"/>
  <c r="BP10" i="6"/>
  <c r="CJ28" i="6"/>
  <c r="D108" i="6"/>
  <c r="BW45" i="6"/>
  <c r="BW49" i="6"/>
  <c r="CK117" i="6"/>
  <c r="CN16" i="6"/>
  <c r="AE63" i="6"/>
  <c r="BO30" i="6"/>
  <c r="BI8" i="6"/>
  <c r="BX17" i="6"/>
  <c r="Z16" i="6"/>
  <c r="CL41" i="6"/>
  <c r="AF19" i="6"/>
  <c r="AJ34" i="6"/>
  <c r="BO97" i="6"/>
  <c r="BI36" i="6"/>
  <c r="D61" i="6"/>
  <c r="CG81" i="6"/>
  <c r="AS54" i="6"/>
  <c r="V41" i="6"/>
  <c r="CA12" i="6"/>
  <c r="CA96" i="6"/>
  <c r="CA112" i="6"/>
  <c r="CH26" i="6"/>
  <c r="AL111" i="6"/>
  <c r="AA66" i="6"/>
  <c r="AX48" i="6"/>
  <c r="X105" i="6"/>
  <c r="CH89" i="6"/>
  <c r="AP61" i="6"/>
  <c r="AW101" i="6"/>
  <c r="AO111" i="6"/>
  <c r="AG10" i="6"/>
  <c r="AM38" i="6"/>
  <c r="CC70" i="6"/>
  <c r="AR55" i="6"/>
  <c r="AZ40" i="6"/>
  <c r="CM55" i="6"/>
  <c r="CN105" i="6"/>
  <c r="AQ39" i="6"/>
  <c r="BR61" i="6"/>
  <c r="BC58" i="6"/>
  <c r="AY17" i="6"/>
  <c r="AX22" i="6"/>
  <c r="BY95" i="6"/>
  <c r="BS92" i="6"/>
  <c r="I17" i="6"/>
  <c r="BD38" i="6"/>
  <c r="CF8" i="6"/>
  <c r="BX68" i="6"/>
  <c r="CD32" i="6"/>
  <c r="BG108" i="6"/>
  <c r="BR25" i="6"/>
  <c r="BE32" i="6"/>
  <c r="J24" i="6"/>
  <c r="G11" i="6"/>
  <c r="AF31" i="6"/>
  <c r="D121" i="6"/>
  <c r="BC101" i="6"/>
  <c r="AB63" i="6"/>
  <c r="BK85" i="6"/>
  <c r="AW66" i="6"/>
  <c r="AT21" i="6"/>
  <c r="CM17" i="6"/>
  <c r="O34" i="6"/>
  <c r="AZ53" i="6"/>
  <c r="M95" i="6"/>
  <c r="BX104" i="6"/>
  <c r="AA13" i="6"/>
  <c r="Z101" i="6"/>
  <c r="AO35" i="6"/>
  <c r="CC120" i="6"/>
  <c r="AW108" i="6"/>
  <c r="U63" i="6"/>
  <c r="AO66" i="6"/>
  <c r="V15" i="6"/>
  <c r="L57" i="6"/>
  <c r="N41" i="6"/>
  <c r="BG25" i="6"/>
  <c r="F16" i="6"/>
  <c r="AG27" i="6"/>
  <c r="B92" i="6"/>
  <c r="BT70" i="6"/>
  <c r="BF71" i="6"/>
  <c r="BO42" i="6"/>
  <c r="M9" i="6"/>
  <c r="AN57" i="6"/>
  <c r="BD88" i="6"/>
  <c r="BP75" i="6"/>
  <c r="AB114" i="6"/>
  <c r="BH65" i="6"/>
  <c r="BZ51" i="6"/>
  <c r="L84" i="6"/>
  <c r="P110" i="6"/>
  <c r="E14" i="6"/>
  <c r="CD39" i="6"/>
  <c r="AA40" i="6"/>
  <c r="AA39" i="6"/>
  <c r="CE13" i="6"/>
  <c r="CN21" i="6"/>
  <c r="AN111" i="6"/>
  <c r="BK60" i="6"/>
  <c r="G82" i="6"/>
  <c r="C99" i="6"/>
  <c r="B78" i="6"/>
  <c r="CD44" i="6"/>
  <c r="AR16" i="6"/>
  <c r="CB46" i="6"/>
  <c r="AI24" i="6"/>
  <c r="CF100" i="6"/>
  <c r="W51" i="6"/>
  <c r="BZ69" i="6"/>
  <c r="AU19" i="6"/>
  <c r="AC6" i="6"/>
  <c r="AC66" i="6"/>
  <c r="BX36" i="6"/>
  <c r="BK9" i="6"/>
  <c r="AE20" i="6"/>
  <c r="BC44" i="6"/>
  <c r="U109" i="6"/>
  <c r="CC19" i="6"/>
  <c r="BV90" i="6"/>
  <c r="AR6" i="6"/>
  <c r="CI62" i="6"/>
  <c r="BL85" i="6"/>
  <c r="S32" i="6"/>
  <c r="BH99" i="6"/>
  <c r="Q48" i="6"/>
  <c r="AE55" i="6"/>
  <c r="AA68" i="6"/>
  <c r="BR54" i="6"/>
  <c r="R109" i="6"/>
  <c r="AZ59" i="6"/>
  <c r="K97" i="6"/>
  <c r="AA8" i="6"/>
  <c r="I21" i="6"/>
  <c r="BX89" i="6"/>
  <c r="BD71" i="6"/>
  <c r="I11" i="6"/>
  <c r="N86" i="6"/>
  <c r="AS11" i="6"/>
  <c r="BU65" i="6"/>
  <c r="BQ7" i="6"/>
  <c r="I31" i="6"/>
  <c r="AV65" i="6"/>
  <c r="AW103" i="6"/>
  <c r="H65" i="6"/>
  <c r="AM101" i="6"/>
  <c r="AW34" i="6"/>
  <c r="AB58" i="6"/>
  <c r="AC100" i="6"/>
  <c r="CC18" i="6"/>
  <c r="CD89" i="6"/>
  <c r="BK7" i="6"/>
  <c r="AQ111" i="6"/>
  <c r="BR103" i="6"/>
  <c r="BQ72" i="6"/>
  <c r="CI35" i="6"/>
  <c r="BS56" i="6"/>
  <c r="CE82" i="6"/>
  <c r="BE88" i="6"/>
  <c r="AV23" i="6"/>
  <c r="C59" i="6"/>
  <c r="AU96" i="6"/>
  <c r="CI104" i="6"/>
  <c r="BY8" i="6"/>
  <c r="AH48" i="6"/>
  <c r="BM47" i="6"/>
  <c r="BA13" i="6"/>
  <c r="C109" i="6"/>
  <c r="BB28" i="6"/>
  <c r="AQ77" i="6"/>
  <c r="AE7" i="6"/>
  <c r="AJ49" i="6"/>
  <c r="CK71" i="6"/>
  <c r="F21" i="6"/>
  <c r="Y76" i="6"/>
  <c r="E56" i="6"/>
  <c r="B96" i="6"/>
  <c r="AZ61" i="6"/>
  <c r="AT78" i="6"/>
  <c r="AE89" i="6"/>
  <c r="BA30" i="6"/>
  <c r="E43" i="6"/>
  <c r="AH22" i="6"/>
  <c r="K103" i="6"/>
  <c r="BZ20" i="6"/>
  <c r="K92" i="6"/>
  <c r="CE113" i="6"/>
  <c r="BW62" i="6"/>
  <c r="CN24" i="6"/>
  <c r="U110" i="6"/>
  <c r="BR108" i="6"/>
  <c r="AJ86" i="6"/>
  <c r="BT78" i="6"/>
  <c r="AV92" i="6"/>
  <c r="CB110" i="6"/>
  <c r="BC79" i="6"/>
  <c r="M109" i="6"/>
  <c r="AR36" i="6"/>
  <c r="G115" i="6"/>
  <c r="BV20" i="6"/>
  <c r="AY90" i="6"/>
  <c r="BL105" i="6"/>
  <c r="BF112" i="6"/>
  <c r="BE66" i="6"/>
  <c r="BM88" i="6"/>
  <c r="CA64" i="6"/>
  <c r="CF97" i="6"/>
  <c r="Y23" i="6"/>
  <c r="BX31" i="6"/>
  <c r="E94" i="6"/>
  <c r="AH40" i="6"/>
  <c r="N50" i="6"/>
  <c r="W121" i="6"/>
  <c r="M31" i="6"/>
  <c r="S103" i="6"/>
  <c r="K119" i="6"/>
  <c r="R68" i="6"/>
  <c r="CC23" i="6"/>
  <c r="G28" i="6"/>
  <c r="BH31" i="6"/>
  <c r="BV67" i="6"/>
  <c r="AS101" i="6"/>
  <c r="BG9" i="6"/>
  <c r="AQ116" i="6"/>
  <c r="W41" i="6"/>
  <c r="BW103" i="6"/>
  <c r="N21" i="6"/>
  <c r="U103" i="6"/>
  <c r="BM36" i="6"/>
  <c r="I32" i="6"/>
  <c r="AD59" i="6"/>
  <c r="C8" i="6"/>
  <c r="AR29" i="6"/>
  <c r="AT34" i="6"/>
  <c r="AQ90" i="6"/>
  <c r="U64" i="6"/>
  <c r="BC94" i="6"/>
  <c r="AG24" i="6"/>
  <c r="BH70" i="6"/>
  <c r="BX103" i="6"/>
  <c r="BO96" i="6"/>
  <c r="BA35" i="6"/>
  <c r="H76" i="6"/>
  <c r="F18" i="6"/>
  <c r="BY35" i="6"/>
  <c r="BV36" i="6"/>
  <c r="BU60" i="6"/>
  <c r="AT12" i="6"/>
  <c r="AT74" i="6"/>
  <c r="CC42" i="6"/>
  <c r="AU32" i="6"/>
  <c r="CA38" i="6"/>
  <c r="BC35" i="6"/>
  <c r="BF25" i="6"/>
  <c r="AG36" i="6"/>
  <c r="B14" i="6"/>
  <c r="AV55" i="6"/>
  <c r="AF18" i="6"/>
  <c r="AX33" i="6"/>
  <c r="BT32" i="6"/>
  <c r="AS34" i="6"/>
  <c r="AJ74" i="6"/>
  <c r="T10" i="6"/>
  <c r="AH44" i="6"/>
  <c r="AB29" i="6"/>
  <c r="F15" i="6"/>
  <c r="P61" i="6"/>
  <c r="CF66" i="6"/>
  <c r="L33" i="6"/>
  <c r="M63" i="6"/>
  <c r="CN69" i="6"/>
  <c r="E55" i="6"/>
  <c r="AB7" i="6"/>
  <c r="BK30" i="6"/>
  <c r="AO41" i="6"/>
  <c r="CK7" i="6"/>
  <c r="BO104" i="6"/>
  <c r="AN26" i="6"/>
  <c r="F13" i="6"/>
  <c r="Y28" i="6"/>
  <c r="CL51" i="6"/>
  <c r="AQ84" i="6"/>
  <c r="AG88" i="6"/>
  <c r="BE20" i="6"/>
  <c r="BG36" i="6"/>
  <c r="AS56" i="6"/>
  <c r="CH92" i="6"/>
  <c r="D27" i="6"/>
  <c r="BC64" i="6"/>
  <c r="AD69" i="6"/>
  <c r="AW105" i="6"/>
  <c r="BJ28" i="6"/>
  <c r="AD40" i="6"/>
  <c r="L59" i="6"/>
  <c r="H34" i="6"/>
  <c r="BG22" i="6"/>
  <c r="BA87" i="6"/>
  <c r="I28" i="6"/>
  <c r="BP118" i="6"/>
  <c r="BM93" i="6"/>
  <c r="BE9" i="6"/>
  <c r="CJ84" i="6"/>
  <c r="CH112" i="6"/>
  <c r="Q23" i="6"/>
  <c r="Y102" i="6"/>
  <c r="Z41" i="6"/>
  <c r="BE52" i="6"/>
  <c r="CF6" i="6"/>
  <c r="AM14" i="6"/>
  <c r="I78" i="6"/>
  <c r="AW121" i="6"/>
  <c r="CK64" i="6"/>
  <c r="AK108" i="6"/>
  <c r="AB74" i="6"/>
  <c r="CH62" i="6"/>
  <c r="D43" i="6"/>
  <c r="W62" i="6"/>
  <c r="AA45" i="6"/>
  <c r="BK108" i="6"/>
  <c r="AO43" i="6"/>
  <c r="AY94" i="6"/>
  <c r="CJ106" i="6"/>
  <c r="BH9" i="6"/>
  <c r="AL102" i="6"/>
  <c r="AH15" i="6"/>
  <c r="P9" i="6"/>
  <c r="G40" i="6"/>
  <c r="CL71" i="6"/>
  <c r="BO66" i="6"/>
  <c r="AW18" i="6"/>
  <c r="BM99" i="6"/>
  <c r="AP21" i="6"/>
  <c r="BV9" i="6"/>
  <c r="BH54" i="6"/>
  <c r="AV69" i="6"/>
  <c r="AM39" i="6"/>
  <c r="BD15" i="6"/>
  <c r="BP98" i="6"/>
  <c r="CE87" i="6"/>
  <c r="AO40" i="6"/>
  <c r="CA58" i="6"/>
  <c r="AH17" i="6"/>
  <c r="BB91" i="6"/>
  <c r="P42" i="6"/>
  <c r="G98" i="6"/>
  <c r="CE30" i="6"/>
  <c r="L20" i="6"/>
  <c r="AB54" i="6"/>
  <c r="AW24" i="6"/>
  <c r="O86" i="6"/>
  <c r="AY56" i="6"/>
  <c r="F117" i="6"/>
  <c r="AL16" i="6"/>
  <c r="U52" i="6"/>
  <c r="Y49" i="6"/>
  <c r="Y69" i="6"/>
  <c r="CK83" i="6"/>
  <c r="CL109" i="6"/>
  <c r="CC92" i="6"/>
  <c r="BT116" i="6"/>
  <c r="BT102" i="6"/>
  <c r="Q61" i="6"/>
  <c r="BQ6" i="6"/>
  <c r="V114" i="6"/>
  <c r="AP11" i="6"/>
  <c r="O38" i="6"/>
  <c r="C63" i="6"/>
  <c r="AO89" i="6"/>
  <c r="AU101" i="6"/>
  <c r="AO73" i="6"/>
  <c r="AN104" i="6"/>
  <c r="AD83" i="6"/>
  <c r="BC19" i="6"/>
  <c r="AK27" i="6"/>
  <c r="BH97" i="6"/>
  <c r="BQ59" i="6"/>
  <c r="C34" i="6"/>
  <c r="CF72" i="6"/>
  <c r="CH8" i="6"/>
  <c r="CL102" i="6"/>
  <c r="CM114" i="6"/>
  <c r="CD38" i="6"/>
  <c r="AE57" i="6"/>
  <c r="AP30" i="6"/>
  <c r="K98" i="6"/>
  <c r="Z15" i="6"/>
  <c r="CC73" i="6"/>
  <c r="B56" i="6"/>
  <c r="AY42" i="6"/>
  <c r="BR55" i="6"/>
  <c r="BZ52" i="6"/>
  <c r="CF34" i="6"/>
  <c r="AJ47" i="6"/>
  <c r="BW64" i="6"/>
  <c r="Z105" i="6"/>
  <c r="Z86" i="6"/>
  <c r="BX23" i="6"/>
  <c r="BB78" i="6"/>
  <c r="BS22" i="6"/>
  <c r="B73" i="6"/>
  <c r="AH53" i="6"/>
  <c r="AB98" i="6"/>
  <c r="AD87" i="6"/>
  <c r="CL21" i="6"/>
  <c r="AQ98" i="6"/>
  <c r="CG52" i="6"/>
  <c r="AA46" i="6"/>
  <c r="CE73" i="6"/>
  <c r="BY46" i="6"/>
  <c r="I59" i="6"/>
  <c r="CH77" i="6"/>
  <c r="D9" i="6"/>
  <c r="BS111" i="6"/>
  <c r="AT81" i="6"/>
  <c r="T85" i="6"/>
  <c r="Q54" i="6"/>
  <c r="R35" i="6"/>
  <c r="I12" i="6"/>
  <c r="AA19" i="6"/>
  <c r="CB49" i="6"/>
  <c r="CF83" i="6"/>
  <c r="CN117" i="6"/>
  <c r="AQ94" i="6"/>
  <c r="X88" i="6"/>
  <c r="BV17" i="6"/>
  <c r="BB17" i="6"/>
  <c r="T17" i="6"/>
  <c r="CA30" i="6"/>
  <c r="CF76" i="6"/>
  <c r="BG47" i="6"/>
  <c r="T68" i="6"/>
  <c r="BN102" i="6"/>
  <c r="AR78" i="6"/>
  <c r="BK107" i="6"/>
  <c r="AS42" i="6"/>
  <c r="R115" i="6"/>
  <c r="C87" i="6"/>
  <c r="AB92" i="6"/>
  <c r="CM39" i="6"/>
  <c r="G7" i="6"/>
  <c r="AD110" i="6"/>
  <c r="BV21" i="6"/>
  <c r="CM89" i="6"/>
  <c r="CJ52" i="6"/>
  <c r="J23" i="6"/>
  <c r="AF83" i="6"/>
  <c r="CK19" i="6"/>
  <c r="AV108" i="6"/>
  <c r="BS60" i="6"/>
  <c r="BW23" i="6"/>
  <c r="AU11" i="6"/>
  <c r="O35" i="6"/>
  <c r="AV34" i="6"/>
  <c r="L118" i="6"/>
  <c r="CL38" i="6"/>
  <c r="AB72" i="6"/>
  <c r="BI16" i="6"/>
  <c r="T18" i="6"/>
  <c r="BS109" i="6"/>
  <c r="BK10" i="6"/>
  <c r="H25" i="6"/>
  <c r="BM95" i="6"/>
  <c r="BF16" i="6"/>
  <c r="S65" i="6"/>
  <c r="BT6" i="6"/>
  <c r="BS78" i="6"/>
  <c r="CB53" i="6"/>
  <c r="CH30" i="6"/>
  <c r="BW85" i="6"/>
  <c r="AO75" i="6"/>
  <c r="BK73" i="6"/>
  <c r="AD64" i="6"/>
  <c r="AC38" i="6"/>
  <c r="B61" i="6"/>
  <c r="BD93" i="6"/>
  <c r="AO44" i="6"/>
  <c r="AN21" i="6"/>
  <c r="Q64" i="6"/>
  <c r="AY119" i="6"/>
  <c r="CC9" i="6"/>
  <c r="BF12" i="6"/>
  <c r="AT24" i="6"/>
  <c r="CF117" i="6"/>
  <c r="AN93" i="6"/>
  <c r="BJ32" i="6"/>
  <c r="AX52" i="6"/>
  <c r="AF14" i="6"/>
  <c r="BN83" i="6"/>
  <c r="BQ55" i="6"/>
  <c r="BA44" i="6"/>
  <c r="AR39" i="6"/>
  <c r="O78" i="6"/>
  <c r="BN37" i="6"/>
  <c r="AS13" i="6"/>
  <c r="AV100" i="6"/>
  <c r="BT29" i="6"/>
  <c r="AQ109" i="6"/>
  <c r="AI50" i="6"/>
  <c r="S58" i="6"/>
  <c r="R18" i="6"/>
  <c r="R93" i="6"/>
  <c r="M32" i="6"/>
  <c r="H55" i="6"/>
  <c r="AR56" i="6"/>
  <c r="C69" i="6"/>
  <c r="BH40" i="6"/>
  <c r="V71" i="6"/>
  <c r="R114" i="6"/>
  <c r="AJ92" i="6"/>
  <c r="BY90" i="6"/>
  <c r="BF33" i="6"/>
  <c r="BP121" i="6"/>
  <c r="CE79" i="6"/>
  <c r="AM88" i="6"/>
  <c r="AC76" i="6"/>
  <c r="AG37" i="6"/>
  <c r="AG79" i="6"/>
  <c r="AQ48" i="6"/>
  <c r="CM59" i="6"/>
  <c r="AQ8" i="6"/>
  <c r="CF68" i="6"/>
  <c r="I106" i="6"/>
  <c r="CJ43" i="6"/>
  <c r="AX105" i="6"/>
  <c r="V78" i="6"/>
  <c r="BV49" i="6"/>
  <c r="AX53" i="6"/>
  <c r="BW115" i="6"/>
  <c r="CE116" i="6"/>
  <c r="BS38" i="6"/>
  <c r="BL32" i="6"/>
  <c r="BH101" i="6"/>
  <c r="AL34" i="6"/>
  <c r="BS50" i="6"/>
  <c r="Y26" i="6"/>
  <c r="J90" i="6"/>
  <c r="AP51" i="6"/>
  <c r="BN23" i="6"/>
  <c r="AL18" i="6"/>
  <c r="AV90" i="6"/>
  <c r="AV119" i="6"/>
  <c r="AV53" i="6"/>
  <c r="CD28" i="6"/>
  <c r="CC30" i="6"/>
  <c r="E18" i="6"/>
  <c r="BY25" i="6"/>
  <c r="CE67" i="6"/>
  <c r="CI23" i="6"/>
  <c r="BK118" i="6"/>
  <c r="AM21" i="6"/>
  <c r="AH71" i="6"/>
  <c r="E96" i="6"/>
  <c r="BV99" i="6"/>
  <c r="Q39" i="6"/>
  <c r="CE58" i="6"/>
  <c r="BE101" i="6"/>
  <c r="AS105" i="6"/>
  <c r="R89" i="6"/>
  <c r="AV25" i="6"/>
  <c r="AS49" i="6"/>
  <c r="AD55" i="6"/>
  <c r="R51" i="6"/>
  <c r="BA24" i="6"/>
  <c r="BR44" i="6"/>
  <c r="BE17" i="6"/>
  <c r="BW82" i="6"/>
  <c r="BP88" i="6"/>
  <c r="BI60" i="6"/>
  <c r="B36" i="6"/>
  <c r="H119" i="6"/>
  <c r="AU74" i="6"/>
  <c r="V23" i="6"/>
  <c r="Z28" i="6"/>
  <c r="BJ21" i="6"/>
  <c r="BC88" i="6"/>
  <c r="BR46" i="6"/>
  <c r="CK105" i="6"/>
  <c r="H68" i="6"/>
  <c r="AF45" i="6"/>
  <c r="BD104" i="6"/>
  <c r="M17" i="6"/>
  <c r="BP45" i="6"/>
  <c r="BW117" i="6"/>
  <c r="Y72" i="6"/>
  <c r="AW95" i="6"/>
  <c r="AB78" i="6"/>
  <c r="CJ54" i="6"/>
  <c r="AE41" i="6"/>
  <c r="H39" i="6"/>
  <c r="BE34" i="6"/>
  <c r="H50" i="6"/>
  <c r="AB99" i="6"/>
  <c r="E91" i="6"/>
  <c r="W102" i="6"/>
  <c r="T117" i="6"/>
  <c r="AU93" i="6"/>
  <c r="AP34" i="6"/>
  <c r="AC89" i="6"/>
  <c r="AO76" i="6"/>
  <c r="BT108" i="6"/>
  <c r="K47" i="6"/>
  <c r="BP33" i="6"/>
  <c r="K89" i="6"/>
  <c r="AK8" i="6"/>
  <c r="W104" i="6"/>
  <c r="AR60" i="6"/>
  <c r="BK74" i="6"/>
  <c r="F63" i="6"/>
  <c r="CJ97" i="6"/>
  <c r="AJ61" i="6"/>
  <c r="BC43" i="6"/>
  <c r="BJ63" i="6"/>
  <c r="AZ73" i="6"/>
  <c r="AJ109" i="6"/>
  <c r="BF30" i="6"/>
  <c r="BT13" i="6"/>
  <c r="BG14" i="6"/>
  <c r="BM43" i="6"/>
  <c r="BH75" i="6"/>
  <c r="BT63" i="6"/>
  <c r="AT99" i="6"/>
  <c r="AV106" i="6"/>
  <c r="CK9" i="6"/>
  <c r="BN10" i="6"/>
  <c r="BO87" i="6"/>
  <c r="E103" i="6"/>
  <c r="CF87" i="6"/>
  <c r="V112" i="6"/>
  <c r="G76" i="6"/>
  <c r="AQ49" i="6"/>
  <c r="AZ34" i="6"/>
  <c r="BY82" i="6"/>
  <c r="BJ47" i="6"/>
  <c r="BN81" i="6"/>
  <c r="BK67" i="6"/>
  <c r="BC51" i="6"/>
  <c r="BA90" i="6"/>
  <c r="AO57" i="6"/>
  <c r="X41" i="6"/>
  <c r="CM74" i="6"/>
  <c r="BK75" i="6"/>
  <c r="Z37" i="6"/>
  <c r="BQ30" i="6"/>
  <c r="V18" i="6"/>
  <c r="AE42" i="6"/>
  <c r="AS32" i="6"/>
  <c r="C22" i="4"/>
  <c r="C33" i="4"/>
  <c r="C32" i="4"/>
  <c r="C31" i="4"/>
</calcChain>
</file>

<file path=xl/sharedStrings.xml><?xml version="1.0" encoding="utf-8"?>
<sst xmlns="http://schemas.openxmlformats.org/spreadsheetml/2006/main" count="187" uniqueCount="101">
  <si>
    <t>MyPortfolio</t>
  </si>
  <si>
    <t>DataFrame</t>
  </si>
  <si>
    <t>Name</t>
  </si>
  <si>
    <t>Loans File</t>
  </si>
  <si>
    <t>name</t>
  </si>
  <si>
    <t>Load Tape</t>
  </si>
  <si>
    <t>Create Portfolio</t>
  </si>
  <si>
    <t>Set Tape</t>
  </si>
  <si>
    <t>ProjectLoans</t>
  </si>
  <si>
    <t>Display</t>
  </si>
  <si>
    <t>MATURITY_MONTH</t>
  </si>
  <si>
    <t>LOAN_TYPE</t>
  </si>
  <si>
    <t>RATE</t>
  </si>
  <si>
    <t>FREQ</t>
  </si>
  <si>
    <t>PDP</t>
  </si>
  <si>
    <t>LoanProjection</t>
  </si>
  <si>
    <t>df40kloans</t>
  </si>
  <si>
    <t>Equity</t>
  </si>
  <si>
    <t>TrancheSize</t>
  </si>
  <si>
    <t>TranchePayType</t>
  </si>
  <si>
    <t>Sequential</t>
  </si>
  <si>
    <t>CouponRate</t>
  </si>
  <si>
    <t>CouponType</t>
  </si>
  <si>
    <t>CouponFloor</t>
  </si>
  <si>
    <t>CouponFrequency</t>
  </si>
  <si>
    <t>ResetCurve</t>
  </si>
  <si>
    <t>CurveCollection</t>
  </si>
  <si>
    <t>DiscountMargin</t>
  </si>
  <si>
    <t>CreateTranche</t>
  </si>
  <si>
    <t>NONE</t>
  </si>
  <si>
    <t>Senior</t>
  </si>
  <si>
    <t>TrancheDefinitions</t>
  </si>
  <si>
    <t>FixingTable</t>
  </si>
  <si>
    <t>CapitalStructure</t>
  </si>
  <si>
    <t>CreditHandle</t>
  </si>
  <si>
    <t>SeniorityRank</t>
  </si>
  <si>
    <t>CashflowEngine</t>
  </si>
  <si>
    <t>Configure</t>
  </si>
  <si>
    <t>Tranches</t>
  </si>
  <si>
    <t>LoanPortfolio</t>
  </si>
  <si>
    <t>RegulatoryCapitalMaturity</t>
  </si>
  <si>
    <t>DiversityMetric</t>
  </si>
  <si>
    <t>SupervisoryType</t>
  </si>
  <si>
    <t>PoolType</t>
  </si>
  <si>
    <t>EffectiveDate</t>
  </si>
  <si>
    <t>MaturityDate</t>
  </si>
  <si>
    <t>Triggers</t>
  </si>
  <si>
    <t>ReinvestmentEndDate</t>
  </si>
  <si>
    <t>ReinvestmentEndPeriod</t>
  </si>
  <si>
    <t>IRBA</t>
  </si>
  <si>
    <t>RETAIL</t>
  </si>
  <si>
    <t>Configuration</t>
  </si>
  <si>
    <t>Evaluate</t>
  </si>
  <si>
    <t>Periods</t>
  </si>
  <si>
    <t>CreateTrigger</t>
  </si>
  <si>
    <t>Trigger1</t>
  </si>
  <si>
    <t>Number of Tranches</t>
  </si>
  <si>
    <t>Trigger Definitions</t>
  </si>
  <si>
    <t>Trigger2</t>
  </si>
  <si>
    <t>Number of Triggers</t>
  </si>
  <si>
    <t>KIRB</t>
  </si>
  <si>
    <t>ELGD</t>
  </si>
  <si>
    <t>EURYC</t>
  </si>
  <si>
    <t>EUR3ML</t>
  </si>
  <si>
    <t>LiabilityFlows</t>
  </si>
  <si>
    <t>ResultsHandle</t>
  </si>
  <si>
    <t>Mezz</t>
  </si>
  <si>
    <t>bp</t>
  </si>
  <si>
    <t>MONTHLY</t>
  </si>
  <si>
    <t>threshold</t>
  </si>
  <si>
    <t>period</t>
  </si>
  <si>
    <t>active</t>
  </si>
  <si>
    <t>Trigger3</t>
  </si>
  <si>
    <t>Threshold</t>
  </si>
  <si>
    <t>ActivePeriod</t>
  </si>
  <si>
    <t>SetThreshold</t>
  </si>
  <si>
    <t>ActivePeriodStart</t>
  </si>
  <si>
    <t>ActivePeriodEnd</t>
  </si>
  <si>
    <t>SetThresholdRange</t>
  </si>
  <si>
    <t>SetThresholdVector</t>
  </si>
  <si>
    <t>SyntheticExcessSpread</t>
  </si>
  <si>
    <t>CreateSyntheticExcessSpread</t>
  </si>
  <si>
    <t>ResetFrequency</t>
  </si>
  <si>
    <t>UseOrLose</t>
  </si>
  <si>
    <t>Level</t>
  </si>
  <si>
    <t>Synthetic_XS</t>
  </si>
  <si>
    <t>Set Synthetic XS</t>
  </si>
  <si>
    <t>PV</t>
  </si>
  <si>
    <t>Tranche</t>
  </si>
  <si>
    <t>ValuationDate</t>
  </si>
  <si>
    <t>Interest Rate</t>
  </si>
  <si>
    <t>CallPeriod</t>
  </si>
  <si>
    <t>Tranche PV Parameters</t>
  </si>
  <si>
    <t>CreateFromBlock</t>
  </si>
  <si>
    <t>df40kLoans2</t>
  </si>
  <si>
    <t>Loan Data with added columns</t>
  </si>
  <si>
    <t>Update Loan Type Column</t>
  </si>
  <si>
    <t>Update LOAN_TYPE</t>
  </si>
  <si>
    <t>IRR</t>
  </si>
  <si>
    <t>Check round trip</t>
  </si>
  <si>
    <t>X:\Secure\DIR_MLib_Analytics\Examples\StructuredCredit\1.5bil_saved_partial.csv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</si>
</sst>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3" fillId="2" borderId="1" xfId="0" applyFont="1" applyFill="1" applyBorder="1" applyAlignment="1">
      <alignment horizontal="left"/>
    </xf>
    <xf numFmtId="0" fontId="0" fillId="0" borderId="2" xfId="0" applyFont="1" applyBorder="1"/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0" fillId="0" borderId="3" xfId="0" applyFont="1" applyBorder="1"/>
    <xf numFmtId="0" fontId="1" fillId="4" borderId="0" xfId="0" applyFont="1" applyFill="1" applyBorder="1"/>
    <xf numFmtId="0" fontId="0" fillId="4" borderId="0" xfId="0" applyFill="1" applyBorder="1"/>
    <xf numFmtId="0" fontId="0" fillId="4" borderId="0" xfId="0" applyFill="1" applyBorder="1" applyAlignment="1">
      <alignment horizontal="left"/>
    </xf>
    <xf numFmtId="0" fontId="0" fillId="4" borderId="0" xfId="0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0" borderId="4" xfId="0" applyFont="1" applyFill="1" applyBorder="1"/>
    <xf numFmtId="0" fontId="3" fillId="2" borderId="4" xfId="0" applyFont="1" applyFill="1" applyBorder="1" applyAlignment="1">
      <alignment horizontal="left"/>
    </xf>
    <xf numFmtId="0" fontId="0" fillId="0" borderId="2" xfId="0" applyBorder="1"/>
    <xf numFmtId="0" fontId="4" fillId="3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4" fillId="3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0" fillId="0" borderId="3" xfId="0" applyFont="1" applyFill="1" applyBorder="1"/>
    <xf numFmtId="43" fontId="0" fillId="0" borderId="0" xfId="1" applyFont="1"/>
    <xf numFmtId="15" fontId="0" fillId="0" borderId="0" xfId="0" applyNumberFormat="1"/>
    <xf numFmtId="43" fontId="0" fillId="5" borderId="0" xfId="1" applyFont="1" applyFill="1"/>
    <xf numFmtId="0" fontId="0" fillId="5" borderId="0" xfId="0" applyFill="1"/>
    <xf numFmtId="43" fontId="0" fillId="0" borderId="0" xfId="0" applyNumberFormat="1"/>
    <xf numFmtId="0" fontId="0" fillId="6" borderId="0" xfId="0" applyFill="1"/>
    <xf numFmtId="43" fontId="0" fillId="6" borderId="0" xfId="1" applyFont="1" applyFill="1"/>
    <xf numFmtId="43" fontId="0" fillId="7" borderId="0" xfId="1" applyFont="1" applyFill="1"/>
    <xf numFmtId="164" fontId="3" fillId="2" borderId="3" xfId="1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5" fillId="0" borderId="0" xfId="2"/>
    <xf numFmtId="0" fontId="1" fillId="0" borderId="4" xfId="0" applyFont="1" applyFill="1" applyBorder="1"/>
    <xf numFmtId="43" fontId="3" fillId="2" borderId="1" xfId="1" applyFont="1" applyFill="1" applyBorder="1" applyAlignment="1">
      <alignment horizontal="left"/>
    </xf>
    <xf numFmtId="43" fontId="3" fillId="2" borderId="1" xfId="1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0" fontId="0" fillId="0" borderId="1" xfId="0" applyFont="1" applyFill="1" applyBorder="1"/>
    <xf numFmtId="0" fontId="0" fillId="0" borderId="2" xfId="0" applyFont="1" applyFill="1" applyBorder="1"/>
    <xf numFmtId="0" fontId="4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0" fontId="3" fillId="2" borderId="2" xfId="3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3" fontId="4" fillId="3" borderId="1" xfId="1" applyFont="1" applyFill="1" applyBorder="1" applyAlignment="1">
      <alignment horizontal="center"/>
    </xf>
    <xf numFmtId="43" fontId="4" fillId="3" borderId="3" xfId="1" applyFont="1" applyFill="1" applyBorder="1" applyAlignment="1">
      <alignment horizontal="center"/>
    </xf>
    <xf numFmtId="0" fontId="0" fillId="0" borderId="2" xfId="0" applyFill="1" applyBorder="1"/>
    <xf numFmtId="43" fontId="0" fillId="0" borderId="1" xfId="1" applyFont="1" applyBorder="1"/>
    <xf numFmtId="43" fontId="0" fillId="0" borderId="3" xfId="1" applyFont="1" applyBorder="1"/>
    <xf numFmtId="43" fontId="0" fillId="0" borderId="2" xfId="1" applyFont="1" applyBorder="1"/>
    <xf numFmtId="0" fontId="0" fillId="3" borderId="0" xfId="0" applyFill="1" applyBorder="1" applyAlignment="1">
      <alignment horizontal="center"/>
    </xf>
    <xf numFmtId="0" fontId="0" fillId="0" borderId="4" xfId="0" applyFont="1" applyBorder="1"/>
    <xf numFmtId="0" fontId="0" fillId="4" borderId="3" xfId="0" applyFill="1" applyBorder="1"/>
    <xf numFmtId="0" fontId="0" fillId="4" borderId="2" xfId="0" applyFill="1" applyBorder="1"/>
    <xf numFmtId="0" fontId="0" fillId="3" borderId="0" xfId="0" applyFill="1" applyBorder="1"/>
    <xf numFmtId="165" fontId="0" fillId="0" borderId="1" xfId="1" applyNumberFormat="1" applyFont="1" applyBorder="1"/>
    <xf numFmtId="165" fontId="0" fillId="0" borderId="0" xfId="0" applyNumberFormat="1"/>
    <xf numFmtId="165" fontId="0" fillId="0" borderId="3" xfId="1" applyNumberFormat="1" applyFont="1" applyBorder="1"/>
    <xf numFmtId="10" fontId="0" fillId="0" borderId="0" xfId="0" applyNumberFormat="1"/>
    <xf numFmtId="10" fontId="0" fillId="0" borderId="5" xfId="3" applyNumberFormat="1" applyFont="1" applyBorder="1"/>
    <xf numFmtId="10" fontId="0" fillId="0" borderId="6" xfId="3" applyNumberFormat="1" applyFont="1" applyBorder="1"/>
    <xf numFmtId="10" fontId="0" fillId="0" borderId="7" xfId="3" applyNumberFormat="1" applyFont="1" applyBorder="1"/>
    <xf numFmtId="10" fontId="0" fillId="0" borderId="8" xfId="3" applyNumberFormat="1" applyFont="1" applyBorder="1"/>
    <xf numFmtId="10" fontId="0" fillId="0" borderId="0" xfId="3" applyNumberFormat="1" applyFont="1" applyBorder="1"/>
    <xf numFmtId="10" fontId="0" fillId="0" borderId="9" xfId="3" applyNumberFormat="1" applyFont="1" applyBorder="1"/>
    <xf numFmtId="10" fontId="0" fillId="0" borderId="10" xfId="3" applyNumberFormat="1" applyFont="1" applyBorder="1"/>
    <xf numFmtId="10" fontId="0" fillId="0" borderId="11" xfId="3" applyNumberFormat="1" applyFont="1" applyBorder="1"/>
    <xf numFmtId="10" fontId="0" fillId="0" borderId="12" xfId="3" applyNumberFormat="1" applyFont="1" applyBorder="1"/>
    <xf numFmtId="10" fontId="3" fillId="2" borderId="3" xfId="3" applyNumberFormat="1" applyFont="1" applyFill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15"/>
  <sheetViews>
    <sheetView showGridLines="0" tabSelected="1" workbookViewId="0"/>
  </sheetViews>
  <sheetFormatPr defaultRowHeight="15" x14ac:dyDescent="0.25"/>
  <cols>
    <col min="1" max="1" width="4.42578125" style="17" customWidth="1"/>
    <col min="2" max="2" width="16.28515625" style="16" customWidth="1"/>
    <col min="3" max="3" width="16.42578125" style="16" customWidth="1"/>
    <col min="4" max="4" width="14" style="17" customWidth="1"/>
    <col min="5" max="5" width="9.140625" style="17"/>
    <col min="6" max="6" width="11.7109375" style="17" bestFit="1" customWidth="1"/>
    <col min="7" max="7" width="18.140625" style="17" customWidth="1"/>
    <col min="8" max="8" width="16.42578125" style="17" customWidth="1"/>
    <col min="9" max="9" width="29.140625" style="17" customWidth="1"/>
    <col min="10" max="10" width="17.5703125" style="17" customWidth="1"/>
    <col min="11" max="11" width="14.42578125" style="17" customWidth="1"/>
    <col min="12" max="12" width="12" style="17" bestFit="1" customWidth="1"/>
    <col min="13" max="13" width="14.5703125" style="17" bestFit="1" customWidth="1"/>
    <col min="14" max="14" width="16" style="17" bestFit="1" customWidth="1"/>
    <col min="15" max="21" width="9.140625" style="17"/>
    <col min="22" max="22" width="15.7109375" style="17" bestFit="1" customWidth="1"/>
    <col min="23" max="23" width="17.85546875" style="19" customWidth="1"/>
    <col min="24" max="24" width="15.7109375" style="19" customWidth="1"/>
    <col min="25" max="25" width="14.85546875" style="19" customWidth="1"/>
    <col min="26" max="26" width="12.28515625" style="19" customWidth="1"/>
    <col min="27" max="27" width="14.7109375" style="19" customWidth="1"/>
    <col min="28" max="16384" width="9.140625" style="17"/>
  </cols>
  <sheetData>
    <row r="1" spans="2:27" x14ac:dyDescent="0.25">
      <c r="W1" s="17"/>
      <c r="X1" s="17"/>
      <c r="Y1" s="17"/>
      <c r="Z1" s="17"/>
      <c r="AA1" s="17"/>
    </row>
    <row r="2" spans="2:27" x14ac:dyDescent="0.25">
      <c r="I2" s="17" t="s">
        <v>95</v>
      </c>
      <c r="W2" s="17"/>
      <c r="X2" s="17"/>
      <c r="Y2" s="17"/>
      <c r="Z2" s="17"/>
      <c r="AA2" s="17"/>
    </row>
    <row r="3" spans="2:27" x14ac:dyDescent="0.25">
      <c r="B3" s="9" t="s">
        <v>2</v>
      </c>
      <c r="C3" s="10" t="s">
        <v>16</v>
      </c>
      <c r="I3" s="9" t="s">
        <v>2</v>
      </c>
      <c r="J3" s="10" t="s">
        <v>94</v>
      </c>
      <c r="W3" s="17"/>
      <c r="X3" s="17"/>
      <c r="Y3" s="17"/>
      <c r="Z3" s="17"/>
      <c r="AA3" s="17"/>
    </row>
    <row r="4" spans="2:27" x14ac:dyDescent="0.25">
      <c r="B4" s="15" t="s">
        <v>3</v>
      </c>
      <c r="C4" s="20" t="s">
        <v>100</v>
      </c>
      <c r="I4" s="67" t="s">
        <v>93</v>
      </c>
      <c r="J4" s="14" t="str">
        <f ca="1">_xll.mscDataFrameCreateFromBlock(J3,B9:Z9,B10:Z209)</f>
        <v>DF40KLOANS2:0</v>
      </c>
      <c r="W4" s="17"/>
      <c r="X4" s="17"/>
      <c r="Y4" s="17"/>
      <c r="Z4" s="17"/>
      <c r="AA4" s="17"/>
    </row>
    <row r="5" spans="2:27" x14ac:dyDescent="0.25">
      <c r="B5" s="11" t="s">
        <v>5</v>
      </c>
      <c r="C5" s="12" t="str">
        <f ca="1">_xll.mscDataFrameCreateFromFilename(C3,C4)</f>
        <v>DF40KLOANS:0</v>
      </c>
      <c r="I5" s="68" t="s">
        <v>97</v>
      </c>
      <c r="J5" s="12" t="str">
        <f ca="1">AA8</f>
        <v>DF40KLOANS2:1</v>
      </c>
      <c r="W5" s="17"/>
      <c r="X5" s="17"/>
      <c r="Y5" s="17"/>
      <c r="Z5" s="17"/>
      <c r="AA5" s="17"/>
    </row>
    <row r="6" spans="2:27" x14ac:dyDescent="0.25">
      <c r="D6" s="18"/>
      <c r="W6" s="17"/>
      <c r="X6" s="17"/>
      <c r="Y6" s="17"/>
      <c r="Z6" s="17"/>
      <c r="AA6" s="17"/>
    </row>
    <row r="7" spans="2:27" x14ac:dyDescent="0.25">
      <c r="D7" s="18"/>
      <c r="W7" s="17"/>
      <c r="X7" s="17"/>
      <c r="Y7" s="17"/>
      <c r="Z7" s="17"/>
      <c r="AA7" s="17" t="s">
        <v>96</v>
      </c>
    </row>
    <row r="8" spans="2:27" x14ac:dyDescent="0.25">
      <c r="B8" s="16" t="s">
        <v>9</v>
      </c>
      <c r="W8" s="17"/>
      <c r="X8" s="17"/>
      <c r="Y8" s="17"/>
      <c r="Z8" s="17"/>
      <c r="AA8" s="12" t="str">
        <f ca="1">_xll.mscDataFrameAddColumn(J4,AA9,AA10:AA209)</f>
        <v>DF40KLOANS2:1</v>
      </c>
    </row>
    <row r="9" spans="2:27" x14ac:dyDescent="0.25">
      <c r="B9" s="19" t="str">
        <f t="array" aca="1" ref="B9:V215" ca="1">_xll.mscDataFrameDisplay(C5)</f>
        <v/>
      </c>
      <c r="C9" s="19" t="str">
        <f ca="1"/>
        <v>ID</v>
      </c>
      <c r="D9" s="19" t="str">
        <f ca="1"/>
        <v>UNNAMED: 0</v>
      </c>
      <c r="E9" s="19" t="str">
        <f ca="1"/>
        <v>LOAN_ID</v>
      </c>
      <c r="F9" s="19" t="str">
        <f ca="1"/>
        <v>OBLIGOR_ID</v>
      </c>
      <c r="G9" s="19" t="str">
        <f ca="1"/>
        <v>EAD</v>
      </c>
      <c r="H9" s="19" t="str">
        <f ca="1"/>
        <v>RATING</v>
      </c>
      <c r="I9" s="19" t="str">
        <f ca="1"/>
        <v>INDUSTRY</v>
      </c>
      <c r="J9" s="19" t="str">
        <f ca="1"/>
        <v>CURRENCY</v>
      </c>
      <c r="K9" s="65" t="str">
        <f ca="1"/>
        <v>LOAN_TYPE</v>
      </c>
      <c r="L9" s="19" t="str">
        <f ca="1"/>
        <v>MATURITY</v>
      </c>
      <c r="M9" s="19" t="str">
        <f ca="1"/>
        <v>REG_MATURITY</v>
      </c>
      <c r="N9" s="19" t="str">
        <f ca="1"/>
        <v>PD_REGULATORY</v>
      </c>
      <c r="O9" s="19" t="str">
        <f ca="1"/>
        <v>LGD</v>
      </c>
      <c r="P9" s="19" t="str">
        <f ca="1"/>
        <v>RW</v>
      </c>
      <c r="Q9" s="19" t="str">
        <f ca="1"/>
        <v>EL</v>
      </c>
      <c r="R9" s="19" t="str">
        <f ca="1"/>
        <v>CAPITAL</v>
      </c>
      <c r="S9" s="19" t="str">
        <f ca="1"/>
        <v>KIRB</v>
      </c>
      <c r="T9" s="19" t="str">
        <f ca="1"/>
        <v>PEAD</v>
      </c>
      <c r="U9" s="19" t="str">
        <f ca="1"/>
        <v>CEAD</v>
      </c>
      <c r="V9" s="19" t="str">
        <f ca="1"/>
        <v>MATURITY_DATE</v>
      </c>
      <c r="W9" s="65" t="s">
        <v>10</v>
      </c>
      <c r="X9" s="65" t="s">
        <v>12</v>
      </c>
      <c r="Y9" s="65" t="s">
        <v>13</v>
      </c>
      <c r="Z9" s="65" t="s">
        <v>14</v>
      </c>
      <c r="AA9" s="65" t="s">
        <v>11</v>
      </c>
    </row>
    <row r="10" spans="2:27" x14ac:dyDescent="0.25">
      <c r="B10" s="17">
        <f ca="1"/>
        <v>0</v>
      </c>
      <c r="C10" s="17">
        <f ca="1"/>
        <v>18588</v>
      </c>
      <c r="D10" s="17">
        <f ca="1"/>
        <v>18587</v>
      </c>
      <c r="E10" s="17">
        <f ca="1"/>
        <v>18588</v>
      </c>
      <c r="F10" s="17">
        <f ca="1"/>
        <v>9254</v>
      </c>
      <c r="G10" s="17">
        <f ca="1"/>
        <v>67737.600000000006</v>
      </c>
      <c r="H10" s="17" t="str">
        <f ca="1"/>
        <v>CCC</v>
      </c>
      <c r="I10" s="17" t="str">
        <f ca="1"/>
        <v>Ind06</v>
      </c>
      <c r="J10" s="17" t="str">
        <f ca="1"/>
        <v>USD</v>
      </c>
      <c r="K10" s="69" t="str">
        <f ca="1"/>
        <v>Lev</v>
      </c>
      <c r="L10" s="17">
        <f ca="1"/>
        <v>7.838111288344952</v>
      </c>
      <c r="M10" s="17">
        <f ca="1"/>
        <v>5</v>
      </c>
      <c r="N10" s="17">
        <f ca="1"/>
        <v>0.20494000000000001</v>
      </c>
      <c r="O10" s="17">
        <f ca="1"/>
        <v>0.4</v>
      </c>
      <c r="P10" s="17">
        <f ca="1"/>
        <v>2.3521921915502002</v>
      </c>
      <c r="Q10" s="17">
        <f ca="1"/>
        <v>8.1976000000000007E-2</v>
      </c>
      <c r="R10" s="17">
        <f ca="1"/>
        <v>0.18817537532401599</v>
      </c>
      <c r="S10" s="17">
        <f ca="1"/>
        <v>0.27015137532401601</v>
      </c>
      <c r="T10" s="17">
        <f ca="1"/>
        <v>67737.600000000006</v>
      </c>
      <c r="U10" s="17">
        <f ca="1"/>
        <v>67737.600000000006</v>
      </c>
      <c r="V10" s="17" t="str">
        <f ca="1"/>
        <v>2026-08-31</v>
      </c>
      <c r="W10" s="65">
        <f ca="1">L10*12</f>
        <v>94.057335460139427</v>
      </c>
      <c r="X10" s="65">
        <v>0.5</v>
      </c>
      <c r="Y10" s="65">
        <v>1</v>
      </c>
      <c r="Z10" s="65">
        <f t="shared" ref="Z10:Z73" ca="1" si="0">N10</f>
        <v>0.20494000000000001</v>
      </c>
      <c r="AA10" s="65">
        <v>0</v>
      </c>
    </row>
    <row r="11" spans="2:27" x14ac:dyDescent="0.25">
      <c r="B11" s="17">
        <f ca="1"/>
        <v>1</v>
      </c>
      <c r="C11" s="17">
        <f ca="1"/>
        <v>14606</v>
      </c>
      <c r="D11" s="17">
        <f ca="1"/>
        <v>14605</v>
      </c>
      <c r="E11" s="17">
        <f ca="1"/>
        <v>14606</v>
      </c>
      <c r="F11" s="17">
        <f ca="1"/>
        <v>7290</v>
      </c>
      <c r="G11" s="17">
        <f ca="1"/>
        <v>26055.01</v>
      </c>
      <c r="H11" s="17" t="str">
        <f ca="1"/>
        <v>CCC</v>
      </c>
      <c r="I11" s="17" t="str">
        <f ca="1"/>
        <v>Ind06</v>
      </c>
      <c r="J11" s="17" t="str">
        <f ca="1"/>
        <v>USD</v>
      </c>
      <c r="K11" s="69" t="str">
        <f ca="1"/>
        <v>ShipFin</v>
      </c>
      <c r="L11" s="17">
        <f ca="1"/>
        <v>5.9893432312039661</v>
      </c>
      <c r="M11" s="17">
        <f ca="1"/>
        <v>5</v>
      </c>
      <c r="N11" s="17">
        <f ca="1"/>
        <v>0.20494000000000001</v>
      </c>
      <c r="O11" s="17">
        <f ca="1"/>
        <v>0.4</v>
      </c>
      <c r="P11" s="17">
        <f ca="1"/>
        <v>2.3521921915502002</v>
      </c>
      <c r="Q11" s="17">
        <f ca="1"/>
        <v>8.1976000000000007E-2</v>
      </c>
      <c r="R11" s="17">
        <f ca="1"/>
        <v>0.18817537532401599</v>
      </c>
      <c r="S11" s="17">
        <f ca="1"/>
        <v>0.27015137532401601</v>
      </c>
      <c r="T11" s="17">
        <f ca="1"/>
        <v>26055.01</v>
      </c>
      <c r="U11" s="17">
        <f ca="1"/>
        <v>93792.61</v>
      </c>
      <c r="V11" s="17" t="str">
        <f ca="1"/>
        <v>2024-08-31</v>
      </c>
      <c r="W11" s="65">
        <f t="shared" ref="W11:W74" ca="1" si="1">L11*12</f>
        <v>71.872118774447586</v>
      </c>
      <c r="X11" s="65">
        <v>0.5</v>
      </c>
      <c r="Y11" s="65">
        <v>1</v>
      </c>
      <c r="Z11" s="65">
        <f t="shared" ca="1" si="0"/>
        <v>0.20494000000000001</v>
      </c>
      <c r="AA11" s="65">
        <v>0</v>
      </c>
    </row>
    <row r="12" spans="2:27" x14ac:dyDescent="0.25">
      <c r="B12" s="17">
        <f ca="1"/>
        <v>2</v>
      </c>
      <c r="C12" s="17">
        <f ca="1"/>
        <v>14614</v>
      </c>
      <c r="D12" s="17">
        <f ca="1"/>
        <v>14613</v>
      </c>
      <c r="E12" s="17">
        <f ca="1"/>
        <v>14614</v>
      </c>
      <c r="F12" s="17">
        <f ca="1"/>
        <v>7294</v>
      </c>
      <c r="G12" s="17">
        <f ca="1"/>
        <v>47668.959999999999</v>
      </c>
      <c r="H12" s="17" t="str">
        <f ca="1"/>
        <v>CCC</v>
      </c>
      <c r="I12" s="17" t="str">
        <f ca="1"/>
        <v>Ind06</v>
      </c>
      <c r="J12" s="17" t="str">
        <f ca="1"/>
        <v>USD</v>
      </c>
      <c r="K12" s="69" t="str">
        <f ca="1"/>
        <v>ShipFin</v>
      </c>
      <c r="L12" s="17">
        <f ca="1"/>
        <v>5.0242907508276398</v>
      </c>
      <c r="M12" s="17">
        <f ca="1"/>
        <v>5</v>
      </c>
      <c r="N12" s="17">
        <f ca="1"/>
        <v>0.20494000000000001</v>
      </c>
      <c r="O12" s="17">
        <f ca="1"/>
        <v>0.4</v>
      </c>
      <c r="P12" s="17">
        <f ca="1"/>
        <v>2.3521921915502002</v>
      </c>
      <c r="Q12" s="17">
        <f ca="1"/>
        <v>8.1976000000000007E-2</v>
      </c>
      <c r="R12" s="17">
        <f ca="1"/>
        <v>0.18817537532401599</v>
      </c>
      <c r="S12" s="17">
        <f ca="1"/>
        <v>0.27015137532401601</v>
      </c>
      <c r="T12" s="17">
        <f ca="1"/>
        <v>47668.959999999999</v>
      </c>
      <c r="U12" s="17">
        <f ca="1"/>
        <v>141461.57</v>
      </c>
      <c r="V12" s="17" t="str">
        <f ca="1"/>
        <v>2024-07-31</v>
      </c>
      <c r="W12" s="65">
        <f t="shared" ca="1" si="1"/>
        <v>60.291489009931681</v>
      </c>
      <c r="X12" s="65">
        <v>0.5</v>
      </c>
      <c r="Y12" s="65">
        <v>1</v>
      </c>
      <c r="Z12" s="65">
        <f t="shared" ca="1" si="0"/>
        <v>0.20494000000000001</v>
      </c>
      <c r="AA12" s="65">
        <v>0</v>
      </c>
    </row>
    <row r="13" spans="2:27" x14ac:dyDescent="0.25">
      <c r="B13" s="17">
        <f ca="1"/>
        <v>3</v>
      </c>
      <c r="C13" s="17">
        <f ca="1"/>
        <v>14615</v>
      </c>
      <c r="D13" s="17">
        <f ca="1"/>
        <v>14614</v>
      </c>
      <c r="E13" s="17">
        <f ca="1"/>
        <v>14615</v>
      </c>
      <c r="F13" s="17">
        <f ca="1"/>
        <v>7295</v>
      </c>
      <c r="G13" s="17">
        <f ca="1"/>
        <v>3811.72</v>
      </c>
      <c r="H13" s="17" t="str">
        <f ca="1"/>
        <v>CCC</v>
      </c>
      <c r="I13" s="17" t="str">
        <f ca="1"/>
        <v>Ind06</v>
      </c>
      <c r="J13" s="17" t="str">
        <f ca="1"/>
        <v>USD</v>
      </c>
      <c r="K13" s="69" t="str">
        <f ca="1"/>
        <v>ShipFin</v>
      </c>
      <c r="L13" s="17">
        <f ca="1"/>
        <v>7.2126824434776786</v>
      </c>
      <c r="M13" s="17">
        <f ca="1"/>
        <v>5</v>
      </c>
      <c r="N13" s="17">
        <f ca="1"/>
        <v>0.20494000000000001</v>
      </c>
      <c r="O13" s="17">
        <f ca="1"/>
        <v>0.4</v>
      </c>
      <c r="P13" s="17">
        <f ca="1"/>
        <v>2.3521921915502002</v>
      </c>
      <c r="Q13" s="17">
        <f ca="1"/>
        <v>8.1976000000000007E-2</v>
      </c>
      <c r="R13" s="17">
        <f ca="1"/>
        <v>0.18817537532401599</v>
      </c>
      <c r="S13" s="17">
        <f ca="1"/>
        <v>0.27015137532401601</v>
      </c>
      <c r="T13" s="17">
        <f ca="1"/>
        <v>3811.72</v>
      </c>
      <c r="U13" s="17">
        <f ca="1"/>
        <v>145273.29</v>
      </c>
      <c r="V13" s="17" t="str">
        <f ca="1"/>
        <v>2026-07-31</v>
      </c>
      <c r="W13" s="65">
        <f t="shared" ca="1" si="1"/>
        <v>86.552189321732143</v>
      </c>
      <c r="X13" s="65">
        <v>0.5</v>
      </c>
      <c r="Y13" s="65">
        <v>1</v>
      </c>
      <c r="Z13" s="65">
        <f t="shared" ca="1" si="0"/>
        <v>0.20494000000000001</v>
      </c>
      <c r="AA13" s="65">
        <v>0</v>
      </c>
    </row>
    <row r="14" spans="2:27" x14ac:dyDescent="0.25">
      <c r="B14" s="17">
        <f ca="1"/>
        <v>4</v>
      </c>
      <c r="C14" s="17">
        <f ca="1"/>
        <v>14618</v>
      </c>
      <c r="D14" s="17">
        <f ca="1"/>
        <v>14617</v>
      </c>
      <c r="E14" s="17">
        <f ca="1"/>
        <v>14618</v>
      </c>
      <c r="F14" s="17">
        <f ca="1"/>
        <v>7297</v>
      </c>
      <c r="G14" s="17">
        <f ca="1"/>
        <v>73469.06</v>
      </c>
      <c r="H14" s="17" t="str">
        <f ca="1"/>
        <v>CCC</v>
      </c>
      <c r="I14" s="17" t="str">
        <f ca="1"/>
        <v>Ind06</v>
      </c>
      <c r="J14" s="17" t="str">
        <f ca="1"/>
        <v>USD</v>
      </c>
      <c r="K14" s="69" t="str">
        <f ca="1"/>
        <v>ShipFin</v>
      </c>
      <c r="L14" s="17">
        <f ca="1"/>
        <v>5.1893731851619664</v>
      </c>
      <c r="M14" s="17">
        <f ca="1"/>
        <v>5</v>
      </c>
      <c r="N14" s="17">
        <f ca="1"/>
        <v>0.20494000000000001</v>
      </c>
      <c r="O14" s="17">
        <f ca="1"/>
        <v>0.4</v>
      </c>
      <c r="P14" s="17">
        <f ca="1"/>
        <v>2.3521921915502002</v>
      </c>
      <c r="Q14" s="17">
        <f ca="1"/>
        <v>8.1976000000000007E-2</v>
      </c>
      <c r="R14" s="17">
        <f ca="1"/>
        <v>0.18817537532401599</v>
      </c>
      <c r="S14" s="17">
        <f ca="1"/>
        <v>0.27015137532401601</v>
      </c>
      <c r="T14" s="17">
        <f ca="1"/>
        <v>73469.06</v>
      </c>
      <c r="U14" s="17">
        <f ca="1"/>
        <v>218742.35</v>
      </c>
      <c r="V14" s="17" t="str">
        <f ca="1"/>
        <v>2024-07-31</v>
      </c>
      <c r="W14" s="65">
        <f t="shared" ca="1" si="1"/>
        <v>62.272478221943601</v>
      </c>
      <c r="X14" s="65">
        <v>0.5</v>
      </c>
      <c r="Y14" s="65">
        <v>1</v>
      </c>
      <c r="Z14" s="65">
        <f t="shared" ca="1" si="0"/>
        <v>0.20494000000000001</v>
      </c>
      <c r="AA14" s="65">
        <v>0</v>
      </c>
    </row>
    <row r="15" spans="2:27" x14ac:dyDescent="0.25">
      <c r="B15" s="17">
        <f ca="1"/>
        <v>5</v>
      </c>
      <c r="C15" s="17">
        <f ca="1"/>
        <v>14619</v>
      </c>
      <c r="D15" s="17">
        <f ca="1"/>
        <v>14618</v>
      </c>
      <c r="E15" s="17">
        <f ca="1"/>
        <v>14619</v>
      </c>
      <c r="F15" s="17">
        <f ca="1"/>
        <v>7298</v>
      </c>
      <c r="G15" s="17">
        <f ca="1"/>
        <v>57115.17</v>
      </c>
      <c r="H15" s="17" t="str">
        <f ca="1"/>
        <v>CCC</v>
      </c>
      <c r="I15" s="17" t="str">
        <f ca="1"/>
        <v>Ind06</v>
      </c>
      <c r="J15" s="17" t="str">
        <f ca="1"/>
        <v>USD</v>
      </c>
      <c r="K15" s="69" t="str">
        <f ca="1"/>
        <v>ShipFin</v>
      </c>
      <c r="L15" s="17">
        <f ca="1"/>
        <v>7.6658895223238526</v>
      </c>
      <c r="M15" s="17">
        <f ca="1"/>
        <v>5</v>
      </c>
      <c r="N15" s="17">
        <f ca="1"/>
        <v>0.20494000000000001</v>
      </c>
      <c r="O15" s="17">
        <f ca="1"/>
        <v>0.4</v>
      </c>
      <c r="P15" s="17">
        <f ca="1"/>
        <v>2.3521921915502002</v>
      </c>
      <c r="Q15" s="17">
        <f ca="1"/>
        <v>8.1976000000000007E-2</v>
      </c>
      <c r="R15" s="17">
        <f ca="1"/>
        <v>0.18817537532401599</v>
      </c>
      <c r="S15" s="17">
        <f ca="1"/>
        <v>0.27015137532401601</v>
      </c>
      <c r="T15" s="17">
        <f ca="1"/>
        <v>57115.17</v>
      </c>
      <c r="U15" s="17">
        <f ca="1"/>
        <v>275857.52</v>
      </c>
      <c r="V15" s="17" t="str">
        <f ca="1"/>
        <v>2026-08-31</v>
      </c>
      <c r="W15" s="65">
        <f t="shared" ca="1" si="1"/>
        <v>91.990674267886234</v>
      </c>
      <c r="X15" s="65">
        <v>0.5</v>
      </c>
      <c r="Y15" s="65">
        <v>1</v>
      </c>
      <c r="Z15" s="65">
        <f t="shared" ca="1" si="0"/>
        <v>0.20494000000000001</v>
      </c>
      <c r="AA15" s="65">
        <v>0</v>
      </c>
    </row>
    <row r="16" spans="2:27" x14ac:dyDescent="0.25">
      <c r="B16" s="17">
        <f ca="1"/>
        <v>6</v>
      </c>
      <c r="C16" s="17">
        <f ca="1"/>
        <v>14621</v>
      </c>
      <c r="D16" s="17">
        <f ca="1"/>
        <v>14620</v>
      </c>
      <c r="E16" s="17">
        <f ca="1"/>
        <v>14621</v>
      </c>
      <c r="F16" s="17">
        <f ca="1"/>
        <v>7299</v>
      </c>
      <c r="G16" s="17">
        <f ca="1"/>
        <v>29793.59</v>
      </c>
      <c r="H16" s="17" t="str">
        <f ca="1"/>
        <v>CCC</v>
      </c>
      <c r="I16" s="17" t="str">
        <f ca="1"/>
        <v>Ind06</v>
      </c>
      <c r="J16" s="17" t="str">
        <f ca="1"/>
        <v>USD</v>
      </c>
      <c r="K16" s="69" t="str">
        <f ca="1"/>
        <v>ShipFin</v>
      </c>
      <c r="L16" s="17">
        <f ca="1"/>
        <v>5.2331041232799178</v>
      </c>
      <c r="M16" s="17">
        <f ca="1"/>
        <v>5</v>
      </c>
      <c r="N16" s="17">
        <f ca="1"/>
        <v>0.20494000000000001</v>
      </c>
      <c r="O16" s="17">
        <f ca="1"/>
        <v>0.4</v>
      </c>
      <c r="P16" s="17">
        <f ca="1"/>
        <v>2.3521921915502002</v>
      </c>
      <c r="Q16" s="17">
        <f ca="1"/>
        <v>8.1976000000000007E-2</v>
      </c>
      <c r="R16" s="17">
        <f ca="1"/>
        <v>0.18817537532401599</v>
      </c>
      <c r="S16" s="17">
        <f ca="1"/>
        <v>0.27015137532401601</v>
      </c>
      <c r="T16" s="17">
        <f ca="1"/>
        <v>29793.59</v>
      </c>
      <c r="U16" s="17">
        <f ca="1"/>
        <v>305651.11000000004</v>
      </c>
      <c r="V16" s="17" t="str">
        <f ca="1"/>
        <v>2024-07-31</v>
      </c>
      <c r="W16" s="65">
        <f t="shared" ca="1" si="1"/>
        <v>62.79724947935901</v>
      </c>
      <c r="X16" s="65">
        <v>0.5</v>
      </c>
      <c r="Y16" s="65">
        <v>1</v>
      </c>
      <c r="Z16" s="65">
        <f t="shared" ca="1" si="0"/>
        <v>0.20494000000000001</v>
      </c>
      <c r="AA16" s="65">
        <v>0</v>
      </c>
    </row>
    <row r="17" spans="2:27" x14ac:dyDescent="0.25">
      <c r="B17" s="17">
        <f ca="1"/>
        <v>7</v>
      </c>
      <c r="C17" s="17">
        <f ca="1"/>
        <v>14622</v>
      </c>
      <c r="D17" s="17">
        <f ca="1"/>
        <v>14621</v>
      </c>
      <c r="E17" s="17">
        <f ca="1"/>
        <v>14622</v>
      </c>
      <c r="F17" s="17">
        <f ca="1"/>
        <v>7300</v>
      </c>
      <c r="G17" s="17">
        <f ca="1"/>
        <v>50340.959999999999</v>
      </c>
      <c r="H17" s="17" t="str">
        <f ca="1"/>
        <v>CCC</v>
      </c>
      <c r="I17" s="17" t="str">
        <f ca="1"/>
        <v>Ind06</v>
      </c>
      <c r="J17" s="17" t="str">
        <f ca="1"/>
        <v>USD</v>
      </c>
      <c r="K17" s="69" t="str">
        <f ca="1"/>
        <v>ShipFin</v>
      </c>
      <c r="L17" s="17">
        <f ca="1"/>
        <v>7.1406577165867198</v>
      </c>
      <c r="M17" s="17">
        <f ca="1"/>
        <v>5</v>
      </c>
      <c r="N17" s="17">
        <f ca="1"/>
        <v>0.20494000000000001</v>
      </c>
      <c r="O17" s="17">
        <f ca="1"/>
        <v>0.4</v>
      </c>
      <c r="P17" s="17">
        <f ca="1"/>
        <v>2.3521921915502002</v>
      </c>
      <c r="Q17" s="17">
        <f ca="1"/>
        <v>8.1976000000000007E-2</v>
      </c>
      <c r="R17" s="17">
        <f ca="1"/>
        <v>0.18817537532401599</v>
      </c>
      <c r="S17" s="17">
        <f ca="1"/>
        <v>0.27015137532401601</v>
      </c>
      <c r="T17" s="17">
        <f ca="1"/>
        <v>50340.959999999999</v>
      </c>
      <c r="U17" s="17">
        <f ca="1"/>
        <v>355992.07000000007</v>
      </c>
      <c r="V17" s="17" t="str">
        <f ca="1"/>
        <v>2026-07-31</v>
      </c>
      <c r="W17" s="65">
        <f t="shared" ca="1" si="1"/>
        <v>85.687892599040637</v>
      </c>
      <c r="X17" s="65">
        <v>0.5</v>
      </c>
      <c r="Y17" s="65">
        <v>1</v>
      </c>
      <c r="Z17" s="65">
        <f t="shared" ca="1" si="0"/>
        <v>0.20494000000000001</v>
      </c>
      <c r="AA17" s="65">
        <v>0</v>
      </c>
    </row>
    <row r="18" spans="2:27" x14ac:dyDescent="0.25">
      <c r="B18" s="17">
        <f ca="1"/>
        <v>8</v>
      </c>
      <c r="C18" s="17">
        <f ca="1"/>
        <v>14624</v>
      </c>
      <c r="D18" s="17">
        <f ca="1"/>
        <v>14623</v>
      </c>
      <c r="E18" s="17">
        <f ca="1"/>
        <v>14624</v>
      </c>
      <c r="F18" s="17">
        <f ca="1"/>
        <v>7301</v>
      </c>
      <c r="G18" s="17">
        <f ca="1"/>
        <v>25618.76</v>
      </c>
      <c r="H18" s="17" t="str">
        <f ca="1"/>
        <v>CCC</v>
      </c>
      <c r="I18" s="17" t="str">
        <f ca="1"/>
        <v>Ind06</v>
      </c>
      <c r="J18" s="17" t="str">
        <f ca="1"/>
        <v>USD</v>
      </c>
      <c r="K18" s="69" t="str">
        <f ca="1"/>
        <v>ShipFin</v>
      </c>
      <c r="L18" s="17">
        <f ca="1"/>
        <v>7.5985786366672237</v>
      </c>
      <c r="M18" s="17">
        <f ca="1"/>
        <v>5</v>
      </c>
      <c r="N18" s="17">
        <f ca="1"/>
        <v>0.20494000000000001</v>
      </c>
      <c r="O18" s="17">
        <f ca="1"/>
        <v>0.4</v>
      </c>
      <c r="P18" s="17">
        <f ca="1"/>
        <v>2.3521921915502002</v>
      </c>
      <c r="Q18" s="17">
        <f ca="1"/>
        <v>8.1976000000000007E-2</v>
      </c>
      <c r="R18" s="17">
        <f ca="1"/>
        <v>0.18817537532401599</v>
      </c>
      <c r="S18" s="17">
        <f ca="1"/>
        <v>0.27015137532401601</v>
      </c>
      <c r="T18" s="17">
        <f ca="1"/>
        <v>25618.76</v>
      </c>
      <c r="U18" s="17">
        <f ca="1"/>
        <v>381610.83000000007</v>
      </c>
      <c r="V18" s="17" t="str">
        <f ca="1"/>
        <v>2026-08-31</v>
      </c>
      <c r="W18" s="65">
        <f t="shared" ca="1" si="1"/>
        <v>91.182943640006684</v>
      </c>
      <c r="X18" s="65">
        <v>0.5</v>
      </c>
      <c r="Y18" s="65">
        <v>1</v>
      </c>
      <c r="Z18" s="65">
        <f t="shared" ca="1" si="0"/>
        <v>0.20494000000000001</v>
      </c>
      <c r="AA18" s="65">
        <v>0</v>
      </c>
    </row>
    <row r="19" spans="2:27" x14ac:dyDescent="0.25">
      <c r="B19" s="17">
        <f ca="1"/>
        <v>9</v>
      </c>
      <c r="C19" s="17">
        <f ca="1"/>
        <v>14625</v>
      </c>
      <c r="D19" s="17">
        <f ca="1"/>
        <v>14624</v>
      </c>
      <c r="E19" s="17">
        <f ca="1"/>
        <v>14625</v>
      </c>
      <c r="F19" s="17">
        <f ca="1"/>
        <v>7301</v>
      </c>
      <c r="G19" s="17">
        <f ca="1"/>
        <v>17043.650000000001</v>
      </c>
      <c r="H19" s="17" t="str">
        <f ca="1"/>
        <v>CCC</v>
      </c>
      <c r="I19" s="17" t="str">
        <f ca="1"/>
        <v>Ind06</v>
      </c>
      <c r="J19" s="17" t="str">
        <f ca="1"/>
        <v>USD</v>
      </c>
      <c r="K19" s="69" t="str">
        <f ca="1"/>
        <v>ShipFin</v>
      </c>
      <c r="L19" s="17">
        <f ca="1"/>
        <v>6.1199303910904561</v>
      </c>
      <c r="M19" s="17">
        <f ca="1"/>
        <v>5</v>
      </c>
      <c r="N19" s="17">
        <f ca="1"/>
        <v>0.20494000000000001</v>
      </c>
      <c r="O19" s="17">
        <f ca="1"/>
        <v>0.4</v>
      </c>
      <c r="P19" s="17">
        <f ca="1"/>
        <v>2.3521921915502002</v>
      </c>
      <c r="Q19" s="17">
        <f ca="1"/>
        <v>8.1976000000000007E-2</v>
      </c>
      <c r="R19" s="17">
        <f ca="1"/>
        <v>0.18817537532401599</v>
      </c>
      <c r="S19" s="17">
        <f ca="1"/>
        <v>0.27015137532401601</v>
      </c>
      <c r="T19" s="17">
        <f ca="1"/>
        <v>17043.650000000001</v>
      </c>
      <c r="U19" s="17">
        <f ca="1"/>
        <v>398654.4800000001</v>
      </c>
      <c r="V19" s="17" t="str">
        <f ca="1"/>
        <v>2025-07-31</v>
      </c>
      <c r="W19" s="65">
        <f t="shared" ca="1" si="1"/>
        <v>73.439164693085473</v>
      </c>
      <c r="X19" s="65">
        <v>0.5</v>
      </c>
      <c r="Y19" s="65">
        <v>1</v>
      </c>
      <c r="Z19" s="65">
        <f t="shared" ca="1" si="0"/>
        <v>0.20494000000000001</v>
      </c>
      <c r="AA19" s="65">
        <v>0</v>
      </c>
    </row>
    <row r="20" spans="2:27" x14ac:dyDescent="0.25">
      <c r="B20" s="17">
        <f ca="1"/>
        <v>10</v>
      </c>
      <c r="C20" s="17">
        <f ca="1"/>
        <v>14627</v>
      </c>
      <c r="D20" s="17">
        <f ca="1"/>
        <v>14626</v>
      </c>
      <c r="E20" s="17">
        <f ca="1"/>
        <v>14627</v>
      </c>
      <c r="F20" s="17">
        <f ca="1"/>
        <v>7302</v>
      </c>
      <c r="G20" s="17">
        <f ca="1"/>
        <v>36732.97</v>
      </c>
      <c r="H20" s="17" t="str">
        <f ca="1"/>
        <v>CCC</v>
      </c>
      <c r="I20" s="17" t="str">
        <f ca="1"/>
        <v>Ind06</v>
      </c>
      <c r="J20" s="17" t="str">
        <f ca="1"/>
        <v>USD</v>
      </c>
      <c r="K20" s="69" t="str">
        <f ca="1"/>
        <v>ShipFin</v>
      </c>
      <c r="L20" s="17">
        <f ca="1"/>
        <v>7.265377461733296</v>
      </c>
      <c r="M20" s="17">
        <f ca="1"/>
        <v>5</v>
      </c>
      <c r="N20" s="17">
        <f ca="1"/>
        <v>0.20494000000000001</v>
      </c>
      <c r="O20" s="17">
        <f ca="1"/>
        <v>0.4</v>
      </c>
      <c r="P20" s="17">
        <f ca="1"/>
        <v>2.3521921915502002</v>
      </c>
      <c r="Q20" s="17">
        <f ca="1"/>
        <v>8.1976000000000007E-2</v>
      </c>
      <c r="R20" s="17">
        <f ca="1"/>
        <v>0.18817537532401599</v>
      </c>
      <c r="S20" s="17">
        <f ca="1"/>
        <v>0.27015137532401601</v>
      </c>
      <c r="T20" s="17">
        <f ca="1"/>
        <v>36732.97</v>
      </c>
      <c r="U20" s="17">
        <f ca="1"/>
        <v>435387.45000000007</v>
      </c>
      <c r="V20" s="17" t="str">
        <f ca="1"/>
        <v>2026-07-31</v>
      </c>
      <c r="W20" s="65">
        <f t="shared" ca="1" si="1"/>
        <v>87.184529540799559</v>
      </c>
      <c r="X20" s="65">
        <v>0.5</v>
      </c>
      <c r="Y20" s="65">
        <v>1</v>
      </c>
      <c r="Z20" s="65">
        <f t="shared" ca="1" si="0"/>
        <v>0.20494000000000001</v>
      </c>
      <c r="AA20" s="65">
        <v>0</v>
      </c>
    </row>
    <row r="21" spans="2:27" x14ac:dyDescent="0.25">
      <c r="B21" s="17">
        <f ca="1"/>
        <v>11</v>
      </c>
      <c r="C21" s="17">
        <f ca="1"/>
        <v>14629</v>
      </c>
      <c r="D21" s="17">
        <f ca="1"/>
        <v>14628</v>
      </c>
      <c r="E21" s="17">
        <f ca="1"/>
        <v>14629</v>
      </c>
      <c r="F21" s="17">
        <f ca="1"/>
        <v>7303</v>
      </c>
      <c r="G21" s="17">
        <f ca="1"/>
        <v>60748.3</v>
      </c>
      <c r="H21" s="17" t="str">
        <f ca="1"/>
        <v>CCC</v>
      </c>
      <c r="I21" s="17" t="str">
        <f ca="1"/>
        <v>Ind06</v>
      </c>
      <c r="J21" s="17" t="str">
        <f ca="1"/>
        <v>USD</v>
      </c>
      <c r="K21" s="69" t="str">
        <f ca="1"/>
        <v>ShipFin</v>
      </c>
      <c r="L21" s="17">
        <f ca="1"/>
        <v>9.7601780385104941</v>
      </c>
      <c r="M21" s="17">
        <f ca="1"/>
        <v>5</v>
      </c>
      <c r="N21" s="17">
        <f ca="1"/>
        <v>0.20494000000000001</v>
      </c>
      <c r="O21" s="17">
        <f ca="1"/>
        <v>0.4</v>
      </c>
      <c r="P21" s="17">
        <f ca="1"/>
        <v>2.3521921915502002</v>
      </c>
      <c r="Q21" s="17">
        <f ca="1"/>
        <v>8.1976000000000007E-2</v>
      </c>
      <c r="R21" s="17">
        <f ca="1"/>
        <v>0.18817537532401599</v>
      </c>
      <c r="S21" s="17">
        <f ca="1"/>
        <v>0.27015137532401601</v>
      </c>
      <c r="T21" s="17">
        <f ca="1"/>
        <v>60748.3</v>
      </c>
      <c r="U21" s="17">
        <f ca="1"/>
        <v>496135.75000000006</v>
      </c>
      <c r="V21" s="17" t="str">
        <f ca="1"/>
        <v>2028-08-31</v>
      </c>
      <c r="W21" s="65">
        <f t="shared" ca="1" si="1"/>
        <v>117.12213646212592</v>
      </c>
      <c r="X21" s="65">
        <v>0.5</v>
      </c>
      <c r="Y21" s="65">
        <v>1</v>
      </c>
      <c r="Z21" s="65">
        <f t="shared" ca="1" si="0"/>
        <v>0.20494000000000001</v>
      </c>
      <c r="AA21" s="65">
        <v>0</v>
      </c>
    </row>
    <row r="22" spans="2:27" x14ac:dyDescent="0.25">
      <c r="B22" s="17">
        <f ca="1"/>
        <v>12</v>
      </c>
      <c r="C22" s="17">
        <f ca="1"/>
        <v>14630</v>
      </c>
      <c r="D22" s="17">
        <f ca="1"/>
        <v>14629</v>
      </c>
      <c r="E22" s="17">
        <f ca="1"/>
        <v>14630</v>
      </c>
      <c r="F22" s="17">
        <f ca="1"/>
        <v>7304</v>
      </c>
      <c r="G22" s="17">
        <f ca="1"/>
        <v>21194.39</v>
      </c>
      <c r="H22" s="17" t="str">
        <f ca="1"/>
        <v>CCC</v>
      </c>
      <c r="I22" s="17" t="str">
        <f ca="1"/>
        <v>Ind06</v>
      </c>
      <c r="J22" s="17" t="str">
        <f ca="1"/>
        <v>USD</v>
      </c>
      <c r="K22" s="69" t="str">
        <f ca="1"/>
        <v>ShipFin</v>
      </c>
      <c r="L22" s="17">
        <f ca="1"/>
        <v>9.876438515204935</v>
      </c>
      <c r="M22" s="17">
        <f ca="1"/>
        <v>5</v>
      </c>
      <c r="N22" s="17">
        <f ca="1"/>
        <v>0.20494000000000001</v>
      </c>
      <c r="O22" s="17">
        <f ca="1"/>
        <v>0.4</v>
      </c>
      <c r="P22" s="17">
        <f ca="1"/>
        <v>2.3521921915502002</v>
      </c>
      <c r="Q22" s="17">
        <f ca="1"/>
        <v>8.1976000000000007E-2</v>
      </c>
      <c r="R22" s="17">
        <f ca="1"/>
        <v>0.18817537532401599</v>
      </c>
      <c r="S22" s="17">
        <f ca="1"/>
        <v>0.27015137532401601</v>
      </c>
      <c r="T22" s="17">
        <f ca="1"/>
        <v>21194.39</v>
      </c>
      <c r="U22" s="17">
        <f ca="1"/>
        <v>517330.14000000007</v>
      </c>
      <c r="V22" s="17" t="str">
        <f ca="1"/>
        <v>2028-08-31</v>
      </c>
      <c r="W22" s="65">
        <f t="shared" ca="1" si="1"/>
        <v>118.51726218245922</v>
      </c>
      <c r="X22" s="65">
        <v>0.5</v>
      </c>
      <c r="Y22" s="65">
        <v>1</v>
      </c>
      <c r="Z22" s="65">
        <f t="shared" ca="1" si="0"/>
        <v>0.20494000000000001</v>
      </c>
      <c r="AA22" s="65">
        <v>0</v>
      </c>
    </row>
    <row r="23" spans="2:27" x14ac:dyDescent="0.25">
      <c r="B23" s="17">
        <f ca="1"/>
        <v>13</v>
      </c>
      <c r="C23" s="17">
        <f ca="1"/>
        <v>14632</v>
      </c>
      <c r="D23" s="17">
        <f ca="1"/>
        <v>14631</v>
      </c>
      <c r="E23" s="17">
        <f ca="1"/>
        <v>14632</v>
      </c>
      <c r="F23" s="17">
        <f ca="1"/>
        <v>7304</v>
      </c>
      <c r="G23" s="17">
        <f ca="1"/>
        <v>70079.12</v>
      </c>
      <c r="H23" s="17" t="str">
        <f ca="1"/>
        <v>CCC</v>
      </c>
      <c r="I23" s="17" t="str">
        <f ca="1"/>
        <v>Ind06</v>
      </c>
      <c r="J23" s="17" t="str">
        <f ca="1"/>
        <v>USD</v>
      </c>
      <c r="K23" s="69" t="str">
        <f ca="1"/>
        <v>ShipFin</v>
      </c>
      <c r="L23" s="17">
        <f ca="1"/>
        <v>9.4060224987589773</v>
      </c>
      <c r="M23" s="17">
        <f ca="1"/>
        <v>5</v>
      </c>
      <c r="N23" s="17">
        <f ca="1"/>
        <v>0.20494000000000001</v>
      </c>
      <c r="O23" s="17">
        <f ca="1"/>
        <v>0.4</v>
      </c>
      <c r="P23" s="17">
        <f ca="1"/>
        <v>2.3521921915502002</v>
      </c>
      <c r="Q23" s="17">
        <f ca="1"/>
        <v>8.1976000000000007E-2</v>
      </c>
      <c r="R23" s="17">
        <f ca="1"/>
        <v>0.18817537532401599</v>
      </c>
      <c r="S23" s="17">
        <f ca="1"/>
        <v>0.27015137532401601</v>
      </c>
      <c r="T23" s="17">
        <f ca="1"/>
        <v>70079.12</v>
      </c>
      <c r="U23" s="17">
        <f ca="1"/>
        <v>587409.26</v>
      </c>
      <c r="V23" s="17" t="str">
        <f ca="1"/>
        <v>2028-07-31</v>
      </c>
      <c r="W23" s="65">
        <f t="shared" ca="1" si="1"/>
        <v>112.87226998510772</v>
      </c>
      <c r="X23" s="65">
        <v>0.5</v>
      </c>
      <c r="Y23" s="65">
        <v>1</v>
      </c>
      <c r="Z23" s="65">
        <f t="shared" ca="1" si="0"/>
        <v>0.20494000000000001</v>
      </c>
      <c r="AA23" s="65">
        <v>0</v>
      </c>
    </row>
    <row r="24" spans="2:27" x14ac:dyDescent="0.25">
      <c r="B24" s="17">
        <f ca="1"/>
        <v>14</v>
      </c>
      <c r="C24" s="17">
        <f ca="1"/>
        <v>14633</v>
      </c>
      <c r="D24" s="17">
        <f ca="1"/>
        <v>14632</v>
      </c>
      <c r="E24" s="17">
        <f ca="1"/>
        <v>14633</v>
      </c>
      <c r="F24" s="17">
        <f ca="1"/>
        <v>7305</v>
      </c>
      <c r="G24" s="17">
        <f ca="1"/>
        <v>105866.15</v>
      </c>
      <c r="H24" s="17" t="str">
        <f ca="1"/>
        <v>CCC</v>
      </c>
      <c r="I24" s="17" t="str">
        <f ca="1"/>
        <v>Ind06</v>
      </c>
      <c r="J24" s="17" t="str">
        <f ca="1"/>
        <v>USD</v>
      </c>
      <c r="K24" s="69" t="str">
        <f ca="1"/>
        <v>ShipFin</v>
      </c>
      <c r="L24" s="17">
        <f ca="1"/>
        <v>6.1355107881245186</v>
      </c>
      <c r="M24" s="17">
        <f ca="1"/>
        <v>5</v>
      </c>
      <c r="N24" s="17">
        <f ca="1"/>
        <v>0.20494000000000001</v>
      </c>
      <c r="O24" s="17">
        <f ca="1"/>
        <v>0.4</v>
      </c>
      <c r="P24" s="17">
        <f ca="1"/>
        <v>2.3521921915502002</v>
      </c>
      <c r="Q24" s="17">
        <f ca="1"/>
        <v>8.1976000000000007E-2</v>
      </c>
      <c r="R24" s="17">
        <f ca="1"/>
        <v>0.18817537532401599</v>
      </c>
      <c r="S24" s="17">
        <f ca="1"/>
        <v>0.27015137532401601</v>
      </c>
      <c r="T24" s="17">
        <f ca="1"/>
        <v>105866.15</v>
      </c>
      <c r="U24" s="17">
        <f ca="1"/>
        <v>693275.41</v>
      </c>
      <c r="V24" s="17" t="str">
        <f ca="1"/>
        <v>2025-07-31</v>
      </c>
      <c r="W24" s="65">
        <f t="shared" ca="1" si="1"/>
        <v>73.626129457494216</v>
      </c>
      <c r="X24" s="65">
        <v>0.5</v>
      </c>
      <c r="Y24" s="65">
        <v>1</v>
      </c>
      <c r="Z24" s="65">
        <f t="shared" ca="1" si="0"/>
        <v>0.20494000000000001</v>
      </c>
      <c r="AA24" s="65">
        <v>0</v>
      </c>
    </row>
    <row r="25" spans="2:27" x14ac:dyDescent="0.25">
      <c r="B25" s="17">
        <f ca="1"/>
        <v>15</v>
      </c>
      <c r="C25" s="17">
        <f ca="1"/>
        <v>14634</v>
      </c>
      <c r="D25" s="17">
        <f ca="1"/>
        <v>14633</v>
      </c>
      <c r="E25" s="17">
        <f ca="1"/>
        <v>14634</v>
      </c>
      <c r="F25" s="17">
        <f ca="1"/>
        <v>7306</v>
      </c>
      <c r="G25" s="17">
        <f ca="1"/>
        <v>46549.279999999999</v>
      </c>
      <c r="H25" s="17" t="str">
        <f ca="1"/>
        <v>CCC</v>
      </c>
      <c r="I25" s="17" t="str">
        <f ca="1"/>
        <v>Ind06</v>
      </c>
      <c r="J25" s="17" t="str">
        <f ca="1"/>
        <v>USD</v>
      </c>
      <c r="K25" s="69" t="str">
        <f ca="1"/>
        <v>ShipFin</v>
      </c>
      <c r="L25" s="17">
        <f ca="1"/>
        <v>9.9857486784993679</v>
      </c>
      <c r="M25" s="17">
        <f ca="1"/>
        <v>5</v>
      </c>
      <c r="N25" s="17">
        <f ca="1"/>
        <v>0.20494000000000001</v>
      </c>
      <c r="O25" s="17">
        <f ca="1"/>
        <v>0.4</v>
      </c>
      <c r="P25" s="17">
        <f ca="1"/>
        <v>2.3521921915502002</v>
      </c>
      <c r="Q25" s="17">
        <f ca="1"/>
        <v>8.1976000000000007E-2</v>
      </c>
      <c r="R25" s="17">
        <f ca="1"/>
        <v>0.18817537532401599</v>
      </c>
      <c r="S25" s="17">
        <f ca="1"/>
        <v>0.27015137532401601</v>
      </c>
      <c r="T25" s="17">
        <f ca="1"/>
        <v>46549.279999999999</v>
      </c>
      <c r="U25" s="17">
        <f ca="1"/>
        <v>739824.69000000018</v>
      </c>
      <c r="V25" s="17" t="str">
        <f ca="1"/>
        <v>2028-08-31</v>
      </c>
      <c r="W25" s="65">
        <f t="shared" ca="1" si="1"/>
        <v>119.82898414199241</v>
      </c>
      <c r="X25" s="65">
        <v>0.5</v>
      </c>
      <c r="Y25" s="65">
        <v>1</v>
      </c>
      <c r="Z25" s="65">
        <f t="shared" ca="1" si="0"/>
        <v>0.20494000000000001</v>
      </c>
      <c r="AA25" s="65">
        <v>0</v>
      </c>
    </row>
    <row r="26" spans="2:27" x14ac:dyDescent="0.25">
      <c r="B26" s="17">
        <f ca="1"/>
        <v>16</v>
      </c>
      <c r="C26" s="17">
        <f ca="1"/>
        <v>14637</v>
      </c>
      <c r="D26" s="17">
        <f ca="1"/>
        <v>14636</v>
      </c>
      <c r="E26" s="17">
        <f ca="1"/>
        <v>14637</v>
      </c>
      <c r="F26" s="17">
        <f ca="1"/>
        <v>7308</v>
      </c>
      <c r="G26" s="17">
        <f ca="1"/>
        <v>33972.769999999997</v>
      </c>
      <c r="H26" s="17" t="str">
        <f ca="1"/>
        <v>CCC</v>
      </c>
      <c r="I26" s="17" t="str">
        <f ca="1"/>
        <v>Ind06</v>
      </c>
      <c r="J26" s="17" t="str">
        <f ca="1"/>
        <v>USD</v>
      </c>
      <c r="K26" s="69" t="str">
        <f ca="1"/>
        <v>ShipFin</v>
      </c>
      <c r="L26" s="17">
        <f ca="1"/>
        <v>6.2991371834091829</v>
      </c>
      <c r="M26" s="17">
        <f ca="1"/>
        <v>5</v>
      </c>
      <c r="N26" s="17">
        <f ca="1"/>
        <v>0.20494000000000001</v>
      </c>
      <c r="O26" s="17">
        <f ca="1"/>
        <v>0.4</v>
      </c>
      <c r="P26" s="17">
        <f ca="1"/>
        <v>2.3521921915502002</v>
      </c>
      <c r="Q26" s="17">
        <f ca="1"/>
        <v>8.1976000000000007E-2</v>
      </c>
      <c r="R26" s="17">
        <f ca="1"/>
        <v>0.18817537532401599</v>
      </c>
      <c r="S26" s="17">
        <f ca="1"/>
        <v>0.27015137532401601</v>
      </c>
      <c r="T26" s="17">
        <f ca="1"/>
        <v>33972.769999999997</v>
      </c>
      <c r="U26" s="17">
        <f ca="1"/>
        <v>773797.4600000002</v>
      </c>
      <c r="V26" s="17" t="str">
        <f ca="1"/>
        <v>2025-07-31</v>
      </c>
      <c r="W26" s="65">
        <f t="shared" ca="1" si="1"/>
        <v>75.589646200910195</v>
      </c>
      <c r="X26" s="65">
        <v>0.5</v>
      </c>
      <c r="Y26" s="65">
        <v>1</v>
      </c>
      <c r="Z26" s="65">
        <f t="shared" ca="1" si="0"/>
        <v>0.20494000000000001</v>
      </c>
      <c r="AA26" s="65">
        <v>0</v>
      </c>
    </row>
    <row r="27" spans="2:27" x14ac:dyDescent="0.25">
      <c r="B27" s="17">
        <f ca="1"/>
        <v>17</v>
      </c>
      <c r="C27" s="17">
        <f ca="1"/>
        <v>14639</v>
      </c>
      <c r="D27" s="17">
        <f ca="1"/>
        <v>14638</v>
      </c>
      <c r="E27" s="17">
        <f ca="1"/>
        <v>14639</v>
      </c>
      <c r="F27" s="17">
        <f ca="1"/>
        <v>7308</v>
      </c>
      <c r="G27" s="17">
        <f ca="1"/>
        <v>26040.34</v>
      </c>
      <c r="H27" s="17" t="str">
        <f ca="1"/>
        <v>CCC</v>
      </c>
      <c r="I27" s="17" t="str">
        <f ca="1"/>
        <v>Ind06</v>
      </c>
      <c r="J27" s="17" t="str">
        <f ca="1"/>
        <v>USD</v>
      </c>
      <c r="K27" s="69" t="str">
        <f ca="1"/>
        <v>ShipFin</v>
      </c>
      <c r="L27" s="17">
        <f ca="1"/>
        <v>8.3374910055031073</v>
      </c>
      <c r="M27" s="17">
        <f ca="1"/>
        <v>5</v>
      </c>
      <c r="N27" s="17">
        <f ca="1"/>
        <v>0.20494000000000001</v>
      </c>
      <c r="O27" s="17">
        <f ca="1"/>
        <v>0.4</v>
      </c>
      <c r="P27" s="17">
        <f ca="1"/>
        <v>2.3521921915502002</v>
      </c>
      <c r="Q27" s="17">
        <f ca="1"/>
        <v>8.1976000000000007E-2</v>
      </c>
      <c r="R27" s="17">
        <f ca="1"/>
        <v>0.18817537532401599</v>
      </c>
      <c r="S27" s="17">
        <f ca="1"/>
        <v>0.27015137532401601</v>
      </c>
      <c r="T27" s="17">
        <f ca="1"/>
        <v>26040.34</v>
      </c>
      <c r="U27" s="17">
        <f ca="1"/>
        <v>799837.8</v>
      </c>
      <c r="V27" s="17" t="str">
        <f ca="1"/>
        <v>2027-07-31</v>
      </c>
      <c r="W27" s="65">
        <f t="shared" ca="1" si="1"/>
        <v>100.04989206603729</v>
      </c>
      <c r="X27" s="65">
        <v>0.5</v>
      </c>
      <c r="Y27" s="65">
        <v>1</v>
      </c>
      <c r="Z27" s="65">
        <f t="shared" ca="1" si="0"/>
        <v>0.20494000000000001</v>
      </c>
      <c r="AA27" s="65">
        <v>0</v>
      </c>
    </row>
    <row r="28" spans="2:27" x14ac:dyDescent="0.25">
      <c r="B28" s="17">
        <f ca="1"/>
        <v>18</v>
      </c>
      <c r="C28" s="17">
        <f ca="1"/>
        <v>14641</v>
      </c>
      <c r="D28" s="17">
        <f ca="1"/>
        <v>14640</v>
      </c>
      <c r="E28" s="17">
        <f ca="1"/>
        <v>14641</v>
      </c>
      <c r="F28" s="17">
        <f ca="1"/>
        <v>7309</v>
      </c>
      <c r="G28" s="17">
        <f ca="1"/>
        <v>72968</v>
      </c>
      <c r="H28" s="17" t="str">
        <f ca="1"/>
        <v>CCC</v>
      </c>
      <c r="I28" s="17" t="str">
        <f ca="1"/>
        <v>Ind06</v>
      </c>
      <c r="J28" s="17" t="str">
        <f ca="1"/>
        <v>USD</v>
      </c>
      <c r="K28" s="69" t="str">
        <f ca="1"/>
        <v>ShipFin</v>
      </c>
      <c r="L28" s="17">
        <f ca="1"/>
        <v>6.1156323277507925</v>
      </c>
      <c r="M28" s="17">
        <f ca="1"/>
        <v>5</v>
      </c>
      <c r="N28" s="17">
        <f ca="1"/>
        <v>0.20494000000000001</v>
      </c>
      <c r="O28" s="17">
        <f ca="1"/>
        <v>0.4</v>
      </c>
      <c r="P28" s="17">
        <f ca="1"/>
        <v>2.3521921915502002</v>
      </c>
      <c r="Q28" s="17">
        <f ca="1"/>
        <v>8.1976000000000007E-2</v>
      </c>
      <c r="R28" s="17">
        <f ca="1"/>
        <v>0.18817537532401599</v>
      </c>
      <c r="S28" s="17">
        <f ca="1"/>
        <v>0.27015137532401601</v>
      </c>
      <c r="T28" s="17">
        <f ca="1"/>
        <v>72968</v>
      </c>
      <c r="U28" s="17">
        <f ca="1"/>
        <v>872805.8</v>
      </c>
      <c r="V28" s="17" t="str">
        <f ca="1"/>
        <v>2025-07-31</v>
      </c>
      <c r="W28" s="65">
        <f t="shared" ca="1" si="1"/>
        <v>73.387587933009513</v>
      </c>
      <c r="X28" s="65">
        <v>0.5</v>
      </c>
      <c r="Y28" s="65">
        <v>1</v>
      </c>
      <c r="Z28" s="65">
        <f t="shared" ca="1" si="0"/>
        <v>0.20494000000000001</v>
      </c>
      <c r="AA28" s="65">
        <v>0</v>
      </c>
    </row>
    <row r="29" spans="2:27" x14ac:dyDescent="0.25">
      <c r="B29" s="17">
        <f ca="1"/>
        <v>19</v>
      </c>
      <c r="C29" s="17">
        <f ca="1"/>
        <v>14642</v>
      </c>
      <c r="D29" s="17">
        <f ca="1"/>
        <v>14641</v>
      </c>
      <c r="E29" s="17">
        <f ca="1"/>
        <v>14642</v>
      </c>
      <c r="F29" s="17">
        <f ca="1"/>
        <v>7310</v>
      </c>
      <c r="G29" s="17">
        <f ca="1"/>
        <v>116299.36</v>
      </c>
      <c r="H29" s="17" t="str">
        <f ca="1"/>
        <v>CCC</v>
      </c>
      <c r="I29" s="17" t="str">
        <f ca="1"/>
        <v>Ind06</v>
      </c>
      <c r="J29" s="17" t="str">
        <f ca="1"/>
        <v>USD</v>
      </c>
      <c r="K29" s="69" t="str">
        <f ca="1"/>
        <v>ShipFin</v>
      </c>
      <c r="L29" s="17">
        <f ca="1"/>
        <v>5.6720071948948325</v>
      </c>
      <c r="M29" s="17">
        <f ca="1"/>
        <v>5</v>
      </c>
      <c r="N29" s="17">
        <f ca="1"/>
        <v>0.20494000000000001</v>
      </c>
      <c r="O29" s="17">
        <f ca="1"/>
        <v>0.4</v>
      </c>
      <c r="P29" s="17">
        <f ca="1"/>
        <v>2.3521921915502002</v>
      </c>
      <c r="Q29" s="17">
        <f ca="1"/>
        <v>8.1976000000000007E-2</v>
      </c>
      <c r="R29" s="17">
        <f ca="1"/>
        <v>0.18817537532401599</v>
      </c>
      <c r="S29" s="17">
        <f ca="1"/>
        <v>0.27015137532401601</v>
      </c>
      <c r="T29" s="17">
        <f ca="1"/>
        <v>116299.36</v>
      </c>
      <c r="U29" s="17">
        <f ca="1"/>
        <v>989105.16</v>
      </c>
      <c r="V29" s="17" t="str">
        <f ca="1"/>
        <v>2024-08-31</v>
      </c>
      <c r="W29" s="65">
        <f t="shared" ca="1" si="1"/>
        <v>68.064086338737994</v>
      </c>
      <c r="X29" s="65">
        <v>0.5</v>
      </c>
      <c r="Y29" s="65">
        <v>1</v>
      </c>
      <c r="Z29" s="65">
        <f t="shared" ca="1" si="0"/>
        <v>0.20494000000000001</v>
      </c>
      <c r="AA29" s="65">
        <v>0</v>
      </c>
    </row>
    <row r="30" spans="2:27" x14ac:dyDescent="0.25">
      <c r="B30" s="17">
        <f ca="1"/>
        <v>20</v>
      </c>
      <c r="C30" s="17">
        <f ca="1"/>
        <v>14644</v>
      </c>
      <c r="D30" s="17">
        <f ca="1"/>
        <v>14643</v>
      </c>
      <c r="E30" s="17">
        <f ca="1"/>
        <v>14644</v>
      </c>
      <c r="F30" s="17">
        <f ca="1"/>
        <v>7311</v>
      </c>
      <c r="G30" s="17">
        <f ca="1"/>
        <v>27412.52</v>
      </c>
      <c r="H30" s="17" t="str">
        <f ca="1"/>
        <v>CCC</v>
      </c>
      <c r="I30" s="17" t="str">
        <f ca="1"/>
        <v>Ind06</v>
      </c>
      <c r="J30" s="17" t="str">
        <f ca="1"/>
        <v>USD</v>
      </c>
      <c r="K30" s="69" t="str">
        <f ca="1"/>
        <v>ShipFin</v>
      </c>
      <c r="L30" s="17">
        <f ca="1"/>
        <v>9.9379642815538674</v>
      </c>
      <c r="M30" s="17">
        <f ca="1"/>
        <v>5</v>
      </c>
      <c r="N30" s="17">
        <f ca="1"/>
        <v>0.20494000000000001</v>
      </c>
      <c r="O30" s="17">
        <f ca="1"/>
        <v>0.4</v>
      </c>
      <c r="P30" s="17">
        <f ca="1"/>
        <v>2.3521921915502002</v>
      </c>
      <c r="Q30" s="17">
        <f ca="1"/>
        <v>8.1976000000000007E-2</v>
      </c>
      <c r="R30" s="17">
        <f ca="1"/>
        <v>0.18817537532401599</v>
      </c>
      <c r="S30" s="17">
        <f ca="1"/>
        <v>0.27015137532401601</v>
      </c>
      <c r="T30" s="17">
        <f ca="1"/>
        <v>27412.52</v>
      </c>
      <c r="U30" s="17">
        <f ca="1"/>
        <v>1016517.68</v>
      </c>
      <c r="V30" s="17" t="str">
        <f ca="1"/>
        <v>2028-08-31</v>
      </c>
      <c r="W30" s="65">
        <f t="shared" ca="1" si="1"/>
        <v>119.25557137864641</v>
      </c>
      <c r="X30" s="65">
        <v>0.5</v>
      </c>
      <c r="Y30" s="65">
        <v>1</v>
      </c>
      <c r="Z30" s="65">
        <f t="shared" ca="1" si="0"/>
        <v>0.20494000000000001</v>
      </c>
      <c r="AA30" s="65">
        <v>0</v>
      </c>
    </row>
    <row r="31" spans="2:27" x14ac:dyDescent="0.25">
      <c r="B31" s="17">
        <f ca="1"/>
        <v>21</v>
      </c>
      <c r="C31" s="17">
        <f ca="1"/>
        <v>14608</v>
      </c>
      <c r="D31" s="17">
        <f ca="1"/>
        <v>14607</v>
      </c>
      <c r="E31" s="17">
        <f ca="1"/>
        <v>14608</v>
      </c>
      <c r="F31" s="17">
        <f ca="1"/>
        <v>7291</v>
      </c>
      <c r="G31" s="17">
        <f ca="1"/>
        <v>23327.91</v>
      </c>
      <c r="H31" s="17" t="str">
        <f ca="1"/>
        <v>CCC</v>
      </c>
      <c r="I31" s="17" t="str">
        <f ca="1"/>
        <v>Ind06</v>
      </c>
      <c r="J31" s="17" t="str">
        <f ca="1"/>
        <v>USD</v>
      </c>
      <c r="K31" s="69" t="str">
        <f ca="1"/>
        <v>ShipFin</v>
      </c>
      <c r="L31" s="17">
        <f ca="1"/>
        <v>7.8735132313938809</v>
      </c>
      <c r="M31" s="17">
        <f ca="1"/>
        <v>5</v>
      </c>
      <c r="N31" s="17">
        <f ca="1"/>
        <v>0.20494000000000001</v>
      </c>
      <c r="O31" s="17">
        <f ca="1"/>
        <v>0.4</v>
      </c>
      <c r="P31" s="17">
        <f ca="1"/>
        <v>2.3521921915502002</v>
      </c>
      <c r="Q31" s="17">
        <f ca="1"/>
        <v>8.1976000000000007E-2</v>
      </c>
      <c r="R31" s="17">
        <f ca="1"/>
        <v>0.18817537532401599</v>
      </c>
      <c r="S31" s="17">
        <f ca="1"/>
        <v>0.27015137532401601</v>
      </c>
      <c r="T31" s="17">
        <f ca="1"/>
        <v>23327.91</v>
      </c>
      <c r="U31" s="17">
        <f ca="1"/>
        <v>1039845.59</v>
      </c>
      <c r="V31" s="17" t="str">
        <f ca="1"/>
        <v>2026-08-31</v>
      </c>
      <c r="W31" s="65">
        <f t="shared" ca="1" si="1"/>
        <v>94.482158776726578</v>
      </c>
      <c r="X31" s="65">
        <v>0.5</v>
      </c>
      <c r="Y31" s="65">
        <v>1</v>
      </c>
      <c r="Z31" s="65">
        <f t="shared" ca="1" si="0"/>
        <v>0.20494000000000001</v>
      </c>
      <c r="AA31" s="65">
        <v>0</v>
      </c>
    </row>
    <row r="32" spans="2:27" x14ac:dyDescent="0.25">
      <c r="B32" s="17">
        <f ca="1"/>
        <v>22</v>
      </c>
      <c r="C32" s="17">
        <f ca="1"/>
        <v>14605</v>
      </c>
      <c r="D32" s="17">
        <f ca="1"/>
        <v>14604</v>
      </c>
      <c r="E32" s="17">
        <f ca="1"/>
        <v>14605</v>
      </c>
      <c r="F32" s="17">
        <f ca="1"/>
        <v>7289</v>
      </c>
      <c r="G32" s="17">
        <f ca="1"/>
        <v>30361.82</v>
      </c>
      <c r="H32" s="17" t="str">
        <f ca="1"/>
        <v>CCC</v>
      </c>
      <c r="I32" s="17" t="str">
        <f ca="1"/>
        <v>Ind06</v>
      </c>
      <c r="J32" s="17" t="str">
        <f ca="1"/>
        <v>USD</v>
      </c>
      <c r="K32" s="69" t="str">
        <f ca="1"/>
        <v>ShipFin</v>
      </c>
      <c r="L32" s="17">
        <f ca="1"/>
        <v>6.2954274669336154</v>
      </c>
      <c r="M32" s="17">
        <f ca="1"/>
        <v>5</v>
      </c>
      <c r="N32" s="17">
        <f ca="1"/>
        <v>0.20494000000000001</v>
      </c>
      <c r="O32" s="17">
        <f ca="1"/>
        <v>0.4</v>
      </c>
      <c r="P32" s="17">
        <f ca="1"/>
        <v>2.3521921915502002</v>
      </c>
      <c r="Q32" s="17">
        <f ca="1"/>
        <v>8.1976000000000007E-2</v>
      </c>
      <c r="R32" s="17">
        <f ca="1"/>
        <v>0.18817537532401599</v>
      </c>
      <c r="S32" s="17">
        <f ca="1"/>
        <v>0.27015137532401601</v>
      </c>
      <c r="T32" s="17">
        <f ca="1"/>
        <v>30361.82</v>
      </c>
      <c r="U32" s="17">
        <f ca="1"/>
        <v>1070207.4099999999</v>
      </c>
      <c r="V32" s="17" t="str">
        <f ca="1"/>
        <v>2025-07-31</v>
      </c>
      <c r="W32" s="65">
        <f t="shared" ca="1" si="1"/>
        <v>75.545129603203378</v>
      </c>
      <c r="X32" s="65">
        <v>0.5</v>
      </c>
      <c r="Y32" s="65">
        <v>1</v>
      </c>
      <c r="Z32" s="65">
        <f t="shared" ca="1" si="0"/>
        <v>0.20494000000000001</v>
      </c>
      <c r="AA32" s="65">
        <v>0</v>
      </c>
    </row>
    <row r="33" spans="2:27" x14ac:dyDescent="0.25">
      <c r="B33" s="17">
        <f ca="1"/>
        <v>23</v>
      </c>
      <c r="C33" s="17">
        <f ca="1"/>
        <v>14733</v>
      </c>
      <c r="D33" s="17">
        <f ca="1"/>
        <v>14732</v>
      </c>
      <c r="E33" s="17">
        <f ca="1"/>
        <v>14733</v>
      </c>
      <c r="F33" s="17">
        <f ca="1"/>
        <v>7359</v>
      </c>
      <c r="G33" s="17">
        <f ca="1"/>
        <v>56236.18</v>
      </c>
      <c r="H33" s="17" t="str">
        <f ca="1"/>
        <v>CCC</v>
      </c>
      <c r="I33" s="17" t="str">
        <f ca="1"/>
        <v>Ind06</v>
      </c>
      <c r="J33" s="17" t="str">
        <f ca="1"/>
        <v>USD</v>
      </c>
      <c r="K33" s="69" t="str">
        <f ca="1"/>
        <v>ShipFin</v>
      </c>
      <c r="L33" s="17">
        <f ca="1"/>
        <v>6.5352627283660674</v>
      </c>
      <c r="M33" s="17">
        <f ca="1"/>
        <v>5</v>
      </c>
      <c r="N33" s="17">
        <f ca="1"/>
        <v>0.20494000000000001</v>
      </c>
      <c r="O33" s="17">
        <f ca="1"/>
        <v>0.4</v>
      </c>
      <c r="P33" s="17">
        <f ca="1"/>
        <v>2.3521921915502002</v>
      </c>
      <c r="Q33" s="17">
        <f ca="1"/>
        <v>8.1976000000000007E-2</v>
      </c>
      <c r="R33" s="17">
        <f ca="1"/>
        <v>0.18817537532401599</v>
      </c>
      <c r="S33" s="17">
        <f ca="1"/>
        <v>0.27015137532401601</v>
      </c>
      <c r="T33" s="17">
        <f ca="1"/>
        <v>56236.18</v>
      </c>
      <c r="U33" s="17">
        <f ca="1"/>
        <v>1126443.5900000001</v>
      </c>
      <c r="V33" s="17" t="str">
        <f ca="1"/>
        <v>2025-08-31</v>
      </c>
      <c r="W33" s="65">
        <f t="shared" ca="1" si="1"/>
        <v>78.423152740392808</v>
      </c>
      <c r="X33" s="65">
        <v>0.5</v>
      </c>
      <c r="Y33" s="65">
        <v>1</v>
      </c>
      <c r="Z33" s="65">
        <f t="shared" ca="1" si="0"/>
        <v>0.20494000000000001</v>
      </c>
      <c r="AA33" s="65">
        <v>0</v>
      </c>
    </row>
    <row r="34" spans="2:27" x14ac:dyDescent="0.25">
      <c r="B34" s="17">
        <f ca="1"/>
        <v>24</v>
      </c>
      <c r="C34" s="17">
        <f ca="1"/>
        <v>14603</v>
      </c>
      <c r="D34" s="17">
        <f ca="1"/>
        <v>14602</v>
      </c>
      <c r="E34" s="17">
        <f ca="1"/>
        <v>14603</v>
      </c>
      <c r="F34" s="17">
        <f ca="1"/>
        <v>7289</v>
      </c>
      <c r="G34" s="17">
        <f ca="1"/>
        <v>30601.41</v>
      </c>
      <c r="H34" s="17" t="str">
        <f ca="1"/>
        <v>CCC</v>
      </c>
      <c r="I34" s="17" t="str">
        <f ca="1"/>
        <v>Ind06</v>
      </c>
      <c r="J34" s="17" t="str">
        <f ca="1"/>
        <v>USD</v>
      </c>
      <c r="K34" s="69" t="str">
        <f ca="1"/>
        <v>ShipFin</v>
      </c>
      <c r="L34" s="17">
        <f ca="1"/>
        <v>9.0552709605474959</v>
      </c>
      <c r="M34" s="17">
        <f ca="1"/>
        <v>5</v>
      </c>
      <c r="N34" s="17">
        <f ca="1"/>
        <v>0.20494000000000001</v>
      </c>
      <c r="O34" s="17">
        <f ca="1"/>
        <v>0.4</v>
      </c>
      <c r="P34" s="17">
        <f ca="1"/>
        <v>2.3521921915502002</v>
      </c>
      <c r="Q34" s="17">
        <f ca="1"/>
        <v>8.1976000000000007E-2</v>
      </c>
      <c r="R34" s="17">
        <f ca="1"/>
        <v>0.18817537532401599</v>
      </c>
      <c r="S34" s="17">
        <f ca="1"/>
        <v>0.27015137532401601</v>
      </c>
      <c r="T34" s="17">
        <f ca="1"/>
        <v>30601.41</v>
      </c>
      <c r="U34" s="17">
        <f ca="1"/>
        <v>1157045</v>
      </c>
      <c r="V34" s="17" t="str">
        <f ca="1"/>
        <v>2028-07-31</v>
      </c>
      <c r="W34" s="65">
        <f t="shared" ca="1" si="1"/>
        <v>108.66325152656995</v>
      </c>
      <c r="X34" s="65">
        <v>0.5</v>
      </c>
      <c r="Y34" s="65">
        <v>1</v>
      </c>
      <c r="Z34" s="65">
        <f t="shared" ca="1" si="0"/>
        <v>0.20494000000000001</v>
      </c>
      <c r="AA34" s="65">
        <v>0</v>
      </c>
    </row>
    <row r="35" spans="2:27" x14ac:dyDescent="0.25">
      <c r="B35" s="17">
        <f ca="1"/>
        <v>25</v>
      </c>
      <c r="C35" s="17">
        <f ca="1"/>
        <v>14568</v>
      </c>
      <c r="D35" s="17">
        <f ca="1"/>
        <v>14567</v>
      </c>
      <c r="E35" s="17">
        <f ca="1"/>
        <v>14568</v>
      </c>
      <c r="F35" s="17">
        <f ca="1"/>
        <v>7267</v>
      </c>
      <c r="G35" s="17">
        <f ca="1"/>
        <v>15232.03</v>
      </c>
      <c r="H35" s="17" t="str">
        <f ca="1"/>
        <v>CCC</v>
      </c>
      <c r="I35" s="17" t="str">
        <f ca="1"/>
        <v>Ind06</v>
      </c>
      <c r="J35" s="17" t="str">
        <f ca="1"/>
        <v>USD</v>
      </c>
      <c r="K35" s="69" t="str">
        <f ca="1"/>
        <v>ShipFin</v>
      </c>
      <c r="L35" s="17">
        <f ca="1"/>
        <v>5.8209073318564331</v>
      </c>
      <c r="M35" s="17">
        <f ca="1"/>
        <v>5</v>
      </c>
      <c r="N35" s="17">
        <f ca="1"/>
        <v>0.20494000000000001</v>
      </c>
      <c r="O35" s="17">
        <f ca="1"/>
        <v>0.4</v>
      </c>
      <c r="P35" s="17">
        <f ca="1"/>
        <v>2.3521921915502002</v>
      </c>
      <c r="Q35" s="17">
        <f ca="1"/>
        <v>8.1976000000000007E-2</v>
      </c>
      <c r="R35" s="17">
        <f ca="1"/>
        <v>0.18817537532401599</v>
      </c>
      <c r="S35" s="17">
        <f ca="1"/>
        <v>0.27015137532401601</v>
      </c>
      <c r="T35" s="17">
        <f ca="1"/>
        <v>15232.03</v>
      </c>
      <c r="U35" s="17">
        <f ca="1"/>
        <v>1172277.03</v>
      </c>
      <c r="V35" s="17" t="str">
        <f ca="1"/>
        <v>2024-08-31</v>
      </c>
      <c r="W35" s="65">
        <f t="shared" ca="1" si="1"/>
        <v>69.8508879822772</v>
      </c>
      <c r="X35" s="65">
        <v>0.5</v>
      </c>
      <c r="Y35" s="65">
        <v>1</v>
      </c>
      <c r="Z35" s="65">
        <f t="shared" ca="1" si="0"/>
        <v>0.20494000000000001</v>
      </c>
      <c r="AA35" s="65">
        <v>0</v>
      </c>
    </row>
    <row r="36" spans="2:27" x14ac:dyDescent="0.25">
      <c r="B36" s="17">
        <f ca="1"/>
        <v>26</v>
      </c>
      <c r="C36" s="17">
        <f ca="1"/>
        <v>14570</v>
      </c>
      <c r="D36" s="17">
        <f ca="1"/>
        <v>14569</v>
      </c>
      <c r="E36" s="17">
        <f ca="1"/>
        <v>14570</v>
      </c>
      <c r="F36" s="17">
        <f ca="1"/>
        <v>7268</v>
      </c>
      <c r="G36" s="17">
        <f ca="1"/>
        <v>6278.25</v>
      </c>
      <c r="H36" s="17" t="str">
        <f ca="1"/>
        <v>CCC</v>
      </c>
      <c r="I36" s="17" t="str">
        <f ca="1"/>
        <v>Ind06</v>
      </c>
      <c r="J36" s="17" t="str">
        <f ca="1"/>
        <v>USD</v>
      </c>
      <c r="K36" s="69" t="str">
        <f ca="1"/>
        <v>ShipFin</v>
      </c>
      <c r="L36" s="17">
        <f ca="1"/>
        <v>9.3294357797899288</v>
      </c>
      <c r="M36" s="17">
        <f ca="1"/>
        <v>5</v>
      </c>
      <c r="N36" s="17">
        <f ca="1"/>
        <v>0.20494000000000001</v>
      </c>
      <c r="O36" s="17">
        <f ca="1"/>
        <v>0.4</v>
      </c>
      <c r="P36" s="17">
        <f ca="1"/>
        <v>2.3521921915502002</v>
      </c>
      <c r="Q36" s="17">
        <f ca="1"/>
        <v>8.1976000000000007E-2</v>
      </c>
      <c r="R36" s="17">
        <f ca="1"/>
        <v>0.18817537532401599</v>
      </c>
      <c r="S36" s="17">
        <f ca="1"/>
        <v>0.27015137532401601</v>
      </c>
      <c r="T36" s="17">
        <f ca="1"/>
        <v>6278.25</v>
      </c>
      <c r="U36" s="17">
        <f ca="1"/>
        <v>1178555.28</v>
      </c>
      <c r="V36" s="17" t="str">
        <f ca="1"/>
        <v>2028-07-31</v>
      </c>
      <c r="W36" s="65">
        <f t="shared" ca="1" si="1"/>
        <v>111.95322935747915</v>
      </c>
      <c r="X36" s="65">
        <v>0.5</v>
      </c>
      <c r="Y36" s="65">
        <v>1</v>
      </c>
      <c r="Z36" s="65">
        <f t="shared" ca="1" si="0"/>
        <v>0.20494000000000001</v>
      </c>
      <c r="AA36" s="65">
        <v>0</v>
      </c>
    </row>
    <row r="37" spans="2:27" x14ac:dyDescent="0.25">
      <c r="B37" s="17">
        <f ca="1"/>
        <v>27</v>
      </c>
      <c r="C37" s="17">
        <f ca="1"/>
        <v>14572</v>
      </c>
      <c r="D37" s="17">
        <f ca="1"/>
        <v>14571</v>
      </c>
      <c r="E37" s="17">
        <f ca="1"/>
        <v>14572</v>
      </c>
      <c r="F37" s="17">
        <f ca="1"/>
        <v>7269</v>
      </c>
      <c r="G37" s="17">
        <f ca="1"/>
        <v>76895.75</v>
      </c>
      <c r="H37" s="17" t="str">
        <f ca="1"/>
        <v>CCC</v>
      </c>
      <c r="I37" s="17" t="str">
        <f ca="1"/>
        <v>Ind06</v>
      </c>
      <c r="J37" s="17" t="str">
        <f ca="1"/>
        <v>USD</v>
      </c>
      <c r="K37" s="69" t="str">
        <f ca="1"/>
        <v>ShipFin</v>
      </c>
      <c r="L37" s="17">
        <f ca="1"/>
        <v>6.7201274369005128</v>
      </c>
      <c r="M37" s="17">
        <f ca="1"/>
        <v>5</v>
      </c>
      <c r="N37" s="17">
        <f ca="1"/>
        <v>0.20494000000000001</v>
      </c>
      <c r="O37" s="17">
        <f ca="1"/>
        <v>0.4</v>
      </c>
      <c r="P37" s="17">
        <f ca="1"/>
        <v>2.3521921915502002</v>
      </c>
      <c r="Q37" s="17">
        <f ca="1"/>
        <v>8.1976000000000007E-2</v>
      </c>
      <c r="R37" s="17">
        <f ca="1"/>
        <v>0.18817537532401599</v>
      </c>
      <c r="S37" s="17">
        <f ca="1"/>
        <v>0.27015137532401601</v>
      </c>
      <c r="T37" s="17">
        <f ca="1"/>
        <v>76895.75</v>
      </c>
      <c r="U37" s="17">
        <f ca="1"/>
        <v>1255451.03</v>
      </c>
      <c r="V37" s="17" t="str">
        <f ca="1"/>
        <v>2025-08-31</v>
      </c>
      <c r="W37" s="65">
        <f t="shared" ca="1" si="1"/>
        <v>80.641529242806158</v>
      </c>
      <c r="X37" s="65">
        <v>0.5</v>
      </c>
      <c r="Y37" s="65">
        <v>1</v>
      </c>
      <c r="Z37" s="65">
        <f t="shared" ca="1" si="0"/>
        <v>0.20494000000000001</v>
      </c>
      <c r="AA37" s="65">
        <v>0</v>
      </c>
    </row>
    <row r="38" spans="2:27" x14ac:dyDescent="0.25">
      <c r="B38" s="17">
        <f ca="1"/>
        <v>28</v>
      </c>
      <c r="C38" s="17">
        <f ca="1"/>
        <v>14575</v>
      </c>
      <c r="D38" s="17">
        <f ca="1"/>
        <v>14574</v>
      </c>
      <c r="E38" s="17">
        <f ca="1"/>
        <v>14575</v>
      </c>
      <c r="F38" s="17">
        <f ca="1"/>
        <v>7271</v>
      </c>
      <c r="G38" s="17">
        <f ca="1"/>
        <v>55073.17</v>
      </c>
      <c r="H38" s="17" t="str">
        <f ca="1"/>
        <v>CCC</v>
      </c>
      <c r="I38" s="17" t="str">
        <f ca="1"/>
        <v>Ind06</v>
      </c>
      <c r="J38" s="17" t="str">
        <f ca="1"/>
        <v>USD</v>
      </c>
      <c r="K38" s="69" t="str">
        <f ca="1"/>
        <v>ShipFin</v>
      </c>
      <c r="L38" s="17">
        <f ca="1"/>
        <v>9.3430738176149273</v>
      </c>
      <c r="M38" s="17">
        <f ca="1"/>
        <v>5</v>
      </c>
      <c r="N38" s="17">
        <f ca="1"/>
        <v>0.20494000000000001</v>
      </c>
      <c r="O38" s="17">
        <f ca="1"/>
        <v>0.4</v>
      </c>
      <c r="P38" s="17">
        <f ca="1"/>
        <v>2.3521921915502002</v>
      </c>
      <c r="Q38" s="17">
        <f ca="1"/>
        <v>8.1976000000000007E-2</v>
      </c>
      <c r="R38" s="17">
        <f ca="1"/>
        <v>0.18817537532401599</v>
      </c>
      <c r="S38" s="17">
        <f ca="1"/>
        <v>0.27015137532401601</v>
      </c>
      <c r="T38" s="17">
        <f ca="1"/>
        <v>55073.17</v>
      </c>
      <c r="U38" s="17">
        <f ca="1"/>
        <v>1310524.2</v>
      </c>
      <c r="V38" s="17" t="str">
        <f ca="1"/>
        <v>2028-07-31</v>
      </c>
      <c r="W38" s="65">
        <f t="shared" ca="1" si="1"/>
        <v>112.11688581137912</v>
      </c>
      <c r="X38" s="65">
        <v>0.5</v>
      </c>
      <c r="Y38" s="65">
        <v>1</v>
      </c>
      <c r="Z38" s="65">
        <f t="shared" ca="1" si="0"/>
        <v>0.20494000000000001</v>
      </c>
      <c r="AA38" s="65">
        <v>0</v>
      </c>
    </row>
    <row r="39" spans="2:27" x14ac:dyDescent="0.25">
      <c r="B39" s="17">
        <f ca="1"/>
        <v>29</v>
      </c>
      <c r="C39" s="17">
        <f ca="1"/>
        <v>14576</v>
      </c>
      <c r="D39" s="17">
        <f ca="1"/>
        <v>14575</v>
      </c>
      <c r="E39" s="17">
        <f ca="1"/>
        <v>14576</v>
      </c>
      <c r="F39" s="17">
        <f ca="1"/>
        <v>7272</v>
      </c>
      <c r="G39" s="17">
        <f ca="1"/>
        <v>89621.61</v>
      </c>
      <c r="H39" s="17" t="str">
        <f ca="1"/>
        <v>CCC</v>
      </c>
      <c r="I39" s="17" t="str">
        <f ca="1"/>
        <v>Ind06</v>
      </c>
      <c r="J39" s="17" t="str">
        <f ca="1"/>
        <v>USD</v>
      </c>
      <c r="K39" s="69" t="str">
        <f ca="1"/>
        <v>ShipFin</v>
      </c>
      <c r="L39" s="17">
        <f ca="1"/>
        <v>5.792592006851919</v>
      </c>
      <c r="M39" s="17">
        <f ca="1"/>
        <v>5</v>
      </c>
      <c r="N39" s="17">
        <f ca="1"/>
        <v>0.20494000000000001</v>
      </c>
      <c r="O39" s="17">
        <f ca="1"/>
        <v>0.4</v>
      </c>
      <c r="P39" s="17">
        <f ca="1"/>
        <v>2.3521921915502002</v>
      </c>
      <c r="Q39" s="17">
        <f ca="1"/>
        <v>8.1976000000000007E-2</v>
      </c>
      <c r="R39" s="17">
        <f ca="1"/>
        <v>0.18817537532401599</v>
      </c>
      <c r="S39" s="17">
        <f ca="1"/>
        <v>0.27015137532401601</v>
      </c>
      <c r="T39" s="17">
        <f ca="1"/>
        <v>89621.61</v>
      </c>
      <c r="U39" s="17">
        <f ca="1"/>
        <v>1400145.81</v>
      </c>
      <c r="V39" s="17" t="str">
        <f ca="1"/>
        <v>2024-08-31</v>
      </c>
      <c r="W39" s="65">
        <f t="shared" ca="1" si="1"/>
        <v>69.511104082223028</v>
      </c>
      <c r="X39" s="65">
        <v>0.5</v>
      </c>
      <c r="Y39" s="65">
        <v>1</v>
      </c>
      <c r="Z39" s="65">
        <f t="shared" ca="1" si="0"/>
        <v>0.20494000000000001</v>
      </c>
      <c r="AA39" s="65">
        <v>0</v>
      </c>
    </row>
    <row r="40" spans="2:27" x14ac:dyDescent="0.25">
      <c r="B40" s="17">
        <f ca="1"/>
        <v>30</v>
      </c>
      <c r="C40" s="17">
        <f ca="1"/>
        <v>14577</v>
      </c>
      <c r="D40" s="17">
        <f ca="1"/>
        <v>14576</v>
      </c>
      <c r="E40" s="17">
        <f ca="1"/>
        <v>14577</v>
      </c>
      <c r="F40" s="17">
        <f ca="1"/>
        <v>7273</v>
      </c>
      <c r="G40" s="17">
        <f ca="1"/>
        <v>41582.26</v>
      </c>
      <c r="H40" s="17" t="str">
        <f ca="1"/>
        <v>CCC</v>
      </c>
      <c r="I40" s="17" t="str">
        <f ca="1"/>
        <v>Ind06</v>
      </c>
      <c r="J40" s="17" t="str">
        <f ca="1"/>
        <v>USD</v>
      </c>
      <c r="K40" s="69" t="str">
        <f ca="1"/>
        <v>ShipFin</v>
      </c>
      <c r="L40" s="17">
        <f ca="1"/>
        <v>6.8255004844674838</v>
      </c>
      <c r="M40" s="17">
        <f ca="1"/>
        <v>5</v>
      </c>
      <c r="N40" s="17">
        <f ca="1"/>
        <v>0.20494000000000001</v>
      </c>
      <c r="O40" s="17">
        <f ca="1"/>
        <v>0.4</v>
      </c>
      <c r="P40" s="17">
        <f ca="1"/>
        <v>2.3521921915502002</v>
      </c>
      <c r="Q40" s="17">
        <f ca="1"/>
        <v>8.1976000000000007E-2</v>
      </c>
      <c r="R40" s="17">
        <f ca="1"/>
        <v>0.18817537532401599</v>
      </c>
      <c r="S40" s="17">
        <f ca="1"/>
        <v>0.27015137532401601</v>
      </c>
      <c r="T40" s="17">
        <f ca="1"/>
        <v>41582.26</v>
      </c>
      <c r="U40" s="17">
        <f ca="1"/>
        <v>1441728.07</v>
      </c>
      <c r="V40" s="17" t="str">
        <f ca="1"/>
        <v>2025-08-31</v>
      </c>
      <c r="W40" s="65">
        <f t="shared" ca="1" si="1"/>
        <v>81.906005813609809</v>
      </c>
      <c r="X40" s="65">
        <v>0.5</v>
      </c>
      <c r="Y40" s="65">
        <v>1</v>
      </c>
      <c r="Z40" s="65">
        <f t="shared" ca="1" si="0"/>
        <v>0.20494000000000001</v>
      </c>
      <c r="AA40" s="65">
        <v>0</v>
      </c>
    </row>
    <row r="41" spans="2:27" x14ac:dyDescent="0.25">
      <c r="B41" s="17">
        <f ca="1"/>
        <v>31</v>
      </c>
      <c r="C41" s="17">
        <f ca="1"/>
        <v>14582</v>
      </c>
      <c r="D41" s="17">
        <f ca="1"/>
        <v>14581</v>
      </c>
      <c r="E41" s="17">
        <f ca="1"/>
        <v>14582</v>
      </c>
      <c r="F41" s="17">
        <f ca="1"/>
        <v>7276</v>
      </c>
      <c r="G41" s="17">
        <f ca="1"/>
        <v>43031.519999999997</v>
      </c>
      <c r="H41" s="17" t="str">
        <f ca="1"/>
        <v>CCC</v>
      </c>
      <c r="I41" s="17" t="str">
        <f ca="1"/>
        <v>Ind06</v>
      </c>
      <c r="J41" s="17" t="str">
        <f ca="1"/>
        <v>USD</v>
      </c>
      <c r="K41" s="69" t="str">
        <f ca="1"/>
        <v>ShipFin</v>
      </c>
      <c r="L41" s="17">
        <f ca="1"/>
        <v>5.5596029806020661</v>
      </c>
      <c r="M41" s="17">
        <f ca="1"/>
        <v>5</v>
      </c>
      <c r="N41" s="17">
        <f ca="1"/>
        <v>0.20494000000000001</v>
      </c>
      <c r="O41" s="17">
        <f ca="1"/>
        <v>0.4</v>
      </c>
      <c r="P41" s="17">
        <f ca="1"/>
        <v>2.3521921915502002</v>
      </c>
      <c r="Q41" s="17">
        <f ca="1"/>
        <v>8.1976000000000007E-2</v>
      </c>
      <c r="R41" s="17">
        <f ca="1"/>
        <v>0.18817537532401599</v>
      </c>
      <c r="S41" s="17">
        <f ca="1"/>
        <v>0.27015137532401601</v>
      </c>
      <c r="T41" s="17">
        <f ca="1"/>
        <v>43031.519999999997</v>
      </c>
      <c r="U41" s="17">
        <f ca="1"/>
        <v>1484759.59</v>
      </c>
      <c r="V41" s="17" t="str">
        <f ca="1"/>
        <v>2024-08-31</v>
      </c>
      <c r="W41" s="65">
        <f t="shared" ca="1" si="1"/>
        <v>66.715235767224797</v>
      </c>
      <c r="X41" s="65">
        <v>0.5</v>
      </c>
      <c r="Y41" s="65">
        <v>1</v>
      </c>
      <c r="Z41" s="65">
        <f t="shared" ca="1" si="0"/>
        <v>0.20494000000000001</v>
      </c>
      <c r="AA41" s="65">
        <v>0</v>
      </c>
    </row>
    <row r="42" spans="2:27" x14ac:dyDescent="0.25">
      <c r="B42" s="17">
        <f ca="1"/>
        <v>32</v>
      </c>
      <c r="C42" s="17">
        <f ca="1"/>
        <v>14583</v>
      </c>
      <c r="D42" s="17">
        <f ca="1"/>
        <v>14582</v>
      </c>
      <c r="E42" s="17">
        <f ca="1"/>
        <v>14583</v>
      </c>
      <c r="F42" s="17">
        <f ca="1"/>
        <v>7277</v>
      </c>
      <c r="G42" s="17">
        <f ca="1"/>
        <v>63765.49</v>
      </c>
      <c r="H42" s="17" t="str">
        <f ca="1"/>
        <v>CCC</v>
      </c>
      <c r="I42" s="17" t="str">
        <f ca="1"/>
        <v>Ind06</v>
      </c>
      <c r="J42" s="17" t="str">
        <f ca="1"/>
        <v>USD</v>
      </c>
      <c r="K42" s="69" t="str">
        <f ca="1"/>
        <v>ShipFin</v>
      </c>
      <c r="L42" s="17">
        <f ca="1"/>
        <v>8.0879343626694755</v>
      </c>
      <c r="M42" s="17">
        <f ca="1"/>
        <v>5</v>
      </c>
      <c r="N42" s="17">
        <f ca="1"/>
        <v>0.20494000000000001</v>
      </c>
      <c r="O42" s="17">
        <f ca="1"/>
        <v>0.4</v>
      </c>
      <c r="P42" s="17">
        <f ca="1"/>
        <v>2.3521921915502002</v>
      </c>
      <c r="Q42" s="17">
        <f ca="1"/>
        <v>8.1976000000000007E-2</v>
      </c>
      <c r="R42" s="17">
        <f ca="1"/>
        <v>0.18817537532401599</v>
      </c>
      <c r="S42" s="17">
        <f ca="1"/>
        <v>0.27015137532401601</v>
      </c>
      <c r="T42" s="17">
        <f ca="1"/>
        <v>63765.49</v>
      </c>
      <c r="U42" s="17">
        <f ca="1"/>
        <v>1548525.08</v>
      </c>
      <c r="V42" s="17" t="str">
        <f ca="1"/>
        <v>2027-07-31</v>
      </c>
      <c r="W42" s="65">
        <f t="shared" ca="1" si="1"/>
        <v>97.055212352033706</v>
      </c>
      <c r="X42" s="65">
        <v>0.5</v>
      </c>
      <c r="Y42" s="65">
        <v>1</v>
      </c>
      <c r="Z42" s="65">
        <f t="shared" ca="1" si="0"/>
        <v>0.20494000000000001</v>
      </c>
      <c r="AA42" s="65">
        <v>0</v>
      </c>
    </row>
    <row r="43" spans="2:27" x14ac:dyDescent="0.25">
      <c r="B43" s="17">
        <f ca="1"/>
        <v>33</v>
      </c>
      <c r="C43" s="17">
        <f ca="1"/>
        <v>14584</v>
      </c>
      <c r="D43" s="17">
        <f ca="1"/>
        <v>14583</v>
      </c>
      <c r="E43" s="17">
        <f ca="1"/>
        <v>14584</v>
      </c>
      <c r="F43" s="17">
        <f ca="1"/>
        <v>7277</v>
      </c>
      <c r="G43" s="17">
        <f ca="1"/>
        <v>18588.47</v>
      </c>
      <c r="H43" s="17" t="str">
        <f ca="1"/>
        <v>CCC</v>
      </c>
      <c r="I43" s="17" t="str">
        <f ca="1"/>
        <v>Ind06</v>
      </c>
      <c r="J43" s="17" t="str">
        <f ca="1"/>
        <v>USD</v>
      </c>
      <c r="K43" s="69" t="str">
        <f ca="1"/>
        <v>ShipFin</v>
      </c>
      <c r="L43" s="17">
        <f ca="1"/>
        <v>9.4668368414370363</v>
      </c>
      <c r="M43" s="17">
        <f ca="1"/>
        <v>5</v>
      </c>
      <c r="N43" s="17">
        <f ca="1"/>
        <v>0.20494000000000001</v>
      </c>
      <c r="O43" s="17">
        <f ca="1"/>
        <v>0.4</v>
      </c>
      <c r="P43" s="17">
        <f ca="1"/>
        <v>2.3521921915502002</v>
      </c>
      <c r="Q43" s="17">
        <f ca="1"/>
        <v>8.1976000000000007E-2</v>
      </c>
      <c r="R43" s="17">
        <f ca="1"/>
        <v>0.18817537532401599</v>
      </c>
      <c r="S43" s="17">
        <f ca="1"/>
        <v>0.27015137532401601</v>
      </c>
      <c r="T43" s="17">
        <f ca="1"/>
        <v>18588.47</v>
      </c>
      <c r="U43" s="17">
        <f ca="1"/>
        <v>1567113.55</v>
      </c>
      <c r="V43" s="17" t="str">
        <f ca="1"/>
        <v>2028-08-31</v>
      </c>
      <c r="W43" s="65">
        <f t="shared" ca="1" si="1"/>
        <v>113.60204209724444</v>
      </c>
      <c r="X43" s="65">
        <v>0.5</v>
      </c>
      <c r="Y43" s="65">
        <v>1</v>
      </c>
      <c r="Z43" s="65">
        <f t="shared" ca="1" si="0"/>
        <v>0.20494000000000001</v>
      </c>
      <c r="AA43" s="65">
        <v>0</v>
      </c>
    </row>
    <row r="44" spans="2:27" x14ac:dyDescent="0.25">
      <c r="B44" s="17">
        <f ca="1"/>
        <v>34</v>
      </c>
      <c r="C44" s="17">
        <f ca="1"/>
        <v>14585</v>
      </c>
      <c r="D44" s="17">
        <f ca="1"/>
        <v>14584</v>
      </c>
      <c r="E44" s="17">
        <f ca="1"/>
        <v>14585</v>
      </c>
      <c r="F44" s="17">
        <f ca="1"/>
        <v>7278</v>
      </c>
      <c r="G44" s="17">
        <f ca="1"/>
        <v>31180.5</v>
      </c>
      <c r="H44" s="17" t="str">
        <f ca="1"/>
        <v>CCC</v>
      </c>
      <c r="I44" s="17" t="str">
        <f ca="1"/>
        <v>Ind06</v>
      </c>
      <c r="J44" s="17" t="str">
        <f ca="1"/>
        <v>USD</v>
      </c>
      <c r="K44" s="69" t="str">
        <f ca="1"/>
        <v>ShipFin</v>
      </c>
      <c r="L44" s="17">
        <f ca="1"/>
        <v>7.310116611353588</v>
      </c>
      <c r="M44" s="17">
        <f ca="1"/>
        <v>5</v>
      </c>
      <c r="N44" s="17">
        <f ca="1"/>
        <v>0.20494000000000001</v>
      </c>
      <c r="O44" s="17">
        <f ca="1"/>
        <v>0.4</v>
      </c>
      <c r="P44" s="17">
        <f ca="1"/>
        <v>2.3521921915502002</v>
      </c>
      <c r="Q44" s="17">
        <f ca="1"/>
        <v>8.1976000000000007E-2</v>
      </c>
      <c r="R44" s="17">
        <f ca="1"/>
        <v>0.18817537532401599</v>
      </c>
      <c r="S44" s="17">
        <f ca="1"/>
        <v>0.27015137532401601</v>
      </c>
      <c r="T44" s="17">
        <f ca="1"/>
        <v>31180.5</v>
      </c>
      <c r="U44" s="17">
        <f ca="1"/>
        <v>1598294.05</v>
      </c>
      <c r="V44" s="17" t="str">
        <f ca="1"/>
        <v>2026-07-31</v>
      </c>
      <c r="W44" s="65">
        <f t="shared" ca="1" si="1"/>
        <v>87.721399336243053</v>
      </c>
      <c r="X44" s="65">
        <v>0.5</v>
      </c>
      <c r="Y44" s="65">
        <v>1</v>
      </c>
      <c r="Z44" s="65">
        <f t="shared" ca="1" si="0"/>
        <v>0.20494000000000001</v>
      </c>
      <c r="AA44" s="65">
        <v>0</v>
      </c>
    </row>
    <row r="45" spans="2:27" x14ac:dyDescent="0.25">
      <c r="B45" s="17">
        <f ca="1"/>
        <v>35</v>
      </c>
      <c r="C45" s="17">
        <f ca="1"/>
        <v>14587</v>
      </c>
      <c r="D45" s="17">
        <f ca="1"/>
        <v>14586</v>
      </c>
      <c r="E45" s="17">
        <f ca="1"/>
        <v>14587</v>
      </c>
      <c r="F45" s="17">
        <f ca="1"/>
        <v>7279</v>
      </c>
      <c r="G45" s="17">
        <f ca="1"/>
        <v>43904.12</v>
      </c>
      <c r="H45" s="17" t="str">
        <f ca="1"/>
        <v>CCC</v>
      </c>
      <c r="I45" s="17" t="str">
        <f ca="1"/>
        <v>Ind06</v>
      </c>
      <c r="J45" s="17" t="str">
        <f ca="1"/>
        <v>USD</v>
      </c>
      <c r="K45" s="69" t="str">
        <f ca="1"/>
        <v>ShipFin</v>
      </c>
      <c r="L45" s="17">
        <f ca="1"/>
        <v>7.9654155789804646</v>
      </c>
      <c r="M45" s="17">
        <f ca="1"/>
        <v>5</v>
      </c>
      <c r="N45" s="17">
        <f ca="1"/>
        <v>0.20494000000000001</v>
      </c>
      <c r="O45" s="17">
        <f ca="1"/>
        <v>0.4</v>
      </c>
      <c r="P45" s="17">
        <f ca="1"/>
        <v>2.3521921915502002</v>
      </c>
      <c r="Q45" s="17">
        <f ca="1"/>
        <v>8.1976000000000007E-2</v>
      </c>
      <c r="R45" s="17">
        <f ca="1"/>
        <v>0.18817537532401599</v>
      </c>
      <c r="S45" s="17">
        <f ca="1"/>
        <v>0.27015137532401601</v>
      </c>
      <c r="T45" s="17">
        <f ca="1"/>
        <v>43904.12</v>
      </c>
      <c r="U45" s="17">
        <f ca="1"/>
        <v>1642198.1700000004</v>
      </c>
      <c r="V45" s="17" t="str">
        <f ca="1"/>
        <v>2026-08-31</v>
      </c>
      <c r="W45" s="65">
        <f t="shared" ca="1" si="1"/>
        <v>95.584986947765572</v>
      </c>
      <c r="X45" s="65">
        <v>0.5</v>
      </c>
      <c r="Y45" s="65">
        <v>1</v>
      </c>
      <c r="Z45" s="65">
        <f t="shared" ca="1" si="0"/>
        <v>0.20494000000000001</v>
      </c>
      <c r="AA45" s="65">
        <v>0</v>
      </c>
    </row>
    <row r="46" spans="2:27" x14ac:dyDescent="0.25">
      <c r="B46" s="17">
        <f ca="1"/>
        <v>36</v>
      </c>
      <c r="C46" s="17">
        <f ca="1"/>
        <v>14588</v>
      </c>
      <c r="D46" s="17">
        <f ca="1"/>
        <v>14587</v>
      </c>
      <c r="E46" s="17">
        <f ca="1"/>
        <v>14588</v>
      </c>
      <c r="F46" s="17">
        <f ca="1"/>
        <v>7279</v>
      </c>
      <c r="G46" s="17">
        <f ca="1"/>
        <v>41812.800000000003</v>
      </c>
      <c r="H46" s="17" t="str">
        <f ca="1"/>
        <v>CCC</v>
      </c>
      <c r="I46" s="17" t="str">
        <f ca="1"/>
        <v>Ind06</v>
      </c>
      <c r="J46" s="17" t="str">
        <f ca="1"/>
        <v>USD</v>
      </c>
      <c r="K46" s="69" t="str">
        <f ca="1"/>
        <v>ShipFin</v>
      </c>
      <c r="L46" s="17">
        <f ca="1"/>
        <v>5.0162505468772736</v>
      </c>
      <c r="M46" s="17">
        <f ca="1"/>
        <v>5</v>
      </c>
      <c r="N46" s="17">
        <f ca="1"/>
        <v>0.20494000000000001</v>
      </c>
      <c r="O46" s="17">
        <f ca="1"/>
        <v>0.4</v>
      </c>
      <c r="P46" s="17">
        <f ca="1"/>
        <v>2.3521921915502002</v>
      </c>
      <c r="Q46" s="17">
        <f ca="1"/>
        <v>8.1976000000000007E-2</v>
      </c>
      <c r="R46" s="17">
        <f ca="1"/>
        <v>0.18817537532401599</v>
      </c>
      <c r="S46" s="17">
        <f ca="1"/>
        <v>0.27015137532401601</v>
      </c>
      <c r="T46" s="17">
        <f ca="1"/>
        <v>41812.800000000003</v>
      </c>
      <c r="U46" s="17">
        <f ca="1"/>
        <v>1684010.9700000002</v>
      </c>
      <c r="V46" s="17" t="str">
        <f ca="1"/>
        <v>2024-07-31</v>
      </c>
      <c r="W46" s="65">
        <f t="shared" ca="1" si="1"/>
        <v>60.195006562527283</v>
      </c>
      <c r="X46" s="65">
        <v>0.5</v>
      </c>
      <c r="Y46" s="65">
        <v>1</v>
      </c>
      <c r="Z46" s="65">
        <f t="shared" ca="1" si="0"/>
        <v>0.20494000000000001</v>
      </c>
      <c r="AA46" s="65">
        <v>0</v>
      </c>
    </row>
    <row r="47" spans="2:27" x14ac:dyDescent="0.25">
      <c r="B47" s="17">
        <f ca="1"/>
        <v>37</v>
      </c>
      <c r="C47" s="17">
        <f ca="1"/>
        <v>14590</v>
      </c>
      <c r="D47" s="17">
        <f ca="1"/>
        <v>14589</v>
      </c>
      <c r="E47" s="17">
        <f ca="1"/>
        <v>14590</v>
      </c>
      <c r="F47" s="17">
        <f ca="1"/>
        <v>7280</v>
      </c>
      <c r="G47" s="17">
        <f ca="1"/>
        <v>37449.08</v>
      </c>
      <c r="H47" s="17" t="str">
        <f ca="1"/>
        <v>CCC</v>
      </c>
      <c r="I47" s="17" t="str">
        <f ca="1"/>
        <v>Ind06</v>
      </c>
      <c r="J47" s="17" t="str">
        <f ca="1"/>
        <v>USD</v>
      </c>
      <c r="K47" s="69" t="str">
        <f ca="1"/>
        <v>ShipFin</v>
      </c>
      <c r="L47" s="17">
        <f ca="1"/>
        <v>8.5382578775822182</v>
      </c>
      <c r="M47" s="17">
        <f ca="1"/>
        <v>5</v>
      </c>
      <c r="N47" s="17">
        <f ca="1"/>
        <v>0.20494000000000001</v>
      </c>
      <c r="O47" s="17">
        <f ca="1"/>
        <v>0.4</v>
      </c>
      <c r="P47" s="17">
        <f ca="1"/>
        <v>2.3521921915502002</v>
      </c>
      <c r="Q47" s="17">
        <f ca="1"/>
        <v>8.1976000000000007E-2</v>
      </c>
      <c r="R47" s="17">
        <f ca="1"/>
        <v>0.18817537532401599</v>
      </c>
      <c r="S47" s="17">
        <f ca="1"/>
        <v>0.27015137532401601</v>
      </c>
      <c r="T47" s="17">
        <f ca="1"/>
        <v>37449.08</v>
      </c>
      <c r="U47" s="17">
        <f ca="1"/>
        <v>1721460.0500000003</v>
      </c>
      <c r="V47" s="17" t="str">
        <f ca="1"/>
        <v>2027-08-31</v>
      </c>
      <c r="W47" s="65">
        <f t="shared" ca="1" si="1"/>
        <v>102.45909453098662</v>
      </c>
      <c r="X47" s="65">
        <v>0.5</v>
      </c>
      <c r="Y47" s="65">
        <v>1</v>
      </c>
      <c r="Z47" s="65">
        <f t="shared" ca="1" si="0"/>
        <v>0.20494000000000001</v>
      </c>
      <c r="AA47" s="65">
        <v>0</v>
      </c>
    </row>
    <row r="48" spans="2:27" x14ac:dyDescent="0.25">
      <c r="B48" s="17">
        <f ca="1"/>
        <v>38</v>
      </c>
      <c r="C48" s="17">
        <f ca="1"/>
        <v>14591</v>
      </c>
      <c r="D48" s="17">
        <f ca="1"/>
        <v>14590</v>
      </c>
      <c r="E48" s="17">
        <f ca="1"/>
        <v>14591</v>
      </c>
      <c r="F48" s="17">
        <f ca="1"/>
        <v>7280</v>
      </c>
      <c r="G48" s="17">
        <f ca="1"/>
        <v>10270.030000000001</v>
      </c>
      <c r="H48" s="17" t="str">
        <f ca="1"/>
        <v>CCC</v>
      </c>
      <c r="I48" s="17" t="str">
        <f ca="1"/>
        <v>Ind06</v>
      </c>
      <c r="J48" s="17" t="str">
        <f ca="1"/>
        <v>USD</v>
      </c>
      <c r="K48" s="69" t="str">
        <f ca="1"/>
        <v>ShipFin</v>
      </c>
      <c r="L48" s="17">
        <f ca="1"/>
        <v>5.8721672937111</v>
      </c>
      <c r="M48" s="17">
        <f ca="1"/>
        <v>5</v>
      </c>
      <c r="N48" s="17">
        <f ca="1"/>
        <v>0.20494000000000001</v>
      </c>
      <c r="O48" s="17">
        <f ca="1"/>
        <v>0.4</v>
      </c>
      <c r="P48" s="17">
        <f ca="1"/>
        <v>2.3521921915502002</v>
      </c>
      <c r="Q48" s="17">
        <f ca="1"/>
        <v>8.1976000000000007E-2</v>
      </c>
      <c r="R48" s="17">
        <f ca="1"/>
        <v>0.18817537532401599</v>
      </c>
      <c r="S48" s="17">
        <f ca="1"/>
        <v>0.27015137532401601</v>
      </c>
      <c r="T48" s="17">
        <f ca="1"/>
        <v>10270.030000000001</v>
      </c>
      <c r="U48" s="17">
        <f ca="1"/>
        <v>1731730.0800000003</v>
      </c>
      <c r="V48" s="17" t="str">
        <f ca="1"/>
        <v>2024-08-31</v>
      </c>
      <c r="W48" s="65">
        <f t="shared" ca="1" si="1"/>
        <v>70.466007524533197</v>
      </c>
      <c r="X48" s="65">
        <v>0.5</v>
      </c>
      <c r="Y48" s="65">
        <v>1</v>
      </c>
      <c r="Z48" s="65">
        <f t="shared" ca="1" si="0"/>
        <v>0.20494000000000001</v>
      </c>
      <c r="AA48" s="65">
        <v>0</v>
      </c>
    </row>
    <row r="49" spans="2:27" x14ac:dyDescent="0.25">
      <c r="B49" s="17">
        <f ca="1"/>
        <v>39</v>
      </c>
      <c r="C49" s="17">
        <f ca="1"/>
        <v>14593</v>
      </c>
      <c r="D49" s="17">
        <f ca="1"/>
        <v>14592</v>
      </c>
      <c r="E49" s="17">
        <f ca="1"/>
        <v>14593</v>
      </c>
      <c r="F49" s="17">
        <f ca="1"/>
        <v>7281</v>
      </c>
      <c r="G49" s="17">
        <f ca="1"/>
        <v>39202.04</v>
      </c>
      <c r="H49" s="17" t="str">
        <f ca="1"/>
        <v>CCC</v>
      </c>
      <c r="I49" s="17" t="str">
        <f ca="1"/>
        <v>Ind06</v>
      </c>
      <c r="J49" s="17" t="str">
        <f ca="1"/>
        <v>USD</v>
      </c>
      <c r="K49" s="69" t="str">
        <f ca="1"/>
        <v>ShipFin</v>
      </c>
      <c r="L49" s="17">
        <f ca="1"/>
        <v>5.715184694428463</v>
      </c>
      <c r="M49" s="17">
        <f ca="1"/>
        <v>5</v>
      </c>
      <c r="N49" s="17">
        <f ca="1"/>
        <v>0.20494000000000001</v>
      </c>
      <c r="O49" s="17">
        <f ca="1"/>
        <v>0.4</v>
      </c>
      <c r="P49" s="17">
        <f ca="1"/>
        <v>2.3521921915502002</v>
      </c>
      <c r="Q49" s="17">
        <f ca="1"/>
        <v>8.1976000000000007E-2</v>
      </c>
      <c r="R49" s="17">
        <f ca="1"/>
        <v>0.18817537532401599</v>
      </c>
      <c r="S49" s="17">
        <f ca="1"/>
        <v>0.27015137532401601</v>
      </c>
      <c r="T49" s="17">
        <f ca="1"/>
        <v>39202.04</v>
      </c>
      <c r="U49" s="17">
        <f ca="1"/>
        <v>1770932.1200000003</v>
      </c>
      <c r="V49" s="17" t="str">
        <f ca="1"/>
        <v>2024-08-31</v>
      </c>
      <c r="W49" s="65">
        <f t="shared" ca="1" si="1"/>
        <v>68.58221633314156</v>
      </c>
      <c r="X49" s="65">
        <v>0.5</v>
      </c>
      <c r="Y49" s="65">
        <v>1</v>
      </c>
      <c r="Z49" s="65">
        <f t="shared" ca="1" si="0"/>
        <v>0.20494000000000001</v>
      </c>
      <c r="AA49" s="65">
        <v>0</v>
      </c>
    </row>
    <row r="50" spans="2:27" x14ac:dyDescent="0.25">
      <c r="B50" s="17">
        <f ca="1"/>
        <v>40</v>
      </c>
      <c r="C50" s="17">
        <f ca="1"/>
        <v>14596</v>
      </c>
      <c r="D50" s="17">
        <f ca="1"/>
        <v>14595</v>
      </c>
      <c r="E50" s="17">
        <f ca="1"/>
        <v>14596</v>
      </c>
      <c r="F50" s="17">
        <f ca="1"/>
        <v>7284</v>
      </c>
      <c r="G50" s="17">
        <f ca="1"/>
        <v>19949.009999999998</v>
      </c>
      <c r="H50" s="17" t="str">
        <f ca="1"/>
        <v>CCC</v>
      </c>
      <c r="I50" s="17" t="str">
        <f ca="1"/>
        <v>Ind06</v>
      </c>
      <c r="J50" s="17" t="str">
        <f ca="1"/>
        <v>USD</v>
      </c>
      <c r="K50" s="69" t="str">
        <f ca="1"/>
        <v>ShipFin</v>
      </c>
      <c r="L50" s="17">
        <f ca="1"/>
        <v>9.8247040142700985</v>
      </c>
      <c r="M50" s="17">
        <f ca="1"/>
        <v>5</v>
      </c>
      <c r="N50" s="17">
        <f ca="1"/>
        <v>0.20494000000000001</v>
      </c>
      <c r="O50" s="17">
        <f ca="1"/>
        <v>0.4</v>
      </c>
      <c r="P50" s="17">
        <f ca="1"/>
        <v>2.3521921915502002</v>
      </c>
      <c r="Q50" s="17">
        <f ca="1"/>
        <v>8.1976000000000007E-2</v>
      </c>
      <c r="R50" s="17">
        <f ca="1"/>
        <v>0.18817537532401599</v>
      </c>
      <c r="S50" s="17">
        <f ca="1"/>
        <v>0.27015137532401601</v>
      </c>
      <c r="T50" s="17">
        <f ca="1"/>
        <v>19949.009999999998</v>
      </c>
      <c r="U50" s="17">
        <f ca="1"/>
        <v>1790881.1300000004</v>
      </c>
      <c r="V50" s="17" t="str">
        <f ca="1"/>
        <v>2028-08-31</v>
      </c>
      <c r="W50" s="65">
        <f t="shared" ca="1" si="1"/>
        <v>117.89644817124119</v>
      </c>
      <c r="X50" s="65">
        <v>0.5</v>
      </c>
      <c r="Y50" s="65">
        <v>1</v>
      </c>
      <c r="Z50" s="65">
        <f t="shared" ca="1" si="0"/>
        <v>0.20494000000000001</v>
      </c>
      <c r="AA50" s="65">
        <v>0</v>
      </c>
    </row>
    <row r="51" spans="2:27" x14ac:dyDescent="0.25">
      <c r="B51" s="17">
        <f ca="1"/>
        <v>41</v>
      </c>
      <c r="C51" s="17">
        <f ca="1"/>
        <v>14598</v>
      </c>
      <c r="D51" s="17">
        <f ca="1"/>
        <v>14597</v>
      </c>
      <c r="E51" s="17">
        <f ca="1"/>
        <v>14598</v>
      </c>
      <c r="F51" s="17">
        <f ca="1"/>
        <v>7285</v>
      </c>
      <c r="G51" s="17">
        <f ca="1"/>
        <v>44550.53</v>
      </c>
      <c r="H51" s="17" t="str">
        <f ca="1"/>
        <v>CCC</v>
      </c>
      <c r="I51" s="17" t="str">
        <f ca="1"/>
        <v>Ind06</v>
      </c>
      <c r="J51" s="17" t="str">
        <f ca="1"/>
        <v>USD</v>
      </c>
      <c r="K51" s="69" t="str">
        <f ca="1"/>
        <v>ShipFin</v>
      </c>
      <c r="L51" s="17">
        <f ca="1"/>
        <v>7.0676074101147224</v>
      </c>
      <c r="M51" s="17">
        <f ca="1"/>
        <v>5</v>
      </c>
      <c r="N51" s="17">
        <f ca="1"/>
        <v>0.20494000000000001</v>
      </c>
      <c r="O51" s="17">
        <f ca="1"/>
        <v>0.4</v>
      </c>
      <c r="P51" s="17">
        <f ca="1"/>
        <v>2.3521921915502002</v>
      </c>
      <c r="Q51" s="17">
        <f ca="1"/>
        <v>8.1976000000000007E-2</v>
      </c>
      <c r="R51" s="17">
        <f ca="1"/>
        <v>0.18817537532401599</v>
      </c>
      <c r="S51" s="17">
        <f ca="1"/>
        <v>0.27015137532401601</v>
      </c>
      <c r="T51" s="17">
        <f ca="1"/>
        <v>44550.53</v>
      </c>
      <c r="U51" s="17">
        <f ca="1"/>
        <v>1835431.6600000004</v>
      </c>
      <c r="V51" s="17" t="str">
        <f ca="1"/>
        <v>2026-07-31</v>
      </c>
      <c r="W51" s="65">
        <f t="shared" ca="1" si="1"/>
        <v>84.811288921376672</v>
      </c>
      <c r="X51" s="65">
        <v>0.5</v>
      </c>
      <c r="Y51" s="65">
        <v>1</v>
      </c>
      <c r="Z51" s="65">
        <f t="shared" ca="1" si="0"/>
        <v>0.20494000000000001</v>
      </c>
      <c r="AA51" s="65">
        <v>0</v>
      </c>
    </row>
    <row r="52" spans="2:27" x14ac:dyDescent="0.25">
      <c r="B52" s="17">
        <f ca="1"/>
        <v>42</v>
      </c>
      <c r="C52" s="17">
        <f ca="1"/>
        <v>14599</v>
      </c>
      <c r="D52" s="17">
        <f ca="1"/>
        <v>14598</v>
      </c>
      <c r="E52" s="17">
        <f ca="1"/>
        <v>14599</v>
      </c>
      <c r="F52" s="17">
        <f ca="1"/>
        <v>7286</v>
      </c>
      <c r="G52" s="17">
        <f ca="1"/>
        <v>112798.64</v>
      </c>
      <c r="H52" s="17" t="str">
        <f ca="1"/>
        <v>CCC</v>
      </c>
      <c r="I52" s="17" t="str">
        <f ca="1"/>
        <v>Ind06</v>
      </c>
      <c r="J52" s="17" t="str">
        <f ca="1"/>
        <v>USD</v>
      </c>
      <c r="K52" s="69" t="str">
        <f ca="1"/>
        <v>ShipFin</v>
      </c>
      <c r="L52" s="17">
        <f ca="1"/>
        <v>6.0330669913534072</v>
      </c>
      <c r="M52" s="17">
        <f ca="1"/>
        <v>5</v>
      </c>
      <c r="N52" s="17">
        <f ca="1"/>
        <v>0.20494000000000001</v>
      </c>
      <c r="O52" s="17">
        <f ca="1"/>
        <v>0.4</v>
      </c>
      <c r="P52" s="17">
        <f ca="1"/>
        <v>2.3521921915502002</v>
      </c>
      <c r="Q52" s="17">
        <f ca="1"/>
        <v>8.1976000000000007E-2</v>
      </c>
      <c r="R52" s="17">
        <f ca="1"/>
        <v>0.18817537532401599</v>
      </c>
      <c r="S52" s="17">
        <f ca="1"/>
        <v>0.27015137532401601</v>
      </c>
      <c r="T52" s="17">
        <f ca="1"/>
        <v>112798.64</v>
      </c>
      <c r="U52" s="17">
        <f ca="1"/>
        <v>1948230.3000000003</v>
      </c>
      <c r="V52" s="17" t="str">
        <f ca="1"/>
        <v>2025-07-31</v>
      </c>
      <c r="W52" s="65">
        <f t="shared" ca="1" si="1"/>
        <v>72.396803896240883</v>
      </c>
      <c r="X52" s="65">
        <v>0.5</v>
      </c>
      <c r="Y52" s="65">
        <v>1</v>
      </c>
      <c r="Z52" s="65">
        <f t="shared" ca="1" si="0"/>
        <v>0.20494000000000001</v>
      </c>
      <c r="AA52" s="65">
        <v>0</v>
      </c>
    </row>
    <row r="53" spans="2:27" x14ac:dyDescent="0.25">
      <c r="B53" s="17">
        <f ca="1"/>
        <v>43</v>
      </c>
      <c r="C53" s="17">
        <f ca="1"/>
        <v>14600</v>
      </c>
      <c r="D53" s="17">
        <f ca="1"/>
        <v>14599</v>
      </c>
      <c r="E53" s="17">
        <f ca="1"/>
        <v>14600</v>
      </c>
      <c r="F53" s="17">
        <f ca="1"/>
        <v>7287</v>
      </c>
      <c r="G53" s="17">
        <f ca="1"/>
        <v>22427.45</v>
      </c>
      <c r="H53" s="17" t="str">
        <f ca="1"/>
        <v>CCC</v>
      </c>
      <c r="I53" s="17" t="str">
        <f ca="1"/>
        <v>Ind06</v>
      </c>
      <c r="J53" s="17" t="str">
        <f ca="1"/>
        <v>USD</v>
      </c>
      <c r="K53" s="69" t="str">
        <f ca="1"/>
        <v>ShipFin</v>
      </c>
      <c r="L53" s="17">
        <f ca="1"/>
        <v>8.6993704371131031</v>
      </c>
      <c r="M53" s="17">
        <f ca="1"/>
        <v>5</v>
      </c>
      <c r="N53" s="17">
        <f ca="1"/>
        <v>0.20494000000000001</v>
      </c>
      <c r="O53" s="17">
        <f ca="1"/>
        <v>0.4</v>
      </c>
      <c r="P53" s="17">
        <f ca="1"/>
        <v>2.3521921915502002</v>
      </c>
      <c r="Q53" s="17">
        <f ca="1"/>
        <v>8.1976000000000007E-2</v>
      </c>
      <c r="R53" s="17">
        <f ca="1"/>
        <v>0.18817537532401599</v>
      </c>
      <c r="S53" s="17">
        <f ca="1"/>
        <v>0.27015137532401601</v>
      </c>
      <c r="T53" s="17">
        <f ca="1"/>
        <v>22427.45</v>
      </c>
      <c r="U53" s="17">
        <f ca="1"/>
        <v>1970657.75</v>
      </c>
      <c r="V53" s="17" t="str">
        <f ca="1"/>
        <v>2027-08-31</v>
      </c>
      <c r="W53" s="65">
        <f t="shared" ca="1" si="1"/>
        <v>104.39244524535724</v>
      </c>
      <c r="X53" s="65">
        <v>0.5</v>
      </c>
      <c r="Y53" s="65">
        <v>1</v>
      </c>
      <c r="Z53" s="65">
        <f t="shared" ca="1" si="0"/>
        <v>0.20494000000000001</v>
      </c>
      <c r="AA53" s="65">
        <v>0</v>
      </c>
    </row>
    <row r="54" spans="2:27" x14ac:dyDescent="0.25">
      <c r="B54" s="17">
        <f ca="1"/>
        <v>44</v>
      </c>
      <c r="C54" s="17">
        <f ca="1"/>
        <v>14648</v>
      </c>
      <c r="D54" s="17">
        <f ca="1"/>
        <v>14647</v>
      </c>
      <c r="E54" s="17">
        <f ca="1"/>
        <v>14648</v>
      </c>
      <c r="F54" s="17">
        <f ca="1"/>
        <v>7313</v>
      </c>
      <c r="G54" s="17">
        <f ca="1"/>
        <v>56581.83</v>
      </c>
      <c r="H54" s="17" t="str">
        <f ca="1"/>
        <v>CCC</v>
      </c>
      <c r="I54" s="17" t="str">
        <f ca="1"/>
        <v>Ind06</v>
      </c>
      <c r="J54" s="17" t="str">
        <f ca="1"/>
        <v>USD</v>
      </c>
      <c r="K54" s="69" t="str">
        <f ca="1"/>
        <v>ShipFin</v>
      </c>
      <c r="L54" s="17">
        <f ca="1"/>
        <v>6.8224069242505356</v>
      </c>
      <c r="M54" s="17">
        <f ca="1"/>
        <v>5</v>
      </c>
      <c r="N54" s="17">
        <f ca="1"/>
        <v>0.20494000000000001</v>
      </c>
      <c r="O54" s="17">
        <f ca="1"/>
        <v>0.4</v>
      </c>
      <c r="P54" s="17">
        <f ca="1"/>
        <v>2.3521921915502002</v>
      </c>
      <c r="Q54" s="17">
        <f ca="1"/>
        <v>8.1976000000000007E-2</v>
      </c>
      <c r="R54" s="17">
        <f ca="1"/>
        <v>0.18817537532401599</v>
      </c>
      <c r="S54" s="17">
        <f ca="1"/>
        <v>0.27015137532401601</v>
      </c>
      <c r="T54" s="17">
        <f ca="1"/>
        <v>56581.83</v>
      </c>
      <c r="U54" s="17">
        <f ca="1"/>
        <v>2027239.5800000003</v>
      </c>
      <c r="V54" s="17" t="str">
        <f ca="1"/>
        <v>2025-08-31</v>
      </c>
      <c r="W54" s="65">
        <f t="shared" ca="1" si="1"/>
        <v>81.868883091006424</v>
      </c>
      <c r="X54" s="65">
        <v>0.5</v>
      </c>
      <c r="Y54" s="65">
        <v>1</v>
      </c>
      <c r="Z54" s="65">
        <f t="shared" ca="1" si="0"/>
        <v>0.20494000000000001</v>
      </c>
      <c r="AA54" s="65">
        <v>0</v>
      </c>
    </row>
    <row r="55" spans="2:27" x14ac:dyDescent="0.25">
      <c r="B55" s="17">
        <f ca="1"/>
        <v>45</v>
      </c>
      <c r="C55" s="17">
        <f ca="1"/>
        <v>14649</v>
      </c>
      <c r="D55" s="17">
        <f ca="1"/>
        <v>14648</v>
      </c>
      <c r="E55" s="17">
        <f ca="1"/>
        <v>14649</v>
      </c>
      <c r="F55" s="17">
        <f ca="1"/>
        <v>7314</v>
      </c>
      <c r="G55" s="17">
        <f ca="1"/>
        <v>17349.97</v>
      </c>
      <c r="H55" s="17" t="str">
        <f ca="1"/>
        <v>CCC</v>
      </c>
      <c r="I55" s="17" t="str">
        <f ca="1"/>
        <v>Ind06</v>
      </c>
      <c r="J55" s="17" t="str">
        <f ca="1"/>
        <v>USD</v>
      </c>
      <c r="K55" s="69" t="str">
        <f ca="1"/>
        <v>ShipFin</v>
      </c>
      <c r="L55" s="17">
        <f ca="1"/>
        <v>6.1398412662954067</v>
      </c>
      <c r="M55" s="17">
        <f ca="1"/>
        <v>5</v>
      </c>
      <c r="N55" s="17">
        <f ca="1"/>
        <v>0.20494000000000001</v>
      </c>
      <c r="O55" s="17">
        <f ca="1"/>
        <v>0.4</v>
      </c>
      <c r="P55" s="17">
        <f ca="1"/>
        <v>2.3521921915502002</v>
      </c>
      <c r="Q55" s="17">
        <f ca="1"/>
        <v>8.1976000000000007E-2</v>
      </c>
      <c r="R55" s="17">
        <f ca="1"/>
        <v>0.18817537532401599</v>
      </c>
      <c r="S55" s="17">
        <f ca="1"/>
        <v>0.27015137532401601</v>
      </c>
      <c r="T55" s="17">
        <f ca="1"/>
        <v>17349.97</v>
      </c>
      <c r="U55" s="17">
        <f ca="1"/>
        <v>2044589.5500000003</v>
      </c>
      <c r="V55" s="17" t="str">
        <f ca="1"/>
        <v>2025-07-31</v>
      </c>
      <c r="W55" s="65">
        <f t="shared" ca="1" si="1"/>
        <v>73.678095195544884</v>
      </c>
      <c r="X55" s="65">
        <v>0.5</v>
      </c>
      <c r="Y55" s="65">
        <v>1</v>
      </c>
      <c r="Z55" s="65">
        <f t="shared" ca="1" si="0"/>
        <v>0.20494000000000001</v>
      </c>
      <c r="AA55" s="65">
        <v>0</v>
      </c>
    </row>
    <row r="56" spans="2:27" x14ac:dyDescent="0.25">
      <c r="B56" s="17">
        <f ca="1"/>
        <v>46</v>
      </c>
      <c r="C56" s="17">
        <f ca="1"/>
        <v>14650</v>
      </c>
      <c r="D56" s="17">
        <f ca="1"/>
        <v>14649</v>
      </c>
      <c r="E56" s="17">
        <f ca="1"/>
        <v>14650</v>
      </c>
      <c r="F56" s="17">
        <f ca="1"/>
        <v>7314</v>
      </c>
      <c r="G56" s="17">
        <f ca="1"/>
        <v>30666.720000000001</v>
      </c>
      <c r="H56" s="17" t="str">
        <f ca="1"/>
        <v>CCC</v>
      </c>
      <c r="I56" s="17" t="str">
        <f ca="1"/>
        <v>Ind06</v>
      </c>
      <c r="J56" s="17" t="str">
        <f ca="1"/>
        <v>USD</v>
      </c>
      <c r="K56" s="69" t="str">
        <f ca="1"/>
        <v>ShipFin</v>
      </c>
      <c r="L56" s="17">
        <f ca="1"/>
        <v>9.430240704000461</v>
      </c>
      <c r="M56" s="17">
        <f ca="1"/>
        <v>5</v>
      </c>
      <c r="N56" s="17">
        <f ca="1"/>
        <v>0.20494000000000001</v>
      </c>
      <c r="O56" s="17">
        <f ca="1"/>
        <v>0.4</v>
      </c>
      <c r="P56" s="17">
        <f ca="1"/>
        <v>2.3521921915502002</v>
      </c>
      <c r="Q56" s="17">
        <f ca="1"/>
        <v>8.1976000000000007E-2</v>
      </c>
      <c r="R56" s="17">
        <f ca="1"/>
        <v>0.18817537532401599</v>
      </c>
      <c r="S56" s="17">
        <f ca="1"/>
        <v>0.27015137532401601</v>
      </c>
      <c r="T56" s="17">
        <f ca="1"/>
        <v>30666.720000000001</v>
      </c>
      <c r="U56" s="17">
        <f ca="1"/>
        <v>2075256.2700000003</v>
      </c>
      <c r="V56" s="17" t="str">
        <f ca="1"/>
        <v>2028-08-31</v>
      </c>
      <c r="W56" s="65">
        <f t="shared" ca="1" si="1"/>
        <v>113.16288844800553</v>
      </c>
      <c r="X56" s="65">
        <v>0.5</v>
      </c>
      <c r="Y56" s="65">
        <v>1</v>
      </c>
      <c r="Z56" s="65">
        <f t="shared" ca="1" si="0"/>
        <v>0.20494000000000001</v>
      </c>
      <c r="AA56" s="65">
        <v>0</v>
      </c>
    </row>
    <row r="57" spans="2:27" x14ac:dyDescent="0.25">
      <c r="B57" s="17">
        <f ca="1"/>
        <v>47</v>
      </c>
      <c r="C57" s="17">
        <f ca="1"/>
        <v>14651</v>
      </c>
      <c r="D57" s="17">
        <f ca="1"/>
        <v>14650</v>
      </c>
      <c r="E57" s="17">
        <f ca="1"/>
        <v>14651</v>
      </c>
      <c r="F57" s="17">
        <f ca="1"/>
        <v>7314</v>
      </c>
      <c r="G57" s="17">
        <f ca="1"/>
        <v>23921.27</v>
      </c>
      <c r="H57" s="17" t="str">
        <f ca="1"/>
        <v>CCC</v>
      </c>
      <c r="I57" s="17" t="str">
        <f ca="1"/>
        <v>Ind06</v>
      </c>
      <c r="J57" s="17" t="str">
        <f ca="1"/>
        <v>USD</v>
      </c>
      <c r="K57" s="69" t="str">
        <f ca="1"/>
        <v>ShipFin</v>
      </c>
      <c r="L57" s="17">
        <f ca="1"/>
        <v>7.9284774948470274</v>
      </c>
      <c r="M57" s="17">
        <f ca="1"/>
        <v>5</v>
      </c>
      <c r="N57" s="17">
        <f ca="1"/>
        <v>0.20494000000000001</v>
      </c>
      <c r="O57" s="17">
        <f ca="1"/>
        <v>0.4</v>
      </c>
      <c r="P57" s="17">
        <f ca="1"/>
        <v>2.3521921915502002</v>
      </c>
      <c r="Q57" s="17">
        <f ca="1"/>
        <v>8.1976000000000007E-2</v>
      </c>
      <c r="R57" s="17">
        <f ca="1"/>
        <v>0.18817537532401599</v>
      </c>
      <c r="S57" s="17">
        <f ca="1"/>
        <v>0.27015137532401601</v>
      </c>
      <c r="T57" s="17">
        <f ca="1"/>
        <v>23921.27</v>
      </c>
      <c r="U57" s="17">
        <f ca="1"/>
        <v>2099177.54</v>
      </c>
      <c r="V57" s="17" t="str">
        <f ca="1"/>
        <v>2026-08-31</v>
      </c>
      <c r="W57" s="65">
        <f t="shared" ca="1" si="1"/>
        <v>95.141729938164332</v>
      </c>
      <c r="X57" s="65">
        <v>0.5</v>
      </c>
      <c r="Y57" s="65">
        <v>1</v>
      </c>
      <c r="Z57" s="65">
        <f t="shared" ca="1" si="0"/>
        <v>0.20494000000000001</v>
      </c>
      <c r="AA57" s="65">
        <v>0</v>
      </c>
    </row>
    <row r="58" spans="2:27" x14ac:dyDescent="0.25">
      <c r="B58" s="17">
        <f ca="1"/>
        <v>48</v>
      </c>
      <c r="C58" s="17">
        <f ca="1"/>
        <v>14699</v>
      </c>
      <c r="D58" s="17">
        <f ca="1"/>
        <v>14698</v>
      </c>
      <c r="E58" s="17">
        <f ca="1"/>
        <v>14699</v>
      </c>
      <c r="F58" s="17">
        <f ca="1"/>
        <v>7340</v>
      </c>
      <c r="G58" s="17">
        <f ca="1"/>
        <v>13510.57</v>
      </c>
      <c r="H58" s="17" t="str">
        <f ca="1"/>
        <v>CCC</v>
      </c>
      <c r="I58" s="17" t="str">
        <f ca="1"/>
        <v>Ind06</v>
      </c>
      <c r="J58" s="17" t="str">
        <f ca="1"/>
        <v>USD</v>
      </c>
      <c r="K58" s="69" t="str">
        <f ca="1"/>
        <v>ShipFin</v>
      </c>
      <c r="L58" s="17">
        <f ca="1"/>
        <v>5.6513885152409777</v>
      </c>
      <c r="M58" s="17">
        <f ca="1"/>
        <v>5</v>
      </c>
      <c r="N58" s="17">
        <f ca="1"/>
        <v>0.20494000000000001</v>
      </c>
      <c r="O58" s="17">
        <f ca="1"/>
        <v>0.4</v>
      </c>
      <c r="P58" s="17">
        <f ca="1"/>
        <v>2.3521921915502002</v>
      </c>
      <c r="Q58" s="17">
        <f ca="1"/>
        <v>8.1976000000000007E-2</v>
      </c>
      <c r="R58" s="17">
        <f ca="1"/>
        <v>0.18817537532401599</v>
      </c>
      <c r="S58" s="17">
        <f ca="1"/>
        <v>0.27015137532401601</v>
      </c>
      <c r="T58" s="17">
        <f ca="1"/>
        <v>13510.57</v>
      </c>
      <c r="U58" s="17">
        <f ca="1"/>
        <v>2112688.11</v>
      </c>
      <c r="V58" s="17" t="str">
        <f ca="1"/>
        <v>2024-08-31</v>
      </c>
      <c r="W58" s="65">
        <f t="shared" ca="1" si="1"/>
        <v>67.816662182891733</v>
      </c>
      <c r="X58" s="65">
        <v>0.5</v>
      </c>
      <c r="Y58" s="65">
        <v>1</v>
      </c>
      <c r="Z58" s="65">
        <f t="shared" ca="1" si="0"/>
        <v>0.20494000000000001</v>
      </c>
      <c r="AA58" s="65">
        <v>0</v>
      </c>
    </row>
    <row r="59" spans="2:27" x14ac:dyDescent="0.25">
      <c r="B59" s="17">
        <f ca="1"/>
        <v>49</v>
      </c>
      <c r="C59" s="17">
        <f ca="1"/>
        <v>14702</v>
      </c>
      <c r="D59" s="17">
        <f ca="1"/>
        <v>14701</v>
      </c>
      <c r="E59" s="17">
        <f ca="1"/>
        <v>14702</v>
      </c>
      <c r="F59" s="17">
        <f ca="1"/>
        <v>7343</v>
      </c>
      <c r="G59" s="17">
        <f ca="1"/>
        <v>78432.929999999993</v>
      </c>
      <c r="H59" s="17" t="str">
        <f ca="1"/>
        <v>CCC</v>
      </c>
      <c r="I59" s="17" t="str">
        <f ca="1"/>
        <v>Ind06</v>
      </c>
      <c r="J59" s="17" t="str">
        <f ca="1"/>
        <v>USD</v>
      </c>
      <c r="K59" s="69" t="str">
        <f ca="1"/>
        <v>ShipFin</v>
      </c>
      <c r="L59" s="17">
        <f ca="1"/>
        <v>6.3177210229635241</v>
      </c>
      <c r="M59" s="17">
        <f ca="1"/>
        <v>5</v>
      </c>
      <c r="N59" s="17">
        <f ca="1"/>
        <v>0.20494000000000001</v>
      </c>
      <c r="O59" s="17">
        <f ca="1"/>
        <v>0.4</v>
      </c>
      <c r="P59" s="17">
        <f ca="1"/>
        <v>2.3521921915502002</v>
      </c>
      <c r="Q59" s="17">
        <f ca="1"/>
        <v>8.1976000000000007E-2</v>
      </c>
      <c r="R59" s="17">
        <f ca="1"/>
        <v>0.18817537532401599</v>
      </c>
      <c r="S59" s="17">
        <f ca="1"/>
        <v>0.27015137532401601</v>
      </c>
      <c r="T59" s="17">
        <f ca="1"/>
        <v>78432.929999999993</v>
      </c>
      <c r="U59" s="17">
        <f ca="1"/>
        <v>2191121.04</v>
      </c>
      <c r="V59" s="17" t="str">
        <f ca="1"/>
        <v>2025-07-31</v>
      </c>
      <c r="W59" s="65">
        <f t="shared" ca="1" si="1"/>
        <v>75.812652275562286</v>
      </c>
      <c r="X59" s="65">
        <v>0.5</v>
      </c>
      <c r="Y59" s="65">
        <v>1</v>
      </c>
      <c r="Z59" s="65">
        <f t="shared" ca="1" si="0"/>
        <v>0.20494000000000001</v>
      </c>
      <c r="AA59" s="65">
        <v>0</v>
      </c>
    </row>
    <row r="60" spans="2:27" x14ac:dyDescent="0.25">
      <c r="B60" s="17">
        <f ca="1"/>
        <v>50</v>
      </c>
      <c r="C60" s="17">
        <f ca="1"/>
        <v>14707</v>
      </c>
      <c r="D60" s="17">
        <f ca="1"/>
        <v>14706</v>
      </c>
      <c r="E60" s="17">
        <f ca="1"/>
        <v>14707</v>
      </c>
      <c r="F60" s="17">
        <f ca="1"/>
        <v>7346</v>
      </c>
      <c r="G60" s="17">
        <f ca="1"/>
        <v>19961.990000000002</v>
      </c>
      <c r="H60" s="17" t="str">
        <f ca="1"/>
        <v>CCC</v>
      </c>
      <c r="I60" s="17" t="str">
        <f ca="1"/>
        <v>Ind06</v>
      </c>
      <c r="J60" s="17" t="str">
        <f ca="1"/>
        <v>USD</v>
      </c>
      <c r="K60" s="69" t="str">
        <f ca="1"/>
        <v>ShipFin</v>
      </c>
      <c r="L60" s="17">
        <f ca="1"/>
        <v>9.0635659754020157</v>
      </c>
      <c r="M60" s="17">
        <f ca="1"/>
        <v>5</v>
      </c>
      <c r="N60" s="17">
        <f ca="1"/>
        <v>0.20494000000000001</v>
      </c>
      <c r="O60" s="17">
        <f ca="1"/>
        <v>0.4</v>
      </c>
      <c r="P60" s="17">
        <f ca="1"/>
        <v>2.3521921915502002</v>
      </c>
      <c r="Q60" s="17">
        <f ca="1"/>
        <v>8.1976000000000007E-2</v>
      </c>
      <c r="R60" s="17">
        <f ca="1"/>
        <v>0.18817537532401599</v>
      </c>
      <c r="S60" s="17">
        <f ca="1"/>
        <v>0.27015137532401601</v>
      </c>
      <c r="T60" s="17">
        <f ca="1"/>
        <v>19961.990000000002</v>
      </c>
      <c r="U60" s="17">
        <f ca="1"/>
        <v>2211083.0300000003</v>
      </c>
      <c r="V60" s="17" t="str">
        <f ca="1"/>
        <v>2028-07-31</v>
      </c>
      <c r="W60" s="65">
        <f t="shared" ca="1" si="1"/>
        <v>108.7627917048242</v>
      </c>
      <c r="X60" s="65">
        <v>0.5</v>
      </c>
      <c r="Y60" s="65">
        <v>1</v>
      </c>
      <c r="Z60" s="65">
        <f t="shared" ca="1" si="0"/>
        <v>0.20494000000000001</v>
      </c>
      <c r="AA60" s="65">
        <v>0</v>
      </c>
    </row>
    <row r="61" spans="2:27" x14ac:dyDescent="0.25">
      <c r="B61" s="17">
        <f ca="1"/>
        <v>51</v>
      </c>
      <c r="C61" s="17">
        <f ca="1"/>
        <v>14708</v>
      </c>
      <c r="D61" s="17">
        <f ca="1"/>
        <v>14707</v>
      </c>
      <c r="E61" s="17">
        <f ca="1"/>
        <v>14708</v>
      </c>
      <c r="F61" s="17">
        <f ca="1"/>
        <v>7346</v>
      </c>
      <c r="G61" s="17">
        <f ca="1"/>
        <v>13423.57</v>
      </c>
      <c r="H61" s="17" t="str">
        <f ca="1"/>
        <v>CCC</v>
      </c>
      <c r="I61" s="17" t="str">
        <f ca="1"/>
        <v>Ind06</v>
      </c>
      <c r="J61" s="17" t="str">
        <f ca="1"/>
        <v>USD</v>
      </c>
      <c r="K61" s="69" t="str">
        <f ca="1"/>
        <v>ShipFin</v>
      </c>
      <c r="L61" s="17">
        <f ca="1"/>
        <v>5.6795267542265355</v>
      </c>
      <c r="M61" s="17">
        <f ca="1"/>
        <v>5</v>
      </c>
      <c r="N61" s="17">
        <f ca="1"/>
        <v>0.20494000000000001</v>
      </c>
      <c r="O61" s="17">
        <f ca="1"/>
        <v>0.4</v>
      </c>
      <c r="P61" s="17">
        <f ca="1"/>
        <v>2.3521921915502002</v>
      </c>
      <c r="Q61" s="17">
        <f ca="1"/>
        <v>8.1976000000000007E-2</v>
      </c>
      <c r="R61" s="17">
        <f ca="1"/>
        <v>0.18817537532401599</v>
      </c>
      <c r="S61" s="17">
        <f ca="1"/>
        <v>0.27015137532401601</v>
      </c>
      <c r="T61" s="17">
        <f ca="1"/>
        <v>13423.57</v>
      </c>
      <c r="U61" s="17">
        <f ca="1"/>
        <v>2224506.6</v>
      </c>
      <c r="V61" s="17" t="str">
        <f ca="1"/>
        <v>2024-08-31</v>
      </c>
      <c r="W61" s="65">
        <f t="shared" ca="1" si="1"/>
        <v>68.154321050718423</v>
      </c>
      <c r="X61" s="65">
        <v>0.5</v>
      </c>
      <c r="Y61" s="65">
        <v>1</v>
      </c>
      <c r="Z61" s="65">
        <f t="shared" ca="1" si="0"/>
        <v>0.20494000000000001</v>
      </c>
      <c r="AA61" s="65">
        <v>0</v>
      </c>
    </row>
    <row r="62" spans="2:27" x14ac:dyDescent="0.25">
      <c r="B62" s="17">
        <f ca="1"/>
        <v>52</v>
      </c>
      <c r="C62" s="17">
        <f ca="1"/>
        <v>14709</v>
      </c>
      <c r="D62" s="17">
        <f ca="1"/>
        <v>14708</v>
      </c>
      <c r="E62" s="17">
        <f ca="1"/>
        <v>14709</v>
      </c>
      <c r="F62" s="17">
        <f ca="1"/>
        <v>7346</v>
      </c>
      <c r="G62" s="17">
        <f ca="1"/>
        <v>4874.97</v>
      </c>
      <c r="H62" s="17" t="str">
        <f ca="1"/>
        <v>CCC</v>
      </c>
      <c r="I62" s="17" t="str">
        <f ca="1"/>
        <v>Ind06</v>
      </c>
      <c r="J62" s="17" t="str">
        <f ca="1"/>
        <v>USD</v>
      </c>
      <c r="K62" s="69" t="str">
        <f ca="1"/>
        <v>ShipFin</v>
      </c>
      <c r="L62" s="17">
        <f ca="1"/>
        <v>8.7814277147594826</v>
      </c>
      <c r="M62" s="17">
        <f ca="1"/>
        <v>5</v>
      </c>
      <c r="N62" s="17">
        <f ca="1"/>
        <v>0.20494000000000001</v>
      </c>
      <c r="O62" s="17">
        <f ca="1"/>
        <v>0.4</v>
      </c>
      <c r="P62" s="17">
        <f ca="1"/>
        <v>2.3521921915502002</v>
      </c>
      <c r="Q62" s="17">
        <f ca="1"/>
        <v>8.1976000000000007E-2</v>
      </c>
      <c r="R62" s="17">
        <f ca="1"/>
        <v>0.18817537532401599</v>
      </c>
      <c r="S62" s="17">
        <f ca="1"/>
        <v>0.27015137532401601</v>
      </c>
      <c r="T62" s="17">
        <f ca="1"/>
        <v>4874.97</v>
      </c>
      <c r="U62" s="17">
        <f ca="1"/>
        <v>2229381.5700000003</v>
      </c>
      <c r="V62" s="17" t="str">
        <f ca="1"/>
        <v>2027-08-31</v>
      </c>
      <c r="W62" s="65">
        <f t="shared" ca="1" si="1"/>
        <v>105.3771325771138</v>
      </c>
      <c r="X62" s="65">
        <v>0.5</v>
      </c>
      <c r="Y62" s="65">
        <v>1</v>
      </c>
      <c r="Z62" s="65">
        <f t="shared" ca="1" si="0"/>
        <v>0.20494000000000001</v>
      </c>
      <c r="AA62" s="65">
        <v>0</v>
      </c>
    </row>
    <row r="63" spans="2:27" x14ac:dyDescent="0.25">
      <c r="B63" s="17">
        <f ca="1"/>
        <v>53</v>
      </c>
      <c r="C63" s="17">
        <f ca="1"/>
        <v>14710</v>
      </c>
      <c r="D63" s="17">
        <f ca="1"/>
        <v>14709</v>
      </c>
      <c r="E63" s="17">
        <f ca="1"/>
        <v>14710</v>
      </c>
      <c r="F63" s="17">
        <f ca="1"/>
        <v>7347</v>
      </c>
      <c r="G63" s="17">
        <f ca="1"/>
        <v>16148.68</v>
      </c>
      <c r="H63" s="17" t="str">
        <f ca="1"/>
        <v>CCC</v>
      </c>
      <c r="I63" s="17" t="str">
        <f ca="1"/>
        <v>Ind06</v>
      </c>
      <c r="J63" s="17" t="str">
        <f ca="1"/>
        <v>USD</v>
      </c>
      <c r="K63" s="69" t="str">
        <f ca="1"/>
        <v>ShipFin</v>
      </c>
      <c r="L63" s="17">
        <f ca="1"/>
        <v>8.9501335648028189</v>
      </c>
      <c r="M63" s="17">
        <f ca="1"/>
        <v>5</v>
      </c>
      <c r="N63" s="17">
        <f ca="1"/>
        <v>0.20494000000000001</v>
      </c>
      <c r="O63" s="17">
        <f ca="1"/>
        <v>0.4</v>
      </c>
      <c r="P63" s="17">
        <f ca="1"/>
        <v>2.3521921915502002</v>
      </c>
      <c r="Q63" s="17">
        <f ca="1"/>
        <v>8.1976000000000007E-2</v>
      </c>
      <c r="R63" s="17">
        <f ca="1"/>
        <v>0.18817537532401599</v>
      </c>
      <c r="S63" s="17">
        <f ca="1"/>
        <v>0.27015137532401601</v>
      </c>
      <c r="T63" s="17">
        <f ca="1"/>
        <v>16148.68</v>
      </c>
      <c r="U63" s="17">
        <f ca="1"/>
        <v>2245530.2500000005</v>
      </c>
      <c r="V63" s="17" t="str">
        <f ca="1"/>
        <v>2027-08-31</v>
      </c>
      <c r="W63" s="65">
        <f t="shared" ca="1" si="1"/>
        <v>107.40160277763383</v>
      </c>
      <c r="X63" s="65">
        <v>0.5</v>
      </c>
      <c r="Y63" s="65">
        <v>1</v>
      </c>
      <c r="Z63" s="65">
        <f t="shared" ca="1" si="0"/>
        <v>0.20494000000000001</v>
      </c>
      <c r="AA63" s="65">
        <v>0</v>
      </c>
    </row>
    <row r="64" spans="2:27" x14ac:dyDescent="0.25">
      <c r="B64" s="17">
        <f ca="1"/>
        <v>54</v>
      </c>
      <c r="C64" s="17">
        <f ca="1"/>
        <v>14712</v>
      </c>
      <c r="D64" s="17">
        <f ca="1"/>
        <v>14711</v>
      </c>
      <c r="E64" s="17">
        <f ca="1"/>
        <v>14712</v>
      </c>
      <c r="F64" s="17">
        <f ca="1"/>
        <v>7348</v>
      </c>
      <c r="G64" s="17">
        <f ca="1"/>
        <v>103894.97</v>
      </c>
      <c r="H64" s="17" t="str">
        <f ca="1"/>
        <v>CCC</v>
      </c>
      <c r="I64" s="17" t="str">
        <f ca="1"/>
        <v>Ind06</v>
      </c>
      <c r="J64" s="17" t="str">
        <f ca="1"/>
        <v>USD</v>
      </c>
      <c r="K64" s="69" t="str">
        <f ca="1"/>
        <v>ShipFin</v>
      </c>
      <c r="L64" s="17">
        <f ca="1"/>
        <v>7.6056213030288919</v>
      </c>
      <c r="M64" s="17">
        <f ca="1"/>
        <v>5</v>
      </c>
      <c r="N64" s="17">
        <f ca="1"/>
        <v>0.20494000000000001</v>
      </c>
      <c r="O64" s="17">
        <f ca="1"/>
        <v>0.4</v>
      </c>
      <c r="P64" s="17">
        <f ca="1"/>
        <v>2.3521921915502002</v>
      </c>
      <c r="Q64" s="17">
        <f ca="1"/>
        <v>8.1976000000000007E-2</v>
      </c>
      <c r="R64" s="17">
        <f ca="1"/>
        <v>0.18817537532401599</v>
      </c>
      <c r="S64" s="17">
        <f ca="1"/>
        <v>0.27015137532401601</v>
      </c>
      <c r="T64" s="17">
        <f ca="1"/>
        <v>103894.97</v>
      </c>
      <c r="U64" s="17">
        <f ca="1"/>
        <v>2349425.2200000011</v>
      </c>
      <c r="V64" s="17" t="str">
        <f ca="1"/>
        <v>2026-08-31</v>
      </c>
      <c r="W64" s="65">
        <f t="shared" ca="1" si="1"/>
        <v>91.26745563634671</v>
      </c>
      <c r="X64" s="65">
        <v>0.5</v>
      </c>
      <c r="Y64" s="65">
        <v>1</v>
      </c>
      <c r="Z64" s="65">
        <f t="shared" ca="1" si="0"/>
        <v>0.20494000000000001</v>
      </c>
      <c r="AA64" s="65">
        <v>0</v>
      </c>
    </row>
    <row r="65" spans="2:27" x14ac:dyDescent="0.25">
      <c r="B65" s="17">
        <f ca="1"/>
        <v>55</v>
      </c>
      <c r="C65" s="17">
        <f ca="1"/>
        <v>14713</v>
      </c>
      <c r="D65" s="17">
        <f ca="1"/>
        <v>14712</v>
      </c>
      <c r="E65" s="17">
        <f ca="1"/>
        <v>14713</v>
      </c>
      <c r="F65" s="17">
        <f ca="1"/>
        <v>7349</v>
      </c>
      <c r="G65" s="17">
        <f ca="1"/>
        <v>31735.08</v>
      </c>
      <c r="H65" s="17" t="str">
        <f ca="1"/>
        <v>CCC</v>
      </c>
      <c r="I65" s="17" t="str">
        <f ca="1"/>
        <v>Ind06</v>
      </c>
      <c r="J65" s="17" t="str">
        <f ca="1"/>
        <v>USD</v>
      </c>
      <c r="K65" s="69" t="str">
        <f ca="1"/>
        <v>ShipFin</v>
      </c>
      <c r="L65" s="17">
        <f ca="1"/>
        <v>7.4407764278189275</v>
      </c>
      <c r="M65" s="17">
        <f ca="1"/>
        <v>5</v>
      </c>
      <c r="N65" s="17">
        <f ca="1"/>
        <v>0.20494000000000001</v>
      </c>
      <c r="O65" s="17">
        <f ca="1"/>
        <v>0.4</v>
      </c>
      <c r="P65" s="17">
        <f ca="1"/>
        <v>2.3521921915502002</v>
      </c>
      <c r="Q65" s="17">
        <f ca="1"/>
        <v>8.1976000000000007E-2</v>
      </c>
      <c r="R65" s="17">
        <f ca="1"/>
        <v>0.18817537532401599</v>
      </c>
      <c r="S65" s="17">
        <f ca="1"/>
        <v>0.27015137532401601</v>
      </c>
      <c r="T65" s="17">
        <f ca="1"/>
        <v>31735.08</v>
      </c>
      <c r="U65" s="17">
        <f ca="1"/>
        <v>2381160.3000000007</v>
      </c>
      <c r="V65" s="17" t="str">
        <f ca="1"/>
        <v>2026-08-31</v>
      </c>
      <c r="W65" s="65">
        <f t="shared" ca="1" si="1"/>
        <v>89.289317133827126</v>
      </c>
      <c r="X65" s="65">
        <v>0.5</v>
      </c>
      <c r="Y65" s="65">
        <v>1</v>
      </c>
      <c r="Z65" s="65">
        <f t="shared" ca="1" si="0"/>
        <v>0.20494000000000001</v>
      </c>
      <c r="AA65" s="65">
        <v>0</v>
      </c>
    </row>
    <row r="66" spans="2:27" x14ac:dyDescent="0.25">
      <c r="B66" s="17">
        <f ca="1"/>
        <v>56</v>
      </c>
      <c r="C66" s="17">
        <f ca="1"/>
        <v>14714</v>
      </c>
      <c r="D66" s="17">
        <f ca="1"/>
        <v>14713</v>
      </c>
      <c r="E66" s="17">
        <f ca="1"/>
        <v>14714</v>
      </c>
      <c r="F66" s="17">
        <f ca="1"/>
        <v>7349</v>
      </c>
      <c r="G66" s="17">
        <f ca="1"/>
        <v>29608.89</v>
      </c>
      <c r="H66" s="17" t="str">
        <f ca="1"/>
        <v>CCC</v>
      </c>
      <c r="I66" s="17" t="str">
        <f ca="1"/>
        <v>Ind06</v>
      </c>
      <c r="J66" s="17" t="str">
        <f ca="1"/>
        <v>USD</v>
      </c>
      <c r="K66" s="69" t="str">
        <f ca="1"/>
        <v>ShipFin</v>
      </c>
      <c r="L66" s="17">
        <f ca="1"/>
        <v>8.4604771386738875</v>
      </c>
      <c r="M66" s="17">
        <f ca="1"/>
        <v>5</v>
      </c>
      <c r="N66" s="17">
        <f ca="1"/>
        <v>0.20494000000000001</v>
      </c>
      <c r="O66" s="17">
        <f ca="1"/>
        <v>0.4</v>
      </c>
      <c r="P66" s="17">
        <f ca="1"/>
        <v>2.3521921915502002</v>
      </c>
      <c r="Q66" s="17">
        <f ca="1"/>
        <v>8.1976000000000007E-2</v>
      </c>
      <c r="R66" s="17">
        <f ca="1"/>
        <v>0.18817537532401599</v>
      </c>
      <c r="S66" s="17">
        <f ca="1"/>
        <v>0.27015137532401601</v>
      </c>
      <c r="T66" s="17">
        <f ca="1"/>
        <v>29608.89</v>
      </c>
      <c r="U66" s="17">
        <f ca="1"/>
        <v>2410769.1900000009</v>
      </c>
      <c r="V66" s="17" t="str">
        <f ca="1"/>
        <v>2027-08-31</v>
      </c>
      <c r="W66" s="65">
        <f t="shared" ca="1" si="1"/>
        <v>101.52572566408665</v>
      </c>
      <c r="X66" s="65">
        <v>0.5</v>
      </c>
      <c r="Y66" s="65">
        <v>1</v>
      </c>
      <c r="Z66" s="65">
        <f t="shared" ca="1" si="0"/>
        <v>0.20494000000000001</v>
      </c>
      <c r="AA66" s="65">
        <v>0</v>
      </c>
    </row>
    <row r="67" spans="2:27" x14ac:dyDescent="0.25">
      <c r="B67" s="17">
        <f ca="1"/>
        <v>57</v>
      </c>
      <c r="C67" s="17">
        <f ca="1"/>
        <v>14715</v>
      </c>
      <c r="D67" s="17">
        <f ca="1"/>
        <v>14714</v>
      </c>
      <c r="E67" s="17">
        <f ca="1"/>
        <v>14715</v>
      </c>
      <c r="F67" s="17">
        <f ca="1"/>
        <v>7349</v>
      </c>
      <c r="G67" s="17">
        <f ca="1"/>
        <v>22976.34</v>
      </c>
      <c r="H67" s="17" t="str">
        <f ca="1"/>
        <v>CCC</v>
      </c>
      <c r="I67" s="17" t="str">
        <f ca="1"/>
        <v>Ind06</v>
      </c>
      <c r="J67" s="17" t="str">
        <f ca="1"/>
        <v>USD</v>
      </c>
      <c r="K67" s="69" t="str">
        <f ca="1"/>
        <v>ShipFin</v>
      </c>
      <c r="L67" s="17">
        <f ca="1"/>
        <v>5.9870156504749321</v>
      </c>
      <c r="M67" s="17">
        <f ca="1"/>
        <v>5</v>
      </c>
      <c r="N67" s="17">
        <f ca="1"/>
        <v>0.20494000000000001</v>
      </c>
      <c r="O67" s="17">
        <f ca="1"/>
        <v>0.4</v>
      </c>
      <c r="P67" s="17">
        <f ca="1"/>
        <v>2.3521921915502002</v>
      </c>
      <c r="Q67" s="17">
        <f ca="1"/>
        <v>8.1976000000000007E-2</v>
      </c>
      <c r="R67" s="17">
        <f ca="1"/>
        <v>0.18817537532401599</v>
      </c>
      <c r="S67" s="17">
        <f ca="1"/>
        <v>0.27015137532401601</v>
      </c>
      <c r="T67" s="17">
        <f ca="1"/>
        <v>22976.34</v>
      </c>
      <c r="U67" s="17">
        <f ca="1"/>
        <v>2433745.5300000007</v>
      </c>
      <c r="V67" s="17" t="str">
        <f ca="1"/>
        <v>2024-08-31</v>
      </c>
      <c r="W67" s="65">
        <f t="shared" ca="1" si="1"/>
        <v>71.844187805699192</v>
      </c>
      <c r="X67" s="65">
        <v>0.5</v>
      </c>
      <c r="Y67" s="65">
        <v>1</v>
      </c>
      <c r="Z67" s="65">
        <f t="shared" ca="1" si="0"/>
        <v>0.20494000000000001</v>
      </c>
      <c r="AA67" s="65">
        <v>0</v>
      </c>
    </row>
    <row r="68" spans="2:27" x14ac:dyDescent="0.25">
      <c r="B68" s="17">
        <f ca="1"/>
        <v>58</v>
      </c>
      <c r="C68" s="17">
        <f ca="1"/>
        <v>14716</v>
      </c>
      <c r="D68" s="17">
        <f ca="1"/>
        <v>14715</v>
      </c>
      <c r="E68" s="17">
        <f ca="1"/>
        <v>14716</v>
      </c>
      <c r="F68" s="17">
        <f ca="1"/>
        <v>7350</v>
      </c>
      <c r="G68" s="17">
        <f ca="1"/>
        <v>119720</v>
      </c>
      <c r="H68" s="17" t="str">
        <f ca="1"/>
        <v>CCC</v>
      </c>
      <c r="I68" s="17" t="str">
        <f ca="1"/>
        <v>Ind06</v>
      </c>
      <c r="J68" s="17" t="str">
        <f ca="1"/>
        <v>USD</v>
      </c>
      <c r="K68" s="69" t="str">
        <f ca="1"/>
        <v>ShipFin</v>
      </c>
      <c r="L68" s="17">
        <f ca="1"/>
        <v>5.7519680242589679</v>
      </c>
      <c r="M68" s="17">
        <f ca="1"/>
        <v>5</v>
      </c>
      <c r="N68" s="17">
        <f ca="1"/>
        <v>0.20494000000000001</v>
      </c>
      <c r="O68" s="17">
        <f ca="1"/>
        <v>0.4</v>
      </c>
      <c r="P68" s="17">
        <f ca="1"/>
        <v>2.3521921915502002</v>
      </c>
      <c r="Q68" s="17">
        <f ca="1"/>
        <v>8.1976000000000007E-2</v>
      </c>
      <c r="R68" s="17">
        <f ca="1"/>
        <v>0.18817537532401599</v>
      </c>
      <c r="S68" s="17">
        <f ca="1"/>
        <v>0.27015137532401601</v>
      </c>
      <c r="T68" s="17">
        <f ca="1"/>
        <v>119720</v>
      </c>
      <c r="U68" s="17">
        <f ca="1"/>
        <v>2553465.5300000007</v>
      </c>
      <c r="V68" s="17" t="str">
        <f ca="1"/>
        <v>2024-08-31</v>
      </c>
      <c r="W68" s="65">
        <f t="shared" ca="1" si="1"/>
        <v>69.023616291107615</v>
      </c>
      <c r="X68" s="65">
        <v>0.5</v>
      </c>
      <c r="Y68" s="65">
        <v>1</v>
      </c>
      <c r="Z68" s="65">
        <f t="shared" ca="1" si="0"/>
        <v>0.20494000000000001</v>
      </c>
      <c r="AA68" s="65">
        <v>0</v>
      </c>
    </row>
    <row r="69" spans="2:27" x14ac:dyDescent="0.25">
      <c r="B69" s="17">
        <f ca="1"/>
        <v>59</v>
      </c>
      <c r="C69" s="17">
        <f ca="1"/>
        <v>14718</v>
      </c>
      <c r="D69" s="17">
        <f ca="1"/>
        <v>14717</v>
      </c>
      <c r="E69" s="17">
        <f ca="1"/>
        <v>14718</v>
      </c>
      <c r="F69" s="17">
        <f ca="1"/>
        <v>7351</v>
      </c>
      <c r="G69" s="17">
        <f ca="1"/>
        <v>8228.42</v>
      </c>
      <c r="H69" s="17" t="str">
        <f ca="1"/>
        <v>CCC</v>
      </c>
      <c r="I69" s="17" t="str">
        <f ca="1"/>
        <v>Ind06</v>
      </c>
      <c r="J69" s="17" t="str">
        <f ca="1"/>
        <v>USD</v>
      </c>
      <c r="K69" s="69" t="str">
        <f ca="1"/>
        <v>ShipFin</v>
      </c>
      <c r="L69" s="17">
        <f ca="1"/>
        <v>7.0223041503224524</v>
      </c>
      <c r="M69" s="17">
        <f ca="1"/>
        <v>5</v>
      </c>
      <c r="N69" s="17">
        <f ca="1"/>
        <v>0.20494000000000001</v>
      </c>
      <c r="O69" s="17">
        <f ca="1"/>
        <v>0.4</v>
      </c>
      <c r="P69" s="17">
        <f ca="1"/>
        <v>2.3521921915502002</v>
      </c>
      <c r="Q69" s="17">
        <f ca="1"/>
        <v>8.1976000000000007E-2</v>
      </c>
      <c r="R69" s="17">
        <f ca="1"/>
        <v>0.18817537532401599</v>
      </c>
      <c r="S69" s="17">
        <f ca="1"/>
        <v>0.27015137532401601</v>
      </c>
      <c r="T69" s="17">
        <f ca="1"/>
        <v>8228.42</v>
      </c>
      <c r="U69" s="17">
        <f ca="1"/>
        <v>2561693.9500000011</v>
      </c>
      <c r="V69" s="17" t="str">
        <f ca="1"/>
        <v>2026-07-31</v>
      </c>
      <c r="W69" s="65">
        <f t="shared" ca="1" si="1"/>
        <v>84.267649803869432</v>
      </c>
      <c r="X69" s="65">
        <v>0.5</v>
      </c>
      <c r="Y69" s="65">
        <v>1</v>
      </c>
      <c r="Z69" s="65">
        <f t="shared" ca="1" si="0"/>
        <v>0.20494000000000001</v>
      </c>
      <c r="AA69" s="65">
        <v>0</v>
      </c>
    </row>
    <row r="70" spans="2:27" x14ac:dyDescent="0.25">
      <c r="B70" s="17">
        <f ca="1"/>
        <v>60</v>
      </c>
      <c r="C70" s="17">
        <f ca="1"/>
        <v>14720</v>
      </c>
      <c r="D70" s="17">
        <f ca="1"/>
        <v>14719</v>
      </c>
      <c r="E70" s="17">
        <f ca="1"/>
        <v>14720</v>
      </c>
      <c r="F70" s="17">
        <f ca="1"/>
        <v>7352</v>
      </c>
      <c r="G70" s="17">
        <f ca="1"/>
        <v>32637.1</v>
      </c>
      <c r="H70" s="17" t="str">
        <f ca="1"/>
        <v>CCC</v>
      </c>
      <c r="I70" s="17" t="str">
        <f ca="1"/>
        <v>Ind06</v>
      </c>
      <c r="J70" s="17" t="str">
        <f ca="1"/>
        <v>USD</v>
      </c>
      <c r="K70" s="69" t="str">
        <f ca="1"/>
        <v>ShipFin</v>
      </c>
      <c r="L70" s="17">
        <f ca="1"/>
        <v>8.7276810264261435</v>
      </c>
      <c r="M70" s="17">
        <f ca="1"/>
        <v>5</v>
      </c>
      <c r="N70" s="17">
        <f ca="1"/>
        <v>0.20494000000000001</v>
      </c>
      <c r="O70" s="17">
        <f ca="1"/>
        <v>0.4</v>
      </c>
      <c r="P70" s="17">
        <f ca="1"/>
        <v>2.3521921915502002</v>
      </c>
      <c r="Q70" s="17">
        <f ca="1"/>
        <v>8.1976000000000007E-2</v>
      </c>
      <c r="R70" s="17">
        <f ca="1"/>
        <v>0.18817537532401599</v>
      </c>
      <c r="S70" s="17">
        <f ca="1"/>
        <v>0.27015137532401601</v>
      </c>
      <c r="T70" s="17">
        <f ca="1"/>
        <v>32637.1</v>
      </c>
      <c r="U70" s="17">
        <f ca="1"/>
        <v>2594331.0500000007</v>
      </c>
      <c r="V70" s="17" t="str">
        <f ca="1"/>
        <v>2027-08-31</v>
      </c>
      <c r="W70" s="65">
        <f t="shared" ca="1" si="1"/>
        <v>104.73217231711372</v>
      </c>
      <c r="X70" s="65">
        <v>0.5</v>
      </c>
      <c r="Y70" s="65">
        <v>1</v>
      </c>
      <c r="Z70" s="65">
        <f t="shared" ca="1" si="0"/>
        <v>0.20494000000000001</v>
      </c>
      <c r="AA70" s="65">
        <v>0</v>
      </c>
    </row>
    <row r="71" spans="2:27" x14ac:dyDescent="0.25">
      <c r="B71" s="17">
        <f ca="1"/>
        <v>61</v>
      </c>
      <c r="C71" s="17">
        <f ca="1"/>
        <v>14721</v>
      </c>
      <c r="D71" s="17">
        <f ca="1"/>
        <v>14720</v>
      </c>
      <c r="E71" s="17">
        <f ca="1"/>
        <v>14721</v>
      </c>
      <c r="F71" s="17">
        <f ca="1"/>
        <v>7353</v>
      </c>
      <c r="G71" s="17">
        <f ca="1"/>
        <v>28750.86</v>
      </c>
      <c r="H71" s="17" t="str">
        <f ca="1"/>
        <v>CCC</v>
      </c>
      <c r="I71" s="17" t="str">
        <f ca="1"/>
        <v>Ind06</v>
      </c>
      <c r="J71" s="17" t="str">
        <f ca="1"/>
        <v>USD</v>
      </c>
      <c r="K71" s="69" t="str">
        <f ca="1"/>
        <v>ShipFin</v>
      </c>
      <c r="L71" s="17">
        <f ca="1"/>
        <v>6.8999046637257564</v>
      </c>
      <c r="M71" s="17">
        <f ca="1"/>
        <v>5</v>
      </c>
      <c r="N71" s="17">
        <f ca="1"/>
        <v>0.20494000000000001</v>
      </c>
      <c r="O71" s="17">
        <f ca="1"/>
        <v>0.4</v>
      </c>
      <c r="P71" s="17">
        <f ca="1"/>
        <v>2.3521921915502002</v>
      </c>
      <c r="Q71" s="17">
        <f ca="1"/>
        <v>8.1976000000000007E-2</v>
      </c>
      <c r="R71" s="17">
        <f ca="1"/>
        <v>0.18817537532401599</v>
      </c>
      <c r="S71" s="17">
        <f ca="1"/>
        <v>0.27015137532401601</v>
      </c>
      <c r="T71" s="17">
        <f ca="1"/>
        <v>28750.86</v>
      </c>
      <c r="U71" s="17">
        <f ca="1"/>
        <v>2623081.9100000011</v>
      </c>
      <c r="V71" s="17" t="str">
        <f ca="1"/>
        <v>2025-08-31</v>
      </c>
      <c r="W71" s="65">
        <f t="shared" ca="1" si="1"/>
        <v>82.798855964709077</v>
      </c>
      <c r="X71" s="65">
        <v>0.5</v>
      </c>
      <c r="Y71" s="65">
        <v>1</v>
      </c>
      <c r="Z71" s="65">
        <f t="shared" ca="1" si="0"/>
        <v>0.20494000000000001</v>
      </c>
      <c r="AA71" s="65">
        <v>0</v>
      </c>
    </row>
    <row r="72" spans="2:27" x14ac:dyDescent="0.25">
      <c r="B72" s="17">
        <f ca="1"/>
        <v>62</v>
      </c>
      <c r="C72" s="17">
        <f ca="1"/>
        <v>14723</v>
      </c>
      <c r="D72" s="17">
        <f ca="1"/>
        <v>14722</v>
      </c>
      <c r="E72" s="17">
        <f ca="1"/>
        <v>14723</v>
      </c>
      <c r="F72" s="17">
        <f ca="1"/>
        <v>7354</v>
      </c>
      <c r="G72" s="17">
        <f ca="1"/>
        <v>25858.32</v>
      </c>
      <c r="H72" s="17" t="str">
        <f ca="1"/>
        <v>CCC</v>
      </c>
      <c r="I72" s="17" t="str">
        <f ca="1"/>
        <v>Ind06</v>
      </c>
      <c r="J72" s="17" t="str">
        <f ca="1"/>
        <v>USD</v>
      </c>
      <c r="K72" s="69" t="str">
        <f ca="1"/>
        <v>ShipFin</v>
      </c>
      <c r="L72" s="17">
        <f ca="1"/>
        <v>9.4189303259877484</v>
      </c>
      <c r="M72" s="17">
        <f ca="1"/>
        <v>5</v>
      </c>
      <c r="N72" s="17">
        <f ca="1"/>
        <v>0.20494000000000001</v>
      </c>
      <c r="O72" s="17">
        <f ca="1"/>
        <v>0.4</v>
      </c>
      <c r="P72" s="17">
        <f ca="1"/>
        <v>2.3521921915502002</v>
      </c>
      <c r="Q72" s="17">
        <f ca="1"/>
        <v>8.1976000000000007E-2</v>
      </c>
      <c r="R72" s="17">
        <f ca="1"/>
        <v>0.18817537532401599</v>
      </c>
      <c r="S72" s="17">
        <f ca="1"/>
        <v>0.27015137532401601</v>
      </c>
      <c r="T72" s="17">
        <f ca="1"/>
        <v>25858.32</v>
      </c>
      <c r="U72" s="17">
        <f ca="1"/>
        <v>2648940.2300000004</v>
      </c>
      <c r="V72" s="17" t="str">
        <f ca="1"/>
        <v>2028-08-31</v>
      </c>
      <c r="W72" s="65">
        <f t="shared" ca="1" si="1"/>
        <v>113.02716391185298</v>
      </c>
      <c r="X72" s="65">
        <v>0.5</v>
      </c>
      <c r="Y72" s="65">
        <v>1</v>
      </c>
      <c r="Z72" s="65">
        <f t="shared" ca="1" si="0"/>
        <v>0.20494000000000001</v>
      </c>
      <c r="AA72" s="65">
        <v>0</v>
      </c>
    </row>
    <row r="73" spans="2:27" x14ac:dyDescent="0.25">
      <c r="B73" s="17">
        <f ca="1"/>
        <v>63</v>
      </c>
      <c r="C73" s="17">
        <f ca="1"/>
        <v>14724</v>
      </c>
      <c r="D73" s="17">
        <f ca="1"/>
        <v>14723</v>
      </c>
      <c r="E73" s="17">
        <f ca="1"/>
        <v>14724</v>
      </c>
      <c r="F73" s="17">
        <f ca="1"/>
        <v>7354</v>
      </c>
      <c r="G73" s="17">
        <f ca="1"/>
        <v>53745.75</v>
      </c>
      <c r="H73" s="17" t="str">
        <f ca="1"/>
        <v>CCC</v>
      </c>
      <c r="I73" s="17" t="str">
        <f ca="1"/>
        <v>Ind06</v>
      </c>
      <c r="J73" s="17" t="str">
        <f ca="1"/>
        <v>USD</v>
      </c>
      <c r="K73" s="69" t="str">
        <f ca="1"/>
        <v>ShipFin</v>
      </c>
      <c r="L73" s="17">
        <f ca="1"/>
        <v>8.2533281291765164</v>
      </c>
      <c r="M73" s="17">
        <f ca="1"/>
        <v>5</v>
      </c>
      <c r="N73" s="17">
        <f ca="1"/>
        <v>0.20494000000000001</v>
      </c>
      <c r="O73" s="17">
        <f ca="1"/>
        <v>0.4</v>
      </c>
      <c r="P73" s="17">
        <f ca="1"/>
        <v>2.3521921915502002</v>
      </c>
      <c r="Q73" s="17">
        <f ca="1"/>
        <v>8.1976000000000007E-2</v>
      </c>
      <c r="R73" s="17">
        <f ca="1"/>
        <v>0.18817537532401599</v>
      </c>
      <c r="S73" s="17">
        <f ca="1"/>
        <v>0.27015137532401601</v>
      </c>
      <c r="T73" s="17">
        <f ca="1"/>
        <v>53745.75</v>
      </c>
      <c r="U73" s="17">
        <f ca="1"/>
        <v>2702685.9800000004</v>
      </c>
      <c r="V73" s="17" t="str">
        <f ca="1"/>
        <v>2027-07-31</v>
      </c>
      <c r="W73" s="65">
        <f t="shared" ca="1" si="1"/>
        <v>99.039937550118196</v>
      </c>
      <c r="X73" s="65">
        <v>0.5</v>
      </c>
      <c r="Y73" s="65">
        <v>1</v>
      </c>
      <c r="Z73" s="65">
        <f t="shared" ca="1" si="0"/>
        <v>0.20494000000000001</v>
      </c>
      <c r="AA73" s="65">
        <v>0</v>
      </c>
    </row>
    <row r="74" spans="2:27" x14ac:dyDescent="0.25">
      <c r="B74" s="17">
        <f ca="1"/>
        <v>64</v>
      </c>
      <c r="C74" s="17">
        <f ca="1"/>
        <v>14725</v>
      </c>
      <c r="D74" s="17">
        <f ca="1"/>
        <v>14724</v>
      </c>
      <c r="E74" s="17">
        <f ca="1"/>
        <v>14725</v>
      </c>
      <c r="F74" s="17">
        <f ca="1"/>
        <v>7354</v>
      </c>
      <c r="G74" s="17">
        <f ca="1"/>
        <v>25509.08</v>
      </c>
      <c r="H74" s="17" t="str">
        <f ca="1"/>
        <v>CCC</v>
      </c>
      <c r="I74" s="17" t="str">
        <f ca="1"/>
        <v>Ind06</v>
      </c>
      <c r="J74" s="17" t="str">
        <f ca="1"/>
        <v>USD</v>
      </c>
      <c r="K74" s="69" t="str">
        <f ca="1"/>
        <v>ShipFin</v>
      </c>
      <c r="L74" s="17">
        <f ca="1"/>
        <v>7.7982889959821478</v>
      </c>
      <c r="M74" s="17">
        <f ca="1"/>
        <v>5</v>
      </c>
      <c r="N74" s="17">
        <f ca="1"/>
        <v>0.20494000000000001</v>
      </c>
      <c r="O74" s="17">
        <f ca="1"/>
        <v>0.4</v>
      </c>
      <c r="P74" s="17">
        <f ca="1"/>
        <v>2.3521921915502002</v>
      </c>
      <c r="Q74" s="17">
        <f ca="1"/>
        <v>8.1976000000000007E-2</v>
      </c>
      <c r="R74" s="17">
        <f ca="1"/>
        <v>0.18817537532401599</v>
      </c>
      <c r="S74" s="17">
        <f ca="1"/>
        <v>0.27015137532401601</v>
      </c>
      <c r="T74" s="17">
        <f ca="1"/>
        <v>25509.08</v>
      </c>
      <c r="U74" s="17">
        <f ca="1"/>
        <v>2728195.0600000005</v>
      </c>
      <c r="V74" s="17" t="str">
        <f ca="1"/>
        <v>2026-08-31</v>
      </c>
      <c r="W74" s="65">
        <f t="shared" ca="1" si="1"/>
        <v>93.579467951785773</v>
      </c>
      <c r="X74" s="65">
        <v>0.5</v>
      </c>
      <c r="Y74" s="65">
        <v>1</v>
      </c>
      <c r="Z74" s="65">
        <f t="shared" ref="Z74:Z137" ca="1" si="2">N74</f>
        <v>0.20494000000000001</v>
      </c>
      <c r="AA74" s="65">
        <v>0</v>
      </c>
    </row>
    <row r="75" spans="2:27" x14ac:dyDescent="0.25">
      <c r="B75" s="17">
        <f ca="1"/>
        <v>65</v>
      </c>
      <c r="C75" s="17">
        <f ca="1"/>
        <v>14728</v>
      </c>
      <c r="D75" s="17">
        <f ca="1"/>
        <v>14727</v>
      </c>
      <c r="E75" s="17">
        <f ca="1"/>
        <v>14728</v>
      </c>
      <c r="F75" s="17">
        <f ca="1"/>
        <v>7357</v>
      </c>
      <c r="G75" s="17">
        <f ca="1"/>
        <v>36717.370000000003</v>
      </c>
      <c r="H75" s="17" t="str">
        <f ca="1"/>
        <v>CCC</v>
      </c>
      <c r="I75" s="17" t="str">
        <f ca="1"/>
        <v>Ind06</v>
      </c>
      <c r="J75" s="17" t="str">
        <f ca="1"/>
        <v>USD</v>
      </c>
      <c r="K75" s="69" t="str">
        <f ca="1"/>
        <v>ShipFin</v>
      </c>
      <c r="L75" s="17">
        <f ca="1"/>
        <v>7.7351427997532305</v>
      </c>
      <c r="M75" s="17">
        <f ca="1"/>
        <v>5</v>
      </c>
      <c r="N75" s="17">
        <f ca="1"/>
        <v>0.20494000000000001</v>
      </c>
      <c r="O75" s="17">
        <f ca="1"/>
        <v>0.4</v>
      </c>
      <c r="P75" s="17">
        <f ca="1"/>
        <v>2.3521921915502002</v>
      </c>
      <c r="Q75" s="17">
        <f ca="1"/>
        <v>8.1976000000000007E-2</v>
      </c>
      <c r="R75" s="17">
        <f ca="1"/>
        <v>0.18817537532401599</v>
      </c>
      <c r="S75" s="17">
        <f ca="1"/>
        <v>0.27015137532401601</v>
      </c>
      <c r="T75" s="17">
        <f ca="1"/>
        <v>36717.370000000003</v>
      </c>
      <c r="U75" s="17">
        <f ca="1"/>
        <v>2764912.4300000011</v>
      </c>
      <c r="V75" s="17" t="str">
        <f ca="1"/>
        <v>2026-08-31</v>
      </c>
      <c r="W75" s="65">
        <f t="shared" ref="W75:W138" ca="1" si="3">L75*12</f>
        <v>92.821713597038766</v>
      </c>
      <c r="X75" s="65">
        <v>0.5</v>
      </c>
      <c r="Y75" s="65">
        <v>1</v>
      </c>
      <c r="Z75" s="65">
        <f t="shared" ca="1" si="2"/>
        <v>0.20494000000000001</v>
      </c>
      <c r="AA75" s="65">
        <v>0</v>
      </c>
    </row>
    <row r="76" spans="2:27" x14ac:dyDescent="0.25">
      <c r="B76" s="17">
        <f ca="1"/>
        <v>66</v>
      </c>
      <c r="C76" s="17">
        <f ca="1"/>
        <v>14730</v>
      </c>
      <c r="D76" s="17">
        <f ca="1"/>
        <v>14729</v>
      </c>
      <c r="E76" s="17">
        <f ca="1"/>
        <v>14730</v>
      </c>
      <c r="F76" s="17">
        <f ca="1"/>
        <v>7358</v>
      </c>
      <c r="G76" s="17">
        <f ca="1"/>
        <v>3364.25</v>
      </c>
      <c r="H76" s="17" t="str">
        <f ca="1"/>
        <v>CCC</v>
      </c>
      <c r="I76" s="17" t="str">
        <f ca="1"/>
        <v>Ind06</v>
      </c>
      <c r="J76" s="17" t="str">
        <f ca="1"/>
        <v>USD</v>
      </c>
      <c r="K76" s="69" t="str">
        <f ca="1"/>
        <v>ShipFin</v>
      </c>
      <c r="L76" s="17">
        <f ca="1"/>
        <v>7.8254509521671567</v>
      </c>
      <c r="M76" s="17">
        <f ca="1"/>
        <v>5</v>
      </c>
      <c r="N76" s="17">
        <f ca="1"/>
        <v>0.20494000000000001</v>
      </c>
      <c r="O76" s="17">
        <f ca="1"/>
        <v>0.4</v>
      </c>
      <c r="P76" s="17">
        <f ca="1"/>
        <v>2.3521921915502002</v>
      </c>
      <c r="Q76" s="17">
        <f ca="1"/>
        <v>8.1976000000000007E-2</v>
      </c>
      <c r="R76" s="17">
        <f ca="1"/>
        <v>0.18817537532401599</v>
      </c>
      <c r="S76" s="17">
        <f ca="1"/>
        <v>0.27015137532401601</v>
      </c>
      <c r="T76" s="17">
        <f ca="1"/>
        <v>3364.25</v>
      </c>
      <c r="U76" s="17">
        <f ca="1"/>
        <v>2768276.6800000011</v>
      </c>
      <c r="V76" s="17" t="str">
        <f ca="1"/>
        <v>2026-08-31</v>
      </c>
      <c r="W76" s="65">
        <f t="shared" ca="1" si="3"/>
        <v>93.905411426005884</v>
      </c>
      <c r="X76" s="65">
        <v>0.5</v>
      </c>
      <c r="Y76" s="65">
        <v>1</v>
      </c>
      <c r="Z76" s="65">
        <f t="shared" ca="1" si="2"/>
        <v>0.20494000000000001</v>
      </c>
      <c r="AA76" s="65">
        <v>0</v>
      </c>
    </row>
    <row r="77" spans="2:27" x14ac:dyDescent="0.25">
      <c r="B77" s="17">
        <f ca="1"/>
        <v>67</v>
      </c>
      <c r="C77" s="17">
        <f ca="1"/>
        <v>14698</v>
      </c>
      <c r="D77" s="17">
        <f ca="1"/>
        <v>14697</v>
      </c>
      <c r="E77" s="17">
        <f ca="1"/>
        <v>14698</v>
      </c>
      <c r="F77" s="17">
        <f ca="1"/>
        <v>7340</v>
      </c>
      <c r="G77" s="17">
        <f ca="1"/>
        <v>5994.17</v>
      </c>
      <c r="H77" s="17" t="str">
        <f ca="1"/>
        <v>CCC</v>
      </c>
      <c r="I77" s="17" t="str">
        <f ca="1"/>
        <v>Ind06</v>
      </c>
      <c r="J77" s="17" t="str">
        <f ca="1"/>
        <v>USD</v>
      </c>
      <c r="K77" s="69" t="str">
        <f ca="1"/>
        <v>ShipFin</v>
      </c>
      <c r="L77" s="17">
        <f ca="1"/>
        <v>7.2584421253064644</v>
      </c>
      <c r="M77" s="17">
        <f ca="1"/>
        <v>5</v>
      </c>
      <c r="N77" s="17">
        <f ca="1"/>
        <v>0.20494000000000001</v>
      </c>
      <c r="O77" s="17">
        <f ca="1"/>
        <v>0.4</v>
      </c>
      <c r="P77" s="17">
        <f ca="1"/>
        <v>2.3521921915502002</v>
      </c>
      <c r="Q77" s="17">
        <f ca="1"/>
        <v>8.1976000000000007E-2</v>
      </c>
      <c r="R77" s="17">
        <f ca="1"/>
        <v>0.18817537532401599</v>
      </c>
      <c r="S77" s="17">
        <f ca="1"/>
        <v>0.27015137532401601</v>
      </c>
      <c r="T77" s="17">
        <f ca="1"/>
        <v>5994.17</v>
      </c>
      <c r="U77" s="17">
        <f ca="1"/>
        <v>2774270.850000001</v>
      </c>
      <c r="V77" s="17" t="str">
        <f ca="1"/>
        <v>2026-07-31</v>
      </c>
      <c r="W77" s="65">
        <f t="shared" ca="1" si="3"/>
        <v>87.101305503677565</v>
      </c>
      <c r="X77" s="65">
        <v>0.5</v>
      </c>
      <c r="Y77" s="65">
        <v>1</v>
      </c>
      <c r="Z77" s="65">
        <f t="shared" ca="1" si="2"/>
        <v>0.20494000000000001</v>
      </c>
      <c r="AA77" s="65">
        <v>0</v>
      </c>
    </row>
    <row r="78" spans="2:27" x14ac:dyDescent="0.25">
      <c r="B78" s="17">
        <f ca="1"/>
        <v>68</v>
      </c>
      <c r="C78" s="17">
        <f ca="1"/>
        <v>14696</v>
      </c>
      <c r="D78" s="17">
        <f ca="1"/>
        <v>14695</v>
      </c>
      <c r="E78" s="17">
        <f ca="1"/>
        <v>14696</v>
      </c>
      <c r="F78" s="17">
        <f ca="1"/>
        <v>7338</v>
      </c>
      <c r="G78" s="17">
        <f ca="1"/>
        <v>61344.5</v>
      </c>
      <c r="H78" s="17" t="str">
        <f ca="1"/>
        <v>CCC</v>
      </c>
      <c r="I78" s="17" t="str">
        <f ca="1"/>
        <v>Ind06</v>
      </c>
      <c r="J78" s="17" t="str">
        <f ca="1"/>
        <v>USD</v>
      </c>
      <c r="K78" s="69" t="str">
        <f ca="1"/>
        <v>ShipFin</v>
      </c>
      <c r="L78" s="17">
        <f ca="1"/>
        <v>8.2435028207465084</v>
      </c>
      <c r="M78" s="17">
        <f ca="1"/>
        <v>5</v>
      </c>
      <c r="N78" s="17">
        <f ca="1"/>
        <v>0.20494000000000001</v>
      </c>
      <c r="O78" s="17">
        <f ca="1"/>
        <v>0.4</v>
      </c>
      <c r="P78" s="17">
        <f ca="1"/>
        <v>2.3521921915502002</v>
      </c>
      <c r="Q78" s="17">
        <f ca="1"/>
        <v>8.1976000000000007E-2</v>
      </c>
      <c r="R78" s="17">
        <f ca="1"/>
        <v>0.18817537532401599</v>
      </c>
      <c r="S78" s="17">
        <f ca="1"/>
        <v>0.27015137532401601</v>
      </c>
      <c r="T78" s="17">
        <f ca="1"/>
        <v>61344.5</v>
      </c>
      <c r="U78" s="17">
        <f ca="1"/>
        <v>2835615.3500000006</v>
      </c>
      <c r="V78" s="17" t="str">
        <f ca="1"/>
        <v>2027-07-31</v>
      </c>
      <c r="W78" s="65">
        <f t="shared" ca="1" si="3"/>
        <v>98.922033848958108</v>
      </c>
      <c r="X78" s="65">
        <v>0.5</v>
      </c>
      <c r="Y78" s="65">
        <v>1</v>
      </c>
      <c r="Z78" s="65">
        <f t="shared" ca="1" si="2"/>
        <v>0.20494000000000001</v>
      </c>
      <c r="AA78" s="65">
        <v>0</v>
      </c>
    </row>
    <row r="79" spans="2:27" x14ac:dyDescent="0.25">
      <c r="B79" s="17">
        <f ca="1"/>
        <v>69</v>
      </c>
      <c r="C79" s="17">
        <f ca="1"/>
        <v>14695</v>
      </c>
      <c r="D79" s="17">
        <f ca="1"/>
        <v>14694</v>
      </c>
      <c r="E79" s="17">
        <f ca="1"/>
        <v>14695</v>
      </c>
      <c r="F79" s="17">
        <f ca="1"/>
        <v>7338</v>
      </c>
      <c r="G79" s="17">
        <f ca="1"/>
        <v>28539.16</v>
      </c>
      <c r="H79" s="17" t="str">
        <f ca="1"/>
        <v>CCC</v>
      </c>
      <c r="I79" s="17" t="str">
        <f ca="1"/>
        <v>Ind06</v>
      </c>
      <c r="J79" s="17" t="str">
        <f ca="1"/>
        <v>USD</v>
      </c>
      <c r="K79" s="69" t="str">
        <f ca="1"/>
        <v>ShipFin</v>
      </c>
      <c r="L79" s="17">
        <f ca="1"/>
        <v>8.4270627602189787</v>
      </c>
      <c r="M79" s="17">
        <f ca="1"/>
        <v>5</v>
      </c>
      <c r="N79" s="17">
        <f ca="1"/>
        <v>0.20494000000000001</v>
      </c>
      <c r="O79" s="17">
        <f ca="1"/>
        <v>0.4</v>
      </c>
      <c r="P79" s="17">
        <f ca="1"/>
        <v>2.3521921915502002</v>
      </c>
      <c r="Q79" s="17">
        <f ca="1"/>
        <v>8.1976000000000007E-2</v>
      </c>
      <c r="R79" s="17">
        <f ca="1"/>
        <v>0.18817537532401599</v>
      </c>
      <c r="S79" s="17">
        <f ca="1"/>
        <v>0.27015137532401601</v>
      </c>
      <c r="T79" s="17">
        <f ca="1"/>
        <v>28539.16</v>
      </c>
      <c r="U79" s="17">
        <f ca="1"/>
        <v>2864154.5100000007</v>
      </c>
      <c r="V79" s="17" t="str">
        <f ca="1"/>
        <v>2027-08-31</v>
      </c>
      <c r="W79" s="65">
        <f t="shared" ca="1" si="3"/>
        <v>101.12475312262774</v>
      </c>
      <c r="X79" s="65">
        <v>0.5</v>
      </c>
      <c r="Y79" s="65">
        <v>1</v>
      </c>
      <c r="Z79" s="65">
        <f t="shared" ca="1" si="2"/>
        <v>0.20494000000000001</v>
      </c>
      <c r="AA79" s="65">
        <v>0</v>
      </c>
    </row>
    <row r="80" spans="2:27" x14ac:dyDescent="0.25">
      <c r="B80" s="17">
        <f ca="1"/>
        <v>70</v>
      </c>
      <c r="C80" s="17">
        <f ca="1"/>
        <v>14675</v>
      </c>
      <c r="D80" s="17">
        <f ca="1"/>
        <v>14674</v>
      </c>
      <c r="E80" s="17">
        <f ca="1"/>
        <v>14675</v>
      </c>
      <c r="F80" s="17">
        <f ca="1"/>
        <v>7327</v>
      </c>
      <c r="G80" s="17">
        <f ca="1"/>
        <v>104987.84</v>
      </c>
      <c r="H80" s="17" t="str">
        <f ca="1"/>
        <v>CCC</v>
      </c>
      <c r="I80" s="17" t="str">
        <f ca="1"/>
        <v>Ind06</v>
      </c>
      <c r="J80" s="17" t="str">
        <f ca="1"/>
        <v>USD</v>
      </c>
      <c r="K80" s="69" t="str">
        <f ca="1"/>
        <v>ShipFin</v>
      </c>
      <c r="L80" s="17">
        <f ca="1"/>
        <v>9.2398576077003973</v>
      </c>
      <c r="M80" s="17">
        <f ca="1"/>
        <v>5</v>
      </c>
      <c r="N80" s="17">
        <f ca="1"/>
        <v>0.20494000000000001</v>
      </c>
      <c r="O80" s="17">
        <f ca="1"/>
        <v>0.4</v>
      </c>
      <c r="P80" s="17">
        <f ca="1"/>
        <v>2.3521921915502002</v>
      </c>
      <c r="Q80" s="17">
        <f ca="1"/>
        <v>8.1976000000000007E-2</v>
      </c>
      <c r="R80" s="17">
        <f ca="1"/>
        <v>0.18817537532401599</v>
      </c>
      <c r="S80" s="17">
        <f ca="1"/>
        <v>0.27015137532401601</v>
      </c>
      <c r="T80" s="17">
        <f ca="1"/>
        <v>104987.84</v>
      </c>
      <c r="U80" s="17">
        <f ca="1"/>
        <v>2969142.3500000006</v>
      </c>
      <c r="V80" s="17" t="str">
        <f ca="1"/>
        <v>2028-07-31</v>
      </c>
      <c r="W80" s="65">
        <f t="shared" ca="1" si="3"/>
        <v>110.87829129240477</v>
      </c>
      <c r="X80" s="65">
        <v>0.5</v>
      </c>
      <c r="Y80" s="65">
        <v>1</v>
      </c>
      <c r="Z80" s="65">
        <f t="shared" ca="1" si="2"/>
        <v>0.20494000000000001</v>
      </c>
      <c r="AA80" s="65">
        <v>0</v>
      </c>
    </row>
    <row r="81" spans="2:27" x14ac:dyDescent="0.25">
      <c r="B81" s="17">
        <f ca="1"/>
        <v>71</v>
      </c>
      <c r="C81" s="17">
        <f ca="1"/>
        <v>14654</v>
      </c>
      <c r="D81" s="17">
        <f ca="1"/>
        <v>14653</v>
      </c>
      <c r="E81" s="17">
        <f ca="1"/>
        <v>14654</v>
      </c>
      <c r="F81" s="17">
        <f ca="1"/>
        <v>7316</v>
      </c>
      <c r="G81" s="17">
        <f ca="1"/>
        <v>33364.480000000003</v>
      </c>
      <c r="H81" s="17" t="str">
        <f ca="1"/>
        <v>CCC</v>
      </c>
      <c r="I81" s="17" t="str">
        <f ca="1"/>
        <v>Ind06</v>
      </c>
      <c r="J81" s="17" t="str">
        <f ca="1"/>
        <v>USD</v>
      </c>
      <c r="K81" s="69" t="str">
        <f ca="1"/>
        <v>ShipFin</v>
      </c>
      <c r="L81" s="17">
        <f ca="1"/>
        <v>6.4682932404754672</v>
      </c>
      <c r="M81" s="17">
        <f ca="1"/>
        <v>5</v>
      </c>
      <c r="N81" s="17">
        <f ca="1"/>
        <v>0.20494000000000001</v>
      </c>
      <c r="O81" s="17">
        <f ca="1"/>
        <v>0.4</v>
      </c>
      <c r="P81" s="17">
        <f ca="1"/>
        <v>2.3521921915502002</v>
      </c>
      <c r="Q81" s="17">
        <f ca="1"/>
        <v>8.1976000000000007E-2</v>
      </c>
      <c r="R81" s="17">
        <f ca="1"/>
        <v>0.18817537532401599</v>
      </c>
      <c r="S81" s="17">
        <f ca="1"/>
        <v>0.27015137532401601</v>
      </c>
      <c r="T81" s="17">
        <f ca="1"/>
        <v>33364.480000000003</v>
      </c>
      <c r="U81" s="17">
        <f ca="1"/>
        <v>3002506.8300000005</v>
      </c>
      <c r="V81" s="17" t="str">
        <f ca="1"/>
        <v>2025-08-31</v>
      </c>
      <c r="W81" s="65">
        <f t="shared" ca="1" si="3"/>
        <v>77.619518885705602</v>
      </c>
      <c r="X81" s="65">
        <v>0.5</v>
      </c>
      <c r="Y81" s="65">
        <v>1</v>
      </c>
      <c r="Z81" s="65">
        <f t="shared" ca="1" si="2"/>
        <v>0.20494000000000001</v>
      </c>
      <c r="AA81" s="65">
        <v>0</v>
      </c>
    </row>
    <row r="82" spans="2:27" x14ac:dyDescent="0.25">
      <c r="B82" s="17">
        <f ca="1"/>
        <v>72</v>
      </c>
      <c r="C82" s="17">
        <f ca="1"/>
        <v>14658</v>
      </c>
      <c r="D82" s="17">
        <f ca="1"/>
        <v>14657</v>
      </c>
      <c r="E82" s="17">
        <f ca="1"/>
        <v>14658</v>
      </c>
      <c r="F82" s="17">
        <f ca="1"/>
        <v>7318</v>
      </c>
      <c r="G82" s="17">
        <f ca="1"/>
        <v>78871.520000000004</v>
      </c>
      <c r="H82" s="17" t="str">
        <f ca="1"/>
        <v>CCC</v>
      </c>
      <c r="I82" s="17" t="str">
        <f ca="1"/>
        <v>Ind06</v>
      </c>
      <c r="J82" s="17" t="str">
        <f ca="1"/>
        <v>USD</v>
      </c>
      <c r="K82" s="69" t="str">
        <f ca="1"/>
        <v>ShipFin</v>
      </c>
      <c r="L82" s="17">
        <f ca="1"/>
        <v>8.0935682561830635</v>
      </c>
      <c r="M82" s="17">
        <f ca="1"/>
        <v>5</v>
      </c>
      <c r="N82" s="17">
        <f ca="1"/>
        <v>0.20494000000000001</v>
      </c>
      <c r="O82" s="17">
        <f ca="1"/>
        <v>0.4</v>
      </c>
      <c r="P82" s="17">
        <f ca="1"/>
        <v>2.3521921915502002</v>
      </c>
      <c r="Q82" s="17">
        <f ca="1"/>
        <v>8.1976000000000007E-2</v>
      </c>
      <c r="R82" s="17">
        <f ca="1"/>
        <v>0.18817537532401599</v>
      </c>
      <c r="S82" s="17">
        <f ca="1"/>
        <v>0.27015137532401601</v>
      </c>
      <c r="T82" s="17">
        <f ca="1"/>
        <v>78871.520000000004</v>
      </c>
      <c r="U82" s="17">
        <f ca="1"/>
        <v>3081378.3500000006</v>
      </c>
      <c r="V82" s="17" t="str">
        <f ca="1"/>
        <v>2027-07-31</v>
      </c>
      <c r="W82" s="65">
        <f t="shared" ca="1" si="3"/>
        <v>97.122819074196769</v>
      </c>
      <c r="X82" s="65">
        <v>0.5</v>
      </c>
      <c r="Y82" s="65">
        <v>1</v>
      </c>
      <c r="Z82" s="65">
        <f t="shared" ca="1" si="2"/>
        <v>0.20494000000000001</v>
      </c>
      <c r="AA82" s="65">
        <v>0</v>
      </c>
    </row>
    <row r="83" spans="2:27" x14ac:dyDescent="0.25">
      <c r="B83" s="17">
        <f ca="1"/>
        <v>73</v>
      </c>
      <c r="C83" s="17">
        <f ca="1"/>
        <v>14663</v>
      </c>
      <c r="D83" s="17">
        <f ca="1"/>
        <v>14662</v>
      </c>
      <c r="E83" s="17">
        <f ca="1"/>
        <v>14663</v>
      </c>
      <c r="F83" s="17">
        <f ca="1"/>
        <v>7321</v>
      </c>
      <c r="G83" s="17">
        <f ca="1"/>
        <v>23983.55</v>
      </c>
      <c r="H83" s="17" t="str">
        <f ca="1"/>
        <v>CCC</v>
      </c>
      <c r="I83" s="17" t="str">
        <f ca="1"/>
        <v>Ind06</v>
      </c>
      <c r="J83" s="17" t="str">
        <f ca="1"/>
        <v>USD</v>
      </c>
      <c r="K83" s="69" t="str">
        <f ca="1"/>
        <v>ShipFin</v>
      </c>
      <c r="L83" s="17">
        <f ca="1"/>
        <v>9.7783573858160526</v>
      </c>
      <c r="M83" s="17">
        <f ca="1"/>
        <v>5</v>
      </c>
      <c r="N83" s="17">
        <f ca="1"/>
        <v>0.20494000000000001</v>
      </c>
      <c r="O83" s="17">
        <f ca="1"/>
        <v>0.4</v>
      </c>
      <c r="P83" s="17">
        <f ca="1"/>
        <v>2.3521921915502002</v>
      </c>
      <c r="Q83" s="17">
        <f ca="1"/>
        <v>8.1976000000000007E-2</v>
      </c>
      <c r="R83" s="17">
        <f ca="1"/>
        <v>0.18817537532401599</v>
      </c>
      <c r="S83" s="17">
        <f ca="1"/>
        <v>0.27015137532401601</v>
      </c>
      <c r="T83" s="17">
        <f ca="1"/>
        <v>23983.55</v>
      </c>
      <c r="U83" s="17">
        <f ca="1"/>
        <v>3105361.9000000008</v>
      </c>
      <c r="V83" s="17" t="str">
        <f ca="1"/>
        <v>2028-08-31</v>
      </c>
      <c r="W83" s="65">
        <f t="shared" ca="1" si="3"/>
        <v>117.34028862979264</v>
      </c>
      <c r="X83" s="65">
        <v>0.5</v>
      </c>
      <c r="Y83" s="65">
        <v>1</v>
      </c>
      <c r="Z83" s="65">
        <f t="shared" ca="1" si="2"/>
        <v>0.20494000000000001</v>
      </c>
      <c r="AA83" s="65">
        <v>0</v>
      </c>
    </row>
    <row r="84" spans="2:27" x14ac:dyDescent="0.25">
      <c r="B84" s="17">
        <f ca="1"/>
        <v>74</v>
      </c>
      <c r="C84" s="17">
        <f ca="1"/>
        <v>14665</v>
      </c>
      <c r="D84" s="17">
        <f ca="1"/>
        <v>14664</v>
      </c>
      <c r="E84" s="17">
        <f ca="1"/>
        <v>14665</v>
      </c>
      <c r="F84" s="17">
        <f ca="1"/>
        <v>7322</v>
      </c>
      <c r="G84" s="17">
        <f ca="1"/>
        <v>39569.24</v>
      </c>
      <c r="H84" s="17" t="str">
        <f ca="1"/>
        <v>CCC</v>
      </c>
      <c r="I84" s="17" t="str">
        <f ca="1"/>
        <v>Ind06</v>
      </c>
      <c r="J84" s="17" t="str">
        <f ca="1"/>
        <v>USD</v>
      </c>
      <c r="K84" s="69" t="str">
        <f ca="1"/>
        <v>ShipFin</v>
      </c>
      <c r="L84" s="17">
        <f ca="1"/>
        <v>7.6822645990899776</v>
      </c>
      <c r="M84" s="17">
        <f ca="1"/>
        <v>5</v>
      </c>
      <c r="N84" s="17">
        <f ca="1"/>
        <v>0.20494000000000001</v>
      </c>
      <c r="O84" s="17">
        <f ca="1"/>
        <v>0.4</v>
      </c>
      <c r="P84" s="17">
        <f ca="1"/>
        <v>2.3521921915502002</v>
      </c>
      <c r="Q84" s="17">
        <f ca="1"/>
        <v>8.1976000000000007E-2</v>
      </c>
      <c r="R84" s="17">
        <f ca="1"/>
        <v>0.18817537532401599</v>
      </c>
      <c r="S84" s="17">
        <f ca="1"/>
        <v>0.27015137532401601</v>
      </c>
      <c r="T84" s="17">
        <f ca="1"/>
        <v>39569.24</v>
      </c>
      <c r="U84" s="17">
        <f ca="1"/>
        <v>3144931.1400000006</v>
      </c>
      <c r="V84" s="17" t="str">
        <f ca="1"/>
        <v>2026-08-31</v>
      </c>
      <c r="W84" s="65">
        <f t="shared" ca="1" si="3"/>
        <v>92.187175189079738</v>
      </c>
      <c r="X84" s="65">
        <v>0.5</v>
      </c>
      <c r="Y84" s="65">
        <v>1</v>
      </c>
      <c r="Z84" s="65">
        <f t="shared" ca="1" si="2"/>
        <v>0.20494000000000001</v>
      </c>
      <c r="AA84" s="65">
        <v>0</v>
      </c>
    </row>
    <row r="85" spans="2:27" x14ac:dyDescent="0.25">
      <c r="B85" s="17">
        <f ca="1"/>
        <v>75</v>
      </c>
      <c r="C85" s="17">
        <f ca="1"/>
        <v>14666</v>
      </c>
      <c r="D85" s="17">
        <f ca="1"/>
        <v>14665</v>
      </c>
      <c r="E85" s="17">
        <f ca="1"/>
        <v>14666</v>
      </c>
      <c r="F85" s="17">
        <f ca="1"/>
        <v>7323</v>
      </c>
      <c r="G85" s="17">
        <f ca="1"/>
        <v>69090.17</v>
      </c>
      <c r="H85" s="17" t="str">
        <f ca="1"/>
        <v>CCC</v>
      </c>
      <c r="I85" s="17" t="str">
        <f ca="1"/>
        <v>Ind06</v>
      </c>
      <c r="J85" s="17" t="str">
        <f ca="1"/>
        <v>USD</v>
      </c>
      <c r="K85" s="69" t="str">
        <f ca="1"/>
        <v>ShipFin</v>
      </c>
      <c r="L85" s="17">
        <f ca="1"/>
        <v>5.2494209529017093</v>
      </c>
      <c r="M85" s="17">
        <f ca="1"/>
        <v>5</v>
      </c>
      <c r="N85" s="17">
        <f ca="1"/>
        <v>0.20494000000000001</v>
      </c>
      <c r="O85" s="17">
        <f ca="1"/>
        <v>0.4</v>
      </c>
      <c r="P85" s="17">
        <f ca="1"/>
        <v>2.3521921915502002</v>
      </c>
      <c r="Q85" s="17">
        <f ca="1"/>
        <v>8.1976000000000007E-2</v>
      </c>
      <c r="R85" s="17">
        <f ca="1"/>
        <v>0.18817537532401599</v>
      </c>
      <c r="S85" s="17">
        <f ca="1"/>
        <v>0.27015137532401601</v>
      </c>
      <c r="T85" s="17">
        <f ca="1"/>
        <v>69090.17</v>
      </c>
      <c r="U85" s="17">
        <f ca="1"/>
        <v>3214021.3100000005</v>
      </c>
      <c r="V85" s="17" t="str">
        <f ca="1"/>
        <v>2024-07-31</v>
      </c>
      <c r="W85" s="65">
        <f t="shared" ca="1" si="3"/>
        <v>62.993051434820515</v>
      </c>
      <c r="X85" s="65">
        <v>0.5</v>
      </c>
      <c r="Y85" s="65">
        <v>1</v>
      </c>
      <c r="Z85" s="65">
        <f t="shared" ca="1" si="2"/>
        <v>0.20494000000000001</v>
      </c>
      <c r="AA85" s="65">
        <v>0</v>
      </c>
    </row>
    <row r="86" spans="2:27" x14ac:dyDescent="0.25">
      <c r="B86" s="17">
        <f ca="1"/>
        <v>76</v>
      </c>
      <c r="C86" s="17">
        <f ca="1"/>
        <v>14670</v>
      </c>
      <c r="D86" s="17">
        <f ca="1"/>
        <v>14669</v>
      </c>
      <c r="E86" s="17">
        <f ca="1"/>
        <v>14670</v>
      </c>
      <c r="F86" s="17">
        <f ca="1"/>
        <v>7324</v>
      </c>
      <c r="G86" s="17">
        <f ca="1"/>
        <v>5995.93</v>
      </c>
      <c r="H86" s="17" t="str">
        <f ca="1"/>
        <v>CCC</v>
      </c>
      <c r="I86" s="17" t="str">
        <f ca="1"/>
        <v>Ind06</v>
      </c>
      <c r="J86" s="17" t="str">
        <f ca="1"/>
        <v>USD</v>
      </c>
      <c r="K86" s="69" t="str">
        <f ca="1"/>
        <v>ShipFin</v>
      </c>
      <c r="L86" s="17">
        <f ca="1"/>
        <v>7.8331711340905166</v>
      </c>
      <c r="M86" s="17">
        <f ca="1"/>
        <v>5</v>
      </c>
      <c r="N86" s="17">
        <f ca="1"/>
        <v>0.20494000000000001</v>
      </c>
      <c r="O86" s="17">
        <f ca="1"/>
        <v>0.4</v>
      </c>
      <c r="P86" s="17">
        <f ca="1"/>
        <v>2.3521921915502002</v>
      </c>
      <c r="Q86" s="17">
        <f ca="1"/>
        <v>8.1976000000000007E-2</v>
      </c>
      <c r="R86" s="17">
        <f ca="1"/>
        <v>0.18817537532401599</v>
      </c>
      <c r="S86" s="17">
        <f ca="1"/>
        <v>0.27015137532401601</v>
      </c>
      <c r="T86" s="17">
        <f ca="1"/>
        <v>5995.93</v>
      </c>
      <c r="U86" s="17">
        <f ca="1"/>
        <v>3220017.2400000007</v>
      </c>
      <c r="V86" s="17" t="str">
        <f ca="1"/>
        <v>2026-08-31</v>
      </c>
      <c r="W86" s="65">
        <f t="shared" ca="1" si="3"/>
        <v>93.998053609086199</v>
      </c>
      <c r="X86" s="65">
        <v>0.5</v>
      </c>
      <c r="Y86" s="65">
        <v>1</v>
      </c>
      <c r="Z86" s="65">
        <f t="shared" ca="1" si="2"/>
        <v>0.20494000000000001</v>
      </c>
      <c r="AA86" s="65">
        <v>0</v>
      </c>
    </row>
    <row r="87" spans="2:27" x14ac:dyDescent="0.25">
      <c r="B87" s="17">
        <f ca="1"/>
        <v>77</v>
      </c>
      <c r="C87" s="17">
        <f ca="1"/>
        <v>14671</v>
      </c>
      <c r="D87" s="17">
        <f ca="1"/>
        <v>14670</v>
      </c>
      <c r="E87" s="17">
        <f ca="1"/>
        <v>14671</v>
      </c>
      <c r="F87" s="17">
        <f ca="1"/>
        <v>7325</v>
      </c>
      <c r="G87" s="17">
        <f ca="1"/>
        <v>75020.72</v>
      </c>
      <c r="H87" s="17" t="str">
        <f ca="1"/>
        <v>CCC</v>
      </c>
      <c r="I87" s="17" t="str">
        <f ca="1"/>
        <v>Ind06</v>
      </c>
      <c r="J87" s="17" t="str">
        <f ca="1"/>
        <v>USD</v>
      </c>
      <c r="K87" s="69" t="str">
        <f ca="1"/>
        <v>ShipFin</v>
      </c>
      <c r="L87" s="17">
        <f ca="1"/>
        <v>8.3678586084651787</v>
      </c>
      <c r="M87" s="17">
        <f ca="1"/>
        <v>5</v>
      </c>
      <c r="N87" s="17">
        <f ca="1"/>
        <v>0.20494000000000001</v>
      </c>
      <c r="O87" s="17">
        <f ca="1"/>
        <v>0.4</v>
      </c>
      <c r="P87" s="17">
        <f ca="1"/>
        <v>2.3521921915502002</v>
      </c>
      <c r="Q87" s="17">
        <f ca="1"/>
        <v>8.1976000000000007E-2</v>
      </c>
      <c r="R87" s="17">
        <f ca="1"/>
        <v>0.18817537532401599</v>
      </c>
      <c r="S87" s="17">
        <f ca="1"/>
        <v>0.27015137532401601</v>
      </c>
      <c r="T87" s="17">
        <f ca="1"/>
        <v>75020.72</v>
      </c>
      <c r="U87" s="17">
        <f ca="1"/>
        <v>3295037.9600000014</v>
      </c>
      <c r="V87" s="17" t="str">
        <f ca="1"/>
        <v>2027-07-31</v>
      </c>
      <c r="W87" s="65">
        <f t="shared" ca="1" si="3"/>
        <v>100.41430330158215</v>
      </c>
      <c r="X87" s="65">
        <v>0.5</v>
      </c>
      <c r="Y87" s="65">
        <v>1</v>
      </c>
      <c r="Z87" s="65">
        <f t="shared" ca="1" si="2"/>
        <v>0.20494000000000001</v>
      </c>
      <c r="AA87" s="65">
        <v>0</v>
      </c>
    </row>
    <row r="88" spans="2:27" x14ac:dyDescent="0.25">
      <c r="B88" s="17">
        <f ca="1"/>
        <v>78</v>
      </c>
      <c r="C88" s="17">
        <f ca="1"/>
        <v>14674</v>
      </c>
      <c r="D88" s="17">
        <f ca="1"/>
        <v>14673</v>
      </c>
      <c r="E88" s="17">
        <f ca="1"/>
        <v>14674</v>
      </c>
      <c r="F88" s="17">
        <f ca="1"/>
        <v>7326</v>
      </c>
      <c r="G88" s="17">
        <f ca="1"/>
        <v>6831.82</v>
      </c>
      <c r="H88" s="17" t="str">
        <f ca="1"/>
        <v>CCC</v>
      </c>
      <c r="I88" s="17" t="str">
        <f ca="1"/>
        <v>Ind06</v>
      </c>
      <c r="J88" s="17" t="str">
        <f ca="1"/>
        <v>USD</v>
      </c>
      <c r="K88" s="69" t="str">
        <f ca="1"/>
        <v>ShipFin</v>
      </c>
      <c r="L88" s="17">
        <f ca="1"/>
        <v>8.9292004966409895</v>
      </c>
      <c r="M88" s="17">
        <f ca="1"/>
        <v>5</v>
      </c>
      <c r="N88" s="17">
        <f ca="1"/>
        <v>0.20494000000000001</v>
      </c>
      <c r="O88" s="17">
        <f ca="1"/>
        <v>0.4</v>
      </c>
      <c r="P88" s="17">
        <f ca="1"/>
        <v>2.3521921915502002</v>
      </c>
      <c r="Q88" s="17">
        <f ca="1"/>
        <v>8.1976000000000007E-2</v>
      </c>
      <c r="R88" s="17">
        <f ca="1"/>
        <v>0.18817537532401599</v>
      </c>
      <c r="S88" s="17">
        <f ca="1"/>
        <v>0.27015137532401601</v>
      </c>
      <c r="T88" s="17">
        <f ca="1"/>
        <v>6831.82</v>
      </c>
      <c r="U88" s="17">
        <f ca="1"/>
        <v>3301869.7800000007</v>
      </c>
      <c r="V88" s="17" t="str">
        <f ca="1"/>
        <v>2027-08-31</v>
      </c>
      <c r="W88" s="65">
        <f t="shared" ca="1" si="3"/>
        <v>107.15040595969188</v>
      </c>
      <c r="X88" s="65">
        <v>0.5</v>
      </c>
      <c r="Y88" s="65">
        <v>1</v>
      </c>
      <c r="Z88" s="65">
        <f t="shared" ca="1" si="2"/>
        <v>0.20494000000000001</v>
      </c>
      <c r="AA88" s="65">
        <v>0</v>
      </c>
    </row>
    <row r="89" spans="2:27" x14ac:dyDescent="0.25">
      <c r="B89" s="17">
        <f ca="1"/>
        <v>79</v>
      </c>
      <c r="C89" s="17">
        <f ca="1"/>
        <v>14679</v>
      </c>
      <c r="D89" s="17">
        <f ca="1"/>
        <v>14678</v>
      </c>
      <c r="E89" s="17">
        <f ca="1"/>
        <v>14679</v>
      </c>
      <c r="F89" s="17">
        <f ca="1"/>
        <v>7329</v>
      </c>
      <c r="G89" s="17">
        <f ca="1"/>
        <v>57143.38</v>
      </c>
      <c r="H89" s="17" t="str">
        <f ca="1"/>
        <v>CCC</v>
      </c>
      <c r="I89" s="17" t="str">
        <f ca="1"/>
        <v>Ind06</v>
      </c>
      <c r="J89" s="17" t="str">
        <f ca="1"/>
        <v>USD</v>
      </c>
      <c r="K89" s="69" t="str">
        <f ca="1"/>
        <v>ShipFin</v>
      </c>
      <c r="L89" s="17">
        <f ca="1"/>
        <v>6.1260673518059781</v>
      </c>
      <c r="M89" s="17">
        <f ca="1"/>
        <v>5</v>
      </c>
      <c r="N89" s="17">
        <f ca="1"/>
        <v>0.20494000000000001</v>
      </c>
      <c r="O89" s="17">
        <f ca="1"/>
        <v>0.4</v>
      </c>
      <c r="P89" s="17">
        <f ca="1"/>
        <v>2.3521921915502002</v>
      </c>
      <c r="Q89" s="17">
        <f ca="1"/>
        <v>8.1976000000000007E-2</v>
      </c>
      <c r="R89" s="17">
        <f ca="1"/>
        <v>0.18817537532401599</v>
      </c>
      <c r="S89" s="17">
        <f ca="1"/>
        <v>0.27015137532401601</v>
      </c>
      <c r="T89" s="17">
        <f ca="1"/>
        <v>57143.38</v>
      </c>
      <c r="U89" s="17">
        <f ca="1"/>
        <v>3359013.1600000006</v>
      </c>
      <c r="V89" s="17" t="str">
        <f ca="1"/>
        <v>2025-07-31</v>
      </c>
      <c r="W89" s="65">
        <f t="shared" ca="1" si="3"/>
        <v>73.512808221671733</v>
      </c>
      <c r="X89" s="65">
        <v>0.5</v>
      </c>
      <c r="Y89" s="65">
        <v>1</v>
      </c>
      <c r="Z89" s="65">
        <f t="shared" ca="1" si="2"/>
        <v>0.20494000000000001</v>
      </c>
      <c r="AA89" s="65">
        <v>0</v>
      </c>
    </row>
    <row r="90" spans="2:27" x14ac:dyDescent="0.25">
      <c r="B90" s="17">
        <f ca="1"/>
        <v>80</v>
      </c>
      <c r="C90" s="17">
        <f ca="1"/>
        <v>14693</v>
      </c>
      <c r="D90" s="17">
        <f ca="1"/>
        <v>14692</v>
      </c>
      <c r="E90" s="17">
        <f ca="1"/>
        <v>14693</v>
      </c>
      <c r="F90" s="17">
        <f ca="1"/>
        <v>7336</v>
      </c>
      <c r="G90" s="17">
        <f ca="1"/>
        <v>30188.83</v>
      </c>
      <c r="H90" s="17" t="str">
        <f ca="1"/>
        <v>CCC</v>
      </c>
      <c r="I90" s="17" t="str">
        <f ca="1"/>
        <v>Ind06</v>
      </c>
      <c r="J90" s="17" t="str">
        <f ca="1"/>
        <v>USD</v>
      </c>
      <c r="K90" s="69" t="str">
        <f ca="1"/>
        <v>ShipFin</v>
      </c>
      <c r="L90" s="17">
        <f ca="1"/>
        <v>6.1934385942690984</v>
      </c>
      <c r="M90" s="17">
        <f ca="1"/>
        <v>5</v>
      </c>
      <c r="N90" s="17">
        <f ca="1"/>
        <v>0.20494000000000001</v>
      </c>
      <c r="O90" s="17">
        <f ca="1"/>
        <v>0.4</v>
      </c>
      <c r="P90" s="17">
        <f ca="1"/>
        <v>2.3521921915502002</v>
      </c>
      <c r="Q90" s="17">
        <f ca="1"/>
        <v>8.1976000000000007E-2</v>
      </c>
      <c r="R90" s="17">
        <f ca="1"/>
        <v>0.18817537532401599</v>
      </c>
      <c r="S90" s="17">
        <f ca="1"/>
        <v>0.27015137532401601</v>
      </c>
      <c r="T90" s="17">
        <f ca="1"/>
        <v>30188.83</v>
      </c>
      <c r="U90" s="17">
        <f ca="1"/>
        <v>3389201.9900000007</v>
      </c>
      <c r="V90" s="17" t="str">
        <f ca="1"/>
        <v>2025-07-31</v>
      </c>
      <c r="W90" s="65">
        <f t="shared" ca="1" si="3"/>
        <v>74.321263131229188</v>
      </c>
      <c r="X90" s="65">
        <v>0.5</v>
      </c>
      <c r="Y90" s="65">
        <v>1</v>
      </c>
      <c r="Z90" s="65">
        <f t="shared" ca="1" si="2"/>
        <v>0.20494000000000001</v>
      </c>
      <c r="AA90" s="65">
        <v>0</v>
      </c>
    </row>
    <row r="91" spans="2:27" x14ac:dyDescent="0.25">
      <c r="B91" s="17">
        <f ca="1"/>
        <v>81</v>
      </c>
      <c r="C91" s="17">
        <f ca="1"/>
        <v>14680</v>
      </c>
      <c r="D91" s="17">
        <f ca="1"/>
        <v>14679</v>
      </c>
      <c r="E91" s="17">
        <f ca="1"/>
        <v>14680</v>
      </c>
      <c r="F91" s="17">
        <f ca="1"/>
        <v>7330</v>
      </c>
      <c r="G91" s="17">
        <f ca="1"/>
        <v>24290.71</v>
      </c>
      <c r="H91" s="17" t="str">
        <f ca="1"/>
        <v>CCC</v>
      </c>
      <c r="I91" s="17" t="str">
        <f ca="1"/>
        <v>Ind06</v>
      </c>
      <c r="J91" s="17" t="str">
        <f ca="1"/>
        <v>USD</v>
      </c>
      <c r="K91" s="69" t="str">
        <f ca="1"/>
        <v>ShipFin</v>
      </c>
      <c r="L91" s="17">
        <f ca="1"/>
        <v>6.0432446971000173</v>
      </c>
      <c r="M91" s="17">
        <f ca="1"/>
        <v>5</v>
      </c>
      <c r="N91" s="17">
        <f ca="1"/>
        <v>0.20494000000000001</v>
      </c>
      <c r="O91" s="17">
        <f ca="1"/>
        <v>0.4</v>
      </c>
      <c r="P91" s="17">
        <f ca="1"/>
        <v>2.3521921915502002</v>
      </c>
      <c r="Q91" s="17">
        <f ca="1"/>
        <v>8.1976000000000007E-2</v>
      </c>
      <c r="R91" s="17">
        <f ca="1"/>
        <v>0.18817537532401599</v>
      </c>
      <c r="S91" s="17">
        <f ca="1"/>
        <v>0.27015137532401601</v>
      </c>
      <c r="T91" s="17">
        <f ca="1"/>
        <v>24290.71</v>
      </c>
      <c r="U91" s="17">
        <f ca="1"/>
        <v>3413492.7000000007</v>
      </c>
      <c r="V91" s="17" t="str">
        <f ca="1"/>
        <v>2025-07-31</v>
      </c>
      <c r="W91" s="65">
        <f t="shared" ca="1" si="3"/>
        <v>72.518936365200204</v>
      </c>
      <c r="X91" s="65">
        <v>0.5</v>
      </c>
      <c r="Y91" s="65">
        <v>1</v>
      </c>
      <c r="Z91" s="65">
        <f t="shared" ca="1" si="2"/>
        <v>0.20494000000000001</v>
      </c>
      <c r="AA91" s="65">
        <v>0</v>
      </c>
    </row>
    <row r="92" spans="2:27" x14ac:dyDescent="0.25">
      <c r="B92" s="17">
        <f ca="1"/>
        <v>82</v>
      </c>
      <c r="C92" s="17">
        <f ca="1"/>
        <v>14682</v>
      </c>
      <c r="D92" s="17">
        <f ca="1"/>
        <v>14681</v>
      </c>
      <c r="E92" s="17">
        <f ca="1"/>
        <v>14682</v>
      </c>
      <c r="F92" s="17">
        <f ca="1"/>
        <v>7330</v>
      </c>
      <c r="G92" s="17">
        <f ca="1"/>
        <v>30738.46</v>
      </c>
      <c r="H92" s="17" t="str">
        <f ca="1"/>
        <v>CCC</v>
      </c>
      <c r="I92" s="17" t="str">
        <f ca="1"/>
        <v>Ind06</v>
      </c>
      <c r="J92" s="17" t="str">
        <f ca="1"/>
        <v>USD</v>
      </c>
      <c r="K92" s="69" t="str">
        <f ca="1"/>
        <v>ShipFin</v>
      </c>
      <c r="L92" s="17">
        <f ca="1"/>
        <v>6.4595695594814604</v>
      </c>
      <c r="M92" s="17">
        <f ca="1"/>
        <v>5</v>
      </c>
      <c r="N92" s="17">
        <f ca="1"/>
        <v>0.20494000000000001</v>
      </c>
      <c r="O92" s="17">
        <f ca="1"/>
        <v>0.4</v>
      </c>
      <c r="P92" s="17">
        <f ca="1"/>
        <v>2.3521921915502002</v>
      </c>
      <c r="Q92" s="17">
        <f ca="1"/>
        <v>8.1976000000000007E-2</v>
      </c>
      <c r="R92" s="17">
        <f ca="1"/>
        <v>0.18817537532401599</v>
      </c>
      <c r="S92" s="17">
        <f ca="1"/>
        <v>0.27015137532401601</v>
      </c>
      <c r="T92" s="17">
        <f ca="1"/>
        <v>30738.46</v>
      </c>
      <c r="U92" s="17">
        <f ca="1"/>
        <v>3444231.1600000006</v>
      </c>
      <c r="V92" s="17" t="str">
        <f ca="1"/>
        <v>2025-08-31</v>
      </c>
      <c r="W92" s="65">
        <f t="shared" ca="1" si="3"/>
        <v>77.514834713777532</v>
      </c>
      <c r="X92" s="65">
        <v>0.5</v>
      </c>
      <c r="Y92" s="65">
        <v>1</v>
      </c>
      <c r="Z92" s="65">
        <f t="shared" ca="1" si="2"/>
        <v>0.20494000000000001</v>
      </c>
      <c r="AA92" s="65">
        <v>0</v>
      </c>
    </row>
    <row r="93" spans="2:27" x14ac:dyDescent="0.25">
      <c r="B93" s="17">
        <f ca="1"/>
        <v>83</v>
      </c>
      <c r="C93" s="17">
        <f ca="1"/>
        <v>14683</v>
      </c>
      <c r="D93" s="17">
        <f ca="1"/>
        <v>14682</v>
      </c>
      <c r="E93" s="17">
        <f ca="1"/>
        <v>14683</v>
      </c>
      <c r="F93" s="17">
        <f ca="1"/>
        <v>7331</v>
      </c>
      <c r="G93" s="17">
        <f ca="1"/>
        <v>2691.47</v>
      </c>
      <c r="H93" s="17" t="str">
        <f ca="1"/>
        <v>CCC</v>
      </c>
      <c r="I93" s="17" t="str">
        <f ca="1"/>
        <v>Ind06</v>
      </c>
      <c r="J93" s="17" t="str">
        <f ca="1"/>
        <v>USD</v>
      </c>
      <c r="K93" s="69" t="str">
        <f ca="1"/>
        <v>ShipFin</v>
      </c>
      <c r="L93" s="17">
        <f ca="1"/>
        <v>8.9349513194011525</v>
      </c>
      <c r="M93" s="17">
        <f ca="1"/>
        <v>5</v>
      </c>
      <c r="N93" s="17">
        <f ca="1"/>
        <v>0.20494000000000001</v>
      </c>
      <c r="O93" s="17">
        <f ca="1"/>
        <v>0.4</v>
      </c>
      <c r="P93" s="17">
        <f ca="1"/>
        <v>2.3521921915502002</v>
      </c>
      <c r="Q93" s="17">
        <f ca="1"/>
        <v>8.1976000000000007E-2</v>
      </c>
      <c r="R93" s="17">
        <f ca="1"/>
        <v>0.18817537532401599</v>
      </c>
      <c r="S93" s="17">
        <f ca="1"/>
        <v>0.27015137532401601</v>
      </c>
      <c r="T93" s="17">
        <f ca="1"/>
        <v>2691.47</v>
      </c>
      <c r="U93" s="17">
        <f ca="1"/>
        <v>3446922.6300000013</v>
      </c>
      <c r="V93" s="17" t="str">
        <f ca="1"/>
        <v>2027-08-31</v>
      </c>
      <c r="W93" s="65">
        <f t="shared" ca="1" si="3"/>
        <v>107.21941583281384</v>
      </c>
      <c r="X93" s="65">
        <v>0.5</v>
      </c>
      <c r="Y93" s="65">
        <v>1</v>
      </c>
      <c r="Z93" s="65">
        <f t="shared" ca="1" si="2"/>
        <v>0.20494000000000001</v>
      </c>
      <c r="AA93" s="65">
        <v>0</v>
      </c>
    </row>
    <row r="94" spans="2:27" x14ac:dyDescent="0.25">
      <c r="B94" s="17">
        <f ca="1"/>
        <v>84</v>
      </c>
      <c r="C94" s="17">
        <f ca="1"/>
        <v>14684</v>
      </c>
      <c r="D94" s="17">
        <f ca="1"/>
        <v>14683</v>
      </c>
      <c r="E94" s="17">
        <f ca="1"/>
        <v>14684</v>
      </c>
      <c r="F94" s="17">
        <f ca="1"/>
        <v>7331</v>
      </c>
      <c r="G94" s="17">
        <f ca="1"/>
        <v>28216.799999999999</v>
      </c>
      <c r="H94" s="17" t="str">
        <f ca="1"/>
        <v>CCC</v>
      </c>
      <c r="I94" s="17" t="str">
        <f ca="1"/>
        <v>Ind06</v>
      </c>
      <c r="J94" s="17" t="str">
        <f ca="1"/>
        <v>USD</v>
      </c>
      <c r="K94" s="69" t="str">
        <f ca="1"/>
        <v>ShipFin</v>
      </c>
      <c r="L94" s="17">
        <f ca="1"/>
        <v>8.0915175273269409</v>
      </c>
      <c r="M94" s="17">
        <f ca="1"/>
        <v>5</v>
      </c>
      <c r="N94" s="17">
        <f ca="1"/>
        <v>0.20494000000000001</v>
      </c>
      <c r="O94" s="17">
        <f ca="1"/>
        <v>0.4</v>
      </c>
      <c r="P94" s="17">
        <f ca="1"/>
        <v>2.3521921915502002</v>
      </c>
      <c r="Q94" s="17">
        <f ca="1"/>
        <v>8.1976000000000007E-2</v>
      </c>
      <c r="R94" s="17">
        <f ca="1"/>
        <v>0.18817537532401599</v>
      </c>
      <c r="S94" s="17">
        <f ca="1"/>
        <v>0.27015137532401601</v>
      </c>
      <c r="T94" s="17">
        <f ca="1"/>
        <v>28216.799999999999</v>
      </c>
      <c r="U94" s="17">
        <f ca="1"/>
        <v>3475139.4300000006</v>
      </c>
      <c r="V94" s="17" t="str">
        <f ca="1"/>
        <v>2027-07-31</v>
      </c>
      <c r="W94" s="65">
        <f t="shared" ca="1" si="3"/>
        <v>97.098210327923283</v>
      </c>
      <c r="X94" s="65">
        <v>0.5</v>
      </c>
      <c r="Y94" s="65">
        <v>1</v>
      </c>
      <c r="Z94" s="65">
        <f t="shared" ca="1" si="2"/>
        <v>0.20494000000000001</v>
      </c>
      <c r="AA94" s="65">
        <v>0</v>
      </c>
    </row>
    <row r="95" spans="2:27" x14ac:dyDescent="0.25">
      <c r="B95" s="17">
        <f ca="1"/>
        <v>85</v>
      </c>
      <c r="C95" s="17">
        <f ca="1"/>
        <v>14685</v>
      </c>
      <c r="D95" s="17">
        <f ca="1"/>
        <v>14684</v>
      </c>
      <c r="E95" s="17">
        <f ca="1"/>
        <v>14685</v>
      </c>
      <c r="F95" s="17">
        <f ca="1"/>
        <v>7332</v>
      </c>
      <c r="G95" s="17">
        <f ca="1"/>
        <v>97943.39</v>
      </c>
      <c r="H95" s="17" t="str">
        <f ca="1"/>
        <v>CCC</v>
      </c>
      <c r="I95" s="17" t="str">
        <f ca="1"/>
        <v>Ind06</v>
      </c>
      <c r="J95" s="17" t="str">
        <f ca="1"/>
        <v>USD</v>
      </c>
      <c r="K95" s="69" t="str">
        <f ca="1"/>
        <v>ShipFin</v>
      </c>
      <c r="L95" s="17">
        <f ca="1"/>
        <v>5.0080875778011986</v>
      </c>
      <c r="M95" s="17">
        <f ca="1"/>
        <v>5</v>
      </c>
      <c r="N95" s="17">
        <f ca="1"/>
        <v>0.20494000000000001</v>
      </c>
      <c r="O95" s="17">
        <f ca="1"/>
        <v>0.4</v>
      </c>
      <c r="P95" s="17">
        <f ca="1"/>
        <v>2.3521921915502002</v>
      </c>
      <c r="Q95" s="17">
        <f ca="1"/>
        <v>8.1976000000000007E-2</v>
      </c>
      <c r="R95" s="17">
        <f ca="1"/>
        <v>0.18817537532401599</v>
      </c>
      <c r="S95" s="17">
        <f ca="1"/>
        <v>0.27015137532401601</v>
      </c>
      <c r="T95" s="17">
        <f ca="1"/>
        <v>97943.39</v>
      </c>
      <c r="U95" s="17">
        <f ca="1"/>
        <v>3573082.8200000008</v>
      </c>
      <c r="V95" s="17" t="str">
        <f ca="1"/>
        <v>2024-07-31</v>
      </c>
      <c r="W95" s="65">
        <f t="shared" ca="1" si="3"/>
        <v>60.097050933614383</v>
      </c>
      <c r="X95" s="65">
        <v>0.5</v>
      </c>
      <c r="Y95" s="65">
        <v>1</v>
      </c>
      <c r="Z95" s="65">
        <f t="shared" ca="1" si="2"/>
        <v>0.20494000000000001</v>
      </c>
      <c r="AA95" s="65">
        <v>0</v>
      </c>
    </row>
    <row r="96" spans="2:27" x14ac:dyDescent="0.25">
      <c r="B96" s="17">
        <f ca="1"/>
        <v>86</v>
      </c>
      <c r="C96" s="17">
        <f ca="1"/>
        <v>14686</v>
      </c>
      <c r="D96" s="17">
        <f ca="1"/>
        <v>14685</v>
      </c>
      <c r="E96" s="17">
        <f ca="1"/>
        <v>14686</v>
      </c>
      <c r="F96" s="17">
        <f ca="1"/>
        <v>7333</v>
      </c>
      <c r="G96" s="17">
        <f ca="1"/>
        <v>26880.65</v>
      </c>
      <c r="H96" s="17" t="str">
        <f ca="1"/>
        <v>CCC</v>
      </c>
      <c r="I96" s="17" t="str">
        <f ca="1"/>
        <v>Ind06</v>
      </c>
      <c r="J96" s="17" t="str">
        <f ca="1"/>
        <v>USD</v>
      </c>
      <c r="K96" s="69" t="str">
        <f ca="1"/>
        <v>ShipFin</v>
      </c>
      <c r="L96" s="17">
        <f ca="1"/>
        <v>8.1835493086185309</v>
      </c>
      <c r="M96" s="17">
        <f ca="1"/>
        <v>5</v>
      </c>
      <c r="N96" s="17">
        <f ca="1"/>
        <v>0.20494000000000001</v>
      </c>
      <c r="O96" s="17">
        <f ca="1"/>
        <v>0.4</v>
      </c>
      <c r="P96" s="17">
        <f ca="1"/>
        <v>2.3521921915502002</v>
      </c>
      <c r="Q96" s="17">
        <f ca="1"/>
        <v>8.1976000000000007E-2</v>
      </c>
      <c r="R96" s="17">
        <f ca="1"/>
        <v>0.18817537532401599</v>
      </c>
      <c r="S96" s="17">
        <f ca="1"/>
        <v>0.27015137532401601</v>
      </c>
      <c r="T96" s="17">
        <f ca="1"/>
        <v>26880.65</v>
      </c>
      <c r="U96" s="17">
        <f ca="1"/>
        <v>3599963.4700000007</v>
      </c>
      <c r="V96" s="17" t="str">
        <f ca="1"/>
        <v>2027-07-31</v>
      </c>
      <c r="W96" s="65">
        <f t="shared" ca="1" si="3"/>
        <v>98.202591703422371</v>
      </c>
      <c r="X96" s="65">
        <v>0.5</v>
      </c>
      <c r="Y96" s="65">
        <v>1</v>
      </c>
      <c r="Z96" s="65">
        <f t="shared" ca="1" si="2"/>
        <v>0.20494000000000001</v>
      </c>
      <c r="AA96" s="65">
        <v>0</v>
      </c>
    </row>
    <row r="97" spans="2:27" x14ac:dyDescent="0.25">
      <c r="B97" s="17">
        <f ca="1"/>
        <v>87</v>
      </c>
      <c r="C97" s="17">
        <f ca="1"/>
        <v>14688</v>
      </c>
      <c r="D97" s="17">
        <f ca="1"/>
        <v>14687</v>
      </c>
      <c r="E97" s="17">
        <f ca="1"/>
        <v>14688</v>
      </c>
      <c r="F97" s="17">
        <f ca="1"/>
        <v>7333</v>
      </c>
      <c r="G97" s="17">
        <f ca="1"/>
        <v>63086.47</v>
      </c>
      <c r="H97" s="17" t="str">
        <f ca="1"/>
        <v>CCC</v>
      </c>
      <c r="I97" s="17" t="str">
        <f ca="1"/>
        <v>Ind06</v>
      </c>
      <c r="J97" s="17" t="str">
        <f ca="1"/>
        <v>USD</v>
      </c>
      <c r="K97" s="69" t="str">
        <f ca="1"/>
        <v>ShipFin</v>
      </c>
      <c r="L97" s="17">
        <f ca="1"/>
        <v>7.7203923140419635</v>
      </c>
      <c r="M97" s="17">
        <f ca="1"/>
        <v>5</v>
      </c>
      <c r="N97" s="17">
        <f ca="1"/>
        <v>0.20494000000000001</v>
      </c>
      <c r="O97" s="17">
        <f ca="1"/>
        <v>0.4</v>
      </c>
      <c r="P97" s="17">
        <f ca="1"/>
        <v>2.3521921915502002</v>
      </c>
      <c r="Q97" s="17">
        <f ca="1"/>
        <v>8.1976000000000007E-2</v>
      </c>
      <c r="R97" s="17">
        <f ca="1"/>
        <v>0.18817537532401599</v>
      </c>
      <c r="S97" s="17">
        <f ca="1"/>
        <v>0.27015137532401601</v>
      </c>
      <c r="T97" s="17">
        <f ca="1"/>
        <v>63086.47</v>
      </c>
      <c r="U97" s="17">
        <f ca="1"/>
        <v>3663049.9400000013</v>
      </c>
      <c r="V97" s="17" t="str">
        <f ca="1"/>
        <v>2026-08-31</v>
      </c>
      <c r="W97" s="65">
        <f t="shared" ca="1" si="3"/>
        <v>92.644707768503565</v>
      </c>
      <c r="X97" s="65">
        <v>0.5</v>
      </c>
      <c r="Y97" s="65">
        <v>1</v>
      </c>
      <c r="Z97" s="65">
        <f t="shared" ca="1" si="2"/>
        <v>0.20494000000000001</v>
      </c>
      <c r="AA97" s="65">
        <v>0</v>
      </c>
    </row>
    <row r="98" spans="2:27" x14ac:dyDescent="0.25">
      <c r="B98" s="17">
        <f ca="1"/>
        <v>88</v>
      </c>
      <c r="C98" s="17">
        <f ca="1"/>
        <v>14692</v>
      </c>
      <c r="D98" s="17">
        <f ca="1"/>
        <v>14691</v>
      </c>
      <c r="E98" s="17">
        <f ca="1"/>
        <v>14692</v>
      </c>
      <c r="F98" s="17">
        <f ca="1"/>
        <v>7335</v>
      </c>
      <c r="G98" s="17">
        <f ca="1"/>
        <v>1123.3499999999999</v>
      </c>
      <c r="H98" s="17" t="str">
        <f ca="1"/>
        <v>CCC</v>
      </c>
      <c r="I98" s="17" t="str">
        <f ca="1"/>
        <v>Ind06</v>
      </c>
      <c r="J98" s="17" t="str">
        <f ca="1"/>
        <v>USD</v>
      </c>
      <c r="K98" s="69" t="str">
        <f ca="1"/>
        <v>ShipFin</v>
      </c>
      <c r="L98" s="17">
        <f ca="1"/>
        <v>6.5764798958576272</v>
      </c>
      <c r="M98" s="17">
        <f ca="1"/>
        <v>5</v>
      </c>
      <c r="N98" s="17">
        <f ca="1"/>
        <v>0.20494000000000001</v>
      </c>
      <c r="O98" s="17">
        <f ca="1"/>
        <v>0.4</v>
      </c>
      <c r="P98" s="17">
        <f ca="1"/>
        <v>2.3521921915502002</v>
      </c>
      <c r="Q98" s="17">
        <f ca="1"/>
        <v>8.1976000000000007E-2</v>
      </c>
      <c r="R98" s="17">
        <f ca="1"/>
        <v>0.18817537532401599</v>
      </c>
      <c r="S98" s="17">
        <f ca="1"/>
        <v>0.27015137532401601</v>
      </c>
      <c r="T98" s="17">
        <f ca="1"/>
        <v>1123.3499999999999</v>
      </c>
      <c r="U98" s="17">
        <f ca="1"/>
        <v>3664173.2900000014</v>
      </c>
      <c r="V98" s="17" t="str">
        <f ca="1"/>
        <v>2025-08-31</v>
      </c>
      <c r="W98" s="65">
        <f t="shared" ca="1" si="3"/>
        <v>78.917758750291526</v>
      </c>
      <c r="X98" s="65">
        <v>0.5</v>
      </c>
      <c r="Y98" s="65">
        <v>1</v>
      </c>
      <c r="Z98" s="65">
        <f t="shared" ca="1" si="2"/>
        <v>0.20494000000000001</v>
      </c>
      <c r="AA98" s="65">
        <v>0</v>
      </c>
    </row>
    <row r="99" spans="2:27" x14ac:dyDescent="0.25">
      <c r="B99" s="17">
        <f ca="1"/>
        <v>89</v>
      </c>
      <c r="C99" s="17">
        <f ca="1"/>
        <v>14566</v>
      </c>
      <c r="D99" s="17">
        <f ca="1"/>
        <v>14565</v>
      </c>
      <c r="E99" s="17">
        <f ca="1"/>
        <v>14566</v>
      </c>
      <c r="F99" s="17">
        <f ca="1"/>
        <v>7267</v>
      </c>
      <c r="G99" s="17">
        <f ca="1"/>
        <v>14072.65</v>
      </c>
      <c r="H99" s="17" t="str">
        <f ca="1"/>
        <v>CCC</v>
      </c>
      <c r="I99" s="17" t="str">
        <f ca="1"/>
        <v>Ind06</v>
      </c>
      <c r="J99" s="17" t="str">
        <f ca="1"/>
        <v>USD</v>
      </c>
      <c r="K99" s="69" t="str">
        <f ca="1"/>
        <v>ShipFin</v>
      </c>
      <c r="L99" s="17">
        <f ca="1"/>
        <v>7.8668431727727857</v>
      </c>
      <c r="M99" s="17">
        <f ca="1"/>
        <v>5</v>
      </c>
      <c r="N99" s="17">
        <f ca="1"/>
        <v>0.20494000000000001</v>
      </c>
      <c r="O99" s="17">
        <f ca="1"/>
        <v>0.4</v>
      </c>
      <c r="P99" s="17">
        <f ca="1"/>
        <v>2.3521921915502002</v>
      </c>
      <c r="Q99" s="17">
        <f ca="1"/>
        <v>8.1976000000000007E-2</v>
      </c>
      <c r="R99" s="17">
        <f ca="1"/>
        <v>0.18817537532401599</v>
      </c>
      <c r="S99" s="17">
        <f ca="1"/>
        <v>0.27015137532401601</v>
      </c>
      <c r="T99" s="17">
        <f ca="1"/>
        <v>14072.65</v>
      </c>
      <c r="U99" s="17">
        <f ca="1"/>
        <v>3678245.9400000013</v>
      </c>
      <c r="V99" s="17" t="str">
        <f ca="1"/>
        <v>2026-08-31</v>
      </c>
      <c r="W99" s="65">
        <f t="shared" ca="1" si="3"/>
        <v>94.402118073273428</v>
      </c>
      <c r="X99" s="65">
        <v>0.5</v>
      </c>
      <c r="Y99" s="65">
        <v>1</v>
      </c>
      <c r="Z99" s="65">
        <f t="shared" ca="1" si="2"/>
        <v>0.20494000000000001</v>
      </c>
      <c r="AA99" s="65">
        <v>0</v>
      </c>
    </row>
    <row r="100" spans="2:27" x14ac:dyDescent="0.25">
      <c r="B100" s="17">
        <f ca="1"/>
        <v>90</v>
      </c>
      <c r="C100" s="17">
        <f ca="1"/>
        <v>14561</v>
      </c>
      <c r="D100" s="17">
        <f ca="1"/>
        <v>14560</v>
      </c>
      <c r="E100" s="17">
        <f ca="1"/>
        <v>14561</v>
      </c>
      <c r="F100" s="17">
        <f ca="1"/>
        <v>7264</v>
      </c>
      <c r="G100" s="17">
        <f ca="1"/>
        <v>9964.2000000000007</v>
      </c>
      <c r="H100" s="17" t="str">
        <f ca="1"/>
        <v>CCC</v>
      </c>
      <c r="I100" s="17" t="str">
        <f ca="1"/>
        <v>Ind06</v>
      </c>
      <c r="J100" s="17" t="str">
        <f ca="1"/>
        <v>USD</v>
      </c>
      <c r="K100" s="69" t="str">
        <f ca="1"/>
        <v>ShipFin</v>
      </c>
      <c r="L100" s="17">
        <f ca="1"/>
        <v>8.73001882982906</v>
      </c>
      <c r="M100" s="17">
        <f ca="1"/>
        <v>5</v>
      </c>
      <c r="N100" s="17">
        <f ca="1"/>
        <v>0.20494000000000001</v>
      </c>
      <c r="O100" s="17">
        <f ca="1"/>
        <v>0.4</v>
      </c>
      <c r="P100" s="17">
        <f ca="1"/>
        <v>2.3521921915502002</v>
      </c>
      <c r="Q100" s="17">
        <f ca="1"/>
        <v>8.1976000000000007E-2</v>
      </c>
      <c r="R100" s="17">
        <f ca="1"/>
        <v>0.18817537532401599</v>
      </c>
      <c r="S100" s="17">
        <f ca="1"/>
        <v>0.27015137532401601</v>
      </c>
      <c r="T100" s="17">
        <f ca="1"/>
        <v>9964.2000000000007</v>
      </c>
      <c r="U100" s="17">
        <f ca="1"/>
        <v>3688210.1400000011</v>
      </c>
      <c r="V100" s="17" t="str">
        <f ca="1"/>
        <v>2027-08-31</v>
      </c>
      <c r="W100" s="65">
        <f t="shared" ca="1" si="3"/>
        <v>104.76022595794872</v>
      </c>
      <c r="X100" s="65">
        <v>0.5</v>
      </c>
      <c r="Y100" s="65">
        <v>1</v>
      </c>
      <c r="Z100" s="65">
        <f t="shared" ca="1" si="2"/>
        <v>0.20494000000000001</v>
      </c>
      <c r="AA100" s="65">
        <v>0</v>
      </c>
    </row>
    <row r="101" spans="2:27" x14ac:dyDescent="0.25">
      <c r="B101" s="17">
        <f ca="1"/>
        <v>91</v>
      </c>
      <c r="C101" s="17">
        <f ca="1"/>
        <v>14559</v>
      </c>
      <c r="D101" s="17">
        <f ca="1"/>
        <v>14558</v>
      </c>
      <c r="E101" s="17">
        <f ca="1"/>
        <v>14559</v>
      </c>
      <c r="F101" s="17">
        <f ca="1"/>
        <v>7263</v>
      </c>
      <c r="G101" s="17">
        <f ca="1"/>
        <v>63274.41</v>
      </c>
      <c r="H101" s="17" t="str">
        <f ca="1"/>
        <v>CCC</v>
      </c>
      <c r="I101" s="17" t="str">
        <f ca="1"/>
        <v>Ind06</v>
      </c>
      <c r="J101" s="17" t="str">
        <f ca="1"/>
        <v>USD</v>
      </c>
      <c r="K101" s="69" t="str">
        <f ca="1"/>
        <v>ShipFin</v>
      </c>
      <c r="L101" s="17">
        <f ca="1"/>
        <v>9.1293331465893424</v>
      </c>
      <c r="M101" s="17">
        <f ca="1"/>
        <v>5</v>
      </c>
      <c r="N101" s="17">
        <f ca="1"/>
        <v>0.20494000000000001</v>
      </c>
      <c r="O101" s="17">
        <f ca="1"/>
        <v>0.4</v>
      </c>
      <c r="P101" s="17">
        <f ca="1"/>
        <v>2.3521921915502002</v>
      </c>
      <c r="Q101" s="17">
        <f ca="1"/>
        <v>8.1976000000000007E-2</v>
      </c>
      <c r="R101" s="17">
        <f ca="1"/>
        <v>0.18817537532401599</v>
      </c>
      <c r="S101" s="17">
        <f ca="1"/>
        <v>0.27015137532401601</v>
      </c>
      <c r="T101" s="17">
        <f ca="1"/>
        <v>63274.41</v>
      </c>
      <c r="U101" s="17">
        <f ca="1"/>
        <v>3751484.5500000012</v>
      </c>
      <c r="V101" s="17" t="str">
        <f ca="1"/>
        <v>2028-07-31</v>
      </c>
      <c r="W101" s="65">
        <f t="shared" ca="1" si="3"/>
        <v>109.55199775907211</v>
      </c>
      <c r="X101" s="65">
        <v>0.5</v>
      </c>
      <c r="Y101" s="65">
        <v>1</v>
      </c>
      <c r="Z101" s="65">
        <f t="shared" ca="1" si="2"/>
        <v>0.20494000000000001</v>
      </c>
      <c r="AA101" s="65">
        <v>0</v>
      </c>
    </row>
    <row r="102" spans="2:27" x14ac:dyDescent="0.25">
      <c r="B102" s="17">
        <f ca="1"/>
        <v>92</v>
      </c>
      <c r="C102" s="17">
        <f ca="1"/>
        <v>14477</v>
      </c>
      <c r="D102" s="17">
        <f ca="1"/>
        <v>14476</v>
      </c>
      <c r="E102" s="17">
        <f ca="1"/>
        <v>14477</v>
      </c>
      <c r="F102" s="17">
        <f ca="1"/>
        <v>7224</v>
      </c>
      <c r="G102" s="17">
        <f ca="1"/>
        <v>39580.980000000003</v>
      </c>
      <c r="H102" s="17" t="str">
        <f ca="1"/>
        <v>CCC</v>
      </c>
      <c r="I102" s="17" t="str">
        <f ca="1"/>
        <v>Ind06</v>
      </c>
      <c r="J102" s="17" t="str">
        <f ca="1"/>
        <v>USD</v>
      </c>
      <c r="K102" s="69" t="str">
        <f ca="1"/>
        <v>ShipFin</v>
      </c>
      <c r="L102" s="17">
        <f ca="1"/>
        <v>7.1339465393242421</v>
      </c>
      <c r="M102" s="17">
        <f ca="1"/>
        <v>5</v>
      </c>
      <c r="N102" s="17">
        <f ca="1"/>
        <v>0.20494000000000001</v>
      </c>
      <c r="O102" s="17">
        <f ca="1"/>
        <v>0.4</v>
      </c>
      <c r="P102" s="17">
        <f ca="1"/>
        <v>2.3521921915502002</v>
      </c>
      <c r="Q102" s="17">
        <f ca="1"/>
        <v>8.1976000000000007E-2</v>
      </c>
      <c r="R102" s="17">
        <f ca="1"/>
        <v>0.18817537532401599</v>
      </c>
      <c r="S102" s="17">
        <f ca="1"/>
        <v>0.27015137532401601</v>
      </c>
      <c r="T102" s="17">
        <f ca="1"/>
        <v>39580.980000000003</v>
      </c>
      <c r="U102" s="17">
        <f ca="1"/>
        <v>3791065.5300000012</v>
      </c>
      <c r="V102" s="17" t="str">
        <f ca="1"/>
        <v>2026-07-31</v>
      </c>
      <c r="W102" s="65">
        <f t="shared" ca="1" si="3"/>
        <v>85.607358471890905</v>
      </c>
      <c r="X102" s="65">
        <v>0.5</v>
      </c>
      <c r="Y102" s="65">
        <v>1</v>
      </c>
      <c r="Z102" s="65">
        <f t="shared" ca="1" si="2"/>
        <v>0.20494000000000001</v>
      </c>
      <c r="AA102" s="65">
        <v>0</v>
      </c>
    </row>
    <row r="103" spans="2:27" x14ac:dyDescent="0.25">
      <c r="B103" s="17">
        <f ca="1"/>
        <v>93</v>
      </c>
      <c r="C103" s="17">
        <f ca="1"/>
        <v>14436</v>
      </c>
      <c r="D103" s="17">
        <f ca="1"/>
        <v>14435</v>
      </c>
      <c r="E103" s="17">
        <f ca="1"/>
        <v>14436</v>
      </c>
      <c r="F103" s="17">
        <f ca="1"/>
        <v>7202</v>
      </c>
      <c r="G103" s="17">
        <f ca="1"/>
        <v>67049.399999999994</v>
      </c>
      <c r="H103" s="17" t="str">
        <f ca="1"/>
        <v>CCC</v>
      </c>
      <c r="I103" s="17" t="str">
        <f ca="1"/>
        <v>Ind06</v>
      </c>
      <c r="J103" s="17" t="str">
        <f ca="1"/>
        <v>USD</v>
      </c>
      <c r="K103" s="69" t="str">
        <f ca="1"/>
        <v>ShipFin</v>
      </c>
      <c r="L103" s="17">
        <f ca="1"/>
        <v>5.4377942412788975</v>
      </c>
      <c r="M103" s="17">
        <f ca="1"/>
        <v>5</v>
      </c>
      <c r="N103" s="17">
        <f ca="1"/>
        <v>0.20494000000000001</v>
      </c>
      <c r="O103" s="17">
        <f ca="1"/>
        <v>0.4</v>
      </c>
      <c r="P103" s="17">
        <f ca="1"/>
        <v>2.3521921915502002</v>
      </c>
      <c r="Q103" s="17">
        <f ca="1"/>
        <v>8.1976000000000007E-2</v>
      </c>
      <c r="R103" s="17">
        <f ca="1"/>
        <v>0.18817537532401599</v>
      </c>
      <c r="S103" s="17">
        <f ca="1"/>
        <v>0.27015137532401601</v>
      </c>
      <c r="T103" s="17">
        <f ca="1"/>
        <v>67049.399999999994</v>
      </c>
      <c r="U103" s="17">
        <f ca="1"/>
        <v>3858114.9300000011</v>
      </c>
      <c r="V103" s="17" t="str">
        <f ca="1"/>
        <v>2024-08-31</v>
      </c>
      <c r="W103" s="65">
        <f t="shared" ca="1" si="3"/>
        <v>65.253530895346771</v>
      </c>
      <c r="X103" s="65">
        <v>0.5</v>
      </c>
      <c r="Y103" s="65">
        <v>1</v>
      </c>
      <c r="Z103" s="65">
        <f t="shared" ca="1" si="2"/>
        <v>0.20494000000000001</v>
      </c>
      <c r="AA103" s="65">
        <v>0</v>
      </c>
    </row>
    <row r="104" spans="2:27" x14ac:dyDescent="0.25">
      <c r="B104" s="17">
        <f ca="1"/>
        <v>94</v>
      </c>
      <c r="C104" s="17">
        <f ca="1"/>
        <v>14439</v>
      </c>
      <c r="D104" s="17">
        <f ca="1"/>
        <v>14438</v>
      </c>
      <c r="E104" s="17">
        <f ca="1"/>
        <v>14439</v>
      </c>
      <c r="F104" s="17">
        <f ca="1"/>
        <v>7204</v>
      </c>
      <c r="G104" s="17">
        <f ca="1"/>
        <v>1211.81</v>
      </c>
      <c r="H104" s="17" t="str">
        <f ca="1"/>
        <v>CCC</v>
      </c>
      <c r="I104" s="17" t="str">
        <f ca="1"/>
        <v>Ind06</v>
      </c>
      <c r="J104" s="17" t="str">
        <f ca="1"/>
        <v>USD</v>
      </c>
      <c r="K104" s="69" t="str">
        <f ca="1"/>
        <v>ShipFin</v>
      </c>
      <c r="L104" s="17">
        <f ca="1"/>
        <v>5.501405942488927</v>
      </c>
      <c r="M104" s="17">
        <f ca="1"/>
        <v>5</v>
      </c>
      <c r="N104" s="17">
        <f ca="1"/>
        <v>0.20494000000000001</v>
      </c>
      <c r="O104" s="17">
        <f ca="1"/>
        <v>0.4</v>
      </c>
      <c r="P104" s="17">
        <f ca="1"/>
        <v>2.3521921915502002</v>
      </c>
      <c r="Q104" s="17">
        <f ca="1"/>
        <v>8.1976000000000007E-2</v>
      </c>
      <c r="R104" s="17">
        <f ca="1"/>
        <v>0.18817537532401599</v>
      </c>
      <c r="S104" s="17">
        <f ca="1"/>
        <v>0.27015137532401601</v>
      </c>
      <c r="T104" s="17">
        <f ca="1"/>
        <v>1211.81</v>
      </c>
      <c r="U104" s="17">
        <f ca="1"/>
        <v>3859326.7400000012</v>
      </c>
      <c r="V104" s="17" t="str">
        <f ca="1"/>
        <v>2024-08-31</v>
      </c>
      <c r="W104" s="65">
        <f t="shared" ca="1" si="3"/>
        <v>66.016871309867128</v>
      </c>
      <c r="X104" s="65">
        <v>0.5</v>
      </c>
      <c r="Y104" s="65">
        <v>1</v>
      </c>
      <c r="Z104" s="65">
        <f t="shared" ca="1" si="2"/>
        <v>0.20494000000000001</v>
      </c>
      <c r="AA104" s="65">
        <v>0</v>
      </c>
    </row>
    <row r="105" spans="2:27" x14ac:dyDescent="0.25">
      <c r="B105" s="17">
        <f ca="1"/>
        <v>95</v>
      </c>
      <c r="C105" s="17">
        <f ca="1"/>
        <v>14441</v>
      </c>
      <c r="D105" s="17">
        <f ca="1"/>
        <v>14440</v>
      </c>
      <c r="E105" s="17">
        <f ca="1"/>
        <v>14441</v>
      </c>
      <c r="F105" s="17">
        <f ca="1"/>
        <v>7206</v>
      </c>
      <c r="G105" s="17">
        <f ca="1"/>
        <v>48690.87</v>
      </c>
      <c r="H105" s="17" t="str">
        <f ca="1"/>
        <v>CCC</v>
      </c>
      <c r="I105" s="17" t="str">
        <f ca="1"/>
        <v>Ind06</v>
      </c>
      <c r="J105" s="17" t="str">
        <f ca="1"/>
        <v>USD</v>
      </c>
      <c r="K105" s="69" t="str">
        <f ca="1"/>
        <v>ShipFin</v>
      </c>
      <c r="L105" s="17">
        <f ca="1"/>
        <v>5.8301207033521507</v>
      </c>
      <c r="M105" s="17">
        <f ca="1"/>
        <v>5</v>
      </c>
      <c r="N105" s="17">
        <f ca="1"/>
        <v>0.20494000000000001</v>
      </c>
      <c r="O105" s="17">
        <f ca="1"/>
        <v>0.4</v>
      </c>
      <c r="P105" s="17">
        <f ca="1"/>
        <v>2.3521921915502002</v>
      </c>
      <c r="Q105" s="17">
        <f ca="1"/>
        <v>8.1976000000000007E-2</v>
      </c>
      <c r="R105" s="17">
        <f ca="1"/>
        <v>0.18817537532401599</v>
      </c>
      <c r="S105" s="17">
        <f ca="1"/>
        <v>0.27015137532401601</v>
      </c>
      <c r="T105" s="17">
        <f ca="1"/>
        <v>48690.87</v>
      </c>
      <c r="U105" s="17">
        <f ca="1"/>
        <v>3908017.6100000008</v>
      </c>
      <c r="V105" s="17" t="str">
        <f ca="1"/>
        <v>2024-08-31</v>
      </c>
      <c r="W105" s="65">
        <f t="shared" ca="1" si="3"/>
        <v>69.961448440225809</v>
      </c>
      <c r="X105" s="65">
        <v>0.5</v>
      </c>
      <c r="Y105" s="65">
        <v>1</v>
      </c>
      <c r="Z105" s="65">
        <f t="shared" ca="1" si="2"/>
        <v>0.20494000000000001</v>
      </c>
      <c r="AA105" s="65">
        <v>0</v>
      </c>
    </row>
    <row r="106" spans="2:27" x14ac:dyDescent="0.25">
      <c r="B106" s="17">
        <f ca="1"/>
        <v>96</v>
      </c>
      <c r="C106" s="17">
        <f ca="1"/>
        <v>14444</v>
      </c>
      <c r="D106" s="17">
        <f ca="1"/>
        <v>14443</v>
      </c>
      <c r="E106" s="17">
        <f ca="1"/>
        <v>14444</v>
      </c>
      <c r="F106" s="17">
        <f ca="1"/>
        <v>7207</v>
      </c>
      <c r="G106" s="17">
        <f ca="1"/>
        <v>61640.41</v>
      </c>
      <c r="H106" s="17" t="str">
        <f ca="1"/>
        <v>CCC</v>
      </c>
      <c r="I106" s="17" t="str">
        <f ca="1"/>
        <v>Ind06</v>
      </c>
      <c r="J106" s="17" t="str">
        <f ca="1"/>
        <v>USD</v>
      </c>
      <c r="K106" s="69" t="str">
        <f ca="1"/>
        <v>ShipFin</v>
      </c>
      <c r="L106" s="17">
        <f ca="1"/>
        <v>5.2177767670806485</v>
      </c>
      <c r="M106" s="17">
        <f ca="1"/>
        <v>5</v>
      </c>
      <c r="N106" s="17">
        <f ca="1"/>
        <v>0.20494000000000001</v>
      </c>
      <c r="O106" s="17">
        <f ca="1"/>
        <v>0.4</v>
      </c>
      <c r="P106" s="17">
        <f ca="1"/>
        <v>2.3521921915502002</v>
      </c>
      <c r="Q106" s="17">
        <f ca="1"/>
        <v>8.1976000000000007E-2</v>
      </c>
      <c r="R106" s="17">
        <f ca="1"/>
        <v>0.18817537532401599</v>
      </c>
      <c r="S106" s="17">
        <f ca="1"/>
        <v>0.27015137532401601</v>
      </c>
      <c r="T106" s="17">
        <f ca="1"/>
        <v>61640.41</v>
      </c>
      <c r="U106" s="17">
        <f ca="1"/>
        <v>3969658.0200000019</v>
      </c>
      <c r="V106" s="17" t="str">
        <f ca="1"/>
        <v>2024-07-31</v>
      </c>
      <c r="W106" s="65">
        <f t="shared" ca="1" si="3"/>
        <v>62.613321204967782</v>
      </c>
      <c r="X106" s="65">
        <v>0.5</v>
      </c>
      <c r="Y106" s="65">
        <v>1</v>
      </c>
      <c r="Z106" s="65">
        <f t="shared" ca="1" si="2"/>
        <v>0.20494000000000001</v>
      </c>
      <c r="AA106" s="65">
        <v>0</v>
      </c>
    </row>
    <row r="107" spans="2:27" x14ac:dyDescent="0.25">
      <c r="B107" s="17">
        <f ca="1"/>
        <v>97</v>
      </c>
      <c r="C107" s="17">
        <f ca="1"/>
        <v>14446</v>
      </c>
      <c r="D107" s="17">
        <f ca="1"/>
        <v>14445</v>
      </c>
      <c r="E107" s="17">
        <f ca="1"/>
        <v>14446</v>
      </c>
      <c r="F107" s="17">
        <f ca="1"/>
        <v>7208</v>
      </c>
      <c r="G107" s="17">
        <f ca="1"/>
        <v>43124.38</v>
      </c>
      <c r="H107" s="17" t="str">
        <f ca="1"/>
        <v>CCC</v>
      </c>
      <c r="I107" s="17" t="str">
        <f ca="1"/>
        <v>Ind06</v>
      </c>
      <c r="J107" s="17" t="str">
        <f ca="1"/>
        <v>USD</v>
      </c>
      <c r="K107" s="69" t="str">
        <f ca="1"/>
        <v>ShipFin</v>
      </c>
      <c r="L107" s="17">
        <f ca="1"/>
        <v>6.1176166615611871</v>
      </c>
      <c r="M107" s="17">
        <f ca="1"/>
        <v>5</v>
      </c>
      <c r="N107" s="17">
        <f ca="1"/>
        <v>0.20494000000000001</v>
      </c>
      <c r="O107" s="17">
        <f ca="1"/>
        <v>0.4</v>
      </c>
      <c r="P107" s="17">
        <f ca="1"/>
        <v>2.3521921915502002</v>
      </c>
      <c r="Q107" s="17">
        <f ca="1"/>
        <v>8.1976000000000007E-2</v>
      </c>
      <c r="R107" s="17">
        <f ca="1"/>
        <v>0.18817537532401599</v>
      </c>
      <c r="S107" s="17">
        <f ca="1"/>
        <v>0.27015137532401601</v>
      </c>
      <c r="T107" s="17">
        <f ca="1"/>
        <v>43124.38</v>
      </c>
      <c r="U107" s="17">
        <f ca="1"/>
        <v>4012782.4000000008</v>
      </c>
      <c r="V107" s="17" t="str">
        <f ca="1"/>
        <v>2025-07-31</v>
      </c>
      <c r="W107" s="65">
        <f t="shared" ca="1" si="3"/>
        <v>73.411399938734249</v>
      </c>
      <c r="X107" s="65">
        <v>0.5</v>
      </c>
      <c r="Y107" s="65">
        <v>1</v>
      </c>
      <c r="Z107" s="65">
        <f t="shared" ca="1" si="2"/>
        <v>0.20494000000000001</v>
      </c>
      <c r="AA107" s="65">
        <v>0</v>
      </c>
    </row>
    <row r="108" spans="2:27" x14ac:dyDescent="0.25">
      <c r="B108" s="17">
        <f ca="1"/>
        <v>98</v>
      </c>
      <c r="C108" s="17">
        <f ca="1"/>
        <v>14448</v>
      </c>
      <c r="D108" s="17">
        <f ca="1"/>
        <v>14447</v>
      </c>
      <c r="E108" s="17">
        <f ca="1"/>
        <v>14448</v>
      </c>
      <c r="F108" s="17">
        <f ca="1"/>
        <v>7209</v>
      </c>
      <c r="G108" s="17">
        <f ca="1"/>
        <v>41514.620000000003</v>
      </c>
      <c r="H108" s="17" t="str">
        <f ca="1"/>
        <v>CCC</v>
      </c>
      <c r="I108" s="17" t="str">
        <f ca="1"/>
        <v>Ind06</v>
      </c>
      <c r="J108" s="17" t="str">
        <f ca="1"/>
        <v>USD</v>
      </c>
      <c r="K108" s="69" t="str">
        <f ca="1"/>
        <v>ShipFin</v>
      </c>
      <c r="L108" s="17">
        <f ca="1"/>
        <v>8.385832574227825</v>
      </c>
      <c r="M108" s="17">
        <f ca="1"/>
        <v>5</v>
      </c>
      <c r="N108" s="17">
        <f ca="1"/>
        <v>0.20494000000000001</v>
      </c>
      <c r="O108" s="17">
        <f ca="1"/>
        <v>0.4</v>
      </c>
      <c r="P108" s="17">
        <f ca="1"/>
        <v>2.3521921915502002</v>
      </c>
      <c r="Q108" s="17">
        <f ca="1"/>
        <v>8.1976000000000007E-2</v>
      </c>
      <c r="R108" s="17">
        <f ca="1"/>
        <v>0.18817537532401599</v>
      </c>
      <c r="S108" s="17">
        <f ca="1"/>
        <v>0.27015137532401601</v>
      </c>
      <c r="T108" s="17">
        <f ca="1"/>
        <v>41514.620000000003</v>
      </c>
      <c r="U108" s="17">
        <f ca="1"/>
        <v>4054297.0200000019</v>
      </c>
      <c r="V108" s="17" t="str">
        <f ca="1"/>
        <v>2027-07-31</v>
      </c>
      <c r="W108" s="65">
        <f t="shared" ca="1" si="3"/>
        <v>100.62999089073389</v>
      </c>
      <c r="X108" s="65">
        <v>0.5</v>
      </c>
      <c r="Y108" s="65">
        <v>1</v>
      </c>
      <c r="Z108" s="65">
        <f t="shared" ca="1" si="2"/>
        <v>0.20494000000000001</v>
      </c>
      <c r="AA108" s="65">
        <v>0</v>
      </c>
    </row>
    <row r="109" spans="2:27" x14ac:dyDescent="0.25">
      <c r="B109" s="17">
        <f ca="1"/>
        <v>99</v>
      </c>
      <c r="C109" s="17">
        <f ca="1"/>
        <v>14449</v>
      </c>
      <c r="D109" s="17">
        <f ca="1"/>
        <v>14448</v>
      </c>
      <c r="E109" s="17">
        <f ca="1"/>
        <v>14449</v>
      </c>
      <c r="F109" s="17">
        <f ca="1"/>
        <v>7209</v>
      </c>
      <c r="G109" s="17">
        <f ca="1"/>
        <v>56576.79</v>
      </c>
      <c r="H109" s="17" t="str">
        <f ca="1"/>
        <v>CCC</v>
      </c>
      <c r="I109" s="17" t="str">
        <f ca="1"/>
        <v>Ind06</v>
      </c>
      <c r="J109" s="17" t="str">
        <f ca="1"/>
        <v>USD</v>
      </c>
      <c r="K109" s="69" t="str">
        <f ca="1"/>
        <v>ShipFin</v>
      </c>
      <c r="L109" s="17">
        <f ca="1"/>
        <v>6.8018890292290584</v>
      </c>
      <c r="M109" s="17">
        <f ca="1"/>
        <v>5</v>
      </c>
      <c r="N109" s="17">
        <f ca="1"/>
        <v>0.20494000000000001</v>
      </c>
      <c r="O109" s="17">
        <f ca="1"/>
        <v>0.4</v>
      </c>
      <c r="P109" s="17">
        <f ca="1"/>
        <v>2.3521921915502002</v>
      </c>
      <c r="Q109" s="17">
        <f ca="1"/>
        <v>8.1976000000000007E-2</v>
      </c>
      <c r="R109" s="17">
        <f ca="1"/>
        <v>0.18817537532401599</v>
      </c>
      <c r="S109" s="17">
        <f ca="1"/>
        <v>0.27015137532401601</v>
      </c>
      <c r="T109" s="17">
        <f ca="1"/>
        <v>56576.79</v>
      </c>
      <c r="U109" s="17">
        <f ca="1"/>
        <v>4110873.8100000019</v>
      </c>
      <c r="V109" s="17" t="str">
        <f ca="1"/>
        <v>2025-08-31</v>
      </c>
      <c r="W109" s="65">
        <f t="shared" ca="1" si="3"/>
        <v>81.622668350748697</v>
      </c>
      <c r="X109" s="65">
        <v>0.5</v>
      </c>
      <c r="Y109" s="65">
        <v>1</v>
      </c>
      <c r="Z109" s="65">
        <f t="shared" ca="1" si="2"/>
        <v>0.20494000000000001</v>
      </c>
      <c r="AA109" s="65">
        <v>0</v>
      </c>
    </row>
    <row r="110" spans="2:27" x14ac:dyDescent="0.25">
      <c r="B110" s="17">
        <f ca="1"/>
        <v>100</v>
      </c>
      <c r="C110" s="17">
        <f ca="1"/>
        <v>14450</v>
      </c>
      <c r="D110" s="17">
        <f ca="1"/>
        <v>14449</v>
      </c>
      <c r="E110" s="17">
        <f ca="1"/>
        <v>14450</v>
      </c>
      <c r="F110" s="17">
        <f ca="1"/>
        <v>7210</v>
      </c>
      <c r="G110" s="17">
        <f ca="1"/>
        <v>45583.85</v>
      </c>
      <c r="H110" s="17" t="str">
        <f ca="1"/>
        <v>CCC</v>
      </c>
      <c r="I110" s="17" t="str">
        <f ca="1"/>
        <v>Ind06</v>
      </c>
      <c r="J110" s="17" t="str">
        <f ca="1"/>
        <v>USD</v>
      </c>
      <c r="K110" s="69" t="str">
        <f ca="1"/>
        <v>ShipFin</v>
      </c>
      <c r="L110" s="17">
        <f ca="1"/>
        <v>6.2972662945301279</v>
      </c>
      <c r="M110" s="17">
        <f ca="1"/>
        <v>5</v>
      </c>
      <c r="N110" s="17">
        <f ca="1"/>
        <v>0.20494000000000001</v>
      </c>
      <c r="O110" s="17">
        <f ca="1"/>
        <v>0.4</v>
      </c>
      <c r="P110" s="17">
        <f ca="1"/>
        <v>2.3521921915502002</v>
      </c>
      <c r="Q110" s="17">
        <f ca="1"/>
        <v>8.1976000000000007E-2</v>
      </c>
      <c r="R110" s="17">
        <f ca="1"/>
        <v>0.18817537532401599</v>
      </c>
      <c r="S110" s="17">
        <f ca="1"/>
        <v>0.27015137532401601</v>
      </c>
      <c r="T110" s="17">
        <f ca="1"/>
        <v>45583.85</v>
      </c>
      <c r="U110" s="17">
        <f ca="1"/>
        <v>4156457.660000002</v>
      </c>
      <c r="V110" s="17" t="str">
        <f ca="1"/>
        <v>2025-07-31</v>
      </c>
      <c r="W110" s="65">
        <f t="shared" ca="1" si="3"/>
        <v>75.567195534361531</v>
      </c>
      <c r="X110" s="65">
        <v>0.5</v>
      </c>
      <c r="Y110" s="65">
        <v>1</v>
      </c>
      <c r="Z110" s="65">
        <f t="shared" ca="1" si="2"/>
        <v>0.20494000000000001</v>
      </c>
      <c r="AA110" s="65">
        <v>0</v>
      </c>
    </row>
    <row r="111" spans="2:27" x14ac:dyDescent="0.25">
      <c r="B111" s="17">
        <f ca="1"/>
        <v>101</v>
      </c>
      <c r="C111" s="17">
        <f ca="1"/>
        <v>14454</v>
      </c>
      <c r="D111" s="17">
        <f ca="1"/>
        <v>14453</v>
      </c>
      <c r="E111" s="17">
        <f ca="1"/>
        <v>14454</v>
      </c>
      <c r="F111" s="17">
        <f ca="1"/>
        <v>7213</v>
      </c>
      <c r="G111" s="17">
        <f ca="1"/>
        <v>44788.09</v>
      </c>
      <c r="H111" s="17" t="str">
        <f ca="1"/>
        <v>CCC</v>
      </c>
      <c r="I111" s="17" t="str">
        <f ca="1"/>
        <v>Ind06</v>
      </c>
      <c r="J111" s="17" t="str">
        <f ca="1"/>
        <v>USD</v>
      </c>
      <c r="K111" s="69" t="str">
        <f ca="1"/>
        <v>ShipFin</v>
      </c>
      <c r="L111" s="17">
        <f ca="1"/>
        <v>5.1062264612270516</v>
      </c>
      <c r="M111" s="17">
        <f ca="1"/>
        <v>5</v>
      </c>
      <c r="N111" s="17">
        <f ca="1"/>
        <v>0.20494000000000001</v>
      </c>
      <c r="O111" s="17">
        <f ca="1"/>
        <v>0.4</v>
      </c>
      <c r="P111" s="17">
        <f ca="1"/>
        <v>2.3521921915502002</v>
      </c>
      <c r="Q111" s="17">
        <f ca="1"/>
        <v>8.1976000000000007E-2</v>
      </c>
      <c r="R111" s="17">
        <f ca="1"/>
        <v>0.18817537532401599</v>
      </c>
      <c r="S111" s="17">
        <f ca="1"/>
        <v>0.27015137532401601</v>
      </c>
      <c r="T111" s="17">
        <f ca="1"/>
        <v>44788.09</v>
      </c>
      <c r="U111" s="17">
        <f ca="1"/>
        <v>4201245.7500000019</v>
      </c>
      <c r="V111" s="17" t="str">
        <f ca="1"/>
        <v>2024-07-31</v>
      </c>
      <c r="W111" s="65">
        <f t="shared" ca="1" si="3"/>
        <v>61.274717534724616</v>
      </c>
      <c r="X111" s="65">
        <v>0.5</v>
      </c>
      <c r="Y111" s="65">
        <v>1</v>
      </c>
      <c r="Z111" s="65">
        <f t="shared" ca="1" si="2"/>
        <v>0.20494000000000001</v>
      </c>
      <c r="AA111" s="65">
        <v>0</v>
      </c>
    </row>
    <row r="112" spans="2:27" x14ac:dyDescent="0.25">
      <c r="B112" s="17">
        <f ca="1"/>
        <v>102</v>
      </c>
      <c r="C112" s="17">
        <f ca="1"/>
        <v>14455</v>
      </c>
      <c r="D112" s="17">
        <f ca="1"/>
        <v>14454</v>
      </c>
      <c r="E112" s="17">
        <f ca="1"/>
        <v>14455</v>
      </c>
      <c r="F112" s="17">
        <f ca="1"/>
        <v>7213</v>
      </c>
      <c r="G112" s="17">
        <f ca="1"/>
        <v>22886.01</v>
      </c>
      <c r="H112" s="17" t="str">
        <f ca="1"/>
        <v>CCC</v>
      </c>
      <c r="I112" s="17" t="str">
        <f ca="1"/>
        <v>Ind06</v>
      </c>
      <c r="J112" s="17" t="str">
        <f ca="1"/>
        <v>USD</v>
      </c>
      <c r="K112" s="69" t="str">
        <f ca="1"/>
        <v>ShipFin</v>
      </c>
      <c r="L112" s="17">
        <f ca="1"/>
        <v>6.2821568545699122</v>
      </c>
      <c r="M112" s="17">
        <f ca="1"/>
        <v>5</v>
      </c>
      <c r="N112" s="17">
        <f ca="1"/>
        <v>0.20494000000000001</v>
      </c>
      <c r="O112" s="17">
        <f ca="1"/>
        <v>0.4</v>
      </c>
      <c r="P112" s="17">
        <f ca="1"/>
        <v>2.3521921915502002</v>
      </c>
      <c r="Q112" s="17">
        <f ca="1"/>
        <v>8.1976000000000007E-2</v>
      </c>
      <c r="R112" s="17">
        <f ca="1"/>
        <v>0.18817537532401599</v>
      </c>
      <c r="S112" s="17">
        <f ca="1"/>
        <v>0.27015137532401601</v>
      </c>
      <c r="T112" s="17">
        <f ca="1"/>
        <v>22886.01</v>
      </c>
      <c r="U112" s="17">
        <f ca="1"/>
        <v>4224131.7600000016</v>
      </c>
      <c r="V112" s="17" t="str">
        <f ca="1"/>
        <v>2025-07-31</v>
      </c>
      <c r="W112" s="65">
        <f t="shared" ca="1" si="3"/>
        <v>75.385882254838947</v>
      </c>
      <c r="X112" s="65">
        <v>0.5</v>
      </c>
      <c r="Y112" s="65">
        <v>1</v>
      </c>
      <c r="Z112" s="65">
        <f t="shared" ca="1" si="2"/>
        <v>0.20494000000000001</v>
      </c>
      <c r="AA112" s="65">
        <v>0</v>
      </c>
    </row>
    <row r="113" spans="2:27" x14ac:dyDescent="0.25">
      <c r="B113" s="17">
        <f ca="1"/>
        <v>103</v>
      </c>
      <c r="C113" s="17">
        <f ca="1"/>
        <v>14456</v>
      </c>
      <c r="D113" s="17">
        <f ca="1"/>
        <v>14455</v>
      </c>
      <c r="E113" s="17">
        <f ca="1"/>
        <v>14456</v>
      </c>
      <c r="F113" s="17">
        <f ca="1"/>
        <v>7213</v>
      </c>
      <c r="G113" s="17">
        <f ca="1"/>
        <v>18037.18</v>
      </c>
      <c r="H113" s="17" t="str">
        <f ca="1"/>
        <v>CCC</v>
      </c>
      <c r="I113" s="17" t="str">
        <f ca="1"/>
        <v>Ind06</v>
      </c>
      <c r="J113" s="17" t="str">
        <f ca="1"/>
        <v>USD</v>
      </c>
      <c r="K113" s="69" t="str">
        <f ca="1"/>
        <v>ShipFin</v>
      </c>
      <c r="L113" s="17">
        <f ca="1"/>
        <v>7.2033066931227232</v>
      </c>
      <c r="M113" s="17">
        <f ca="1"/>
        <v>5</v>
      </c>
      <c r="N113" s="17">
        <f ca="1"/>
        <v>0.20494000000000001</v>
      </c>
      <c r="O113" s="17">
        <f ca="1"/>
        <v>0.4</v>
      </c>
      <c r="P113" s="17">
        <f ca="1"/>
        <v>2.3521921915502002</v>
      </c>
      <c r="Q113" s="17">
        <f ca="1"/>
        <v>8.1976000000000007E-2</v>
      </c>
      <c r="R113" s="17">
        <f ca="1"/>
        <v>0.18817537532401599</v>
      </c>
      <c r="S113" s="17">
        <f ca="1"/>
        <v>0.27015137532401601</v>
      </c>
      <c r="T113" s="17">
        <f ca="1"/>
        <v>18037.18</v>
      </c>
      <c r="U113" s="17">
        <f ca="1"/>
        <v>4242168.9400000013</v>
      </c>
      <c r="V113" s="17" t="str">
        <f ca="1"/>
        <v>2026-07-31</v>
      </c>
      <c r="W113" s="65">
        <f t="shared" ca="1" si="3"/>
        <v>86.439680317472678</v>
      </c>
      <c r="X113" s="65">
        <v>0.5</v>
      </c>
      <c r="Y113" s="65">
        <v>1</v>
      </c>
      <c r="Z113" s="65">
        <f t="shared" ca="1" si="2"/>
        <v>0.20494000000000001</v>
      </c>
      <c r="AA113" s="65">
        <v>0</v>
      </c>
    </row>
    <row r="114" spans="2:27" x14ac:dyDescent="0.25">
      <c r="B114" s="17">
        <f ca="1"/>
        <v>104</v>
      </c>
      <c r="C114" s="17">
        <f ca="1"/>
        <v>14457</v>
      </c>
      <c r="D114" s="17">
        <f ca="1"/>
        <v>14456</v>
      </c>
      <c r="E114" s="17">
        <f ca="1"/>
        <v>14457</v>
      </c>
      <c r="F114" s="17">
        <f ca="1"/>
        <v>7214</v>
      </c>
      <c r="G114" s="17">
        <f ca="1"/>
        <v>558.97</v>
      </c>
      <c r="H114" s="17" t="str">
        <f ca="1"/>
        <v>CCC</v>
      </c>
      <c r="I114" s="17" t="str">
        <f ca="1"/>
        <v>Ind06</v>
      </c>
      <c r="J114" s="17" t="str">
        <f ca="1"/>
        <v>USD</v>
      </c>
      <c r="K114" s="69" t="str">
        <f ca="1"/>
        <v>ShipFin</v>
      </c>
      <c r="L114" s="17">
        <f ca="1"/>
        <v>8.1125776683259758</v>
      </c>
      <c r="M114" s="17">
        <f ca="1"/>
        <v>5</v>
      </c>
      <c r="N114" s="17">
        <f ca="1"/>
        <v>0.20494000000000001</v>
      </c>
      <c r="O114" s="17">
        <f ca="1"/>
        <v>0.4</v>
      </c>
      <c r="P114" s="17">
        <f ca="1"/>
        <v>2.3521921915502002</v>
      </c>
      <c r="Q114" s="17">
        <f ca="1"/>
        <v>8.1976000000000007E-2</v>
      </c>
      <c r="R114" s="17">
        <f ca="1"/>
        <v>0.18817537532401599</v>
      </c>
      <c r="S114" s="17">
        <f ca="1"/>
        <v>0.27015137532401601</v>
      </c>
      <c r="T114" s="17">
        <f ca="1"/>
        <v>558.97</v>
      </c>
      <c r="U114" s="17">
        <f ca="1"/>
        <v>4242727.9100000011</v>
      </c>
      <c r="V114" s="17" t="str">
        <f ca="1"/>
        <v>2027-07-31</v>
      </c>
      <c r="W114" s="65">
        <f t="shared" ca="1" si="3"/>
        <v>97.35093201991171</v>
      </c>
      <c r="X114" s="65">
        <v>0.5</v>
      </c>
      <c r="Y114" s="65">
        <v>1</v>
      </c>
      <c r="Z114" s="65">
        <f t="shared" ca="1" si="2"/>
        <v>0.20494000000000001</v>
      </c>
      <c r="AA114" s="65">
        <v>0</v>
      </c>
    </row>
    <row r="115" spans="2:27" x14ac:dyDescent="0.25">
      <c r="B115" s="17">
        <f ca="1"/>
        <v>105</v>
      </c>
      <c r="C115" s="17">
        <f ca="1"/>
        <v>14459</v>
      </c>
      <c r="D115" s="17">
        <f ca="1"/>
        <v>14458</v>
      </c>
      <c r="E115" s="17">
        <f ca="1"/>
        <v>14459</v>
      </c>
      <c r="F115" s="17">
        <f ca="1"/>
        <v>7215</v>
      </c>
      <c r="G115" s="17">
        <f ca="1"/>
        <v>105662.74</v>
      </c>
      <c r="H115" s="17" t="str">
        <f ca="1"/>
        <v>CCC</v>
      </c>
      <c r="I115" s="17" t="str">
        <f ca="1"/>
        <v>Ind06</v>
      </c>
      <c r="J115" s="17" t="str">
        <f ca="1"/>
        <v>USD</v>
      </c>
      <c r="K115" s="69" t="str">
        <f ca="1"/>
        <v>ShipFin</v>
      </c>
      <c r="L115" s="17">
        <f ca="1"/>
        <v>5.2530125724896788</v>
      </c>
      <c r="M115" s="17">
        <f ca="1"/>
        <v>5</v>
      </c>
      <c r="N115" s="17">
        <f ca="1"/>
        <v>0.20494000000000001</v>
      </c>
      <c r="O115" s="17">
        <f ca="1"/>
        <v>0.4</v>
      </c>
      <c r="P115" s="17">
        <f ca="1"/>
        <v>2.3521921915502002</v>
      </c>
      <c r="Q115" s="17">
        <f ca="1"/>
        <v>8.1976000000000007E-2</v>
      </c>
      <c r="R115" s="17">
        <f ca="1"/>
        <v>0.18817537532401599</v>
      </c>
      <c r="S115" s="17">
        <f ca="1"/>
        <v>0.27015137532401601</v>
      </c>
      <c r="T115" s="17">
        <f ca="1"/>
        <v>105662.74</v>
      </c>
      <c r="U115" s="17">
        <f ca="1"/>
        <v>4348390.6500000013</v>
      </c>
      <c r="V115" s="17" t="str">
        <f ca="1"/>
        <v>2024-07-31</v>
      </c>
      <c r="W115" s="65">
        <f t="shared" ca="1" si="3"/>
        <v>63.036150869876145</v>
      </c>
      <c r="X115" s="65">
        <v>0.5</v>
      </c>
      <c r="Y115" s="65">
        <v>1</v>
      </c>
      <c r="Z115" s="65">
        <f t="shared" ca="1" si="2"/>
        <v>0.20494000000000001</v>
      </c>
      <c r="AA115" s="65">
        <v>0</v>
      </c>
    </row>
    <row r="116" spans="2:27" x14ac:dyDescent="0.25">
      <c r="B116" s="17">
        <f ca="1"/>
        <v>106</v>
      </c>
      <c r="C116" s="17">
        <f ca="1"/>
        <v>14460</v>
      </c>
      <c r="D116" s="17">
        <f ca="1"/>
        <v>14459</v>
      </c>
      <c r="E116" s="17">
        <f ca="1"/>
        <v>14460</v>
      </c>
      <c r="F116" s="17">
        <f ca="1"/>
        <v>7216</v>
      </c>
      <c r="G116" s="17">
        <f ca="1"/>
        <v>61328.93</v>
      </c>
      <c r="H116" s="17" t="str">
        <f ca="1"/>
        <v>CCC</v>
      </c>
      <c r="I116" s="17" t="str">
        <f ca="1"/>
        <v>Ind06</v>
      </c>
      <c r="J116" s="17" t="str">
        <f ca="1"/>
        <v>USD</v>
      </c>
      <c r="K116" s="69" t="str">
        <f ca="1"/>
        <v>ShipFin</v>
      </c>
      <c r="L116" s="17">
        <f ca="1"/>
        <v>8.8215842432016505</v>
      </c>
      <c r="M116" s="17">
        <f ca="1"/>
        <v>5</v>
      </c>
      <c r="N116" s="17">
        <f ca="1"/>
        <v>0.20494000000000001</v>
      </c>
      <c r="O116" s="17">
        <f ca="1"/>
        <v>0.4</v>
      </c>
      <c r="P116" s="17">
        <f ca="1"/>
        <v>2.3521921915502002</v>
      </c>
      <c r="Q116" s="17">
        <f ca="1"/>
        <v>8.1976000000000007E-2</v>
      </c>
      <c r="R116" s="17">
        <f ca="1"/>
        <v>0.18817537532401599</v>
      </c>
      <c r="S116" s="17">
        <f ca="1"/>
        <v>0.27015137532401601</v>
      </c>
      <c r="T116" s="17">
        <f ca="1"/>
        <v>61328.93</v>
      </c>
      <c r="U116" s="17">
        <f ca="1"/>
        <v>4409719.580000001</v>
      </c>
      <c r="V116" s="17" t="str">
        <f ca="1"/>
        <v>2027-08-31</v>
      </c>
      <c r="W116" s="65">
        <f t="shared" ca="1" si="3"/>
        <v>105.85901091841981</v>
      </c>
      <c r="X116" s="65">
        <v>0.5</v>
      </c>
      <c r="Y116" s="65">
        <v>1</v>
      </c>
      <c r="Z116" s="65">
        <f t="shared" ca="1" si="2"/>
        <v>0.20494000000000001</v>
      </c>
      <c r="AA116" s="65">
        <v>0</v>
      </c>
    </row>
    <row r="117" spans="2:27" x14ac:dyDescent="0.25">
      <c r="B117" s="17">
        <f ca="1"/>
        <v>107</v>
      </c>
      <c r="C117" s="17">
        <f ca="1"/>
        <v>14462</v>
      </c>
      <c r="D117" s="17">
        <f ca="1"/>
        <v>14461</v>
      </c>
      <c r="E117" s="17">
        <f ca="1"/>
        <v>14462</v>
      </c>
      <c r="F117" s="17">
        <f ca="1"/>
        <v>7217</v>
      </c>
      <c r="G117" s="17">
        <f ca="1"/>
        <v>41506.300000000003</v>
      </c>
      <c r="H117" s="17" t="str">
        <f ca="1"/>
        <v>CCC</v>
      </c>
      <c r="I117" s="17" t="str">
        <f ca="1"/>
        <v>Ind06</v>
      </c>
      <c r="J117" s="17" t="str">
        <f ca="1"/>
        <v>USD</v>
      </c>
      <c r="K117" s="69" t="str">
        <f ca="1"/>
        <v>ShipFin</v>
      </c>
      <c r="L117" s="17">
        <f ca="1"/>
        <v>9.9348465427942578</v>
      </c>
      <c r="M117" s="17">
        <f ca="1"/>
        <v>5</v>
      </c>
      <c r="N117" s="17">
        <f ca="1"/>
        <v>0.20494000000000001</v>
      </c>
      <c r="O117" s="17">
        <f ca="1"/>
        <v>0.4</v>
      </c>
      <c r="P117" s="17">
        <f ca="1"/>
        <v>2.3521921915502002</v>
      </c>
      <c r="Q117" s="17">
        <f ca="1"/>
        <v>8.1976000000000007E-2</v>
      </c>
      <c r="R117" s="17">
        <f ca="1"/>
        <v>0.18817537532401599</v>
      </c>
      <c r="S117" s="17">
        <f ca="1"/>
        <v>0.27015137532401601</v>
      </c>
      <c r="T117" s="17">
        <f ca="1"/>
        <v>41506.300000000003</v>
      </c>
      <c r="U117" s="17">
        <f ca="1"/>
        <v>4451225.8800000008</v>
      </c>
      <c r="V117" s="17" t="str">
        <f ca="1"/>
        <v>2028-08-31</v>
      </c>
      <c r="W117" s="65">
        <f t="shared" ca="1" si="3"/>
        <v>119.21815851353109</v>
      </c>
      <c r="X117" s="65">
        <v>0.5</v>
      </c>
      <c r="Y117" s="65">
        <v>1</v>
      </c>
      <c r="Z117" s="65">
        <f t="shared" ca="1" si="2"/>
        <v>0.20494000000000001</v>
      </c>
      <c r="AA117" s="65">
        <v>0</v>
      </c>
    </row>
    <row r="118" spans="2:27" x14ac:dyDescent="0.25">
      <c r="B118" s="17">
        <f ca="1"/>
        <v>108</v>
      </c>
      <c r="C118" s="17">
        <f ca="1"/>
        <v>14464</v>
      </c>
      <c r="D118" s="17">
        <f ca="1"/>
        <v>14463</v>
      </c>
      <c r="E118" s="17">
        <f ca="1"/>
        <v>14464</v>
      </c>
      <c r="F118" s="17">
        <f ca="1"/>
        <v>7218</v>
      </c>
      <c r="G118" s="17">
        <f ca="1"/>
        <v>41496.129999999997</v>
      </c>
      <c r="H118" s="17" t="str">
        <f ca="1"/>
        <v>CCC</v>
      </c>
      <c r="I118" s="17" t="str">
        <f ca="1"/>
        <v>Ind06</v>
      </c>
      <c r="J118" s="17" t="str">
        <f ca="1"/>
        <v>USD</v>
      </c>
      <c r="K118" s="69" t="str">
        <f ca="1"/>
        <v>ShipFin</v>
      </c>
      <c r="L118" s="17">
        <f ca="1"/>
        <v>6.7742733817058634</v>
      </c>
      <c r="M118" s="17">
        <f ca="1"/>
        <v>5</v>
      </c>
      <c r="N118" s="17">
        <f ca="1"/>
        <v>0.20494000000000001</v>
      </c>
      <c r="O118" s="17">
        <f ca="1"/>
        <v>0.4</v>
      </c>
      <c r="P118" s="17">
        <f ca="1"/>
        <v>2.3521921915502002</v>
      </c>
      <c r="Q118" s="17">
        <f ca="1"/>
        <v>8.1976000000000007E-2</v>
      </c>
      <c r="R118" s="17">
        <f ca="1"/>
        <v>0.18817537532401599</v>
      </c>
      <c r="S118" s="17">
        <f ca="1"/>
        <v>0.27015137532401601</v>
      </c>
      <c r="T118" s="17">
        <f ca="1"/>
        <v>41496.129999999997</v>
      </c>
      <c r="U118" s="17">
        <f ca="1"/>
        <v>4492722.0100000016</v>
      </c>
      <c r="V118" s="17" t="str">
        <f ca="1"/>
        <v>2025-08-31</v>
      </c>
      <c r="W118" s="65">
        <f t="shared" ca="1" si="3"/>
        <v>81.291280580470357</v>
      </c>
      <c r="X118" s="65">
        <v>0.5</v>
      </c>
      <c r="Y118" s="65">
        <v>1</v>
      </c>
      <c r="Z118" s="65">
        <f t="shared" ca="1" si="2"/>
        <v>0.20494000000000001</v>
      </c>
      <c r="AA118" s="65">
        <v>0</v>
      </c>
    </row>
    <row r="119" spans="2:27" x14ac:dyDescent="0.25">
      <c r="B119" s="17">
        <f ca="1"/>
        <v>109</v>
      </c>
      <c r="C119" s="17">
        <f ca="1"/>
        <v>14465</v>
      </c>
      <c r="D119" s="17">
        <f ca="1"/>
        <v>14464</v>
      </c>
      <c r="E119" s="17">
        <f ca="1"/>
        <v>14465</v>
      </c>
      <c r="F119" s="17">
        <f ca="1"/>
        <v>7218</v>
      </c>
      <c r="G119" s="17">
        <f ca="1"/>
        <v>55398.69</v>
      </c>
      <c r="H119" s="17" t="str">
        <f ca="1"/>
        <v>CCC</v>
      </c>
      <c r="I119" s="17" t="str">
        <f ca="1"/>
        <v>Ind06</v>
      </c>
      <c r="J119" s="17" t="str">
        <f ca="1"/>
        <v>USD</v>
      </c>
      <c r="K119" s="69" t="str">
        <f ca="1"/>
        <v>ShipFin</v>
      </c>
      <c r="L119" s="17">
        <f ca="1"/>
        <v>5.4624938495620166</v>
      </c>
      <c r="M119" s="17">
        <f ca="1"/>
        <v>5</v>
      </c>
      <c r="N119" s="17">
        <f ca="1"/>
        <v>0.20494000000000001</v>
      </c>
      <c r="O119" s="17">
        <f ca="1"/>
        <v>0.4</v>
      </c>
      <c r="P119" s="17">
        <f ca="1"/>
        <v>2.3521921915502002</v>
      </c>
      <c r="Q119" s="17">
        <f ca="1"/>
        <v>8.1976000000000007E-2</v>
      </c>
      <c r="R119" s="17">
        <f ca="1"/>
        <v>0.18817537532401599</v>
      </c>
      <c r="S119" s="17">
        <f ca="1"/>
        <v>0.27015137532401601</v>
      </c>
      <c r="T119" s="17">
        <f ca="1"/>
        <v>55398.69</v>
      </c>
      <c r="U119" s="17">
        <f ca="1"/>
        <v>4548120.7000000011</v>
      </c>
      <c r="V119" s="17" t="str">
        <f ca="1"/>
        <v>2024-08-31</v>
      </c>
      <c r="W119" s="65">
        <f t="shared" ca="1" si="3"/>
        <v>65.549926194744202</v>
      </c>
      <c r="X119" s="65">
        <v>0.5</v>
      </c>
      <c r="Y119" s="65">
        <v>1</v>
      </c>
      <c r="Z119" s="65">
        <f t="shared" ca="1" si="2"/>
        <v>0.20494000000000001</v>
      </c>
      <c r="AA119" s="65">
        <v>0</v>
      </c>
    </row>
    <row r="120" spans="2:27" x14ac:dyDescent="0.25">
      <c r="B120" s="17">
        <f ca="1"/>
        <v>110</v>
      </c>
      <c r="C120" s="17">
        <f ca="1"/>
        <v>14473</v>
      </c>
      <c r="D120" s="17">
        <f ca="1"/>
        <v>14472</v>
      </c>
      <c r="E120" s="17">
        <f ca="1"/>
        <v>14473</v>
      </c>
      <c r="F120" s="17">
        <f ca="1"/>
        <v>7222</v>
      </c>
      <c r="G120" s="17">
        <f ca="1"/>
        <v>49558.879999999997</v>
      </c>
      <c r="H120" s="17" t="str">
        <f ca="1"/>
        <v>CCC</v>
      </c>
      <c r="I120" s="17" t="str">
        <f ca="1"/>
        <v>Ind06</v>
      </c>
      <c r="J120" s="17" t="str">
        <f ca="1"/>
        <v>USD</v>
      </c>
      <c r="K120" s="69" t="str">
        <f ca="1"/>
        <v>ShipFin</v>
      </c>
      <c r="L120" s="17">
        <f ca="1"/>
        <v>5.4777640867163422</v>
      </c>
      <c r="M120" s="17">
        <f ca="1"/>
        <v>5</v>
      </c>
      <c r="N120" s="17">
        <f ca="1"/>
        <v>0.20494000000000001</v>
      </c>
      <c r="O120" s="17">
        <f ca="1"/>
        <v>0.4</v>
      </c>
      <c r="P120" s="17">
        <f ca="1"/>
        <v>2.3521921915502002</v>
      </c>
      <c r="Q120" s="17">
        <f ca="1"/>
        <v>8.1976000000000007E-2</v>
      </c>
      <c r="R120" s="17">
        <f ca="1"/>
        <v>0.18817537532401599</v>
      </c>
      <c r="S120" s="17">
        <f ca="1"/>
        <v>0.27015137532401601</v>
      </c>
      <c r="T120" s="17">
        <f ca="1"/>
        <v>49558.879999999997</v>
      </c>
      <c r="U120" s="17">
        <f ca="1"/>
        <v>4597679.580000001</v>
      </c>
      <c r="V120" s="17" t="str">
        <f ca="1"/>
        <v>2024-08-31</v>
      </c>
      <c r="W120" s="65">
        <f t="shared" ca="1" si="3"/>
        <v>65.73316904059611</v>
      </c>
      <c r="X120" s="65">
        <v>0.5</v>
      </c>
      <c r="Y120" s="65">
        <v>1</v>
      </c>
      <c r="Z120" s="65">
        <f t="shared" ca="1" si="2"/>
        <v>0.20494000000000001</v>
      </c>
      <c r="AA120" s="65">
        <v>0</v>
      </c>
    </row>
    <row r="121" spans="2:27" x14ac:dyDescent="0.25">
      <c r="B121" s="17">
        <f ca="1"/>
        <v>111</v>
      </c>
      <c r="C121" s="17">
        <f ca="1"/>
        <v>14474</v>
      </c>
      <c r="D121" s="17">
        <f ca="1"/>
        <v>14473</v>
      </c>
      <c r="E121" s="17">
        <f ca="1"/>
        <v>14474</v>
      </c>
      <c r="F121" s="17">
        <f ca="1"/>
        <v>7223</v>
      </c>
      <c r="G121" s="17">
        <f ca="1"/>
        <v>90422.62</v>
      </c>
      <c r="H121" s="17" t="str">
        <f ca="1"/>
        <v>CCC</v>
      </c>
      <c r="I121" s="17" t="str">
        <f ca="1"/>
        <v>Ind06</v>
      </c>
      <c r="J121" s="17" t="str">
        <f ca="1"/>
        <v>USD</v>
      </c>
      <c r="K121" s="69" t="str">
        <f ca="1"/>
        <v>ShipFin</v>
      </c>
      <c r="L121" s="17">
        <f ca="1"/>
        <v>7.956058827214874</v>
      </c>
      <c r="M121" s="17">
        <f ca="1"/>
        <v>5</v>
      </c>
      <c r="N121" s="17">
        <f ca="1"/>
        <v>0.20494000000000001</v>
      </c>
      <c r="O121" s="17">
        <f ca="1"/>
        <v>0.4</v>
      </c>
      <c r="P121" s="17">
        <f ca="1"/>
        <v>2.3521921915502002</v>
      </c>
      <c r="Q121" s="17">
        <f ca="1"/>
        <v>8.1976000000000007E-2</v>
      </c>
      <c r="R121" s="17">
        <f ca="1"/>
        <v>0.18817537532401599</v>
      </c>
      <c r="S121" s="17">
        <f ca="1"/>
        <v>0.27015137532401601</v>
      </c>
      <c r="T121" s="17">
        <f ca="1"/>
        <v>90422.62</v>
      </c>
      <c r="U121" s="17">
        <f ca="1"/>
        <v>4688102.2000000011</v>
      </c>
      <c r="V121" s="17" t="str">
        <f ca="1"/>
        <v>2026-08-31</v>
      </c>
      <c r="W121" s="65">
        <f t="shared" ca="1" si="3"/>
        <v>95.472705926578485</v>
      </c>
      <c r="X121" s="65">
        <v>0.5</v>
      </c>
      <c r="Y121" s="65">
        <v>1</v>
      </c>
      <c r="Z121" s="65">
        <f t="shared" ca="1" si="2"/>
        <v>0.20494000000000001</v>
      </c>
      <c r="AA121" s="65">
        <v>0</v>
      </c>
    </row>
    <row r="122" spans="2:27" x14ac:dyDescent="0.25">
      <c r="B122" s="17">
        <f ca="1"/>
        <v>112</v>
      </c>
      <c r="C122" s="17">
        <f ca="1"/>
        <v>14435</v>
      </c>
      <c r="D122" s="17">
        <f ca="1"/>
        <v>14434</v>
      </c>
      <c r="E122" s="17">
        <f ca="1"/>
        <v>14435</v>
      </c>
      <c r="F122" s="17">
        <f ca="1"/>
        <v>7201</v>
      </c>
      <c r="G122" s="17">
        <f ca="1"/>
        <v>35403.58</v>
      </c>
      <c r="H122" s="17" t="str">
        <f ca="1"/>
        <v>CCC</v>
      </c>
      <c r="I122" s="17" t="str">
        <f ca="1"/>
        <v>Ind06</v>
      </c>
      <c r="J122" s="17" t="str">
        <f ca="1"/>
        <v>USD</v>
      </c>
      <c r="K122" s="69" t="str">
        <f ca="1"/>
        <v>ShipFin</v>
      </c>
      <c r="L122" s="17">
        <f ca="1"/>
        <v>9.7787075036740863</v>
      </c>
      <c r="M122" s="17">
        <f ca="1"/>
        <v>5</v>
      </c>
      <c r="N122" s="17">
        <f ca="1"/>
        <v>0.20494000000000001</v>
      </c>
      <c r="O122" s="17">
        <f ca="1"/>
        <v>0.4</v>
      </c>
      <c r="P122" s="17">
        <f ca="1"/>
        <v>2.3521921915502002</v>
      </c>
      <c r="Q122" s="17">
        <f ca="1"/>
        <v>8.1976000000000007E-2</v>
      </c>
      <c r="R122" s="17">
        <f ca="1"/>
        <v>0.18817537532401599</v>
      </c>
      <c r="S122" s="17">
        <f ca="1"/>
        <v>0.27015137532401601</v>
      </c>
      <c r="T122" s="17">
        <f ca="1"/>
        <v>35403.58</v>
      </c>
      <c r="U122" s="17">
        <f ca="1"/>
        <v>4723505.7800000012</v>
      </c>
      <c r="V122" s="17" t="str">
        <f ca="1"/>
        <v>2028-08-31</v>
      </c>
      <c r="W122" s="65">
        <f t="shared" ca="1" si="3"/>
        <v>117.34449004408904</v>
      </c>
      <c r="X122" s="65">
        <v>0.5</v>
      </c>
      <c r="Y122" s="65">
        <v>1</v>
      </c>
      <c r="Z122" s="65">
        <f t="shared" ca="1" si="2"/>
        <v>0.20494000000000001</v>
      </c>
      <c r="AA122" s="65">
        <v>0</v>
      </c>
    </row>
    <row r="123" spans="2:27" x14ac:dyDescent="0.25">
      <c r="B123" s="17">
        <f ca="1"/>
        <v>113</v>
      </c>
      <c r="C123" s="17">
        <f ca="1"/>
        <v>14434</v>
      </c>
      <c r="D123" s="17">
        <f ca="1"/>
        <v>14433</v>
      </c>
      <c r="E123" s="17">
        <f ca="1"/>
        <v>14434</v>
      </c>
      <c r="F123" s="17">
        <f ca="1"/>
        <v>7201</v>
      </c>
      <c r="G123" s="17">
        <f ca="1"/>
        <v>58204</v>
      </c>
      <c r="H123" s="17" t="str">
        <f ca="1"/>
        <v>CCC</v>
      </c>
      <c r="I123" s="17" t="str">
        <f ca="1"/>
        <v>Ind06</v>
      </c>
      <c r="J123" s="17" t="str">
        <f ca="1"/>
        <v>USD</v>
      </c>
      <c r="K123" s="69" t="str">
        <f ca="1"/>
        <v>ShipFin</v>
      </c>
      <c r="L123" s="17">
        <f ca="1"/>
        <v>8.4906102830404411</v>
      </c>
      <c r="M123" s="17">
        <f ca="1"/>
        <v>5</v>
      </c>
      <c r="N123" s="17">
        <f ca="1"/>
        <v>0.20494000000000001</v>
      </c>
      <c r="O123" s="17">
        <f ca="1"/>
        <v>0.4</v>
      </c>
      <c r="P123" s="17">
        <f ca="1"/>
        <v>2.3521921915502002</v>
      </c>
      <c r="Q123" s="17">
        <f ca="1"/>
        <v>8.1976000000000007E-2</v>
      </c>
      <c r="R123" s="17">
        <f ca="1"/>
        <v>0.18817537532401599</v>
      </c>
      <c r="S123" s="17">
        <f ca="1"/>
        <v>0.27015137532401601</v>
      </c>
      <c r="T123" s="17">
        <f ca="1"/>
        <v>58204</v>
      </c>
      <c r="U123" s="17">
        <f ca="1"/>
        <v>4781709.7800000012</v>
      </c>
      <c r="V123" s="17" t="str">
        <f ca="1"/>
        <v>2027-08-31</v>
      </c>
      <c r="W123" s="65">
        <f t="shared" ca="1" si="3"/>
        <v>101.8873233964853</v>
      </c>
      <c r="X123" s="65">
        <v>0.5</v>
      </c>
      <c r="Y123" s="65">
        <v>1</v>
      </c>
      <c r="Z123" s="65">
        <f t="shared" ca="1" si="2"/>
        <v>0.20494000000000001</v>
      </c>
      <c r="AA123" s="65">
        <v>0</v>
      </c>
    </row>
    <row r="124" spans="2:27" x14ac:dyDescent="0.25">
      <c r="B124" s="17">
        <f ca="1"/>
        <v>114</v>
      </c>
      <c r="C124" s="17">
        <f ca="1"/>
        <v>14431</v>
      </c>
      <c r="D124" s="17">
        <f ca="1"/>
        <v>14430</v>
      </c>
      <c r="E124" s="17">
        <f ca="1"/>
        <v>14431</v>
      </c>
      <c r="F124" s="17">
        <f ca="1"/>
        <v>7200</v>
      </c>
      <c r="G124" s="17">
        <f ca="1"/>
        <v>16977.46</v>
      </c>
      <c r="H124" s="17" t="str">
        <f ca="1"/>
        <v>CCC</v>
      </c>
      <c r="I124" s="17" t="str">
        <f ca="1"/>
        <v>Ind06</v>
      </c>
      <c r="J124" s="17" t="str">
        <f ca="1"/>
        <v>USD</v>
      </c>
      <c r="K124" s="69" t="str">
        <f ca="1"/>
        <v>ShipFin</v>
      </c>
      <c r="L124" s="17">
        <f ca="1"/>
        <v>7.4184623403800654</v>
      </c>
      <c r="M124" s="17">
        <f ca="1"/>
        <v>5</v>
      </c>
      <c r="N124" s="17">
        <f ca="1"/>
        <v>0.20494000000000001</v>
      </c>
      <c r="O124" s="17">
        <f ca="1"/>
        <v>0.4</v>
      </c>
      <c r="P124" s="17">
        <f ca="1"/>
        <v>2.3521921915502002</v>
      </c>
      <c r="Q124" s="17">
        <f ca="1"/>
        <v>8.1976000000000007E-2</v>
      </c>
      <c r="R124" s="17">
        <f ca="1"/>
        <v>0.18817537532401599</v>
      </c>
      <c r="S124" s="17">
        <f ca="1"/>
        <v>0.27015137532401601</v>
      </c>
      <c r="T124" s="17">
        <f ca="1"/>
        <v>16977.46</v>
      </c>
      <c r="U124" s="17">
        <f ca="1"/>
        <v>4798687.2400000012</v>
      </c>
      <c r="V124" s="17" t="str">
        <f ca="1"/>
        <v>2026-08-31</v>
      </c>
      <c r="W124" s="65">
        <f t="shared" ca="1" si="3"/>
        <v>89.021548084560777</v>
      </c>
      <c r="X124" s="65">
        <v>0.5</v>
      </c>
      <c r="Y124" s="65">
        <v>1</v>
      </c>
      <c r="Z124" s="65">
        <f t="shared" ca="1" si="2"/>
        <v>0.20494000000000001</v>
      </c>
      <c r="AA124" s="65">
        <v>0</v>
      </c>
    </row>
    <row r="125" spans="2:27" x14ac:dyDescent="0.25">
      <c r="B125" s="17">
        <f ca="1"/>
        <v>115</v>
      </c>
      <c r="C125" s="17">
        <f ca="1"/>
        <v>14400</v>
      </c>
      <c r="D125" s="17">
        <f ca="1"/>
        <v>14399</v>
      </c>
      <c r="E125" s="17">
        <f ca="1"/>
        <v>14400</v>
      </c>
      <c r="F125" s="17">
        <f ca="1"/>
        <v>7181</v>
      </c>
      <c r="G125" s="17">
        <f ca="1"/>
        <v>75141.61</v>
      </c>
      <c r="H125" s="17" t="str">
        <f ca="1"/>
        <v>CCC</v>
      </c>
      <c r="I125" s="17" t="str">
        <f ca="1"/>
        <v>Ind06</v>
      </c>
      <c r="J125" s="17" t="str">
        <f ca="1"/>
        <v>USD</v>
      </c>
      <c r="K125" s="69" t="str">
        <f ca="1"/>
        <v>ShipFin</v>
      </c>
      <c r="L125" s="17">
        <f ca="1"/>
        <v>6.3430268113850614</v>
      </c>
      <c r="M125" s="17">
        <f ca="1"/>
        <v>5</v>
      </c>
      <c r="N125" s="17">
        <f ca="1"/>
        <v>0.20494000000000001</v>
      </c>
      <c r="O125" s="17">
        <f ca="1"/>
        <v>0.4</v>
      </c>
      <c r="P125" s="17">
        <f ca="1"/>
        <v>2.3521921915502002</v>
      </c>
      <c r="Q125" s="17">
        <f ca="1"/>
        <v>8.1976000000000007E-2</v>
      </c>
      <c r="R125" s="17">
        <f ca="1"/>
        <v>0.18817537532401599</v>
      </c>
      <c r="S125" s="17">
        <f ca="1"/>
        <v>0.27015137532401601</v>
      </c>
      <c r="T125" s="17">
        <f ca="1"/>
        <v>75141.61</v>
      </c>
      <c r="U125" s="17">
        <f ca="1"/>
        <v>4873828.8500000015</v>
      </c>
      <c r="V125" s="17" t="str">
        <f ca="1"/>
        <v>2025-07-31</v>
      </c>
      <c r="W125" s="65">
        <f t="shared" ca="1" si="3"/>
        <v>76.116321736620733</v>
      </c>
      <c r="X125" s="65">
        <v>0.5</v>
      </c>
      <c r="Y125" s="65">
        <v>1</v>
      </c>
      <c r="Z125" s="65">
        <f t="shared" ca="1" si="2"/>
        <v>0.20494000000000001</v>
      </c>
      <c r="AA125" s="65">
        <v>0</v>
      </c>
    </row>
    <row r="126" spans="2:27" x14ac:dyDescent="0.25">
      <c r="B126" s="17">
        <f ca="1"/>
        <v>116</v>
      </c>
      <c r="C126" s="17">
        <f ca="1"/>
        <v>14381</v>
      </c>
      <c r="D126" s="17">
        <f ca="1"/>
        <v>14380</v>
      </c>
      <c r="E126" s="17">
        <f ca="1"/>
        <v>14381</v>
      </c>
      <c r="F126" s="17">
        <f ca="1"/>
        <v>7171</v>
      </c>
      <c r="G126" s="17">
        <f ca="1"/>
        <v>25674.35</v>
      </c>
      <c r="H126" s="17" t="str">
        <f ca="1"/>
        <v>CCC</v>
      </c>
      <c r="I126" s="17" t="str">
        <f ca="1"/>
        <v>Ind06</v>
      </c>
      <c r="J126" s="17" t="str">
        <f ca="1"/>
        <v>USD</v>
      </c>
      <c r="K126" s="69" t="str">
        <f ca="1"/>
        <v>ShipFin</v>
      </c>
      <c r="L126" s="17">
        <f ca="1"/>
        <v>9.2952979732910155</v>
      </c>
      <c r="M126" s="17">
        <f ca="1"/>
        <v>5</v>
      </c>
      <c r="N126" s="17">
        <f ca="1"/>
        <v>0.20494000000000001</v>
      </c>
      <c r="O126" s="17">
        <f ca="1"/>
        <v>0.4</v>
      </c>
      <c r="P126" s="17">
        <f ca="1"/>
        <v>2.3521921915502002</v>
      </c>
      <c r="Q126" s="17">
        <f ca="1"/>
        <v>8.1976000000000007E-2</v>
      </c>
      <c r="R126" s="17">
        <f ca="1"/>
        <v>0.18817537532401599</v>
      </c>
      <c r="S126" s="17">
        <f ca="1"/>
        <v>0.27015137532401601</v>
      </c>
      <c r="T126" s="17">
        <f ca="1"/>
        <v>25674.35</v>
      </c>
      <c r="U126" s="17">
        <f ca="1"/>
        <v>4899503.2000000011</v>
      </c>
      <c r="V126" s="17" t="str">
        <f ca="1"/>
        <v>2028-07-31</v>
      </c>
      <c r="W126" s="65">
        <f t="shared" ca="1" si="3"/>
        <v>111.54357567949219</v>
      </c>
      <c r="X126" s="65">
        <v>0.5</v>
      </c>
      <c r="Y126" s="65">
        <v>1</v>
      </c>
      <c r="Z126" s="65">
        <f t="shared" ca="1" si="2"/>
        <v>0.20494000000000001</v>
      </c>
      <c r="AA126" s="65">
        <v>0</v>
      </c>
    </row>
    <row r="127" spans="2:27" x14ac:dyDescent="0.25">
      <c r="B127" s="17">
        <f ca="1"/>
        <v>117</v>
      </c>
      <c r="C127" s="17">
        <f ca="1"/>
        <v>14382</v>
      </c>
      <c r="D127" s="17">
        <f ca="1"/>
        <v>14381</v>
      </c>
      <c r="E127" s="17">
        <f ca="1"/>
        <v>14382</v>
      </c>
      <c r="F127" s="17">
        <f ca="1"/>
        <v>7172</v>
      </c>
      <c r="G127" s="17">
        <f ca="1"/>
        <v>85658.49</v>
      </c>
      <c r="H127" s="17" t="str">
        <f ca="1"/>
        <v>CCC</v>
      </c>
      <c r="I127" s="17" t="str">
        <f ca="1"/>
        <v>Ind06</v>
      </c>
      <c r="J127" s="17" t="str">
        <f ca="1"/>
        <v>USD</v>
      </c>
      <c r="K127" s="69" t="str">
        <f ca="1"/>
        <v>ShipFin</v>
      </c>
      <c r="L127" s="17">
        <f ca="1"/>
        <v>9.0415041495952746</v>
      </c>
      <c r="M127" s="17">
        <f ca="1"/>
        <v>5</v>
      </c>
      <c r="N127" s="17">
        <f ca="1"/>
        <v>0.20494000000000001</v>
      </c>
      <c r="O127" s="17">
        <f ca="1"/>
        <v>0.4</v>
      </c>
      <c r="P127" s="17">
        <f ca="1"/>
        <v>2.3521921915502002</v>
      </c>
      <c r="Q127" s="17">
        <f ca="1"/>
        <v>8.1976000000000007E-2</v>
      </c>
      <c r="R127" s="17">
        <f ca="1"/>
        <v>0.18817537532401599</v>
      </c>
      <c r="S127" s="17">
        <f ca="1"/>
        <v>0.27015137532401601</v>
      </c>
      <c r="T127" s="17">
        <f ca="1"/>
        <v>85658.49</v>
      </c>
      <c r="U127" s="17">
        <f ca="1"/>
        <v>4985161.6900000013</v>
      </c>
      <c r="V127" s="17" t="str">
        <f ca="1"/>
        <v>2028-07-31</v>
      </c>
      <c r="W127" s="65">
        <f t="shared" ca="1" si="3"/>
        <v>108.49804979514329</v>
      </c>
      <c r="X127" s="65">
        <v>0.5</v>
      </c>
      <c r="Y127" s="65">
        <v>1</v>
      </c>
      <c r="Z127" s="65">
        <f t="shared" ca="1" si="2"/>
        <v>0.20494000000000001</v>
      </c>
      <c r="AA127" s="65">
        <v>0</v>
      </c>
    </row>
    <row r="128" spans="2:27" x14ac:dyDescent="0.25">
      <c r="B128" s="17">
        <f ca="1"/>
        <v>118</v>
      </c>
      <c r="C128" s="17">
        <f ca="1"/>
        <v>14383</v>
      </c>
      <c r="D128" s="17">
        <f ca="1"/>
        <v>14382</v>
      </c>
      <c r="E128" s="17">
        <f ca="1"/>
        <v>14383</v>
      </c>
      <c r="F128" s="17">
        <f ca="1"/>
        <v>7173</v>
      </c>
      <c r="G128" s="17">
        <f ca="1"/>
        <v>7057.73</v>
      </c>
      <c r="H128" s="17" t="str">
        <f ca="1"/>
        <v>CCC</v>
      </c>
      <c r="I128" s="17" t="str">
        <f ca="1"/>
        <v>Ind06</v>
      </c>
      <c r="J128" s="17" t="str">
        <f ca="1"/>
        <v>USD</v>
      </c>
      <c r="K128" s="69" t="str">
        <f ca="1"/>
        <v>ShipFin</v>
      </c>
      <c r="L128" s="17">
        <f ca="1"/>
        <v>7.8661617146781646</v>
      </c>
      <c r="M128" s="17">
        <f ca="1"/>
        <v>5</v>
      </c>
      <c r="N128" s="17">
        <f ca="1"/>
        <v>0.20494000000000001</v>
      </c>
      <c r="O128" s="17">
        <f ca="1"/>
        <v>0.4</v>
      </c>
      <c r="P128" s="17">
        <f ca="1"/>
        <v>2.3521921915502002</v>
      </c>
      <c r="Q128" s="17">
        <f ca="1"/>
        <v>8.1976000000000007E-2</v>
      </c>
      <c r="R128" s="17">
        <f ca="1"/>
        <v>0.18817537532401599</v>
      </c>
      <c r="S128" s="17">
        <f ca="1"/>
        <v>0.27015137532401601</v>
      </c>
      <c r="T128" s="17">
        <f ca="1"/>
        <v>7057.73</v>
      </c>
      <c r="U128" s="17">
        <f ca="1"/>
        <v>4992219.4200000018</v>
      </c>
      <c r="V128" s="17" t="str">
        <f ca="1"/>
        <v>2026-08-31</v>
      </c>
      <c r="W128" s="65">
        <f t="shared" ca="1" si="3"/>
        <v>94.393940576137979</v>
      </c>
      <c r="X128" s="65">
        <v>0.5</v>
      </c>
      <c r="Y128" s="65">
        <v>1</v>
      </c>
      <c r="Z128" s="65">
        <f t="shared" ca="1" si="2"/>
        <v>0.20494000000000001</v>
      </c>
      <c r="AA128" s="65">
        <v>0</v>
      </c>
    </row>
    <row r="129" spans="2:27" x14ac:dyDescent="0.25">
      <c r="B129" s="17">
        <f ca="1"/>
        <v>119</v>
      </c>
      <c r="C129" s="17">
        <f ca="1"/>
        <v>14386</v>
      </c>
      <c r="D129" s="17">
        <f ca="1"/>
        <v>14385</v>
      </c>
      <c r="E129" s="17">
        <f ca="1"/>
        <v>14386</v>
      </c>
      <c r="F129" s="17">
        <f ca="1"/>
        <v>7174</v>
      </c>
      <c r="G129" s="17">
        <f ca="1"/>
        <v>2044.73</v>
      </c>
      <c r="H129" s="17" t="str">
        <f ca="1"/>
        <v>CCC</v>
      </c>
      <c r="I129" s="17" t="str">
        <f ca="1"/>
        <v>Ind06</v>
      </c>
      <c r="J129" s="17" t="str">
        <f ca="1"/>
        <v>USD</v>
      </c>
      <c r="K129" s="69" t="str">
        <f ca="1"/>
        <v>ShipFin</v>
      </c>
      <c r="L129" s="17">
        <f ca="1"/>
        <v>7.6010483788535916</v>
      </c>
      <c r="M129" s="17">
        <f ca="1"/>
        <v>5</v>
      </c>
      <c r="N129" s="17">
        <f ca="1"/>
        <v>0.20494000000000001</v>
      </c>
      <c r="O129" s="17">
        <f ca="1"/>
        <v>0.4</v>
      </c>
      <c r="P129" s="17">
        <f ca="1"/>
        <v>2.3521921915502002</v>
      </c>
      <c r="Q129" s="17">
        <f ca="1"/>
        <v>8.1976000000000007E-2</v>
      </c>
      <c r="R129" s="17">
        <f ca="1"/>
        <v>0.18817537532401599</v>
      </c>
      <c r="S129" s="17">
        <f ca="1"/>
        <v>0.27015137532401601</v>
      </c>
      <c r="T129" s="17">
        <f ca="1"/>
        <v>2044.73</v>
      </c>
      <c r="U129" s="17">
        <f ca="1"/>
        <v>4994264.1500000022</v>
      </c>
      <c r="V129" s="17" t="str">
        <f ca="1"/>
        <v>2026-08-31</v>
      </c>
      <c r="W129" s="65">
        <f t="shared" ca="1" si="3"/>
        <v>91.212580546243103</v>
      </c>
      <c r="X129" s="65">
        <v>0.5</v>
      </c>
      <c r="Y129" s="65">
        <v>1</v>
      </c>
      <c r="Z129" s="65">
        <f t="shared" ca="1" si="2"/>
        <v>0.20494000000000001</v>
      </c>
      <c r="AA129" s="65">
        <v>0</v>
      </c>
    </row>
    <row r="130" spans="2:27" x14ac:dyDescent="0.25">
      <c r="B130" s="17">
        <f ca="1"/>
        <v>120</v>
      </c>
      <c r="C130" s="17">
        <f ca="1"/>
        <v>14387</v>
      </c>
      <c r="D130" s="17">
        <f ca="1"/>
        <v>14386</v>
      </c>
      <c r="E130" s="17">
        <f ca="1"/>
        <v>14387</v>
      </c>
      <c r="F130" s="17">
        <f ca="1"/>
        <v>7174</v>
      </c>
      <c r="G130" s="17">
        <f ca="1"/>
        <v>58849.3</v>
      </c>
      <c r="H130" s="17" t="str">
        <f ca="1"/>
        <v>CCC</v>
      </c>
      <c r="I130" s="17" t="str">
        <f ca="1"/>
        <v>Ind06</v>
      </c>
      <c r="J130" s="17" t="str">
        <f ca="1"/>
        <v>USD</v>
      </c>
      <c r="K130" s="69" t="str">
        <f ca="1"/>
        <v>ShipFin</v>
      </c>
      <c r="L130" s="17">
        <f ca="1"/>
        <v>6.633843370862305</v>
      </c>
      <c r="M130" s="17">
        <f ca="1"/>
        <v>5</v>
      </c>
      <c r="N130" s="17">
        <f ca="1"/>
        <v>0.20494000000000001</v>
      </c>
      <c r="O130" s="17">
        <f ca="1"/>
        <v>0.4</v>
      </c>
      <c r="P130" s="17">
        <f ca="1"/>
        <v>2.3521921915502002</v>
      </c>
      <c r="Q130" s="17">
        <f ca="1"/>
        <v>8.1976000000000007E-2</v>
      </c>
      <c r="R130" s="17">
        <f ca="1"/>
        <v>0.18817537532401599</v>
      </c>
      <c r="S130" s="17">
        <f ca="1"/>
        <v>0.27015137532401601</v>
      </c>
      <c r="T130" s="17">
        <f ca="1"/>
        <v>58849.3</v>
      </c>
      <c r="U130" s="17">
        <f ca="1"/>
        <v>5053113.450000002</v>
      </c>
      <c r="V130" s="17" t="str">
        <f ca="1"/>
        <v>2025-08-31</v>
      </c>
      <c r="W130" s="65">
        <f t="shared" ca="1" si="3"/>
        <v>79.60612045034766</v>
      </c>
      <c r="X130" s="65">
        <v>0.5</v>
      </c>
      <c r="Y130" s="65">
        <v>1</v>
      </c>
      <c r="Z130" s="65">
        <f t="shared" ca="1" si="2"/>
        <v>0.20494000000000001</v>
      </c>
      <c r="AA130" s="65">
        <v>0</v>
      </c>
    </row>
    <row r="131" spans="2:27" x14ac:dyDescent="0.25">
      <c r="B131" s="17">
        <f ca="1"/>
        <v>121</v>
      </c>
      <c r="C131" s="17">
        <f ca="1"/>
        <v>14389</v>
      </c>
      <c r="D131" s="17">
        <f ca="1"/>
        <v>14388</v>
      </c>
      <c r="E131" s="17">
        <f ca="1"/>
        <v>14389</v>
      </c>
      <c r="F131" s="17">
        <f ca="1"/>
        <v>7175</v>
      </c>
      <c r="G131" s="17">
        <f ca="1"/>
        <v>45706.879999999997</v>
      </c>
      <c r="H131" s="17" t="str">
        <f ca="1"/>
        <v>CCC</v>
      </c>
      <c r="I131" s="17" t="str">
        <f ca="1"/>
        <v>Ind06</v>
      </c>
      <c r="J131" s="17" t="str">
        <f ca="1"/>
        <v>USD</v>
      </c>
      <c r="K131" s="69" t="str">
        <f ca="1"/>
        <v>ShipFin</v>
      </c>
      <c r="L131" s="17">
        <f ca="1"/>
        <v>7.634636838163714</v>
      </c>
      <c r="M131" s="17">
        <f ca="1"/>
        <v>5</v>
      </c>
      <c r="N131" s="17">
        <f ca="1"/>
        <v>0.20494000000000001</v>
      </c>
      <c r="O131" s="17">
        <f ca="1"/>
        <v>0.4</v>
      </c>
      <c r="P131" s="17">
        <f ca="1"/>
        <v>2.3521921915502002</v>
      </c>
      <c r="Q131" s="17">
        <f ca="1"/>
        <v>8.1976000000000007E-2</v>
      </c>
      <c r="R131" s="17">
        <f ca="1"/>
        <v>0.18817537532401599</v>
      </c>
      <c r="S131" s="17">
        <f ca="1"/>
        <v>0.27015137532401601</v>
      </c>
      <c r="T131" s="17">
        <f ca="1"/>
        <v>45706.879999999997</v>
      </c>
      <c r="U131" s="17">
        <f ca="1"/>
        <v>5098820.3300000019</v>
      </c>
      <c r="V131" s="17" t="str">
        <f ca="1"/>
        <v>2026-08-31</v>
      </c>
      <c r="W131" s="65">
        <f t="shared" ca="1" si="3"/>
        <v>91.615642057964564</v>
      </c>
      <c r="X131" s="65">
        <v>0.5</v>
      </c>
      <c r="Y131" s="65">
        <v>1</v>
      </c>
      <c r="Z131" s="65">
        <f t="shared" ca="1" si="2"/>
        <v>0.20494000000000001</v>
      </c>
      <c r="AA131" s="65">
        <v>0</v>
      </c>
    </row>
    <row r="132" spans="2:27" x14ac:dyDescent="0.25">
      <c r="B132" s="17">
        <f ca="1"/>
        <v>122</v>
      </c>
      <c r="C132" s="17">
        <f ca="1"/>
        <v>14391</v>
      </c>
      <c r="D132" s="17">
        <f ca="1"/>
        <v>14390</v>
      </c>
      <c r="E132" s="17">
        <f ca="1"/>
        <v>14391</v>
      </c>
      <c r="F132" s="17">
        <f ca="1"/>
        <v>7177</v>
      </c>
      <c r="G132" s="17">
        <f ca="1"/>
        <v>8460.02</v>
      </c>
      <c r="H132" s="17" t="str">
        <f ca="1"/>
        <v>CCC</v>
      </c>
      <c r="I132" s="17" t="str">
        <f ca="1"/>
        <v>Ind06</v>
      </c>
      <c r="J132" s="17" t="str">
        <f ca="1"/>
        <v>USD</v>
      </c>
      <c r="K132" s="69" t="str">
        <f ca="1"/>
        <v>ShipFin</v>
      </c>
      <c r="L132" s="17">
        <f ca="1"/>
        <v>9.4922783390525716</v>
      </c>
      <c r="M132" s="17">
        <f ca="1"/>
        <v>5</v>
      </c>
      <c r="N132" s="17">
        <f ca="1"/>
        <v>0.20494000000000001</v>
      </c>
      <c r="O132" s="17">
        <f ca="1"/>
        <v>0.4</v>
      </c>
      <c r="P132" s="17">
        <f ca="1"/>
        <v>2.3521921915502002</v>
      </c>
      <c r="Q132" s="17">
        <f ca="1"/>
        <v>8.1976000000000007E-2</v>
      </c>
      <c r="R132" s="17">
        <f ca="1"/>
        <v>0.18817537532401599</v>
      </c>
      <c r="S132" s="17">
        <f ca="1"/>
        <v>0.27015137532401601</v>
      </c>
      <c r="T132" s="17">
        <f ca="1"/>
        <v>8460.02</v>
      </c>
      <c r="U132" s="17">
        <f ca="1"/>
        <v>5107280.3500000015</v>
      </c>
      <c r="V132" s="17" t="str">
        <f ca="1"/>
        <v>2028-08-31</v>
      </c>
      <c r="W132" s="65">
        <f t="shared" ca="1" si="3"/>
        <v>113.90734006863086</v>
      </c>
      <c r="X132" s="65">
        <v>0.5</v>
      </c>
      <c r="Y132" s="65">
        <v>1</v>
      </c>
      <c r="Z132" s="65">
        <f t="shared" ca="1" si="2"/>
        <v>0.20494000000000001</v>
      </c>
      <c r="AA132" s="65">
        <v>0</v>
      </c>
    </row>
    <row r="133" spans="2:27" x14ac:dyDescent="0.25">
      <c r="B133" s="17">
        <f ca="1"/>
        <v>123</v>
      </c>
      <c r="C133" s="17">
        <f ca="1"/>
        <v>14397</v>
      </c>
      <c r="D133" s="17">
        <f ca="1"/>
        <v>14396</v>
      </c>
      <c r="E133" s="17">
        <f ca="1"/>
        <v>14397</v>
      </c>
      <c r="F133" s="17">
        <f ca="1"/>
        <v>7180</v>
      </c>
      <c r="G133" s="17">
        <f ca="1"/>
        <v>17017.28</v>
      </c>
      <c r="H133" s="17" t="str">
        <f ca="1"/>
        <v>CCC</v>
      </c>
      <c r="I133" s="17" t="str">
        <f ca="1"/>
        <v>Ind06</v>
      </c>
      <c r="J133" s="17" t="str">
        <f ca="1"/>
        <v>USD</v>
      </c>
      <c r="K133" s="69" t="str">
        <f ca="1"/>
        <v>ShipFin</v>
      </c>
      <c r="L133" s="17">
        <f ca="1"/>
        <v>8.6821430428768487</v>
      </c>
      <c r="M133" s="17">
        <f ca="1"/>
        <v>5</v>
      </c>
      <c r="N133" s="17">
        <f ca="1"/>
        <v>0.20494000000000001</v>
      </c>
      <c r="O133" s="17">
        <f ca="1"/>
        <v>0.4</v>
      </c>
      <c r="P133" s="17">
        <f ca="1"/>
        <v>2.3521921915502002</v>
      </c>
      <c r="Q133" s="17">
        <f ca="1"/>
        <v>8.1976000000000007E-2</v>
      </c>
      <c r="R133" s="17">
        <f ca="1"/>
        <v>0.18817537532401599</v>
      </c>
      <c r="S133" s="17">
        <f ca="1"/>
        <v>0.27015137532401601</v>
      </c>
      <c r="T133" s="17">
        <f ca="1"/>
        <v>17017.28</v>
      </c>
      <c r="U133" s="17">
        <f ca="1"/>
        <v>5124297.6300000018</v>
      </c>
      <c r="V133" s="17" t="str">
        <f ca="1"/>
        <v>2027-08-31</v>
      </c>
      <c r="W133" s="65">
        <f t="shared" ca="1" si="3"/>
        <v>104.18571651452218</v>
      </c>
      <c r="X133" s="65">
        <v>0.5</v>
      </c>
      <c r="Y133" s="65">
        <v>1</v>
      </c>
      <c r="Z133" s="65">
        <f t="shared" ca="1" si="2"/>
        <v>0.20494000000000001</v>
      </c>
      <c r="AA133" s="65">
        <v>0</v>
      </c>
    </row>
    <row r="134" spans="2:27" x14ac:dyDescent="0.25">
      <c r="B134" s="17">
        <f ca="1"/>
        <v>124</v>
      </c>
      <c r="C134" s="17">
        <f ca="1"/>
        <v>14405</v>
      </c>
      <c r="D134" s="17">
        <f ca="1"/>
        <v>14404</v>
      </c>
      <c r="E134" s="17">
        <f ca="1"/>
        <v>14405</v>
      </c>
      <c r="F134" s="17">
        <f ca="1"/>
        <v>7184</v>
      </c>
      <c r="G134" s="17">
        <f ca="1"/>
        <v>38879.660000000003</v>
      </c>
      <c r="H134" s="17" t="str">
        <f ca="1"/>
        <v>CCC</v>
      </c>
      <c r="I134" s="17" t="str">
        <f ca="1"/>
        <v>Ind06</v>
      </c>
      <c r="J134" s="17" t="str">
        <f ca="1"/>
        <v>USD</v>
      </c>
      <c r="K134" s="69" t="str">
        <f ca="1"/>
        <v>ShipFin</v>
      </c>
      <c r="L134" s="17">
        <f ca="1"/>
        <v>5.0294965806300764</v>
      </c>
      <c r="M134" s="17">
        <f ca="1"/>
        <v>5</v>
      </c>
      <c r="N134" s="17">
        <f ca="1"/>
        <v>0.20494000000000001</v>
      </c>
      <c r="O134" s="17">
        <f ca="1"/>
        <v>0.4</v>
      </c>
      <c r="P134" s="17">
        <f ca="1"/>
        <v>2.3521921915502002</v>
      </c>
      <c r="Q134" s="17">
        <f ca="1"/>
        <v>8.1976000000000007E-2</v>
      </c>
      <c r="R134" s="17">
        <f ca="1"/>
        <v>0.18817537532401599</v>
      </c>
      <c r="S134" s="17">
        <f ca="1"/>
        <v>0.27015137532401601</v>
      </c>
      <c r="T134" s="17">
        <f ca="1"/>
        <v>38879.660000000003</v>
      </c>
      <c r="U134" s="17">
        <f ca="1"/>
        <v>5163177.2900000019</v>
      </c>
      <c r="V134" s="17" t="str">
        <f ca="1"/>
        <v>2024-07-31</v>
      </c>
      <c r="W134" s="65">
        <f t="shared" ca="1" si="3"/>
        <v>60.353958967560914</v>
      </c>
      <c r="X134" s="65">
        <v>0.5</v>
      </c>
      <c r="Y134" s="65">
        <v>1</v>
      </c>
      <c r="Z134" s="65">
        <f t="shared" ca="1" si="2"/>
        <v>0.20494000000000001</v>
      </c>
      <c r="AA134" s="65">
        <v>0</v>
      </c>
    </row>
    <row r="135" spans="2:27" x14ac:dyDescent="0.25">
      <c r="B135" s="17">
        <f ca="1"/>
        <v>125</v>
      </c>
      <c r="C135" s="17">
        <f ca="1"/>
        <v>14430</v>
      </c>
      <c r="D135" s="17">
        <f ca="1"/>
        <v>14429</v>
      </c>
      <c r="E135" s="17">
        <f ca="1"/>
        <v>14430</v>
      </c>
      <c r="F135" s="17">
        <f ca="1"/>
        <v>7199</v>
      </c>
      <c r="G135" s="17">
        <f ca="1"/>
        <v>77109.25</v>
      </c>
      <c r="H135" s="17" t="str">
        <f ca="1"/>
        <v>CCC</v>
      </c>
      <c r="I135" s="17" t="str">
        <f ca="1"/>
        <v>Ind06</v>
      </c>
      <c r="J135" s="17" t="str">
        <f ca="1"/>
        <v>USD</v>
      </c>
      <c r="K135" s="69" t="str">
        <f ca="1"/>
        <v>ShipFin</v>
      </c>
      <c r="L135" s="17">
        <f ca="1"/>
        <v>9.934437787027564</v>
      </c>
      <c r="M135" s="17">
        <f ca="1"/>
        <v>5</v>
      </c>
      <c r="N135" s="17">
        <f ca="1"/>
        <v>0.20494000000000001</v>
      </c>
      <c r="O135" s="17">
        <f ca="1"/>
        <v>0.4</v>
      </c>
      <c r="P135" s="17">
        <f ca="1"/>
        <v>2.3521921915502002</v>
      </c>
      <c r="Q135" s="17">
        <f ca="1"/>
        <v>8.1976000000000007E-2</v>
      </c>
      <c r="R135" s="17">
        <f ca="1"/>
        <v>0.18817537532401599</v>
      </c>
      <c r="S135" s="17">
        <f ca="1"/>
        <v>0.27015137532401601</v>
      </c>
      <c r="T135" s="17">
        <f ca="1"/>
        <v>77109.25</v>
      </c>
      <c r="U135" s="17">
        <f ca="1"/>
        <v>5240286.5400000019</v>
      </c>
      <c r="V135" s="17" t="str">
        <f ca="1"/>
        <v>2028-08-31</v>
      </c>
      <c r="W135" s="65">
        <f t="shared" ca="1" si="3"/>
        <v>119.21325344433077</v>
      </c>
      <c r="X135" s="65">
        <v>0.5</v>
      </c>
      <c r="Y135" s="65">
        <v>1</v>
      </c>
      <c r="Z135" s="65">
        <f t="shared" ca="1" si="2"/>
        <v>0.20494000000000001</v>
      </c>
      <c r="AA135" s="65">
        <v>0</v>
      </c>
    </row>
    <row r="136" spans="2:27" x14ac:dyDescent="0.25">
      <c r="B136" s="17">
        <f ca="1"/>
        <v>126</v>
      </c>
      <c r="C136" s="17">
        <f ca="1"/>
        <v>14407</v>
      </c>
      <c r="D136" s="17">
        <f ca="1"/>
        <v>14406</v>
      </c>
      <c r="E136" s="17">
        <f ca="1"/>
        <v>14407</v>
      </c>
      <c r="F136" s="17">
        <f ca="1"/>
        <v>7186</v>
      </c>
      <c r="G136" s="17">
        <f ca="1"/>
        <v>36657.919999999998</v>
      </c>
      <c r="H136" s="17" t="str">
        <f ca="1"/>
        <v>CCC</v>
      </c>
      <c r="I136" s="17" t="str">
        <f ca="1"/>
        <v>Ind06</v>
      </c>
      <c r="J136" s="17" t="str">
        <f ca="1"/>
        <v>USD</v>
      </c>
      <c r="K136" s="69" t="str">
        <f ca="1"/>
        <v>ShipFin</v>
      </c>
      <c r="L136" s="17">
        <f ca="1"/>
        <v>5.6278514191973956</v>
      </c>
      <c r="M136" s="17">
        <f ca="1"/>
        <v>5</v>
      </c>
      <c r="N136" s="17">
        <f ca="1"/>
        <v>0.20494000000000001</v>
      </c>
      <c r="O136" s="17">
        <f ca="1"/>
        <v>0.4</v>
      </c>
      <c r="P136" s="17">
        <f ca="1"/>
        <v>2.3521921915502002</v>
      </c>
      <c r="Q136" s="17">
        <f ca="1"/>
        <v>8.1976000000000007E-2</v>
      </c>
      <c r="R136" s="17">
        <f ca="1"/>
        <v>0.18817537532401599</v>
      </c>
      <c r="S136" s="17">
        <f ca="1"/>
        <v>0.27015137532401601</v>
      </c>
      <c r="T136" s="17">
        <f ca="1"/>
        <v>36657.919999999998</v>
      </c>
      <c r="U136" s="17">
        <f ca="1"/>
        <v>5276944.4600000018</v>
      </c>
      <c r="V136" s="17" t="str">
        <f ca="1"/>
        <v>2024-08-31</v>
      </c>
      <c r="W136" s="65">
        <f t="shared" ca="1" si="3"/>
        <v>67.534217030368751</v>
      </c>
      <c r="X136" s="65">
        <v>0.5</v>
      </c>
      <c r="Y136" s="65">
        <v>1</v>
      </c>
      <c r="Z136" s="65">
        <f t="shared" ca="1" si="2"/>
        <v>0.20494000000000001</v>
      </c>
      <c r="AA136" s="65">
        <v>0</v>
      </c>
    </row>
    <row r="137" spans="2:27" x14ac:dyDescent="0.25">
      <c r="B137" s="17">
        <f ca="1"/>
        <v>127</v>
      </c>
      <c r="C137" s="17">
        <f ca="1"/>
        <v>14409</v>
      </c>
      <c r="D137" s="17">
        <f ca="1"/>
        <v>14408</v>
      </c>
      <c r="E137" s="17">
        <f ca="1"/>
        <v>14409</v>
      </c>
      <c r="F137" s="17">
        <f ca="1"/>
        <v>7187</v>
      </c>
      <c r="G137" s="17">
        <f ca="1"/>
        <v>8620.4699999999993</v>
      </c>
      <c r="H137" s="17" t="str">
        <f ca="1"/>
        <v>CCC</v>
      </c>
      <c r="I137" s="17" t="str">
        <f ca="1"/>
        <v>Ind06</v>
      </c>
      <c r="J137" s="17" t="str">
        <f ca="1"/>
        <v>USD</v>
      </c>
      <c r="K137" s="69" t="str">
        <f ca="1"/>
        <v>ShipFin</v>
      </c>
      <c r="L137" s="17">
        <f ca="1"/>
        <v>6.2555167780979524</v>
      </c>
      <c r="M137" s="17">
        <f ca="1"/>
        <v>5</v>
      </c>
      <c r="N137" s="17">
        <f ca="1"/>
        <v>0.20494000000000001</v>
      </c>
      <c r="O137" s="17">
        <f ca="1"/>
        <v>0.4</v>
      </c>
      <c r="P137" s="17">
        <f ca="1"/>
        <v>2.3521921915502002</v>
      </c>
      <c r="Q137" s="17">
        <f ca="1"/>
        <v>8.1976000000000007E-2</v>
      </c>
      <c r="R137" s="17">
        <f ca="1"/>
        <v>0.18817537532401599</v>
      </c>
      <c r="S137" s="17">
        <f ca="1"/>
        <v>0.27015137532401601</v>
      </c>
      <c r="T137" s="17">
        <f ca="1"/>
        <v>8620.4699999999993</v>
      </c>
      <c r="U137" s="17">
        <f ca="1"/>
        <v>5285564.9300000016</v>
      </c>
      <c r="V137" s="17" t="str">
        <f ca="1"/>
        <v>2025-07-31</v>
      </c>
      <c r="W137" s="65">
        <f t="shared" ca="1" si="3"/>
        <v>75.066201337175428</v>
      </c>
      <c r="X137" s="65">
        <v>0.5</v>
      </c>
      <c r="Y137" s="65">
        <v>1</v>
      </c>
      <c r="Z137" s="65">
        <f t="shared" ca="1" si="2"/>
        <v>0.20494000000000001</v>
      </c>
      <c r="AA137" s="65">
        <v>0</v>
      </c>
    </row>
    <row r="138" spans="2:27" x14ac:dyDescent="0.25">
      <c r="B138" s="17">
        <f ca="1"/>
        <v>128</v>
      </c>
      <c r="C138" s="17">
        <f ca="1"/>
        <v>14416</v>
      </c>
      <c r="D138" s="17">
        <f ca="1"/>
        <v>14415</v>
      </c>
      <c r="E138" s="17">
        <f ca="1"/>
        <v>14416</v>
      </c>
      <c r="F138" s="17">
        <f ca="1"/>
        <v>7190</v>
      </c>
      <c r="G138" s="17">
        <f ca="1"/>
        <v>15142.4</v>
      </c>
      <c r="H138" s="17" t="str">
        <f ca="1"/>
        <v>CCC</v>
      </c>
      <c r="I138" s="17" t="str">
        <f ca="1"/>
        <v>Ind06</v>
      </c>
      <c r="J138" s="17" t="str">
        <f ca="1"/>
        <v>USD</v>
      </c>
      <c r="K138" s="69" t="str">
        <f ca="1"/>
        <v>ShipFin</v>
      </c>
      <c r="L138" s="17">
        <f ca="1"/>
        <v>9.0253498035017401</v>
      </c>
      <c r="M138" s="17">
        <f ca="1"/>
        <v>5</v>
      </c>
      <c r="N138" s="17">
        <f ca="1"/>
        <v>0.20494000000000001</v>
      </c>
      <c r="O138" s="17">
        <f ca="1"/>
        <v>0.4</v>
      </c>
      <c r="P138" s="17">
        <f ca="1"/>
        <v>2.3521921915502002</v>
      </c>
      <c r="Q138" s="17">
        <f ca="1"/>
        <v>8.1976000000000007E-2</v>
      </c>
      <c r="R138" s="17">
        <f ca="1"/>
        <v>0.18817537532401599</v>
      </c>
      <c r="S138" s="17">
        <f ca="1"/>
        <v>0.27015137532401601</v>
      </c>
      <c r="T138" s="17">
        <f ca="1"/>
        <v>15142.4</v>
      </c>
      <c r="U138" s="17">
        <f ca="1"/>
        <v>5300707.3300000019</v>
      </c>
      <c r="V138" s="17" t="str">
        <f ca="1"/>
        <v>2028-07-31</v>
      </c>
      <c r="W138" s="65">
        <f t="shared" ca="1" si="3"/>
        <v>108.30419764202088</v>
      </c>
      <c r="X138" s="65">
        <v>0.5</v>
      </c>
      <c r="Y138" s="65">
        <v>1</v>
      </c>
      <c r="Z138" s="65">
        <f t="shared" ref="Z138:Z201" ca="1" si="4">N138</f>
        <v>0.20494000000000001</v>
      </c>
      <c r="AA138" s="65">
        <v>0</v>
      </c>
    </row>
    <row r="139" spans="2:27" x14ac:dyDescent="0.25">
      <c r="B139" s="17">
        <f ca="1"/>
        <v>129</v>
      </c>
      <c r="C139" s="17">
        <f ca="1"/>
        <v>14418</v>
      </c>
      <c r="D139" s="17">
        <f ca="1"/>
        <v>14417</v>
      </c>
      <c r="E139" s="17">
        <f ca="1"/>
        <v>14418</v>
      </c>
      <c r="F139" s="17">
        <f ca="1"/>
        <v>7191</v>
      </c>
      <c r="G139" s="17">
        <f ca="1"/>
        <v>25705.81</v>
      </c>
      <c r="H139" s="17" t="str">
        <f ca="1"/>
        <v>CCC</v>
      </c>
      <c r="I139" s="17" t="str">
        <f ca="1"/>
        <v>Ind06</v>
      </c>
      <c r="J139" s="17" t="str">
        <f ca="1"/>
        <v>USD</v>
      </c>
      <c r="K139" s="69" t="str">
        <f ca="1"/>
        <v>ShipFin</v>
      </c>
      <c r="L139" s="17">
        <f ca="1"/>
        <v>9.0475964119890708</v>
      </c>
      <c r="M139" s="17">
        <f ca="1"/>
        <v>5</v>
      </c>
      <c r="N139" s="17">
        <f ca="1"/>
        <v>0.20494000000000001</v>
      </c>
      <c r="O139" s="17">
        <f ca="1"/>
        <v>0.4</v>
      </c>
      <c r="P139" s="17">
        <f ca="1"/>
        <v>2.3521921915502002</v>
      </c>
      <c r="Q139" s="17">
        <f ca="1"/>
        <v>8.1976000000000007E-2</v>
      </c>
      <c r="R139" s="17">
        <f ca="1"/>
        <v>0.18817537532401599</v>
      </c>
      <c r="S139" s="17">
        <f ca="1"/>
        <v>0.27015137532401601</v>
      </c>
      <c r="T139" s="17">
        <f ca="1"/>
        <v>25705.81</v>
      </c>
      <c r="U139" s="17">
        <f ca="1"/>
        <v>5326413.1400000015</v>
      </c>
      <c r="V139" s="17" t="str">
        <f ca="1"/>
        <v>2028-07-31</v>
      </c>
      <c r="W139" s="65">
        <f t="shared" ref="W139:W202" ca="1" si="5">L139*12</f>
        <v>108.57115694386886</v>
      </c>
      <c r="X139" s="65">
        <v>0.5</v>
      </c>
      <c r="Y139" s="65">
        <v>1</v>
      </c>
      <c r="Z139" s="65">
        <f t="shared" ca="1" si="4"/>
        <v>0.20494000000000001</v>
      </c>
      <c r="AA139" s="65">
        <v>0</v>
      </c>
    </row>
    <row r="140" spans="2:27" x14ac:dyDescent="0.25">
      <c r="B140" s="17">
        <f ca="1"/>
        <v>130</v>
      </c>
      <c r="C140" s="17">
        <f ca="1"/>
        <v>14419</v>
      </c>
      <c r="D140" s="17">
        <f ca="1"/>
        <v>14418</v>
      </c>
      <c r="E140" s="17">
        <f ca="1"/>
        <v>14419</v>
      </c>
      <c r="F140" s="17">
        <f ca="1"/>
        <v>7191</v>
      </c>
      <c r="G140" s="17">
        <f ca="1"/>
        <v>28615.98</v>
      </c>
      <c r="H140" s="17" t="str">
        <f ca="1"/>
        <v>CCC</v>
      </c>
      <c r="I140" s="17" t="str">
        <f ca="1"/>
        <v>Ind06</v>
      </c>
      <c r="J140" s="17" t="str">
        <f ca="1"/>
        <v>USD</v>
      </c>
      <c r="K140" s="69" t="str">
        <f ca="1"/>
        <v>ShipFin</v>
      </c>
      <c r="L140" s="17">
        <f ca="1"/>
        <v>9.492245079891287</v>
      </c>
      <c r="M140" s="17">
        <f ca="1"/>
        <v>5</v>
      </c>
      <c r="N140" s="17">
        <f ca="1"/>
        <v>0.20494000000000001</v>
      </c>
      <c r="O140" s="17">
        <f ca="1"/>
        <v>0.4</v>
      </c>
      <c r="P140" s="17">
        <f ca="1"/>
        <v>2.3521921915502002</v>
      </c>
      <c r="Q140" s="17">
        <f ca="1"/>
        <v>8.1976000000000007E-2</v>
      </c>
      <c r="R140" s="17">
        <f ca="1"/>
        <v>0.18817537532401599</v>
      </c>
      <c r="S140" s="17">
        <f ca="1"/>
        <v>0.27015137532401601</v>
      </c>
      <c r="T140" s="17">
        <f ca="1"/>
        <v>28615.98</v>
      </c>
      <c r="U140" s="17">
        <f ca="1"/>
        <v>5355029.120000002</v>
      </c>
      <c r="V140" s="17" t="str">
        <f ca="1"/>
        <v>2028-08-31</v>
      </c>
      <c r="W140" s="65">
        <f t="shared" ca="1" si="5"/>
        <v>113.90694095869544</v>
      </c>
      <c r="X140" s="65">
        <v>0.5</v>
      </c>
      <c r="Y140" s="65">
        <v>1</v>
      </c>
      <c r="Z140" s="65">
        <f t="shared" ca="1" si="4"/>
        <v>0.20494000000000001</v>
      </c>
      <c r="AA140" s="65">
        <v>0</v>
      </c>
    </row>
    <row r="141" spans="2:27" x14ac:dyDescent="0.25">
      <c r="B141" s="17">
        <f ca="1"/>
        <v>131</v>
      </c>
      <c r="C141" s="17">
        <f ca="1"/>
        <v>14422</v>
      </c>
      <c r="D141" s="17">
        <f ca="1"/>
        <v>14421</v>
      </c>
      <c r="E141" s="17">
        <f ca="1"/>
        <v>14422</v>
      </c>
      <c r="F141" s="17">
        <f ca="1"/>
        <v>7193</v>
      </c>
      <c r="G141" s="17">
        <f ca="1"/>
        <v>0</v>
      </c>
      <c r="H141" s="17" t="str">
        <f ca="1"/>
        <v>CCC</v>
      </c>
      <c r="I141" s="17" t="str">
        <f ca="1"/>
        <v>Ind06</v>
      </c>
      <c r="J141" s="17" t="str">
        <f ca="1"/>
        <v>USD</v>
      </c>
      <c r="K141" s="69" t="str">
        <f ca="1"/>
        <v>ShipFin</v>
      </c>
      <c r="L141" s="17">
        <f ca="1"/>
        <v>6.6730465925158935</v>
      </c>
      <c r="M141" s="17">
        <f ca="1"/>
        <v>5</v>
      </c>
      <c r="N141" s="17">
        <f ca="1"/>
        <v>0.20494000000000001</v>
      </c>
      <c r="O141" s="17">
        <f ca="1"/>
        <v>0.4</v>
      </c>
      <c r="P141" s="17">
        <f ca="1"/>
        <v>2.3521921915502002</v>
      </c>
      <c r="Q141" s="17">
        <f ca="1"/>
        <v>8.1976000000000007E-2</v>
      </c>
      <c r="R141" s="17">
        <f ca="1"/>
        <v>0.18817537532401599</v>
      </c>
      <c r="S141" s="17">
        <f ca="1"/>
        <v>0.27015137532401601</v>
      </c>
      <c r="T141" s="17">
        <f ca="1"/>
        <v>0</v>
      </c>
      <c r="U141" s="17">
        <f ca="1"/>
        <v>5355029.120000002</v>
      </c>
      <c r="V141" s="17" t="str">
        <f ca="1"/>
        <v>2025-08-31</v>
      </c>
      <c r="W141" s="65">
        <f t="shared" ca="1" si="5"/>
        <v>80.076559110190715</v>
      </c>
      <c r="X141" s="65">
        <v>0.5</v>
      </c>
      <c r="Y141" s="65">
        <v>1</v>
      </c>
      <c r="Z141" s="65">
        <f t="shared" ca="1" si="4"/>
        <v>0.20494000000000001</v>
      </c>
      <c r="AA141" s="65">
        <v>0</v>
      </c>
    </row>
    <row r="142" spans="2:27" x14ac:dyDescent="0.25">
      <c r="B142" s="17">
        <f ca="1"/>
        <v>132</v>
      </c>
      <c r="C142" s="17">
        <f ca="1"/>
        <v>14423</v>
      </c>
      <c r="D142" s="17">
        <f ca="1"/>
        <v>14422</v>
      </c>
      <c r="E142" s="17">
        <f ca="1"/>
        <v>14423</v>
      </c>
      <c r="F142" s="17">
        <f ca="1"/>
        <v>7193</v>
      </c>
      <c r="G142" s="17">
        <f ca="1"/>
        <v>0</v>
      </c>
      <c r="H142" s="17" t="str">
        <f ca="1"/>
        <v>CCC</v>
      </c>
      <c r="I142" s="17" t="str">
        <f ca="1"/>
        <v>Ind06</v>
      </c>
      <c r="J142" s="17" t="str">
        <f ca="1"/>
        <v>USD</v>
      </c>
      <c r="K142" s="69" t="str">
        <f ca="1"/>
        <v>ShipFin</v>
      </c>
      <c r="L142" s="17">
        <f ca="1"/>
        <v>6.256212352553848</v>
      </c>
      <c r="M142" s="17">
        <f ca="1"/>
        <v>5</v>
      </c>
      <c r="N142" s="17">
        <f ca="1"/>
        <v>0.20494000000000001</v>
      </c>
      <c r="O142" s="17">
        <f ca="1"/>
        <v>0.4</v>
      </c>
      <c r="P142" s="17">
        <f ca="1"/>
        <v>2.3521921915502002</v>
      </c>
      <c r="Q142" s="17">
        <f ca="1"/>
        <v>8.1976000000000007E-2</v>
      </c>
      <c r="R142" s="17">
        <f ca="1"/>
        <v>0.18817537532401599</v>
      </c>
      <c r="S142" s="17">
        <f ca="1"/>
        <v>0.27015137532401601</v>
      </c>
      <c r="T142" s="17">
        <f ca="1"/>
        <v>0</v>
      </c>
      <c r="U142" s="17">
        <f ca="1"/>
        <v>5355029.120000002</v>
      </c>
      <c r="V142" s="17" t="str">
        <f ca="1"/>
        <v>2025-07-31</v>
      </c>
      <c r="W142" s="65">
        <f t="shared" ca="1" si="5"/>
        <v>75.074548230646172</v>
      </c>
      <c r="X142" s="65">
        <v>0.5</v>
      </c>
      <c r="Y142" s="65">
        <v>1</v>
      </c>
      <c r="Z142" s="65">
        <f t="shared" ca="1" si="4"/>
        <v>0.20494000000000001</v>
      </c>
      <c r="AA142" s="65">
        <v>0</v>
      </c>
    </row>
    <row r="143" spans="2:27" x14ac:dyDescent="0.25">
      <c r="B143" s="17">
        <f ca="1"/>
        <v>133</v>
      </c>
      <c r="C143" s="17">
        <f ca="1"/>
        <v>14428</v>
      </c>
      <c r="D143" s="17">
        <f ca="1"/>
        <v>14427</v>
      </c>
      <c r="E143" s="17">
        <f ca="1"/>
        <v>14428</v>
      </c>
      <c r="F143" s="17">
        <f ca="1"/>
        <v>7197</v>
      </c>
      <c r="G143" s="17">
        <f ca="1"/>
        <v>40056.68</v>
      </c>
      <c r="H143" s="17" t="str">
        <f ca="1"/>
        <v>CCC</v>
      </c>
      <c r="I143" s="17" t="str">
        <f ca="1"/>
        <v>Ind06</v>
      </c>
      <c r="J143" s="17" t="str">
        <f ca="1"/>
        <v>USD</v>
      </c>
      <c r="K143" s="69" t="str">
        <f ca="1"/>
        <v>ShipFin</v>
      </c>
      <c r="L143" s="17">
        <f ca="1"/>
        <v>8.0051712739374512</v>
      </c>
      <c r="M143" s="17">
        <f ca="1"/>
        <v>5</v>
      </c>
      <c r="N143" s="17">
        <f ca="1"/>
        <v>0.20494000000000001</v>
      </c>
      <c r="O143" s="17">
        <f ca="1"/>
        <v>0.4</v>
      </c>
      <c r="P143" s="17">
        <f ca="1"/>
        <v>2.3521921915502002</v>
      </c>
      <c r="Q143" s="17">
        <f ca="1"/>
        <v>8.1976000000000007E-2</v>
      </c>
      <c r="R143" s="17">
        <f ca="1"/>
        <v>0.18817537532401599</v>
      </c>
      <c r="S143" s="17">
        <f ca="1"/>
        <v>0.27015137532401601</v>
      </c>
      <c r="T143" s="17">
        <f ca="1"/>
        <v>40056.68</v>
      </c>
      <c r="U143" s="17">
        <f ca="1"/>
        <v>5395085.8000000017</v>
      </c>
      <c r="V143" s="17" t="str">
        <f ca="1"/>
        <v>2027-07-31</v>
      </c>
      <c r="W143" s="65">
        <f t="shared" ca="1" si="5"/>
        <v>96.062055287249422</v>
      </c>
      <c r="X143" s="65">
        <v>0.5</v>
      </c>
      <c r="Y143" s="65">
        <v>1</v>
      </c>
      <c r="Z143" s="65">
        <f t="shared" ca="1" si="4"/>
        <v>0.20494000000000001</v>
      </c>
      <c r="AA143" s="65">
        <v>0</v>
      </c>
    </row>
    <row r="144" spans="2:27" x14ac:dyDescent="0.25">
      <c r="B144" s="17">
        <f ca="1"/>
        <v>134</v>
      </c>
      <c r="C144" s="17">
        <f ca="1"/>
        <v>14476</v>
      </c>
      <c r="D144" s="17">
        <f ca="1"/>
        <v>14475</v>
      </c>
      <c r="E144" s="17">
        <f ca="1"/>
        <v>14476</v>
      </c>
      <c r="F144" s="17">
        <f ca="1"/>
        <v>7224</v>
      </c>
      <c r="G144" s="17">
        <f ca="1"/>
        <v>4853.43</v>
      </c>
      <c r="H144" s="17" t="str">
        <f ca="1"/>
        <v>CCC</v>
      </c>
      <c r="I144" s="17" t="str">
        <f ca="1"/>
        <v>Ind06</v>
      </c>
      <c r="J144" s="17" t="str">
        <f ca="1"/>
        <v>USD</v>
      </c>
      <c r="K144" s="69" t="str">
        <f ca="1"/>
        <v>ShipFin</v>
      </c>
      <c r="L144" s="17">
        <f ca="1"/>
        <v>9.9336921714781781</v>
      </c>
      <c r="M144" s="17">
        <f ca="1"/>
        <v>5</v>
      </c>
      <c r="N144" s="17">
        <f ca="1"/>
        <v>0.20494000000000001</v>
      </c>
      <c r="O144" s="17">
        <f ca="1"/>
        <v>0.4</v>
      </c>
      <c r="P144" s="17">
        <f ca="1"/>
        <v>2.3521921915502002</v>
      </c>
      <c r="Q144" s="17">
        <f ca="1"/>
        <v>8.1976000000000007E-2</v>
      </c>
      <c r="R144" s="17">
        <f ca="1"/>
        <v>0.18817537532401599</v>
      </c>
      <c r="S144" s="17">
        <f ca="1"/>
        <v>0.27015137532401601</v>
      </c>
      <c r="T144" s="17">
        <f ca="1"/>
        <v>4853.43</v>
      </c>
      <c r="U144" s="17">
        <f ca="1"/>
        <v>5399939.2300000014</v>
      </c>
      <c r="V144" s="17" t="str">
        <f ca="1"/>
        <v>2028-08-31</v>
      </c>
      <c r="W144" s="65">
        <f t="shared" ca="1" si="5"/>
        <v>119.20430605773814</v>
      </c>
      <c r="X144" s="65">
        <v>0.5</v>
      </c>
      <c r="Y144" s="65">
        <v>1</v>
      </c>
      <c r="Z144" s="65">
        <f t="shared" ca="1" si="4"/>
        <v>0.20494000000000001</v>
      </c>
      <c r="AA144" s="65">
        <v>0</v>
      </c>
    </row>
    <row r="145" spans="2:27" x14ac:dyDescent="0.25">
      <c r="B145" s="17">
        <f ca="1"/>
        <v>135</v>
      </c>
      <c r="C145" s="17">
        <f ca="1"/>
        <v>14478</v>
      </c>
      <c r="D145" s="17">
        <f ca="1"/>
        <v>14477</v>
      </c>
      <c r="E145" s="17">
        <f ca="1"/>
        <v>14478</v>
      </c>
      <c r="F145" s="17">
        <f ca="1"/>
        <v>7225</v>
      </c>
      <c r="G145" s="17">
        <f ca="1"/>
        <v>22587.73</v>
      </c>
      <c r="H145" s="17" t="str">
        <f ca="1"/>
        <v>CCC</v>
      </c>
      <c r="I145" s="17" t="str">
        <f ca="1"/>
        <v>Ind06</v>
      </c>
      <c r="J145" s="17" t="str">
        <f ca="1"/>
        <v>USD</v>
      </c>
      <c r="K145" s="69" t="str">
        <f ca="1"/>
        <v>ShipFin</v>
      </c>
      <c r="L145" s="17">
        <f ca="1"/>
        <v>5.8067672339780261</v>
      </c>
      <c r="M145" s="17">
        <f ca="1"/>
        <v>5</v>
      </c>
      <c r="N145" s="17">
        <f ca="1"/>
        <v>0.20494000000000001</v>
      </c>
      <c r="O145" s="17">
        <f ca="1"/>
        <v>0.4</v>
      </c>
      <c r="P145" s="17">
        <f ca="1"/>
        <v>2.3521921915502002</v>
      </c>
      <c r="Q145" s="17">
        <f ca="1"/>
        <v>8.1976000000000007E-2</v>
      </c>
      <c r="R145" s="17">
        <f ca="1"/>
        <v>0.18817537532401599</v>
      </c>
      <c r="S145" s="17">
        <f ca="1"/>
        <v>0.27015137532401601</v>
      </c>
      <c r="T145" s="17">
        <f ca="1"/>
        <v>22587.73</v>
      </c>
      <c r="U145" s="17">
        <f ca="1"/>
        <v>5422526.9600000018</v>
      </c>
      <c r="V145" s="17" t="str">
        <f ca="1"/>
        <v>2024-08-31</v>
      </c>
      <c r="W145" s="65">
        <f t="shared" ca="1" si="5"/>
        <v>69.681206807736316</v>
      </c>
      <c r="X145" s="65">
        <v>0.5</v>
      </c>
      <c r="Y145" s="65">
        <v>1</v>
      </c>
      <c r="Z145" s="65">
        <f t="shared" ca="1" si="4"/>
        <v>0.20494000000000001</v>
      </c>
      <c r="AA145" s="65">
        <v>0</v>
      </c>
    </row>
    <row r="146" spans="2:27" x14ac:dyDescent="0.25">
      <c r="B146" s="17">
        <f ca="1"/>
        <v>136</v>
      </c>
      <c r="C146" s="17">
        <f ca="1"/>
        <v>14558</v>
      </c>
      <c r="D146" s="17">
        <f ca="1"/>
        <v>14557</v>
      </c>
      <c r="E146" s="17">
        <f ca="1"/>
        <v>14558</v>
      </c>
      <c r="F146" s="17">
        <f ca="1"/>
        <v>7263</v>
      </c>
      <c r="G146" s="17">
        <f ca="1"/>
        <v>71657.09</v>
      </c>
      <c r="H146" s="17" t="str">
        <f ca="1"/>
        <v>CCC</v>
      </c>
      <c r="I146" s="17" t="str">
        <f ca="1"/>
        <v>Ind06</v>
      </c>
      <c r="J146" s="17" t="str">
        <f ca="1"/>
        <v>USD</v>
      </c>
      <c r="K146" s="69" t="str">
        <f ca="1"/>
        <v>ShipFin</v>
      </c>
      <c r="L146" s="17">
        <f ca="1"/>
        <v>8.752197826784105</v>
      </c>
      <c r="M146" s="17">
        <f ca="1"/>
        <v>5</v>
      </c>
      <c r="N146" s="17">
        <f ca="1"/>
        <v>0.20494000000000001</v>
      </c>
      <c r="O146" s="17">
        <f ca="1"/>
        <v>0.4</v>
      </c>
      <c r="P146" s="17">
        <f ca="1"/>
        <v>2.3521921915502002</v>
      </c>
      <c r="Q146" s="17">
        <f ca="1"/>
        <v>8.1976000000000007E-2</v>
      </c>
      <c r="R146" s="17">
        <f ca="1"/>
        <v>0.18817537532401599</v>
      </c>
      <c r="S146" s="17">
        <f ca="1"/>
        <v>0.27015137532401601</v>
      </c>
      <c r="T146" s="17">
        <f ca="1"/>
        <v>71657.09</v>
      </c>
      <c r="U146" s="17">
        <f ca="1"/>
        <v>5494184.0500000017</v>
      </c>
      <c r="V146" s="17" t="str">
        <f ca="1"/>
        <v>2027-08-31</v>
      </c>
      <c r="W146" s="65">
        <f t="shared" ca="1" si="5"/>
        <v>105.02637392140926</v>
      </c>
      <c r="X146" s="65">
        <v>0.5</v>
      </c>
      <c r="Y146" s="65">
        <v>1</v>
      </c>
      <c r="Z146" s="65">
        <f t="shared" ca="1" si="4"/>
        <v>0.20494000000000001</v>
      </c>
      <c r="AA146" s="65">
        <v>0</v>
      </c>
    </row>
    <row r="147" spans="2:27" x14ac:dyDescent="0.25">
      <c r="B147" s="17">
        <f ca="1"/>
        <v>137</v>
      </c>
      <c r="C147" s="17">
        <f ca="1"/>
        <v>14480</v>
      </c>
      <c r="D147" s="17">
        <f ca="1"/>
        <v>14479</v>
      </c>
      <c r="E147" s="17">
        <f ca="1"/>
        <v>14480</v>
      </c>
      <c r="F147" s="17">
        <f ca="1"/>
        <v>7225</v>
      </c>
      <c r="G147" s="17">
        <f ca="1"/>
        <v>11183.75</v>
      </c>
      <c r="H147" s="17" t="str">
        <f ca="1"/>
        <v>CCC</v>
      </c>
      <c r="I147" s="17" t="str">
        <f ca="1"/>
        <v>Ind06</v>
      </c>
      <c r="J147" s="17" t="str">
        <f ca="1"/>
        <v>USD</v>
      </c>
      <c r="K147" s="69" t="str">
        <f ca="1"/>
        <v>ShipFin</v>
      </c>
      <c r="L147" s="17">
        <f ca="1"/>
        <v>5.5324608673364875</v>
      </c>
      <c r="M147" s="17">
        <f ca="1"/>
        <v>5</v>
      </c>
      <c r="N147" s="17">
        <f ca="1"/>
        <v>0.20494000000000001</v>
      </c>
      <c r="O147" s="17">
        <f ca="1"/>
        <v>0.4</v>
      </c>
      <c r="P147" s="17">
        <f ca="1"/>
        <v>2.3521921915502002</v>
      </c>
      <c r="Q147" s="17">
        <f ca="1"/>
        <v>8.1976000000000007E-2</v>
      </c>
      <c r="R147" s="17">
        <f ca="1"/>
        <v>0.18817537532401599</v>
      </c>
      <c r="S147" s="17">
        <f ca="1"/>
        <v>0.27015137532401601</v>
      </c>
      <c r="T147" s="17">
        <f ca="1"/>
        <v>11183.75</v>
      </c>
      <c r="U147" s="17">
        <f ca="1"/>
        <v>5505367.8000000017</v>
      </c>
      <c r="V147" s="17" t="str">
        <f ca="1"/>
        <v>2024-08-31</v>
      </c>
      <c r="W147" s="65">
        <f t="shared" ca="1" si="5"/>
        <v>66.389530408037842</v>
      </c>
      <c r="X147" s="65">
        <v>0.5</v>
      </c>
      <c r="Y147" s="65">
        <v>1</v>
      </c>
      <c r="Z147" s="65">
        <f t="shared" ca="1" si="4"/>
        <v>0.20494000000000001</v>
      </c>
      <c r="AA147" s="65">
        <v>0</v>
      </c>
    </row>
    <row r="148" spans="2:27" x14ac:dyDescent="0.25">
      <c r="B148" s="17">
        <f ca="1"/>
        <v>138</v>
      </c>
      <c r="C148" s="17">
        <f ca="1"/>
        <v>14522</v>
      </c>
      <c r="D148" s="17">
        <f ca="1"/>
        <v>14521</v>
      </c>
      <c r="E148" s="17">
        <f ca="1"/>
        <v>14522</v>
      </c>
      <c r="F148" s="17">
        <f ca="1"/>
        <v>7245</v>
      </c>
      <c r="G148" s="17">
        <f ca="1"/>
        <v>16350.83</v>
      </c>
      <c r="H148" s="17" t="str">
        <f ca="1"/>
        <v>CCC</v>
      </c>
      <c r="I148" s="17" t="str">
        <f ca="1"/>
        <v>Ind06</v>
      </c>
      <c r="J148" s="17" t="str">
        <f ca="1"/>
        <v>USD</v>
      </c>
      <c r="K148" s="69" t="str">
        <f ca="1"/>
        <v>ShipFin</v>
      </c>
      <c r="L148" s="17">
        <f ca="1"/>
        <v>9.3795162172010151</v>
      </c>
      <c r="M148" s="17">
        <f ca="1"/>
        <v>5</v>
      </c>
      <c r="N148" s="17">
        <f ca="1"/>
        <v>0.20494000000000001</v>
      </c>
      <c r="O148" s="17">
        <f ca="1"/>
        <v>0.4</v>
      </c>
      <c r="P148" s="17">
        <f ca="1"/>
        <v>2.3521921915502002</v>
      </c>
      <c r="Q148" s="17">
        <f ca="1"/>
        <v>8.1976000000000007E-2</v>
      </c>
      <c r="R148" s="17">
        <f ca="1"/>
        <v>0.18817537532401599</v>
      </c>
      <c r="S148" s="17">
        <f ca="1"/>
        <v>0.27015137532401601</v>
      </c>
      <c r="T148" s="17">
        <f ca="1"/>
        <v>16350.83</v>
      </c>
      <c r="U148" s="17">
        <f ca="1"/>
        <v>5521718.6300000018</v>
      </c>
      <c r="V148" s="17" t="str">
        <f ca="1"/>
        <v>2028-07-31</v>
      </c>
      <c r="W148" s="65">
        <f t="shared" ca="1" si="5"/>
        <v>112.55419460641218</v>
      </c>
      <c r="X148" s="65">
        <v>0.5</v>
      </c>
      <c r="Y148" s="65">
        <v>1</v>
      </c>
      <c r="Z148" s="65">
        <f t="shared" ca="1" si="4"/>
        <v>0.20494000000000001</v>
      </c>
      <c r="AA148" s="65">
        <v>0</v>
      </c>
    </row>
    <row r="149" spans="2:27" x14ac:dyDescent="0.25">
      <c r="B149" s="17">
        <f ca="1"/>
        <v>139</v>
      </c>
      <c r="C149" s="17">
        <f ca="1"/>
        <v>14523</v>
      </c>
      <c r="D149" s="17">
        <f ca="1"/>
        <v>14522</v>
      </c>
      <c r="E149" s="17">
        <f ca="1"/>
        <v>14523</v>
      </c>
      <c r="F149" s="17">
        <f ca="1"/>
        <v>7246</v>
      </c>
      <c r="G149" s="17">
        <f ca="1"/>
        <v>37591.53</v>
      </c>
      <c r="H149" s="17" t="str">
        <f ca="1"/>
        <v>CCC</v>
      </c>
      <c r="I149" s="17" t="str">
        <f ca="1"/>
        <v>Ind06</v>
      </c>
      <c r="J149" s="17" t="str">
        <f ca="1"/>
        <v>USD</v>
      </c>
      <c r="K149" s="69" t="str">
        <f ca="1"/>
        <v>ShipFin</v>
      </c>
      <c r="L149" s="17">
        <f ca="1"/>
        <v>5.0768357760575595</v>
      </c>
      <c r="M149" s="17">
        <f ca="1"/>
        <v>5</v>
      </c>
      <c r="N149" s="17">
        <f ca="1"/>
        <v>0.20494000000000001</v>
      </c>
      <c r="O149" s="17">
        <f ca="1"/>
        <v>0.4</v>
      </c>
      <c r="P149" s="17">
        <f ca="1"/>
        <v>2.3521921915502002</v>
      </c>
      <c r="Q149" s="17">
        <f ca="1"/>
        <v>8.1976000000000007E-2</v>
      </c>
      <c r="R149" s="17">
        <f ca="1"/>
        <v>0.18817537532401599</v>
      </c>
      <c r="S149" s="17">
        <f ca="1"/>
        <v>0.27015137532401601</v>
      </c>
      <c r="T149" s="17">
        <f ca="1"/>
        <v>37591.53</v>
      </c>
      <c r="U149" s="17">
        <f ca="1"/>
        <v>5559310.160000002</v>
      </c>
      <c r="V149" s="17" t="str">
        <f ca="1"/>
        <v>2024-07-31</v>
      </c>
      <c r="W149" s="65">
        <f t="shared" ca="1" si="5"/>
        <v>60.922029312690711</v>
      </c>
      <c r="X149" s="65">
        <v>0.5</v>
      </c>
      <c r="Y149" s="65">
        <v>1</v>
      </c>
      <c r="Z149" s="65">
        <f t="shared" ca="1" si="4"/>
        <v>0.20494000000000001</v>
      </c>
      <c r="AA149" s="65">
        <v>0</v>
      </c>
    </row>
    <row r="150" spans="2:27" x14ac:dyDescent="0.25">
      <c r="B150" s="17">
        <f ca="1"/>
        <v>140</v>
      </c>
      <c r="C150" s="17">
        <f ca="1"/>
        <v>14527</v>
      </c>
      <c r="D150" s="17">
        <f ca="1"/>
        <v>14526</v>
      </c>
      <c r="E150" s="17">
        <f ca="1"/>
        <v>14527</v>
      </c>
      <c r="F150" s="17">
        <f ca="1"/>
        <v>7248</v>
      </c>
      <c r="G150" s="17">
        <f ca="1"/>
        <v>70231.009999999995</v>
      </c>
      <c r="H150" s="17" t="str">
        <f ca="1"/>
        <v>CCC</v>
      </c>
      <c r="I150" s="17" t="str">
        <f ca="1"/>
        <v>Ind06</v>
      </c>
      <c r="J150" s="17" t="str">
        <f ca="1"/>
        <v>USD</v>
      </c>
      <c r="K150" s="69" t="str">
        <f ca="1"/>
        <v>ShipFin</v>
      </c>
      <c r="L150" s="17">
        <f ca="1"/>
        <v>5.8733227163692936</v>
      </c>
      <c r="M150" s="17">
        <f ca="1"/>
        <v>5</v>
      </c>
      <c r="N150" s="17">
        <f ca="1"/>
        <v>0.20494000000000001</v>
      </c>
      <c r="O150" s="17">
        <f ca="1"/>
        <v>0.4</v>
      </c>
      <c r="P150" s="17">
        <f ca="1"/>
        <v>2.3521921915502002</v>
      </c>
      <c r="Q150" s="17">
        <f ca="1"/>
        <v>8.1976000000000007E-2</v>
      </c>
      <c r="R150" s="17">
        <f ca="1"/>
        <v>0.18817537532401599</v>
      </c>
      <c r="S150" s="17">
        <f ca="1"/>
        <v>0.27015137532401601</v>
      </c>
      <c r="T150" s="17">
        <f ca="1"/>
        <v>70231.009999999995</v>
      </c>
      <c r="U150" s="17">
        <f ca="1"/>
        <v>5629541.1700000027</v>
      </c>
      <c r="V150" s="17" t="str">
        <f ca="1"/>
        <v>2024-08-31</v>
      </c>
      <c r="W150" s="65">
        <f t="shared" ca="1" si="5"/>
        <v>70.47987259643152</v>
      </c>
      <c r="X150" s="65">
        <v>0.5</v>
      </c>
      <c r="Y150" s="65">
        <v>1</v>
      </c>
      <c r="Z150" s="65">
        <f t="shared" ca="1" si="4"/>
        <v>0.20494000000000001</v>
      </c>
      <c r="AA150" s="65">
        <v>0</v>
      </c>
    </row>
    <row r="151" spans="2:27" x14ac:dyDescent="0.25">
      <c r="B151" s="17">
        <f ca="1"/>
        <v>141</v>
      </c>
      <c r="C151" s="17">
        <f ca="1"/>
        <v>14530</v>
      </c>
      <c r="D151" s="17">
        <f ca="1"/>
        <v>14529</v>
      </c>
      <c r="E151" s="17">
        <f ca="1"/>
        <v>14530</v>
      </c>
      <c r="F151" s="17">
        <f ca="1"/>
        <v>7249</v>
      </c>
      <c r="G151" s="17">
        <f ca="1"/>
        <v>61903.44</v>
      </c>
      <c r="H151" s="17" t="str">
        <f ca="1"/>
        <v>CCC</v>
      </c>
      <c r="I151" s="17" t="str">
        <f ca="1"/>
        <v>Ind06</v>
      </c>
      <c r="J151" s="17" t="str">
        <f ca="1"/>
        <v>USD</v>
      </c>
      <c r="K151" s="69" t="str">
        <f ca="1"/>
        <v>ShipFin</v>
      </c>
      <c r="L151" s="17">
        <f ca="1"/>
        <v>9.5152657808782539</v>
      </c>
      <c r="M151" s="17">
        <f ca="1"/>
        <v>5</v>
      </c>
      <c r="N151" s="17">
        <f ca="1"/>
        <v>0.20494000000000001</v>
      </c>
      <c r="O151" s="17">
        <f ca="1"/>
        <v>0.4</v>
      </c>
      <c r="P151" s="17">
        <f ca="1"/>
        <v>2.3521921915502002</v>
      </c>
      <c r="Q151" s="17">
        <f ca="1"/>
        <v>8.1976000000000007E-2</v>
      </c>
      <c r="R151" s="17">
        <f ca="1"/>
        <v>0.18817537532401599</v>
      </c>
      <c r="S151" s="17">
        <f ca="1"/>
        <v>0.27015137532401601</v>
      </c>
      <c r="T151" s="17">
        <f ca="1"/>
        <v>61903.44</v>
      </c>
      <c r="U151" s="17">
        <f ca="1"/>
        <v>5691444.6100000022</v>
      </c>
      <c r="V151" s="17" t="str">
        <f ca="1"/>
        <v>2028-08-31</v>
      </c>
      <c r="W151" s="65">
        <f t="shared" ca="1" si="5"/>
        <v>114.18318937053905</v>
      </c>
      <c r="X151" s="65">
        <v>0.5</v>
      </c>
      <c r="Y151" s="65">
        <v>1</v>
      </c>
      <c r="Z151" s="65">
        <f t="shared" ca="1" si="4"/>
        <v>0.20494000000000001</v>
      </c>
      <c r="AA151" s="65">
        <v>0</v>
      </c>
    </row>
    <row r="152" spans="2:27" x14ac:dyDescent="0.25">
      <c r="B152" s="17">
        <f ca="1"/>
        <v>142</v>
      </c>
      <c r="C152" s="17">
        <f ca="1"/>
        <v>14532</v>
      </c>
      <c r="D152" s="17">
        <f ca="1"/>
        <v>14531</v>
      </c>
      <c r="E152" s="17">
        <f ca="1"/>
        <v>14532</v>
      </c>
      <c r="F152" s="17">
        <f ca="1"/>
        <v>7249</v>
      </c>
      <c r="G152" s="17">
        <f ca="1"/>
        <v>16725.29</v>
      </c>
      <c r="H152" s="17" t="str">
        <f ca="1"/>
        <v>CCC</v>
      </c>
      <c r="I152" s="17" t="str">
        <f ca="1"/>
        <v>Ind06</v>
      </c>
      <c r="J152" s="17" t="str">
        <f ca="1"/>
        <v>USD</v>
      </c>
      <c r="K152" s="69" t="str">
        <f ca="1"/>
        <v>ShipFin</v>
      </c>
      <c r="L152" s="17">
        <f ca="1"/>
        <v>8.3606173221790225</v>
      </c>
      <c r="M152" s="17">
        <f ca="1"/>
        <v>5</v>
      </c>
      <c r="N152" s="17">
        <f ca="1"/>
        <v>0.20494000000000001</v>
      </c>
      <c r="O152" s="17">
        <f ca="1"/>
        <v>0.4</v>
      </c>
      <c r="P152" s="17">
        <f ca="1"/>
        <v>2.3521921915502002</v>
      </c>
      <c r="Q152" s="17">
        <f ca="1"/>
        <v>8.1976000000000007E-2</v>
      </c>
      <c r="R152" s="17">
        <f ca="1"/>
        <v>0.18817537532401599</v>
      </c>
      <c r="S152" s="17">
        <f ca="1"/>
        <v>0.27015137532401601</v>
      </c>
      <c r="T152" s="17">
        <f ca="1"/>
        <v>16725.29</v>
      </c>
      <c r="U152" s="17">
        <f ca="1"/>
        <v>5708169.9000000022</v>
      </c>
      <c r="V152" s="17" t="str">
        <f ca="1"/>
        <v>2027-07-31</v>
      </c>
      <c r="W152" s="65">
        <f t="shared" ca="1" si="5"/>
        <v>100.32740786614826</v>
      </c>
      <c r="X152" s="65">
        <v>0.5</v>
      </c>
      <c r="Y152" s="65">
        <v>1</v>
      </c>
      <c r="Z152" s="65">
        <f t="shared" ca="1" si="4"/>
        <v>0.20494000000000001</v>
      </c>
      <c r="AA152" s="65">
        <v>0</v>
      </c>
    </row>
    <row r="153" spans="2:27" x14ac:dyDescent="0.25">
      <c r="B153" s="17">
        <f ca="1"/>
        <v>143</v>
      </c>
      <c r="C153" s="17">
        <f ca="1"/>
        <v>14533</v>
      </c>
      <c r="D153" s="17">
        <f ca="1"/>
        <v>14532</v>
      </c>
      <c r="E153" s="17">
        <f ca="1"/>
        <v>14533</v>
      </c>
      <c r="F153" s="17">
        <f ca="1"/>
        <v>7250</v>
      </c>
      <c r="G153" s="17">
        <f ca="1"/>
        <v>99284.2</v>
      </c>
      <c r="H153" s="17" t="str">
        <f ca="1"/>
        <v>CCC</v>
      </c>
      <c r="I153" s="17" t="str">
        <f ca="1"/>
        <v>Ind06</v>
      </c>
      <c r="J153" s="17" t="str">
        <f ca="1"/>
        <v>USD</v>
      </c>
      <c r="K153" s="69" t="str">
        <f ca="1"/>
        <v>ShipFin</v>
      </c>
      <c r="L153" s="17">
        <f ca="1"/>
        <v>7.9789486803021266</v>
      </c>
      <c r="M153" s="17">
        <f ca="1"/>
        <v>5</v>
      </c>
      <c r="N153" s="17">
        <f ca="1"/>
        <v>0.20494000000000001</v>
      </c>
      <c r="O153" s="17">
        <f ca="1"/>
        <v>0.4</v>
      </c>
      <c r="P153" s="17">
        <f ca="1"/>
        <v>2.3521921915502002</v>
      </c>
      <c r="Q153" s="17">
        <f ca="1"/>
        <v>8.1976000000000007E-2</v>
      </c>
      <c r="R153" s="17">
        <f ca="1"/>
        <v>0.18817537532401599</v>
      </c>
      <c r="S153" s="17">
        <f ca="1"/>
        <v>0.27015137532401601</v>
      </c>
      <c r="T153" s="17">
        <f ca="1"/>
        <v>99284.2</v>
      </c>
      <c r="U153" s="17">
        <f ca="1"/>
        <v>5807454.1000000024</v>
      </c>
      <c r="V153" s="17" t="str">
        <f ca="1"/>
        <v>2026-08-31</v>
      </c>
      <c r="W153" s="65">
        <f t="shared" ca="1" si="5"/>
        <v>95.747384163625526</v>
      </c>
      <c r="X153" s="65">
        <v>0.5</v>
      </c>
      <c r="Y153" s="65">
        <v>1</v>
      </c>
      <c r="Z153" s="65">
        <f t="shared" ca="1" si="4"/>
        <v>0.20494000000000001</v>
      </c>
      <c r="AA153" s="65">
        <v>0</v>
      </c>
    </row>
    <row r="154" spans="2:27" x14ac:dyDescent="0.25">
      <c r="B154" s="17">
        <f ca="1"/>
        <v>144</v>
      </c>
      <c r="C154" s="17">
        <f ca="1"/>
        <v>14534</v>
      </c>
      <c r="D154" s="17">
        <f ca="1"/>
        <v>14533</v>
      </c>
      <c r="E154" s="17">
        <f ca="1"/>
        <v>14534</v>
      </c>
      <c r="F154" s="17">
        <f ca="1"/>
        <v>7251</v>
      </c>
      <c r="G154" s="17">
        <f ca="1"/>
        <v>64523.06</v>
      </c>
      <c r="H154" s="17" t="str">
        <f ca="1"/>
        <v>CCC</v>
      </c>
      <c r="I154" s="17" t="str">
        <f ca="1"/>
        <v>Ind06</v>
      </c>
      <c r="J154" s="17" t="str">
        <f ca="1"/>
        <v>USD</v>
      </c>
      <c r="K154" s="69" t="str">
        <f ca="1"/>
        <v>ShipFin</v>
      </c>
      <c r="L154" s="17">
        <f ca="1"/>
        <v>6.4266520169330761</v>
      </c>
      <c r="M154" s="17">
        <f ca="1"/>
        <v>5</v>
      </c>
      <c r="N154" s="17">
        <f ca="1"/>
        <v>0.20494000000000001</v>
      </c>
      <c r="O154" s="17">
        <f ca="1"/>
        <v>0.4</v>
      </c>
      <c r="P154" s="17">
        <f ca="1"/>
        <v>2.3521921915502002</v>
      </c>
      <c r="Q154" s="17">
        <f ca="1"/>
        <v>8.1976000000000007E-2</v>
      </c>
      <c r="R154" s="17">
        <f ca="1"/>
        <v>0.18817537532401599</v>
      </c>
      <c r="S154" s="17">
        <f ca="1"/>
        <v>0.27015137532401601</v>
      </c>
      <c r="T154" s="17">
        <f ca="1"/>
        <v>64523.06</v>
      </c>
      <c r="U154" s="17">
        <f ca="1"/>
        <v>5871977.1600000029</v>
      </c>
      <c r="V154" s="17" t="str">
        <f ca="1"/>
        <v>2025-08-31</v>
      </c>
      <c r="W154" s="65">
        <f t="shared" ca="1" si="5"/>
        <v>77.119824203196913</v>
      </c>
      <c r="X154" s="65">
        <v>0.5</v>
      </c>
      <c r="Y154" s="65">
        <v>1</v>
      </c>
      <c r="Z154" s="65">
        <f t="shared" ca="1" si="4"/>
        <v>0.20494000000000001</v>
      </c>
      <c r="AA154" s="65">
        <v>0</v>
      </c>
    </row>
    <row r="155" spans="2:27" x14ac:dyDescent="0.25">
      <c r="B155" s="17">
        <f ca="1"/>
        <v>145</v>
      </c>
      <c r="C155" s="17">
        <f ca="1"/>
        <v>14536</v>
      </c>
      <c r="D155" s="17">
        <f ca="1"/>
        <v>14535</v>
      </c>
      <c r="E155" s="17">
        <f ca="1"/>
        <v>14536</v>
      </c>
      <c r="F155" s="17">
        <f ca="1"/>
        <v>7252</v>
      </c>
      <c r="G155" s="17">
        <f ca="1"/>
        <v>30855.91</v>
      </c>
      <c r="H155" s="17" t="str">
        <f ca="1"/>
        <v>CCC</v>
      </c>
      <c r="I155" s="17" t="str">
        <f ca="1"/>
        <v>Ind06</v>
      </c>
      <c r="J155" s="17" t="str">
        <f ca="1"/>
        <v>USD</v>
      </c>
      <c r="K155" s="69" t="str">
        <f ca="1"/>
        <v>ShipFin</v>
      </c>
      <c r="L155" s="17">
        <f ca="1"/>
        <v>7.3794173736264925</v>
      </c>
      <c r="M155" s="17">
        <f ca="1"/>
        <v>5</v>
      </c>
      <c r="N155" s="17">
        <f ca="1"/>
        <v>0.20494000000000001</v>
      </c>
      <c r="O155" s="17">
        <f ca="1"/>
        <v>0.4</v>
      </c>
      <c r="P155" s="17">
        <f ca="1"/>
        <v>2.3521921915502002</v>
      </c>
      <c r="Q155" s="17">
        <f ca="1"/>
        <v>8.1976000000000007E-2</v>
      </c>
      <c r="R155" s="17">
        <f ca="1"/>
        <v>0.18817537532401599</v>
      </c>
      <c r="S155" s="17">
        <f ca="1"/>
        <v>0.27015137532401601</v>
      </c>
      <c r="T155" s="17">
        <f ca="1"/>
        <v>30855.91</v>
      </c>
      <c r="U155" s="17">
        <f ca="1"/>
        <v>5902833.0700000022</v>
      </c>
      <c r="V155" s="17" t="str">
        <f ca="1"/>
        <v>2026-07-31</v>
      </c>
      <c r="W155" s="65">
        <f t="shared" ca="1" si="5"/>
        <v>88.553008483517914</v>
      </c>
      <c r="X155" s="65">
        <v>0.5</v>
      </c>
      <c r="Y155" s="65">
        <v>1</v>
      </c>
      <c r="Z155" s="65">
        <f t="shared" ca="1" si="4"/>
        <v>0.20494000000000001</v>
      </c>
      <c r="AA155" s="65">
        <v>0</v>
      </c>
    </row>
    <row r="156" spans="2:27" x14ac:dyDescent="0.25">
      <c r="B156" s="17">
        <f ca="1"/>
        <v>146</v>
      </c>
      <c r="C156" s="17">
        <f ca="1"/>
        <v>14537</v>
      </c>
      <c r="D156" s="17">
        <f ca="1"/>
        <v>14536</v>
      </c>
      <c r="E156" s="17">
        <f ca="1"/>
        <v>14537</v>
      </c>
      <c r="F156" s="17">
        <f ca="1"/>
        <v>7253</v>
      </c>
      <c r="G156" s="17">
        <f ca="1"/>
        <v>25541</v>
      </c>
      <c r="H156" s="17" t="str">
        <f ca="1"/>
        <v>CCC</v>
      </c>
      <c r="I156" s="17" t="str">
        <f ca="1"/>
        <v>Ind06</v>
      </c>
      <c r="J156" s="17" t="str">
        <f ca="1"/>
        <v>USD</v>
      </c>
      <c r="K156" s="69" t="str">
        <f ca="1"/>
        <v>ShipFin</v>
      </c>
      <c r="L156" s="17">
        <f ca="1"/>
        <v>6.1155116257676836</v>
      </c>
      <c r="M156" s="17">
        <f ca="1"/>
        <v>5</v>
      </c>
      <c r="N156" s="17">
        <f ca="1"/>
        <v>0.20494000000000001</v>
      </c>
      <c r="O156" s="17">
        <f ca="1"/>
        <v>0.4</v>
      </c>
      <c r="P156" s="17">
        <f ca="1"/>
        <v>2.3521921915502002</v>
      </c>
      <c r="Q156" s="17">
        <f ca="1"/>
        <v>8.1976000000000007E-2</v>
      </c>
      <c r="R156" s="17">
        <f ca="1"/>
        <v>0.18817537532401599</v>
      </c>
      <c r="S156" s="17">
        <f ca="1"/>
        <v>0.27015137532401601</v>
      </c>
      <c r="T156" s="17">
        <f ca="1"/>
        <v>25541</v>
      </c>
      <c r="U156" s="17">
        <f ca="1"/>
        <v>5928374.0700000022</v>
      </c>
      <c r="V156" s="17" t="str">
        <f ca="1"/>
        <v>2025-07-31</v>
      </c>
      <c r="W156" s="65">
        <f t="shared" ca="1" si="5"/>
        <v>73.3861395092122</v>
      </c>
      <c r="X156" s="65">
        <v>0.5</v>
      </c>
      <c r="Y156" s="65">
        <v>1</v>
      </c>
      <c r="Z156" s="65">
        <f t="shared" ca="1" si="4"/>
        <v>0.20494000000000001</v>
      </c>
      <c r="AA156" s="65">
        <v>0</v>
      </c>
    </row>
    <row r="157" spans="2:27" x14ac:dyDescent="0.25">
      <c r="B157" s="17">
        <f ca="1"/>
        <v>147</v>
      </c>
      <c r="C157" s="17">
        <f ca="1"/>
        <v>14542</v>
      </c>
      <c r="D157" s="17">
        <f ca="1"/>
        <v>14541</v>
      </c>
      <c r="E157" s="17">
        <f ca="1"/>
        <v>14542</v>
      </c>
      <c r="F157" s="17">
        <f ca="1"/>
        <v>7255</v>
      </c>
      <c r="G157" s="17">
        <f ca="1"/>
        <v>42894.95</v>
      </c>
      <c r="H157" s="17" t="str">
        <f ca="1"/>
        <v>CCC</v>
      </c>
      <c r="I157" s="17" t="str">
        <f ca="1"/>
        <v>Ind06</v>
      </c>
      <c r="J157" s="17" t="str">
        <f ca="1"/>
        <v>USD</v>
      </c>
      <c r="K157" s="69" t="str">
        <f ca="1"/>
        <v>ShipFin</v>
      </c>
      <c r="L157" s="17">
        <f ca="1"/>
        <v>8.6698413515929129</v>
      </c>
      <c r="M157" s="17">
        <f ca="1"/>
        <v>5</v>
      </c>
      <c r="N157" s="17">
        <f ca="1"/>
        <v>0.20494000000000001</v>
      </c>
      <c r="O157" s="17">
        <f ca="1"/>
        <v>0.4</v>
      </c>
      <c r="P157" s="17">
        <f ca="1"/>
        <v>2.3521921915502002</v>
      </c>
      <c r="Q157" s="17">
        <f ca="1"/>
        <v>8.1976000000000007E-2</v>
      </c>
      <c r="R157" s="17">
        <f ca="1"/>
        <v>0.18817537532401599</v>
      </c>
      <c r="S157" s="17">
        <f ca="1"/>
        <v>0.27015137532401601</v>
      </c>
      <c r="T157" s="17">
        <f ca="1"/>
        <v>42894.95</v>
      </c>
      <c r="U157" s="17">
        <f ca="1"/>
        <v>5971269.0200000023</v>
      </c>
      <c r="V157" s="17" t="str">
        <f ca="1"/>
        <v>2027-08-31</v>
      </c>
      <c r="W157" s="65">
        <f t="shared" ca="1" si="5"/>
        <v>104.03809621911495</v>
      </c>
      <c r="X157" s="65">
        <v>0.5</v>
      </c>
      <c r="Y157" s="65">
        <v>1</v>
      </c>
      <c r="Z157" s="65">
        <f t="shared" ca="1" si="4"/>
        <v>0.20494000000000001</v>
      </c>
      <c r="AA157" s="65">
        <v>0</v>
      </c>
    </row>
    <row r="158" spans="2:27" x14ac:dyDescent="0.25">
      <c r="B158" s="17">
        <f ca="1"/>
        <v>148</v>
      </c>
      <c r="C158" s="17">
        <f ca="1"/>
        <v>14543</v>
      </c>
      <c r="D158" s="17">
        <f ca="1"/>
        <v>14542</v>
      </c>
      <c r="E158" s="17">
        <f ca="1"/>
        <v>14543</v>
      </c>
      <c r="F158" s="17">
        <f ca="1"/>
        <v>7255</v>
      </c>
      <c r="G158" s="17">
        <f ca="1"/>
        <v>46805.32</v>
      </c>
      <c r="H158" s="17" t="str">
        <f ca="1"/>
        <v>CCC</v>
      </c>
      <c r="I158" s="17" t="str">
        <f ca="1"/>
        <v>Ind06</v>
      </c>
      <c r="J158" s="17" t="str">
        <f ca="1"/>
        <v>USD</v>
      </c>
      <c r="K158" s="69" t="str">
        <f ca="1"/>
        <v>ShipFin</v>
      </c>
      <c r="L158" s="17">
        <f ca="1"/>
        <v>6.9769908236968314</v>
      </c>
      <c r="M158" s="17">
        <f ca="1"/>
        <v>5</v>
      </c>
      <c r="N158" s="17">
        <f ca="1"/>
        <v>0.20494000000000001</v>
      </c>
      <c r="O158" s="17">
        <f ca="1"/>
        <v>0.4</v>
      </c>
      <c r="P158" s="17">
        <f ca="1"/>
        <v>2.3521921915502002</v>
      </c>
      <c r="Q158" s="17">
        <f ca="1"/>
        <v>8.1976000000000007E-2</v>
      </c>
      <c r="R158" s="17">
        <f ca="1"/>
        <v>0.18817537532401599</v>
      </c>
      <c r="S158" s="17">
        <f ca="1"/>
        <v>0.27015137532401601</v>
      </c>
      <c r="T158" s="17">
        <f ca="1"/>
        <v>46805.32</v>
      </c>
      <c r="U158" s="17">
        <f ca="1"/>
        <v>6018074.3400000026</v>
      </c>
      <c r="V158" s="17" t="str">
        <f ca="1"/>
        <v>2025-08-31</v>
      </c>
      <c r="W158" s="65">
        <f t="shared" ca="1" si="5"/>
        <v>83.723889884361981</v>
      </c>
      <c r="X158" s="65">
        <v>0.5</v>
      </c>
      <c r="Y158" s="65">
        <v>1</v>
      </c>
      <c r="Z158" s="65">
        <f t="shared" ca="1" si="4"/>
        <v>0.20494000000000001</v>
      </c>
      <c r="AA158" s="65">
        <v>0</v>
      </c>
    </row>
    <row r="159" spans="2:27" x14ac:dyDescent="0.25">
      <c r="B159" s="17">
        <f ca="1"/>
        <v>149</v>
      </c>
      <c r="C159" s="17">
        <f ca="1"/>
        <v>14546</v>
      </c>
      <c r="D159" s="17">
        <f ca="1"/>
        <v>14545</v>
      </c>
      <c r="E159" s="17">
        <f ca="1"/>
        <v>14546</v>
      </c>
      <c r="F159" s="17">
        <f ca="1"/>
        <v>7256</v>
      </c>
      <c r="G159" s="17">
        <f ca="1"/>
        <v>29629.88</v>
      </c>
      <c r="H159" s="17" t="str">
        <f ca="1"/>
        <v>CCC</v>
      </c>
      <c r="I159" s="17" t="str">
        <f ca="1"/>
        <v>Ind06</v>
      </c>
      <c r="J159" s="17" t="str">
        <f ca="1"/>
        <v>USD</v>
      </c>
      <c r="K159" s="69" t="str">
        <f ca="1"/>
        <v>ShipFin</v>
      </c>
      <c r="L159" s="17">
        <f ca="1"/>
        <v>9.6511514468397923</v>
      </c>
      <c r="M159" s="17">
        <f ca="1"/>
        <v>5</v>
      </c>
      <c r="N159" s="17">
        <f ca="1"/>
        <v>0.20494000000000001</v>
      </c>
      <c r="O159" s="17">
        <f ca="1"/>
        <v>0.4</v>
      </c>
      <c r="P159" s="17">
        <f ca="1"/>
        <v>2.3521921915502002</v>
      </c>
      <c r="Q159" s="17">
        <f ca="1"/>
        <v>8.1976000000000007E-2</v>
      </c>
      <c r="R159" s="17">
        <f ca="1"/>
        <v>0.18817537532401599</v>
      </c>
      <c r="S159" s="17">
        <f ca="1"/>
        <v>0.27015137532401601</v>
      </c>
      <c r="T159" s="17">
        <f ca="1"/>
        <v>29629.88</v>
      </c>
      <c r="U159" s="17">
        <f ca="1"/>
        <v>6047704.2200000025</v>
      </c>
      <c r="V159" s="17" t="str">
        <f ca="1"/>
        <v>2028-08-31</v>
      </c>
      <c r="W159" s="65">
        <f t="shared" ca="1" si="5"/>
        <v>115.81381736207751</v>
      </c>
      <c r="X159" s="65">
        <v>0.5</v>
      </c>
      <c r="Y159" s="65">
        <v>1</v>
      </c>
      <c r="Z159" s="65">
        <f t="shared" ca="1" si="4"/>
        <v>0.20494000000000001</v>
      </c>
      <c r="AA159" s="65">
        <v>0</v>
      </c>
    </row>
    <row r="160" spans="2:27" x14ac:dyDescent="0.25">
      <c r="B160" s="17">
        <f ca="1"/>
        <v>150</v>
      </c>
      <c r="C160" s="17">
        <f ca="1"/>
        <v>14548</v>
      </c>
      <c r="D160" s="17">
        <f ca="1"/>
        <v>14547</v>
      </c>
      <c r="E160" s="17">
        <f ca="1"/>
        <v>14548</v>
      </c>
      <c r="F160" s="17">
        <f ca="1"/>
        <v>7257</v>
      </c>
      <c r="G160" s="17">
        <f ca="1"/>
        <v>15122.17</v>
      </c>
      <c r="H160" s="17" t="str">
        <f ca="1"/>
        <v>CCC</v>
      </c>
      <c r="I160" s="17" t="str">
        <f ca="1"/>
        <v>Ind06</v>
      </c>
      <c r="J160" s="17" t="str">
        <f ca="1"/>
        <v>USD</v>
      </c>
      <c r="K160" s="69" t="str">
        <f ca="1"/>
        <v>ShipFin</v>
      </c>
      <c r="L160" s="17">
        <f ca="1"/>
        <v>7.574060754729433</v>
      </c>
      <c r="M160" s="17">
        <f ca="1"/>
        <v>5</v>
      </c>
      <c r="N160" s="17">
        <f ca="1"/>
        <v>0.20494000000000001</v>
      </c>
      <c r="O160" s="17">
        <f ca="1"/>
        <v>0.4</v>
      </c>
      <c r="P160" s="17">
        <f ca="1"/>
        <v>2.3521921915502002</v>
      </c>
      <c r="Q160" s="17">
        <f ca="1"/>
        <v>8.1976000000000007E-2</v>
      </c>
      <c r="R160" s="17">
        <f ca="1"/>
        <v>0.18817537532401599</v>
      </c>
      <c r="S160" s="17">
        <f ca="1"/>
        <v>0.27015137532401601</v>
      </c>
      <c r="T160" s="17">
        <f ca="1"/>
        <v>15122.17</v>
      </c>
      <c r="U160" s="17">
        <f ca="1"/>
        <v>6062826.3900000025</v>
      </c>
      <c r="V160" s="17" t="str">
        <f ca="1"/>
        <v>2026-08-31</v>
      </c>
      <c r="W160" s="65">
        <f t="shared" ca="1" si="5"/>
        <v>90.888729056753192</v>
      </c>
      <c r="X160" s="65">
        <v>0.5</v>
      </c>
      <c r="Y160" s="65">
        <v>1</v>
      </c>
      <c r="Z160" s="65">
        <f t="shared" ca="1" si="4"/>
        <v>0.20494000000000001</v>
      </c>
      <c r="AA160" s="65">
        <v>0</v>
      </c>
    </row>
    <row r="161" spans="2:27" x14ac:dyDescent="0.25">
      <c r="B161" s="17">
        <f ca="1"/>
        <v>151</v>
      </c>
      <c r="C161" s="17">
        <f ca="1"/>
        <v>14549</v>
      </c>
      <c r="D161" s="17">
        <f ca="1"/>
        <v>14548</v>
      </c>
      <c r="E161" s="17">
        <f ca="1"/>
        <v>14549</v>
      </c>
      <c r="F161" s="17">
        <f ca="1"/>
        <v>7257</v>
      </c>
      <c r="G161" s="17">
        <f ca="1"/>
        <v>45808.19</v>
      </c>
      <c r="H161" s="17" t="str">
        <f ca="1"/>
        <v>CCC</v>
      </c>
      <c r="I161" s="17" t="str">
        <f ca="1"/>
        <v>Ind06</v>
      </c>
      <c r="J161" s="17" t="str">
        <f ca="1"/>
        <v>USD</v>
      </c>
      <c r="K161" s="69" t="str">
        <f ca="1"/>
        <v>ShipFin</v>
      </c>
      <c r="L161" s="17">
        <f ca="1"/>
        <v>6.9472621413413433</v>
      </c>
      <c r="M161" s="17">
        <f ca="1"/>
        <v>5</v>
      </c>
      <c r="N161" s="17">
        <f ca="1"/>
        <v>0.20494000000000001</v>
      </c>
      <c r="O161" s="17">
        <f ca="1"/>
        <v>0.4</v>
      </c>
      <c r="P161" s="17">
        <f ca="1"/>
        <v>2.3521921915502002</v>
      </c>
      <c r="Q161" s="17">
        <f ca="1"/>
        <v>8.1976000000000007E-2</v>
      </c>
      <c r="R161" s="17">
        <f ca="1"/>
        <v>0.18817537532401599</v>
      </c>
      <c r="S161" s="17">
        <f ca="1"/>
        <v>0.27015137532401601</v>
      </c>
      <c r="T161" s="17">
        <f ca="1"/>
        <v>45808.19</v>
      </c>
      <c r="U161" s="17">
        <f ca="1"/>
        <v>6108634.5800000029</v>
      </c>
      <c r="V161" s="17" t="str">
        <f ca="1"/>
        <v>2025-08-31</v>
      </c>
      <c r="W161" s="65">
        <f t="shared" ca="1" si="5"/>
        <v>83.367145696096117</v>
      </c>
      <c r="X161" s="65">
        <v>0.5</v>
      </c>
      <c r="Y161" s="65">
        <v>1</v>
      </c>
      <c r="Z161" s="65">
        <f t="shared" ca="1" si="4"/>
        <v>0.20494000000000001</v>
      </c>
      <c r="AA161" s="65">
        <v>0</v>
      </c>
    </row>
    <row r="162" spans="2:27" x14ac:dyDescent="0.25">
      <c r="B162" s="17">
        <f ca="1"/>
        <v>152</v>
      </c>
      <c r="C162" s="17">
        <f ca="1"/>
        <v>14550</v>
      </c>
      <c r="D162" s="17">
        <f ca="1"/>
        <v>14549</v>
      </c>
      <c r="E162" s="17">
        <f ca="1"/>
        <v>14550</v>
      </c>
      <c r="F162" s="17">
        <f ca="1"/>
        <v>7258</v>
      </c>
      <c r="G162" s="17">
        <f ca="1"/>
        <v>56750.15</v>
      </c>
      <c r="H162" s="17" t="str">
        <f ca="1"/>
        <v>CCC</v>
      </c>
      <c r="I162" s="17" t="str">
        <f ca="1"/>
        <v>Ind06</v>
      </c>
      <c r="J162" s="17" t="str">
        <f ca="1"/>
        <v>USD</v>
      </c>
      <c r="K162" s="69" t="str">
        <f ca="1"/>
        <v>ShipFin</v>
      </c>
      <c r="L162" s="17">
        <f ca="1"/>
        <v>9.9090055747167209</v>
      </c>
      <c r="M162" s="17">
        <f ca="1"/>
        <v>5</v>
      </c>
      <c r="N162" s="17">
        <f ca="1"/>
        <v>0.20494000000000001</v>
      </c>
      <c r="O162" s="17">
        <f ca="1"/>
        <v>0.4</v>
      </c>
      <c r="P162" s="17">
        <f ca="1"/>
        <v>2.3521921915502002</v>
      </c>
      <c r="Q162" s="17">
        <f ca="1"/>
        <v>8.1976000000000007E-2</v>
      </c>
      <c r="R162" s="17">
        <f ca="1"/>
        <v>0.18817537532401599</v>
      </c>
      <c r="S162" s="17">
        <f ca="1"/>
        <v>0.27015137532401601</v>
      </c>
      <c r="T162" s="17">
        <f ca="1"/>
        <v>56750.15</v>
      </c>
      <c r="U162" s="17">
        <f ca="1"/>
        <v>6165384.7300000023</v>
      </c>
      <c r="V162" s="17" t="str">
        <f ca="1"/>
        <v>2028-08-31</v>
      </c>
      <c r="W162" s="65">
        <f t="shared" ca="1" si="5"/>
        <v>118.90806689660064</v>
      </c>
      <c r="X162" s="65">
        <v>0.5</v>
      </c>
      <c r="Y162" s="65">
        <v>1</v>
      </c>
      <c r="Z162" s="65">
        <f t="shared" ca="1" si="4"/>
        <v>0.20494000000000001</v>
      </c>
      <c r="AA162" s="65">
        <v>0</v>
      </c>
    </row>
    <row r="163" spans="2:27" x14ac:dyDescent="0.25">
      <c r="B163" s="17">
        <f ca="1"/>
        <v>153</v>
      </c>
      <c r="C163" s="17">
        <f ca="1"/>
        <v>14551</v>
      </c>
      <c r="D163" s="17">
        <f ca="1"/>
        <v>14550</v>
      </c>
      <c r="E163" s="17">
        <f ca="1"/>
        <v>14551</v>
      </c>
      <c r="F163" s="17">
        <f ca="1"/>
        <v>7258</v>
      </c>
      <c r="G163" s="17">
        <f ca="1"/>
        <v>21156.37</v>
      </c>
      <c r="H163" s="17" t="str">
        <f ca="1"/>
        <v>CCC</v>
      </c>
      <c r="I163" s="17" t="str">
        <f ca="1"/>
        <v>Ind06</v>
      </c>
      <c r="J163" s="17" t="str">
        <f ca="1"/>
        <v>USD</v>
      </c>
      <c r="K163" s="69" t="str">
        <f ca="1"/>
        <v>ShipFin</v>
      </c>
      <c r="L163" s="17">
        <f ca="1"/>
        <v>9.2673999334149997</v>
      </c>
      <c r="M163" s="17">
        <f ca="1"/>
        <v>5</v>
      </c>
      <c r="N163" s="17">
        <f ca="1"/>
        <v>0.20494000000000001</v>
      </c>
      <c r="O163" s="17">
        <f ca="1"/>
        <v>0.4</v>
      </c>
      <c r="P163" s="17">
        <f ca="1"/>
        <v>2.3521921915502002</v>
      </c>
      <c r="Q163" s="17">
        <f ca="1"/>
        <v>8.1976000000000007E-2</v>
      </c>
      <c r="R163" s="17">
        <f ca="1"/>
        <v>0.18817537532401599</v>
      </c>
      <c r="S163" s="17">
        <f ca="1"/>
        <v>0.27015137532401601</v>
      </c>
      <c r="T163" s="17">
        <f ca="1"/>
        <v>21156.37</v>
      </c>
      <c r="U163" s="17">
        <f ca="1"/>
        <v>6186541.1000000024</v>
      </c>
      <c r="V163" s="17" t="str">
        <f ca="1"/>
        <v>2028-07-31</v>
      </c>
      <c r="W163" s="65">
        <f t="shared" ca="1" si="5"/>
        <v>111.20879920098</v>
      </c>
      <c r="X163" s="65">
        <v>0.5</v>
      </c>
      <c r="Y163" s="65">
        <v>1</v>
      </c>
      <c r="Z163" s="65">
        <f t="shared" ca="1" si="4"/>
        <v>0.20494000000000001</v>
      </c>
      <c r="AA163" s="65">
        <v>0</v>
      </c>
    </row>
    <row r="164" spans="2:27" x14ac:dyDescent="0.25">
      <c r="B164" s="17">
        <f ca="1"/>
        <v>154</v>
      </c>
      <c r="C164" s="17">
        <f ca="1"/>
        <v>14552</v>
      </c>
      <c r="D164" s="17">
        <f ca="1"/>
        <v>14551</v>
      </c>
      <c r="E164" s="17">
        <f ca="1"/>
        <v>14552</v>
      </c>
      <c r="F164" s="17">
        <f ca="1"/>
        <v>7259</v>
      </c>
      <c r="G164" s="17">
        <f ca="1"/>
        <v>99482.59</v>
      </c>
      <c r="H164" s="17" t="str">
        <f ca="1"/>
        <v>CCC</v>
      </c>
      <c r="I164" s="17" t="str">
        <f ca="1"/>
        <v>Ind06</v>
      </c>
      <c r="J164" s="17" t="str">
        <f ca="1"/>
        <v>USD</v>
      </c>
      <c r="K164" s="69" t="str">
        <f ca="1"/>
        <v>ShipFin</v>
      </c>
      <c r="L164" s="17">
        <f ca="1"/>
        <v>6.0263532462110758</v>
      </c>
      <c r="M164" s="17">
        <f ca="1"/>
        <v>5</v>
      </c>
      <c r="N164" s="17">
        <f ca="1"/>
        <v>0.20494000000000001</v>
      </c>
      <c r="O164" s="17">
        <f ca="1"/>
        <v>0.4</v>
      </c>
      <c r="P164" s="17">
        <f ca="1"/>
        <v>2.3521921915502002</v>
      </c>
      <c r="Q164" s="17">
        <f ca="1"/>
        <v>8.1976000000000007E-2</v>
      </c>
      <c r="R164" s="17">
        <f ca="1"/>
        <v>0.18817537532401599</v>
      </c>
      <c r="S164" s="17">
        <f ca="1"/>
        <v>0.27015137532401601</v>
      </c>
      <c r="T164" s="17">
        <f ca="1"/>
        <v>99482.59</v>
      </c>
      <c r="U164" s="17">
        <f ca="1"/>
        <v>6286023.6900000023</v>
      </c>
      <c r="V164" s="17" t="str">
        <f ca="1"/>
        <v>2025-07-31</v>
      </c>
      <c r="W164" s="65">
        <f t="shared" ca="1" si="5"/>
        <v>72.316238954532906</v>
      </c>
      <c r="X164" s="65">
        <v>0.5</v>
      </c>
      <c r="Y164" s="65">
        <v>1</v>
      </c>
      <c r="Z164" s="65">
        <f t="shared" ca="1" si="4"/>
        <v>0.20494000000000001</v>
      </c>
      <c r="AA164" s="65">
        <v>0</v>
      </c>
    </row>
    <row r="165" spans="2:27" x14ac:dyDescent="0.25">
      <c r="B165" s="17">
        <f ca="1"/>
        <v>155</v>
      </c>
      <c r="C165" s="17">
        <f ca="1"/>
        <v>14555</v>
      </c>
      <c r="D165" s="17">
        <f ca="1"/>
        <v>14554</v>
      </c>
      <c r="E165" s="17">
        <f ca="1"/>
        <v>14555</v>
      </c>
      <c r="F165" s="17">
        <f ca="1"/>
        <v>7261</v>
      </c>
      <c r="G165" s="17">
        <f ca="1"/>
        <v>46036.63</v>
      </c>
      <c r="H165" s="17" t="str">
        <f ca="1"/>
        <v>CCC</v>
      </c>
      <c r="I165" s="17" t="str">
        <f ca="1"/>
        <v>Ind06</v>
      </c>
      <c r="J165" s="17" t="str">
        <f ca="1"/>
        <v>USD</v>
      </c>
      <c r="K165" s="69" t="str">
        <f ca="1"/>
        <v>ShipFin</v>
      </c>
      <c r="L165" s="17">
        <f ca="1"/>
        <v>9.160731830070727</v>
      </c>
      <c r="M165" s="17">
        <f ca="1"/>
        <v>5</v>
      </c>
      <c r="N165" s="17">
        <f ca="1"/>
        <v>0.20494000000000001</v>
      </c>
      <c r="O165" s="17">
        <f ca="1"/>
        <v>0.4</v>
      </c>
      <c r="P165" s="17">
        <f ca="1"/>
        <v>2.3521921915502002</v>
      </c>
      <c r="Q165" s="17">
        <f ca="1"/>
        <v>8.1976000000000007E-2</v>
      </c>
      <c r="R165" s="17">
        <f ca="1"/>
        <v>0.18817537532401599</v>
      </c>
      <c r="S165" s="17">
        <f ca="1"/>
        <v>0.27015137532401601</v>
      </c>
      <c r="T165" s="17">
        <f ca="1"/>
        <v>46036.63</v>
      </c>
      <c r="U165" s="17">
        <f ca="1"/>
        <v>6332060.3200000022</v>
      </c>
      <c r="V165" s="17" t="str">
        <f ca="1"/>
        <v>2028-07-31</v>
      </c>
      <c r="W165" s="65">
        <f t="shared" ca="1" si="5"/>
        <v>109.92878196084872</v>
      </c>
      <c r="X165" s="65">
        <v>0.5</v>
      </c>
      <c r="Y165" s="65">
        <v>1</v>
      </c>
      <c r="Z165" s="65">
        <f t="shared" ca="1" si="4"/>
        <v>0.20494000000000001</v>
      </c>
      <c r="AA165" s="65">
        <v>0</v>
      </c>
    </row>
    <row r="166" spans="2:27" x14ac:dyDescent="0.25">
      <c r="B166" s="17">
        <f ca="1"/>
        <v>156</v>
      </c>
      <c r="C166" s="17">
        <f ca="1"/>
        <v>14557</v>
      </c>
      <c r="D166" s="17">
        <f ca="1"/>
        <v>14556</v>
      </c>
      <c r="E166" s="17">
        <f ca="1"/>
        <v>14557</v>
      </c>
      <c r="F166" s="17">
        <f ca="1"/>
        <v>7262</v>
      </c>
      <c r="G166" s="17">
        <f ca="1"/>
        <v>65697.55</v>
      </c>
      <c r="H166" s="17" t="str">
        <f ca="1"/>
        <v>CCC</v>
      </c>
      <c r="I166" s="17" t="str">
        <f ca="1"/>
        <v>Ind06</v>
      </c>
      <c r="J166" s="17" t="str">
        <f ca="1"/>
        <v>USD</v>
      </c>
      <c r="K166" s="69" t="str">
        <f ca="1"/>
        <v>ShipFin</v>
      </c>
      <c r="L166" s="17">
        <f ca="1"/>
        <v>8.1591255729715346</v>
      </c>
      <c r="M166" s="17">
        <f ca="1"/>
        <v>5</v>
      </c>
      <c r="N166" s="17">
        <f ca="1"/>
        <v>0.20494000000000001</v>
      </c>
      <c r="O166" s="17">
        <f ca="1"/>
        <v>0.4</v>
      </c>
      <c r="P166" s="17">
        <f ca="1"/>
        <v>2.3521921915502002</v>
      </c>
      <c r="Q166" s="17">
        <f ca="1"/>
        <v>8.1976000000000007E-2</v>
      </c>
      <c r="R166" s="17">
        <f ca="1"/>
        <v>0.18817537532401599</v>
      </c>
      <c r="S166" s="17">
        <f ca="1"/>
        <v>0.27015137532401601</v>
      </c>
      <c r="T166" s="17">
        <f ca="1"/>
        <v>65697.55</v>
      </c>
      <c r="U166" s="17">
        <f ca="1"/>
        <v>6397757.8700000029</v>
      </c>
      <c r="V166" s="17" t="str">
        <f ca="1"/>
        <v>2027-07-31</v>
      </c>
      <c r="W166" s="65">
        <f t="shared" ca="1" si="5"/>
        <v>97.909506875658423</v>
      </c>
      <c r="X166" s="65">
        <v>0.5</v>
      </c>
      <c r="Y166" s="65">
        <v>1</v>
      </c>
      <c r="Z166" s="65">
        <f t="shared" ca="1" si="4"/>
        <v>0.20494000000000001</v>
      </c>
      <c r="AA166" s="65">
        <v>0</v>
      </c>
    </row>
    <row r="167" spans="2:27" x14ac:dyDescent="0.25">
      <c r="B167" s="17">
        <f ca="1"/>
        <v>157</v>
      </c>
      <c r="C167" s="17">
        <f ca="1"/>
        <v>14521</v>
      </c>
      <c r="D167" s="17">
        <f ca="1"/>
        <v>14520</v>
      </c>
      <c r="E167" s="17">
        <f ca="1"/>
        <v>14521</v>
      </c>
      <c r="F167" s="17">
        <f ca="1"/>
        <v>7245</v>
      </c>
      <c r="G167" s="17">
        <f ca="1"/>
        <v>15779</v>
      </c>
      <c r="H167" s="17" t="str">
        <f ca="1"/>
        <v>CCC</v>
      </c>
      <c r="I167" s="17" t="str">
        <f ca="1"/>
        <v>Ind06</v>
      </c>
      <c r="J167" s="17" t="str">
        <f ca="1"/>
        <v>USD</v>
      </c>
      <c r="K167" s="69" t="str">
        <f ca="1"/>
        <v>ShipFin</v>
      </c>
      <c r="L167" s="17">
        <f ca="1"/>
        <v>8.1036723540257665</v>
      </c>
      <c r="M167" s="17">
        <f ca="1"/>
        <v>5</v>
      </c>
      <c r="N167" s="17">
        <f ca="1"/>
        <v>0.20494000000000001</v>
      </c>
      <c r="O167" s="17">
        <f ca="1"/>
        <v>0.4</v>
      </c>
      <c r="P167" s="17">
        <f ca="1"/>
        <v>2.3521921915502002</v>
      </c>
      <c r="Q167" s="17">
        <f ca="1"/>
        <v>8.1976000000000007E-2</v>
      </c>
      <c r="R167" s="17">
        <f ca="1"/>
        <v>0.18817537532401599</v>
      </c>
      <c r="S167" s="17">
        <f ca="1"/>
        <v>0.27015137532401601</v>
      </c>
      <c r="T167" s="17">
        <f ca="1"/>
        <v>15779</v>
      </c>
      <c r="U167" s="17">
        <f ca="1"/>
        <v>6413536.8700000029</v>
      </c>
      <c r="V167" s="17" t="str">
        <f ca="1"/>
        <v>2027-07-31</v>
      </c>
      <c r="W167" s="65">
        <f t="shared" ca="1" si="5"/>
        <v>97.24406824830919</v>
      </c>
      <c r="X167" s="65">
        <v>0.5</v>
      </c>
      <c r="Y167" s="65">
        <v>1</v>
      </c>
      <c r="Z167" s="65">
        <f t="shared" ca="1" si="4"/>
        <v>0.20494000000000001</v>
      </c>
      <c r="AA167" s="65">
        <v>0</v>
      </c>
    </row>
    <row r="168" spans="2:27" x14ac:dyDescent="0.25">
      <c r="B168" s="17">
        <f ca="1"/>
        <v>158</v>
      </c>
      <c r="C168" s="17">
        <f ca="1"/>
        <v>14518</v>
      </c>
      <c r="D168" s="17">
        <f ca="1"/>
        <v>14517</v>
      </c>
      <c r="E168" s="17">
        <f ca="1"/>
        <v>14518</v>
      </c>
      <c r="F168" s="17">
        <f ca="1"/>
        <v>7243</v>
      </c>
      <c r="G168" s="17">
        <f ca="1"/>
        <v>10172.98</v>
      </c>
      <c r="H168" s="17" t="str">
        <f ca="1"/>
        <v>CCC</v>
      </c>
      <c r="I168" s="17" t="str">
        <f ca="1"/>
        <v>Ind06</v>
      </c>
      <c r="J168" s="17" t="str">
        <f ca="1"/>
        <v>USD</v>
      </c>
      <c r="K168" s="69" t="str">
        <f ca="1"/>
        <v>ShipFin</v>
      </c>
      <c r="L168" s="17">
        <f ca="1"/>
        <v>5.4737224578135644</v>
      </c>
      <c r="M168" s="17">
        <f ca="1"/>
        <v>5</v>
      </c>
      <c r="N168" s="17">
        <f ca="1"/>
        <v>0.20494000000000001</v>
      </c>
      <c r="O168" s="17">
        <f ca="1"/>
        <v>0.4</v>
      </c>
      <c r="P168" s="17">
        <f ca="1"/>
        <v>2.3521921915502002</v>
      </c>
      <c r="Q168" s="17">
        <f ca="1"/>
        <v>8.1976000000000007E-2</v>
      </c>
      <c r="R168" s="17">
        <f ca="1"/>
        <v>0.18817537532401599</v>
      </c>
      <c r="S168" s="17">
        <f ca="1"/>
        <v>0.27015137532401601</v>
      </c>
      <c r="T168" s="17">
        <f ca="1"/>
        <v>10172.98</v>
      </c>
      <c r="U168" s="17">
        <f ca="1"/>
        <v>6423709.8500000024</v>
      </c>
      <c r="V168" s="17" t="str">
        <f ca="1"/>
        <v>2024-08-31</v>
      </c>
      <c r="W168" s="65">
        <f t="shared" ca="1" si="5"/>
        <v>65.684669493762769</v>
      </c>
      <c r="X168" s="65">
        <v>0.5</v>
      </c>
      <c r="Y168" s="65">
        <v>1</v>
      </c>
      <c r="Z168" s="65">
        <f t="shared" ca="1" si="4"/>
        <v>0.20494000000000001</v>
      </c>
      <c r="AA168" s="65">
        <v>0</v>
      </c>
    </row>
    <row r="169" spans="2:27" x14ac:dyDescent="0.25">
      <c r="B169" s="17">
        <f ca="1"/>
        <v>159</v>
      </c>
      <c r="C169" s="17">
        <f ca="1"/>
        <v>14517</v>
      </c>
      <c r="D169" s="17">
        <f ca="1"/>
        <v>14516</v>
      </c>
      <c r="E169" s="17">
        <f ca="1"/>
        <v>14517</v>
      </c>
      <c r="F169" s="17">
        <f ca="1"/>
        <v>7243</v>
      </c>
      <c r="G169" s="17">
        <f ca="1"/>
        <v>35217.599999999999</v>
      </c>
      <c r="H169" s="17" t="str">
        <f ca="1"/>
        <v>CCC</v>
      </c>
      <c r="I169" s="17" t="str">
        <f ca="1"/>
        <v>Ind06</v>
      </c>
      <c r="J169" s="17" t="str">
        <f ca="1"/>
        <v>USD</v>
      </c>
      <c r="K169" s="69" t="str">
        <f ca="1"/>
        <v>ShipFin</v>
      </c>
      <c r="L169" s="17">
        <f ca="1"/>
        <v>7.6375460460060278</v>
      </c>
      <c r="M169" s="17">
        <f ca="1"/>
        <v>5</v>
      </c>
      <c r="N169" s="17">
        <f ca="1"/>
        <v>0.20494000000000001</v>
      </c>
      <c r="O169" s="17">
        <f ca="1"/>
        <v>0.4</v>
      </c>
      <c r="P169" s="17">
        <f ca="1"/>
        <v>2.3521921915502002</v>
      </c>
      <c r="Q169" s="17">
        <f ca="1"/>
        <v>8.1976000000000007E-2</v>
      </c>
      <c r="R169" s="17">
        <f ca="1"/>
        <v>0.18817537532401599</v>
      </c>
      <c r="S169" s="17">
        <f ca="1"/>
        <v>0.27015137532401601</v>
      </c>
      <c r="T169" s="17">
        <f ca="1"/>
        <v>35217.599999999999</v>
      </c>
      <c r="U169" s="17">
        <f ca="1"/>
        <v>6458927.450000002</v>
      </c>
      <c r="V169" s="17" t="str">
        <f ca="1"/>
        <v>2026-08-31</v>
      </c>
      <c r="W169" s="65">
        <f t="shared" ca="1" si="5"/>
        <v>91.650552552072327</v>
      </c>
      <c r="X169" s="65">
        <v>0.5</v>
      </c>
      <c r="Y169" s="65">
        <v>1</v>
      </c>
      <c r="Z169" s="65">
        <f t="shared" ca="1" si="4"/>
        <v>0.20494000000000001</v>
      </c>
      <c r="AA169" s="65">
        <v>0</v>
      </c>
    </row>
    <row r="170" spans="2:27" x14ac:dyDescent="0.25">
      <c r="B170" s="17">
        <f ca="1"/>
        <v>160</v>
      </c>
      <c r="C170" s="17">
        <f ca="1"/>
        <v>14497</v>
      </c>
      <c r="D170" s="17">
        <f ca="1"/>
        <v>14496</v>
      </c>
      <c r="E170" s="17">
        <f ca="1"/>
        <v>14497</v>
      </c>
      <c r="F170" s="17">
        <f ca="1"/>
        <v>7235</v>
      </c>
      <c r="G170" s="17">
        <f ca="1"/>
        <v>10495.4</v>
      </c>
      <c r="H170" s="17" t="str">
        <f ca="1"/>
        <v>CCC</v>
      </c>
      <c r="I170" s="17" t="str">
        <f ca="1"/>
        <v>Ind06</v>
      </c>
      <c r="J170" s="17" t="str">
        <f ca="1"/>
        <v>USD</v>
      </c>
      <c r="K170" s="69" t="str">
        <f ca="1"/>
        <v>ShipFin</v>
      </c>
      <c r="L170" s="17">
        <f ca="1"/>
        <v>9.2306921746139423</v>
      </c>
      <c r="M170" s="17">
        <f ca="1"/>
        <v>5</v>
      </c>
      <c r="N170" s="17">
        <f ca="1"/>
        <v>0.20494000000000001</v>
      </c>
      <c r="O170" s="17">
        <f ca="1"/>
        <v>0.4</v>
      </c>
      <c r="P170" s="17">
        <f ca="1"/>
        <v>2.3521921915502002</v>
      </c>
      <c r="Q170" s="17">
        <f ca="1"/>
        <v>8.1976000000000007E-2</v>
      </c>
      <c r="R170" s="17">
        <f ca="1"/>
        <v>0.18817537532401599</v>
      </c>
      <c r="S170" s="17">
        <f ca="1"/>
        <v>0.27015137532401601</v>
      </c>
      <c r="T170" s="17">
        <f ca="1"/>
        <v>10495.4</v>
      </c>
      <c r="U170" s="17">
        <f ca="1"/>
        <v>6469422.8500000024</v>
      </c>
      <c r="V170" s="17" t="str">
        <f ca="1"/>
        <v>2028-07-31</v>
      </c>
      <c r="W170" s="65">
        <f t="shared" ca="1" si="5"/>
        <v>110.76830609536731</v>
      </c>
      <c r="X170" s="65">
        <v>0.5</v>
      </c>
      <c r="Y170" s="65">
        <v>1</v>
      </c>
      <c r="Z170" s="65">
        <f t="shared" ca="1" si="4"/>
        <v>0.20494000000000001</v>
      </c>
      <c r="AA170" s="65">
        <v>0</v>
      </c>
    </row>
    <row r="171" spans="2:27" x14ac:dyDescent="0.25">
      <c r="B171" s="17">
        <f ca="1"/>
        <v>161</v>
      </c>
      <c r="C171" s="17">
        <f ca="1"/>
        <v>14481</v>
      </c>
      <c r="D171" s="17">
        <f ca="1"/>
        <v>14480</v>
      </c>
      <c r="E171" s="17">
        <f ca="1"/>
        <v>14481</v>
      </c>
      <c r="F171" s="17">
        <f ca="1"/>
        <v>7226</v>
      </c>
      <c r="G171" s="17">
        <f ca="1"/>
        <v>38169.93</v>
      </c>
      <c r="H171" s="17" t="str">
        <f ca="1"/>
        <v>CCC</v>
      </c>
      <c r="I171" s="17" t="str">
        <f ca="1"/>
        <v>Ind06</v>
      </c>
      <c r="J171" s="17" t="str">
        <f ca="1"/>
        <v>USD</v>
      </c>
      <c r="K171" s="69" t="str">
        <f ca="1"/>
        <v>ShipFin</v>
      </c>
      <c r="L171" s="17">
        <f ca="1"/>
        <v>8.4549873046157877</v>
      </c>
      <c r="M171" s="17">
        <f ca="1"/>
        <v>5</v>
      </c>
      <c r="N171" s="17">
        <f ca="1"/>
        <v>0.20494000000000001</v>
      </c>
      <c r="O171" s="17">
        <f ca="1"/>
        <v>0.4</v>
      </c>
      <c r="P171" s="17">
        <f ca="1"/>
        <v>2.3521921915502002</v>
      </c>
      <c r="Q171" s="17">
        <f ca="1"/>
        <v>8.1976000000000007E-2</v>
      </c>
      <c r="R171" s="17">
        <f ca="1"/>
        <v>0.18817537532401599</v>
      </c>
      <c r="S171" s="17">
        <f ca="1"/>
        <v>0.27015137532401601</v>
      </c>
      <c r="T171" s="17">
        <f ca="1"/>
        <v>38169.93</v>
      </c>
      <c r="U171" s="17">
        <f ca="1"/>
        <v>6507592.7800000021</v>
      </c>
      <c r="V171" s="17" t="str">
        <f ca="1"/>
        <v>2027-08-31</v>
      </c>
      <c r="W171" s="65">
        <f t="shared" ca="1" si="5"/>
        <v>101.45984765538945</v>
      </c>
      <c r="X171" s="65">
        <v>0.5</v>
      </c>
      <c r="Y171" s="65">
        <v>1</v>
      </c>
      <c r="Z171" s="65">
        <f t="shared" ca="1" si="4"/>
        <v>0.20494000000000001</v>
      </c>
      <c r="AA171" s="65">
        <v>0</v>
      </c>
    </row>
    <row r="172" spans="2:27" x14ac:dyDescent="0.25">
      <c r="B172" s="17">
        <f ca="1"/>
        <v>162</v>
      </c>
      <c r="C172" s="17">
        <f ca="1"/>
        <v>14482</v>
      </c>
      <c r="D172" s="17">
        <f ca="1"/>
        <v>14481</v>
      </c>
      <c r="E172" s="17">
        <f ca="1"/>
        <v>14482</v>
      </c>
      <c r="F172" s="17">
        <f ca="1"/>
        <v>7226</v>
      </c>
      <c r="G172" s="17">
        <f ca="1"/>
        <v>8874.7099999999991</v>
      </c>
      <c r="H172" s="17" t="str">
        <f ca="1"/>
        <v>CCC</v>
      </c>
      <c r="I172" s="17" t="str">
        <f ca="1"/>
        <v>Ind06</v>
      </c>
      <c r="J172" s="17" t="str">
        <f ca="1"/>
        <v>USD</v>
      </c>
      <c r="K172" s="69" t="str">
        <f ca="1"/>
        <v>ShipFin</v>
      </c>
      <c r="L172" s="17">
        <f ca="1"/>
        <v>8.1245575837953954</v>
      </c>
      <c r="M172" s="17">
        <f ca="1"/>
        <v>5</v>
      </c>
      <c r="N172" s="17">
        <f ca="1"/>
        <v>0.20494000000000001</v>
      </c>
      <c r="O172" s="17">
        <f ca="1"/>
        <v>0.4</v>
      </c>
      <c r="P172" s="17">
        <f ca="1"/>
        <v>2.3521921915502002</v>
      </c>
      <c r="Q172" s="17">
        <f ca="1"/>
        <v>8.1976000000000007E-2</v>
      </c>
      <c r="R172" s="17">
        <f ca="1"/>
        <v>0.18817537532401599</v>
      </c>
      <c r="S172" s="17">
        <f ca="1"/>
        <v>0.27015137532401601</v>
      </c>
      <c r="T172" s="17">
        <f ca="1"/>
        <v>8874.7099999999991</v>
      </c>
      <c r="U172" s="17">
        <f ca="1"/>
        <v>6516467.4900000021</v>
      </c>
      <c r="V172" s="17" t="str">
        <f ca="1"/>
        <v>2027-07-31</v>
      </c>
      <c r="W172" s="65">
        <f t="shared" ca="1" si="5"/>
        <v>97.494691005544752</v>
      </c>
      <c r="X172" s="65">
        <v>0.5</v>
      </c>
      <c r="Y172" s="65">
        <v>1</v>
      </c>
      <c r="Z172" s="65">
        <f t="shared" ca="1" si="4"/>
        <v>0.20494000000000001</v>
      </c>
      <c r="AA172" s="65">
        <v>0</v>
      </c>
    </row>
    <row r="173" spans="2:27" x14ac:dyDescent="0.25">
      <c r="B173" s="17">
        <f ca="1"/>
        <v>163</v>
      </c>
      <c r="C173" s="17">
        <f ca="1"/>
        <v>14483</v>
      </c>
      <c r="D173" s="17">
        <f ca="1"/>
        <v>14482</v>
      </c>
      <c r="E173" s="17">
        <f ca="1"/>
        <v>14483</v>
      </c>
      <c r="F173" s="17">
        <f ca="1"/>
        <v>7226</v>
      </c>
      <c r="G173" s="17">
        <f ca="1"/>
        <v>10068.93</v>
      </c>
      <c r="H173" s="17" t="str">
        <f ca="1"/>
        <v>CCC</v>
      </c>
      <c r="I173" s="17" t="str">
        <f ca="1"/>
        <v>Ind06</v>
      </c>
      <c r="J173" s="17" t="str">
        <f ca="1"/>
        <v>USD</v>
      </c>
      <c r="K173" s="69" t="str">
        <f ca="1"/>
        <v>ShipFin</v>
      </c>
      <c r="L173" s="17">
        <f ca="1"/>
        <v>8.8792808261862977</v>
      </c>
      <c r="M173" s="17">
        <f ca="1"/>
        <v>5</v>
      </c>
      <c r="N173" s="17">
        <f ca="1"/>
        <v>0.20494000000000001</v>
      </c>
      <c r="O173" s="17">
        <f ca="1"/>
        <v>0.4</v>
      </c>
      <c r="P173" s="17">
        <f ca="1"/>
        <v>2.3521921915502002</v>
      </c>
      <c r="Q173" s="17">
        <f ca="1"/>
        <v>8.1976000000000007E-2</v>
      </c>
      <c r="R173" s="17">
        <f ca="1"/>
        <v>0.18817537532401599</v>
      </c>
      <c r="S173" s="17">
        <f ca="1"/>
        <v>0.27015137532401601</v>
      </c>
      <c r="T173" s="17">
        <f ca="1"/>
        <v>10068.93</v>
      </c>
      <c r="U173" s="17">
        <f ca="1"/>
        <v>6526536.4200000027</v>
      </c>
      <c r="V173" s="17" t="str">
        <f ca="1"/>
        <v>2027-08-31</v>
      </c>
      <c r="W173" s="65">
        <f t="shared" ca="1" si="5"/>
        <v>106.55136991423558</v>
      </c>
      <c r="X173" s="65">
        <v>0.5</v>
      </c>
      <c r="Y173" s="65">
        <v>1</v>
      </c>
      <c r="Z173" s="65">
        <f t="shared" ca="1" si="4"/>
        <v>0.20494000000000001</v>
      </c>
      <c r="AA173" s="65">
        <v>0</v>
      </c>
    </row>
    <row r="174" spans="2:27" x14ac:dyDescent="0.25">
      <c r="B174" s="17">
        <f ca="1"/>
        <v>164</v>
      </c>
      <c r="C174" s="17">
        <f ca="1"/>
        <v>14484</v>
      </c>
      <c r="D174" s="17">
        <f ca="1"/>
        <v>14483</v>
      </c>
      <c r="E174" s="17">
        <f ca="1"/>
        <v>14484</v>
      </c>
      <c r="F174" s="17">
        <f ca="1"/>
        <v>7227</v>
      </c>
      <c r="G174" s="17">
        <f ca="1"/>
        <v>55158.38</v>
      </c>
      <c r="H174" s="17" t="str">
        <f ca="1"/>
        <v>CCC</v>
      </c>
      <c r="I174" s="17" t="str">
        <f ca="1"/>
        <v>Ind06</v>
      </c>
      <c r="J174" s="17" t="str">
        <f ca="1"/>
        <v>USD</v>
      </c>
      <c r="K174" s="69" t="str">
        <f ca="1"/>
        <v>ShipFin</v>
      </c>
      <c r="L174" s="17">
        <f ca="1"/>
        <v>6.2496237496868705</v>
      </c>
      <c r="M174" s="17">
        <f ca="1"/>
        <v>5</v>
      </c>
      <c r="N174" s="17">
        <f ca="1"/>
        <v>0.20494000000000001</v>
      </c>
      <c r="O174" s="17">
        <f ca="1"/>
        <v>0.4</v>
      </c>
      <c r="P174" s="17">
        <f ca="1"/>
        <v>2.3521921915502002</v>
      </c>
      <c r="Q174" s="17">
        <f ca="1"/>
        <v>8.1976000000000007E-2</v>
      </c>
      <c r="R174" s="17">
        <f ca="1"/>
        <v>0.18817537532401599</v>
      </c>
      <c r="S174" s="17">
        <f ca="1"/>
        <v>0.27015137532401601</v>
      </c>
      <c r="T174" s="17">
        <f ca="1"/>
        <v>55158.38</v>
      </c>
      <c r="U174" s="17">
        <f ca="1"/>
        <v>6581694.8000000026</v>
      </c>
      <c r="V174" s="17" t="str">
        <f ca="1"/>
        <v>2025-07-31</v>
      </c>
      <c r="W174" s="65">
        <f t="shared" ca="1" si="5"/>
        <v>74.995484996242453</v>
      </c>
      <c r="X174" s="65">
        <v>0.5</v>
      </c>
      <c r="Y174" s="65">
        <v>1</v>
      </c>
      <c r="Z174" s="65">
        <f t="shared" ca="1" si="4"/>
        <v>0.20494000000000001</v>
      </c>
      <c r="AA174" s="65">
        <v>0</v>
      </c>
    </row>
    <row r="175" spans="2:27" x14ac:dyDescent="0.25">
      <c r="B175" s="17">
        <f ca="1"/>
        <v>165</v>
      </c>
      <c r="C175" s="17">
        <f ca="1"/>
        <v>14487</v>
      </c>
      <c r="D175" s="17">
        <f ca="1"/>
        <v>14486</v>
      </c>
      <c r="E175" s="17">
        <f ca="1"/>
        <v>14487</v>
      </c>
      <c r="F175" s="17">
        <f ca="1"/>
        <v>7229</v>
      </c>
      <c r="G175" s="17">
        <f ca="1"/>
        <v>3505.39</v>
      </c>
      <c r="H175" s="17" t="str">
        <f ca="1"/>
        <v>CCC</v>
      </c>
      <c r="I175" s="17" t="str">
        <f ca="1"/>
        <v>Ind06</v>
      </c>
      <c r="J175" s="17" t="str">
        <f ca="1"/>
        <v>USD</v>
      </c>
      <c r="K175" s="69" t="str">
        <f ca="1"/>
        <v>ShipFin</v>
      </c>
      <c r="L175" s="17">
        <f ca="1"/>
        <v>7.2742057931353346</v>
      </c>
      <c r="M175" s="17">
        <f ca="1"/>
        <v>5</v>
      </c>
      <c r="N175" s="17">
        <f ca="1"/>
        <v>0.20494000000000001</v>
      </c>
      <c r="O175" s="17">
        <f ca="1"/>
        <v>0.4</v>
      </c>
      <c r="P175" s="17">
        <f ca="1"/>
        <v>2.3521921915502002</v>
      </c>
      <c r="Q175" s="17">
        <f ca="1"/>
        <v>8.1976000000000007E-2</v>
      </c>
      <c r="R175" s="17">
        <f ca="1"/>
        <v>0.18817537532401599</v>
      </c>
      <c r="S175" s="17">
        <f ca="1"/>
        <v>0.27015137532401601</v>
      </c>
      <c r="T175" s="17">
        <f ca="1"/>
        <v>3505.39</v>
      </c>
      <c r="U175" s="17">
        <f ca="1"/>
        <v>6585200.1900000023</v>
      </c>
      <c r="V175" s="17" t="str">
        <f ca="1"/>
        <v>2026-07-31</v>
      </c>
      <c r="W175" s="65">
        <f t="shared" ca="1" si="5"/>
        <v>87.290469517624018</v>
      </c>
      <c r="X175" s="65">
        <v>0.5</v>
      </c>
      <c r="Y175" s="65">
        <v>1</v>
      </c>
      <c r="Z175" s="65">
        <f t="shared" ca="1" si="4"/>
        <v>0.20494000000000001</v>
      </c>
      <c r="AA175" s="65">
        <v>0</v>
      </c>
    </row>
    <row r="176" spans="2:27" x14ac:dyDescent="0.25">
      <c r="B176" s="17">
        <f ca="1"/>
        <v>166</v>
      </c>
      <c r="C176" s="17">
        <f ca="1"/>
        <v>14490</v>
      </c>
      <c r="D176" s="17">
        <f ca="1"/>
        <v>14489</v>
      </c>
      <c r="E176" s="17">
        <f ca="1"/>
        <v>14490</v>
      </c>
      <c r="F176" s="17">
        <f ca="1"/>
        <v>7230</v>
      </c>
      <c r="G176" s="17">
        <f ca="1"/>
        <v>14501.21</v>
      </c>
      <c r="H176" s="17" t="str">
        <f ca="1"/>
        <v>CCC</v>
      </c>
      <c r="I176" s="17" t="str">
        <f ca="1"/>
        <v>Ind06</v>
      </c>
      <c r="J176" s="17" t="str">
        <f ca="1"/>
        <v>USD</v>
      </c>
      <c r="K176" s="69" t="str">
        <f ca="1"/>
        <v>ShipFin</v>
      </c>
      <c r="L176" s="17">
        <f ca="1"/>
        <v>9.3819051386252958</v>
      </c>
      <c r="M176" s="17">
        <f ca="1"/>
        <v>5</v>
      </c>
      <c r="N176" s="17">
        <f ca="1"/>
        <v>0.20494000000000001</v>
      </c>
      <c r="O176" s="17">
        <f ca="1"/>
        <v>0.4</v>
      </c>
      <c r="P176" s="17">
        <f ca="1"/>
        <v>2.3521921915502002</v>
      </c>
      <c r="Q176" s="17">
        <f ca="1"/>
        <v>8.1976000000000007E-2</v>
      </c>
      <c r="R176" s="17">
        <f ca="1"/>
        <v>0.18817537532401599</v>
      </c>
      <c r="S176" s="17">
        <f ca="1"/>
        <v>0.27015137532401601</v>
      </c>
      <c r="T176" s="17">
        <f ca="1"/>
        <v>14501.21</v>
      </c>
      <c r="U176" s="17">
        <f ca="1"/>
        <v>6599701.4000000022</v>
      </c>
      <c r="V176" s="17" t="str">
        <f ca="1"/>
        <v>2028-07-31</v>
      </c>
      <c r="W176" s="65">
        <f t="shared" ca="1" si="5"/>
        <v>112.58286166350355</v>
      </c>
      <c r="X176" s="65">
        <v>0.5</v>
      </c>
      <c r="Y176" s="65">
        <v>1</v>
      </c>
      <c r="Z176" s="65">
        <f t="shared" ca="1" si="4"/>
        <v>0.20494000000000001</v>
      </c>
      <c r="AA176" s="65">
        <v>0</v>
      </c>
    </row>
    <row r="177" spans="2:27" x14ac:dyDescent="0.25">
      <c r="B177" s="17">
        <f ca="1"/>
        <v>167</v>
      </c>
      <c r="C177" s="17">
        <f ca="1"/>
        <v>14493</v>
      </c>
      <c r="D177" s="17">
        <f ca="1"/>
        <v>14492</v>
      </c>
      <c r="E177" s="17">
        <f ca="1"/>
        <v>14493</v>
      </c>
      <c r="F177" s="17">
        <f ca="1"/>
        <v>7233</v>
      </c>
      <c r="G177" s="17">
        <f ca="1"/>
        <v>42474.45</v>
      </c>
      <c r="H177" s="17" t="str">
        <f ca="1"/>
        <v>CCC</v>
      </c>
      <c r="I177" s="17" t="str">
        <f ca="1"/>
        <v>Ind06</v>
      </c>
      <c r="J177" s="17" t="str">
        <f ca="1"/>
        <v>USD</v>
      </c>
      <c r="K177" s="69" t="str">
        <f ca="1"/>
        <v>ShipFin</v>
      </c>
      <c r="L177" s="17">
        <f ca="1"/>
        <v>7.1410705800307914</v>
      </c>
      <c r="M177" s="17">
        <f ca="1"/>
        <v>5</v>
      </c>
      <c r="N177" s="17">
        <f ca="1"/>
        <v>0.20494000000000001</v>
      </c>
      <c r="O177" s="17">
        <f ca="1"/>
        <v>0.4</v>
      </c>
      <c r="P177" s="17">
        <f ca="1"/>
        <v>2.3521921915502002</v>
      </c>
      <c r="Q177" s="17">
        <f ca="1"/>
        <v>8.1976000000000007E-2</v>
      </c>
      <c r="R177" s="17">
        <f ca="1"/>
        <v>0.18817537532401599</v>
      </c>
      <c r="S177" s="17">
        <f ca="1"/>
        <v>0.27015137532401601</v>
      </c>
      <c r="T177" s="17">
        <f ca="1"/>
        <v>42474.45</v>
      </c>
      <c r="U177" s="17">
        <f ca="1"/>
        <v>6642175.8500000024</v>
      </c>
      <c r="V177" s="17" t="str">
        <f ca="1"/>
        <v>2026-07-31</v>
      </c>
      <c r="W177" s="65">
        <f t="shared" ca="1" si="5"/>
        <v>85.692846960369494</v>
      </c>
      <c r="X177" s="65">
        <v>0.5</v>
      </c>
      <c r="Y177" s="65">
        <v>1</v>
      </c>
      <c r="Z177" s="65">
        <f t="shared" ca="1" si="4"/>
        <v>0.20494000000000001</v>
      </c>
      <c r="AA177" s="65">
        <v>0</v>
      </c>
    </row>
    <row r="178" spans="2:27" x14ac:dyDescent="0.25">
      <c r="B178" s="17">
        <f ca="1"/>
        <v>168</v>
      </c>
      <c r="C178" s="17">
        <f ca="1"/>
        <v>14496</v>
      </c>
      <c r="D178" s="17">
        <f ca="1"/>
        <v>14495</v>
      </c>
      <c r="E178" s="17">
        <f ca="1"/>
        <v>14496</v>
      </c>
      <c r="F178" s="17">
        <f ca="1"/>
        <v>7234</v>
      </c>
      <c r="G178" s="17">
        <f ca="1"/>
        <v>107145.91</v>
      </c>
      <c r="H178" s="17" t="str">
        <f ca="1"/>
        <v>CCC</v>
      </c>
      <c r="I178" s="17" t="str">
        <f ca="1"/>
        <v>Ind06</v>
      </c>
      <c r="J178" s="17" t="str">
        <f ca="1"/>
        <v>USD</v>
      </c>
      <c r="K178" s="69" t="str">
        <f ca="1"/>
        <v>ShipFin</v>
      </c>
      <c r="L178" s="17">
        <f ca="1"/>
        <v>5.7195547979627728</v>
      </c>
      <c r="M178" s="17">
        <f ca="1"/>
        <v>5</v>
      </c>
      <c r="N178" s="17">
        <f ca="1"/>
        <v>0.20494000000000001</v>
      </c>
      <c r="O178" s="17">
        <f ca="1"/>
        <v>0.4</v>
      </c>
      <c r="P178" s="17">
        <f ca="1"/>
        <v>2.3521921915502002</v>
      </c>
      <c r="Q178" s="17">
        <f ca="1"/>
        <v>8.1976000000000007E-2</v>
      </c>
      <c r="R178" s="17">
        <f ca="1"/>
        <v>0.18817537532401599</v>
      </c>
      <c r="S178" s="17">
        <f ca="1"/>
        <v>0.27015137532401601</v>
      </c>
      <c r="T178" s="17">
        <f ca="1"/>
        <v>107145.91</v>
      </c>
      <c r="U178" s="17">
        <f ca="1"/>
        <v>6749321.7600000026</v>
      </c>
      <c r="V178" s="17" t="str">
        <f ca="1"/>
        <v>2024-08-31</v>
      </c>
      <c r="W178" s="65">
        <f t="shared" ca="1" si="5"/>
        <v>68.634657575553277</v>
      </c>
      <c r="X178" s="65">
        <v>0.5</v>
      </c>
      <c r="Y178" s="65">
        <v>1</v>
      </c>
      <c r="Z178" s="65">
        <f t="shared" ca="1" si="4"/>
        <v>0.20494000000000001</v>
      </c>
      <c r="AA178" s="65">
        <v>0</v>
      </c>
    </row>
    <row r="179" spans="2:27" x14ac:dyDescent="0.25">
      <c r="B179" s="17">
        <f ca="1"/>
        <v>169</v>
      </c>
      <c r="C179" s="17">
        <f ca="1"/>
        <v>14502</v>
      </c>
      <c r="D179" s="17">
        <f ca="1"/>
        <v>14501</v>
      </c>
      <c r="E179" s="17">
        <f ca="1"/>
        <v>14502</v>
      </c>
      <c r="F179" s="17">
        <f ca="1"/>
        <v>7237</v>
      </c>
      <c r="G179" s="17">
        <f ca="1"/>
        <v>4773.5200000000004</v>
      </c>
      <c r="H179" s="17" t="str">
        <f ca="1"/>
        <v>CCC</v>
      </c>
      <c r="I179" s="17" t="str">
        <f ca="1"/>
        <v>Ind06</v>
      </c>
      <c r="J179" s="17" t="str">
        <f ca="1"/>
        <v>USD</v>
      </c>
      <c r="K179" s="69" t="str">
        <f ca="1"/>
        <v>ShipFin</v>
      </c>
      <c r="L179" s="17">
        <f ca="1"/>
        <v>9.5851944781630269</v>
      </c>
      <c r="M179" s="17">
        <f ca="1"/>
        <v>5</v>
      </c>
      <c r="N179" s="17">
        <f ca="1"/>
        <v>0.20494000000000001</v>
      </c>
      <c r="O179" s="17">
        <f ca="1"/>
        <v>0.4</v>
      </c>
      <c r="P179" s="17">
        <f ca="1"/>
        <v>2.3521921915502002</v>
      </c>
      <c r="Q179" s="17">
        <f ca="1"/>
        <v>8.1976000000000007E-2</v>
      </c>
      <c r="R179" s="17">
        <f ca="1"/>
        <v>0.18817537532401599</v>
      </c>
      <c r="S179" s="17">
        <f ca="1"/>
        <v>0.27015137532401601</v>
      </c>
      <c r="T179" s="17">
        <f ca="1"/>
        <v>4773.5200000000004</v>
      </c>
      <c r="U179" s="17">
        <f ca="1"/>
        <v>6754095.2800000021</v>
      </c>
      <c r="V179" s="17" t="str">
        <f ca="1"/>
        <v>2028-08-31</v>
      </c>
      <c r="W179" s="65">
        <f t="shared" ca="1" si="5"/>
        <v>115.02233373795633</v>
      </c>
      <c r="X179" s="65">
        <v>0.5</v>
      </c>
      <c r="Y179" s="65">
        <v>1</v>
      </c>
      <c r="Z179" s="65">
        <f t="shared" ca="1" si="4"/>
        <v>0.20494000000000001</v>
      </c>
      <c r="AA179" s="65">
        <v>0</v>
      </c>
    </row>
    <row r="180" spans="2:27" x14ac:dyDescent="0.25">
      <c r="B180" s="17">
        <f ca="1"/>
        <v>170</v>
      </c>
      <c r="C180" s="17">
        <f ca="1"/>
        <v>14515</v>
      </c>
      <c r="D180" s="17">
        <f ca="1"/>
        <v>14514</v>
      </c>
      <c r="E180" s="17">
        <f ca="1"/>
        <v>14515</v>
      </c>
      <c r="F180" s="17">
        <f ca="1"/>
        <v>7242</v>
      </c>
      <c r="G180" s="17">
        <f ca="1"/>
        <v>20626.759999999998</v>
      </c>
      <c r="H180" s="17" t="str">
        <f ca="1"/>
        <v>CCC</v>
      </c>
      <c r="I180" s="17" t="str">
        <f ca="1"/>
        <v>Ind06</v>
      </c>
      <c r="J180" s="17" t="str">
        <f ca="1"/>
        <v>USD</v>
      </c>
      <c r="K180" s="69" t="str">
        <f ca="1"/>
        <v>ShipFin</v>
      </c>
      <c r="L180" s="17">
        <f ca="1"/>
        <v>7.6015099808434021</v>
      </c>
      <c r="M180" s="17">
        <f ca="1"/>
        <v>5</v>
      </c>
      <c r="N180" s="17">
        <f ca="1"/>
        <v>0.20494000000000001</v>
      </c>
      <c r="O180" s="17">
        <f ca="1"/>
        <v>0.4</v>
      </c>
      <c r="P180" s="17">
        <f ca="1"/>
        <v>2.3521921915502002</v>
      </c>
      <c r="Q180" s="17">
        <f ca="1"/>
        <v>8.1976000000000007E-2</v>
      </c>
      <c r="R180" s="17">
        <f ca="1"/>
        <v>0.18817537532401599</v>
      </c>
      <c r="S180" s="17">
        <f ca="1"/>
        <v>0.27015137532401601</v>
      </c>
      <c r="T180" s="17">
        <f ca="1"/>
        <v>20626.759999999998</v>
      </c>
      <c r="U180" s="17">
        <f ca="1"/>
        <v>6774722.0400000028</v>
      </c>
      <c r="V180" s="17" t="str">
        <f ca="1"/>
        <v>2026-08-31</v>
      </c>
      <c r="W180" s="65">
        <f t="shared" ca="1" si="5"/>
        <v>91.218119770120822</v>
      </c>
      <c r="X180" s="65">
        <v>0.5</v>
      </c>
      <c r="Y180" s="65">
        <v>1</v>
      </c>
      <c r="Z180" s="65">
        <f t="shared" ca="1" si="4"/>
        <v>0.20494000000000001</v>
      </c>
      <c r="AA180" s="65">
        <v>0</v>
      </c>
    </row>
    <row r="181" spans="2:27" x14ac:dyDescent="0.25">
      <c r="B181" s="17">
        <f ca="1"/>
        <v>171</v>
      </c>
      <c r="C181" s="17">
        <f ca="1"/>
        <v>14503</v>
      </c>
      <c r="D181" s="17">
        <f ca="1"/>
        <v>14502</v>
      </c>
      <c r="E181" s="17">
        <f ca="1"/>
        <v>14503</v>
      </c>
      <c r="F181" s="17">
        <f ca="1"/>
        <v>7237</v>
      </c>
      <c r="G181" s="17">
        <f ca="1"/>
        <v>52152.42</v>
      </c>
      <c r="H181" s="17" t="str">
        <f ca="1"/>
        <v>CCC</v>
      </c>
      <c r="I181" s="17" t="str">
        <f ca="1"/>
        <v>Ind06</v>
      </c>
      <c r="J181" s="17" t="str">
        <f ca="1"/>
        <v>USD</v>
      </c>
      <c r="K181" s="69" t="str">
        <f ca="1"/>
        <v>ShipFin</v>
      </c>
      <c r="L181" s="17">
        <f ca="1"/>
        <v>6.4545012322021655</v>
      </c>
      <c r="M181" s="17">
        <f ca="1"/>
        <v>5</v>
      </c>
      <c r="N181" s="17">
        <f ca="1"/>
        <v>0.20494000000000001</v>
      </c>
      <c r="O181" s="17">
        <f ca="1"/>
        <v>0.4</v>
      </c>
      <c r="P181" s="17">
        <f ca="1"/>
        <v>2.3521921915502002</v>
      </c>
      <c r="Q181" s="17">
        <f ca="1"/>
        <v>8.1976000000000007E-2</v>
      </c>
      <c r="R181" s="17">
        <f ca="1"/>
        <v>0.18817537532401599</v>
      </c>
      <c r="S181" s="17">
        <f ca="1"/>
        <v>0.27015137532401601</v>
      </c>
      <c r="T181" s="17">
        <f ca="1"/>
        <v>52152.42</v>
      </c>
      <c r="U181" s="17">
        <f ca="1"/>
        <v>6826874.4600000028</v>
      </c>
      <c r="V181" s="17" t="str">
        <f ca="1"/>
        <v>2025-08-31</v>
      </c>
      <c r="W181" s="65">
        <f t="shared" ca="1" si="5"/>
        <v>77.454014786425986</v>
      </c>
      <c r="X181" s="65">
        <v>0.5</v>
      </c>
      <c r="Y181" s="65">
        <v>1</v>
      </c>
      <c r="Z181" s="65">
        <f t="shared" ca="1" si="4"/>
        <v>0.20494000000000001</v>
      </c>
      <c r="AA181" s="65">
        <v>0</v>
      </c>
    </row>
    <row r="182" spans="2:27" x14ac:dyDescent="0.25">
      <c r="B182" s="17">
        <f ca="1"/>
        <v>172</v>
      </c>
      <c r="C182" s="17">
        <f ca="1"/>
        <v>14505</v>
      </c>
      <c r="D182" s="17">
        <f ca="1"/>
        <v>14504</v>
      </c>
      <c r="E182" s="17">
        <f ca="1"/>
        <v>14505</v>
      </c>
      <c r="F182" s="17">
        <f ca="1"/>
        <v>7238</v>
      </c>
      <c r="G182" s="17">
        <f ca="1"/>
        <v>24567.99</v>
      </c>
      <c r="H182" s="17" t="str">
        <f ca="1"/>
        <v>CCC</v>
      </c>
      <c r="I182" s="17" t="str">
        <f ca="1"/>
        <v>Ind06</v>
      </c>
      <c r="J182" s="17" t="str">
        <f ca="1"/>
        <v>USD</v>
      </c>
      <c r="K182" s="69" t="str">
        <f ca="1"/>
        <v>ShipFin</v>
      </c>
      <c r="L182" s="17">
        <f ca="1"/>
        <v>5.9224900398938933</v>
      </c>
      <c r="M182" s="17">
        <f ca="1"/>
        <v>5</v>
      </c>
      <c r="N182" s="17">
        <f ca="1"/>
        <v>0.20494000000000001</v>
      </c>
      <c r="O182" s="17">
        <f ca="1"/>
        <v>0.4</v>
      </c>
      <c r="P182" s="17">
        <f ca="1"/>
        <v>2.3521921915502002</v>
      </c>
      <c r="Q182" s="17">
        <f ca="1"/>
        <v>8.1976000000000007E-2</v>
      </c>
      <c r="R182" s="17">
        <f ca="1"/>
        <v>0.18817537532401599</v>
      </c>
      <c r="S182" s="17">
        <f ca="1"/>
        <v>0.27015137532401601</v>
      </c>
      <c r="T182" s="17">
        <f ca="1"/>
        <v>24567.99</v>
      </c>
      <c r="U182" s="17">
        <f ca="1"/>
        <v>6851442.450000002</v>
      </c>
      <c r="V182" s="17" t="str">
        <f ca="1"/>
        <v>2024-08-31</v>
      </c>
      <c r="W182" s="65">
        <f t="shared" ca="1" si="5"/>
        <v>71.069880478726716</v>
      </c>
      <c r="X182" s="65">
        <v>0.5</v>
      </c>
      <c r="Y182" s="65">
        <v>1</v>
      </c>
      <c r="Z182" s="65">
        <f t="shared" ca="1" si="4"/>
        <v>0.20494000000000001</v>
      </c>
      <c r="AA182" s="65">
        <v>0</v>
      </c>
    </row>
    <row r="183" spans="2:27" x14ac:dyDescent="0.25">
      <c r="B183" s="17">
        <f ca="1"/>
        <v>173</v>
      </c>
      <c r="C183" s="17">
        <f ca="1"/>
        <v>14507</v>
      </c>
      <c r="D183" s="17">
        <f ca="1"/>
        <v>14506</v>
      </c>
      <c r="E183" s="17">
        <f ca="1"/>
        <v>14507</v>
      </c>
      <c r="F183" s="17">
        <f ca="1"/>
        <v>7239</v>
      </c>
      <c r="G183" s="17">
        <f ca="1"/>
        <v>39756.15</v>
      </c>
      <c r="H183" s="17" t="str">
        <f ca="1"/>
        <v>CCC</v>
      </c>
      <c r="I183" s="17" t="str">
        <f ca="1"/>
        <v>Ind06</v>
      </c>
      <c r="J183" s="17" t="str">
        <f ca="1"/>
        <v>USD</v>
      </c>
      <c r="K183" s="69" t="str">
        <f ca="1"/>
        <v>ShipFin</v>
      </c>
      <c r="L183" s="17">
        <f ca="1"/>
        <v>9.4319474044092928</v>
      </c>
      <c r="M183" s="17">
        <f ca="1"/>
        <v>5</v>
      </c>
      <c r="N183" s="17">
        <f ca="1"/>
        <v>0.20494000000000001</v>
      </c>
      <c r="O183" s="17">
        <f ca="1"/>
        <v>0.4</v>
      </c>
      <c r="P183" s="17">
        <f ca="1"/>
        <v>2.3521921915502002</v>
      </c>
      <c r="Q183" s="17">
        <f ca="1"/>
        <v>8.1976000000000007E-2</v>
      </c>
      <c r="R183" s="17">
        <f ca="1"/>
        <v>0.18817537532401599</v>
      </c>
      <c r="S183" s="17">
        <f ca="1"/>
        <v>0.27015137532401601</v>
      </c>
      <c r="T183" s="17">
        <f ca="1"/>
        <v>39756.15</v>
      </c>
      <c r="U183" s="17">
        <f ca="1"/>
        <v>6891198.6000000024</v>
      </c>
      <c r="V183" s="17" t="str">
        <f ca="1"/>
        <v>2028-08-31</v>
      </c>
      <c r="W183" s="65">
        <f t="shared" ca="1" si="5"/>
        <v>113.18336885291151</v>
      </c>
      <c r="X183" s="65">
        <v>0.5</v>
      </c>
      <c r="Y183" s="65">
        <v>1</v>
      </c>
      <c r="Z183" s="65">
        <f t="shared" ca="1" si="4"/>
        <v>0.20494000000000001</v>
      </c>
      <c r="AA183" s="65">
        <v>0</v>
      </c>
    </row>
    <row r="184" spans="2:27" x14ac:dyDescent="0.25">
      <c r="B184" s="17">
        <f ca="1"/>
        <v>174</v>
      </c>
      <c r="C184" s="17">
        <f ca="1"/>
        <v>14508</v>
      </c>
      <c r="D184" s="17">
        <f ca="1"/>
        <v>14507</v>
      </c>
      <c r="E184" s="17">
        <f ca="1"/>
        <v>14508</v>
      </c>
      <c r="F184" s="17">
        <f ca="1"/>
        <v>7239</v>
      </c>
      <c r="G184" s="17">
        <f ca="1"/>
        <v>15943.85</v>
      </c>
      <c r="H184" s="17" t="str">
        <f ca="1"/>
        <v>CCC</v>
      </c>
      <c r="I184" s="17" t="str">
        <f ca="1"/>
        <v>Ind06</v>
      </c>
      <c r="J184" s="17" t="str">
        <f ca="1"/>
        <v>USD</v>
      </c>
      <c r="K184" s="69" t="str">
        <f ca="1"/>
        <v>ShipFin</v>
      </c>
      <c r="L184" s="17">
        <f ca="1"/>
        <v>9.9186377362487832</v>
      </c>
      <c r="M184" s="17">
        <f ca="1"/>
        <v>5</v>
      </c>
      <c r="N184" s="17">
        <f ca="1"/>
        <v>0.20494000000000001</v>
      </c>
      <c r="O184" s="17">
        <f ca="1"/>
        <v>0.4</v>
      </c>
      <c r="P184" s="17">
        <f ca="1"/>
        <v>2.3521921915502002</v>
      </c>
      <c r="Q184" s="17">
        <f ca="1"/>
        <v>8.1976000000000007E-2</v>
      </c>
      <c r="R184" s="17">
        <f ca="1"/>
        <v>0.18817537532401599</v>
      </c>
      <c r="S184" s="17">
        <f ca="1"/>
        <v>0.27015137532401601</v>
      </c>
      <c r="T184" s="17">
        <f ca="1"/>
        <v>15943.85</v>
      </c>
      <c r="U184" s="17">
        <f ca="1"/>
        <v>6907142.450000002</v>
      </c>
      <c r="V184" s="17" t="str">
        <f ca="1"/>
        <v>2028-08-31</v>
      </c>
      <c r="W184" s="65">
        <f t="shared" ca="1" si="5"/>
        <v>119.0236528349854</v>
      </c>
      <c r="X184" s="65">
        <v>0.5</v>
      </c>
      <c r="Y184" s="65">
        <v>1</v>
      </c>
      <c r="Z184" s="65">
        <f t="shared" ca="1" si="4"/>
        <v>0.20494000000000001</v>
      </c>
      <c r="AA184" s="65">
        <v>0</v>
      </c>
    </row>
    <row r="185" spans="2:27" x14ac:dyDescent="0.25">
      <c r="B185" s="17">
        <f ca="1"/>
        <v>175</v>
      </c>
      <c r="C185" s="17">
        <f ca="1"/>
        <v>14509</v>
      </c>
      <c r="D185" s="17">
        <f ca="1"/>
        <v>14508</v>
      </c>
      <c r="E185" s="17">
        <f ca="1"/>
        <v>14509</v>
      </c>
      <c r="F185" s="17">
        <f ca="1"/>
        <v>7240</v>
      </c>
      <c r="G185" s="17">
        <f ca="1"/>
        <v>78260.58</v>
      </c>
      <c r="H185" s="17" t="str">
        <f ca="1"/>
        <v>CCC</v>
      </c>
      <c r="I185" s="17" t="str">
        <f ca="1"/>
        <v>Ind06</v>
      </c>
      <c r="J185" s="17" t="str">
        <f ca="1"/>
        <v>USD</v>
      </c>
      <c r="K185" s="69" t="str">
        <f ca="1"/>
        <v>ShipFin</v>
      </c>
      <c r="L185" s="17">
        <f ca="1"/>
        <v>7.4185529023385586</v>
      </c>
      <c r="M185" s="17">
        <f ca="1"/>
        <v>5</v>
      </c>
      <c r="N185" s="17">
        <f ca="1"/>
        <v>0.20494000000000001</v>
      </c>
      <c r="O185" s="17">
        <f ca="1"/>
        <v>0.4</v>
      </c>
      <c r="P185" s="17">
        <f ca="1"/>
        <v>2.3521921915502002</v>
      </c>
      <c r="Q185" s="17">
        <f ca="1"/>
        <v>8.1976000000000007E-2</v>
      </c>
      <c r="R185" s="17">
        <f ca="1"/>
        <v>0.18817537532401599</v>
      </c>
      <c r="S185" s="17">
        <f ca="1"/>
        <v>0.27015137532401601</v>
      </c>
      <c r="T185" s="17">
        <f ca="1"/>
        <v>78260.58</v>
      </c>
      <c r="U185" s="17">
        <f ca="1"/>
        <v>6985403.0300000021</v>
      </c>
      <c r="V185" s="17" t="str">
        <f ca="1"/>
        <v>2026-08-31</v>
      </c>
      <c r="W185" s="65">
        <f t="shared" ca="1" si="5"/>
        <v>89.022634828062706</v>
      </c>
      <c r="X185" s="65">
        <v>0.5</v>
      </c>
      <c r="Y185" s="65">
        <v>1</v>
      </c>
      <c r="Z185" s="65">
        <f t="shared" ca="1" si="4"/>
        <v>0.20494000000000001</v>
      </c>
      <c r="AA185" s="65">
        <v>0</v>
      </c>
    </row>
    <row r="186" spans="2:27" x14ac:dyDescent="0.25">
      <c r="B186" s="17">
        <f ca="1"/>
        <v>176</v>
      </c>
      <c r="C186" s="17">
        <f ca="1"/>
        <v>14511</v>
      </c>
      <c r="D186" s="17">
        <f ca="1"/>
        <v>14510</v>
      </c>
      <c r="E186" s="17">
        <f ca="1"/>
        <v>14511</v>
      </c>
      <c r="F186" s="17">
        <f ca="1"/>
        <v>7241</v>
      </c>
      <c r="G186" s="17">
        <f ca="1"/>
        <v>31685.03</v>
      </c>
      <c r="H186" s="17" t="str">
        <f ca="1"/>
        <v>CCC</v>
      </c>
      <c r="I186" s="17" t="str">
        <f ca="1"/>
        <v>Ind06</v>
      </c>
      <c r="J186" s="17" t="str">
        <f ca="1"/>
        <v>USD</v>
      </c>
      <c r="K186" s="69" t="str">
        <f ca="1"/>
        <v>ShipFin</v>
      </c>
      <c r="L186" s="17">
        <f ca="1"/>
        <v>9.1117556647327724</v>
      </c>
      <c r="M186" s="17">
        <f ca="1"/>
        <v>5</v>
      </c>
      <c r="N186" s="17">
        <f ca="1"/>
        <v>0.20494000000000001</v>
      </c>
      <c r="O186" s="17">
        <f ca="1"/>
        <v>0.4</v>
      </c>
      <c r="P186" s="17">
        <f ca="1"/>
        <v>2.3521921915502002</v>
      </c>
      <c r="Q186" s="17">
        <f ca="1"/>
        <v>8.1976000000000007E-2</v>
      </c>
      <c r="R186" s="17">
        <f ca="1"/>
        <v>0.18817537532401599</v>
      </c>
      <c r="S186" s="17">
        <f ca="1"/>
        <v>0.27015137532401601</v>
      </c>
      <c r="T186" s="17">
        <f ca="1"/>
        <v>31685.03</v>
      </c>
      <c r="U186" s="17">
        <f ca="1"/>
        <v>7017088.0600000024</v>
      </c>
      <c r="V186" s="17" t="str">
        <f ca="1"/>
        <v>2028-07-31</v>
      </c>
      <c r="W186" s="65">
        <f t="shared" ca="1" si="5"/>
        <v>109.34106797679327</v>
      </c>
      <c r="X186" s="65">
        <v>0.5</v>
      </c>
      <c r="Y186" s="65">
        <v>1</v>
      </c>
      <c r="Z186" s="65">
        <f t="shared" ca="1" si="4"/>
        <v>0.20494000000000001</v>
      </c>
      <c r="AA186" s="65">
        <v>0</v>
      </c>
    </row>
    <row r="187" spans="2:27" x14ac:dyDescent="0.25">
      <c r="B187" s="17">
        <f ca="1"/>
        <v>177</v>
      </c>
      <c r="C187" s="17">
        <f ca="1"/>
        <v>14513</v>
      </c>
      <c r="D187" s="17">
        <f ca="1"/>
        <v>14512</v>
      </c>
      <c r="E187" s="17">
        <f ca="1"/>
        <v>14513</v>
      </c>
      <c r="F187" s="17">
        <f ca="1"/>
        <v>7241</v>
      </c>
      <c r="G187" s="17">
        <f ca="1"/>
        <v>20216.669999999998</v>
      </c>
      <c r="H187" s="17" t="str">
        <f ca="1"/>
        <v>CCC</v>
      </c>
      <c r="I187" s="17" t="str">
        <f ca="1"/>
        <v>Ind06</v>
      </c>
      <c r="J187" s="17" t="str">
        <f ca="1"/>
        <v>USD</v>
      </c>
      <c r="K187" s="69" t="str">
        <f ca="1"/>
        <v>ShipFin</v>
      </c>
      <c r="L187" s="17">
        <f ca="1"/>
        <v>5.4775969535578044</v>
      </c>
      <c r="M187" s="17">
        <f ca="1"/>
        <v>5</v>
      </c>
      <c r="N187" s="17">
        <f ca="1"/>
        <v>0.20494000000000001</v>
      </c>
      <c r="O187" s="17">
        <f ca="1"/>
        <v>0.4</v>
      </c>
      <c r="P187" s="17">
        <f ca="1"/>
        <v>2.3521921915502002</v>
      </c>
      <c r="Q187" s="17">
        <f ca="1"/>
        <v>8.1976000000000007E-2</v>
      </c>
      <c r="R187" s="17">
        <f ca="1"/>
        <v>0.18817537532401599</v>
      </c>
      <c r="S187" s="17">
        <f ca="1"/>
        <v>0.27015137532401601</v>
      </c>
      <c r="T187" s="17">
        <f ca="1"/>
        <v>20216.669999999998</v>
      </c>
      <c r="U187" s="17">
        <f ca="1"/>
        <v>7037304.7300000023</v>
      </c>
      <c r="V187" s="17" t="str">
        <f ca="1"/>
        <v>2024-08-31</v>
      </c>
      <c r="W187" s="65">
        <f t="shared" ca="1" si="5"/>
        <v>65.731163442693656</v>
      </c>
      <c r="X187" s="65">
        <v>0.5</v>
      </c>
      <c r="Y187" s="65">
        <v>1</v>
      </c>
      <c r="Z187" s="65">
        <f t="shared" ca="1" si="4"/>
        <v>0.20494000000000001</v>
      </c>
      <c r="AA187" s="65">
        <v>0</v>
      </c>
    </row>
    <row r="188" spans="2:27" x14ac:dyDescent="0.25">
      <c r="B188" s="17">
        <f ca="1"/>
        <v>178</v>
      </c>
      <c r="C188" s="17">
        <f ca="1"/>
        <v>14514</v>
      </c>
      <c r="D188" s="17">
        <f ca="1"/>
        <v>14513</v>
      </c>
      <c r="E188" s="17">
        <f ca="1"/>
        <v>14514</v>
      </c>
      <c r="F188" s="17">
        <f ca="1"/>
        <v>7242</v>
      </c>
      <c r="G188" s="17">
        <f ca="1"/>
        <v>46367.03</v>
      </c>
      <c r="H188" s="17" t="str">
        <f ca="1"/>
        <v>CCC</v>
      </c>
      <c r="I188" s="17" t="str">
        <f ca="1"/>
        <v>Ind06</v>
      </c>
      <c r="J188" s="17" t="str">
        <f ca="1"/>
        <v>USD</v>
      </c>
      <c r="K188" s="69" t="str">
        <f ca="1"/>
        <v>ShipFin</v>
      </c>
      <c r="L188" s="17">
        <f ca="1"/>
        <v>6.1252473282162097</v>
      </c>
      <c r="M188" s="17">
        <f ca="1"/>
        <v>5</v>
      </c>
      <c r="N188" s="17">
        <f ca="1"/>
        <v>0.20494000000000001</v>
      </c>
      <c r="O188" s="17">
        <f ca="1"/>
        <v>0.4</v>
      </c>
      <c r="P188" s="17">
        <f ca="1"/>
        <v>2.3521921915502002</v>
      </c>
      <c r="Q188" s="17">
        <f ca="1"/>
        <v>8.1976000000000007E-2</v>
      </c>
      <c r="R188" s="17">
        <f ca="1"/>
        <v>0.18817537532401599</v>
      </c>
      <c r="S188" s="17">
        <f ca="1"/>
        <v>0.27015137532401601</v>
      </c>
      <c r="T188" s="17">
        <f ca="1"/>
        <v>46367.03</v>
      </c>
      <c r="U188" s="17">
        <f ca="1"/>
        <v>7083671.7600000026</v>
      </c>
      <c r="V188" s="17" t="str">
        <f ca="1"/>
        <v>2025-07-31</v>
      </c>
      <c r="W188" s="65">
        <f t="shared" ca="1" si="5"/>
        <v>73.502967938594509</v>
      </c>
      <c r="X188" s="65">
        <v>0.5</v>
      </c>
      <c r="Y188" s="65">
        <v>1</v>
      </c>
      <c r="Z188" s="65">
        <f t="shared" ca="1" si="4"/>
        <v>0.20494000000000001</v>
      </c>
      <c r="AA188" s="65">
        <v>0</v>
      </c>
    </row>
    <row r="189" spans="2:27" x14ac:dyDescent="0.25">
      <c r="B189" s="17">
        <f ca="1"/>
        <v>179</v>
      </c>
      <c r="C189" s="17">
        <f ca="1"/>
        <v>14732</v>
      </c>
      <c r="D189" s="17">
        <f ca="1"/>
        <v>14731</v>
      </c>
      <c r="E189" s="17">
        <f ca="1"/>
        <v>14732</v>
      </c>
      <c r="F189" s="17">
        <f ca="1"/>
        <v>7358</v>
      </c>
      <c r="G189" s="17">
        <f ca="1"/>
        <v>50889.13</v>
      </c>
      <c r="H189" s="17" t="str">
        <f ca="1"/>
        <v>CCC</v>
      </c>
      <c r="I189" s="17" t="str">
        <f ca="1"/>
        <v>Ind06</v>
      </c>
      <c r="J189" s="17" t="str">
        <f ca="1"/>
        <v>USD</v>
      </c>
      <c r="K189" s="69" t="str">
        <f ca="1"/>
        <v>ShipFin</v>
      </c>
      <c r="L189" s="17">
        <f ca="1"/>
        <v>6.0658675837214124</v>
      </c>
      <c r="M189" s="17">
        <f ca="1"/>
        <v>5</v>
      </c>
      <c r="N189" s="17">
        <f ca="1"/>
        <v>0.20494000000000001</v>
      </c>
      <c r="O189" s="17">
        <f ca="1"/>
        <v>0.4</v>
      </c>
      <c r="P189" s="17">
        <f ca="1"/>
        <v>2.3521921915502002</v>
      </c>
      <c r="Q189" s="17">
        <f ca="1"/>
        <v>8.1976000000000007E-2</v>
      </c>
      <c r="R189" s="17">
        <f ca="1"/>
        <v>0.18817537532401599</v>
      </c>
      <c r="S189" s="17">
        <f ca="1"/>
        <v>0.27015137532401601</v>
      </c>
      <c r="T189" s="17">
        <f ca="1"/>
        <v>50889.13</v>
      </c>
      <c r="U189" s="17">
        <f ca="1"/>
        <v>7134560.8900000025</v>
      </c>
      <c r="V189" s="17" t="str">
        <f ca="1"/>
        <v>2025-07-31</v>
      </c>
      <c r="W189" s="65">
        <f t="shared" ca="1" si="5"/>
        <v>72.790411004656946</v>
      </c>
      <c r="X189" s="65">
        <v>0.5</v>
      </c>
      <c r="Y189" s="65">
        <v>1</v>
      </c>
      <c r="Z189" s="65">
        <f t="shared" ca="1" si="4"/>
        <v>0.20494000000000001</v>
      </c>
      <c r="AA189" s="65">
        <v>0</v>
      </c>
    </row>
    <row r="190" spans="2:27" x14ac:dyDescent="0.25">
      <c r="B190" s="17">
        <f ca="1"/>
        <v>180</v>
      </c>
      <c r="C190" s="17">
        <f ca="1"/>
        <v>14736</v>
      </c>
      <c r="D190" s="17">
        <f ca="1"/>
        <v>14735</v>
      </c>
      <c r="E190" s="17">
        <f ca="1"/>
        <v>14736</v>
      </c>
      <c r="F190" s="17">
        <f ca="1"/>
        <v>7361</v>
      </c>
      <c r="G190" s="17">
        <f ca="1"/>
        <v>46138.66</v>
      </c>
      <c r="H190" s="17" t="str">
        <f ca="1"/>
        <v>CCC</v>
      </c>
      <c r="I190" s="17" t="str">
        <f ca="1"/>
        <v>Ind06</v>
      </c>
      <c r="J190" s="17" t="str">
        <f ca="1"/>
        <v>USD</v>
      </c>
      <c r="K190" s="69" t="str">
        <f ca="1"/>
        <v>ShipFin</v>
      </c>
      <c r="L190" s="17">
        <f ca="1"/>
        <v>6.6448966329265389</v>
      </c>
      <c r="M190" s="17">
        <f ca="1"/>
        <v>5</v>
      </c>
      <c r="N190" s="17">
        <f ca="1"/>
        <v>0.20494000000000001</v>
      </c>
      <c r="O190" s="17">
        <f ca="1"/>
        <v>0.4</v>
      </c>
      <c r="P190" s="17">
        <f ca="1"/>
        <v>2.3521921915502002</v>
      </c>
      <c r="Q190" s="17">
        <f ca="1"/>
        <v>8.1976000000000007E-2</v>
      </c>
      <c r="R190" s="17">
        <f ca="1"/>
        <v>0.18817537532401599</v>
      </c>
      <c r="S190" s="17">
        <f ca="1"/>
        <v>0.27015137532401601</v>
      </c>
      <c r="T190" s="17">
        <f ca="1"/>
        <v>46138.66</v>
      </c>
      <c r="U190" s="17">
        <f ca="1"/>
        <v>7180699.5500000026</v>
      </c>
      <c r="V190" s="17" t="str">
        <f ca="1"/>
        <v>2025-08-31</v>
      </c>
      <c r="W190" s="65">
        <f t="shared" ca="1" si="5"/>
        <v>79.738759595118466</v>
      </c>
      <c r="X190" s="65">
        <v>0.5</v>
      </c>
      <c r="Y190" s="65">
        <v>1</v>
      </c>
      <c r="Z190" s="65">
        <f t="shared" ca="1" si="4"/>
        <v>0.20494000000000001</v>
      </c>
      <c r="AA190" s="65">
        <v>0</v>
      </c>
    </row>
    <row r="191" spans="2:27" x14ac:dyDescent="0.25">
      <c r="B191" s="17">
        <f ca="1"/>
        <v>181</v>
      </c>
      <c r="C191" s="17">
        <f ca="1"/>
        <v>15059</v>
      </c>
      <c r="D191" s="17">
        <f ca="1"/>
        <v>15058</v>
      </c>
      <c r="E191" s="17">
        <f ca="1"/>
        <v>15059</v>
      </c>
      <c r="F191" s="17">
        <f ca="1"/>
        <v>7519</v>
      </c>
      <c r="G191" s="17">
        <f ca="1"/>
        <v>17067.349999999999</v>
      </c>
      <c r="H191" s="17" t="str">
        <f ca="1"/>
        <v>CCC</v>
      </c>
      <c r="I191" s="17" t="str">
        <f ca="1"/>
        <v>Ind06</v>
      </c>
      <c r="J191" s="17" t="str">
        <f ca="1"/>
        <v>USD</v>
      </c>
      <c r="K191" s="69" t="str">
        <f ca="1"/>
        <v>ShipFin</v>
      </c>
      <c r="L191" s="17">
        <f ca="1"/>
        <v>7.2990719926240875</v>
      </c>
      <c r="M191" s="17">
        <f ca="1"/>
        <v>5</v>
      </c>
      <c r="N191" s="17">
        <f ca="1"/>
        <v>0.20494000000000001</v>
      </c>
      <c r="O191" s="17">
        <f ca="1"/>
        <v>0.4</v>
      </c>
      <c r="P191" s="17">
        <f ca="1"/>
        <v>2.3521921915502002</v>
      </c>
      <c r="Q191" s="17">
        <f ca="1"/>
        <v>8.1976000000000007E-2</v>
      </c>
      <c r="R191" s="17">
        <f ca="1"/>
        <v>0.18817537532401599</v>
      </c>
      <c r="S191" s="17">
        <f ca="1"/>
        <v>0.27015137532401601</v>
      </c>
      <c r="T191" s="17">
        <f ca="1"/>
        <v>17067.349999999999</v>
      </c>
      <c r="U191" s="17">
        <f ca="1"/>
        <v>7197766.9000000022</v>
      </c>
      <c r="V191" s="17" t="str">
        <f ca="1"/>
        <v>2026-07-31</v>
      </c>
      <c r="W191" s="65">
        <f t="shared" ca="1" si="5"/>
        <v>87.588863911489057</v>
      </c>
      <c r="X191" s="65">
        <v>0.5</v>
      </c>
      <c r="Y191" s="65">
        <v>1</v>
      </c>
      <c r="Z191" s="65">
        <f t="shared" ca="1" si="4"/>
        <v>0.20494000000000001</v>
      </c>
      <c r="AA191" s="65">
        <v>0</v>
      </c>
    </row>
    <row r="192" spans="2:27" x14ac:dyDescent="0.25">
      <c r="B192" s="17">
        <f ca="1"/>
        <v>182</v>
      </c>
      <c r="C192" s="17">
        <f ca="1"/>
        <v>14937</v>
      </c>
      <c r="D192" s="17">
        <f ca="1"/>
        <v>14936</v>
      </c>
      <c r="E192" s="17">
        <f ca="1"/>
        <v>14937</v>
      </c>
      <c r="F192" s="17">
        <f ca="1"/>
        <v>7459</v>
      </c>
      <c r="G192" s="17">
        <f ca="1"/>
        <v>18903.419999999998</v>
      </c>
      <c r="H192" s="17" t="str">
        <f ca="1"/>
        <v>CCC</v>
      </c>
      <c r="I192" s="17" t="str">
        <f ca="1"/>
        <v>Ind06</v>
      </c>
      <c r="J192" s="17" t="str">
        <f ca="1"/>
        <v>USD</v>
      </c>
      <c r="K192" s="69" t="str">
        <f ca="1"/>
        <v>ShipFin</v>
      </c>
      <c r="L192" s="17">
        <f ca="1"/>
        <v>6.4071735619963164</v>
      </c>
      <c r="M192" s="17">
        <f ca="1"/>
        <v>5</v>
      </c>
      <c r="N192" s="17">
        <f ca="1"/>
        <v>0.20494000000000001</v>
      </c>
      <c r="O192" s="17">
        <f ca="1"/>
        <v>0.4</v>
      </c>
      <c r="P192" s="17">
        <f ca="1"/>
        <v>2.3521921915502002</v>
      </c>
      <c r="Q192" s="17">
        <f ca="1"/>
        <v>8.1976000000000007E-2</v>
      </c>
      <c r="R192" s="17">
        <f ca="1"/>
        <v>0.18817537532401599</v>
      </c>
      <c r="S192" s="17">
        <f ca="1"/>
        <v>0.27015137532401601</v>
      </c>
      <c r="T192" s="17">
        <f ca="1"/>
        <v>18903.419999999998</v>
      </c>
      <c r="U192" s="17">
        <f ca="1"/>
        <v>7216670.3200000022</v>
      </c>
      <c r="V192" s="17" t="str">
        <f ca="1"/>
        <v>2025-07-31</v>
      </c>
      <c r="W192" s="65">
        <f t="shared" ca="1" si="5"/>
        <v>76.886082743955797</v>
      </c>
      <c r="X192" s="65">
        <v>0.5</v>
      </c>
      <c r="Y192" s="65">
        <v>1</v>
      </c>
      <c r="Z192" s="65">
        <f t="shared" ca="1" si="4"/>
        <v>0.20494000000000001</v>
      </c>
      <c r="AA192" s="65">
        <v>0</v>
      </c>
    </row>
    <row r="193" spans="2:27" x14ac:dyDescent="0.25">
      <c r="B193" s="17">
        <f ca="1"/>
        <v>183</v>
      </c>
      <c r="C193" s="17">
        <f ca="1"/>
        <v>14942</v>
      </c>
      <c r="D193" s="17">
        <f ca="1"/>
        <v>14941</v>
      </c>
      <c r="E193" s="17">
        <f ca="1"/>
        <v>14942</v>
      </c>
      <c r="F193" s="17">
        <f ca="1"/>
        <v>7463</v>
      </c>
      <c r="G193" s="17">
        <f ca="1"/>
        <v>49941.31</v>
      </c>
      <c r="H193" s="17" t="str">
        <f ca="1"/>
        <v>CCC</v>
      </c>
      <c r="I193" s="17" t="str">
        <f ca="1"/>
        <v>Ind06</v>
      </c>
      <c r="J193" s="17" t="str">
        <f ca="1"/>
        <v>USD</v>
      </c>
      <c r="K193" s="69" t="str">
        <f ca="1"/>
        <v>ShipFin</v>
      </c>
      <c r="L193" s="17">
        <f ca="1"/>
        <v>8.2056073709926576</v>
      </c>
      <c r="M193" s="17">
        <f ca="1"/>
        <v>5</v>
      </c>
      <c r="N193" s="17">
        <f ca="1"/>
        <v>0.20494000000000001</v>
      </c>
      <c r="O193" s="17">
        <f ca="1"/>
        <v>0.4</v>
      </c>
      <c r="P193" s="17">
        <f ca="1"/>
        <v>2.3521921915502002</v>
      </c>
      <c r="Q193" s="17">
        <f ca="1"/>
        <v>8.1976000000000007E-2</v>
      </c>
      <c r="R193" s="17">
        <f ca="1"/>
        <v>0.18817537532401599</v>
      </c>
      <c r="S193" s="17">
        <f ca="1"/>
        <v>0.27015137532401601</v>
      </c>
      <c r="T193" s="17">
        <f ca="1"/>
        <v>49941.31</v>
      </c>
      <c r="U193" s="17">
        <f ca="1"/>
        <v>7266611.6300000027</v>
      </c>
      <c r="V193" s="17" t="str">
        <f ca="1"/>
        <v>2027-07-31</v>
      </c>
      <c r="W193" s="65">
        <f t="shared" ca="1" si="5"/>
        <v>98.467288451911884</v>
      </c>
      <c r="X193" s="65">
        <v>0.5</v>
      </c>
      <c r="Y193" s="65">
        <v>1</v>
      </c>
      <c r="Z193" s="65">
        <f t="shared" ca="1" si="4"/>
        <v>0.20494000000000001</v>
      </c>
      <c r="AA193" s="65">
        <v>0</v>
      </c>
    </row>
    <row r="194" spans="2:27" x14ac:dyDescent="0.25">
      <c r="B194" s="17">
        <f ca="1"/>
        <v>184</v>
      </c>
      <c r="C194" s="17">
        <f ca="1"/>
        <v>14943</v>
      </c>
      <c r="D194" s="17">
        <f ca="1"/>
        <v>14942</v>
      </c>
      <c r="E194" s="17">
        <f ca="1"/>
        <v>14943</v>
      </c>
      <c r="F194" s="17">
        <f ca="1"/>
        <v>7463</v>
      </c>
      <c r="G194" s="17">
        <f ca="1"/>
        <v>33689.65</v>
      </c>
      <c r="H194" s="17" t="str">
        <f ca="1"/>
        <v>CCC</v>
      </c>
      <c r="I194" s="17" t="str">
        <f ca="1"/>
        <v>Ind06</v>
      </c>
      <c r="J194" s="17" t="str">
        <f ca="1"/>
        <v>USD</v>
      </c>
      <c r="K194" s="69" t="str">
        <f ca="1"/>
        <v>ShipFin</v>
      </c>
      <c r="L194" s="17">
        <f ca="1"/>
        <v>6.8307713718782175</v>
      </c>
      <c r="M194" s="17">
        <f ca="1"/>
        <v>5</v>
      </c>
      <c r="N194" s="17">
        <f ca="1"/>
        <v>0.20494000000000001</v>
      </c>
      <c r="O194" s="17">
        <f ca="1"/>
        <v>0.4</v>
      </c>
      <c r="P194" s="17">
        <f ca="1"/>
        <v>2.3521921915502002</v>
      </c>
      <c r="Q194" s="17">
        <f ca="1"/>
        <v>8.1976000000000007E-2</v>
      </c>
      <c r="R194" s="17">
        <f ca="1"/>
        <v>0.18817537532401599</v>
      </c>
      <c r="S194" s="17">
        <f ca="1"/>
        <v>0.27015137532401601</v>
      </c>
      <c r="T194" s="17">
        <f ca="1"/>
        <v>33689.65</v>
      </c>
      <c r="U194" s="17">
        <f ca="1"/>
        <v>7300301.2800000021</v>
      </c>
      <c r="V194" s="17" t="str">
        <f ca="1"/>
        <v>2025-08-31</v>
      </c>
      <c r="W194" s="65">
        <f t="shared" ca="1" si="5"/>
        <v>81.96925646253861</v>
      </c>
      <c r="X194" s="65">
        <v>0.5</v>
      </c>
      <c r="Y194" s="65">
        <v>1</v>
      </c>
      <c r="Z194" s="65">
        <f t="shared" ca="1" si="4"/>
        <v>0.20494000000000001</v>
      </c>
      <c r="AA194" s="65">
        <v>0</v>
      </c>
    </row>
    <row r="195" spans="2:27" x14ac:dyDescent="0.25">
      <c r="B195" s="17">
        <f ca="1"/>
        <v>185</v>
      </c>
      <c r="C195" s="17">
        <f ca="1"/>
        <v>14944</v>
      </c>
      <c r="D195" s="17">
        <f ca="1"/>
        <v>14943</v>
      </c>
      <c r="E195" s="17">
        <f ca="1"/>
        <v>14944</v>
      </c>
      <c r="F195" s="17">
        <f ca="1"/>
        <v>7464</v>
      </c>
      <c r="G195" s="17">
        <f ca="1"/>
        <v>40350.53</v>
      </c>
      <c r="H195" s="17" t="str">
        <f ca="1"/>
        <v>CCC</v>
      </c>
      <c r="I195" s="17" t="str">
        <f ca="1"/>
        <v>Ind06</v>
      </c>
      <c r="J195" s="17" t="str">
        <f ca="1"/>
        <v>USD</v>
      </c>
      <c r="K195" s="69" t="str">
        <f ca="1"/>
        <v>ShipFin</v>
      </c>
      <c r="L195" s="17">
        <f ca="1"/>
        <v>7.3102957837749276</v>
      </c>
      <c r="M195" s="17">
        <f ca="1"/>
        <v>5</v>
      </c>
      <c r="N195" s="17">
        <f ca="1"/>
        <v>0.20494000000000001</v>
      </c>
      <c r="O195" s="17">
        <f ca="1"/>
        <v>0.4</v>
      </c>
      <c r="P195" s="17">
        <f ca="1"/>
        <v>2.3521921915502002</v>
      </c>
      <c r="Q195" s="17">
        <f ca="1"/>
        <v>8.1976000000000007E-2</v>
      </c>
      <c r="R195" s="17">
        <f ca="1"/>
        <v>0.18817537532401599</v>
      </c>
      <c r="S195" s="17">
        <f ca="1"/>
        <v>0.27015137532401601</v>
      </c>
      <c r="T195" s="17">
        <f ca="1"/>
        <v>40350.53</v>
      </c>
      <c r="U195" s="17">
        <f ca="1"/>
        <v>7340651.8100000024</v>
      </c>
      <c r="V195" s="17" t="str">
        <f ca="1"/>
        <v>2026-07-31</v>
      </c>
      <c r="W195" s="65">
        <f t="shared" ca="1" si="5"/>
        <v>87.723549405299138</v>
      </c>
      <c r="X195" s="65">
        <v>0.5</v>
      </c>
      <c r="Y195" s="65">
        <v>1</v>
      </c>
      <c r="Z195" s="65">
        <f t="shared" ca="1" si="4"/>
        <v>0.20494000000000001</v>
      </c>
      <c r="AA195" s="65">
        <v>0</v>
      </c>
    </row>
    <row r="196" spans="2:27" x14ac:dyDescent="0.25">
      <c r="B196" s="17">
        <f ca="1"/>
        <v>186</v>
      </c>
      <c r="C196" s="17">
        <f ca="1"/>
        <v>14945</v>
      </c>
      <c r="D196" s="17">
        <f ca="1"/>
        <v>14944</v>
      </c>
      <c r="E196" s="17">
        <f ca="1"/>
        <v>14945</v>
      </c>
      <c r="F196" s="17">
        <f ca="1"/>
        <v>7464</v>
      </c>
      <c r="G196" s="17">
        <f ca="1"/>
        <v>37983.83</v>
      </c>
      <c r="H196" s="17" t="str">
        <f ca="1"/>
        <v>CCC</v>
      </c>
      <c r="I196" s="17" t="str">
        <f ca="1"/>
        <v>Ind06</v>
      </c>
      <c r="J196" s="17" t="str">
        <f ca="1"/>
        <v>USD</v>
      </c>
      <c r="K196" s="69" t="str">
        <f ca="1"/>
        <v>ShipFin</v>
      </c>
      <c r="L196" s="17">
        <f ca="1"/>
        <v>8.1960981118190102</v>
      </c>
      <c r="M196" s="17">
        <f ca="1"/>
        <v>5</v>
      </c>
      <c r="N196" s="17">
        <f ca="1"/>
        <v>0.20494000000000001</v>
      </c>
      <c r="O196" s="17">
        <f ca="1"/>
        <v>0.4</v>
      </c>
      <c r="P196" s="17">
        <f ca="1"/>
        <v>2.3521921915502002</v>
      </c>
      <c r="Q196" s="17">
        <f ca="1"/>
        <v>8.1976000000000007E-2</v>
      </c>
      <c r="R196" s="17">
        <f ca="1"/>
        <v>0.18817537532401599</v>
      </c>
      <c r="S196" s="17">
        <f ca="1"/>
        <v>0.27015137532401601</v>
      </c>
      <c r="T196" s="17">
        <f ca="1"/>
        <v>37983.83</v>
      </c>
      <c r="U196" s="17">
        <f ca="1"/>
        <v>7378635.6400000025</v>
      </c>
      <c r="V196" s="17" t="str">
        <f ca="1"/>
        <v>2027-07-31</v>
      </c>
      <c r="W196" s="65">
        <f t="shared" ca="1" si="5"/>
        <v>98.353177341828115</v>
      </c>
      <c r="X196" s="65">
        <v>0.5</v>
      </c>
      <c r="Y196" s="65">
        <v>1</v>
      </c>
      <c r="Z196" s="65">
        <f t="shared" ca="1" si="4"/>
        <v>0.20494000000000001</v>
      </c>
      <c r="AA196" s="65">
        <v>0</v>
      </c>
    </row>
    <row r="197" spans="2:27" x14ac:dyDescent="0.25">
      <c r="B197" s="17">
        <f ca="1"/>
        <v>187</v>
      </c>
      <c r="C197" s="17">
        <f ca="1"/>
        <v>14946</v>
      </c>
      <c r="D197" s="17">
        <f ca="1"/>
        <v>14945</v>
      </c>
      <c r="E197" s="17">
        <f ca="1"/>
        <v>14946</v>
      </c>
      <c r="F197" s="17">
        <f ca="1"/>
        <v>7464</v>
      </c>
      <c r="G197" s="17">
        <f ca="1"/>
        <v>27057.16</v>
      </c>
      <c r="H197" s="17" t="str">
        <f ca="1"/>
        <v>CCC</v>
      </c>
      <c r="I197" s="17" t="str">
        <f ca="1"/>
        <v>Ind06</v>
      </c>
      <c r="J197" s="17" t="str">
        <f ca="1"/>
        <v>USD</v>
      </c>
      <c r="K197" s="69" t="str">
        <f ca="1"/>
        <v>ShipFin</v>
      </c>
      <c r="L197" s="17">
        <f ca="1"/>
        <v>8.1489885323005726</v>
      </c>
      <c r="M197" s="17">
        <f ca="1"/>
        <v>5</v>
      </c>
      <c r="N197" s="17">
        <f ca="1"/>
        <v>0.20494000000000001</v>
      </c>
      <c r="O197" s="17">
        <f ca="1"/>
        <v>0.4</v>
      </c>
      <c r="P197" s="17">
        <f ca="1"/>
        <v>2.3521921915502002</v>
      </c>
      <c r="Q197" s="17">
        <f ca="1"/>
        <v>8.1976000000000007E-2</v>
      </c>
      <c r="R197" s="17">
        <f ca="1"/>
        <v>0.18817537532401599</v>
      </c>
      <c r="S197" s="17">
        <f ca="1"/>
        <v>0.27015137532401601</v>
      </c>
      <c r="T197" s="17">
        <f ca="1"/>
        <v>27057.16</v>
      </c>
      <c r="U197" s="17">
        <f ca="1"/>
        <v>7405692.8000000026</v>
      </c>
      <c r="V197" s="17" t="str">
        <f ca="1"/>
        <v>2027-07-31</v>
      </c>
      <c r="W197" s="65">
        <f t="shared" ca="1" si="5"/>
        <v>97.787862387606879</v>
      </c>
      <c r="X197" s="65">
        <v>0.5</v>
      </c>
      <c r="Y197" s="65">
        <v>1</v>
      </c>
      <c r="Z197" s="65">
        <f t="shared" ca="1" si="4"/>
        <v>0.20494000000000001</v>
      </c>
      <c r="AA197" s="65">
        <v>0</v>
      </c>
    </row>
    <row r="198" spans="2:27" x14ac:dyDescent="0.25">
      <c r="B198" s="17">
        <f ca="1"/>
        <v>188</v>
      </c>
      <c r="C198" s="17">
        <f ca="1"/>
        <v>14950</v>
      </c>
      <c r="D198" s="17">
        <f ca="1"/>
        <v>14949</v>
      </c>
      <c r="E198" s="17">
        <f ca="1"/>
        <v>14950</v>
      </c>
      <c r="F198" s="17">
        <f ca="1"/>
        <v>7466</v>
      </c>
      <c r="G198" s="17">
        <f ca="1"/>
        <v>32775.33</v>
      </c>
      <c r="H198" s="17" t="str">
        <f ca="1"/>
        <v>CCC</v>
      </c>
      <c r="I198" s="17" t="str">
        <f ca="1"/>
        <v>Ind06</v>
      </c>
      <c r="J198" s="17" t="str">
        <f ca="1"/>
        <v>USD</v>
      </c>
      <c r="K198" s="69" t="str">
        <f ca="1"/>
        <v>ShipFin</v>
      </c>
      <c r="L198" s="17">
        <f ca="1"/>
        <v>8.2117721364507457</v>
      </c>
      <c r="M198" s="17">
        <f ca="1"/>
        <v>5</v>
      </c>
      <c r="N198" s="17">
        <f ca="1"/>
        <v>0.20494000000000001</v>
      </c>
      <c r="O198" s="17">
        <f ca="1"/>
        <v>0.4</v>
      </c>
      <c r="P198" s="17">
        <f ca="1"/>
        <v>2.3521921915502002</v>
      </c>
      <c r="Q198" s="17">
        <f ca="1"/>
        <v>8.1976000000000007E-2</v>
      </c>
      <c r="R198" s="17">
        <f ca="1"/>
        <v>0.18817537532401599</v>
      </c>
      <c r="S198" s="17">
        <f ca="1"/>
        <v>0.27015137532401601</v>
      </c>
      <c r="T198" s="17">
        <f ca="1"/>
        <v>32775.33</v>
      </c>
      <c r="U198" s="17">
        <f ca="1"/>
        <v>7438468.1300000027</v>
      </c>
      <c r="V198" s="17" t="str">
        <f ca="1"/>
        <v>2027-07-31</v>
      </c>
      <c r="W198" s="65">
        <f t="shared" ca="1" si="5"/>
        <v>98.541265637408941</v>
      </c>
      <c r="X198" s="65">
        <v>0.5</v>
      </c>
      <c r="Y198" s="65">
        <v>1</v>
      </c>
      <c r="Z198" s="65">
        <f t="shared" ca="1" si="4"/>
        <v>0.20494000000000001</v>
      </c>
      <c r="AA198" s="65">
        <v>0</v>
      </c>
    </row>
    <row r="199" spans="2:27" x14ac:dyDescent="0.25">
      <c r="B199" s="17">
        <f ca="1"/>
        <v>189</v>
      </c>
      <c r="C199" s="17">
        <f ca="1"/>
        <v>14951</v>
      </c>
      <c r="D199" s="17">
        <f ca="1"/>
        <v>14950</v>
      </c>
      <c r="E199" s="17">
        <f ca="1"/>
        <v>14951</v>
      </c>
      <c r="F199" s="17">
        <f ca="1"/>
        <v>7466</v>
      </c>
      <c r="G199" s="17">
        <f ca="1"/>
        <v>46378.559999999998</v>
      </c>
      <c r="H199" s="17" t="str">
        <f ca="1"/>
        <v>CCC</v>
      </c>
      <c r="I199" s="17" t="str">
        <f ca="1"/>
        <v>Ind06</v>
      </c>
      <c r="J199" s="17" t="str">
        <f ca="1"/>
        <v>USD</v>
      </c>
      <c r="K199" s="69" t="str">
        <f ca="1"/>
        <v>ShipFin</v>
      </c>
      <c r="L199" s="17">
        <f ca="1"/>
        <v>7.8662890736106785</v>
      </c>
      <c r="M199" s="17">
        <f ca="1"/>
        <v>5</v>
      </c>
      <c r="N199" s="17">
        <f ca="1"/>
        <v>0.20494000000000001</v>
      </c>
      <c r="O199" s="17">
        <f ca="1"/>
        <v>0.4</v>
      </c>
      <c r="P199" s="17">
        <f ca="1"/>
        <v>2.3521921915502002</v>
      </c>
      <c r="Q199" s="17">
        <f ca="1"/>
        <v>8.1976000000000007E-2</v>
      </c>
      <c r="R199" s="17">
        <f ca="1"/>
        <v>0.18817537532401599</v>
      </c>
      <c r="S199" s="17">
        <f ca="1"/>
        <v>0.27015137532401601</v>
      </c>
      <c r="T199" s="17">
        <f ca="1"/>
        <v>46378.559999999998</v>
      </c>
      <c r="U199" s="17">
        <f ca="1"/>
        <v>7484846.6900000023</v>
      </c>
      <c r="V199" s="17" t="str">
        <f ca="1"/>
        <v>2026-08-31</v>
      </c>
      <c r="W199" s="65">
        <f t="shared" ca="1" si="5"/>
        <v>94.395468883328135</v>
      </c>
      <c r="X199" s="65">
        <v>0.5</v>
      </c>
      <c r="Y199" s="65">
        <v>1</v>
      </c>
      <c r="Z199" s="65">
        <f t="shared" ca="1" si="4"/>
        <v>0.20494000000000001</v>
      </c>
      <c r="AA199" s="65">
        <v>0</v>
      </c>
    </row>
    <row r="200" spans="2:27" x14ac:dyDescent="0.25">
      <c r="B200" s="17">
        <f ca="1"/>
        <v>190</v>
      </c>
      <c r="C200" s="17">
        <f ca="1"/>
        <v>14952</v>
      </c>
      <c r="D200" s="17">
        <f ca="1"/>
        <v>14951</v>
      </c>
      <c r="E200" s="17">
        <f ca="1"/>
        <v>14952</v>
      </c>
      <c r="F200" s="17">
        <f ca="1"/>
        <v>7466</v>
      </c>
      <c r="G200" s="17">
        <f ca="1"/>
        <v>29528.71</v>
      </c>
      <c r="H200" s="17" t="str">
        <f ca="1"/>
        <v>CCC</v>
      </c>
      <c r="I200" s="17" t="str">
        <f ca="1"/>
        <v>Ind06</v>
      </c>
      <c r="J200" s="17" t="str">
        <f ca="1"/>
        <v>USD</v>
      </c>
      <c r="K200" s="69" t="str">
        <f ca="1"/>
        <v>ShipFin</v>
      </c>
      <c r="L200" s="17">
        <f ca="1"/>
        <v>7.7129836573475039</v>
      </c>
      <c r="M200" s="17">
        <f ca="1"/>
        <v>5</v>
      </c>
      <c r="N200" s="17">
        <f ca="1"/>
        <v>0.20494000000000001</v>
      </c>
      <c r="O200" s="17">
        <f ca="1"/>
        <v>0.4</v>
      </c>
      <c r="P200" s="17">
        <f ca="1"/>
        <v>2.3521921915502002</v>
      </c>
      <c r="Q200" s="17">
        <f ca="1"/>
        <v>8.1976000000000007E-2</v>
      </c>
      <c r="R200" s="17">
        <f ca="1"/>
        <v>0.18817537532401599</v>
      </c>
      <c r="S200" s="17">
        <f ca="1"/>
        <v>0.27015137532401601</v>
      </c>
      <c r="T200" s="17">
        <f ca="1"/>
        <v>29528.71</v>
      </c>
      <c r="U200" s="17">
        <f ca="1"/>
        <v>7514375.4000000022</v>
      </c>
      <c r="V200" s="17" t="str">
        <f ca="1"/>
        <v>2026-08-31</v>
      </c>
      <c r="W200" s="65">
        <f t="shared" ca="1" si="5"/>
        <v>92.555803888170047</v>
      </c>
      <c r="X200" s="65">
        <v>0.5</v>
      </c>
      <c r="Y200" s="65">
        <v>1</v>
      </c>
      <c r="Z200" s="65">
        <f t="shared" ca="1" si="4"/>
        <v>0.20494000000000001</v>
      </c>
      <c r="AA200" s="65">
        <v>0</v>
      </c>
    </row>
    <row r="201" spans="2:27" x14ac:dyDescent="0.25">
      <c r="B201" s="17">
        <f ca="1"/>
        <v>191</v>
      </c>
      <c r="C201" s="17">
        <f ca="1"/>
        <v>14958</v>
      </c>
      <c r="D201" s="17">
        <f ca="1"/>
        <v>14957</v>
      </c>
      <c r="E201" s="17">
        <f ca="1"/>
        <v>14958</v>
      </c>
      <c r="F201" s="17">
        <f ca="1"/>
        <v>7469</v>
      </c>
      <c r="G201" s="17">
        <f ca="1"/>
        <v>113015.14</v>
      </c>
      <c r="H201" s="17" t="str">
        <f ca="1"/>
        <v>CCC</v>
      </c>
      <c r="I201" s="17" t="str">
        <f ca="1"/>
        <v>Ind06</v>
      </c>
      <c r="J201" s="17" t="str">
        <f ca="1"/>
        <v>USD</v>
      </c>
      <c r="K201" s="69" t="str">
        <f ca="1"/>
        <v>ShipFin</v>
      </c>
      <c r="L201" s="17">
        <f ca="1"/>
        <v>9.0569734020903727</v>
      </c>
      <c r="M201" s="17">
        <f ca="1"/>
        <v>5</v>
      </c>
      <c r="N201" s="17">
        <f ca="1"/>
        <v>0.20494000000000001</v>
      </c>
      <c r="O201" s="17">
        <f ca="1"/>
        <v>0.4</v>
      </c>
      <c r="P201" s="17">
        <f ca="1"/>
        <v>2.3521921915502002</v>
      </c>
      <c r="Q201" s="17">
        <f ca="1"/>
        <v>8.1976000000000007E-2</v>
      </c>
      <c r="R201" s="17">
        <f ca="1"/>
        <v>0.18817537532401599</v>
      </c>
      <c r="S201" s="17">
        <f ca="1"/>
        <v>0.27015137532401601</v>
      </c>
      <c r="T201" s="17">
        <f ca="1"/>
        <v>113015.14</v>
      </c>
      <c r="U201" s="17">
        <f ca="1"/>
        <v>7627390.5400000028</v>
      </c>
      <c r="V201" s="17" t="str">
        <f ca="1"/>
        <v>2028-07-31</v>
      </c>
      <c r="W201" s="65">
        <f t="shared" ca="1" si="5"/>
        <v>108.68368082508448</v>
      </c>
      <c r="X201" s="65">
        <v>0.5</v>
      </c>
      <c r="Y201" s="65">
        <v>1</v>
      </c>
      <c r="Z201" s="65">
        <f t="shared" ca="1" si="4"/>
        <v>0.20494000000000001</v>
      </c>
      <c r="AA201" s="65">
        <v>0</v>
      </c>
    </row>
    <row r="202" spans="2:27" x14ac:dyDescent="0.25">
      <c r="B202" s="17">
        <f ca="1"/>
        <v>192</v>
      </c>
      <c r="C202" s="17">
        <f ca="1"/>
        <v>14959</v>
      </c>
      <c r="D202" s="17">
        <f ca="1"/>
        <v>14958</v>
      </c>
      <c r="E202" s="17">
        <f ca="1"/>
        <v>14959</v>
      </c>
      <c r="F202" s="17">
        <f ca="1"/>
        <v>7470</v>
      </c>
      <c r="G202" s="17">
        <f ca="1"/>
        <v>97137.11</v>
      </c>
      <c r="H202" s="17" t="str">
        <f ca="1"/>
        <v>CCC</v>
      </c>
      <c r="I202" s="17" t="str">
        <f ca="1"/>
        <v>Ind06</v>
      </c>
      <c r="J202" s="17" t="str">
        <f ca="1"/>
        <v>USD</v>
      </c>
      <c r="K202" s="69" t="str">
        <f ca="1"/>
        <v>ShipFin</v>
      </c>
      <c r="L202" s="17">
        <f ca="1"/>
        <v>8.4354355232184748</v>
      </c>
      <c r="M202" s="17">
        <f ca="1"/>
        <v>5</v>
      </c>
      <c r="N202" s="17">
        <f ca="1"/>
        <v>0.20494000000000001</v>
      </c>
      <c r="O202" s="17">
        <f ca="1"/>
        <v>0.4</v>
      </c>
      <c r="P202" s="17">
        <f ca="1"/>
        <v>2.3521921915502002</v>
      </c>
      <c r="Q202" s="17">
        <f ca="1"/>
        <v>8.1976000000000007E-2</v>
      </c>
      <c r="R202" s="17">
        <f ca="1"/>
        <v>0.18817537532401599</v>
      </c>
      <c r="S202" s="17">
        <f ca="1"/>
        <v>0.27015137532401601</v>
      </c>
      <c r="T202" s="17">
        <f ca="1"/>
        <v>97137.11</v>
      </c>
      <c r="U202" s="17">
        <f ca="1"/>
        <v>7724527.6500000022</v>
      </c>
      <c r="V202" s="17" t="str">
        <f ca="1"/>
        <v>2027-08-31</v>
      </c>
      <c r="W202" s="65">
        <f t="shared" ca="1" si="5"/>
        <v>101.2252262786217</v>
      </c>
      <c r="X202" s="65">
        <v>0.5</v>
      </c>
      <c r="Y202" s="65">
        <v>1</v>
      </c>
      <c r="Z202" s="65">
        <f t="shared" ref="Z202:Z215" ca="1" si="6">N202</f>
        <v>0.20494000000000001</v>
      </c>
      <c r="AA202" s="65">
        <v>0</v>
      </c>
    </row>
    <row r="203" spans="2:27" x14ac:dyDescent="0.25">
      <c r="B203" s="17">
        <f ca="1"/>
        <v>193</v>
      </c>
      <c r="C203" s="17">
        <f ca="1"/>
        <v>14960</v>
      </c>
      <c r="D203" s="17">
        <f ca="1"/>
        <v>14959</v>
      </c>
      <c r="E203" s="17">
        <f ca="1"/>
        <v>14960</v>
      </c>
      <c r="F203" s="17">
        <f ca="1"/>
        <v>7471</v>
      </c>
      <c r="G203" s="17">
        <f ca="1"/>
        <v>35848.129999999997</v>
      </c>
      <c r="H203" s="17" t="str">
        <f ca="1"/>
        <v>CCC</v>
      </c>
      <c r="I203" s="17" t="str">
        <f ca="1"/>
        <v>Ind06</v>
      </c>
      <c r="J203" s="17" t="str">
        <f ca="1"/>
        <v>USD</v>
      </c>
      <c r="K203" s="69" t="str">
        <f ca="1"/>
        <v>ShipFin</v>
      </c>
      <c r="L203" s="17">
        <f ca="1"/>
        <v>7.1856204764405263</v>
      </c>
      <c r="M203" s="17">
        <f ca="1"/>
        <v>5</v>
      </c>
      <c r="N203" s="17">
        <f ca="1"/>
        <v>0.20494000000000001</v>
      </c>
      <c r="O203" s="17">
        <f ca="1"/>
        <v>0.4</v>
      </c>
      <c r="P203" s="17">
        <f ca="1"/>
        <v>2.3521921915502002</v>
      </c>
      <c r="Q203" s="17">
        <f ca="1"/>
        <v>8.1976000000000007E-2</v>
      </c>
      <c r="R203" s="17">
        <f ca="1"/>
        <v>0.18817537532401599</v>
      </c>
      <c r="S203" s="17">
        <f ca="1"/>
        <v>0.27015137532401601</v>
      </c>
      <c r="T203" s="17">
        <f ca="1"/>
        <v>35848.129999999997</v>
      </c>
      <c r="U203" s="17">
        <f ca="1"/>
        <v>7760375.7800000021</v>
      </c>
      <c r="V203" s="17" t="str">
        <f ca="1"/>
        <v>2026-07-31</v>
      </c>
      <c r="W203" s="65">
        <f t="shared" ref="W203:W215" ca="1" si="7">L203*12</f>
        <v>86.227445717286315</v>
      </c>
      <c r="X203" s="65">
        <v>0.5</v>
      </c>
      <c r="Y203" s="65">
        <v>1</v>
      </c>
      <c r="Z203" s="65">
        <f t="shared" ca="1" si="6"/>
        <v>0.20494000000000001</v>
      </c>
      <c r="AA203" s="65">
        <v>0</v>
      </c>
    </row>
    <row r="204" spans="2:27" x14ac:dyDescent="0.25">
      <c r="B204" s="17">
        <f ca="1"/>
        <v>194</v>
      </c>
      <c r="C204" s="17">
        <f ca="1"/>
        <v>14961</v>
      </c>
      <c r="D204" s="17">
        <f ca="1"/>
        <v>14960</v>
      </c>
      <c r="E204" s="17">
        <f ca="1"/>
        <v>14961</v>
      </c>
      <c r="F204" s="17">
        <f ca="1"/>
        <v>7471</v>
      </c>
      <c r="G204" s="17">
        <f ca="1"/>
        <v>58811.49</v>
      </c>
      <c r="H204" s="17" t="str">
        <f ca="1"/>
        <v>CCC</v>
      </c>
      <c r="I204" s="17" t="str">
        <f ca="1"/>
        <v>Ind06</v>
      </c>
      <c r="J204" s="17" t="str">
        <f ca="1"/>
        <v>USD</v>
      </c>
      <c r="K204" s="69" t="str">
        <f ca="1"/>
        <v>ShipFin</v>
      </c>
      <c r="L204" s="17">
        <f ca="1"/>
        <v>8.9526665270747614</v>
      </c>
      <c r="M204" s="17">
        <f ca="1"/>
        <v>5</v>
      </c>
      <c r="N204" s="17">
        <f ca="1"/>
        <v>0.20494000000000001</v>
      </c>
      <c r="O204" s="17">
        <f ca="1"/>
        <v>0.4</v>
      </c>
      <c r="P204" s="17">
        <f ca="1"/>
        <v>2.3521921915502002</v>
      </c>
      <c r="Q204" s="17">
        <f ca="1"/>
        <v>8.1976000000000007E-2</v>
      </c>
      <c r="R204" s="17">
        <f ca="1"/>
        <v>0.18817537532401599</v>
      </c>
      <c r="S204" s="17">
        <f ca="1"/>
        <v>0.27015137532401601</v>
      </c>
      <c r="T204" s="17">
        <f ca="1"/>
        <v>58811.49</v>
      </c>
      <c r="U204" s="17">
        <f ca="1"/>
        <v>7819187.2700000023</v>
      </c>
      <c r="V204" s="17" t="str">
        <f ca="1"/>
        <v>2027-08-31</v>
      </c>
      <c r="W204" s="65">
        <f t="shared" ca="1" si="7"/>
        <v>107.43199832489714</v>
      </c>
      <c r="X204" s="65">
        <v>0.5</v>
      </c>
      <c r="Y204" s="65">
        <v>1</v>
      </c>
      <c r="Z204" s="65">
        <f t="shared" ca="1" si="6"/>
        <v>0.20494000000000001</v>
      </c>
      <c r="AA204" s="65">
        <v>0</v>
      </c>
    </row>
    <row r="205" spans="2:27" x14ac:dyDescent="0.25">
      <c r="B205" s="17">
        <f ca="1"/>
        <v>195</v>
      </c>
      <c r="C205" s="17">
        <f ca="1"/>
        <v>14964</v>
      </c>
      <c r="D205" s="17">
        <f ca="1"/>
        <v>14963</v>
      </c>
      <c r="E205" s="17">
        <f ca="1"/>
        <v>14964</v>
      </c>
      <c r="F205" s="17">
        <f ca="1"/>
        <v>7472</v>
      </c>
      <c r="G205" s="17">
        <f ca="1"/>
        <v>16534.2</v>
      </c>
      <c r="H205" s="17" t="str">
        <f ca="1"/>
        <v>CCC</v>
      </c>
      <c r="I205" s="17" t="str">
        <f ca="1"/>
        <v>Ind06</v>
      </c>
      <c r="J205" s="17" t="str">
        <f ca="1"/>
        <v>USD</v>
      </c>
      <c r="K205" s="69" t="str">
        <f ca="1"/>
        <v>ShipFin</v>
      </c>
      <c r="L205" s="17">
        <f ca="1"/>
        <v>5.5120496951695515</v>
      </c>
      <c r="M205" s="17">
        <f ca="1"/>
        <v>5</v>
      </c>
      <c r="N205" s="17">
        <f ca="1"/>
        <v>0.20494000000000001</v>
      </c>
      <c r="O205" s="17">
        <f ca="1"/>
        <v>0.4</v>
      </c>
      <c r="P205" s="17">
        <f ca="1"/>
        <v>2.3521921915502002</v>
      </c>
      <c r="Q205" s="17">
        <f ca="1"/>
        <v>8.1976000000000007E-2</v>
      </c>
      <c r="R205" s="17">
        <f ca="1"/>
        <v>0.18817537532401599</v>
      </c>
      <c r="S205" s="17">
        <f ca="1"/>
        <v>0.27015137532401601</v>
      </c>
      <c r="T205" s="17">
        <f ca="1"/>
        <v>16534.2</v>
      </c>
      <c r="U205" s="17">
        <f ca="1"/>
        <v>7835721.4700000016</v>
      </c>
      <c r="V205" s="17" t="str">
        <f ca="1"/>
        <v>2024-08-31</v>
      </c>
      <c r="W205" s="65">
        <f t="shared" ca="1" si="7"/>
        <v>66.144596342034617</v>
      </c>
      <c r="X205" s="65">
        <v>0.5</v>
      </c>
      <c r="Y205" s="65">
        <v>1</v>
      </c>
      <c r="Z205" s="65">
        <f t="shared" ca="1" si="6"/>
        <v>0.20494000000000001</v>
      </c>
      <c r="AA205" s="65">
        <v>0</v>
      </c>
    </row>
    <row r="206" spans="2:27" x14ac:dyDescent="0.25">
      <c r="B206" s="17">
        <f ca="1"/>
        <v>196</v>
      </c>
      <c r="C206" s="17">
        <f ca="1"/>
        <v>14965</v>
      </c>
      <c r="D206" s="17">
        <f ca="1"/>
        <v>14964</v>
      </c>
      <c r="E206" s="17">
        <f ca="1"/>
        <v>14965</v>
      </c>
      <c r="F206" s="17">
        <f ca="1"/>
        <v>7473</v>
      </c>
      <c r="G206" s="17">
        <f ca="1"/>
        <v>93187.59</v>
      </c>
      <c r="H206" s="17" t="str">
        <f ca="1"/>
        <v>CCC</v>
      </c>
      <c r="I206" s="17" t="str">
        <f ca="1"/>
        <v>Ind06</v>
      </c>
      <c r="J206" s="17" t="str">
        <f ca="1"/>
        <v>USD</v>
      </c>
      <c r="K206" s="69" t="str">
        <f ca="1"/>
        <v>ShipFin</v>
      </c>
      <c r="L206" s="17">
        <f ca="1"/>
        <v>5.7984865076071603</v>
      </c>
      <c r="M206" s="17">
        <f ca="1"/>
        <v>5</v>
      </c>
      <c r="N206" s="17">
        <f ca="1"/>
        <v>0.20494000000000001</v>
      </c>
      <c r="O206" s="17">
        <f ca="1"/>
        <v>0.4</v>
      </c>
      <c r="P206" s="17">
        <f ca="1"/>
        <v>2.3521921915502002</v>
      </c>
      <c r="Q206" s="17">
        <f ca="1"/>
        <v>8.1976000000000007E-2</v>
      </c>
      <c r="R206" s="17">
        <f ca="1"/>
        <v>0.18817537532401599</v>
      </c>
      <c r="S206" s="17">
        <f ca="1"/>
        <v>0.27015137532401601</v>
      </c>
      <c r="T206" s="17">
        <f ca="1"/>
        <v>93187.59</v>
      </c>
      <c r="U206" s="17">
        <f ca="1"/>
        <v>7928909.0600000024</v>
      </c>
      <c r="V206" s="17" t="str">
        <f ca="1"/>
        <v>2024-08-31</v>
      </c>
      <c r="W206" s="65">
        <f t="shared" ca="1" si="7"/>
        <v>69.581838091285931</v>
      </c>
      <c r="X206" s="65">
        <v>0.5</v>
      </c>
      <c r="Y206" s="65">
        <v>1</v>
      </c>
      <c r="Z206" s="65">
        <f t="shared" ca="1" si="6"/>
        <v>0.20494000000000001</v>
      </c>
      <c r="AA206" s="65">
        <v>0</v>
      </c>
    </row>
    <row r="207" spans="2:27" x14ac:dyDescent="0.25">
      <c r="B207" s="17">
        <f ca="1"/>
        <v>197</v>
      </c>
      <c r="C207" s="17">
        <f ca="1"/>
        <v>14966</v>
      </c>
      <c r="D207" s="17">
        <f ca="1"/>
        <v>14965</v>
      </c>
      <c r="E207" s="17">
        <f ca="1"/>
        <v>14966</v>
      </c>
      <c r="F207" s="17">
        <f ca="1"/>
        <v>7473</v>
      </c>
      <c r="G207" s="17">
        <f ca="1"/>
        <v>6996.36</v>
      </c>
      <c r="H207" s="17" t="str">
        <f ca="1"/>
        <v>CCC</v>
      </c>
      <c r="I207" s="17" t="str">
        <f ca="1"/>
        <v>Ind06</v>
      </c>
      <c r="J207" s="17" t="str">
        <f ca="1"/>
        <v>USD</v>
      </c>
      <c r="K207" s="69" t="str">
        <f ca="1"/>
        <v>ShipFin</v>
      </c>
      <c r="L207" s="17">
        <f ca="1"/>
        <v>6.179643759932369</v>
      </c>
      <c r="M207" s="17">
        <f ca="1"/>
        <v>5</v>
      </c>
      <c r="N207" s="17">
        <f ca="1"/>
        <v>0.20494000000000001</v>
      </c>
      <c r="O207" s="17">
        <f ca="1"/>
        <v>0.4</v>
      </c>
      <c r="P207" s="17">
        <f ca="1"/>
        <v>2.3521921915502002</v>
      </c>
      <c r="Q207" s="17">
        <f ca="1"/>
        <v>8.1976000000000007E-2</v>
      </c>
      <c r="R207" s="17">
        <f ca="1"/>
        <v>0.18817537532401599</v>
      </c>
      <c r="S207" s="17">
        <f ca="1"/>
        <v>0.27015137532401601</v>
      </c>
      <c r="T207" s="17">
        <f ca="1"/>
        <v>6996.36</v>
      </c>
      <c r="U207" s="17">
        <f ca="1"/>
        <v>7935905.4200000027</v>
      </c>
      <c r="V207" s="17" t="str">
        <f ca="1"/>
        <v>2025-07-31</v>
      </c>
      <c r="W207" s="65">
        <f t="shared" ca="1" si="7"/>
        <v>74.155725119188432</v>
      </c>
      <c r="X207" s="65">
        <v>0.5</v>
      </c>
      <c r="Y207" s="65">
        <v>1</v>
      </c>
      <c r="Z207" s="65">
        <f t="shared" ca="1" si="6"/>
        <v>0.20494000000000001</v>
      </c>
      <c r="AA207" s="65">
        <v>0</v>
      </c>
    </row>
    <row r="208" spans="2:27" x14ac:dyDescent="0.25">
      <c r="B208" s="17">
        <f ca="1"/>
        <v>198</v>
      </c>
      <c r="C208" s="17">
        <f ca="1"/>
        <v>14967</v>
      </c>
      <c r="D208" s="17">
        <f ca="1"/>
        <v>14966</v>
      </c>
      <c r="E208" s="17">
        <f ca="1"/>
        <v>14967</v>
      </c>
      <c r="F208" s="17">
        <f ca="1"/>
        <v>7474</v>
      </c>
      <c r="G208" s="17">
        <f ca="1"/>
        <v>25005.62</v>
      </c>
      <c r="H208" s="17" t="str">
        <f ca="1"/>
        <v>CCC</v>
      </c>
      <c r="I208" s="17" t="str">
        <f ca="1"/>
        <v>Ind06</v>
      </c>
      <c r="J208" s="17" t="str">
        <f ca="1"/>
        <v>USD</v>
      </c>
      <c r="K208" s="69" t="str">
        <f ca="1"/>
        <v>ShipFin</v>
      </c>
      <c r="L208" s="17">
        <f ca="1"/>
        <v>7.2728796855499969</v>
      </c>
      <c r="M208" s="17">
        <f ca="1"/>
        <v>5</v>
      </c>
      <c r="N208" s="17">
        <f ca="1"/>
        <v>0.20494000000000001</v>
      </c>
      <c r="O208" s="17">
        <f ca="1"/>
        <v>0.4</v>
      </c>
      <c r="P208" s="17">
        <f ca="1"/>
        <v>2.3521921915502002</v>
      </c>
      <c r="Q208" s="17">
        <f ca="1"/>
        <v>8.1976000000000007E-2</v>
      </c>
      <c r="R208" s="17">
        <f ca="1"/>
        <v>0.18817537532401599</v>
      </c>
      <c r="S208" s="17">
        <f ca="1"/>
        <v>0.27015137532401601</v>
      </c>
      <c r="T208" s="17">
        <f ca="1"/>
        <v>25005.62</v>
      </c>
      <c r="U208" s="17">
        <f ca="1"/>
        <v>7960911.0400000028</v>
      </c>
      <c r="V208" s="17" t="str">
        <f ca="1"/>
        <v>2026-07-31</v>
      </c>
      <c r="W208" s="65">
        <f t="shared" ca="1" si="7"/>
        <v>87.274556226599969</v>
      </c>
      <c r="X208" s="65">
        <v>0.5</v>
      </c>
      <c r="Y208" s="65">
        <v>1</v>
      </c>
      <c r="Z208" s="65">
        <f t="shared" ca="1" si="6"/>
        <v>0.20494000000000001</v>
      </c>
      <c r="AA208" s="65">
        <v>0</v>
      </c>
    </row>
    <row r="209" spans="2:27" x14ac:dyDescent="0.25">
      <c r="B209" s="17">
        <f ca="1"/>
        <v>199</v>
      </c>
      <c r="C209" s="17">
        <f ca="1"/>
        <v>14971</v>
      </c>
      <c r="D209" s="17">
        <f ca="1"/>
        <v>14970</v>
      </c>
      <c r="E209" s="17">
        <f ca="1"/>
        <v>14971</v>
      </c>
      <c r="F209" s="17">
        <f ca="1"/>
        <v>7476</v>
      </c>
      <c r="G209" s="17">
        <f ca="1"/>
        <v>5198.13</v>
      </c>
      <c r="H209" s="17" t="str">
        <f ca="1"/>
        <v>CCC</v>
      </c>
      <c r="I209" s="17" t="str">
        <f ca="1"/>
        <v>Ind06</v>
      </c>
      <c r="J209" s="17" t="str">
        <f ca="1"/>
        <v>USD</v>
      </c>
      <c r="K209" s="69" t="str">
        <f ca="1"/>
        <v>ShipFin</v>
      </c>
      <c r="L209" s="17">
        <f ca="1"/>
        <v>5.8937821642123165</v>
      </c>
      <c r="M209" s="17">
        <f ca="1"/>
        <v>5</v>
      </c>
      <c r="N209" s="17">
        <f ca="1"/>
        <v>0.20494000000000001</v>
      </c>
      <c r="O209" s="17">
        <f ca="1"/>
        <v>0.4</v>
      </c>
      <c r="P209" s="17">
        <f ca="1"/>
        <v>2.3521921915502002</v>
      </c>
      <c r="Q209" s="17">
        <f ca="1"/>
        <v>8.1976000000000007E-2</v>
      </c>
      <c r="R209" s="17">
        <f ca="1"/>
        <v>0.18817537532401599</v>
      </c>
      <c r="S209" s="17">
        <f ca="1"/>
        <v>0.27015137532401601</v>
      </c>
      <c r="T209" s="17">
        <f ca="1"/>
        <v>5198.13</v>
      </c>
      <c r="U209" s="17">
        <f ca="1"/>
        <v>7966109.1700000027</v>
      </c>
      <c r="V209" s="17" t="str">
        <f ca="1"/>
        <v>2024-08-31</v>
      </c>
      <c r="W209" s="65">
        <f t="shared" ca="1" si="7"/>
        <v>70.725385970547791</v>
      </c>
      <c r="X209" s="65">
        <v>0.5</v>
      </c>
      <c r="Y209" s="65">
        <v>1</v>
      </c>
      <c r="Z209" s="65">
        <f t="shared" ca="1" si="6"/>
        <v>0.20494000000000001</v>
      </c>
      <c r="AA209" s="65">
        <v>0</v>
      </c>
    </row>
    <row r="210" spans="2:27" x14ac:dyDescent="0.25">
      <c r="B210" s="17" t="e">
        <f ca="1"/>
        <v>#N/A</v>
      </c>
      <c r="C210" s="17" t="e">
        <f ca="1"/>
        <v>#N/A</v>
      </c>
      <c r="D210" s="17" t="e">
        <f ca="1"/>
        <v>#N/A</v>
      </c>
      <c r="E210" s="17" t="e">
        <f ca="1"/>
        <v>#N/A</v>
      </c>
      <c r="F210" s="17" t="e">
        <f ca="1"/>
        <v>#N/A</v>
      </c>
      <c r="G210" s="17" t="e">
        <f ca="1"/>
        <v>#N/A</v>
      </c>
      <c r="H210" s="17" t="e">
        <f ca="1"/>
        <v>#N/A</v>
      </c>
      <c r="I210" s="17" t="e">
        <f ca="1"/>
        <v>#N/A</v>
      </c>
      <c r="J210" s="17" t="e">
        <f ca="1"/>
        <v>#N/A</v>
      </c>
      <c r="K210" s="17" t="e">
        <f ca="1"/>
        <v>#N/A</v>
      </c>
      <c r="L210" s="17" t="e">
        <f ca="1"/>
        <v>#N/A</v>
      </c>
      <c r="M210" s="17" t="e">
        <f ca="1"/>
        <v>#N/A</v>
      </c>
      <c r="N210" s="17" t="e">
        <f ca="1"/>
        <v>#N/A</v>
      </c>
      <c r="O210" s="17" t="e">
        <f ca="1"/>
        <v>#N/A</v>
      </c>
      <c r="P210" s="17" t="e">
        <f ca="1"/>
        <v>#N/A</v>
      </c>
      <c r="Q210" s="17" t="e">
        <f ca="1"/>
        <v>#N/A</v>
      </c>
      <c r="R210" s="17" t="e">
        <f ca="1"/>
        <v>#N/A</v>
      </c>
      <c r="S210" s="17" t="e">
        <f ca="1"/>
        <v>#N/A</v>
      </c>
      <c r="T210" s="17" t="e">
        <f ca="1"/>
        <v>#N/A</v>
      </c>
      <c r="U210" s="17" t="e">
        <f ca="1"/>
        <v>#N/A</v>
      </c>
      <c r="V210" s="17" t="e">
        <f ca="1"/>
        <v>#N/A</v>
      </c>
      <c r="W210" s="65" t="e">
        <f t="shared" ca="1" si="7"/>
        <v>#N/A</v>
      </c>
      <c r="X210" s="65">
        <v>0.5</v>
      </c>
      <c r="Y210" s="65">
        <v>1</v>
      </c>
      <c r="Z210" s="65" t="e">
        <f t="shared" ca="1" si="6"/>
        <v>#N/A</v>
      </c>
      <c r="AA210" s="65">
        <v>0</v>
      </c>
    </row>
    <row r="211" spans="2:27" x14ac:dyDescent="0.25">
      <c r="B211" s="17" t="e">
        <f ca="1"/>
        <v>#N/A</v>
      </c>
      <c r="C211" s="17" t="e">
        <f ca="1"/>
        <v>#N/A</v>
      </c>
      <c r="D211" s="17" t="e">
        <f ca="1"/>
        <v>#N/A</v>
      </c>
      <c r="E211" s="17" t="e">
        <f ca="1"/>
        <v>#N/A</v>
      </c>
      <c r="F211" s="17" t="e">
        <f ca="1"/>
        <v>#N/A</v>
      </c>
      <c r="G211" s="17" t="e">
        <f ca="1"/>
        <v>#N/A</v>
      </c>
      <c r="H211" s="17" t="e">
        <f ca="1"/>
        <v>#N/A</v>
      </c>
      <c r="I211" s="17" t="e">
        <f ca="1"/>
        <v>#N/A</v>
      </c>
      <c r="J211" s="17" t="e">
        <f ca="1"/>
        <v>#N/A</v>
      </c>
      <c r="K211" s="17" t="e">
        <f ca="1"/>
        <v>#N/A</v>
      </c>
      <c r="L211" s="17" t="e">
        <f ca="1"/>
        <v>#N/A</v>
      </c>
      <c r="M211" s="17" t="e">
        <f ca="1"/>
        <v>#N/A</v>
      </c>
      <c r="N211" s="17" t="e">
        <f ca="1"/>
        <v>#N/A</v>
      </c>
      <c r="O211" s="17" t="e">
        <f ca="1"/>
        <v>#N/A</v>
      </c>
      <c r="P211" s="17" t="e">
        <f ca="1"/>
        <v>#N/A</v>
      </c>
      <c r="Q211" s="17" t="e">
        <f ca="1"/>
        <v>#N/A</v>
      </c>
      <c r="R211" s="17" t="e">
        <f ca="1"/>
        <v>#N/A</v>
      </c>
      <c r="S211" s="17" t="e">
        <f ca="1"/>
        <v>#N/A</v>
      </c>
      <c r="T211" s="17" t="e">
        <f ca="1"/>
        <v>#N/A</v>
      </c>
      <c r="U211" s="17" t="e">
        <f ca="1"/>
        <v>#N/A</v>
      </c>
      <c r="V211" s="17" t="e">
        <f ca="1"/>
        <v>#N/A</v>
      </c>
      <c r="W211" s="65" t="e">
        <f t="shared" ca="1" si="7"/>
        <v>#N/A</v>
      </c>
      <c r="X211" s="65">
        <v>0.5</v>
      </c>
      <c r="Y211" s="65">
        <v>1</v>
      </c>
      <c r="Z211" s="65" t="e">
        <f t="shared" ca="1" si="6"/>
        <v>#N/A</v>
      </c>
      <c r="AA211" s="65">
        <v>0</v>
      </c>
    </row>
    <row r="212" spans="2:27" x14ac:dyDescent="0.25">
      <c r="B212" s="17" t="e">
        <f ca="1"/>
        <v>#N/A</v>
      </c>
      <c r="C212" s="17" t="e">
        <f ca="1"/>
        <v>#N/A</v>
      </c>
      <c r="D212" s="17" t="e">
        <f ca="1"/>
        <v>#N/A</v>
      </c>
      <c r="E212" s="17" t="e">
        <f ca="1"/>
        <v>#N/A</v>
      </c>
      <c r="F212" s="17" t="e">
        <f ca="1"/>
        <v>#N/A</v>
      </c>
      <c r="G212" s="17" t="e">
        <f ca="1"/>
        <v>#N/A</v>
      </c>
      <c r="H212" s="17" t="e">
        <f ca="1"/>
        <v>#N/A</v>
      </c>
      <c r="I212" s="17" t="e">
        <f ca="1"/>
        <v>#N/A</v>
      </c>
      <c r="J212" s="17" t="e">
        <f ca="1"/>
        <v>#N/A</v>
      </c>
      <c r="K212" s="17" t="e">
        <f ca="1"/>
        <v>#N/A</v>
      </c>
      <c r="L212" s="17" t="e">
        <f ca="1"/>
        <v>#N/A</v>
      </c>
      <c r="M212" s="17" t="e">
        <f ca="1"/>
        <v>#N/A</v>
      </c>
      <c r="N212" s="17" t="e">
        <f ca="1"/>
        <v>#N/A</v>
      </c>
      <c r="O212" s="17" t="e">
        <f ca="1"/>
        <v>#N/A</v>
      </c>
      <c r="P212" s="17" t="e">
        <f ca="1"/>
        <v>#N/A</v>
      </c>
      <c r="Q212" s="17" t="e">
        <f ca="1"/>
        <v>#N/A</v>
      </c>
      <c r="R212" s="17" t="e">
        <f ca="1"/>
        <v>#N/A</v>
      </c>
      <c r="S212" s="17" t="e">
        <f ca="1"/>
        <v>#N/A</v>
      </c>
      <c r="T212" s="17" t="e">
        <f ca="1"/>
        <v>#N/A</v>
      </c>
      <c r="U212" s="17" t="e">
        <f ca="1"/>
        <v>#N/A</v>
      </c>
      <c r="V212" s="17" t="e">
        <f ca="1"/>
        <v>#N/A</v>
      </c>
      <c r="W212" s="65" t="e">
        <f t="shared" ca="1" si="7"/>
        <v>#N/A</v>
      </c>
      <c r="X212" s="65">
        <v>0.5</v>
      </c>
      <c r="Y212" s="65">
        <v>1</v>
      </c>
      <c r="Z212" s="65" t="e">
        <f t="shared" ca="1" si="6"/>
        <v>#N/A</v>
      </c>
      <c r="AA212" s="65">
        <v>0</v>
      </c>
    </row>
    <row r="213" spans="2:27" x14ac:dyDescent="0.25">
      <c r="B213" s="17" t="e">
        <f ca="1"/>
        <v>#N/A</v>
      </c>
      <c r="C213" s="17" t="e">
        <f ca="1"/>
        <v>#N/A</v>
      </c>
      <c r="D213" s="17" t="e">
        <f ca="1"/>
        <v>#N/A</v>
      </c>
      <c r="E213" s="17" t="e">
        <f ca="1"/>
        <v>#N/A</v>
      </c>
      <c r="F213" s="17" t="e">
        <f ca="1"/>
        <v>#N/A</v>
      </c>
      <c r="G213" s="17" t="e">
        <f ca="1"/>
        <v>#N/A</v>
      </c>
      <c r="H213" s="17" t="e">
        <f ca="1"/>
        <v>#N/A</v>
      </c>
      <c r="I213" s="17" t="e">
        <f ca="1"/>
        <v>#N/A</v>
      </c>
      <c r="J213" s="17" t="e">
        <f ca="1"/>
        <v>#N/A</v>
      </c>
      <c r="K213" s="17" t="e">
        <f ca="1"/>
        <v>#N/A</v>
      </c>
      <c r="L213" s="17" t="e">
        <f ca="1"/>
        <v>#N/A</v>
      </c>
      <c r="M213" s="17" t="e">
        <f ca="1"/>
        <v>#N/A</v>
      </c>
      <c r="N213" s="17" t="e">
        <f ca="1"/>
        <v>#N/A</v>
      </c>
      <c r="O213" s="17" t="e">
        <f ca="1"/>
        <v>#N/A</v>
      </c>
      <c r="P213" s="17" t="e">
        <f ca="1"/>
        <v>#N/A</v>
      </c>
      <c r="Q213" s="17" t="e">
        <f ca="1"/>
        <v>#N/A</v>
      </c>
      <c r="R213" s="17" t="e">
        <f ca="1"/>
        <v>#N/A</v>
      </c>
      <c r="S213" s="17" t="e">
        <f ca="1"/>
        <v>#N/A</v>
      </c>
      <c r="T213" s="17" t="e">
        <f ca="1"/>
        <v>#N/A</v>
      </c>
      <c r="U213" s="17" t="e">
        <f ca="1"/>
        <v>#N/A</v>
      </c>
      <c r="V213" s="17" t="e">
        <f ca="1"/>
        <v>#N/A</v>
      </c>
      <c r="W213" s="65" t="e">
        <f t="shared" ca="1" si="7"/>
        <v>#N/A</v>
      </c>
      <c r="X213" s="65">
        <v>0.5</v>
      </c>
      <c r="Y213" s="65">
        <v>1</v>
      </c>
      <c r="Z213" s="65" t="e">
        <f t="shared" ca="1" si="6"/>
        <v>#N/A</v>
      </c>
      <c r="AA213" s="65">
        <v>0</v>
      </c>
    </row>
    <row r="214" spans="2:27" x14ac:dyDescent="0.25">
      <c r="B214" s="17" t="e">
        <f ca="1"/>
        <v>#N/A</v>
      </c>
      <c r="C214" s="17" t="e">
        <f ca="1"/>
        <v>#N/A</v>
      </c>
      <c r="D214" s="17" t="e">
        <f ca="1"/>
        <v>#N/A</v>
      </c>
      <c r="E214" s="17" t="e">
        <f ca="1"/>
        <v>#N/A</v>
      </c>
      <c r="F214" s="17" t="e">
        <f ca="1"/>
        <v>#N/A</v>
      </c>
      <c r="G214" s="17" t="e">
        <f ca="1"/>
        <v>#N/A</v>
      </c>
      <c r="H214" s="17" t="e">
        <f ca="1"/>
        <v>#N/A</v>
      </c>
      <c r="I214" s="17" t="e">
        <f ca="1"/>
        <v>#N/A</v>
      </c>
      <c r="J214" s="17" t="e">
        <f ca="1"/>
        <v>#N/A</v>
      </c>
      <c r="K214" s="17" t="e">
        <f ca="1"/>
        <v>#N/A</v>
      </c>
      <c r="L214" s="17" t="e">
        <f ca="1"/>
        <v>#N/A</v>
      </c>
      <c r="M214" s="17" t="e">
        <f ca="1"/>
        <v>#N/A</v>
      </c>
      <c r="N214" s="17" t="e">
        <f ca="1"/>
        <v>#N/A</v>
      </c>
      <c r="O214" s="17" t="e">
        <f ca="1"/>
        <v>#N/A</v>
      </c>
      <c r="P214" s="17" t="e">
        <f ca="1"/>
        <v>#N/A</v>
      </c>
      <c r="Q214" s="17" t="e">
        <f ca="1"/>
        <v>#N/A</v>
      </c>
      <c r="R214" s="17" t="e">
        <f ca="1"/>
        <v>#N/A</v>
      </c>
      <c r="S214" s="17" t="e">
        <f ca="1"/>
        <v>#N/A</v>
      </c>
      <c r="T214" s="17" t="e">
        <f ca="1"/>
        <v>#N/A</v>
      </c>
      <c r="U214" s="17" t="e">
        <f ca="1"/>
        <v>#N/A</v>
      </c>
      <c r="V214" s="17" t="e">
        <f ca="1"/>
        <v>#N/A</v>
      </c>
      <c r="W214" s="65" t="e">
        <f t="shared" ca="1" si="7"/>
        <v>#N/A</v>
      </c>
      <c r="X214" s="65">
        <v>0.5</v>
      </c>
      <c r="Y214" s="65">
        <v>1</v>
      </c>
      <c r="Z214" s="65" t="e">
        <f t="shared" ca="1" si="6"/>
        <v>#N/A</v>
      </c>
      <c r="AA214" s="65">
        <v>0</v>
      </c>
    </row>
    <row r="215" spans="2:27" x14ac:dyDescent="0.25">
      <c r="B215" s="17" t="e">
        <f ca="1"/>
        <v>#N/A</v>
      </c>
      <c r="C215" s="17" t="e">
        <f ca="1"/>
        <v>#N/A</v>
      </c>
      <c r="D215" s="17" t="e">
        <f ca="1"/>
        <v>#N/A</v>
      </c>
      <c r="E215" s="17" t="e">
        <f ca="1"/>
        <v>#N/A</v>
      </c>
      <c r="F215" s="17" t="e">
        <f ca="1"/>
        <v>#N/A</v>
      </c>
      <c r="G215" s="17" t="e">
        <f ca="1"/>
        <v>#N/A</v>
      </c>
      <c r="H215" s="17" t="e">
        <f ca="1"/>
        <v>#N/A</v>
      </c>
      <c r="I215" s="17" t="e">
        <f ca="1"/>
        <v>#N/A</v>
      </c>
      <c r="J215" s="17" t="e">
        <f ca="1"/>
        <v>#N/A</v>
      </c>
      <c r="K215" s="17" t="e">
        <f ca="1"/>
        <v>#N/A</v>
      </c>
      <c r="L215" s="17" t="e">
        <f ca="1"/>
        <v>#N/A</v>
      </c>
      <c r="M215" s="17" t="e">
        <f ca="1"/>
        <v>#N/A</v>
      </c>
      <c r="N215" s="17" t="e">
        <f ca="1"/>
        <v>#N/A</v>
      </c>
      <c r="O215" s="17" t="e">
        <f ca="1"/>
        <v>#N/A</v>
      </c>
      <c r="P215" s="17" t="e">
        <f ca="1"/>
        <v>#N/A</v>
      </c>
      <c r="Q215" s="17" t="e">
        <f ca="1"/>
        <v>#N/A</v>
      </c>
      <c r="R215" s="17" t="e">
        <f ca="1"/>
        <v>#N/A</v>
      </c>
      <c r="S215" s="17" t="e">
        <f ca="1"/>
        <v>#N/A</v>
      </c>
      <c r="T215" s="17" t="e">
        <f ca="1"/>
        <v>#N/A</v>
      </c>
      <c r="U215" s="17" t="e">
        <f ca="1"/>
        <v>#N/A</v>
      </c>
      <c r="V215" s="17" t="e">
        <f ca="1"/>
        <v>#N/A</v>
      </c>
      <c r="W215" s="65" t="e">
        <f t="shared" ca="1" si="7"/>
        <v>#N/A</v>
      </c>
      <c r="X215" s="65">
        <v>0.5</v>
      </c>
      <c r="Y215" s="65">
        <v>1</v>
      </c>
      <c r="Z215" s="65" t="e">
        <f t="shared" ca="1" si="6"/>
        <v>#N/A</v>
      </c>
      <c r="AA215" s="6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86"/>
  <sheetViews>
    <sheetView showGridLines="0" workbookViewId="0"/>
  </sheetViews>
  <sheetFormatPr defaultRowHeight="15" x14ac:dyDescent="0.25"/>
  <cols>
    <col min="1" max="1" width="3.140625" customWidth="1"/>
    <col min="2" max="2" width="2" customWidth="1"/>
    <col min="3" max="3" width="15.28515625" bestFit="1" customWidth="1"/>
    <col min="4" max="4" width="18.5703125" customWidth="1"/>
    <col min="5" max="5" width="13.28515625" bestFit="1" customWidth="1"/>
    <col min="6" max="6" width="17.140625" customWidth="1"/>
    <col min="7" max="7" width="13.85546875" bestFit="1" customWidth="1"/>
    <col min="8" max="8" width="18.140625" bestFit="1" customWidth="1"/>
    <col min="9" max="9" width="12" style="5" bestFit="1" customWidth="1"/>
    <col min="10" max="10" width="34.42578125" bestFit="1" customWidth="1"/>
    <col min="11" max="11" width="13.28515625" bestFit="1" customWidth="1"/>
    <col min="12" max="12" width="18.85546875" bestFit="1" customWidth="1"/>
    <col min="13" max="13" width="19.5703125" bestFit="1" customWidth="1"/>
    <col min="14" max="14" width="13.28515625" bestFit="1" customWidth="1"/>
    <col min="15" max="15" width="23.7109375" bestFit="1" customWidth="1"/>
    <col min="16" max="16" width="12" bestFit="1" customWidth="1"/>
  </cols>
  <sheetData>
    <row r="3" spans="2:17" x14ac:dyDescent="0.25">
      <c r="B3" s="1"/>
      <c r="C3" s="9" t="s">
        <v>4</v>
      </c>
      <c r="D3" s="10" t="s">
        <v>0</v>
      </c>
    </row>
    <row r="4" spans="2:17" x14ac:dyDescent="0.25">
      <c r="B4" s="1"/>
      <c r="C4" s="11" t="s">
        <v>6</v>
      </c>
      <c r="D4" s="12" t="str">
        <f ca="1">_xll.mscLoanPortfolioCreate(D3)</f>
        <v>MYPORTFOLIO:0</v>
      </c>
    </row>
    <row r="5" spans="2:17" x14ac:dyDescent="0.25">
      <c r="B5" s="1"/>
    </row>
    <row r="6" spans="2:17" x14ac:dyDescent="0.25">
      <c r="B6" s="1"/>
      <c r="C6" s="9" t="s">
        <v>1</v>
      </c>
      <c r="D6" s="13" t="str">
        <f ca="1">'Loans Data'!J5</f>
        <v>DF40KLOANS2:1</v>
      </c>
    </row>
    <row r="7" spans="2:17" x14ac:dyDescent="0.25">
      <c r="C7" s="11" t="s">
        <v>7</v>
      </c>
      <c r="D7" s="12" t="str">
        <f ca="1">_xll.mscLoanPortfolioSetPortfolioTape(D4,D6)</f>
        <v>MYPORTFOLIO:1</v>
      </c>
    </row>
    <row r="8" spans="2:17" x14ac:dyDescent="0.25">
      <c r="B8" s="1"/>
    </row>
    <row r="9" spans="2:17" x14ac:dyDescent="0.25">
      <c r="B9" s="1"/>
      <c r="C9" s="66" t="s">
        <v>8</v>
      </c>
      <c r="D9" s="28" t="str">
        <f ca="1">_xll.mscLoanPortfolioProjectLoans(D7)</f>
        <v>MYPORTFOLIO:2</v>
      </c>
      <c r="F9" s="46"/>
    </row>
    <row r="10" spans="2:17" x14ac:dyDescent="0.25">
      <c r="B10" s="1"/>
      <c r="C10" s="8"/>
      <c r="D10" s="2"/>
    </row>
    <row r="12" spans="2:17" x14ac:dyDescent="0.25">
      <c r="B12" s="1"/>
    </row>
    <row r="14" spans="2:17" x14ac:dyDescent="0.25">
      <c r="C14" s="1" t="s">
        <v>15</v>
      </c>
      <c r="D14" s="3" t="str">
        <f t="array" aca="1" ref="D14:Q386" ca="1">_xll.mscLoanPortfolioGetLoanProjection(D9, 0)</f>
        <v>Period</v>
      </c>
      <c r="E14" s="3" t="str">
        <f ca="1"/>
        <v>BalanceStart</v>
      </c>
      <c r="F14" s="3" t="str">
        <f ca="1"/>
        <v>DefaultBalance</v>
      </c>
      <c r="G14" s="3" t="str">
        <f ca="1"/>
        <v>LossGivenLoss</v>
      </c>
      <c r="H14" s="3" t="str">
        <f ca="1"/>
        <v>SeverityRecovered</v>
      </c>
      <c r="I14" s="6" t="str">
        <f ca="1"/>
        <v>Prepayment</v>
      </c>
      <c r="J14" s="3" t="str">
        <f ca="1"/>
        <v>BalanceAfterDefaultAndPrepayment</v>
      </c>
      <c r="K14" s="3" t="str">
        <f ca="1"/>
        <v>LoanPayment</v>
      </c>
      <c r="L14" s="3" t="str">
        <f ca="1"/>
        <v>InterestComponent</v>
      </c>
      <c r="M14" s="3" t="str">
        <f ca="1"/>
        <v>PrincipalComponent</v>
      </c>
      <c r="N14" s="3" t="str">
        <f ca="1"/>
        <v>BalanceEnd</v>
      </c>
      <c r="O14" s="3" t="str">
        <f ca="1"/>
        <v>SeverityRecoveredNoLag</v>
      </c>
      <c r="P14" s="3" t="str">
        <f ca="1"/>
        <v>RiskWeight</v>
      </c>
      <c r="Q14" s="3" t="str">
        <f ca="1"/>
        <v>KirbAmount</v>
      </c>
    </row>
    <row r="15" spans="2:17" x14ac:dyDescent="0.25">
      <c r="D15" s="3">
        <f ca="1"/>
        <v>1</v>
      </c>
      <c r="E15" s="4">
        <f ca="1"/>
        <v>7966109.1700000027</v>
      </c>
      <c r="F15" s="4">
        <f ca="1"/>
        <v>150798.51239365857</v>
      </c>
      <c r="G15" s="4">
        <f ca="1"/>
        <v>60319.404957463456</v>
      </c>
      <c r="H15" s="4">
        <f ca="1"/>
        <v>90479.107436195089</v>
      </c>
      <c r="I15" s="7">
        <f ca="1"/>
        <v>0</v>
      </c>
      <c r="J15" s="4">
        <f ca="1"/>
        <v>7815310.6576063391</v>
      </c>
      <c r="K15" s="4">
        <f ca="1"/>
        <v>337858.03704357037</v>
      </c>
      <c r="L15" s="4">
        <f ca="1"/>
        <v>331921.21541666653</v>
      </c>
      <c r="M15" s="4">
        <f ca="1"/>
        <v>12220.092976639649</v>
      </c>
      <c r="N15" s="4">
        <f ca="1"/>
        <v>7803090.5646297075</v>
      </c>
      <c r="O15" s="4">
        <f ca="1"/>
        <v>90479.107436195089</v>
      </c>
      <c r="P15" s="3">
        <f ca="1"/>
        <v>2.352192191550202</v>
      </c>
      <c r="Q15" s="3">
        <f ca="1"/>
        <v>0.27015137532401606</v>
      </c>
    </row>
    <row r="16" spans="2:17" x14ac:dyDescent="0.25">
      <c r="D16" s="3">
        <f ca="1"/>
        <v>2</v>
      </c>
      <c r="E16" s="4">
        <f ca="1"/>
        <v>7803090.5646297075</v>
      </c>
      <c r="F16" s="4">
        <f ca="1"/>
        <v>147712.56884735267</v>
      </c>
      <c r="G16" s="4">
        <f ca="1"/>
        <v>59085.027538941074</v>
      </c>
      <c r="H16" s="4">
        <f ca="1"/>
        <v>88627.541308411557</v>
      </c>
      <c r="I16" s="7">
        <f ca="1"/>
        <v>0</v>
      </c>
      <c r="J16" s="4">
        <f ca="1"/>
        <v>7655377.9957823418</v>
      </c>
      <c r="K16" s="4">
        <f ca="1"/>
        <v>331462.38161139522</v>
      </c>
      <c r="L16" s="4">
        <f ca="1"/>
        <v>325128.77352623764</v>
      </c>
      <c r="M16" s="4">
        <f ca="1"/>
        <v>12488.298453797357</v>
      </c>
      <c r="N16" s="4">
        <f ca="1"/>
        <v>7642889.6973285507</v>
      </c>
      <c r="O16" s="4">
        <f ca="1"/>
        <v>88627.541308411557</v>
      </c>
      <c r="P16" s="3">
        <f ca="1"/>
        <v>2.3521921915502042</v>
      </c>
      <c r="Q16" s="3">
        <f ca="1"/>
        <v>0.2701513753240164</v>
      </c>
    </row>
    <row r="17" spans="4:17" x14ac:dyDescent="0.25">
      <c r="D17" s="3">
        <f ca="1"/>
        <v>3</v>
      </c>
      <c r="E17" s="4">
        <f ca="1"/>
        <v>7642889.6973285507</v>
      </c>
      <c r="F17" s="4">
        <f ca="1"/>
        <v>144679.96510597217</v>
      </c>
      <c r="G17" s="4">
        <f ca="1"/>
        <v>57871.986042388846</v>
      </c>
      <c r="H17" s="4">
        <f ca="1"/>
        <v>86807.979063583276</v>
      </c>
      <c r="I17" s="7">
        <f ca="1"/>
        <v>0</v>
      </c>
      <c r="J17" s="4">
        <f ca="1"/>
        <v>7498209.7322225776</v>
      </c>
      <c r="K17" s="4">
        <f ca="1"/>
        <v>325187.79598938342</v>
      </c>
      <c r="L17" s="4">
        <f ca="1"/>
        <v>318453.73738868977</v>
      </c>
      <c r="M17" s="4">
        <f ca="1"/>
        <v>12762.390480109385</v>
      </c>
      <c r="N17" s="4">
        <f ca="1"/>
        <v>7485447.3417424699</v>
      </c>
      <c r="O17" s="4">
        <f ca="1"/>
        <v>86807.979063583276</v>
      </c>
      <c r="P17" s="3">
        <f ca="1"/>
        <v>2.3521921915502011</v>
      </c>
      <c r="Q17" s="3">
        <f ca="1"/>
        <v>0.27015137532401612</v>
      </c>
    </row>
    <row r="18" spans="4:17" x14ac:dyDescent="0.25">
      <c r="D18" s="3">
        <f ca="1"/>
        <v>4</v>
      </c>
      <c r="E18" s="4">
        <f ca="1"/>
        <v>7485447.3417424699</v>
      </c>
      <c r="F18" s="4">
        <f ca="1"/>
        <v>141699.58001414506</v>
      </c>
      <c r="G18" s="4">
        <f ca="1"/>
        <v>56679.832005658063</v>
      </c>
      <c r="H18" s="4">
        <f ca="1"/>
        <v>85019.748008487077</v>
      </c>
      <c r="I18" s="7">
        <f ca="1"/>
        <v>0</v>
      </c>
      <c r="J18" s="4">
        <f ca="1"/>
        <v>7343747.7617283277</v>
      </c>
      <c r="K18" s="4">
        <f ca="1"/>
        <v>319031.98832502903</v>
      </c>
      <c r="L18" s="4">
        <f ca="1"/>
        <v>311893.63923926977</v>
      </c>
      <c r="M18" s="4">
        <f ca="1"/>
        <v>13042.498253015381</v>
      </c>
      <c r="N18" s="4">
        <f ca="1"/>
        <v>7330705.2634753073</v>
      </c>
      <c r="O18" s="4">
        <f ca="1"/>
        <v>85019.748008487077</v>
      </c>
      <c r="P18" s="3">
        <f ca="1"/>
        <v>2.3521921915501998</v>
      </c>
      <c r="Q18" s="3">
        <f ca="1"/>
        <v>0.27015137532401584</v>
      </c>
    </row>
    <row r="19" spans="4:17" x14ac:dyDescent="0.25">
      <c r="D19" s="3">
        <f ca="1"/>
        <v>5</v>
      </c>
      <c r="E19" s="4">
        <f ca="1"/>
        <v>7330705.2634753073</v>
      </c>
      <c r="F19" s="4">
        <f ca="1"/>
        <v>138770.31119427143</v>
      </c>
      <c r="G19" s="4">
        <f ca="1"/>
        <v>55508.124477708581</v>
      </c>
      <c r="H19" s="4">
        <f ca="1"/>
        <v>83262.186716562835</v>
      </c>
      <c r="I19" s="7">
        <f ca="1"/>
        <v>0</v>
      </c>
      <c r="J19" s="4">
        <f ca="1"/>
        <v>7191934.9522810392</v>
      </c>
      <c r="K19" s="4">
        <f ca="1"/>
        <v>312992.71015061159</v>
      </c>
      <c r="L19" s="4">
        <f ca="1"/>
        <v>305446.0526448047</v>
      </c>
      <c r="M19" s="4">
        <f ca="1"/>
        <v>13328.753805568496</v>
      </c>
      <c r="N19" s="4">
        <f ca="1"/>
        <v>7178606.1984754689</v>
      </c>
      <c r="O19" s="4">
        <f ca="1"/>
        <v>83262.186716562835</v>
      </c>
      <c r="P19" s="3">
        <f ca="1"/>
        <v>2.3521921915502011</v>
      </c>
      <c r="Q19" s="3">
        <f ca="1"/>
        <v>0.2701513753240159</v>
      </c>
    </row>
    <row r="20" spans="4:17" x14ac:dyDescent="0.25">
      <c r="D20" s="3">
        <f ca="1"/>
        <v>6</v>
      </c>
      <c r="E20" s="4">
        <f ca="1"/>
        <v>7178606.1984754689</v>
      </c>
      <c r="F20" s="4">
        <f ca="1"/>
        <v>135891.0746373811</v>
      </c>
      <c r="G20" s="4">
        <f ca="1"/>
        <v>54356.42985495249</v>
      </c>
      <c r="H20" s="4">
        <f ca="1"/>
        <v>81534.644782428673</v>
      </c>
      <c r="I20" s="7">
        <f ca="1"/>
        <v>0</v>
      </c>
      <c r="J20" s="4">
        <f ca="1"/>
        <v>7042715.1238380885</v>
      </c>
      <c r="K20" s="4">
        <f ca="1"/>
        <v>307067.75556192489</v>
      </c>
      <c r="L20" s="4">
        <f ca="1"/>
        <v>299108.59160314454</v>
      </c>
      <c r="M20" s="4">
        <f ca="1"/>
        <v>13621.292068671242</v>
      </c>
      <c r="N20" s="4">
        <f ca="1"/>
        <v>7029093.8317694198</v>
      </c>
      <c r="O20" s="4">
        <f ca="1"/>
        <v>81534.644782428673</v>
      </c>
      <c r="P20" s="3">
        <f ca="1"/>
        <v>2.3521921915502007</v>
      </c>
      <c r="Q20" s="3">
        <f ca="1"/>
        <v>0.2701513753240159</v>
      </c>
    </row>
    <row r="21" spans="4:17" x14ac:dyDescent="0.25">
      <c r="D21" s="3">
        <f ca="1"/>
        <v>7</v>
      </c>
      <c r="E21" s="4">
        <f ca="1"/>
        <v>7029093.8317694198</v>
      </c>
      <c r="F21" s="4">
        <f ca="1"/>
        <v>133060.80430056032</v>
      </c>
      <c r="G21" s="4">
        <f ca="1"/>
        <v>53224.321720224136</v>
      </c>
      <c r="H21" s="4">
        <f ca="1"/>
        <v>79836.482580336218</v>
      </c>
      <c r="I21" s="7">
        <f ca="1"/>
        <v>0</v>
      </c>
      <c r="J21" s="4">
        <f ca="1"/>
        <v>6896033.0274688527</v>
      </c>
      <c r="K21" s="4">
        <f ca="1"/>
        <v>301254.96041254624</v>
      </c>
      <c r="L21" s="4">
        <f ca="1"/>
        <v>292878.909657059</v>
      </c>
      <c r="M21" s="4">
        <f ca="1"/>
        <v>13920.250934677102</v>
      </c>
      <c r="N21" s="4">
        <f ca="1"/>
        <v>6882112.776534183</v>
      </c>
      <c r="O21" s="4">
        <f ca="1"/>
        <v>79836.482580336218</v>
      </c>
      <c r="P21" s="3">
        <f ca="1"/>
        <v>2.3521921915501998</v>
      </c>
      <c r="Q21" s="3">
        <f ca="1"/>
        <v>0.27015137532401601</v>
      </c>
    </row>
    <row r="22" spans="4:17" x14ac:dyDescent="0.25">
      <c r="D22" s="3">
        <f ca="1"/>
        <v>8</v>
      </c>
      <c r="E22" s="4">
        <f ca="1"/>
        <v>6882112.776534183</v>
      </c>
      <c r="F22" s="4">
        <f ca="1"/>
        <v>130278.45171079242</v>
      </c>
      <c r="G22" s="4">
        <f ca="1"/>
        <v>52111.380684316886</v>
      </c>
      <c r="H22" s="4">
        <f ca="1"/>
        <v>78167.071026475372</v>
      </c>
      <c r="I22" s="7">
        <f ca="1"/>
        <v>0</v>
      </c>
      <c r="J22" s="4">
        <f ca="1"/>
        <v>6751834.3248233879</v>
      </c>
      <c r="K22" s="4">
        <f ca="1"/>
        <v>295552.20152336289</v>
      </c>
      <c r="L22" s="4">
        <f ca="1"/>
        <v>286754.69902225758</v>
      </c>
      <c r="M22" s="4">
        <f ca="1"/>
        <v>14225.771322388322</v>
      </c>
      <c r="N22" s="4">
        <f ca="1"/>
        <v>6737608.5535009997</v>
      </c>
      <c r="O22" s="4">
        <f ca="1"/>
        <v>78167.071026475372</v>
      </c>
      <c r="P22" s="3">
        <f ca="1"/>
        <v>2.3521921915502002</v>
      </c>
      <c r="Q22" s="3">
        <f ca="1"/>
        <v>0.27015137532401612</v>
      </c>
    </row>
    <row r="23" spans="4:17" x14ac:dyDescent="0.25">
      <c r="D23" s="3">
        <f ca="1"/>
        <v>9</v>
      </c>
      <c r="E23" s="4">
        <f ca="1"/>
        <v>6737608.5535009997</v>
      </c>
      <c r="F23" s="4">
        <f ca="1"/>
        <v>127542.98557506963</v>
      </c>
      <c r="G23" s="4">
        <f ca="1"/>
        <v>51017.194230027853</v>
      </c>
      <c r="H23" s="4">
        <f ca="1"/>
        <v>76525.791345041755</v>
      </c>
      <c r="I23" s="7">
        <f ca="1"/>
        <v>0</v>
      </c>
      <c r="J23" s="4">
        <f ca="1"/>
        <v>6610065.5679259263</v>
      </c>
      <c r="K23" s="4">
        <f ca="1"/>
        <v>289957.39590706048</v>
      </c>
      <c r="L23" s="4">
        <f ca="1"/>
        <v>280733.68972920836</v>
      </c>
      <c r="M23" s="4">
        <f ca="1"/>
        <v>14537.997243480031</v>
      </c>
      <c r="N23" s="4">
        <f ca="1"/>
        <v>6595527.5706824483</v>
      </c>
      <c r="O23" s="4">
        <f ca="1"/>
        <v>76525.791345041755</v>
      </c>
      <c r="P23" s="3">
        <f ca="1"/>
        <v>2.3521921915502011</v>
      </c>
      <c r="Q23" s="3">
        <f ca="1"/>
        <v>0.2701513753240159</v>
      </c>
    </row>
    <row r="24" spans="4:17" x14ac:dyDescent="0.25">
      <c r="D24" s="3">
        <f ca="1"/>
        <v>10</v>
      </c>
      <c r="E24" s="4">
        <f ca="1"/>
        <v>6595527.5706824483</v>
      </c>
      <c r="F24" s="4">
        <f ca="1"/>
        <v>124853.39139662751</v>
      </c>
      <c r="G24" s="4">
        <f ca="1"/>
        <v>49941.35655865103</v>
      </c>
      <c r="H24" s="4">
        <f ca="1"/>
        <v>74912.034837976535</v>
      </c>
      <c r="I24" s="7">
        <f ca="1"/>
        <v>0</v>
      </c>
      <c r="J24" s="4">
        <f ca="1"/>
        <v>6470674.1792858206</v>
      </c>
      <c r="K24" s="4">
        <f ca="1"/>
        <v>284468.50000729144</v>
      </c>
      <c r="L24" s="4">
        <f ca="1"/>
        <v>274813.64877843537</v>
      </c>
      <c r="M24" s="4">
        <f ca="1"/>
        <v>14857.075870382361</v>
      </c>
      <c r="N24" s="4">
        <f ca="1"/>
        <v>6455817.103415438</v>
      </c>
      <c r="O24" s="4">
        <f ca="1"/>
        <v>74912.034837976535</v>
      </c>
      <c r="P24" s="3">
        <f ca="1"/>
        <v>2.3521921915502002</v>
      </c>
      <c r="Q24" s="3">
        <f ca="1"/>
        <v>0.27015137532401595</v>
      </c>
    </row>
    <row r="25" spans="4:17" x14ac:dyDescent="0.25">
      <c r="D25" s="3">
        <f ca="1"/>
        <v>11</v>
      </c>
      <c r="E25" s="4">
        <f ca="1"/>
        <v>6455817.103415438</v>
      </c>
      <c r="F25" s="4">
        <f ca="1"/>
        <v>122208.67109715818</v>
      </c>
      <c r="G25" s="4">
        <f ca="1"/>
        <v>48883.468438863252</v>
      </c>
      <c r="H25" s="4">
        <f ca="1"/>
        <v>73325.202658294933</v>
      </c>
      <c r="I25" s="7">
        <f ca="1"/>
        <v>0</v>
      </c>
      <c r="J25" s="4">
        <f ca="1"/>
        <v>6333608.432318286</v>
      </c>
      <c r="K25" s="4">
        <f ca="1"/>
        <v>279083.50895224739</v>
      </c>
      <c r="L25" s="4">
        <f ca="1"/>
        <v>268992.37930897676</v>
      </c>
      <c r="M25" s="4">
        <f ca="1"/>
        <v>15183.157605652417</v>
      </c>
      <c r="N25" s="4">
        <f ca="1"/>
        <v>6318425.2747126305</v>
      </c>
      <c r="O25" s="4">
        <f ca="1"/>
        <v>73325.202658294933</v>
      </c>
      <c r="P25" s="3">
        <f ca="1"/>
        <v>2.3521921915501984</v>
      </c>
      <c r="Q25" s="3">
        <f ca="1"/>
        <v>0.27015137532401567</v>
      </c>
    </row>
    <row r="26" spans="4:17" x14ac:dyDescent="0.25">
      <c r="D26" s="3">
        <f ca="1"/>
        <v>12</v>
      </c>
      <c r="E26" s="4">
        <f ca="1"/>
        <v>6318425.2747126305</v>
      </c>
      <c r="F26" s="4">
        <f ca="1"/>
        <v>119607.84264486263</v>
      </c>
      <c r="G26" s="4">
        <f ca="1"/>
        <v>47843.137057945052</v>
      </c>
      <c r="H26" s="4">
        <f ca="1"/>
        <v>71764.70558691764</v>
      </c>
      <c r="I26" s="7">
        <f ca="1"/>
        <v>0</v>
      </c>
      <c r="J26" s="4">
        <f ca="1"/>
        <v>6198817.4320677686</v>
      </c>
      <c r="K26" s="4">
        <f ca="1"/>
        <v>273800.45582235896</v>
      </c>
      <c r="L26" s="4">
        <f ca="1"/>
        <v>263267.71977969276</v>
      </c>
      <c r="M26" s="4">
        <f ca="1"/>
        <v>15516.396152868818</v>
      </c>
      <c r="N26" s="4">
        <f ca="1"/>
        <v>6183301.0359148951</v>
      </c>
      <c r="O26" s="4">
        <f ca="1"/>
        <v>71764.70558691764</v>
      </c>
      <c r="P26" s="3">
        <f ca="1"/>
        <v>2.3521921915502015</v>
      </c>
      <c r="Q26" s="3">
        <f ca="1"/>
        <v>0.27015137532401584</v>
      </c>
    </row>
    <row r="27" spans="4:17" x14ac:dyDescent="0.25">
      <c r="D27" s="3">
        <f ca="1"/>
        <v>13</v>
      </c>
      <c r="E27" s="4">
        <f ca="1"/>
        <v>6183301.0359148951</v>
      </c>
      <c r="F27" s="4">
        <f ca="1"/>
        <v>117049.9396882022</v>
      </c>
      <c r="G27" s="4">
        <f ca="1"/>
        <v>46819.975875280841</v>
      </c>
      <c r="H27" s="4">
        <f ca="1"/>
        <v>70229.963812921254</v>
      </c>
      <c r="I27" s="7">
        <f ca="1"/>
        <v>0</v>
      </c>
      <c r="J27" s="4">
        <f ca="1"/>
        <v>6066251.0962266997</v>
      </c>
      <c r="K27" s="4">
        <f ca="1"/>
        <v>268617.41093186109</v>
      </c>
      <c r="L27" s="4">
        <f ca="1"/>
        <v>257637.54316312066</v>
      </c>
      <c r="M27" s="4">
        <f ca="1"/>
        <v>15856.948589082154</v>
      </c>
      <c r="N27" s="4">
        <f ca="1"/>
        <v>6050394.147637614</v>
      </c>
      <c r="O27" s="4">
        <f ca="1"/>
        <v>70229.963812921254</v>
      </c>
      <c r="P27" s="3">
        <f ca="1"/>
        <v>2.3521921915501993</v>
      </c>
      <c r="Q27" s="3">
        <f ca="1"/>
        <v>0.27015137532401573</v>
      </c>
    </row>
    <row r="28" spans="4:17" x14ac:dyDescent="0.25">
      <c r="D28" s="3">
        <f ca="1"/>
        <v>14</v>
      </c>
      <c r="E28" s="4">
        <f ca="1"/>
        <v>6050394.147637614</v>
      </c>
      <c r="F28" s="4">
        <f ca="1"/>
        <v>114534.01119521064</v>
      </c>
      <c r="G28" s="4">
        <f ca="1"/>
        <v>45813.604478084249</v>
      </c>
      <c r="H28" s="4">
        <f ca="1"/>
        <v>68720.406717126345</v>
      </c>
      <c r="I28" s="7">
        <f ca="1"/>
        <v>0</v>
      </c>
      <c r="J28" s="4">
        <f ca="1"/>
        <v>5935860.1364424005</v>
      </c>
      <c r="K28" s="4">
        <f ca="1"/>
        <v>263532.4811239558</v>
      </c>
      <c r="L28" s="4">
        <f ca="1"/>
        <v>252099.75615156718</v>
      </c>
      <c r="M28" s="4">
        <f ca="1"/>
        <v>16204.975438855719</v>
      </c>
      <c r="N28" s="4">
        <f ca="1"/>
        <v>5919655.161003544</v>
      </c>
      <c r="O28" s="4">
        <f ca="1"/>
        <v>68720.406717126345</v>
      </c>
      <c r="P28" s="3">
        <f ca="1"/>
        <v>2.352192191550202</v>
      </c>
      <c r="Q28" s="3">
        <f ca="1"/>
        <v>0.27015137532401606</v>
      </c>
    </row>
    <row r="29" spans="4:17" x14ac:dyDescent="0.25">
      <c r="D29" s="3">
        <f ca="1"/>
        <v>15</v>
      </c>
      <c r="E29" s="4">
        <f ca="1"/>
        <v>5919655.161003544</v>
      </c>
      <c r="F29" s="4">
        <f ca="1"/>
        <v>112059.12109823349</v>
      </c>
      <c r="G29" s="4">
        <f ca="1"/>
        <v>44823.648439293371</v>
      </c>
      <c r="H29" s="4">
        <f ca="1"/>
        <v>67235.472658940096</v>
      </c>
      <c r="I29" s="7">
        <f ca="1"/>
        <v>0</v>
      </c>
      <c r="J29" s="4">
        <f ca="1"/>
        <v>5807596.0399053106</v>
      </c>
      <c r="K29" s="4">
        <f ca="1"/>
        <v>258543.80907931924</v>
      </c>
      <c r="L29" s="4">
        <f ca="1"/>
        <v>246652.2983751478</v>
      </c>
      <c r="M29" s="4">
        <f ca="1"/>
        <v>16560.640749931146</v>
      </c>
      <c r="N29" s="4">
        <f ca="1"/>
        <v>5791035.3991553821</v>
      </c>
      <c r="O29" s="4">
        <f ca="1"/>
        <v>67235.472658940096</v>
      </c>
      <c r="P29" s="3">
        <f ca="1"/>
        <v>2.3521921915502007</v>
      </c>
      <c r="Q29" s="3">
        <f ca="1"/>
        <v>0.27015137532401623</v>
      </c>
    </row>
    <row r="30" spans="4:17" x14ac:dyDescent="0.25">
      <c r="D30" s="3">
        <f ca="1"/>
        <v>16</v>
      </c>
      <c r="E30" s="4">
        <f ca="1"/>
        <v>5791035.3991553821</v>
      </c>
      <c r="F30" s="4">
        <f ca="1"/>
        <v>109624.34794395976</v>
      </c>
      <c r="G30" s="4">
        <f ca="1"/>
        <v>43849.739177583906</v>
      </c>
      <c r="H30" s="4">
        <f ca="1"/>
        <v>65774.608766375837</v>
      </c>
      <c r="I30" s="7">
        <f ca="1"/>
        <v>0</v>
      </c>
      <c r="J30" s="4">
        <f ca="1"/>
        <v>5681411.0512114251</v>
      </c>
      <c r="K30" s="4">
        <f ca="1"/>
        <v>253649.57263769742</v>
      </c>
      <c r="L30" s="4">
        <f ca="1"/>
        <v>241293.14163147428</v>
      </c>
      <c r="M30" s="4">
        <f ca="1"/>
        <v>16924.112170554828</v>
      </c>
      <c r="N30" s="4">
        <f ca="1"/>
        <v>5664486.9390408695</v>
      </c>
      <c r="O30" s="4">
        <f ca="1"/>
        <v>65774.608766375837</v>
      </c>
      <c r="P30" s="3">
        <f ca="1"/>
        <v>2.3521921915502011</v>
      </c>
      <c r="Q30" s="3">
        <f ca="1"/>
        <v>0.27015137532401579</v>
      </c>
    </row>
    <row r="31" spans="4:17" x14ac:dyDescent="0.25">
      <c r="D31" s="3">
        <f ca="1"/>
        <v>17</v>
      </c>
      <c r="E31" s="4">
        <f ca="1"/>
        <v>5664486.9390408695</v>
      </c>
      <c r="F31" s="4">
        <f ca="1"/>
        <v>107228.78454861441</v>
      </c>
      <c r="G31" s="4">
        <f ca="1"/>
        <v>42891.513819445754</v>
      </c>
      <c r="H31" s="4">
        <f ca="1"/>
        <v>64337.270729168602</v>
      </c>
      <c r="I31" s="7">
        <f ca="1"/>
        <v>0</v>
      </c>
      <c r="J31" s="4">
        <f ca="1"/>
        <v>5557258.1544922525</v>
      </c>
      <c r="K31" s="4">
        <f ca="1"/>
        <v>248847.98413234518</v>
      </c>
      <c r="L31" s="4">
        <f ca="1"/>
        <v>236020.28912670282</v>
      </c>
      <c r="M31" s="4">
        <f ca="1"/>
        <v>17295.561028501445</v>
      </c>
      <c r="N31" s="4">
        <f ca="1"/>
        <v>5539962.5934637543</v>
      </c>
      <c r="O31" s="4">
        <f ca="1"/>
        <v>64337.270729168602</v>
      </c>
      <c r="P31" s="3">
        <f ca="1"/>
        <v>2.3521921915501989</v>
      </c>
      <c r="Q31" s="3">
        <f ca="1"/>
        <v>0.27015137532401617</v>
      </c>
    </row>
    <row r="32" spans="4:17" x14ac:dyDescent="0.25">
      <c r="D32" s="3">
        <f ca="1"/>
        <v>18</v>
      </c>
      <c r="E32" s="4">
        <f ca="1"/>
        <v>5539962.5934637543</v>
      </c>
      <c r="F32" s="4">
        <f ca="1"/>
        <v>104871.53765818255</v>
      </c>
      <c r="G32" s="4">
        <f ca="1"/>
        <v>41948.615063273035</v>
      </c>
      <c r="H32" s="4">
        <f ca="1"/>
        <v>62922.92259490952</v>
      </c>
      <c r="I32" s="7">
        <f ca="1"/>
        <v>0</v>
      </c>
      <c r="J32" s="4">
        <f ca="1"/>
        <v>5435091.0558055686</v>
      </c>
      <c r="K32" s="4">
        <f ca="1"/>
        <v>244137.28973706401</v>
      </c>
      <c r="L32" s="4">
        <f ca="1"/>
        <v>230831.77472765633</v>
      </c>
      <c r="M32" s="4">
        <f ca="1"/>
        <v>17675.162411831912</v>
      </c>
      <c r="N32" s="4">
        <f ca="1"/>
        <v>5417415.8933937401</v>
      </c>
      <c r="O32" s="4">
        <f ca="1"/>
        <v>62922.92259490952</v>
      </c>
      <c r="P32" s="3">
        <f ca="1"/>
        <v>2.3521921915501998</v>
      </c>
      <c r="Q32" s="3">
        <f ca="1"/>
        <v>0.27015137532401612</v>
      </c>
    </row>
    <row r="33" spans="4:17" x14ac:dyDescent="0.25">
      <c r="D33" s="3">
        <f ca="1"/>
        <v>19</v>
      </c>
      <c r="E33" s="4">
        <f ca="1"/>
        <v>5417415.8933937401</v>
      </c>
      <c r="F33" s="4">
        <f ca="1"/>
        <v>102551.72761353687</v>
      </c>
      <c r="G33" s="4">
        <f ca="1"/>
        <v>41020.691045414707</v>
      </c>
      <c r="H33" s="4">
        <f ca="1"/>
        <v>61531.036568122116</v>
      </c>
      <c r="I33" s="7">
        <f ca="1"/>
        <v>0</v>
      </c>
      <c r="J33" s="4">
        <f ca="1"/>
        <v>5314864.1657802016</v>
      </c>
      <c r="K33" s="4">
        <f ca="1"/>
        <v>239515.76882559885</v>
      </c>
      <c r="L33" s="4">
        <f ca="1"/>
        <v>225725.66222473898</v>
      </c>
      <c r="M33" s="4">
        <f ca="1"/>
        <v>18063.095251423856</v>
      </c>
      <c r="N33" s="4">
        <f ca="1"/>
        <v>5296801.0705287755</v>
      </c>
      <c r="O33" s="4">
        <f ca="1"/>
        <v>61531.036568122116</v>
      </c>
      <c r="P33" s="3">
        <f ca="1"/>
        <v>2.3521921915502002</v>
      </c>
      <c r="Q33" s="3">
        <f ca="1"/>
        <v>0.27015137532401612</v>
      </c>
    </row>
    <row r="34" spans="4:17" x14ac:dyDescent="0.25">
      <c r="D34" s="3">
        <f ca="1"/>
        <v>20</v>
      </c>
      <c r="E34" s="4">
        <f ca="1"/>
        <v>5296801.0705287755</v>
      </c>
      <c r="F34" s="4">
        <f ca="1"/>
        <v>100268.48802034144</v>
      </c>
      <c r="G34" s="4">
        <f ca="1"/>
        <v>40107.39520813663</v>
      </c>
      <c r="H34" s="4">
        <f ca="1"/>
        <v>60161.092812204915</v>
      </c>
      <c r="I34" s="7">
        <f ca="1"/>
        <v>0</v>
      </c>
      <c r="J34" s="4">
        <f ca="1"/>
        <v>5196532.5825084345</v>
      </c>
      <c r="K34" s="4">
        <f ca="1"/>
        <v>234981.7333431647</v>
      </c>
      <c r="L34" s="4">
        <f ca="1"/>
        <v>220700.04460536563</v>
      </c>
      <c r="M34" s="4">
        <f ca="1"/>
        <v>18459.54240531331</v>
      </c>
      <c r="N34" s="4">
        <f ca="1"/>
        <v>5178073.0401031198</v>
      </c>
      <c r="O34" s="4">
        <f ca="1"/>
        <v>60161.092812204915</v>
      </c>
      <c r="P34" s="3">
        <f ca="1"/>
        <v>2.3521921915502011</v>
      </c>
      <c r="Q34" s="3">
        <f ca="1"/>
        <v>0.27015137532401612</v>
      </c>
    </row>
    <row r="35" spans="4:17" x14ac:dyDescent="0.25">
      <c r="D35" s="3">
        <f ca="1"/>
        <v>21</v>
      </c>
      <c r="E35" s="4">
        <f ca="1"/>
        <v>5178073.0401031198</v>
      </c>
      <c r="F35" s="4">
        <f ca="1"/>
        <v>98020.96542360833</v>
      </c>
      <c r="G35" s="4">
        <f ca="1"/>
        <v>39208.386169443351</v>
      </c>
      <c r="H35" s="4">
        <f ca="1"/>
        <v>58812.579254165015</v>
      </c>
      <c r="I35" s="7">
        <f ca="1"/>
        <v>0</v>
      </c>
      <c r="J35" s="4">
        <f ca="1"/>
        <v>5080052.0746795135</v>
      </c>
      <c r="K35" s="4">
        <f ca="1"/>
        <v>230533.52718986737</v>
      </c>
      <c r="L35" s="4">
        <f ca="1"/>
        <v>215753.04333763005</v>
      </c>
      <c r="M35" s="4">
        <f ca="1"/>
        <v>18864.690744887681</v>
      </c>
      <c r="N35" s="4">
        <f ca="1"/>
        <v>5061187.3839346264</v>
      </c>
      <c r="O35" s="4">
        <f ca="1"/>
        <v>58812.579254165015</v>
      </c>
      <c r="P35" s="3">
        <f ca="1"/>
        <v>2.3521921915501989</v>
      </c>
      <c r="Q35" s="3">
        <f ca="1"/>
        <v>0.27015137532401612</v>
      </c>
    </row>
    <row r="36" spans="4:17" x14ac:dyDescent="0.25">
      <c r="D36" s="3">
        <f ca="1"/>
        <v>22</v>
      </c>
      <c r="E36" s="4">
        <f ca="1"/>
        <v>5061187.3839346264</v>
      </c>
      <c r="F36" s="4">
        <f ca="1"/>
        <v>95808.3189867826</v>
      </c>
      <c r="G36" s="4">
        <f ca="1"/>
        <v>38323.327594713061</v>
      </c>
      <c r="H36" s="4">
        <f ca="1"/>
        <v>57484.991392069518</v>
      </c>
      <c r="I36" s="7">
        <f ca="1"/>
        <v>0</v>
      </c>
      <c r="J36" s="4">
        <f ca="1"/>
        <v>4965379.0649478417</v>
      </c>
      <c r="K36" s="4">
        <f ca="1"/>
        <v>226169.52561579715</v>
      </c>
      <c r="L36" s="4">
        <f ca="1"/>
        <v>210882.80766394266</v>
      </c>
      <c r="M36" s="4">
        <f ca="1"/>
        <v>19278.731242970425</v>
      </c>
      <c r="N36" s="4">
        <f ca="1"/>
        <v>4946100.3337048739</v>
      </c>
      <c r="O36" s="4">
        <f ca="1"/>
        <v>57484.991392069518</v>
      </c>
      <c r="P36" s="3">
        <f ca="1"/>
        <v>2.3521921915502011</v>
      </c>
      <c r="Q36" s="3">
        <f ca="1"/>
        <v>0.27015137532401617</v>
      </c>
    </row>
    <row r="37" spans="4:17" x14ac:dyDescent="0.25">
      <c r="D37" s="3">
        <f ca="1"/>
        <v>23</v>
      </c>
      <c r="E37" s="4">
        <f ca="1"/>
        <v>4946100.3337048739</v>
      </c>
      <c r="F37" s="4">
        <f ca="1"/>
        <v>93629.720175234921</v>
      </c>
      <c r="G37" s="4">
        <f ca="1"/>
        <v>37451.888070093955</v>
      </c>
      <c r="H37" s="4">
        <f ca="1"/>
        <v>56177.832105140944</v>
      </c>
      <c r="I37" s="7">
        <f ca="1"/>
        <v>0</v>
      </c>
      <c r="J37" s="4">
        <f ca="1"/>
        <v>4852470.6135296356</v>
      </c>
      <c r="K37" s="4">
        <f ca="1"/>
        <v>221888.1346275738</v>
      </c>
      <c r="L37" s="4">
        <f ca="1"/>
        <v>206087.51390436961</v>
      </c>
      <c r="M37" s="4">
        <f ca="1"/>
        <v>19701.859063838896</v>
      </c>
      <c r="N37" s="4">
        <f ca="1"/>
        <v>4832768.7544657988</v>
      </c>
      <c r="O37" s="4">
        <f ca="1"/>
        <v>56177.832105140944</v>
      </c>
      <c r="P37" s="3">
        <f ca="1"/>
        <v>2.3521921915502011</v>
      </c>
      <c r="Q37" s="3">
        <f ca="1"/>
        <v>0.27015137532401612</v>
      </c>
    </row>
    <row r="38" spans="4:17" x14ac:dyDescent="0.25">
      <c r="D38" s="3">
        <f ca="1"/>
        <v>24</v>
      </c>
      <c r="E38" s="4">
        <f ca="1"/>
        <v>4832768.7544657988</v>
      </c>
      <c r="F38" s="4">
        <f ca="1"/>
        <v>91484.352444042204</v>
      </c>
      <c r="G38" s="4">
        <f ca="1"/>
        <v>36593.740977616879</v>
      </c>
      <c r="H38" s="4">
        <f ca="1"/>
        <v>54890.611466425289</v>
      </c>
      <c r="I38" s="7">
        <f ca="1"/>
        <v>0</v>
      </c>
      <c r="J38" s="4">
        <f ca="1"/>
        <v>4741284.4020217545</v>
      </c>
      <c r="K38" s="4">
        <f ca="1"/>
        <v>217687.79040612475</v>
      </c>
      <c r="L38" s="4">
        <f ca="1"/>
        <v>201365.36476940813</v>
      </c>
      <c r="M38" s="4">
        <f ca="1"/>
        <v>20134.27365521824</v>
      </c>
      <c r="N38" s="4">
        <f ca="1"/>
        <v>4721150.1283665402</v>
      </c>
      <c r="O38" s="4">
        <f ca="1"/>
        <v>54890.611466425289</v>
      </c>
      <c r="P38" s="3">
        <f ca="1"/>
        <v>2.3521921915502002</v>
      </c>
      <c r="Q38" s="3">
        <f ca="1"/>
        <v>0.2701513753240159</v>
      </c>
    </row>
    <row r="39" spans="4:17" x14ac:dyDescent="0.25">
      <c r="D39" s="3">
        <f ca="1"/>
        <v>25</v>
      </c>
      <c r="E39" s="4">
        <f ca="1"/>
        <v>4721150.1283665402</v>
      </c>
      <c r="F39" s="4">
        <f ca="1"/>
        <v>89371.410929936363</v>
      </c>
      <c r="G39" s="4">
        <f ca="1"/>
        <v>35748.564371974528</v>
      </c>
      <c r="H39" s="4">
        <f ca="1"/>
        <v>53622.846557961813</v>
      </c>
      <c r="I39" s="7">
        <f ca="1"/>
        <v>0</v>
      </c>
      <c r="J39" s="4">
        <f ca="1"/>
        <v>4631778.7174366042</v>
      </c>
      <c r="K39" s="4">
        <f ca="1"/>
        <v>213566.95873548544</v>
      </c>
      <c r="L39" s="4">
        <f ca="1"/>
        <v>196714.58868193897</v>
      </c>
      <c r="M39" s="4">
        <f ca="1"/>
        <v>20576.178842293702</v>
      </c>
      <c r="N39" s="4">
        <f ca="1"/>
        <v>4611202.5385943074</v>
      </c>
      <c r="O39" s="4">
        <f ca="1"/>
        <v>53622.846557961813</v>
      </c>
      <c r="P39" s="3">
        <f ca="1"/>
        <v>2.3521921915501989</v>
      </c>
      <c r="Q39" s="3">
        <f ca="1"/>
        <v>0.27015137532401579</v>
      </c>
    </row>
    <row r="40" spans="4:17" x14ac:dyDescent="0.25">
      <c r="D40" s="3">
        <f ca="1"/>
        <v>26</v>
      </c>
      <c r="E40" s="4">
        <f ca="1"/>
        <v>4611202.5385943074</v>
      </c>
      <c r="F40" s="4">
        <f ca="1"/>
        <v>87290.102147305108</v>
      </c>
      <c r="G40" s="4">
        <f ca="1"/>
        <v>34916.040858922046</v>
      </c>
      <c r="H40" s="4">
        <f ca="1"/>
        <v>52374.06128838304</v>
      </c>
      <c r="I40" s="7">
        <f ca="1"/>
        <v>0</v>
      </c>
      <c r="J40" s="4">
        <f ca="1"/>
        <v>4523912.4364470029</v>
      </c>
      <c r="K40" s="4">
        <f ca="1"/>
        <v>209524.13444241221</v>
      </c>
      <c r="L40" s="4">
        <f ca="1"/>
        <v>192133.43910809621</v>
      </c>
      <c r="M40" s="4">
        <f ca="1"/>
        <v>21027.782923787141</v>
      </c>
      <c r="N40" s="4">
        <f ca="1"/>
        <v>4502884.653523216</v>
      </c>
      <c r="O40" s="4">
        <f ca="1"/>
        <v>52374.06128838304</v>
      </c>
      <c r="P40" s="3">
        <f ca="1"/>
        <v>2.3521921915502002</v>
      </c>
      <c r="Q40" s="3">
        <f ca="1"/>
        <v>0.27015137532401595</v>
      </c>
    </row>
    <row r="41" spans="4:17" x14ac:dyDescent="0.25">
      <c r="D41" s="3">
        <f ca="1"/>
        <v>27</v>
      </c>
      <c r="E41" s="4">
        <f ca="1"/>
        <v>4502884.653523216</v>
      </c>
      <c r="F41" s="4">
        <f ca="1"/>
        <v>85239.643688128781</v>
      </c>
      <c r="G41" s="4">
        <f ca="1"/>
        <v>34095.857475251527</v>
      </c>
      <c r="H41" s="4">
        <f ca="1"/>
        <v>51143.786212877283</v>
      </c>
      <c r="I41" s="7">
        <f ca="1"/>
        <v>0</v>
      </c>
      <c r="J41" s="4">
        <f ca="1"/>
        <v>4417645.0098350858</v>
      </c>
      <c r="K41" s="4">
        <f ca="1"/>
        <v>205557.84084660345</v>
      </c>
      <c r="L41" s="4">
        <f ca="1"/>
        <v>187620.19389680063</v>
      </c>
      <c r="M41" s="4">
        <f ca="1"/>
        <v>21489.2987701415</v>
      </c>
      <c r="N41" s="4">
        <f ca="1"/>
        <v>4396155.7110649459</v>
      </c>
      <c r="O41" s="4">
        <f ca="1"/>
        <v>51143.786212877283</v>
      </c>
      <c r="P41" s="3">
        <f ca="1"/>
        <v>2.3521921915502007</v>
      </c>
      <c r="Q41" s="3">
        <f ca="1"/>
        <v>0.27015137532401601</v>
      </c>
    </row>
    <row r="42" spans="4:17" x14ac:dyDescent="0.25">
      <c r="D42" s="3">
        <f ca="1"/>
        <v>28</v>
      </c>
      <c r="E42" s="4">
        <f ca="1"/>
        <v>4396155.7110649459</v>
      </c>
      <c r="F42" s="4">
        <f ca="1"/>
        <v>83219.263925739055</v>
      </c>
      <c r="G42" s="4">
        <f ca="1"/>
        <v>33287.705570295606</v>
      </c>
      <c r="H42" s="4">
        <f ca="1"/>
        <v>49931.558355443412</v>
      </c>
      <c r="I42" s="7">
        <f ca="1"/>
        <v>0</v>
      </c>
      <c r="J42" s="4">
        <f ca="1"/>
        <v>4312936.4471392054</v>
      </c>
      <c r="K42" s="4">
        <f ca="1"/>
        <v>201666.62922132775</v>
      </c>
      <c r="L42" s="4">
        <f ca="1"/>
        <v>183173.15462770607</v>
      </c>
      <c r="M42" s="4">
        <f ca="1"/>
        <v>21960.943923860719</v>
      </c>
      <c r="N42" s="4">
        <f ca="1"/>
        <v>4290975.5032153465</v>
      </c>
      <c r="O42" s="4">
        <f ca="1"/>
        <v>49931.558355443412</v>
      </c>
      <c r="P42" s="3">
        <f ca="1"/>
        <v>2.3521921915502011</v>
      </c>
      <c r="Q42" s="3">
        <f ca="1"/>
        <v>0.27015137532401617</v>
      </c>
    </row>
    <row r="43" spans="4:17" x14ac:dyDescent="0.25">
      <c r="D43" s="3">
        <f ca="1"/>
        <v>29</v>
      </c>
      <c r="E43" s="4">
        <f ca="1"/>
        <v>4290975.5032153465</v>
      </c>
      <c r="F43" s="4">
        <f ca="1"/>
        <v>81228.201722285055</v>
      </c>
      <c r="G43" s="4">
        <f ca="1"/>
        <v>32491.280688913997</v>
      </c>
      <c r="H43" s="4">
        <f ca="1"/>
        <v>48736.921033371007</v>
      </c>
      <c r="I43" s="7">
        <f ca="1"/>
        <v>0</v>
      </c>
      <c r="J43" s="4">
        <f ca="1"/>
        <v>4209747.3014930608</v>
      </c>
      <c r="K43" s="4">
        <f ca="1"/>
        <v>197849.07826426235</v>
      </c>
      <c r="L43" s="4">
        <f ca="1"/>
        <v>178790.64596730616</v>
      </c>
      <c r="M43" s="4">
        <f ca="1"/>
        <v>22442.940702051543</v>
      </c>
      <c r="N43" s="4">
        <f ca="1"/>
        <v>4187304.3607910108</v>
      </c>
      <c r="O43" s="4">
        <f ca="1"/>
        <v>48736.921033371007</v>
      </c>
      <c r="P43" s="3">
        <f ca="1"/>
        <v>2.3521921915501998</v>
      </c>
      <c r="Q43" s="3">
        <f ca="1"/>
        <v>0.27015137532401595</v>
      </c>
    </row>
    <row r="44" spans="4:17" x14ac:dyDescent="0.25">
      <c r="D44" s="3">
        <f ca="1"/>
        <v>30</v>
      </c>
      <c r="E44" s="4">
        <f ca="1"/>
        <v>4187304.3607910108</v>
      </c>
      <c r="F44" s="4">
        <f ca="1"/>
        <v>79265.706139797127</v>
      </c>
      <c r="G44" s="4">
        <f ca="1"/>
        <v>31706.282455918878</v>
      </c>
      <c r="H44" s="4">
        <f ca="1"/>
        <v>47559.423683878304</v>
      </c>
      <c r="I44" s="7">
        <f ca="1"/>
        <v>0</v>
      </c>
      <c r="J44" s="4">
        <f ca="1"/>
        <v>4108038.654651212</v>
      </c>
      <c r="K44" s="4">
        <f ca="1"/>
        <v>194103.79357834996</v>
      </c>
      <c r="L44" s="4">
        <f ca="1"/>
        <v>174471.01503295888</v>
      </c>
      <c r="M44" s="4">
        <f ca="1"/>
        <v>22935.516301216194</v>
      </c>
      <c r="N44" s="4">
        <f ca="1"/>
        <v>4085103.138349995</v>
      </c>
      <c r="O44" s="4">
        <f ca="1"/>
        <v>47559.423683878304</v>
      </c>
      <c r="P44" s="3">
        <f ca="1"/>
        <v>2.3521921915501989</v>
      </c>
      <c r="Q44" s="3">
        <f ca="1"/>
        <v>0.27015137532401595</v>
      </c>
    </row>
    <row r="45" spans="4:17" x14ac:dyDescent="0.25">
      <c r="D45" s="3">
        <f ca="1"/>
        <v>31</v>
      </c>
      <c r="E45" s="4">
        <f ca="1"/>
        <v>4085103.138349995</v>
      </c>
      <c r="F45" s="4">
        <f ca="1"/>
        <v>77331.036154736212</v>
      </c>
      <c r="G45" s="4">
        <f ca="1"/>
        <v>30932.414461894456</v>
      </c>
      <c r="H45" s="4">
        <f ca="1"/>
        <v>46398.621692841713</v>
      </c>
      <c r="I45" s="7">
        <f ca="1"/>
        <v>0</v>
      </c>
      <c r="J45" s="4">
        <f ca="1"/>
        <v>4007772.1021952592</v>
      </c>
      <c r="K45" s="4">
        <f ca="1"/>
        <v>190429.40716248058</v>
      </c>
      <c r="L45" s="4">
        <f ca="1"/>
        <v>170212.63076458304</v>
      </c>
      <c r="M45" s="4">
        <f ca="1"/>
        <v>23438.902904344788</v>
      </c>
      <c r="N45" s="4">
        <f ca="1"/>
        <v>3984333.1992909131</v>
      </c>
      <c r="O45" s="4">
        <f ca="1"/>
        <v>46398.621692841713</v>
      </c>
      <c r="P45" s="3">
        <f ca="1"/>
        <v>2.3521921915502011</v>
      </c>
      <c r="Q45" s="3">
        <f ca="1"/>
        <v>0.27015137532401601</v>
      </c>
    </row>
    <row r="46" spans="4:17" x14ac:dyDescent="0.25">
      <c r="D46" s="3">
        <f ca="1"/>
        <v>32</v>
      </c>
      <c r="E46" s="4">
        <f ca="1"/>
        <v>3984333.1992909131</v>
      </c>
      <c r="F46" s="4">
        <f ca="1"/>
        <v>75423.460375918599</v>
      </c>
      <c r="G46" s="4">
        <f ca="1"/>
        <v>30169.384150367405</v>
      </c>
      <c r="H46" s="4">
        <f ca="1"/>
        <v>45254.076225551107</v>
      </c>
      <c r="I46" s="7">
        <f ca="1"/>
        <v>0</v>
      </c>
      <c r="J46" s="4">
        <f ca="1"/>
        <v>3908909.7389149969</v>
      </c>
      <c r="K46" s="4">
        <f ca="1"/>
        <v>186824.57691181646</v>
      </c>
      <c r="L46" s="4">
        <f ca="1"/>
        <v>166013.8833037882</v>
      </c>
      <c r="M46" s="4">
        <f ca="1"/>
        <v>23953.337790358331</v>
      </c>
      <c r="N46" s="4">
        <f ca="1"/>
        <v>3884956.4011246366</v>
      </c>
      <c r="O46" s="4">
        <f ca="1"/>
        <v>45254.076225551107</v>
      </c>
      <c r="P46" s="3">
        <f ca="1"/>
        <v>2.3521921915502002</v>
      </c>
      <c r="Q46" s="3">
        <f ca="1"/>
        <v>0.27015137532401606</v>
      </c>
    </row>
    <row r="47" spans="4:17" x14ac:dyDescent="0.25">
      <c r="D47" s="3">
        <f ca="1"/>
        <v>33</v>
      </c>
      <c r="E47" s="4">
        <f ca="1"/>
        <v>3884956.4011246366</v>
      </c>
      <c r="F47" s="4">
        <f ca="1"/>
        <v>73542.256765710015</v>
      </c>
      <c r="G47" s="4">
        <f ca="1"/>
        <v>29416.902706283978</v>
      </c>
      <c r="H47" s="4">
        <f ca="1"/>
        <v>44125.354059425968</v>
      </c>
      <c r="I47" s="7">
        <f ca="1"/>
        <v>0</v>
      </c>
      <c r="J47" s="4">
        <f ca="1"/>
        <v>3811414.1443589292</v>
      </c>
      <c r="K47" s="4">
        <f ca="1"/>
        <v>183287.98612757592</v>
      </c>
      <c r="L47" s="4">
        <f ca="1"/>
        <v>161873.18338019328</v>
      </c>
      <c r="M47" s="4">
        <f ca="1"/>
        <v>24479.063445953936</v>
      </c>
      <c r="N47" s="4">
        <f ca="1"/>
        <v>3786935.0809129747</v>
      </c>
      <c r="O47" s="4">
        <f ca="1"/>
        <v>44125.354059425968</v>
      </c>
      <c r="P47" s="3">
        <f ca="1"/>
        <v>2.3521921915501993</v>
      </c>
      <c r="Q47" s="3">
        <f ca="1"/>
        <v>0.27015137532401595</v>
      </c>
    </row>
    <row r="48" spans="4:17" x14ac:dyDescent="0.25">
      <c r="D48" s="3">
        <f ca="1"/>
        <v>34</v>
      </c>
      <c r="E48" s="4">
        <f ca="1"/>
        <v>3786935.0809129747</v>
      </c>
      <c r="F48" s="4">
        <f ca="1"/>
        <v>71686.712364379477</v>
      </c>
      <c r="G48" s="4">
        <f ca="1"/>
        <v>28674.684945751764</v>
      </c>
      <c r="H48" s="4">
        <f ca="1"/>
        <v>43012.027418627644</v>
      </c>
      <c r="I48" s="7">
        <f ca="1"/>
        <v>0</v>
      </c>
      <c r="J48" s="4">
        <f ca="1"/>
        <v>3715248.3685485963</v>
      </c>
      <c r="K48" s="4">
        <f ca="1"/>
        <v>179818.34303609567</v>
      </c>
      <c r="L48" s="4">
        <f ca="1"/>
        <v>157788.96170470738</v>
      </c>
      <c r="M48" s="4">
        <f ca="1"/>
        <v>25016.327679904236</v>
      </c>
      <c r="N48" s="4">
        <f ca="1"/>
        <v>3690232.0408686893</v>
      </c>
      <c r="O48" s="4">
        <f ca="1"/>
        <v>43012.027418627644</v>
      </c>
      <c r="P48" s="3">
        <f ca="1"/>
        <v>2.3521921915501998</v>
      </c>
      <c r="Q48" s="3">
        <f ca="1"/>
        <v>0.27015137532401595</v>
      </c>
    </row>
    <row r="49" spans="4:17" x14ac:dyDescent="0.25">
      <c r="D49" s="3">
        <f ca="1"/>
        <v>35</v>
      </c>
      <c r="E49" s="4">
        <f ca="1"/>
        <v>3690232.0408686893</v>
      </c>
      <c r="F49" s="4">
        <f ca="1"/>
        <v>69856.123017507314</v>
      </c>
      <c r="G49" s="4">
        <f ca="1"/>
        <v>27942.44920700293</v>
      </c>
      <c r="H49" s="4">
        <f ca="1"/>
        <v>41913.673810504406</v>
      </c>
      <c r="I49" s="7">
        <f ca="1"/>
        <v>0</v>
      </c>
      <c r="J49" s="4">
        <f ca="1"/>
        <v>3620375.9178511836</v>
      </c>
      <c r="K49" s="4">
        <f ca="1"/>
        <v>176414.38031699863</v>
      </c>
      <c r="L49" s="4">
        <f ca="1"/>
        <v>153759.66836952881</v>
      </c>
      <c r="M49" s="4">
        <f ca="1"/>
        <v>25565.383739866156</v>
      </c>
      <c r="N49" s="4">
        <f ca="1"/>
        <v>3594810.5341113159</v>
      </c>
      <c r="O49" s="4">
        <f ca="1"/>
        <v>41913.673810504406</v>
      </c>
      <c r="P49" s="3">
        <f ca="1"/>
        <v>2.3521921915501998</v>
      </c>
      <c r="Q49" s="3">
        <f ca="1"/>
        <v>0.27015137532401584</v>
      </c>
    </row>
    <row r="50" spans="4:17" x14ac:dyDescent="0.25">
      <c r="D50" s="3">
        <f ca="1"/>
        <v>36</v>
      </c>
      <c r="E50" s="4">
        <f ca="1"/>
        <v>3594810.5341113159</v>
      </c>
      <c r="F50" s="4">
        <f ca="1"/>
        <v>68049.793106342753</v>
      </c>
      <c r="G50" s="4">
        <f ca="1"/>
        <v>27219.917242537089</v>
      </c>
      <c r="H50" s="4">
        <f ca="1"/>
        <v>40829.875863805646</v>
      </c>
      <c r="I50" s="7">
        <f ca="1"/>
        <v>0</v>
      </c>
      <c r="J50" s="4">
        <f ca="1"/>
        <v>3526760.7410049746</v>
      </c>
      <c r="K50" s="4">
        <f ca="1"/>
        <v>173074.85464029343</v>
      </c>
      <c r="L50" s="4">
        <f ca="1"/>
        <v>149783.77225463811</v>
      </c>
      <c r="M50" s="4">
        <f ca="1"/>
        <v>26126.490431752922</v>
      </c>
      <c r="N50" s="4">
        <f ca="1"/>
        <v>3500634.2505732216</v>
      </c>
      <c r="O50" s="4">
        <f ca="1"/>
        <v>40829.875863805646</v>
      </c>
      <c r="P50" s="3">
        <f ca="1"/>
        <v>2.3521921915502002</v>
      </c>
      <c r="Q50" s="3">
        <f ca="1"/>
        <v>0.27015137532401595</v>
      </c>
    </row>
    <row r="51" spans="4:17" x14ac:dyDescent="0.25">
      <c r="D51" s="3">
        <f ca="1"/>
        <v>37</v>
      </c>
      <c r="E51" s="4">
        <f ca="1"/>
        <v>3500634.2505732216</v>
      </c>
      <c r="F51" s="4">
        <f ca="1"/>
        <v>66267.035281005505</v>
      </c>
      <c r="G51" s="4">
        <f ca="1"/>
        <v>26506.814112402208</v>
      </c>
      <c r="H51" s="4">
        <f ca="1"/>
        <v>39760.221168603268</v>
      </c>
      <c r="I51" s="7">
        <f ca="1"/>
        <v>0</v>
      </c>
      <c r="J51" s="4">
        <f ca="1"/>
        <v>3434367.2152922144</v>
      </c>
      <c r="K51" s="4">
        <f ca="1"/>
        <v>169798.546212235</v>
      </c>
      <c r="L51" s="4">
        <f ca="1"/>
        <v>145859.76044055086</v>
      </c>
      <c r="M51" s="4">
        <f ca="1"/>
        <v>26699.91224172603</v>
      </c>
      <c r="N51" s="4">
        <f ca="1"/>
        <v>3407667.3030504896</v>
      </c>
      <c r="O51" s="4">
        <f ca="1"/>
        <v>39760.221168603268</v>
      </c>
      <c r="P51" s="3">
        <f ca="1"/>
        <v>2.3521921915502024</v>
      </c>
      <c r="Q51" s="3">
        <f ca="1"/>
        <v>0.27015137532401606</v>
      </c>
    </row>
    <row r="52" spans="4:17" x14ac:dyDescent="0.25">
      <c r="D52" s="3">
        <f ca="1"/>
        <v>38</v>
      </c>
      <c r="E52" s="4">
        <f ca="1"/>
        <v>3407667.3030504896</v>
      </c>
      <c r="F52" s="4">
        <f ca="1"/>
        <v>64507.170196429033</v>
      </c>
      <c r="G52" s="4">
        <f ca="1"/>
        <v>25802.868078571631</v>
      </c>
      <c r="H52" s="4">
        <f ca="1"/>
        <v>38704.302117857442</v>
      </c>
      <c r="I52" s="7">
        <f ca="1"/>
        <v>0</v>
      </c>
      <c r="J52" s="4">
        <f ca="1"/>
        <v>3343160.1328540593</v>
      </c>
      <c r="K52" s="4">
        <f ca="1"/>
        <v>166584.25832978424</v>
      </c>
      <c r="L52" s="4">
        <f ca="1"/>
        <v>141986.13762710372</v>
      </c>
      <c r="M52" s="4">
        <f ca="1"/>
        <v>27285.919460865072</v>
      </c>
      <c r="N52" s="4">
        <f ca="1"/>
        <v>3315874.2133931969</v>
      </c>
      <c r="O52" s="4">
        <f ca="1"/>
        <v>38704.302117857442</v>
      </c>
      <c r="P52" s="3">
        <f ca="1"/>
        <v>2.3521921915501993</v>
      </c>
      <c r="Q52" s="3">
        <f ca="1"/>
        <v>0.27015137532401623</v>
      </c>
    </row>
    <row r="53" spans="4:17" x14ac:dyDescent="0.25">
      <c r="D53" s="3">
        <f ca="1"/>
        <v>39</v>
      </c>
      <c r="E53" s="4">
        <f ca="1"/>
        <v>3315874.2133931969</v>
      </c>
      <c r="F53" s="4">
        <f ca="1"/>
        <v>62769.526250942225</v>
      </c>
      <c r="G53" s="4">
        <f ca="1"/>
        <v>25107.810500376891</v>
      </c>
      <c r="H53" s="4">
        <f ca="1"/>
        <v>37661.715750565359</v>
      </c>
      <c r="I53" s="7">
        <f ca="1"/>
        <v>0</v>
      </c>
      <c r="J53" s="4">
        <f ca="1"/>
        <v>3253104.6871422539</v>
      </c>
      <c r="K53" s="4">
        <f ca="1"/>
        <v>163430.81694350051</v>
      </c>
      <c r="L53" s="4">
        <f ca="1"/>
        <v>138161.42555804973</v>
      </c>
      <c r="M53" s="4">
        <f ca="1"/>
        <v>27884.788312573288</v>
      </c>
      <c r="N53" s="4">
        <f ca="1"/>
        <v>3225219.8988296813</v>
      </c>
      <c r="O53" s="4">
        <f ca="1"/>
        <v>37661.715750565359</v>
      </c>
      <c r="P53" s="3">
        <f ca="1"/>
        <v>2.3521921915501993</v>
      </c>
      <c r="Q53" s="3">
        <f ca="1"/>
        <v>0.27015137532401579</v>
      </c>
    </row>
    <row r="54" spans="4:17" x14ac:dyDescent="0.25">
      <c r="D54" s="3">
        <f ca="1"/>
        <v>40</v>
      </c>
      <c r="E54" s="4">
        <f ca="1"/>
        <v>3225219.8988296813</v>
      </c>
      <c r="F54" s="4">
        <f ca="1"/>
        <v>61053.439327387678</v>
      </c>
      <c r="G54" s="4">
        <f ca="1"/>
        <v>24421.375730955071</v>
      </c>
      <c r="H54" s="4">
        <f ca="1"/>
        <v>36632.063596432614</v>
      </c>
      <c r="I54" s="7">
        <f ca="1"/>
        <v>0</v>
      </c>
      <c r="J54" s="4">
        <f ca="1"/>
        <v>3164166.4595022942</v>
      </c>
      <c r="K54" s="4">
        <f ca="1"/>
        <v>160337.0702287087</v>
      </c>
      <c r="L54" s="4">
        <f ca="1"/>
        <v>134384.16245123668</v>
      </c>
      <c r="M54" s="4">
        <f ca="1"/>
        <v>28496.801082779904</v>
      </c>
      <c r="N54" s="4">
        <f ca="1"/>
        <v>3135669.6584195113</v>
      </c>
      <c r="O54" s="4">
        <f ca="1"/>
        <v>36632.063596432614</v>
      </c>
      <c r="P54" s="3">
        <f ca="1"/>
        <v>2.3521921915502002</v>
      </c>
      <c r="Q54" s="3">
        <f ca="1"/>
        <v>0.27015137532401573</v>
      </c>
    </row>
    <row r="55" spans="4:17" x14ac:dyDescent="0.25">
      <c r="D55" s="3">
        <f ca="1"/>
        <v>41</v>
      </c>
      <c r="E55" s="4">
        <f ca="1"/>
        <v>3135669.6584195113</v>
      </c>
      <c r="F55" s="4">
        <f ca="1"/>
        <v>59358.25253667646</v>
      </c>
      <c r="G55" s="4">
        <f ca="1"/>
        <v>23743.301014670575</v>
      </c>
      <c r="H55" s="4">
        <f ca="1"/>
        <v>35614.951522005882</v>
      </c>
      <c r="I55" s="7">
        <f ca="1"/>
        <v>0</v>
      </c>
      <c r="J55" s="4">
        <f ca="1"/>
        <v>3076311.4058828354</v>
      </c>
      <c r="K55" s="4">
        <f ca="1"/>
        <v>157301.88816478444</v>
      </c>
      <c r="L55" s="4">
        <f ca="1"/>
        <v>130652.90243414634</v>
      </c>
      <c r="M55" s="4">
        <f ca="1"/>
        <v>29122.24625299963</v>
      </c>
      <c r="N55" s="4">
        <f ca="1"/>
        <v>3047189.1596298357</v>
      </c>
      <c r="O55" s="4">
        <f ca="1"/>
        <v>35614.951522005882</v>
      </c>
      <c r="P55" s="3">
        <f ca="1"/>
        <v>2.3521921915502002</v>
      </c>
      <c r="Q55" s="3">
        <f ca="1"/>
        <v>0.27015137532401606</v>
      </c>
    </row>
    <row r="56" spans="4:17" x14ac:dyDescent="0.25">
      <c r="D56" s="3">
        <f ca="1"/>
        <v>42</v>
      </c>
      <c r="E56" s="4">
        <f ca="1"/>
        <v>3047189.1596298357</v>
      </c>
      <c r="F56" s="4">
        <f ca="1"/>
        <v>57683.315963677858</v>
      </c>
      <c r="G56" s="4">
        <f ca="1"/>
        <v>23073.326385471144</v>
      </c>
      <c r="H56" s="4">
        <f ca="1"/>
        <v>34609.98957820674</v>
      </c>
      <c r="I56" s="7">
        <f ca="1"/>
        <v>0</v>
      </c>
      <c r="J56" s="4">
        <f ca="1"/>
        <v>2989505.8436661568</v>
      </c>
      <c r="K56" s="4">
        <f ca="1"/>
        <v>154324.16212240292</v>
      </c>
      <c r="L56" s="4">
        <f ca="1"/>
        <v>126966.21498457651</v>
      </c>
      <c r="M56" s="4">
        <f ca="1"/>
        <v>29761.418636312996</v>
      </c>
      <c r="N56" s="4">
        <f ca="1"/>
        <v>2959744.4250298478</v>
      </c>
      <c r="O56" s="4">
        <f ca="1"/>
        <v>34609.98957820674</v>
      </c>
      <c r="P56" s="3">
        <f ca="1"/>
        <v>2.3521921915502015</v>
      </c>
      <c r="Q56" s="3">
        <f ca="1"/>
        <v>0.27015137532401623</v>
      </c>
    </row>
    <row r="57" spans="4:17" x14ac:dyDescent="0.25">
      <c r="D57" s="3">
        <f ca="1"/>
        <v>43</v>
      </c>
      <c r="E57" s="4">
        <f ca="1"/>
        <v>2959744.4250298478</v>
      </c>
      <c r="F57" s="4">
        <f ca="1"/>
        <v>56027.986415346233</v>
      </c>
      <c r="G57" s="4">
        <f ca="1"/>
        <v>22411.194566138485</v>
      </c>
      <c r="H57" s="4">
        <f ca="1"/>
        <v>33616.791849207708</v>
      </c>
      <c r="I57" s="7">
        <f ca="1"/>
        <v>0</v>
      </c>
      <c r="J57" s="4">
        <f ca="1"/>
        <v>2903716.4386144984</v>
      </c>
      <c r="K57" s="4">
        <f ca="1"/>
        <v>151402.80445860181</v>
      </c>
      <c r="L57" s="4">
        <f ca="1"/>
        <v>123322.68437624359</v>
      </c>
      <c r="M57" s="4">
        <f ca="1"/>
        <v>30414.619516330993</v>
      </c>
      <c r="N57" s="4">
        <f ca="1"/>
        <v>2873301.8190981676</v>
      </c>
      <c r="O57" s="4">
        <f ca="1"/>
        <v>33616.791849207708</v>
      </c>
      <c r="P57" s="3">
        <f ca="1"/>
        <v>2.3521921915502007</v>
      </c>
      <c r="Q57" s="3">
        <f ca="1"/>
        <v>0.27015137532401612</v>
      </c>
    </row>
    <row r="58" spans="4:17" x14ac:dyDescent="0.25">
      <c r="D58" s="3">
        <f ca="1"/>
        <v>44</v>
      </c>
      <c r="E58" s="4">
        <f ca="1"/>
        <v>2873301.8190981676</v>
      </c>
      <c r="F58" s="4">
        <f ca="1"/>
        <v>54391.627170984015</v>
      </c>
      <c r="G58" s="4">
        <f ca="1"/>
        <v>21756.65086839359</v>
      </c>
      <c r="H58" s="4">
        <f ca="1"/>
        <v>32634.97630259041</v>
      </c>
      <c r="I58" s="7">
        <f ca="1"/>
        <v>0</v>
      </c>
      <c r="J58" s="4">
        <f ca="1"/>
        <v>2818910.1919271848</v>
      </c>
      <c r="K58" s="4">
        <f ca="1"/>
        <v>148536.74811950879</v>
      </c>
      <c r="L58" s="4">
        <f ca="1"/>
        <v>119720.90912909035</v>
      </c>
      <c r="M58" s="4">
        <f ca="1"/>
        <v>31082.156789209472</v>
      </c>
      <c r="N58" s="4">
        <f ca="1"/>
        <v>2787828.0351379737</v>
      </c>
      <c r="O58" s="4">
        <f ca="1"/>
        <v>32634.97630259041</v>
      </c>
      <c r="P58" s="3">
        <f ca="1"/>
        <v>2.3521921915502002</v>
      </c>
      <c r="Q58" s="3">
        <f ca="1"/>
        <v>0.27015137532401601</v>
      </c>
    </row>
    <row r="59" spans="4:17" x14ac:dyDescent="0.25">
      <c r="D59" s="3">
        <f ca="1"/>
        <v>45</v>
      </c>
      <c r="E59" s="4">
        <f ca="1"/>
        <v>2787828.0351379737</v>
      </c>
      <c r="F59" s="4">
        <f ca="1"/>
        <v>52773.607734545076</v>
      </c>
      <c r="G59" s="4">
        <f ca="1"/>
        <v>21109.443093818041</v>
      </c>
      <c r="H59" s="4">
        <f ca="1"/>
        <v>31664.164640727038</v>
      </c>
      <c r="I59" s="7">
        <f ca="1"/>
        <v>0</v>
      </c>
      <c r="J59" s="4">
        <f ca="1"/>
        <v>2735054.4274034291</v>
      </c>
      <c r="K59" s="4">
        <f ca="1"/>
        <v>145724.94625059041</v>
      </c>
      <c r="L59" s="4">
        <f ca="1"/>
        <v>116159.50146408225</v>
      </c>
      <c r="M59" s="4">
        <f ca="1"/>
        <v>31764.345108780923</v>
      </c>
      <c r="N59" s="4">
        <f ca="1"/>
        <v>2703290.0822946476</v>
      </c>
      <c r="O59" s="4">
        <f ca="1"/>
        <v>31664.164640727038</v>
      </c>
      <c r="P59" s="3">
        <f ca="1"/>
        <v>2.3521921915502002</v>
      </c>
      <c r="Q59" s="3">
        <f ca="1"/>
        <v>0.27015137532401617</v>
      </c>
    </row>
    <row r="60" spans="4:17" x14ac:dyDescent="0.25">
      <c r="D60" s="3">
        <f ca="1"/>
        <v>46</v>
      </c>
      <c r="E60" s="4">
        <f ca="1"/>
        <v>2703290.0822946476</v>
      </c>
      <c r="F60" s="4">
        <f ca="1"/>
        <v>51173.303588879135</v>
      </c>
      <c r="G60" s="4">
        <f ca="1"/>
        <v>20469.321435551654</v>
      </c>
      <c r="H60" s="4">
        <f ca="1"/>
        <v>30703.982153327473</v>
      </c>
      <c r="I60" s="7">
        <f ca="1"/>
        <v>0</v>
      </c>
      <c r="J60" s="4">
        <f ca="1"/>
        <v>2652116.7787057697</v>
      </c>
      <c r="K60" s="4">
        <f ca="1"/>
        <v>142966.3718142783</v>
      </c>
      <c r="L60" s="4">
        <f ca="1"/>
        <v>112637.086762277</v>
      </c>
      <c r="M60" s="4">
        <f ca="1"/>
        <v>32461.50603487113</v>
      </c>
      <c r="N60" s="4">
        <f ca="1"/>
        <v>2619655.2726708986</v>
      </c>
      <c r="O60" s="4">
        <f ca="1"/>
        <v>30703.982153327473</v>
      </c>
      <c r="P60" s="3">
        <f ca="1"/>
        <v>2.3521921915501998</v>
      </c>
      <c r="Q60" s="3">
        <f ca="1"/>
        <v>0.27015137532401617</v>
      </c>
    </row>
    <row r="61" spans="4:17" x14ac:dyDescent="0.25">
      <c r="D61" s="3">
        <f ca="1"/>
        <v>47</v>
      </c>
      <c r="E61" s="4">
        <f ca="1"/>
        <v>2619655.2726708986</v>
      </c>
      <c r="F61" s="4">
        <f ca="1"/>
        <v>49590.095951820273</v>
      </c>
      <c r="G61" s="4">
        <f ca="1"/>
        <v>19836.03838072811</v>
      </c>
      <c r="H61" s="4">
        <f ca="1"/>
        <v>29754.05757109218</v>
      </c>
      <c r="I61" s="7">
        <f ca="1"/>
        <v>0</v>
      </c>
      <c r="J61" s="4">
        <f ca="1"/>
        <v>2570065.1767190783</v>
      </c>
      <c r="K61" s="4">
        <f ca="1"/>
        <v>140260.01721483306</v>
      </c>
      <c r="L61" s="4">
        <f ca="1"/>
        <v>109152.30302795405</v>
      </c>
      <c r="M61" s="4">
        <f ca="1"/>
        <v>33173.968184871468</v>
      </c>
      <c r="N61" s="4">
        <f ca="1"/>
        <v>2536891.2085342077</v>
      </c>
      <c r="O61" s="4">
        <f ca="1"/>
        <v>29754.05757109218</v>
      </c>
      <c r="P61" s="3">
        <f ca="1"/>
        <v>2.352192191550202</v>
      </c>
      <c r="Q61" s="3">
        <f ca="1"/>
        <v>0.27015137532401601</v>
      </c>
    </row>
    <row r="62" spans="4:17" x14ac:dyDescent="0.25">
      <c r="D62" s="3">
        <f ca="1"/>
        <v>48</v>
      </c>
      <c r="E62" s="4">
        <f ca="1"/>
        <v>2536891.2085342077</v>
      </c>
      <c r="F62" s="4">
        <f ca="1"/>
        <v>48023.371534024438</v>
      </c>
      <c r="G62" s="4">
        <f ca="1"/>
        <v>19209.348613609774</v>
      </c>
      <c r="H62" s="4">
        <f ca="1"/>
        <v>28814.022920414678</v>
      </c>
      <c r="I62" s="7">
        <f ca="1"/>
        <v>0</v>
      </c>
      <c r="J62" s="4">
        <f ca="1"/>
        <v>2488867.8370001824</v>
      </c>
      <c r="K62" s="4">
        <f ca="1"/>
        <v>137604.89393031172</v>
      </c>
      <c r="L62" s="4">
        <f ca="1"/>
        <v>105703.80035559193</v>
      </c>
      <c r="M62" s="4">
        <f ca="1"/>
        <v>33902.067388637486</v>
      </c>
      <c r="N62" s="4">
        <f ca="1"/>
        <v>2454965.7696115463</v>
      </c>
      <c r="O62" s="4">
        <f ca="1"/>
        <v>28814.022920414678</v>
      </c>
      <c r="P62" s="3">
        <f ca="1"/>
        <v>2.3521921915502011</v>
      </c>
      <c r="Q62" s="3">
        <f ca="1"/>
        <v>0.2701513753240159</v>
      </c>
    </row>
    <row r="63" spans="4:17" x14ac:dyDescent="0.25">
      <c r="D63" s="3">
        <f ca="1"/>
        <v>49</v>
      </c>
      <c r="E63" s="4">
        <f ca="1"/>
        <v>2454965.7696115463</v>
      </c>
      <c r="F63" s="4">
        <f ca="1"/>
        <v>46472.522298457814</v>
      </c>
      <c r="G63" s="4">
        <f ca="1"/>
        <v>18589.008919383115</v>
      </c>
      <c r="H63" s="4">
        <f ca="1"/>
        <v>27883.513379074666</v>
      </c>
      <c r="I63" s="7">
        <f ca="1"/>
        <v>0</v>
      </c>
      <c r="J63" s="4">
        <f ca="1"/>
        <v>2408493.2473130892</v>
      </c>
      <c r="K63" s="4">
        <f ca="1"/>
        <v>135000.03215149956</v>
      </c>
      <c r="L63" s="4">
        <f ca="1"/>
        <v>102290.24040048108</v>
      </c>
      <c r="M63" s="4">
        <f ca="1"/>
        <v>34646.146846787611</v>
      </c>
      <c r="N63" s="4">
        <f ca="1"/>
        <v>2373847.1004663012</v>
      </c>
      <c r="O63" s="4">
        <f ca="1"/>
        <v>27883.513379074666</v>
      </c>
      <c r="P63" s="3">
        <f ca="1"/>
        <v>2.3521921915501989</v>
      </c>
      <c r="Q63" s="3">
        <f ca="1"/>
        <v>0.27015137532401595</v>
      </c>
    </row>
    <row r="64" spans="4:17" x14ac:dyDescent="0.25">
      <c r="D64" s="3">
        <f ca="1"/>
        <v>50</v>
      </c>
      <c r="E64" s="4">
        <f ca="1"/>
        <v>2373847.1004663012</v>
      </c>
      <c r="F64" s="4">
        <f ca="1"/>
        <v>44936.945221442096</v>
      </c>
      <c r="G64" s="4">
        <f ca="1"/>
        <v>17974.778088576841</v>
      </c>
      <c r="H64" s="4">
        <f ca="1"/>
        <v>26962.167132865263</v>
      </c>
      <c r="I64" s="7">
        <f ca="1"/>
        <v>0</v>
      </c>
      <c r="J64" s="4">
        <f ca="1"/>
        <v>2328910.1552448566</v>
      </c>
      <c r="K64" s="4">
        <f ca="1"/>
        <v>132444.4804276783</v>
      </c>
      <c r="L64" s="4">
        <f ca="1"/>
        <v>98910.2958527624</v>
      </c>
      <c r="M64" s="4">
        <f ca="1"/>
        <v>35406.557292475838</v>
      </c>
      <c r="N64" s="4">
        <f ca="1"/>
        <v>2293503.5979523822</v>
      </c>
      <c r="O64" s="4">
        <f ca="1"/>
        <v>26962.167132865263</v>
      </c>
      <c r="P64" s="3">
        <f ca="1"/>
        <v>2.3521921915502029</v>
      </c>
      <c r="Q64" s="3">
        <f ca="1"/>
        <v>0.2701513753240159</v>
      </c>
    </row>
    <row r="65" spans="4:17" x14ac:dyDescent="0.25">
      <c r="D65" s="3">
        <f ca="1"/>
        <v>51</v>
      </c>
      <c r="E65" s="4">
        <f ca="1"/>
        <v>2293503.5979523822</v>
      </c>
      <c r="F65" s="4">
        <f ca="1"/>
        <v>43416.042055160884</v>
      </c>
      <c r="G65" s="4">
        <f ca="1"/>
        <v>17366.416822064351</v>
      </c>
      <c r="H65" s="4">
        <f ca="1"/>
        <v>26049.625233096533</v>
      </c>
      <c r="I65" s="7">
        <f ca="1"/>
        <v>0</v>
      </c>
      <c r="J65" s="4">
        <f ca="1"/>
        <v>2250087.555897221</v>
      </c>
      <c r="K65" s="4">
        <f ca="1"/>
        <v>129937.30531909956</v>
      </c>
      <c r="L65" s="4">
        <f ca="1"/>
        <v>95562.649914682523</v>
      </c>
      <c r="M65" s="4">
        <f ca="1"/>
        <v>36183.657156715344</v>
      </c>
      <c r="N65" s="4">
        <f ca="1"/>
        <v>2213903.8987405049</v>
      </c>
      <c r="O65" s="4">
        <f ca="1"/>
        <v>26049.625233096533</v>
      </c>
      <c r="P65" s="3">
        <f ca="1"/>
        <v>2.3521921915502007</v>
      </c>
      <c r="Q65" s="3">
        <f ca="1"/>
        <v>0.27015137532401584</v>
      </c>
    </row>
    <row r="66" spans="4:17" x14ac:dyDescent="0.25">
      <c r="D66" s="3">
        <f ca="1"/>
        <v>52</v>
      </c>
      <c r="E66" s="4">
        <f ca="1"/>
        <v>2213903.8987405049</v>
      </c>
      <c r="F66" s="4">
        <f ca="1"/>
        <v>41909.219091531631</v>
      </c>
      <c r="G66" s="4">
        <f ca="1"/>
        <v>16763.687636612638</v>
      </c>
      <c r="H66" s="4">
        <f ca="1"/>
        <v>25145.531454918968</v>
      </c>
      <c r="I66" s="7">
        <f ca="1"/>
        <v>0</v>
      </c>
      <c r="J66" s="4">
        <f ca="1"/>
        <v>2171994.6796489726</v>
      </c>
      <c r="K66" s="4">
        <f ca="1"/>
        <v>127477.59105603717</v>
      </c>
      <c r="L66" s="4">
        <f ca="1"/>
        <v>92245.995780854355</v>
      </c>
      <c r="M66" s="4">
        <f ca="1"/>
        <v>36977.812737329928</v>
      </c>
      <c r="N66" s="4">
        <f ca="1"/>
        <v>2135016.8669116432</v>
      </c>
      <c r="O66" s="4">
        <f ca="1"/>
        <v>25145.531454918968</v>
      </c>
      <c r="P66" s="3">
        <f ca="1"/>
        <v>2.3521921915502029</v>
      </c>
      <c r="Q66" s="3">
        <f ca="1"/>
        <v>0.27015137532401606</v>
      </c>
    </row>
    <row r="67" spans="4:17" x14ac:dyDescent="0.25">
      <c r="D67" s="3">
        <f ca="1"/>
        <v>53</v>
      </c>
      <c r="E67" s="4">
        <f ca="1"/>
        <v>2135016.8669116432</v>
      </c>
      <c r="F67" s="4">
        <f ca="1"/>
        <v>40415.886927349966</v>
      </c>
      <c r="G67" s="4">
        <f ca="1"/>
        <v>16166.354770939983</v>
      </c>
      <c r="H67" s="4">
        <f ca="1"/>
        <v>24249.532156409976</v>
      </c>
      <c r="I67" s="7">
        <f ca="1"/>
        <v>0</v>
      </c>
      <c r="J67" s="4">
        <f ca="1"/>
        <v>2094600.9799842951</v>
      </c>
      <c r="K67" s="4">
        <f ca="1"/>
        <v>125064.43920429355</v>
      </c>
      <c r="L67" s="4">
        <f ca="1"/>
        <v>88959.036121318553</v>
      </c>
      <c r="M67" s="4">
        <f ca="1"/>
        <v>37789.398371614625</v>
      </c>
      <c r="N67" s="4">
        <f ca="1"/>
        <v>2056811.5816126794</v>
      </c>
      <c r="O67" s="4">
        <f ca="1"/>
        <v>24249.532156409976</v>
      </c>
      <c r="P67" s="3">
        <f ca="1"/>
        <v>2.3521921915502011</v>
      </c>
      <c r="Q67" s="3">
        <f ca="1"/>
        <v>0.2701513753240159</v>
      </c>
    </row>
    <row r="68" spans="4:17" x14ac:dyDescent="0.25">
      <c r="D68" s="3">
        <f ca="1"/>
        <v>54</v>
      </c>
      <c r="E68" s="4">
        <f ca="1"/>
        <v>2056811.5816126794</v>
      </c>
      <c r="F68" s="4">
        <f ca="1"/>
        <v>38935.460230610945</v>
      </c>
      <c r="G68" s="4">
        <f ca="1"/>
        <v>15574.184092244375</v>
      </c>
      <c r="H68" s="4">
        <f ca="1"/>
        <v>23361.276138366542</v>
      </c>
      <c r="I68" s="7">
        <f ca="1"/>
        <v>0</v>
      </c>
      <c r="J68" s="4">
        <f ca="1"/>
        <v>2017876.1213820674</v>
      </c>
      <c r="K68" s="4">
        <f ca="1"/>
        <v>122696.96833703772</v>
      </c>
      <c r="L68" s="4">
        <f ca="1"/>
        <v>85700.482567194951</v>
      </c>
      <c r="M68" s="4">
        <f ca="1"/>
        <v>38618.796612784863</v>
      </c>
      <c r="N68" s="4">
        <f ca="1"/>
        <v>1979257.3247692829</v>
      </c>
      <c r="O68" s="4">
        <f ca="1"/>
        <v>23361.276138366542</v>
      </c>
      <c r="P68" s="3">
        <f ca="1"/>
        <v>2.3521921915502011</v>
      </c>
      <c r="Q68" s="3">
        <f ca="1"/>
        <v>0.27015137532401623</v>
      </c>
    </row>
    <row r="69" spans="4:17" x14ac:dyDescent="0.25">
      <c r="D69" s="3">
        <f ca="1"/>
        <v>55</v>
      </c>
      <c r="E69" s="4">
        <f ca="1"/>
        <v>1979257.3247692829</v>
      </c>
      <c r="F69" s="4">
        <f ca="1"/>
        <v>37467.357507913803</v>
      </c>
      <c r="G69" s="4">
        <f ca="1"/>
        <v>14986.943003165505</v>
      </c>
      <c r="H69" s="4">
        <f ca="1"/>
        <v>22480.414504748253</v>
      </c>
      <c r="I69" s="7">
        <f ca="1"/>
        <v>0</v>
      </c>
      <c r="J69" s="4">
        <f ca="1"/>
        <v>1941789.9672613696</v>
      </c>
      <c r="K69" s="4">
        <f ca="1"/>
        <v>120374.31371285595</v>
      </c>
      <c r="L69" s="4">
        <f ca="1"/>
        <v>82469.055198720132</v>
      </c>
      <c r="M69" s="4">
        <f ca="1"/>
        <v>39466.398410298869</v>
      </c>
      <c r="N69" s="4">
        <f ca="1"/>
        <v>1902323.5688510707</v>
      </c>
      <c r="O69" s="4">
        <f ca="1"/>
        <v>22480.414504748253</v>
      </c>
      <c r="P69" s="3">
        <f ca="1"/>
        <v>2.3521921915502015</v>
      </c>
      <c r="Q69" s="3">
        <f ca="1"/>
        <v>0.27015137532401606</v>
      </c>
    </row>
    <row r="70" spans="4:17" x14ac:dyDescent="0.25">
      <c r="D70" s="3">
        <f ca="1"/>
        <v>56</v>
      </c>
      <c r="E70" s="4">
        <f ca="1"/>
        <v>1902323.5688510707</v>
      </c>
      <c r="F70" s="4">
        <f ca="1"/>
        <v>36011.000872856086</v>
      </c>
      <c r="G70" s="4">
        <f ca="1"/>
        <v>14404.400349142446</v>
      </c>
      <c r="H70" s="4">
        <f ca="1"/>
        <v>21606.600523713645</v>
      </c>
      <c r="I70" s="7">
        <f ca="1"/>
        <v>0</v>
      </c>
      <c r="J70" s="4">
        <f ca="1"/>
        <v>1866312.5679782138</v>
      </c>
      <c r="K70" s="4">
        <f ca="1"/>
        <v>118095.62695989663</v>
      </c>
      <c r="L70" s="4">
        <f ca="1"/>
        <v>79263.482035461318</v>
      </c>
      <c r="M70" s="4">
        <f ca="1"/>
        <v>40332.603294137756</v>
      </c>
      <c r="N70" s="4">
        <f ca="1"/>
        <v>1825979.9646840778</v>
      </c>
      <c r="O70" s="4">
        <f ca="1"/>
        <v>21606.600523713645</v>
      </c>
      <c r="P70" s="3">
        <f ca="1"/>
        <v>2.3521921915502024</v>
      </c>
      <c r="Q70" s="3">
        <f ca="1"/>
        <v>0.27015137532401623</v>
      </c>
    </row>
    <row r="71" spans="4:17" x14ac:dyDescent="0.25">
      <c r="D71" s="3">
        <f ca="1"/>
        <v>57</v>
      </c>
      <c r="E71" s="4">
        <f ca="1"/>
        <v>1825979.9646840778</v>
      </c>
      <c r="F71" s="4">
        <f ca="1"/>
        <v>34565.815815324051</v>
      </c>
      <c r="G71" s="4">
        <f ca="1"/>
        <v>13826.326326129631</v>
      </c>
      <c r="H71" s="4">
        <f ca="1"/>
        <v>20739.489489194431</v>
      </c>
      <c r="I71" s="7">
        <f ca="1"/>
        <v>0</v>
      </c>
      <c r="J71" s="4">
        <f ca="1"/>
        <v>1791414.1488687512</v>
      </c>
      <c r="K71" s="4">
        <f ca="1"/>
        <v>115860.07576599451</v>
      </c>
      <c r="L71" s="4">
        <f ca="1"/>
        <v>76082.498528503231</v>
      </c>
      <c r="M71" s="4">
        <f ca="1"/>
        <v>41217.8195631298</v>
      </c>
      <c r="N71" s="4">
        <f ca="1"/>
        <v>1750196.3293056216</v>
      </c>
      <c r="O71" s="4">
        <f ca="1"/>
        <v>20739.489489194431</v>
      </c>
      <c r="P71" s="3">
        <f ca="1"/>
        <v>2.3521921915502024</v>
      </c>
      <c r="Q71" s="3">
        <f ca="1"/>
        <v>0.2701513753240164</v>
      </c>
    </row>
    <row r="72" spans="4:17" x14ac:dyDescent="0.25">
      <c r="D72" s="3">
        <f ca="1"/>
        <v>58</v>
      </c>
      <c r="E72" s="4">
        <f ca="1"/>
        <v>1750196.3293056216</v>
      </c>
      <c r="F72" s="4">
        <f ca="1"/>
        <v>33131.230971584824</v>
      </c>
      <c r="G72" s="4">
        <f ca="1"/>
        <v>13252.492388633917</v>
      </c>
      <c r="H72" s="4">
        <f ca="1"/>
        <v>19878.738582950886</v>
      </c>
      <c r="I72" s="7">
        <f ca="1"/>
        <v>0</v>
      </c>
      <c r="J72" s="4">
        <f ca="1"/>
        <v>1717065.0983340382</v>
      </c>
      <c r="K72" s="4">
        <f ca="1"/>
        <v>113666.84357466016</v>
      </c>
      <c r="L72" s="4">
        <f ca="1"/>
        <v>72924.847054400976</v>
      </c>
      <c r="M72" s="4">
        <f ca="1"/>
        <v>42122.464477408445</v>
      </c>
      <c r="N72" s="4">
        <f ca="1"/>
        <v>1674942.6338566304</v>
      </c>
      <c r="O72" s="4">
        <f ca="1"/>
        <v>19878.738582950886</v>
      </c>
      <c r="P72" s="3">
        <f ca="1"/>
        <v>2.3521921915502011</v>
      </c>
      <c r="Q72" s="3">
        <f ca="1"/>
        <v>0.27015137532401612</v>
      </c>
    </row>
    <row r="73" spans="4:17" x14ac:dyDescent="0.25">
      <c r="D73" s="3">
        <f ca="1"/>
        <v>59</v>
      </c>
      <c r="E73" s="4">
        <f ca="1"/>
        <v>1674942.6338566304</v>
      </c>
      <c r="F73" s="4">
        <f ca="1"/>
        <v>31706.677895087909</v>
      </c>
      <c r="G73" s="4">
        <f ca="1"/>
        <v>12682.671158035162</v>
      </c>
      <c r="H73" s="4">
        <f ca="1"/>
        <v>19024.006737052736</v>
      </c>
      <c r="I73" s="7">
        <f ca="1"/>
        <v>0</v>
      </c>
      <c r="J73" s="4">
        <f ca="1"/>
        <v>1643235.9559615429</v>
      </c>
      <c r="K73" s="4">
        <f ca="1"/>
        <v>111515.12928682516</v>
      </c>
      <c r="L73" s="4">
        <f ca="1"/>
        <v>69789.276410692939</v>
      </c>
      <c r="M73" s="4">
        <f ca="1"/>
        <v>43046.964455094268</v>
      </c>
      <c r="N73" s="4">
        <f ca="1"/>
        <v>1600188.9915064475</v>
      </c>
      <c r="O73" s="4">
        <f ca="1"/>
        <v>19024.006737052736</v>
      </c>
      <c r="P73" s="3">
        <f ca="1"/>
        <v>2.3521921915501989</v>
      </c>
      <c r="Q73" s="3">
        <f ca="1"/>
        <v>0.27015137532401606</v>
      </c>
    </row>
    <row r="74" spans="4:17" x14ac:dyDescent="0.25">
      <c r="D74" s="3">
        <f ca="1"/>
        <v>60</v>
      </c>
      <c r="E74" s="4">
        <f ca="1"/>
        <v>1600188.9915064475</v>
      </c>
      <c r="F74" s="4">
        <f ca="1"/>
        <v>30291.590827882286</v>
      </c>
      <c r="G74" s="4">
        <f ca="1"/>
        <v>12116.636331152928</v>
      </c>
      <c r="H74" s="4">
        <f ca="1"/>
        <v>18174.954496729377</v>
      </c>
      <c r="I74" s="7">
        <f ca="1"/>
        <v>0</v>
      </c>
      <c r="J74" s="4">
        <f ca="1"/>
        <v>1569897.4006785646</v>
      </c>
      <c r="K74" s="4">
        <f ca="1"/>
        <v>109404.1469682337</v>
      </c>
      <c r="L74" s="4">
        <f ca="1"/>
        <v>66674.541312768662</v>
      </c>
      <c r="M74" s="4">
        <f ca="1"/>
        <v>43991.755273293493</v>
      </c>
      <c r="N74" s="4">
        <f ca="1"/>
        <v>1525905.645405272</v>
      </c>
      <c r="O74" s="4">
        <f ca="1"/>
        <v>18174.954496729377</v>
      </c>
      <c r="P74" s="3">
        <f ca="1"/>
        <v>2.3521921915502015</v>
      </c>
      <c r="Q74" s="3">
        <f ca="1"/>
        <v>0.27015137532401623</v>
      </c>
    </row>
    <row r="75" spans="4:17" x14ac:dyDescent="0.25">
      <c r="D75" s="3">
        <f ca="1"/>
        <v>61</v>
      </c>
      <c r="E75" s="4">
        <f ca="1"/>
        <v>1525905.645405272</v>
      </c>
      <c r="F75" s="4">
        <f ca="1"/>
        <v>28885.406472555351</v>
      </c>
      <c r="G75" s="4">
        <f ca="1"/>
        <v>11554.162589022137</v>
      </c>
      <c r="H75" s="4">
        <f ca="1"/>
        <v>17331.2438835332</v>
      </c>
      <c r="I75" s="7">
        <f ca="1"/>
        <v>0</v>
      </c>
      <c r="J75" s="4">
        <f ca="1"/>
        <v>1497020.2389327169</v>
      </c>
      <c r="K75" s="4">
        <f ca="1"/>
        <v>103582.16169434584</v>
      </c>
      <c r="L75" s="4">
        <f ca="1"/>
        <v>63579.401891886337</v>
      </c>
      <c r="M75" s="4">
        <f ca="1"/>
        <v>41206.318405482671</v>
      </c>
      <c r="N75" s="4">
        <f ca="1"/>
        <v>1455813.9205272342</v>
      </c>
      <c r="O75" s="4">
        <f ca="1"/>
        <v>17331.2438835332</v>
      </c>
      <c r="P75" s="3">
        <f ca="1"/>
        <v>2.3521921915502007</v>
      </c>
      <c r="Q75" s="3">
        <f ca="1"/>
        <v>0.27015137532401595</v>
      </c>
    </row>
    <row r="76" spans="4:17" x14ac:dyDescent="0.25">
      <c r="D76" s="3">
        <f ca="1"/>
        <v>62</v>
      </c>
      <c r="E76" s="4">
        <f ca="1"/>
        <v>1455813.9205272342</v>
      </c>
      <c r="F76" s="4">
        <f ca="1"/>
        <v>27558.569541608071</v>
      </c>
      <c r="G76" s="4">
        <f ca="1"/>
        <v>11023.427816643229</v>
      </c>
      <c r="H76" s="4">
        <f ca="1"/>
        <v>16535.141724964837</v>
      </c>
      <c r="I76" s="7">
        <f ca="1"/>
        <v>0</v>
      </c>
      <c r="J76" s="4">
        <f ca="1"/>
        <v>1428255.3509856258</v>
      </c>
      <c r="K76" s="4">
        <f ca="1"/>
        <v>100999.14584134158</v>
      </c>
      <c r="L76" s="4">
        <f ca="1"/>
        <v>60658.91335530144</v>
      </c>
      <c r="M76" s="4">
        <f ca="1"/>
        <v>41488.506216940543</v>
      </c>
      <c r="N76" s="4">
        <f ca="1"/>
        <v>1386766.8447686846</v>
      </c>
      <c r="O76" s="4">
        <f ca="1"/>
        <v>16535.141724964837</v>
      </c>
      <c r="P76" s="3">
        <f ca="1"/>
        <v>2.3521921915501998</v>
      </c>
      <c r="Q76" s="3">
        <f ca="1"/>
        <v>0.27015137532401617</v>
      </c>
    </row>
    <row r="77" spans="4:17" x14ac:dyDescent="0.25">
      <c r="D77" s="3">
        <f ca="1"/>
        <v>63</v>
      </c>
      <c r="E77" s="4">
        <f ca="1"/>
        <v>1386766.8447686846</v>
      </c>
      <c r="F77" s="4">
        <f ca="1"/>
        <v>26251.507827122248</v>
      </c>
      <c r="G77" s="4">
        <f ca="1"/>
        <v>10500.603130848896</v>
      </c>
      <c r="H77" s="4">
        <f ca="1"/>
        <v>15750.904696273346</v>
      </c>
      <c r="I77" s="7">
        <f ca="1"/>
        <v>0</v>
      </c>
      <c r="J77" s="4">
        <f ca="1"/>
        <v>1360515.3369415647</v>
      </c>
      <c r="K77" s="4">
        <f ca="1"/>
        <v>95909.57734881567</v>
      </c>
      <c r="L77" s="4">
        <f ca="1"/>
        <v>57781.951865361872</v>
      </c>
      <c r="M77" s="4">
        <f ca="1"/>
        <v>39221.438309583929</v>
      </c>
      <c r="N77" s="4">
        <f ca="1"/>
        <v>1321293.8986319795</v>
      </c>
      <c r="O77" s="4">
        <f ca="1"/>
        <v>15750.904696273346</v>
      </c>
      <c r="P77" s="3">
        <f ca="1"/>
        <v>2.3521921915501975</v>
      </c>
      <c r="Q77" s="3">
        <f ca="1"/>
        <v>0.27015137532401584</v>
      </c>
    </row>
    <row r="78" spans="4:17" x14ac:dyDescent="0.25">
      <c r="D78" s="3">
        <f ca="1"/>
        <v>64</v>
      </c>
      <c r="E78" s="4">
        <f ca="1"/>
        <v>1321293.8986319795</v>
      </c>
      <c r="F78" s="4">
        <f ca="1"/>
        <v>25012.104415902704</v>
      </c>
      <c r="G78" s="4">
        <f ca="1"/>
        <v>10004.841766361069</v>
      </c>
      <c r="H78" s="4">
        <f ca="1"/>
        <v>15007.262649541615</v>
      </c>
      <c r="I78" s="7">
        <f ca="1"/>
        <v>0</v>
      </c>
      <c r="J78" s="4">
        <f ca="1"/>
        <v>1296281.7942160761</v>
      </c>
      <c r="K78" s="4">
        <f ca="1"/>
        <v>92691.111463137262</v>
      </c>
      <c r="L78" s="4">
        <f ca="1"/>
        <v>55053.912442999121</v>
      </c>
      <c r="M78" s="4">
        <f ca="1"/>
        <v>38679.370037467386</v>
      </c>
      <c r="N78" s="4">
        <f ca="1"/>
        <v>1257602.4241786082</v>
      </c>
      <c r="O78" s="4">
        <f ca="1"/>
        <v>15007.262649541615</v>
      </c>
      <c r="P78" s="3">
        <f ca="1"/>
        <v>2.3521921915502002</v>
      </c>
      <c r="Q78" s="3">
        <f ca="1"/>
        <v>0.27015137532401601</v>
      </c>
    </row>
    <row r="79" spans="4:17" x14ac:dyDescent="0.25">
      <c r="D79" s="3">
        <f ca="1"/>
        <v>65</v>
      </c>
      <c r="E79" s="4">
        <f ca="1"/>
        <v>1257602.4241786082</v>
      </c>
      <c r="F79" s="4">
        <f ca="1"/>
        <v>23806.42427836487</v>
      </c>
      <c r="G79" s="4">
        <f ca="1"/>
        <v>9522.5697113459464</v>
      </c>
      <c r="H79" s="4">
        <f ca="1"/>
        <v>14283.854567018918</v>
      </c>
      <c r="I79" s="7">
        <f ca="1"/>
        <v>0</v>
      </c>
      <c r="J79" s="4">
        <f ca="1"/>
        <v>1233795.9999002437</v>
      </c>
      <c r="K79" s="4">
        <f ca="1"/>
        <v>90936.467957447632</v>
      </c>
      <c r="L79" s="4">
        <f ca="1"/>
        <v>52400.101007442056</v>
      </c>
      <c r="M79" s="4">
        <f ca="1"/>
        <v>39528.301294937432</v>
      </c>
      <c r="N79" s="4">
        <f ca="1"/>
        <v>1194267.6986053067</v>
      </c>
      <c r="O79" s="4">
        <f ca="1"/>
        <v>14283.854567018918</v>
      </c>
      <c r="P79" s="3">
        <f ca="1"/>
        <v>2.3521921915502007</v>
      </c>
      <c r="Q79" s="3">
        <f ca="1"/>
        <v>0.27015137532401634</v>
      </c>
    </row>
    <row r="80" spans="4:17" x14ac:dyDescent="0.25">
      <c r="D80" s="3">
        <f ca="1"/>
        <v>66</v>
      </c>
      <c r="E80" s="4">
        <f ca="1"/>
        <v>1194267.6986053067</v>
      </c>
      <c r="F80" s="4">
        <f ca="1"/>
        <v>22607.497400073709</v>
      </c>
      <c r="G80" s="4">
        <f ca="1"/>
        <v>9042.9989600294884</v>
      </c>
      <c r="H80" s="4">
        <f ca="1"/>
        <v>13564.498440044234</v>
      </c>
      <c r="I80" s="7">
        <f ca="1"/>
        <v>0</v>
      </c>
      <c r="J80" s="4">
        <f ca="1"/>
        <v>1171660.2012052336</v>
      </c>
      <c r="K80" s="4">
        <f ca="1"/>
        <v>86645.237489064122</v>
      </c>
      <c r="L80" s="4">
        <f ca="1"/>
        <v>49761.154108554452</v>
      </c>
      <c r="M80" s="4">
        <f ca="1"/>
        <v>37826.062438846115</v>
      </c>
      <c r="N80" s="4">
        <f ca="1"/>
        <v>1133834.1387663865</v>
      </c>
      <c r="O80" s="4">
        <f ca="1"/>
        <v>13564.498440044234</v>
      </c>
      <c r="P80" s="3">
        <f ca="1"/>
        <v>2.352192191550198</v>
      </c>
      <c r="Q80" s="3">
        <f ca="1"/>
        <v>0.27015137532401601</v>
      </c>
    </row>
    <row r="81" spans="4:17" x14ac:dyDescent="0.25">
      <c r="D81" s="3">
        <f ca="1"/>
        <v>67</v>
      </c>
      <c r="E81" s="4">
        <f ca="1"/>
        <v>1133834.1387663865</v>
      </c>
      <c r="F81" s="4">
        <f ca="1"/>
        <v>21463.489613100061</v>
      </c>
      <c r="G81" s="4">
        <f ca="1"/>
        <v>8585.395845240022</v>
      </c>
      <c r="H81" s="4">
        <f ca="1"/>
        <v>12878.093767860038</v>
      </c>
      <c r="I81" s="7">
        <f ca="1"/>
        <v>0</v>
      </c>
      <c r="J81" s="4">
        <f ca="1"/>
        <v>1112370.6491532868</v>
      </c>
      <c r="K81" s="4">
        <f ca="1"/>
        <v>84111.363425427713</v>
      </c>
      <c r="L81" s="4">
        <f ca="1"/>
        <v>47243.089115266077</v>
      </c>
      <c r="M81" s="4">
        <f ca="1"/>
        <v>37762.586377374093</v>
      </c>
      <c r="N81" s="4">
        <f ca="1"/>
        <v>1074608.0627759132</v>
      </c>
      <c r="O81" s="4">
        <f ca="1"/>
        <v>12878.093767860038</v>
      </c>
      <c r="P81" s="3">
        <f ca="1"/>
        <v>2.3521921915502002</v>
      </c>
      <c r="Q81" s="3">
        <f ca="1"/>
        <v>0.27015137532401601</v>
      </c>
    </row>
    <row r="82" spans="4:17" x14ac:dyDescent="0.25">
      <c r="D82" s="3">
        <f ca="1"/>
        <v>68</v>
      </c>
      <c r="E82" s="4">
        <f ca="1"/>
        <v>1074608.0627759132</v>
      </c>
      <c r="F82" s="4">
        <f ca="1"/>
        <v>20342.339505352131</v>
      </c>
      <c r="G82" s="4">
        <f ca="1"/>
        <v>8136.9358021408534</v>
      </c>
      <c r="H82" s="4">
        <f ca="1"/>
        <v>12205.403703211281</v>
      </c>
      <c r="I82" s="7">
        <f ca="1"/>
        <v>0</v>
      </c>
      <c r="J82" s="4">
        <f ca="1"/>
        <v>1054265.7232705606</v>
      </c>
      <c r="K82" s="4">
        <f ca="1"/>
        <v>81909.659213360515</v>
      </c>
      <c r="L82" s="4">
        <f ca="1"/>
        <v>44775.335948996319</v>
      </c>
      <c r="M82" s="4">
        <f ca="1"/>
        <v>37981.920743753806</v>
      </c>
      <c r="N82" s="4">
        <f ca="1"/>
        <v>1016283.8025268061</v>
      </c>
      <c r="O82" s="4">
        <f ca="1"/>
        <v>12205.403703211281</v>
      </c>
      <c r="P82" s="3">
        <f ca="1"/>
        <v>2.3521921915501998</v>
      </c>
      <c r="Q82" s="3">
        <f ca="1"/>
        <v>0.27015137532401601</v>
      </c>
    </row>
    <row r="83" spans="4:17" x14ac:dyDescent="0.25">
      <c r="D83" s="3">
        <f ca="1"/>
        <v>69</v>
      </c>
      <c r="E83" s="4">
        <f ca="1"/>
        <v>1016283.8025268061</v>
      </c>
      <c r="F83" s="4">
        <f ca="1"/>
        <v>19238.260777037925</v>
      </c>
      <c r="G83" s="4">
        <f ca="1"/>
        <v>7695.3043108151696</v>
      </c>
      <c r="H83" s="4">
        <f ca="1"/>
        <v>11542.956466222753</v>
      </c>
      <c r="I83" s="7">
        <f ca="1"/>
        <v>0</v>
      </c>
      <c r="J83" s="4">
        <f ca="1"/>
        <v>997045.54174976889</v>
      </c>
      <c r="K83" s="4">
        <f ca="1"/>
        <v>77077.838781167768</v>
      </c>
      <c r="L83" s="4">
        <f ca="1"/>
        <v>42345.15843861692</v>
      </c>
      <c r="M83" s="4">
        <f ca="1"/>
        <v>35534.274541594059</v>
      </c>
      <c r="N83" s="4">
        <f ca="1"/>
        <v>961511.2672081748</v>
      </c>
      <c r="O83" s="4">
        <f ca="1"/>
        <v>11542.956466222753</v>
      </c>
      <c r="P83" s="3">
        <f ca="1"/>
        <v>2.3521921915501998</v>
      </c>
      <c r="Q83" s="3">
        <f ca="1"/>
        <v>0.27015137532401601</v>
      </c>
    </row>
    <row r="84" spans="4:17" x14ac:dyDescent="0.25">
      <c r="D84" s="3">
        <f ca="1"/>
        <v>70</v>
      </c>
      <c r="E84" s="4">
        <f ca="1"/>
        <v>961511.2672081748</v>
      </c>
      <c r="F84" s="4">
        <f ca="1"/>
        <v>18201.416230997285</v>
      </c>
      <c r="G84" s="4">
        <f ca="1"/>
        <v>7280.5664923989134</v>
      </c>
      <c r="H84" s="4">
        <f ca="1"/>
        <v>10920.849738598366</v>
      </c>
      <c r="I84" s="7">
        <f ca="1"/>
        <v>0</v>
      </c>
      <c r="J84" s="4">
        <f ca="1"/>
        <v>943309.85097717727</v>
      </c>
      <c r="K84" s="4">
        <f ca="1"/>
        <v>71094.334753569303</v>
      </c>
      <c r="L84" s="4">
        <f ca="1"/>
        <v>40062.969467007264</v>
      </c>
      <c r="M84" s="4">
        <f ca="1"/>
        <v>31789.75762952026</v>
      </c>
      <c r="N84" s="4">
        <f ca="1"/>
        <v>911520.09334765736</v>
      </c>
      <c r="O84" s="4">
        <f ca="1"/>
        <v>10920.849738598366</v>
      </c>
      <c r="P84" s="3">
        <f ca="1"/>
        <v>2.3521921915501984</v>
      </c>
      <c r="Q84" s="3">
        <f ca="1"/>
        <v>0.27015137532401595</v>
      </c>
    </row>
    <row r="85" spans="4:17" x14ac:dyDescent="0.25">
      <c r="D85" s="3">
        <f ca="1"/>
        <v>71</v>
      </c>
      <c r="E85" s="4">
        <f ca="1"/>
        <v>911520.09334765736</v>
      </c>
      <c r="F85" s="4">
        <f ca="1"/>
        <v>17255.082896856085</v>
      </c>
      <c r="G85" s="4">
        <f ca="1"/>
        <v>6902.0331587424362</v>
      </c>
      <c r="H85" s="4">
        <f ca="1"/>
        <v>10353.049738113654</v>
      </c>
      <c r="I85" s="7">
        <f ca="1"/>
        <v>0</v>
      </c>
      <c r="J85" s="4">
        <f ca="1"/>
        <v>894265.010450801</v>
      </c>
      <c r="K85" s="4">
        <f ca="1"/>
        <v>68773.210143251461</v>
      </c>
      <c r="L85" s="4">
        <f ca="1"/>
        <v>37980.003889485706</v>
      </c>
      <c r="M85" s="4">
        <f ca="1"/>
        <v>31512.168041134737</v>
      </c>
      <c r="N85" s="4">
        <f ca="1"/>
        <v>862752.84240966593</v>
      </c>
      <c r="O85" s="4">
        <f ca="1"/>
        <v>10353.049738113654</v>
      </c>
      <c r="P85" s="3">
        <f ca="1"/>
        <v>2.3521921915502007</v>
      </c>
      <c r="Q85" s="3">
        <f ca="1"/>
        <v>0.27015137532401606</v>
      </c>
    </row>
    <row r="86" spans="4:17" x14ac:dyDescent="0.25">
      <c r="D86" s="3">
        <f ca="1"/>
        <v>72</v>
      </c>
      <c r="E86" s="4">
        <f ca="1"/>
        <v>862752.84240966593</v>
      </c>
      <c r="F86" s="4">
        <f ca="1"/>
        <v>16331.918433748784</v>
      </c>
      <c r="G86" s="4">
        <f ca="1"/>
        <v>6532.7673734995124</v>
      </c>
      <c r="H86" s="4">
        <f ca="1"/>
        <v>9799.1510602492726</v>
      </c>
      <c r="I86" s="7">
        <f ca="1"/>
        <v>0</v>
      </c>
      <c r="J86" s="4">
        <f ca="1"/>
        <v>846420.92397591739</v>
      </c>
      <c r="K86" s="4">
        <f ca="1"/>
        <v>66651.5808028803</v>
      </c>
      <c r="L86" s="4">
        <f ca="1"/>
        <v>35948.035100402769</v>
      </c>
      <c r="M86" s="4">
        <f ca="1"/>
        <v>31384.042303883711</v>
      </c>
      <c r="N86" s="4">
        <f ca="1"/>
        <v>815036.88167203369</v>
      </c>
      <c r="O86" s="4">
        <f ca="1"/>
        <v>9799.1510602492726</v>
      </c>
      <c r="P86" s="3">
        <f ca="1"/>
        <v>2.3521921915502007</v>
      </c>
      <c r="Q86" s="3">
        <f ca="1"/>
        <v>0.27015137532401601</v>
      </c>
    </row>
    <row r="87" spans="4:17" x14ac:dyDescent="0.25">
      <c r="D87" s="3">
        <f ca="1"/>
        <v>73</v>
      </c>
      <c r="E87" s="4">
        <f ca="1"/>
        <v>815036.88167203369</v>
      </c>
      <c r="F87" s="4">
        <f ca="1"/>
        <v>15428.654902818633</v>
      </c>
      <c r="G87" s="4">
        <f ca="1"/>
        <v>6171.4619611274547</v>
      </c>
      <c r="H87" s="4">
        <f ca="1"/>
        <v>9257.1929416911807</v>
      </c>
      <c r="I87" s="7">
        <f ca="1"/>
        <v>0</v>
      </c>
      <c r="J87" s="4">
        <f ca="1"/>
        <v>799608.22676921519</v>
      </c>
      <c r="K87" s="4">
        <f ca="1"/>
        <v>62256.035627999052</v>
      </c>
      <c r="L87" s="4">
        <f ca="1"/>
        <v>33959.870069668061</v>
      </c>
      <c r="M87" s="4">
        <f ca="1"/>
        <v>28939.026179281733</v>
      </c>
      <c r="N87" s="4">
        <f ca="1"/>
        <v>770669.2005899332</v>
      </c>
      <c r="O87" s="4">
        <f ca="1"/>
        <v>9257.1929416911807</v>
      </c>
      <c r="P87" s="3">
        <f ca="1"/>
        <v>2.3521921915501998</v>
      </c>
      <c r="Q87" s="3">
        <f ca="1"/>
        <v>0.27015137532401612</v>
      </c>
    </row>
    <row r="88" spans="4:17" x14ac:dyDescent="0.25">
      <c r="D88" s="3">
        <f ca="1"/>
        <v>74</v>
      </c>
      <c r="E88" s="4">
        <f ca="1"/>
        <v>770669.2005899332</v>
      </c>
      <c r="F88" s="4">
        <f ca="1"/>
        <v>14588.77433342682</v>
      </c>
      <c r="G88" s="4">
        <f ca="1"/>
        <v>5835.5097333707254</v>
      </c>
      <c r="H88" s="4">
        <f ca="1"/>
        <v>8753.2646000560908</v>
      </c>
      <c r="I88" s="7">
        <f ca="1"/>
        <v>0</v>
      </c>
      <c r="J88" s="4">
        <f ca="1"/>
        <v>756080.42625650659</v>
      </c>
      <c r="K88" s="4">
        <f ca="1"/>
        <v>56964.679482444284</v>
      </c>
      <c r="L88" s="4">
        <f ca="1"/>
        <v>32111.21669124722</v>
      </c>
      <c r="M88" s="4">
        <f ca="1"/>
        <v>25461.328388423186</v>
      </c>
      <c r="N88" s="4">
        <f ca="1"/>
        <v>730619.09786808386</v>
      </c>
      <c r="O88" s="4">
        <f ca="1"/>
        <v>8753.2646000560908</v>
      </c>
      <c r="P88" s="3">
        <f ca="1"/>
        <v>2.3521921915502002</v>
      </c>
      <c r="Q88" s="3">
        <f ca="1"/>
        <v>0.27015137532401617</v>
      </c>
    </row>
    <row r="89" spans="4:17" x14ac:dyDescent="0.25">
      <c r="D89" s="3">
        <f ca="1"/>
        <v>75</v>
      </c>
      <c r="E89" s="4">
        <f ca="1"/>
        <v>730619.09786808386</v>
      </c>
      <c r="F89" s="4">
        <f ca="1"/>
        <v>13830.625558060712</v>
      </c>
      <c r="G89" s="4">
        <f ca="1"/>
        <v>5532.2502232242869</v>
      </c>
      <c r="H89" s="4">
        <f ca="1"/>
        <v>8298.3753348364298</v>
      </c>
      <c r="I89" s="7">
        <f ca="1"/>
        <v>0</v>
      </c>
      <c r="J89" s="4">
        <f ca="1"/>
        <v>716788.47231002315</v>
      </c>
      <c r="K89" s="4">
        <f ca="1"/>
        <v>54921.609140531036</v>
      </c>
      <c r="L89" s="4">
        <f ca="1"/>
        <v>30442.462411170156</v>
      </c>
      <c r="M89" s="4">
        <f ca="1"/>
        <v>25055.422794280097</v>
      </c>
      <c r="N89" s="4">
        <f ca="1"/>
        <v>691733.04951574281</v>
      </c>
      <c r="O89" s="4">
        <f ca="1"/>
        <v>8298.3753348364298</v>
      </c>
      <c r="P89" s="3">
        <f ca="1"/>
        <v>2.3521921915502002</v>
      </c>
      <c r="Q89" s="3">
        <f ca="1"/>
        <v>0.2701513753240159</v>
      </c>
    </row>
    <row r="90" spans="4:17" x14ac:dyDescent="0.25">
      <c r="D90" s="3">
        <f ca="1"/>
        <v>76</v>
      </c>
      <c r="E90" s="4">
        <f ca="1"/>
        <v>691733.04951574281</v>
      </c>
      <c r="F90" s="4">
        <f ca="1"/>
        <v>13094.512341525311</v>
      </c>
      <c r="G90" s="4">
        <f ca="1"/>
        <v>5237.804936610125</v>
      </c>
      <c r="H90" s="4">
        <f ca="1"/>
        <v>7856.7074049151843</v>
      </c>
      <c r="I90" s="7">
        <f ca="1"/>
        <v>0</v>
      </c>
      <c r="J90" s="4">
        <f ca="1"/>
        <v>678638.5371742174</v>
      </c>
      <c r="K90" s="4">
        <f ca="1"/>
        <v>51633.142586483154</v>
      </c>
      <c r="L90" s="4">
        <f ca="1"/>
        <v>28822.21039648927</v>
      </c>
      <c r="M90" s="4">
        <f ca="1"/>
        <v>23356.536870890766</v>
      </c>
      <c r="N90" s="4">
        <f ca="1"/>
        <v>655282.00030332664</v>
      </c>
      <c r="O90" s="4">
        <f ca="1"/>
        <v>7856.7074049151843</v>
      </c>
      <c r="P90" s="3">
        <f ca="1"/>
        <v>2.3521921915501998</v>
      </c>
      <c r="Q90" s="3">
        <f ca="1"/>
        <v>0.27015137532401595</v>
      </c>
    </row>
    <row r="91" spans="4:17" x14ac:dyDescent="0.25">
      <c r="D91" s="3">
        <f ca="1"/>
        <v>77</v>
      </c>
      <c r="E91" s="4">
        <f ca="1"/>
        <v>655282.00030332664</v>
      </c>
      <c r="F91" s="4">
        <f ca="1"/>
        <v>12404.493678823452</v>
      </c>
      <c r="G91" s="4">
        <f ca="1"/>
        <v>4961.7974715293794</v>
      </c>
      <c r="H91" s="4">
        <f ca="1"/>
        <v>7442.6962072940714</v>
      </c>
      <c r="I91" s="7">
        <f ca="1"/>
        <v>0</v>
      </c>
      <c r="J91" s="4">
        <f ca="1"/>
        <v>642877.50662450318</v>
      </c>
      <c r="K91" s="4">
        <f ca="1"/>
        <v>49713.853598593392</v>
      </c>
      <c r="L91" s="4">
        <f ca="1"/>
        <v>27303.416679305275</v>
      </c>
      <c r="M91" s="4">
        <f ca="1"/>
        <v>22927.290822572413</v>
      </c>
      <c r="N91" s="4">
        <f ca="1"/>
        <v>619950.21580193052</v>
      </c>
      <c r="O91" s="4">
        <f ca="1"/>
        <v>7442.6962072940714</v>
      </c>
      <c r="P91" s="3">
        <f ca="1"/>
        <v>2.3521921915502011</v>
      </c>
      <c r="Q91" s="3">
        <f ca="1"/>
        <v>0.27015137532401595</v>
      </c>
    </row>
    <row r="92" spans="4:17" x14ac:dyDescent="0.25">
      <c r="D92" s="3">
        <f ca="1"/>
        <v>78</v>
      </c>
      <c r="E92" s="4">
        <f ca="1"/>
        <v>619950.21580193052</v>
      </c>
      <c r="F92" s="4">
        <f ca="1"/>
        <v>11735.662706347104</v>
      </c>
      <c r="G92" s="4">
        <f ca="1"/>
        <v>4694.2650825388437</v>
      </c>
      <c r="H92" s="4">
        <f ca="1"/>
        <v>7041.3976238082651</v>
      </c>
      <c r="I92" s="7">
        <f ca="1"/>
        <v>0</v>
      </c>
      <c r="J92" s="4">
        <f ca="1"/>
        <v>608214.5530955838</v>
      </c>
      <c r="K92" s="4">
        <f ca="1"/>
        <v>46999.860551920319</v>
      </c>
      <c r="L92" s="4">
        <f ca="1"/>
        <v>25831.258991747109</v>
      </c>
      <c r="M92" s="4">
        <f ca="1"/>
        <v>21657.587506270971</v>
      </c>
      <c r="N92" s="4">
        <f ca="1"/>
        <v>586556.9655893126</v>
      </c>
      <c r="O92" s="4">
        <f ca="1"/>
        <v>7041.3976238082651</v>
      </c>
      <c r="P92" s="3">
        <f ca="1"/>
        <v>2.3521921915501989</v>
      </c>
      <c r="Q92" s="3">
        <f ca="1"/>
        <v>0.27015137532401606</v>
      </c>
    </row>
    <row r="93" spans="4:17" x14ac:dyDescent="0.25">
      <c r="D93" s="3">
        <f ca="1"/>
        <v>79</v>
      </c>
      <c r="E93" s="4">
        <f ca="1"/>
        <v>586556.9655893126</v>
      </c>
      <c r="F93" s="4">
        <f ca="1"/>
        <v>11103.528203970956</v>
      </c>
      <c r="G93" s="4">
        <f ca="1"/>
        <v>4441.4112815883846</v>
      </c>
      <c r="H93" s="4">
        <f ca="1"/>
        <v>6662.1169223825773</v>
      </c>
      <c r="I93" s="7">
        <f ca="1"/>
        <v>0</v>
      </c>
      <c r="J93" s="4">
        <f ca="1"/>
        <v>575453.43738534197</v>
      </c>
      <c r="K93" s="4">
        <f ca="1"/>
        <v>45559.265174605142</v>
      </c>
      <c r="L93" s="4">
        <f ca="1"/>
        <v>24439.873566221366</v>
      </c>
      <c r="M93" s="4">
        <f ca="1"/>
        <v>21582.038616882593</v>
      </c>
      <c r="N93" s="4">
        <f ca="1"/>
        <v>553871.39876845898</v>
      </c>
      <c r="O93" s="4">
        <f ca="1"/>
        <v>6662.1169223825773</v>
      </c>
      <c r="P93" s="3">
        <f ca="1"/>
        <v>2.3521921915501989</v>
      </c>
      <c r="Q93" s="3">
        <f ca="1"/>
        <v>0.27015137532401579</v>
      </c>
    </row>
    <row r="94" spans="4:17" x14ac:dyDescent="0.25">
      <c r="D94" s="3">
        <f ca="1"/>
        <v>80</v>
      </c>
      <c r="E94" s="4">
        <f ca="1"/>
        <v>553871.39876845898</v>
      </c>
      <c r="F94" s="4">
        <f ca="1"/>
        <v>10484.790154046868</v>
      </c>
      <c r="G94" s="4">
        <f ca="1"/>
        <v>4193.9160616187464</v>
      </c>
      <c r="H94" s="4">
        <f ca="1"/>
        <v>6290.874092428121</v>
      </c>
      <c r="I94" s="7">
        <f ca="1"/>
        <v>0</v>
      </c>
      <c r="J94" s="4">
        <f ca="1"/>
        <v>543386.60861441214</v>
      </c>
      <c r="K94" s="4">
        <f ca="1"/>
        <v>43709.305317675979</v>
      </c>
      <c r="L94" s="4">
        <f ca="1"/>
        <v>23077.974948685795</v>
      </c>
      <c r="M94" s="4">
        <f ca="1"/>
        <v>21068.196625408789</v>
      </c>
      <c r="N94" s="4">
        <f ca="1"/>
        <v>522318.41198900359</v>
      </c>
      <c r="O94" s="4">
        <f ca="1"/>
        <v>6290.874092428121</v>
      </c>
      <c r="P94" s="3">
        <f ca="1"/>
        <v>2.3521921915502015</v>
      </c>
      <c r="Q94" s="3">
        <f ca="1"/>
        <v>0.27015137532401612</v>
      </c>
    </row>
    <row r="95" spans="4:17" x14ac:dyDescent="0.25">
      <c r="D95" s="3">
        <f ca="1"/>
        <v>81</v>
      </c>
      <c r="E95" s="4">
        <f ca="1"/>
        <v>522318.41198900359</v>
      </c>
      <c r="F95" s="4">
        <f ca="1"/>
        <v>9887.4918536623336</v>
      </c>
      <c r="G95" s="4">
        <f ca="1"/>
        <v>3954.9967414649332</v>
      </c>
      <c r="H95" s="4">
        <f ca="1"/>
        <v>5932.4951121973982</v>
      </c>
      <c r="I95" s="7">
        <f ca="1"/>
        <v>0</v>
      </c>
      <c r="J95" s="4">
        <f ca="1"/>
        <v>512430.92013534118</v>
      </c>
      <c r="K95" s="4">
        <f ca="1"/>
        <v>42173.467180216983</v>
      </c>
      <c r="L95" s="4">
        <f ca="1"/>
        <v>21763.267166208476</v>
      </c>
      <c r="M95" s="4">
        <f ca="1"/>
        <v>20822.178841244433</v>
      </c>
      <c r="N95" s="4">
        <f ca="1"/>
        <v>491608.74129409675</v>
      </c>
      <c r="O95" s="4">
        <f ca="1"/>
        <v>5932.4951121973982</v>
      </c>
      <c r="P95" s="3">
        <f ca="1"/>
        <v>2.3521921915501984</v>
      </c>
      <c r="Q95" s="3">
        <f ca="1"/>
        <v>0.27015137532401606</v>
      </c>
    </row>
    <row r="96" spans="4:17" x14ac:dyDescent="0.25">
      <c r="D96" s="3">
        <f ca="1"/>
        <v>82</v>
      </c>
      <c r="E96" s="4">
        <f ca="1"/>
        <v>491608.74129409675</v>
      </c>
      <c r="F96" s="4">
        <f ca="1"/>
        <v>9306.1575337246722</v>
      </c>
      <c r="G96" s="4">
        <f ca="1"/>
        <v>3722.4630134898689</v>
      </c>
      <c r="H96" s="4">
        <f ca="1"/>
        <v>5583.6945202348061</v>
      </c>
      <c r="I96" s="7">
        <f ca="1"/>
        <v>0</v>
      </c>
      <c r="J96" s="4">
        <f ca="1"/>
        <v>482302.58376037196</v>
      </c>
      <c r="K96" s="4">
        <f ca="1"/>
        <v>39300.260349143762</v>
      </c>
      <c r="L96" s="4">
        <f ca="1"/>
        <v>20483.697553920691</v>
      </c>
      <c r="M96" s="4">
        <f ca="1"/>
        <v>19204.319359128251</v>
      </c>
      <c r="N96" s="4">
        <f ca="1"/>
        <v>463098.26440124371</v>
      </c>
      <c r="O96" s="4">
        <f ca="1"/>
        <v>5583.6945202348061</v>
      </c>
      <c r="P96" s="3">
        <f ca="1"/>
        <v>2.3521921915502002</v>
      </c>
      <c r="Q96" s="3">
        <f ca="1"/>
        <v>0.27015137532401595</v>
      </c>
    </row>
    <row r="97" spans="4:17" x14ac:dyDescent="0.25">
      <c r="D97" s="3">
        <f ca="1"/>
        <v>83</v>
      </c>
      <c r="E97" s="4">
        <f ca="1"/>
        <v>463098.26440124371</v>
      </c>
      <c r="F97" s="4">
        <f ca="1"/>
        <v>8766.4539706267551</v>
      </c>
      <c r="G97" s="4">
        <f ca="1"/>
        <v>3506.581588250704</v>
      </c>
      <c r="H97" s="4">
        <f ca="1"/>
        <v>5259.8723823760556</v>
      </c>
      <c r="I97" s="7">
        <f ca="1"/>
        <v>0</v>
      </c>
      <c r="J97" s="4">
        <f ca="1"/>
        <v>454331.81043061678</v>
      </c>
      <c r="K97" s="4">
        <f ca="1"/>
        <v>38302.155786026087</v>
      </c>
      <c r="L97" s="4">
        <f ca="1"/>
        <v>19295.761016718487</v>
      </c>
      <c r="M97" s="4">
        <f ca="1"/>
        <v>19371.663684750361</v>
      </c>
      <c r="N97" s="4">
        <f ca="1"/>
        <v>434960.14674586669</v>
      </c>
      <c r="O97" s="4">
        <f ca="1"/>
        <v>5259.8723823760556</v>
      </c>
      <c r="P97" s="3">
        <f ca="1"/>
        <v>2.3521921915502015</v>
      </c>
      <c r="Q97" s="3">
        <f ca="1"/>
        <v>0.27015137532401629</v>
      </c>
    </row>
    <row r="98" spans="4:17" x14ac:dyDescent="0.25">
      <c r="D98" s="3">
        <f ca="1"/>
        <v>84</v>
      </c>
      <c r="E98" s="4">
        <f ca="1"/>
        <v>434960.14674586669</v>
      </c>
      <c r="F98" s="4">
        <f ca="1"/>
        <v>8233.7991709702001</v>
      </c>
      <c r="G98" s="4">
        <f ca="1"/>
        <v>3293.5196683880799</v>
      </c>
      <c r="H98" s="4">
        <f ca="1"/>
        <v>4940.2795025821215</v>
      </c>
      <c r="I98" s="7">
        <f ca="1"/>
        <v>0</v>
      </c>
      <c r="J98" s="4">
        <f ca="1"/>
        <v>426726.3475748963</v>
      </c>
      <c r="K98" s="4">
        <f ca="1"/>
        <v>36775.082931717741</v>
      </c>
      <c r="L98" s="4">
        <f ca="1"/>
        <v>18123.339447744431</v>
      </c>
      <c r="M98" s="4">
        <f ca="1"/>
        <v>18994.818449430393</v>
      </c>
      <c r="N98" s="4">
        <f ca="1"/>
        <v>407731.52912546607</v>
      </c>
      <c r="O98" s="4">
        <f ca="1"/>
        <v>4940.2795025821215</v>
      </c>
      <c r="P98" s="3">
        <f ca="1"/>
        <v>2.3521921915501998</v>
      </c>
      <c r="Q98" s="3">
        <f ca="1"/>
        <v>0.27015137532401612</v>
      </c>
    </row>
    <row r="99" spans="4:17" x14ac:dyDescent="0.25">
      <c r="D99" s="3">
        <f ca="1"/>
        <v>85</v>
      </c>
      <c r="E99" s="4">
        <f ca="1"/>
        <v>407731.52912546607</v>
      </c>
      <c r="F99" s="4">
        <f ca="1"/>
        <v>7718.3612144888484</v>
      </c>
      <c r="G99" s="4">
        <f ca="1"/>
        <v>3087.3444857955392</v>
      </c>
      <c r="H99" s="4">
        <f ca="1"/>
        <v>4631.0167286933111</v>
      </c>
      <c r="I99" s="7">
        <f ca="1"/>
        <v>0</v>
      </c>
      <c r="J99" s="4">
        <f ca="1"/>
        <v>400013.16791097727</v>
      </c>
      <c r="K99" s="4">
        <f ca="1"/>
        <v>35631.154158226956</v>
      </c>
      <c r="L99" s="4">
        <f ca="1"/>
        <v>16988.813713561096</v>
      </c>
      <c r="M99" s="4">
        <f ca="1"/>
        <v>18963.938828602928</v>
      </c>
      <c r="N99" s="4">
        <f ca="1"/>
        <v>381049.22908237425</v>
      </c>
      <c r="O99" s="4">
        <f ca="1"/>
        <v>4631.0167286933111</v>
      </c>
      <c r="P99" s="3">
        <f ca="1"/>
        <v>2.3521921915501998</v>
      </c>
      <c r="Q99" s="3">
        <f ca="1"/>
        <v>0.27015137532401601</v>
      </c>
    </row>
    <row r="100" spans="4:17" x14ac:dyDescent="0.25">
      <c r="D100" s="3">
        <f ca="1"/>
        <v>86</v>
      </c>
      <c r="E100" s="4">
        <f ca="1"/>
        <v>381049.22908237425</v>
      </c>
      <c r="F100" s="4">
        <f ca="1"/>
        <v>7213.265054258909</v>
      </c>
      <c r="G100" s="4">
        <f ca="1"/>
        <v>2885.3060217035641</v>
      </c>
      <c r="H100" s="4">
        <f ca="1"/>
        <v>4327.9590325553463</v>
      </c>
      <c r="I100" s="7">
        <f ca="1"/>
        <v>0</v>
      </c>
      <c r="J100" s="4">
        <f ca="1"/>
        <v>373835.96402811538</v>
      </c>
      <c r="K100" s="4">
        <f ca="1"/>
        <v>33856.144288775584</v>
      </c>
      <c r="L100" s="4">
        <f ca="1"/>
        <v>15877.051211765591</v>
      </c>
      <c r="M100" s="4">
        <f ca="1"/>
        <v>18279.645787604113</v>
      </c>
      <c r="N100" s="4">
        <f ca="1"/>
        <v>355556.31824051135</v>
      </c>
      <c r="O100" s="4">
        <f ca="1"/>
        <v>4327.9590325553463</v>
      </c>
      <c r="P100" s="3">
        <f ca="1"/>
        <v>2.3521921915502002</v>
      </c>
      <c r="Q100" s="3">
        <f ca="1"/>
        <v>0.27015137532401601</v>
      </c>
    </row>
    <row r="101" spans="4:17" x14ac:dyDescent="0.25">
      <c r="D101" s="3">
        <f ca="1"/>
        <v>87</v>
      </c>
      <c r="E101" s="4">
        <f ca="1"/>
        <v>355556.31824051135</v>
      </c>
      <c r="F101" s="4">
        <f ca="1"/>
        <v>6730.6840414334083</v>
      </c>
      <c r="G101" s="4">
        <f ca="1"/>
        <v>2692.2736165733631</v>
      </c>
      <c r="H101" s="4">
        <f ca="1"/>
        <v>4038.4104248600456</v>
      </c>
      <c r="I101" s="7">
        <f ca="1"/>
        <v>0</v>
      </c>
      <c r="J101" s="4">
        <f ca="1"/>
        <v>348825.63419907779</v>
      </c>
      <c r="K101" s="4">
        <f ca="1"/>
        <v>32745.337524918341</v>
      </c>
      <c r="L101" s="4">
        <f ca="1"/>
        <v>14814.846593354636</v>
      </c>
      <c r="M101" s="4">
        <f ca="1"/>
        <v>18210.936099956765</v>
      </c>
      <c r="N101" s="4">
        <f ca="1"/>
        <v>330614.69809912116</v>
      </c>
      <c r="O101" s="4">
        <f ca="1"/>
        <v>4038.4104248600456</v>
      </c>
      <c r="P101" s="3">
        <f ca="1"/>
        <v>2.3521921915502007</v>
      </c>
      <c r="Q101" s="3">
        <f ca="1"/>
        <v>0.27015137532401617</v>
      </c>
    </row>
    <row r="102" spans="4:17" x14ac:dyDescent="0.25">
      <c r="D102" s="3">
        <f ca="1"/>
        <v>88</v>
      </c>
      <c r="E102" s="4">
        <f ca="1"/>
        <v>330614.69809912116</v>
      </c>
      <c r="F102" s="4">
        <f ca="1"/>
        <v>6258.5389661219024</v>
      </c>
      <c r="G102" s="4">
        <f ca="1"/>
        <v>2503.4155864487607</v>
      </c>
      <c r="H102" s="4">
        <f ca="1"/>
        <v>3755.123379673139</v>
      </c>
      <c r="I102" s="7">
        <f ca="1"/>
        <v>0</v>
      </c>
      <c r="J102" s="4">
        <f ca="1"/>
        <v>324356.15913299914</v>
      </c>
      <c r="K102" s="4">
        <f ca="1"/>
        <v>30849.90386859814</v>
      </c>
      <c r="L102" s="4">
        <f ca="1"/>
        <v>13775.612420796708</v>
      </c>
      <c r="M102" s="4">
        <f ca="1"/>
        <v>17335.063904723163</v>
      </c>
      <c r="N102" s="4">
        <f ca="1"/>
        <v>307021.09522827604</v>
      </c>
      <c r="O102" s="4">
        <f ca="1"/>
        <v>3755.123379673139</v>
      </c>
      <c r="P102" s="3">
        <f ca="1"/>
        <v>2.3521921915502007</v>
      </c>
      <c r="Q102" s="3">
        <f ca="1"/>
        <v>0.27015137532401617</v>
      </c>
    </row>
    <row r="103" spans="4:17" x14ac:dyDescent="0.25">
      <c r="D103" s="3">
        <f ca="1"/>
        <v>89</v>
      </c>
      <c r="E103" s="4">
        <f ca="1"/>
        <v>307021.09522827604</v>
      </c>
      <c r="F103" s="4">
        <f ca="1"/>
        <v>5811.9118688773642</v>
      </c>
      <c r="G103" s="4">
        <f ca="1"/>
        <v>2324.7647475509457</v>
      </c>
      <c r="H103" s="4">
        <f ca="1"/>
        <v>3487.1471213264167</v>
      </c>
      <c r="I103" s="7">
        <f ca="1"/>
        <v>0</v>
      </c>
      <c r="J103" s="4">
        <f ca="1"/>
        <v>301209.18335939851</v>
      </c>
      <c r="K103" s="4">
        <f ca="1"/>
        <v>30024.617913073824</v>
      </c>
      <c r="L103" s="4">
        <f ca="1"/>
        <v>12792.5456345115</v>
      </c>
      <c r="M103" s="4">
        <f ca="1"/>
        <v>17474.235273098875</v>
      </c>
      <c r="N103" s="4">
        <f ca="1"/>
        <v>283734.9480862997</v>
      </c>
      <c r="O103" s="4">
        <f ca="1"/>
        <v>3487.1471213264167</v>
      </c>
      <c r="P103" s="3">
        <f ca="1"/>
        <v>2.352192191550202</v>
      </c>
      <c r="Q103" s="3">
        <f ca="1"/>
        <v>0.27015137532401617</v>
      </c>
    </row>
    <row r="104" spans="4:17" x14ac:dyDescent="0.25">
      <c r="D104" s="3">
        <f ca="1"/>
        <v>90</v>
      </c>
      <c r="E104" s="4">
        <f ca="1"/>
        <v>283734.9480862997</v>
      </c>
      <c r="F104" s="4">
        <f ca="1"/>
        <v>5371.1049111201082</v>
      </c>
      <c r="G104" s="4">
        <f ca="1"/>
        <v>2148.4419644480436</v>
      </c>
      <c r="H104" s="4">
        <f ca="1"/>
        <v>3222.6629466720642</v>
      </c>
      <c r="I104" s="7">
        <f ca="1"/>
        <v>0</v>
      </c>
      <c r="J104" s="4">
        <f ca="1"/>
        <v>278363.84317517967</v>
      </c>
      <c r="K104" s="4">
        <f ca="1"/>
        <v>28483.204676450441</v>
      </c>
      <c r="L104" s="4">
        <f ca="1"/>
        <v>11822.289503595819</v>
      </c>
      <c r="M104" s="4">
        <f ca="1"/>
        <v>16884.711210817961</v>
      </c>
      <c r="N104" s="4">
        <f ca="1"/>
        <v>261479.13196436159</v>
      </c>
      <c r="O104" s="4">
        <f ca="1"/>
        <v>3222.6629466720642</v>
      </c>
      <c r="P104" s="3">
        <f ca="1"/>
        <v>2.3521921915502007</v>
      </c>
      <c r="Q104" s="3">
        <f ca="1"/>
        <v>0.27015137532401606</v>
      </c>
    </row>
    <row r="105" spans="4:17" x14ac:dyDescent="0.25">
      <c r="D105" s="3">
        <f ca="1"/>
        <v>91</v>
      </c>
      <c r="E105" s="4">
        <f ca="1"/>
        <v>261479.13196436159</v>
      </c>
      <c r="F105" s="4">
        <f ca="1"/>
        <v>4949.8021280834218</v>
      </c>
      <c r="G105" s="4">
        <f ca="1"/>
        <v>1979.9208512333689</v>
      </c>
      <c r="H105" s="4">
        <f ca="1"/>
        <v>2969.8812768500538</v>
      </c>
      <c r="I105" s="7">
        <f ca="1"/>
        <v>0</v>
      </c>
      <c r="J105" s="4">
        <f ca="1"/>
        <v>256529.32983627825</v>
      </c>
      <c r="K105" s="4">
        <f ca="1"/>
        <v>27830.44708788666</v>
      </c>
      <c r="L105" s="4">
        <f ca="1"/>
        <v>10894.963831848403</v>
      </c>
      <c r="M105" s="4">
        <f ca="1"/>
        <v>17141.725011375067</v>
      </c>
      <c r="N105" s="4">
        <f ca="1"/>
        <v>239387.60482490328</v>
      </c>
      <c r="O105" s="4">
        <f ca="1"/>
        <v>2969.8812768500538</v>
      </c>
      <c r="P105" s="3">
        <f ca="1"/>
        <v>2.3521921915502002</v>
      </c>
      <c r="Q105" s="3">
        <f ca="1"/>
        <v>0.27015137532401601</v>
      </c>
    </row>
    <row r="106" spans="4:17" x14ac:dyDescent="0.25">
      <c r="D106" s="3">
        <f ca="1"/>
        <v>92</v>
      </c>
      <c r="E106" s="4">
        <f ca="1"/>
        <v>239387.60482490328</v>
      </c>
      <c r="F106" s="4">
        <f ca="1"/>
        <v>4531.6093368422171</v>
      </c>
      <c r="G106" s="4">
        <f ca="1"/>
        <v>1812.6437347368853</v>
      </c>
      <c r="H106" s="4">
        <f ca="1"/>
        <v>2718.9656021053302</v>
      </c>
      <c r="I106" s="7">
        <f ca="1"/>
        <v>0</v>
      </c>
      <c r="J106" s="4">
        <f ca="1"/>
        <v>234855.99548806105</v>
      </c>
      <c r="K106" s="4">
        <f ca="1"/>
        <v>25167.459459511349</v>
      </c>
      <c r="L106" s="4">
        <f ca="1"/>
        <v>9974.4835343709674</v>
      </c>
      <c r="M106" s="4">
        <f ca="1"/>
        <v>15381.792980842138</v>
      </c>
      <c r="N106" s="4">
        <f ca="1"/>
        <v>219474.20250721878</v>
      </c>
      <c r="O106" s="4">
        <f ca="1"/>
        <v>2718.9656021053302</v>
      </c>
      <c r="P106" s="3">
        <f ca="1"/>
        <v>2.3521921915501989</v>
      </c>
      <c r="Q106" s="3">
        <f ca="1"/>
        <v>0.27015137532401595</v>
      </c>
    </row>
    <row r="107" spans="4:17" x14ac:dyDescent="0.25">
      <c r="D107" s="3">
        <f ca="1"/>
        <v>93</v>
      </c>
      <c r="E107" s="4">
        <f ca="1"/>
        <v>219474.20250721878</v>
      </c>
      <c r="F107" s="4">
        <f ca="1"/>
        <v>4154.6484664700092</v>
      </c>
      <c r="G107" s="4">
        <f ca="1"/>
        <v>1661.8593865880027</v>
      </c>
      <c r="H107" s="4">
        <f ca="1"/>
        <v>2492.7890798820054</v>
      </c>
      <c r="I107" s="7">
        <f ca="1"/>
        <v>0</v>
      </c>
      <c r="J107" s="4">
        <f ca="1"/>
        <v>215319.5540407488</v>
      </c>
      <c r="K107" s="4">
        <f ca="1"/>
        <v>23472.612947401292</v>
      </c>
      <c r="L107" s="4">
        <f ca="1"/>
        <v>9144.758437800785</v>
      </c>
      <c r="M107" s="4">
        <f ca="1"/>
        <v>14500.964862370089</v>
      </c>
      <c r="N107" s="4">
        <f ca="1"/>
        <v>200818.58917837875</v>
      </c>
      <c r="O107" s="4">
        <f ca="1"/>
        <v>2492.7890798820054</v>
      </c>
      <c r="P107" s="3">
        <f ca="1"/>
        <v>2.3521921915502002</v>
      </c>
      <c r="Q107" s="3">
        <f ca="1"/>
        <v>0.27015137532401601</v>
      </c>
    </row>
    <row r="108" spans="4:17" x14ac:dyDescent="0.25">
      <c r="D108" s="3">
        <f ca="1"/>
        <v>94</v>
      </c>
      <c r="E108" s="4">
        <f ca="1"/>
        <v>200818.58917837875</v>
      </c>
      <c r="F108" s="4">
        <f ca="1"/>
        <v>3801.4975520468265</v>
      </c>
      <c r="G108" s="4">
        <f ca="1"/>
        <v>1520.5990208187307</v>
      </c>
      <c r="H108" s="4">
        <f ca="1"/>
        <v>2280.8985312280943</v>
      </c>
      <c r="I108" s="7">
        <f ca="1"/>
        <v>0</v>
      </c>
      <c r="J108" s="4">
        <f ca="1"/>
        <v>197017.09162633182</v>
      </c>
      <c r="K108" s="4">
        <f ca="1"/>
        <v>22781.733602066121</v>
      </c>
      <c r="L108" s="4">
        <f ca="1"/>
        <v>8367.4412157657789</v>
      </c>
      <c r="M108" s="4">
        <f ca="1"/>
        <v>14572.68811763562</v>
      </c>
      <c r="N108" s="4">
        <f ca="1"/>
        <v>182444.40350869633</v>
      </c>
      <c r="O108" s="4">
        <f ca="1"/>
        <v>2280.8985312280943</v>
      </c>
      <c r="P108" s="3">
        <f ca="1"/>
        <v>2.3521921915502011</v>
      </c>
      <c r="Q108" s="3">
        <f ca="1"/>
        <v>0.27015137532401617</v>
      </c>
    </row>
    <row r="109" spans="4:17" x14ac:dyDescent="0.25">
      <c r="D109" s="3">
        <f ca="1"/>
        <v>95</v>
      </c>
      <c r="E109" s="4">
        <f ca="1"/>
        <v>182444.40350869633</v>
      </c>
      <c r="F109" s="4">
        <f ca="1"/>
        <v>3453.6740655362842</v>
      </c>
      <c r="G109" s="4">
        <f ca="1"/>
        <v>1381.4696262145139</v>
      </c>
      <c r="H109" s="4">
        <f ca="1"/>
        <v>2072.2044393217702</v>
      </c>
      <c r="I109" s="7">
        <f ca="1"/>
        <v>0</v>
      </c>
      <c r="J109" s="4">
        <f ca="1"/>
        <v>178990.72944315991</v>
      </c>
      <c r="K109" s="4">
        <f ca="1"/>
        <v>21251.510734977055</v>
      </c>
      <c r="L109" s="4">
        <f ca="1"/>
        <v>7601.8501461956803</v>
      </c>
      <c r="M109" s="4">
        <f ca="1"/>
        <v>13793.563674845385</v>
      </c>
      <c r="N109" s="4">
        <f ca="1"/>
        <v>165197.16576831453</v>
      </c>
      <c r="O109" s="4">
        <f ca="1"/>
        <v>2072.2044393217702</v>
      </c>
      <c r="P109" s="3">
        <f ca="1"/>
        <v>2.3521921915502015</v>
      </c>
      <c r="Q109" s="3">
        <f ca="1"/>
        <v>0.27015137532401612</v>
      </c>
    </row>
    <row r="110" spans="4:17" x14ac:dyDescent="0.25">
      <c r="D110" s="3">
        <f ca="1"/>
        <v>96</v>
      </c>
      <c r="E110" s="4">
        <f ca="1"/>
        <v>165197.16576831453</v>
      </c>
      <c r="F110" s="4">
        <f ca="1"/>
        <v>3127.1837126367741</v>
      </c>
      <c r="G110" s="4">
        <f ca="1"/>
        <v>1250.8734850547094</v>
      </c>
      <c r="H110" s="4">
        <f ca="1"/>
        <v>1876.310227582065</v>
      </c>
      <c r="I110" s="7">
        <f ca="1"/>
        <v>0</v>
      </c>
      <c r="J110" s="4">
        <f ca="1"/>
        <v>162069.98205567783</v>
      </c>
      <c r="K110" s="4">
        <f ca="1"/>
        <v>19099.777660842519</v>
      </c>
      <c r="L110" s="4">
        <f ca="1"/>
        <v>6883.2152403464443</v>
      </c>
      <c r="M110" s="4">
        <f ca="1"/>
        <v>12346.861741855926</v>
      </c>
      <c r="N110" s="4">
        <f ca="1"/>
        <v>149723.12031382188</v>
      </c>
      <c r="O110" s="4">
        <f ca="1"/>
        <v>1876.310227582065</v>
      </c>
      <c r="P110" s="3">
        <f ca="1"/>
        <v>2.3521921915502002</v>
      </c>
      <c r="Q110" s="3">
        <f ca="1"/>
        <v>0.2701513753240159</v>
      </c>
    </row>
    <row r="111" spans="4:17" x14ac:dyDescent="0.25">
      <c r="D111" s="3">
        <f ca="1"/>
        <v>97</v>
      </c>
      <c r="E111" s="4">
        <f ca="1"/>
        <v>149723.12031382188</v>
      </c>
      <c r="F111" s="4">
        <f ca="1"/>
        <v>2834.2599043569344</v>
      </c>
      <c r="G111" s="4">
        <f ca="1"/>
        <v>1133.703961742774</v>
      </c>
      <c r="H111" s="4">
        <f ca="1"/>
        <v>1700.5559426141599</v>
      </c>
      <c r="I111" s="7">
        <f ca="1"/>
        <v>0</v>
      </c>
      <c r="J111" s="4">
        <f ca="1"/>
        <v>146888.86040946498</v>
      </c>
      <c r="K111" s="4">
        <f ca="1"/>
        <v>18471.486159398959</v>
      </c>
      <c r="L111" s="4">
        <f ca="1"/>
        <v>6238.463346409244</v>
      </c>
      <c r="M111" s="4">
        <f ca="1"/>
        <v>12351.116975671262</v>
      </c>
      <c r="N111" s="4">
        <f ca="1"/>
        <v>134537.74343379366</v>
      </c>
      <c r="O111" s="4">
        <f ca="1"/>
        <v>1700.5559426141599</v>
      </c>
      <c r="P111" s="3">
        <f ca="1"/>
        <v>2.3521921915501993</v>
      </c>
      <c r="Q111" s="3">
        <f ca="1"/>
        <v>0.27015137532401601</v>
      </c>
    </row>
    <row r="112" spans="4:17" x14ac:dyDescent="0.25">
      <c r="D112" s="3">
        <f ca="1"/>
        <v>98</v>
      </c>
      <c r="E112" s="4">
        <f ca="1"/>
        <v>134537.74343379366</v>
      </c>
      <c r="F112" s="4">
        <f ca="1"/>
        <v>2546.8005945763098</v>
      </c>
      <c r="G112" s="4">
        <f ca="1"/>
        <v>1018.7202378305241</v>
      </c>
      <c r="H112" s="4">
        <f ca="1"/>
        <v>1528.0803567457854</v>
      </c>
      <c r="I112" s="7">
        <f ca="1"/>
        <v>0</v>
      </c>
      <c r="J112" s="4">
        <f ca="1"/>
        <v>131990.94283921737</v>
      </c>
      <c r="K112" s="4">
        <f ca="1"/>
        <v>16236.530488321036</v>
      </c>
      <c r="L112" s="4">
        <f ca="1"/>
        <v>5605.7393097414042</v>
      </c>
      <c r="M112" s="4">
        <f ca="1"/>
        <v>10736.907870020315</v>
      </c>
      <c r="N112" s="4">
        <f ca="1"/>
        <v>121254.03496919706</v>
      </c>
      <c r="O112" s="4">
        <f ca="1"/>
        <v>1528.0803567457854</v>
      </c>
      <c r="P112" s="3">
        <f ca="1"/>
        <v>2.3521921915502007</v>
      </c>
      <c r="Q112" s="3">
        <f ca="1"/>
        <v>0.27015137532401606</v>
      </c>
    </row>
    <row r="113" spans="4:17" x14ac:dyDescent="0.25">
      <c r="D113" s="3">
        <f ca="1"/>
        <v>99</v>
      </c>
      <c r="E113" s="4">
        <f ca="1"/>
        <v>121254.03496919706</v>
      </c>
      <c r="F113" s="4">
        <f ca="1"/>
        <v>2295.3398836088973</v>
      </c>
      <c r="G113" s="4">
        <f ca="1"/>
        <v>918.13595344355895</v>
      </c>
      <c r="H113" s="4">
        <f ca="1"/>
        <v>1377.2039301653381</v>
      </c>
      <c r="I113" s="7">
        <f ca="1"/>
        <v>0</v>
      </c>
      <c r="J113" s="4">
        <f ca="1"/>
        <v>118958.69508558813</v>
      </c>
      <c r="K113" s="4">
        <f ca="1"/>
        <v>14592.259368472465</v>
      </c>
      <c r="L113" s="4">
        <f ca="1"/>
        <v>5052.251457049877</v>
      </c>
      <c r="M113" s="4">
        <f ca="1"/>
        <v>9635.6470732396228</v>
      </c>
      <c r="N113" s="4">
        <f ca="1"/>
        <v>109323.04801234855</v>
      </c>
      <c r="O113" s="4">
        <f ca="1"/>
        <v>1377.2039301653381</v>
      </c>
      <c r="P113" s="3">
        <f ca="1"/>
        <v>2.3521921915502011</v>
      </c>
      <c r="Q113" s="3">
        <f ca="1"/>
        <v>0.27015137532401606</v>
      </c>
    </row>
    <row r="114" spans="4:17" x14ac:dyDescent="0.25">
      <c r="D114" s="3">
        <f ca="1"/>
        <v>100</v>
      </c>
      <c r="E114" s="4">
        <f ca="1"/>
        <v>109323.04801234855</v>
      </c>
      <c r="F114" s="4">
        <f ca="1"/>
        <v>2069.4862019575694</v>
      </c>
      <c r="G114" s="4">
        <f ca="1"/>
        <v>827.79448078302789</v>
      </c>
      <c r="H114" s="4">
        <f ca="1"/>
        <v>1241.6917211745424</v>
      </c>
      <c r="I114" s="7">
        <f ca="1"/>
        <v>0</v>
      </c>
      <c r="J114" s="4">
        <f ca="1"/>
        <v>107253.56181039098</v>
      </c>
      <c r="K114" s="4">
        <f ca="1"/>
        <v>13978.870988725905</v>
      </c>
      <c r="L114" s="4">
        <f ca="1"/>
        <v>4555.1270005145225</v>
      </c>
      <c r="M114" s="4">
        <f ca="1"/>
        <v>9509.9725799596126</v>
      </c>
      <c r="N114" s="4">
        <f ca="1"/>
        <v>97743.589230431346</v>
      </c>
      <c r="O114" s="4">
        <f ca="1"/>
        <v>1241.6917211745424</v>
      </c>
      <c r="P114" s="3">
        <f ca="1"/>
        <v>2.3521921915501993</v>
      </c>
      <c r="Q114" s="3">
        <f ca="1"/>
        <v>0.27015137532401595</v>
      </c>
    </row>
    <row r="115" spans="4:17" x14ac:dyDescent="0.25">
      <c r="D115" s="3">
        <f ca="1"/>
        <v>101</v>
      </c>
      <c r="E115" s="4">
        <f ca="1"/>
        <v>97743.589230431346</v>
      </c>
      <c r="F115" s="4">
        <f ca="1"/>
        <v>1850.2869515615575</v>
      </c>
      <c r="G115" s="4">
        <f ca="1"/>
        <v>740.11478062462322</v>
      </c>
      <c r="H115" s="4">
        <f ca="1"/>
        <v>1110.1721709369351</v>
      </c>
      <c r="I115" s="7">
        <f ca="1"/>
        <v>0</v>
      </c>
      <c r="J115" s="4">
        <f ca="1"/>
        <v>95893.302278869814</v>
      </c>
      <c r="K115" s="4">
        <f ca="1"/>
        <v>12734.545300724751</v>
      </c>
      <c r="L115" s="4">
        <f ca="1"/>
        <v>4072.6495512679735</v>
      </c>
      <c r="M115" s="4">
        <f ca="1"/>
        <v>8738.9910391051817</v>
      </c>
      <c r="N115" s="4">
        <f ca="1"/>
        <v>87154.311239764618</v>
      </c>
      <c r="O115" s="4">
        <f ca="1"/>
        <v>1110.1721709369351</v>
      </c>
      <c r="P115" s="3">
        <f ca="1"/>
        <v>2.3521921915501998</v>
      </c>
      <c r="Q115" s="3">
        <f ca="1"/>
        <v>0.27015137532401595</v>
      </c>
    </row>
    <row r="116" spans="4:17" x14ac:dyDescent="0.25">
      <c r="D116" s="3">
        <f ca="1"/>
        <v>102</v>
      </c>
      <c r="E116" s="4">
        <f ca="1"/>
        <v>87154.311239764618</v>
      </c>
      <c r="F116" s="4">
        <f ca="1"/>
        <v>1649.8318317234939</v>
      </c>
      <c r="G116" s="4">
        <f ca="1"/>
        <v>659.93273268939731</v>
      </c>
      <c r="H116" s="4">
        <f ca="1"/>
        <v>989.8990990340958</v>
      </c>
      <c r="I116" s="7">
        <f ca="1"/>
        <v>0</v>
      </c>
      <c r="J116" s="4">
        <f ca="1"/>
        <v>85504.479408041108</v>
      </c>
      <c r="K116" s="4">
        <f ca="1"/>
        <v>10976.1093024774</v>
      </c>
      <c r="L116" s="4">
        <f ca="1"/>
        <v>3631.4296349901933</v>
      </c>
      <c r="M116" s="4">
        <f ca="1"/>
        <v>7413.4226604756886</v>
      </c>
      <c r="N116" s="4">
        <f ca="1"/>
        <v>78091.05674756541</v>
      </c>
      <c r="O116" s="4">
        <f ca="1"/>
        <v>989.8990990340958</v>
      </c>
      <c r="P116" s="3">
        <f ca="1"/>
        <v>2.3521921915502002</v>
      </c>
      <c r="Q116" s="3">
        <f ca="1"/>
        <v>0.27015137532401601</v>
      </c>
    </row>
    <row r="117" spans="4:17" x14ac:dyDescent="0.25">
      <c r="D117" s="3">
        <f ca="1"/>
        <v>103</v>
      </c>
      <c r="E117" s="4">
        <f ca="1"/>
        <v>78091.05674756541</v>
      </c>
      <c r="F117" s="4">
        <f ca="1"/>
        <v>1478.2643493174266</v>
      </c>
      <c r="G117" s="4">
        <f ca="1"/>
        <v>591.30573972697084</v>
      </c>
      <c r="H117" s="4">
        <f ca="1"/>
        <v>886.95860959045615</v>
      </c>
      <c r="I117" s="7">
        <f ca="1"/>
        <v>0</v>
      </c>
      <c r="J117" s="4">
        <f ca="1"/>
        <v>76612.792398247999</v>
      </c>
      <c r="K117" s="4">
        <f ca="1"/>
        <v>10546.953489825502</v>
      </c>
      <c r="L117" s="4">
        <f ca="1"/>
        <v>3253.794031148559</v>
      </c>
      <c r="M117" s="4">
        <f ca="1"/>
        <v>7354.7538065651715</v>
      </c>
      <c r="N117" s="4">
        <f ca="1"/>
        <v>69258.038591682824</v>
      </c>
      <c r="O117" s="4">
        <f ca="1"/>
        <v>886.95860959045615</v>
      </c>
      <c r="P117" s="3">
        <f ca="1"/>
        <v>2.3521921915502002</v>
      </c>
      <c r="Q117" s="3">
        <f ca="1"/>
        <v>0.27015137532401606</v>
      </c>
    </row>
    <row r="118" spans="4:17" x14ac:dyDescent="0.25">
      <c r="D118" s="3">
        <f ca="1"/>
        <v>104</v>
      </c>
      <c r="E118" s="4">
        <f ca="1"/>
        <v>69258.038591682824</v>
      </c>
      <c r="F118" s="4">
        <f ca="1"/>
        <v>1311.0552426597449</v>
      </c>
      <c r="G118" s="4">
        <f ca="1"/>
        <v>524.4220970638977</v>
      </c>
      <c r="H118" s="4">
        <f ca="1"/>
        <v>786.63314559584637</v>
      </c>
      <c r="I118" s="7">
        <f ca="1"/>
        <v>0</v>
      </c>
      <c r="J118" s="4">
        <f ca="1"/>
        <v>67946.983349023081</v>
      </c>
      <c r="K118" s="4">
        <f ca="1"/>
        <v>10347.299573137994</v>
      </c>
      <c r="L118" s="4">
        <f ca="1"/>
        <v>2885.7516079867842</v>
      </c>
      <c r="M118" s="4">
        <f ca="1"/>
        <v>7516.1752669287016</v>
      </c>
      <c r="N118" s="4">
        <f ca="1"/>
        <v>60430.808082094387</v>
      </c>
      <c r="O118" s="4">
        <f ca="1"/>
        <v>786.63314559584637</v>
      </c>
      <c r="P118" s="3">
        <f ca="1"/>
        <v>2.3521921915501993</v>
      </c>
      <c r="Q118" s="3">
        <f ca="1"/>
        <v>0.27015137532401612</v>
      </c>
    </row>
    <row r="119" spans="4:17" x14ac:dyDescent="0.25">
      <c r="D119" s="3">
        <f ca="1"/>
        <v>105</v>
      </c>
      <c r="E119" s="4">
        <f ca="1"/>
        <v>60430.808082094387</v>
      </c>
      <c r="F119" s="4">
        <f ca="1"/>
        <v>1143.9556961942201</v>
      </c>
      <c r="G119" s="4">
        <f ca="1"/>
        <v>457.58227847768791</v>
      </c>
      <c r="H119" s="4">
        <f ca="1"/>
        <v>686.37341771653189</v>
      </c>
      <c r="I119" s="7">
        <f ca="1"/>
        <v>0</v>
      </c>
      <c r="J119" s="4">
        <f ca="1"/>
        <v>59286.852385900165</v>
      </c>
      <c r="K119" s="4">
        <f ca="1"/>
        <v>9441.4211985540587</v>
      </c>
      <c r="L119" s="4">
        <f ca="1"/>
        <v>2517.9503367539332</v>
      </c>
      <c r="M119" s="4">
        <f ca="1"/>
        <v>6971.1356824748864</v>
      </c>
      <c r="N119" s="4">
        <f ca="1"/>
        <v>52315.716703425278</v>
      </c>
      <c r="O119" s="4">
        <f ca="1"/>
        <v>686.37341771653189</v>
      </c>
      <c r="P119" s="3">
        <f ca="1"/>
        <v>2.3521921915502007</v>
      </c>
      <c r="Q119" s="3">
        <f ca="1"/>
        <v>0.27015137532401601</v>
      </c>
    </row>
    <row r="120" spans="4:17" x14ac:dyDescent="0.25">
      <c r="D120" s="3">
        <f ca="1"/>
        <v>106</v>
      </c>
      <c r="E120" s="4">
        <f ca="1"/>
        <v>52315.716703425278</v>
      </c>
      <c r="F120" s="4">
        <f ca="1"/>
        <v>990.33694935975927</v>
      </c>
      <c r="G120" s="4">
        <f ca="1"/>
        <v>396.13477974390383</v>
      </c>
      <c r="H120" s="4">
        <f ca="1"/>
        <v>594.20216961585584</v>
      </c>
      <c r="I120" s="7">
        <f ca="1"/>
        <v>0</v>
      </c>
      <c r="J120" s="4">
        <f ca="1"/>
        <v>51325.379754065514</v>
      </c>
      <c r="K120" s="4">
        <f ca="1"/>
        <v>8494.5472807601091</v>
      </c>
      <c r="L120" s="4">
        <f ca="1"/>
        <v>2179.8215293093867</v>
      </c>
      <c r="M120" s="4">
        <f ca="1"/>
        <v>6355.9897910073796</v>
      </c>
      <c r="N120" s="4">
        <f ca="1"/>
        <v>44969.389963058129</v>
      </c>
      <c r="O120" s="4">
        <f ca="1"/>
        <v>594.20216961585584</v>
      </c>
      <c r="P120" s="3">
        <f ca="1"/>
        <v>2.3521921915502002</v>
      </c>
      <c r="Q120" s="3">
        <f ca="1"/>
        <v>0.27015137532401606</v>
      </c>
    </row>
    <row r="121" spans="4:17" x14ac:dyDescent="0.25">
      <c r="D121" s="3">
        <f ca="1"/>
        <v>107</v>
      </c>
      <c r="E121" s="4">
        <f ca="1"/>
        <v>44969.389963058129</v>
      </c>
      <c r="F121" s="4">
        <f ca="1"/>
        <v>851.2709234788814</v>
      </c>
      <c r="G121" s="4">
        <f ca="1"/>
        <v>340.50836939155261</v>
      </c>
      <c r="H121" s="4">
        <f ca="1"/>
        <v>510.76255408732908</v>
      </c>
      <c r="I121" s="7">
        <f ca="1"/>
        <v>0</v>
      </c>
      <c r="J121" s="4">
        <f ca="1"/>
        <v>44118.119039579236</v>
      </c>
      <c r="K121" s="4">
        <f ca="1"/>
        <v>8278.7350750849237</v>
      </c>
      <c r="L121" s="4">
        <f ca="1"/>
        <v>1873.7245817940893</v>
      </c>
      <c r="M121" s="4">
        <f ca="1"/>
        <v>6440.4801151024549</v>
      </c>
      <c r="N121" s="4">
        <f ca="1"/>
        <v>37677.6389244768</v>
      </c>
      <c r="O121" s="4">
        <f ca="1"/>
        <v>510.76255408732908</v>
      </c>
      <c r="P121" s="3">
        <f ca="1"/>
        <v>2.3521921915502007</v>
      </c>
      <c r="Q121" s="3">
        <f ca="1"/>
        <v>0.27015137532401617</v>
      </c>
    </row>
    <row r="122" spans="4:17" x14ac:dyDescent="0.25">
      <c r="D122" s="3">
        <f ca="1"/>
        <v>108</v>
      </c>
      <c r="E122" s="4">
        <f ca="1"/>
        <v>37677.6389244768</v>
      </c>
      <c r="F122" s="4">
        <f ca="1"/>
        <v>713.23801608364181</v>
      </c>
      <c r="G122" s="4">
        <f ca="1"/>
        <v>285.29520643345671</v>
      </c>
      <c r="H122" s="4">
        <f ca="1"/>
        <v>427.94280965018504</v>
      </c>
      <c r="I122" s="7">
        <f ca="1"/>
        <v>0</v>
      </c>
      <c r="J122" s="4">
        <f ca="1"/>
        <v>36964.40090839316</v>
      </c>
      <c r="K122" s="4">
        <f ca="1"/>
        <v>7669.4332920102579</v>
      </c>
      <c r="L122" s="4">
        <f ca="1"/>
        <v>1569.9016218532001</v>
      </c>
      <c r="M122" s="4">
        <f ca="1"/>
        <v>6129.2499208272084</v>
      </c>
      <c r="N122" s="4">
        <f ca="1"/>
        <v>30835.150987565943</v>
      </c>
      <c r="O122" s="4">
        <f ca="1"/>
        <v>427.94280965018504</v>
      </c>
      <c r="P122" s="3">
        <f ca="1"/>
        <v>2.3521921915502002</v>
      </c>
      <c r="Q122" s="3">
        <f ca="1"/>
        <v>0.27015137532401601</v>
      </c>
    </row>
    <row r="123" spans="4:17" x14ac:dyDescent="0.25">
      <c r="D123" s="3">
        <f ca="1"/>
        <v>109</v>
      </c>
      <c r="E123" s="4">
        <f ca="1"/>
        <v>30835.150987565943</v>
      </c>
      <c r="F123" s="4">
        <f ca="1"/>
        <v>583.70966291424747</v>
      </c>
      <c r="G123" s="4">
        <f ca="1"/>
        <v>233.48386516569894</v>
      </c>
      <c r="H123" s="4">
        <f ca="1"/>
        <v>350.22579774854836</v>
      </c>
      <c r="I123" s="7">
        <f ca="1"/>
        <v>0</v>
      </c>
      <c r="J123" s="4">
        <f ca="1"/>
        <v>30251.441324651692</v>
      </c>
      <c r="K123" s="4">
        <f ca="1"/>
        <v>6000.4390228805159</v>
      </c>
      <c r="L123" s="4">
        <f ca="1"/>
        <v>1284.7979578152472</v>
      </c>
      <c r="M123" s="4">
        <f ca="1"/>
        <v>4739.9623010200285</v>
      </c>
      <c r="N123" s="4">
        <f ca="1"/>
        <v>25511.479023631666</v>
      </c>
      <c r="O123" s="4">
        <f ca="1"/>
        <v>350.22579774854836</v>
      </c>
      <c r="P123" s="3">
        <f ca="1"/>
        <v>2.3521921915502007</v>
      </c>
      <c r="Q123" s="3">
        <f ca="1"/>
        <v>0.27015137532401606</v>
      </c>
    </row>
    <row r="124" spans="4:17" x14ac:dyDescent="0.25">
      <c r="D124" s="3">
        <f ca="1"/>
        <v>110</v>
      </c>
      <c r="E124" s="4">
        <f ca="1"/>
        <v>25511.479023631666</v>
      </c>
      <c r="F124" s="4">
        <f ca="1"/>
        <v>482.93250865976756</v>
      </c>
      <c r="G124" s="4">
        <f ca="1"/>
        <v>193.17300346390709</v>
      </c>
      <c r="H124" s="4">
        <f ca="1"/>
        <v>289.75950519586064</v>
      </c>
      <c r="I124" s="7">
        <f ca="1"/>
        <v>0</v>
      </c>
      <c r="J124" s="4">
        <f ca="1"/>
        <v>25028.546514971898</v>
      </c>
      <c r="K124" s="4">
        <f ca="1"/>
        <v>5160.5795974730809</v>
      </c>
      <c r="L124" s="4">
        <f ca="1"/>
        <v>1062.9782926513194</v>
      </c>
      <c r="M124" s="4">
        <f ca="1"/>
        <v>4117.7234926825859</v>
      </c>
      <c r="N124" s="4">
        <f ca="1"/>
        <v>20910.823022289318</v>
      </c>
      <c r="O124" s="4">
        <f ca="1"/>
        <v>289.75950519586064</v>
      </c>
      <c r="P124" s="3">
        <f ca="1"/>
        <v>2.3521921915502002</v>
      </c>
      <c r="Q124" s="3">
        <f ca="1"/>
        <v>0.27015137532401595</v>
      </c>
    </row>
    <row r="125" spans="4:17" x14ac:dyDescent="0.25">
      <c r="D125" s="3">
        <f ca="1"/>
        <v>111</v>
      </c>
      <c r="E125" s="4">
        <f ca="1"/>
        <v>20910.823022289314</v>
      </c>
      <c r="F125" s="4">
        <f ca="1"/>
        <v>395.84205254976382</v>
      </c>
      <c r="G125" s="4">
        <f ca="1"/>
        <v>158.3368210199055</v>
      </c>
      <c r="H125" s="4">
        <f ca="1"/>
        <v>237.50523152985821</v>
      </c>
      <c r="I125" s="7">
        <f ca="1"/>
        <v>0</v>
      </c>
      <c r="J125" s="4">
        <f ca="1"/>
        <v>20514.980969739554</v>
      </c>
      <c r="K125" s="4">
        <f ca="1"/>
        <v>4479.5717852093567</v>
      </c>
      <c r="L125" s="4">
        <f ca="1"/>
        <v>871.28429259538814</v>
      </c>
      <c r="M125" s="4">
        <f ca="1"/>
        <v>3624.7809114702095</v>
      </c>
      <c r="N125" s="4">
        <f ca="1"/>
        <v>16890.200058269336</v>
      </c>
      <c r="O125" s="4">
        <f ca="1"/>
        <v>237.50523152985821</v>
      </c>
      <c r="P125" s="3">
        <f ca="1"/>
        <v>2.3521921915501993</v>
      </c>
      <c r="Q125" s="3">
        <f ca="1"/>
        <v>0.27015137532401595</v>
      </c>
    </row>
    <row r="126" spans="4:17" x14ac:dyDescent="0.25">
      <c r="D126" s="3">
        <f ca="1"/>
        <v>112</v>
      </c>
      <c r="E126" s="4">
        <f ca="1"/>
        <v>16890.200058269336</v>
      </c>
      <c r="F126" s="4">
        <f ca="1"/>
        <v>319.73162662774575</v>
      </c>
      <c r="G126" s="4">
        <f ca="1"/>
        <v>127.89265065109829</v>
      </c>
      <c r="H126" s="4">
        <f ca="1"/>
        <v>191.83897597664739</v>
      </c>
      <c r="I126" s="7">
        <f ca="1"/>
        <v>0</v>
      </c>
      <c r="J126" s="4">
        <f ca="1"/>
        <v>16570.468431641591</v>
      </c>
      <c r="K126" s="4">
        <f ca="1"/>
        <v>4131.7119610329637</v>
      </c>
      <c r="L126" s="4">
        <f ca="1"/>
        <v>703.75833576122238</v>
      </c>
      <c r="M126" s="4">
        <f ca="1"/>
        <v>3441.2757763812306</v>
      </c>
      <c r="N126" s="4">
        <f ca="1"/>
        <v>13129.192655260362</v>
      </c>
      <c r="O126" s="4">
        <f ca="1"/>
        <v>191.83897597664739</v>
      </c>
      <c r="P126" s="3">
        <f ca="1"/>
        <v>2.3521921915502011</v>
      </c>
      <c r="Q126" s="3">
        <f ca="1"/>
        <v>0.27015137532401606</v>
      </c>
    </row>
    <row r="127" spans="4:17" x14ac:dyDescent="0.25">
      <c r="D127" s="3">
        <f ca="1"/>
        <v>113</v>
      </c>
      <c r="E127" s="4">
        <f ca="1"/>
        <v>13129.192655260362</v>
      </c>
      <c r="F127" s="4">
        <f ca="1"/>
        <v>248.53572542026944</v>
      </c>
      <c r="G127" s="4">
        <f ca="1"/>
        <v>99.414290168107783</v>
      </c>
      <c r="H127" s="4">
        <f ca="1"/>
        <v>149.12143525216163</v>
      </c>
      <c r="I127" s="7">
        <f ca="1"/>
        <v>0</v>
      </c>
      <c r="J127" s="4">
        <f ca="1"/>
        <v>12880.656929840092</v>
      </c>
      <c r="K127" s="4">
        <f ca="1"/>
        <v>3295.729321916911</v>
      </c>
      <c r="L127" s="4">
        <f ca="1"/>
        <v>547.0496939691817</v>
      </c>
      <c r="M127" s="4">
        <f ca="1"/>
        <v>2759.0352831735736</v>
      </c>
      <c r="N127" s="4">
        <f ca="1"/>
        <v>10121.621646666519</v>
      </c>
      <c r="O127" s="4">
        <f ca="1"/>
        <v>149.12143525216163</v>
      </c>
      <c r="P127" s="3">
        <f ca="1"/>
        <v>2.3521921915502002</v>
      </c>
      <c r="Q127" s="3">
        <f ca="1"/>
        <v>0.27015137532401595</v>
      </c>
    </row>
    <row r="128" spans="4:17" x14ac:dyDescent="0.25">
      <c r="D128" s="3">
        <f ca="1"/>
        <v>114</v>
      </c>
      <c r="E128" s="4">
        <f ca="1"/>
        <v>10121.621646666516</v>
      </c>
      <c r="F128" s="4">
        <f ca="1"/>
        <v>191.60238138297606</v>
      </c>
      <c r="G128" s="4">
        <f ca="1"/>
        <v>76.640952553190459</v>
      </c>
      <c r="H128" s="4">
        <f ca="1"/>
        <v>114.96142882978566</v>
      </c>
      <c r="I128" s="7">
        <f ca="1"/>
        <v>0</v>
      </c>
      <c r="J128" s="4">
        <f ca="1"/>
        <v>9930.0192652835394</v>
      </c>
      <c r="K128" s="4">
        <f ca="1"/>
        <v>2509.5600332833988</v>
      </c>
      <c r="L128" s="4">
        <f ca="1"/>
        <v>421.73423527777146</v>
      </c>
      <c r="M128" s="4">
        <f ca="1"/>
        <v>2095.8092305632513</v>
      </c>
      <c r="N128" s="4">
        <f ca="1"/>
        <v>7834.2100347202913</v>
      </c>
      <c r="O128" s="4">
        <f ca="1"/>
        <v>114.96142882978566</v>
      </c>
      <c r="P128" s="3">
        <f ca="1"/>
        <v>2.3521921915502011</v>
      </c>
      <c r="Q128" s="3">
        <f ca="1"/>
        <v>0.27015137532401601</v>
      </c>
    </row>
    <row r="129" spans="4:17" x14ac:dyDescent="0.25">
      <c r="D129" s="3">
        <f ca="1"/>
        <v>115</v>
      </c>
      <c r="E129" s="4">
        <f ca="1"/>
        <v>7834.2100347202904</v>
      </c>
      <c r="F129" s="4">
        <f ca="1"/>
        <v>148.30166067323574</v>
      </c>
      <c r="G129" s="4">
        <f ca="1"/>
        <v>59.320664269294298</v>
      </c>
      <c r="H129" s="4">
        <f ca="1"/>
        <v>88.980996403941447</v>
      </c>
      <c r="I129" s="7">
        <f ca="1"/>
        <v>0</v>
      </c>
      <c r="J129" s="4">
        <f ca="1"/>
        <v>7685.9083740470523</v>
      </c>
      <c r="K129" s="4">
        <f ca="1"/>
        <v>2172.8797752727496</v>
      </c>
      <c r="L129" s="4">
        <f ca="1"/>
        <v>326.42541811334519</v>
      </c>
      <c r="M129" s="4">
        <f ca="1"/>
        <v>1852.633593020789</v>
      </c>
      <c r="N129" s="4">
        <f ca="1"/>
        <v>5833.2747810262626</v>
      </c>
      <c r="O129" s="4">
        <f ca="1"/>
        <v>88.980996403941447</v>
      </c>
      <c r="P129" s="3">
        <f ca="1"/>
        <v>2.3521921915502007</v>
      </c>
      <c r="Q129" s="3">
        <f ca="1"/>
        <v>0.27015137532401601</v>
      </c>
    </row>
    <row r="130" spans="4:17" x14ac:dyDescent="0.25">
      <c r="D130" s="3">
        <f ca="1"/>
        <v>116</v>
      </c>
      <c r="E130" s="4">
        <f ca="1"/>
        <v>5833.2747810262626</v>
      </c>
      <c r="F130" s="4">
        <f ca="1"/>
        <v>110.42393979170194</v>
      </c>
      <c r="G130" s="4">
        <f ca="1"/>
        <v>44.169575916680785</v>
      </c>
      <c r="H130" s="4">
        <f ca="1"/>
        <v>66.25436387502117</v>
      </c>
      <c r="I130" s="7">
        <f ca="1"/>
        <v>0</v>
      </c>
      <c r="J130" s="4">
        <f ca="1"/>
        <v>5722.8508412345618</v>
      </c>
      <c r="K130" s="4">
        <f ca="1"/>
        <v>1974.1388128891301</v>
      </c>
      <c r="L130" s="4">
        <f ca="1"/>
        <v>243.0531158760943</v>
      </c>
      <c r="M130" s="4">
        <f ca="1"/>
        <v>1735.6866945043566</v>
      </c>
      <c r="N130" s="4">
        <f ca="1"/>
        <v>3987.1641467302047</v>
      </c>
      <c r="O130" s="4">
        <f ca="1"/>
        <v>66.25436387502117</v>
      </c>
      <c r="P130" s="3">
        <f ca="1"/>
        <v>2.3521921915501998</v>
      </c>
      <c r="Q130" s="3">
        <f ca="1"/>
        <v>0.27015137532401601</v>
      </c>
    </row>
    <row r="131" spans="4:17" x14ac:dyDescent="0.25">
      <c r="D131" s="3">
        <f ca="1"/>
        <v>117</v>
      </c>
      <c r="E131" s="4">
        <f ca="1"/>
        <v>3987.1641467302047</v>
      </c>
      <c r="F131" s="4">
        <f ca="1"/>
        <v>75.477050234329866</v>
      </c>
      <c r="G131" s="4">
        <f ca="1"/>
        <v>30.190820093731944</v>
      </c>
      <c r="H131" s="4">
        <f ca="1"/>
        <v>45.286230140597908</v>
      </c>
      <c r="I131" s="7">
        <f ca="1"/>
        <v>0</v>
      </c>
      <c r="J131" s="4">
        <f ca="1"/>
        <v>3911.6870964958753</v>
      </c>
      <c r="K131" s="4">
        <f ca="1"/>
        <v>1936.768348853393</v>
      </c>
      <c r="L131" s="4">
        <f ca="1"/>
        <v>166.13183944709186</v>
      </c>
      <c r="M131" s="4">
        <f ca="1"/>
        <v>1773.781386499398</v>
      </c>
      <c r="N131" s="4">
        <f ca="1"/>
        <v>2137.9057099964766</v>
      </c>
      <c r="O131" s="4">
        <f ca="1"/>
        <v>45.286230140597908</v>
      </c>
      <c r="P131" s="3">
        <f ca="1"/>
        <v>2.3521921915502002</v>
      </c>
      <c r="Q131" s="3">
        <f ca="1"/>
        <v>0.27015137532401595</v>
      </c>
    </row>
    <row r="132" spans="4:17" x14ac:dyDescent="0.25">
      <c r="D132" s="3">
        <f ca="1"/>
        <v>118</v>
      </c>
      <c r="E132" s="4">
        <f ca="1"/>
        <v>2137.9057099964757</v>
      </c>
      <c r="F132" s="4">
        <f ca="1"/>
        <v>40.470572750809652</v>
      </c>
      <c r="G132" s="4">
        <f ca="1"/>
        <v>16.188229100323863</v>
      </c>
      <c r="H132" s="4">
        <f ca="1"/>
        <v>24.282343650485789</v>
      </c>
      <c r="I132" s="7">
        <f ca="1"/>
        <v>0</v>
      </c>
      <c r="J132" s="4">
        <f ca="1"/>
        <v>2097.4351372456663</v>
      </c>
      <c r="K132" s="4">
        <f ca="1"/>
        <v>1282.8660446474266</v>
      </c>
      <c r="L132" s="4">
        <f ca="1"/>
        <v>89.079404583186502</v>
      </c>
      <c r="M132" s="4">
        <f ca="1"/>
        <v>1195.4729139288572</v>
      </c>
      <c r="N132" s="4">
        <f ca="1"/>
        <v>901.96222331680883</v>
      </c>
      <c r="O132" s="4">
        <f ca="1"/>
        <v>24.282343650485789</v>
      </c>
      <c r="P132" s="3">
        <f ca="1"/>
        <v>2.3521921915501998</v>
      </c>
      <c r="Q132" s="3">
        <f ca="1"/>
        <v>0.27015137532401601</v>
      </c>
    </row>
    <row r="133" spans="4:17" x14ac:dyDescent="0.25">
      <c r="D133" s="3">
        <f ca="1"/>
        <v>119</v>
      </c>
      <c r="E133" s="4">
        <f ca="1"/>
        <v>901.96222331680815</v>
      </c>
      <c r="F133" s="4">
        <f ca="1"/>
        <v>17.07415233821752</v>
      </c>
      <c r="G133" s="4">
        <f ca="1"/>
        <v>6.8296609352870083</v>
      </c>
      <c r="H133" s="4">
        <f ca="1"/>
        <v>10.244491402930512</v>
      </c>
      <c r="I133" s="7">
        <f ca="1"/>
        <v>0</v>
      </c>
      <c r="J133" s="4">
        <f ca="1"/>
        <v>884.88807097859058</v>
      </c>
      <c r="K133" s="4">
        <f ca="1"/>
        <v>921.75840726936383</v>
      </c>
      <c r="L133" s="4">
        <f ca="1"/>
        <v>37.581759304867013</v>
      </c>
      <c r="M133" s="4">
        <f ca="1"/>
        <v>884.88807097858898</v>
      </c>
      <c r="N133" s="4">
        <f ca="1"/>
        <v>1.6164847238542279E-12</v>
      </c>
      <c r="O133" s="4">
        <f ca="1"/>
        <v>10.244491402930512</v>
      </c>
      <c r="P133" s="3">
        <f ca="1"/>
        <v>2.3521921915502002</v>
      </c>
      <c r="Q133" s="3">
        <f ca="1"/>
        <v>0.27015137532401601</v>
      </c>
    </row>
    <row r="134" spans="4:17" x14ac:dyDescent="0.25">
      <c r="D134" s="3" t="e">
        <f ca="1"/>
        <v>#N/A</v>
      </c>
      <c r="E134" s="4" t="e">
        <f ca="1"/>
        <v>#N/A</v>
      </c>
      <c r="F134" s="4" t="e">
        <f ca="1"/>
        <v>#N/A</v>
      </c>
      <c r="G134" s="4" t="e">
        <f ca="1"/>
        <v>#N/A</v>
      </c>
      <c r="H134" s="4" t="e">
        <f ca="1"/>
        <v>#N/A</v>
      </c>
      <c r="I134" s="7" t="e">
        <f ca="1"/>
        <v>#N/A</v>
      </c>
      <c r="J134" s="4" t="e">
        <f ca="1"/>
        <v>#N/A</v>
      </c>
      <c r="K134" s="4" t="e">
        <f ca="1"/>
        <v>#N/A</v>
      </c>
      <c r="L134" s="4" t="e">
        <f ca="1"/>
        <v>#N/A</v>
      </c>
      <c r="M134" s="4" t="e">
        <f ca="1"/>
        <v>#N/A</v>
      </c>
      <c r="N134" s="4" t="e">
        <f ca="1"/>
        <v>#N/A</v>
      </c>
      <c r="O134" s="4" t="e">
        <f ca="1"/>
        <v>#N/A</v>
      </c>
      <c r="P134" s="3" t="e">
        <f ca="1"/>
        <v>#N/A</v>
      </c>
      <c r="Q134" s="3" t="e">
        <f ca="1"/>
        <v>#N/A</v>
      </c>
    </row>
    <row r="135" spans="4:17" x14ac:dyDescent="0.25">
      <c r="D135" s="3" t="e">
        <f ca="1"/>
        <v>#N/A</v>
      </c>
      <c r="E135" s="4" t="e">
        <f ca="1"/>
        <v>#N/A</v>
      </c>
      <c r="F135" s="4" t="e">
        <f ca="1"/>
        <v>#N/A</v>
      </c>
      <c r="G135" s="4" t="e">
        <f ca="1"/>
        <v>#N/A</v>
      </c>
      <c r="H135" s="4" t="e">
        <f ca="1"/>
        <v>#N/A</v>
      </c>
      <c r="I135" s="7" t="e">
        <f ca="1"/>
        <v>#N/A</v>
      </c>
      <c r="J135" s="4" t="e">
        <f ca="1"/>
        <v>#N/A</v>
      </c>
      <c r="K135" s="4" t="e">
        <f ca="1"/>
        <v>#N/A</v>
      </c>
      <c r="L135" s="4" t="e">
        <f ca="1"/>
        <v>#N/A</v>
      </c>
      <c r="M135" s="4" t="e">
        <f ca="1"/>
        <v>#N/A</v>
      </c>
      <c r="N135" s="4" t="e">
        <f ca="1"/>
        <v>#N/A</v>
      </c>
      <c r="O135" s="4" t="e">
        <f ca="1"/>
        <v>#N/A</v>
      </c>
      <c r="P135" s="3" t="e">
        <f ca="1"/>
        <v>#N/A</v>
      </c>
      <c r="Q135" s="3" t="e">
        <f ca="1"/>
        <v>#N/A</v>
      </c>
    </row>
    <row r="136" spans="4:17" x14ac:dyDescent="0.25">
      <c r="D136" s="3" t="e">
        <f ca="1"/>
        <v>#N/A</v>
      </c>
      <c r="E136" s="4" t="e">
        <f ca="1"/>
        <v>#N/A</v>
      </c>
      <c r="F136" s="4" t="e">
        <f ca="1"/>
        <v>#N/A</v>
      </c>
      <c r="G136" s="4" t="e">
        <f ca="1"/>
        <v>#N/A</v>
      </c>
      <c r="H136" s="4" t="e">
        <f ca="1"/>
        <v>#N/A</v>
      </c>
      <c r="I136" s="7" t="e">
        <f ca="1"/>
        <v>#N/A</v>
      </c>
      <c r="J136" s="4" t="e">
        <f ca="1"/>
        <v>#N/A</v>
      </c>
      <c r="K136" s="4" t="e">
        <f ca="1"/>
        <v>#N/A</v>
      </c>
      <c r="L136" s="4" t="e">
        <f ca="1"/>
        <v>#N/A</v>
      </c>
      <c r="M136" s="4" t="e">
        <f ca="1"/>
        <v>#N/A</v>
      </c>
      <c r="N136" s="4" t="e">
        <f ca="1"/>
        <v>#N/A</v>
      </c>
      <c r="O136" s="4" t="e">
        <f ca="1"/>
        <v>#N/A</v>
      </c>
      <c r="P136" s="3" t="e">
        <f ca="1"/>
        <v>#N/A</v>
      </c>
      <c r="Q136" s="3" t="e">
        <f ca="1"/>
        <v>#N/A</v>
      </c>
    </row>
    <row r="137" spans="4:17" x14ac:dyDescent="0.25">
      <c r="D137" s="3" t="e">
        <f ca="1"/>
        <v>#N/A</v>
      </c>
      <c r="E137" s="4" t="e">
        <f ca="1"/>
        <v>#N/A</v>
      </c>
      <c r="F137" s="4" t="e">
        <f ca="1"/>
        <v>#N/A</v>
      </c>
      <c r="G137" s="4" t="e">
        <f ca="1"/>
        <v>#N/A</v>
      </c>
      <c r="H137" s="4" t="e">
        <f ca="1"/>
        <v>#N/A</v>
      </c>
      <c r="I137" s="7" t="e">
        <f ca="1"/>
        <v>#N/A</v>
      </c>
      <c r="J137" s="4" t="e">
        <f ca="1"/>
        <v>#N/A</v>
      </c>
      <c r="K137" s="4" t="e">
        <f ca="1"/>
        <v>#N/A</v>
      </c>
      <c r="L137" s="4" t="e">
        <f ca="1"/>
        <v>#N/A</v>
      </c>
      <c r="M137" s="4" t="e">
        <f ca="1"/>
        <v>#N/A</v>
      </c>
      <c r="N137" s="4" t="e">
        <f ca="1"/>
        <v>#N/A</v>
      </c>
      <c r="O137" s="4" t="e">
        <f ca="1"/>
        <v>#N/A</v>
      </c>
      <c r="P137" s="3" t="e">
        <f ca="1"/>
        <v>#N/A</v>
      </c>
      <c r="Q137" s="3" t="e">
        <f ca="1"/>
        <v>#N/A</v>
      </c>
    </row>
    <row r="138" spans="4:17" x14ac:dyDescent="0.25">
      <c r="D138" s="3" t="e">
        <f ca="1"/>
        <v>#N/A</v>
      </c>
      <c r="E138" s="4" t="e">
        <f ca="1"/>
        <v>#N/A</v>
      </c>
      <c r="F138" s="4" t="e">
        <f ca="1"/>
        <v>#N/A</v>
      </c>
      <c r="G138" s="4" t="e">
        <f ca="1"/>
        <v>#N/A</v>
      </c>
      <c r="H138" s="4" t="e">
        <f ca="1"/>
        <v>#N/A</v>
      </c>
      <c r="I138" s="7" t="e">
        <f ca="1"/>
        <v>#N/A</v>
      </c>
      <c r="J138" s="4" t="e">
        <f ca="1"/>
        <v>#N/A</v>
      </c>
      <c r="K138" s="4" t="e">
        <f ca="1"/>
        <v>#N/A</v>
      </c>
      <c r="L138" s="4" t="e">
        <f ca="1"/>
        <v>#N/A</v>
      </c>
      <c r="M138" s="4" t="e">
        <f ca="1"/>
        <v>#N/A</v>
      </c>
      <c r="N138" s="4" t="e">
        <f ca="1"/>
        <v>#N/A</v>
      </c>
      <c r="O138" s="4" t="e">
        <f ca="1"/>
        <v>#N/A</v>
      </c>
      <c r="P138" s="3" t="e">
        <f ca="1"/>
        <v>#N/A</v>
      </c>
      <c r="Q138" s="3" t="e">
        <f ca="1"/>
        <v>#N/A</v>
      </c>
    </row>
    <row r="139" spans="4:17" x14ac:dyDescent="0.25">
      <c r="D139" s="3" t="e">
        <f ca="1"/>
        <v>#N/A</v>
      </c>
      <c r="E139" s="4" t="e">
        <f ca="1"/>
        <v>#N/A</v>
      </c>
      <c r="F139" s="4" t="e">
        <f ca="1"/>
        <v>#N/A</v>
      </c>
      <c r="G139" s="4" t="e">
        <f ca="1"/>
        <v>#N/A</v>
      </c>
      <c r="H139" s="4" t="e">
        <f ca="1"/>
        <v>#N/A</v>
      </c>
      <c r="I139" s="7" t="e">
        <f ca="1"/>
        <v>#N/A</v>
      </c>
      <c r="J139" s="4" t="e">
        <f ca="1"/>
        <v>#N/A</v>
      </c>
      <c r="K139" s="4" t="e">
        <f ca="1"/>
        <v>#N/A</v>
      </c>
      <c r="L139" s="4" t="e">
        <f ca="1"/>
        <v>#N/A</v>
      </c>
      <c r="M139" s="4" t="e">
        <f ca="1"/>
        <v>#N/A</v>
      </c>
      <c r="N139" s="4" t="e">
        <f ca="1"/>
        <v>#N/A</v>
      </c>
      <c r="O139" s="4" t="e">
        <f ca="1"/>
        <v>#N/A</v>
      </c>
      <c r="P139" s="3" t="e">
        <f ca="1"/>
        <v>#N/A</v>
      </c>
      <c r="Q139" s="3" t="e">
        <f ca="1"/>
        <v>#N/A</v>
      </c>
    </row>
    <row r="140" spans="4:17" x14ac:dyDescent="0.25">
      <c r="D140" s="3" t="e">
        <f ca="1"/>
        <v>#N/A</v>
      </c>
      <c r="E140" s="4" t="e">
        <f ca="1"/>
        <v>#N/A</v>
      </c>
      <c r="F140" s="4" t="e">
        <f ca="1"/>
        <v>#N/A</v>
      </c>
      <c r="G140" s="4" t="e">
        <f ca="1"/>
        <v>#N/A</v>
      </c>
      <c r="H140" s="4" t="e">
        <f ca="1"/>
        <v>#N/A</v>
      </c>
      <c r="I140" s="7" t="e">
        <f ca="1"/>
        <v>#N/A</v>
      </c>
      <c r="J140" s="4" t="e">
        <f ca="1"/>
        <v>#N/A</v>
      </c>
      <c r="K140" s="4" t="e">
        <f ca="1"/>
        <v>#N/A</v>
      </c>
      <c r="L140" s="4" t="e">
        <f ca="1"/>
        <v>#N/A</v>
      </c>
      <c r="M140" s="4" t="e">
        <f ca="1"/>
        <v>#N/A</v>
      </c>
      <c r="N140" s="4" t="e">
        <f ca="1"/>
        <v>#N/A</v>
      </c>
      <c r="O140" s="4" t="e">
        <f ca="1"/>
        <v>#N/A</v>
      </c>
      <c r="P140" s="3" t="e">
        <f ca="1"/>
        <v>#N/A</v>
      </c>
      <c r="Q140" s="3" t="e">
        <f ca="1"/>
        <v>#N/A</v>
      </c>
    </row>
    <row r="141" spans="4:17" x14ac:dyDescent="0.25">
      <c r="D141" s="3" t="e">
        <f ca="1"/>
        <v>#N/A</v>
      </c>
      <c r="E141" s="4" t="e">
        <f ca="1"/>
        <v>#N/A</v>
      </c>
      <c r="F141" s="4" t="e">
        <f ca="1"/>
        <v>#N/A</v>
      </c>
      <c r="G141" s="4" t="e">
        <f ca="1"/>
        <v>#N/A</v>
      </c>
      <c r="H141" s="4" t="e">
        <f ca="1"/>
        <v>#N/A</v>
      </c>
      <c r="I141" s="7" t="e">
        <f ca="1"/>
        <v>#N/A</v>
      </c>
      <c r="J141" s="4" t="e">
        <f ca="1"/>
        <v>#N/A</v>
      </c>
      <c r="K141" s="4" t="e">
        <f ca="1"/>
        <v>#N/A</v>
      </c>
      <c r="L141" s="4" t="e">
        <f ca="1"/>
        <v>#N/A</v>
      </c>
      <c r="M141" s="4" t="e">
        <f ca="1"/>
        <v>#N/A</v>
      </c>
      <c r="N141" s="4" t="e">
        <f ca="1"/>
        <v>#N/A</v>
      </c>
      <c r="O141" s="4" t="e">
        <f ca="1"/>
        <v>#N/A</v>
      </c>
      <c r="P141" s="3" t="e">
        <f ca="1"/>
        <v>#N/A</v>
      </c>
      <c r="Q141" s="3" t="e">
        <f ca="1"/>
        <v>#N/A</v>
      </c>
    </row>
    <row r="142" spans="4:17" x14ac:dyDescent="0.25">
      <c r="D142" s="3" t="e">
        <f ca="1"/>
        <v>#N/A</v>
      </c>
      <c r="E142" s="4" t="e">
        <f ca="1"/>
        <v>#N/A</v>
      </c>
      <c r="F142" s="4" t="e">
        <f ca="1"/>
        <v>#N/A</v>
      </c>
      <c r="G142" s="4" t="e">
        <f ca="1"/>
        <v>#N/A</v>
      </c>
      <c r="H142" s="4" t="e">
        <f ca="1"/>
        <v>#N/A</v>
      </c>
      <c r="I142" s="7" t="e">
        <f ca="1"/>
        <v>#N/A</v>
      </c>
      <c r="J142" s="4" t="e">
        <f ca="1"/>
        <v>#N/A</v>
      </c>
      <c r="K142" s="4" t="e">
        <f ca="1"/>
        <v>#N/A</v>
      </c>
      <c r="L142" s="4" t="e">
        <f ca="1"/>
        <v>#N/A</v>
      </c>
      <c r="M142" s="4" t="e">
        <f ca="1"/>
        <v>#N/A</v>
      </c>
      <c r="N142" s="4" t="e">
        <f ca="1"/>
        <v>#N/A</v>
      </c>
      <c r="O142" s="4" t="e">
        <f ca="1"/>
        <v>#N/A</v>
      </c>
      <c r="P142" s="3" t="e">
        <f ca="1"/>
        <v>#N/A</v>
      </c>
      <c r="Q142" s="3" t="e">
        <f ca="1"/>
        <v>#N/A</v>
      </c>
    </row>
    <row r="143" spans="4:17" x14ac:dyDescent="0.25">
      <c r="D143" s="3" t="e">
        <f ca="1"/>
        <v>#N/A</v>
      </c>
      <c r="E143" s="4" t="e">
        <f ca="1"/>
        <v>#N/A</v>
      </c>
      <c r="F143" s="4" t="e">
        <f ca="1"/>
        <v>#N/A</v>
      </c>
      <c r="G143" s="4" t="e">
        <f ca="1"/>
        <v>#N/A</v>
      </c>
      <c r="H143" s="4" t="e">
        <f ca="1"/>
        <v>#N/A</v>
      </c>
      <c r="I143" s="7" t="e">
        <f ca="1"/>
        <v>#N/A</v>
      </c>
      <c r="J143" s="4" t="e">
        <f ca="1"/>
        <v>#N/A</v>
      </c>
      <c r="K143" s="4" t="e">
        <f ca="1"/>
        <v>#N/A</v>
      </c>
      <c r="L143" s="4" t="e">
        <f ca="1"/>
        <v>#N/A</v>
      </c>
      <c r="M143" s="4" t="e">
        <f ca="1"/>
        <v>#N/A</v>
      </c>
      <c r="N143" s="4" t="e">
        <f ca="1"/>
        <v>#N/A</v>
      </c>
      <c r="O143" s="4" t="e">
        <f ca="1"/>
        <v>#N/A</v>
      </c>
      <c r="P143" s="3" t="e">
        <f ca="1"/>
        <v>#N/A</v>
      </c>
      <c r="Q143" s="3" t="e">
        <f ca="1"/>
        <v>#N/A</v>
      </c>
    </row>
    <row r="144" spans="4:17" x14ac:dyDescent="0.25">
      <c r="D144" s="3" t="e">
        <f ca="1"/>
        <v>#N/A</v>
      </c>
      <c r="E144" s="4" t="e">
        <f ca="1"/>
        <v>#N/A</v>
      </c>
      <c r="F144" s="4" t="e">
        <f ca="1"/>
        <v>#N/A</v>
      </c>
      <c r="G144" s="4" t="e">
        <f ca="1"/>
        <v>#N/A</v>
      </c>
      <c r="H144" s="4" t="e">
        <f ca="1"/>
        <v>#N/A</v>
      </c>
      <c r="I144" s="7" t="e">
        <f ca="1"/>
        <v>#N/A</v>
      </c>
      <c r="J144" s="4" t="e">
        <f ca="1"/>
        <v>#N/A</v>
      </c>
      <c r="K144" s="4" t="e">
        <f ca="1"/>
        <v>#N/A</v>
      </c>
      <c r="L144" s="4" t="e">
        <f ca="1"/>
        <v>#N/A</v>
      </c>
      <c r="M144" s="4" t="e">
        <f ca="1"/>
        <v>#N/A</v>
      </c>
      <c r="N144" s="4" t="e">
        <f ca="1"/>
        <v>#N/A</v>
      </c>
      <c r="O144" s="4" t="e">
        <f ca="1"/>
        <v>#N/A</v>
      </c>
      <c r="P144" s="3" t="e">
        <f ca="1"/>
        <v>#N/A</v>
      </c>
      <c r="Q144" s="3" t="e">
        <f ca="1"/>
        <v>#N/A</v>
      </c>
    </row>
    <row r="145" spans="4:17" x14ac:dyDescent="0.25">
      <c r="D145" s="3" t="e">
        <f ca="1"/>
        <v>#N/A</v>
      </c>
      <c r="E145" s="4" t="e">
        <f ca="1"/>
        <v>#N/A</v>
      </c>
      <c r="F145" s="4" t="e">
        <f ca="1"/>
        <v>#N/A</v>
      </c>
      <c r="G145" s="4" t="e">
        <f ca="1"/>
        <v>#N/A</v>
      </c>
      <c r="H145" s="4" t="e">
        <f ca="1"/>
        <v>#N/A</v>
      </c>
      <c r="I145" s="7" t="e">
        <f ca="1"/>
        <v>#N/A</v>
      </c>
      <c r="J145" s="4" t="e">
        <f ca="1"/>
        <v>#N/A</v>
      </c>
      <c r="K145" s="4" t="e">
        <f ca="1"/>
        <v>#N/A</v>
      </c>
      <c r="L145" s="4" t="e">
        <f ca="1"/>
        <v>#N/A</v>
      </c>
      <c r="M145" s="4" t="e">
        <f ca="1"/>
        <v>#N/A</v>
      </c>
      <c r="N145" s="4" t="e">
        <f ca="1"/>
        <v>#N/A</v>
      </c>
      <c r="O145" s="4" t="e">
        <f ca="1"/>
        <v>#N/A</v>
      </c>
      <c r="P145" s="3" t="e">
        <f ca="1"/>
        <v>#N/A</v>
      </c>
      <c r="Q145" s="3" t="e">
        <f ca="1"/>
        <v>#N/A</v>
      </c>
    </row>
    <row r="146" spans="4:17" x14ac:dyDescent="0.25">
      <c r="D146" s="3" t="e">
        <f ca="1"/>
        <v>#N/A</v>
      </c>
      <c r="E146" s="4" t="e">
        <f ca="1"/>
        <v>#N/A</v>
      </c>
      <c r="F146" s="4" t="e">
        <f ca="1"/>
        <v>#N/A</v>
      </c>
      <c r="G146" s="4" t="e">
        <f ca="1"/>
        <v>#N/A</v>
      </c>
      <c r="H146" s="4" t="e">
        <f ca="1"/>
        <v>#N/A</v>
      </c>
      <c r="I146" s="7" t="e">
        <f ca="1"/>
        <v>#N/A</v>
      </c>
      <c r="J146" s="4" t="e">
        <f ca="1"/>
        <v>#N/A</v>
      </c>
      <c r="K146" s="4" t="e">
        <f ca="1"/>
        <v>#N/A</v>
      </c>
      <c r="L146" s="4" t="e">
        <f ca="1"/>
        <v>#N/A</v>
      </c>
      <c r="M146" s="4" t="e">
        <f ca="1"/>
        <v>#N/A</v>
      </c>
      <c r="N146" s="4" t="e">
        <f ca="1"/>
        <v>#N/A</v>
      </c>
      <c r="O146" s="4" t="e">
        <f ca="1"/>
        <v>#N/A</v>
      </c>
      <c r="P146" s="3" t="e">
        <f ca="1"/>
        <v>#N/A</v>
      </c>
      <c r="Q146" s="3" t="e">
        <f ca="1"/>
        <v>#N/A</v>
      </c>
    </row>
    <row r="147" spans="4:17" x14ac:dyDescent="0.25">
      <c r="D147" s="3" t="e">
        <f ca="1"/>
        <v>#N/A</v>
      </c>
      <c r="E147" s="4" t="e">
        <f ca="1"/>
        <v>#N/A</v>
      </c>
      <c r="F147" s="4" t="e">
        <f ca="1"/>
        <v>#N/A</v>
      </c>
      <c r="G147" s="4" t="e">
        <f ca="1"/>
        <v>#N/A</v>
      </c>
      <c r="H147" s="4" t="e">
        <f ca="1"/>
        <v>#N/A</v>
      </c>
      <c r="I147" s="7" t="e">
        <f ca="1"/>
        <v>#N/A</v>
      </c>
      <c r="J147" s="4" t="e">
        <f ca="1"/>
        <v>#N/A</v>
      </c>
      <c r="K147" s="4" t="e">
        <f ca="1"/>
        <v>#N/A</v>
      </c>
      <c r="L147" s="4" t="e">
        <f ca="1"/>
        <v>#N/A</v>
      </c>
      <c r="M147" s="4" t="e">
        <f ca="1"/>
        <v>#N/A</v>
      </c>
      <c r="N147" s="4" t="e">
        <f ca="1"/>
        <v>#N/A</v>
      </c>
      <c r="O147" s="4" t="e">
        <f ca="1"/>
        <v>#N/A</v>
      </c>
      <c r="P147" s="3" t="e">
        <f ca="1"/>
        <v>#N/A</v>
      </c>
      <c r="Q147" s="3" t="e">
        <f ca="1"/>
        <v>#N/A</v>
      </c>
    </row>
    <row r="148" spans="4:17" x14ac:dyDescent="0.25">
      <c r="D148" s="3" t="e">
        <f ca="1"/>
        <v>#N/A</v>
      </c>
      <c r="E148" s="4" t="e">
        <f ca="1"/>
        <v>#N/A</v>
      </c>
      <c r="F148" s="4" t="e">
        <f ca="1"/>
        <v>#N/A</v>
      </c>
      <c r="G148" s="4" t="e">
        <f ca="1"/>
        <v>#N/A</v>
      </c>
      <c r="H148" s="4" t="e">
        <f ca="1"/>
        <v>#N/A</v>
      </c>
      <c r="I148" s="7" t="e">
        <f ca="1"/>
        <v>#N/A</v>
      </c>
      <c r="J148" s="4" t="e">
        <f ca="1"/>
        <v>#N/A</v>
      </c>
      <c r="K148" s="4" t="e">
        <f ca="1"/>
        <v>#N/A</v>
      </c>
      <c r="L148" s="4" t="e">
        <f ca="1"/>
        <v>#N/A</v>
      </c>
      <c r="M148" s="4" t="e">
        <f ca="1"/>
        <v>#N/A</v>
      </c>
      <c r="N148" s="4" t="e">
        <f ca="1"/>
        <v>#N/A</v>
      </c>
      <c r="O148" s="4" t="e">
        <f ca="1"/>
        <v>#N/A</v>
      </c>
      <c r="P148" s="3" t="e">
        <f ca="1"/>
        <v>#N/A</v>
      </c>
      <c r="Q148" s="3" t="e">
        <f ca="1"/>
        <v>#N/A</v>
      </c>
    </row>
    <row r="149" spans="4:17" x14ac:dyDescent="0.25">
      <c r="D149" s="3" t="e">
        <f ca="1"/>
        <v>#N/A</v>
      </c>
      <c r="E149" s="4" t="e">
        <f ca="1"/>
        <v>#N/A</v>
      </c>
      <c r="F149" s="4" t="e">
        <f ca="1"/>
        <v>#N/A</v>
      </c>
      <c r="G149" s="4" t="e">
        <f ca="1"/>
        <v>#N/A</v>
      </c>
      <c r="H149" s="4" t="e">
        <f ca="1"/>
        <v>#N/A</v>
      </c>
      <c r="I149" s="7" t="e">
        <f ca="1"/>
        <v>#N/A</v>
      </c>
      <c r="J149" s="4" t="e">
        <f ca="1"/>
        <v>#N/A</v>
      </c>
      <c r="K149" s="4" t="e">
        <f ca="1"/>
        <v>#N/A</v>
      </c>
      <c r="L149" s="4" t="e">
        <f ca="1"/>
        <v>#N/A</v>
      </c>
      <c r="M149" s="4" t="e">
        <f ca="1"/>
        <v>#N/A</v>
      </c>
      <c r="N149" s="4" t="e">
        <f ca="1"/>
        <v>#N/A</v>
      </c>
      <c r="O149" s="4" t="e">
        <f ca="1"/>
        <v>#N/A</v>
      </c>
      <c r="P149" s="3" t="e">
        <f ca="1"/>
        <v>#N/A</v>
      </c>
      <c r="Q149" s="3" t="e">
        <f ca="1"/>
        <v>#N/A</v>
      </c>
    </row>
    <row r="150" spans="4:17" x14ac:dyDescent="0.25">
      <c r="D150" s="3" t="e">
        <f ca="1"/>
        <v>#N/A</v>
      </c>
      <c r="E150" s="4" t="e">
        <f ca="1"/>
        <v>#N/A</v>
      </c>
      <c r="F150" s="4" t="e">
        <f ca="1"/>
        <v>#N/A</v>
      </c>
      <c r="G150" s="4" t="e">
        <f ca="1"/>
        <v>#N/A</v>
      </c>
      <c r="H150" s="4" t="e">
        <f ca="1"/>
        <v>#N/A</v>
      </c>
      <c r="I150" s="7" t="e">
        <f ca="1"/>
        <v>#N/A</v>
      </c>
      <c r="J150" s="4" t="e">
        <f ca="1"/>
        <v>#N/A</v>
      </c>
      <c r="K150" s="4" t="e">
        <f ca="1"/>
        <v>#N/A</v>
      </c>
      <c r="L150" s="4" t="e">
        <f ca="1"/>
        <v>#N/A</v>
      </c>
      <c r="M150" s="4" t="e">
        <f ca="1"/>
        <v>#N/A</v>
      </c>
      <c r="N150" s="4" t="e">
        <f ca="1"/>
        <v>#N/A</v>
      </c>
      <c r="O150" s="4" t="e">
        <f ca="1"/>
        <v>#N/A</v>
      </c>
      <c r="P150" s="3" t="e">
        <f ca="1"/>
        <v>#N/A</v>
      </c>
      <c r="Q150" s="3" t="e">
        <f ca="1"/>
        <v>#N/A</v>
      </c>
    </row>
    <row r="151" spans="4:17" x14ac:dyDescent="0.25">
      <c r="D151" s="3" t="e">
        <f ca="1"/>
        <v>#N/A</v>
      </c>
      <c r="E151" s="4" t="e">
        <f ca="1"/>
        <v>#N/A</v>
      </c>
      <c r="F151" s="4" t="e">
        <f ca="1"/>
        <v>#N/A</v>
      </c>
      <c r="G151" s="4" t="e">
        <f ca="1"/>
        <v>#N/A</v>
      </c>
      <c r="H151" s="4" t="e">
        <f ca="1"/>
        <v>#N/A</v>
      </c>
      <c r="I151" s="7" t="e">
        <f ca="1"/>
        <v>#N/A</v>
      </c>
      <c r="J151" s="4" t="e">
        <f ca="1"/>
        <v>#N/A</v>
      </c>
      <c r="K151" s="4" t="e">
        <f ca="1"/>
        <v>#N/A</v>
      </c>
      <c r="L151" s="4" t="e">
        <f ca="1"/>
        <v>#N/A</v>
      </c>
      <c r="M151" s="4" t="e">
        <f ca="1"/>
        <v>#N/A</v>
      </c>
      <c r="N151" s="4" t="e">
        <f ca="1"/>
        <v>#N/A</v>
      </c>
      <c r="O151" s="4" t="e">
        <f ca="1"/>
        <v>#N/A</v>
      </c>
      <c r="P151" s="3" t="e">
        <f ca="1"/>
        <v>#N/A</v>
      </c>
      <c r="Q151" s="3" t="e">
        <f ca="1"/>
        <v>#N/A</v>
      </c>
    </row>
    <row r="152" spans="4:17" x14ac:dyDescent="0.25">
      <c r="D152" s="3" t="e">
        <f ca="1"/>
        <v>#N/A</v>
      </c>
      <c r="E152" s="4" t="e">
        <f ca="1"/>
        <v>#N/A</v>
      </c>
      <c r="F152" s="4" t="e">
        <f ca="1"/>
        <v>#N/A</v>
      </c>
      <c r="G152" s="4" t="e">
        <f ca="1"/>
        <v>#N/A</v>
      </c>
      <c r="H152" s="4" t="e">
        <f ca="1"/>
        <v>#N/A</v>
      </c>
      <c r="I152" s="7" t="e">
        <f ca="1"/>
        <v>#N/A</v>
      </c>
      <c r="J152" s="4" t="e">
        <f ca="1"/>
        <v>#N/A</v>
      </c>
      <c r="K152" s="4" t="e">
        <f ca="1"/>
        <v>#N/A</v>
      </c>
      <c r="L152" s="4" t="e">
        <f ca="1"/>
        <v>#N/A</v>
      </c>
      <c r="M152" s="4" t="e">
        <f ca="1"/>
        <v>#N/A</v>
      </c>
      <c r="N152" s="4" t="e">
        <f ca="1"/>
        <v>#N/A</v>
      </c>
      <c r="O152" s="4" t="e">
        <f ca="1"/>
        <v>#N/A</v>
      </c>
      <c r="P152" s="3" t="e">
        <f ca="1"/>
        <v>#N/A</v>
      </c>
      <c r="Q152" s="3" t="e">
        <f ca="1"/>
        <v>#N/A</v>
      </c>
    </row>
    <row r="153" spans="4:17" x14ac:dyDescent="0.25">
      <c r="D153" s="3" t="e">
        <f ca="1"/>
        <v>#N/A</v>
      </c>
      <c r="E153" s="4" t="e">
        <f ca="1"/>
        <v>#N/A</v>
      </c>
      <c r="F153" s="4" t="e">
        <f ca="1"/>
        <v>#N/A</v>
      </c>
      <c r="G153" s="4" t="e">
        <f ca="1"/>
        <v>#N/A</v>
      </c>
      <c r="H153" s="4" t="e">
        <f ca="1"/>
        <v>#N/A</v>
      </c>
      <c r="I153" s="7" t="e">
        <f ca="1"/>
        <v>#N/A</v>
      </c>
      <c r="J153" s="4" t="e">
        <f ca="1"/>
        <v>#N/A</v>
      </c>
      <c r="K153" s="4" t="e">
        <f ca="1"/>
        <v>#N/A</v>
      </c>
      <c r="L153" s="4" t="e">
        <f ca="1"/>
        <v>#N/A</v>
      </c>
      <c r="M153" s="4" t="e">
        <f ca="1"/>
        <v>#N/A</v>
      </c>
      <c r="N153" s="4" t="e">
        <f ca="1"/>
        <v>#N/A</v>
      </c>
      <c r="O153" s="4" t="e">
        <f ca="1"/>
        <v>#N/A</v>
      </c>
      <c r="P153" s="3" t="e">
        <f ca="1"/>
        <v>#N/A</v>
      </c>
      <c r="Q153" s="3" t="e">
        <f ca="1"/>
        <v>#N/A</v>
      </c>
    </row>
    <row r="154" spans="4:17" x14ac:dyDescent="0.25">
      <c r="D154" s="3" t="e">
        <f ca="1"/>
        <v>#N/A</v>
      </c>
      <c r="E154" s="4" t="e">
        <f ca="1"/>
        <v>#N/A</v>
      </c>
      <c r="F154" s="4" t="e">
        <f ca="1"/>
        <v>#N/A</v>
      </c>
      <c r="G154" s="4" t="e">
        <f ca="1"/>
        <v>#N/A</v>
      </c>
      <c r="H154" s="4" t="e">
        <f ca="1"/>
        <v>#N/A</v>
      </c>
      <c r="I154" s="7" t="e">
        <f ca="1"/>
        <v>#N/A</v>
      </c>
      <c r="J154" s="4" t="e">
        <f ca="1"/>
        <v>#N/A</v>
      </c>
      <c r="K154" s="4" t="e">
        <f ca="1"/>
        <v>#N/A</v>
      </c>
      <c r="L154" s="4" t="e">
        <f ca="1"/>
        <v>#N/A</v>
      </c>
      <c r="M154" s="4" t="e">
        <f ca="1"/>
        <v>#N/A</v>
      </c>
      <c r="N154" s="4" t="e">
        <f ca="1"/>
        <v>#N/A</v>
      </c>
      <c r="O154" s="4" t="e">
        <f ca="1"/>
        <v>#N/A</v>
      </c>
      <c r="P154" s="3" t="e">
        <f ca="1"/>
        <v>#N/A</v>
      </c>
      <c r="Q154" s="3" t="e">
        <f ca="1"/>
        <v>#N/A</v>
      </c>
    </row>
    <row r="155" spans="4:17" x14ac:dyDescent="0.25">
      <c r="D155" s="3" t="e">
        <f ca="1"/>
        <v>#N/A</v>
      </c>
      <c r="E155" s="4" t="e">
        <f ca="1"/>
        <v>#N/A</v>
      </c>
      <c r="F155" s="4" t="e">
        <f ca="1"/>
        <v>#N/A</v>
      </c>
      <c r="G155" s="4" t="e">
        <f ca="1"/>
        <v>#N/A</v>
      </c>
      <c r="H155" s="4" t="e">
        <f ca="1"/>
        <v>#N/A</v>
      </c>
      <c r="I155" s="7" t="e">
        <f ca="1"/>
        <v>#N/A</v>
      </c>
      <c r="J155" s="4" t="e">
        <f ca="1"/>
        <v>#N/A</v>
      </c>
      <c r="K155" s="4" t="e">
        <f ca="1"/>
        <v>#N/A</v>
      </c>
      <c r="L155" s="4" t="e">
        <f ca="1"/>
        <v>#N/A</v>
      </c>
      <c r="M155" s="4" t="e">
        <f ca="1"/>
        <v>#N/A</v>
      </c>
      <c r="N155" s="4" t="e">
        <f ca="1"/>
        <v>#N/A</v>
      </c>
      <c r="O155" s="4" t="e">
        <f ca="1"/>
        <v>#N/A</v>
      </c>
      <c r="P155" s="3" t="e">
        <f ca="1"/>
        <v>#N/A</v>
      </c>
      <c r="Q155" s="3" t="e">
        <f ca="1"/>
        <v>#N/A</v>
      </c>
    </row>
    <row r="156" spans="4:17" x14ac:dyDescent="0.25">
      <c r="D156" s="3" t="e">
        <f ca="1"/>
        <v>#N/A</v>
      </c>
      <c r="E156" s="4" t="e">
        <f ca="1"/>
        <v>#N/A</v>
      </c>
      <c r="F156" s="4" t="e">
        <f ca="1"/>
        <v>#N/A</v>
      </c>
      <c r="G156" s="4" t="e">
        <f ca="1"/>
        <v>#N/A</v>
      </c>
      <c r="H156" s="4" t="e">
        <f ca="1"/>
        <v>#N/A</v>
      </c>
      <c r="I156" s="7" t="e">
        <f ca="1"/>
        <v>#N/A</v>
      </c>
      <c r="J156" s="4" t="e">
        <f ca="1"/>
        <v>#N/A</v>
      </c>
      <c r="K156" s="4" t="e">
        <f ca="1"/>
        <v>#N/A</v>
      </c>
      <c r="L156" s="4" t="e">
        <f ca="1"/>
        <v>#N/A</v>
      </c>
      <c r="M156" s="4" t="e">
        <f ca="1"/>
        <v>#N/A</v>
      </c>
      <c r="N156" s="4" t="e">
        <f ca="1"/>
        <v>#N/A</v>
      </c>
      <c r="O156" s="4" t="e">
        <f ca="1"/>
        <v>#N/A</v>
      </c>
      <c r="P156" s="3" t="e">
        <f ca="1"/>
        <v>#N/A</v>
      </c>
      <c r="Q156" s="3" t="e">
        <f ca="1"/>
        <v>#N/A</v>
      </c>
    </row>
    <row r="157" spans="4:17" x14ac:dyDescent="0.25">
      <c r="D157" s="3" t="e">
        <f ca="1"/>
        <v>#N/A</v>
      </c>
      <c r="E157" s="4" t="e">
        <f ca="1"/>
        <v>#N/A</v>
      </c>
      <c r="F157" s="4" t="e">
        <f ca="1"/>
        <v>#N/A</v>
      </c>
      <c r="G157" s="4" t="e">
        <f ca="1"/>
        <v>#N/A</v>
      </c>
      <c r="H157" s="4" t="e">
        <f ca="1"/>
        <v>#N/A</v>
      </c>
      <c r="I157" s="7" t="e">
        <f ca="1"/>
        <v>#N/A</v>
      </c>
      <c r="J157" s="4" t="e">
        <f ca="1"/>
        <v>#N/A</v>
      </c>
      <c r="K157" s="4" t="e">
        <f ca="1"/>
        <v>#N/A</v>
      </c>
      <c r="L157" s="4" t="e">
        <f ca="1"/>
        <v>#N/A</v>
      </c>
      <c r="M157" s="4" t="e">
        <f ca="1"/>
        <v>#N/A</v>
      </c>
      <c r="N157" s="4" t="e">
        <f ca="1"/>
        <v>#N/A</v>
      </c>
      <c r="O157" s="4" t="e">
        <f ca="1"/>
        <v>#N/A</v>
      </c>
      <c r="P157" s="3" t="e">
        <f ca="1"/>
        <v>#N/A</v>
      </c>
      <c r="Q157" s="3" t="e">
        <f ca="1"/>
        <v>#N/A</v>
      </c>
    </row>
    <row r="158" spans="4:17" x14ac:dyDescent="0.25">
      <c r="D158" s="3" t="e">
        <f ca="1"/>
        <v>#N/A</v>
      </c>
      <c r="E158" s="4" t="e">
        <f ca="1"/>
        <v>#N/A</v>
      </c>
      <c r="F158" s="4" t="e">
        <f ca="1"/>
        <v>#N/A</v>
      </c>
      <c r="G158" s="4" t="e">
        <f ca="1"/>
        <v>#N/A</v>
      </c>
      <c r="H158" s="4" t="e">
        <f ca="1"/>
        <v>#N/A</v>
      </c>
      <c r="I158" s="7" t="e">
        <f ca="1"/>
        <v>#N/A</v>
      </c>
      <c r="J158" s="4" t="e">
        <f ca="1"/>
        <v>#N/A</v>
      </c>
      <c r="K158" s="4" t="e">
        <f ca="1"/>
        <v>#N/A</v>
      </c>
      <c r="L158" s="4" t="e">
        <f ca="1"/>
        <v>#N/A</v>
      </c>
      <c r="M158" s="4" t="e">
        <f ca="1"/>
        <v>#N/A</v>
      </c>
      <c r="N158" s="4" t="e">
        <f ca="1"/>
        <v>#N/A</v>
      </c>
      <c r="O158" s="4" t="e">
        <f ca="1"/>
        <v>#N/A</v>
      </c>
      <c r="P158" s="3" t="e">
        <f ca="1"/>
        <v>#N/A</v>
      </c>
      <c r="Q158" s="3" t="e">
        <f ca="1"/>
        <v>#N/A</v>
      </c>
    </row>
    <row r="159" spans="4:17" x14ac:dyDescent="0.25">
      <c r="D159" s="3" t="e">
        <f ca="1"/>
        <v>#N/A</v>
      </c>
      <c r="E159" s="4" t="e">
        <f ca="1"/>
        <v>#N/A</v>
      </c>
      <c r="F159" s="4" t="e">
        <f ca="1"/>
        <v>#N/A</v>
      </c>
      <c r="G159" s="4" t="e">
        <f ca="1"/>
        <v>#N/A</v>
      </c>
      <c r="H159" s="4" t="e">
        <f ca="1"/>
        <v>#N/A</v>
      </c>
      <c r="I159" s="7" t="e">
        <f ca="1"/>
        <v>#N/A</v>
      </c>
      <c r="J159" s="4" t="e">
        <f ca="1"/>
        <v>#N/A</v>
      </c>
      <c r="K159" s="4" t="e">
        <f ca="1"/>
        <v>#N/A</v>
      </c>
      <c r="L159" s="4" t="e">
        <f ca="1"/>
        <v>#N/A</v>
      </c>
      <c r="M159" s="4" t="e">
        <f ca="1"/>
        <v>#N/A</v>
      </c>
      <c r="N159" s="4" t="e">
        <f ca="1"/>
        <v>#N/A</v>
      </c>
      <c r="O159" s="4" t="e">
        <f ca="1"/>
        <v>#N/A</v>
      </c>
      <c r="P159" s="3" t="e">
        <f ca="1"/>
        <v>#N/A</v>
      </c>
      <c r="Q159" s="3" t="e">
        <f ca="1"/>
        <v>#N/A</v>
      </c>
    </row>
    <row r="160" spans="4:17" x14ac:dyDescent="0.25">
      <c r="D160" s="3" t="e">
        <f ca="1"/>
        <v>#N/A</v>
      </c>
      <c r="E160" s="4" t="e">
        <f ca="1"/>
        <v>#N/A</v>
      </c>
      <c r="F160" s="4" t="e">
        <f ca="1"/>
        <v>#N/A</v>
      </c>
      <c r="G160" s="4" t="e">
        <f ca="1"/>
        <v>#N/A</v>
      </c>
      <c r="H160" s="4" t="e">
        <f ca="1"/>
        <v>#N/A</v>
      </c>
      <c r="I160" s="7" t="e">
        <f ca="1"/>
        <v>#N/A</v>
      </c>
      <c r="J160" s="4" t="e">
        <f ca="1"/>
        <v>#N/A</v>
      </c>
      <c r="K160" s="4" t="e">
        <f ca="1"/>
        <v>#N/A</v>
      </c>
      <c r="L160" s="4" t="e">
        <f ca="1"/>
        <v>#N/A</v>
      </c>
      <c r="M160" s="4" t="e">
        <f ca="1"/>
        <v>#N/A</v>
      </c>
      <c r="N160" s="4" t="e">
        <f ca="1"/>
        <v>#N/A</v>
      </c>
      <c r="O160" s="4" t="e">
        <f ca="1"/>
        <v>#N/A</v>
      </c>
      <c r="P160" s="3" t="e">
        <f ca="1"/>
        <v>#N/A</v>
      </c>
      <c r="Q160" s="3" t="e">
        <f ca="1"/>
        <v>#N/A</v>
      </c>
    </row>
    <row r="161" spans="4:17" x14ac:dyDescent="0.25">
      <c r="D161" s="3" t="e">
        <f ca="1"/>
        <v>#N/A</v>
      </c>
      <c r="E161" s="4" t="e">
        <f ca="1"/>
        <v>#N/A</v>
      </c>
      <c r="F161" s="4" t="e">
        <f ca="1"/>
        <v>#N/A</v>
      </c>
      <c r="G161" s="4" t="e">
        <f ca="1"/>
        <v>#N/A</v>
      </c>
      <c r="H161" s="4" t="e">
        <f ca="1"/>
        <v>#N/A</v>
      </c>
      <c r="I161" s="7" t="e">
        <f ca="1"/>
        <v>#N/A</v>
      </c>
      <c r="J161" s="4" t="e">
        <f ca="1"/>
        <v>#N/A</v>
      </c>
      <c r="K161" s="4" t="e">
        <f ca="1"/>
        <v>#N/A</v>
      </c>
      <c r="L161" s="4" t="e">
        <f ca="1"/>
        <v>#N/A</v>
      </c>
      <c r="M161" s="4" t="e">
        <f ca="1"/>
        <v>#N/A</v>
      </c>
      <c r="N161" s="4" t="e">
        <f ca="1"/>
        <v>#N/A</v>
      </c>
      <c r="O161" s="4" t="e">
        <f ca="1"/>
        <v>#N/A</v>
      </c>
      <c r="P161" s="3" t="e">
        <f ca="1"/>
        <v>#N/A</v>
      </c>
      <c r="Q161" s="3" t="e">
        <f ca="1"/>
        <v>#N/A</v>
      </c>
    </row>
    <row r="162" spans="4:17" x14ac:dyDescent="0.25">
      <c r="D162" s="3" t="e">
        <f ca="1"/>
        <v>#N/A</v>
      </c>
      <c r="E162" s="4" t="e">
        <f ca="1"/>
        <v>#N/A</v>
      </c>
      <c r="F162" s="4" t="e">
        <f ca="1"/>
        <v>#N/A</v>
      </c>
      <c r="G162" s="4" t="e">
        <f ca="1"/>
        <v>#N/A</v>
      </c>
      <c r="H162" s="4" t="e">
        <f ca="1"/>
        <v>#N/A</v>
      </c>
      <c r="I162" s="7" t="e">
        <f ca="1"/>
        <v>#N/A</v>
      </c>
      <c r="J162" s="4" t="e">
        <f ca="1"/>
        <v>#N/A</v>
      </c>
      <c r="K162" s="4" t="e">
        <f ca="1"/>
        <v>#N/A</v>
      </c>
      <c r="L162" s="4" t="e">
        <f ca="1"/>
        <v>#N/A</v>
      </c>
      <c r="M162" s="4" t="e">
        <f ca="1"/>
        <v>#N/A</v>
      </c>
      <c r="N162" s="4" t="e">
        <f ca="1"/>
        <v>#N/A</v>
      </c>
      <c r="O162" s="4" t="e">
        <f ca="1"/>
        <v>#N/A</v>
      </c>
      <c r="P162" s="3" t="e">
        <f ca="1"/>
        <v>#N/A</v>
      </c>
      <c r="Q162" s="3" t="e">
        <f ca="1"/>
        <v>#N/A</v>
      </c>
    </row>
    <row r="163" spans="4:17" x14ac:dyDescent="0.25">
      <c r="D163" s="3" t="e">
        <f ca="1"/>
        <v>#N/A</v>
      </c>
      <c r="E163" s="4" t="e">
        <f ca="1"/>
        <v>#N/A</v>
      </c>
      <c r="F163" s="4" t="e">
        <f ca="1"/>
        <v>#N/A</v>
      </c>
      <c r="G163" s="4" t="e">
        <f ca="1"/>
        <v>#N/A</v>
      </c>
      <c r="H163" s="4" t="e">
        <f ca="1"/>
        <v>#N/A</v>
      </c>
      <c r="I163" s="7" t="e">
        <f ca="1"/>
        <v>#N/A</v>
      </c>
      <c r="J163" s="4" t="e">
        <f ca="1"/>
        <v>#N/A</v>
      </c>
      <c r="K163" s="4" t="e">
        <f ca="1"/>
        <v>#N/A</v>
      </c>
      <c r="L163" s="4" t="e">
        <f ca="1"/>
        <v>#N/A</v>
      </c>
      <c r="M163" s="4" t="e">
        <f ca="1"/>
        <v>#N/A</v>
      </c>
      <c r="N163" s="4" t="e">
        <f ca="1"/>
        <v>#N/A</v>
      </c>
      <c r="O163" s="4" t="e">
        <f ca="1"/>
        <v>#N/A</v>
      </c>
      <c r="P163" s="3" t="e">
        <f ca="1"/>
        <v>#N/A</v>
      </c>
      <c r="Q163" s="3" t="e">
        <f ca="1"/>
        <v>#N/A</v>
      </c>
    </row>
    <row r="164" spans="4:17" x14ac:dyDescent="0.25">
      <c r="D164" s="3" t="e">
        <f ca="1"/>
        <v>#N/A</v>
      </c>
      <c r="E164" s="4" t="e">
        <f ca="1"/>
        <v>#N/A</v>
      </c>
      <c r="F164" s="4" t="e">
        <f ca="1"/>
        <v>#N/A</v>
      </c>
      <c r="G164" s="4" t="e">
        <f ca="1"/>
        <v>#N/A</v>
      </c>
      <c r="H164" s="4" t="e">
        <f ca="1"/>
        <v>#N/A</v>
      </c>
      <c r="I164" s="7" t="e">
        <f ca="1"/>
        <v>#N/A</v>
      </c>
      <c r="J164" s="4" t="e">
        <f ca="1"/>
        <v>#N/A</v>
      </c>
      <c r="K164" s="4" t="e">
        <f ca="1"/>
        <v>#N/A</v>
      </c>
      <c r="L164" s="4" t="e">
        <f ca="1"/>
        <v>#N/A</v>
      </c>
      <c r="M164" s="4" t="e">
        <f ca="1"/>
        <v>#N/A</v>
      </c>
      <c r="N164" s="4" t="e">
        <f ca="1"/>
        <v>#N/A</v>
      </c>
      <c r="O164" s="4" t="e">
        <f ca="1"/>
        <v>#N/A</v>
      </c>
      <c r="P164" s="3" t="e">
        <f ca="1"/>
        <v>#N/A</v>
      </c>
      <c r="Q164" s="3" t="e">
        <f ca="1"/>
        <v>#N/A</v>
      </c>
    </row>
    <row r="165" spans="4:17" x14ac:dyDescent="0.25">
      <c r="D165" s="3" t="e">
        <f ca="1"/>
        <v>#N/A</v>
      </c>
      <c r="E165" s="4" t="e">
        <f ca="1"/>
        <v>#N/A</v>
      </c>
      <c r="F165" s="4" t="e">
        <f ca="1"/>
        <v>#N/A</v>
      </c>
      <c r="G165" s="4" t="e">
        <f ca="1"/>
        <v>#N/A</v>
      </c>
      <c r="H165" s="4" t="e">
        <f ca="1"/>
        <v>#N/A</v>
      </c>
      <c r="I165" s="7" t="e">
        <f ca="1"/>
        <v>#N/A</v>
      </c>
      <c r="J165" s="4" t="e">
        <f ca="1"/>
        <v>#N/A</v>
      </c>
      <c r="K165" s="4" t="e">
        <f ca="1"/>
        <v>#N/A</v>
      </c>
      <c r="L165" s="4" t="e">
        <f ca="1"/>
        <v>#N/A</v>
      </c>
      <c r="M165" s="4" t="e">
        <f ca="1"/>
        <v>#N/A</v>
      </c>
      <c r="N165" s="4" t="e">
        <f ca="1"/>
        <v>#N/A</v>
      </c>
      <c r="O165" s="4" t="e">
        <f ca="1"/>
        <v>#N/A</v>
      </c>
      <c r="P165" s="3" t="e">
        <f ca="1"/>
        <v>#N/A</v>
      </c>
      <c r="Q165" s="3" t="e">
        <f ca="1"/>
        <v>#N/A</v>
      </c>
    </row>
    <row r="166" spans="4:17" x14ac:dyDescent="0.25">
      <c r="D166" s="3" t="e">
        <f ca="1"/>
        <v>#N/A</v>
      </c>
      <c r="E166" s="4" t="e">
        <f ca="1"/>
        <v>#N/A</v>
      </c>
      <c r="F166" s="4" t="e">
        <f ca="1"/>
        <v>#N/A</v>
      </c>
      <c r="G166" s="4" t="e">
        <f ca="1"/>
        <v>#N/A</v>
      </c>
      <c r="H166" s="4" t="e">
        <f ca="1"/>
        <v>#N/A</v>
      </c>
      <c r="I166" s="7" t="e">
        <f ca="1"/>
        <v>#N/A</v>
      </c>
      <c r="J166" s="4" t="e">
        <f ca="1"/>
        <v>#N/A</v>
      </c>
      <c r="K166" s="4" t="e">
        <f ca="1"/>
        <v>#N/A</v>
      </c>
      <c r="L166" s="4" t="e">
        <f ca="1"/>
        <v>#N/A</v>
      </c>
      <c r="M166" s="4" t="e">
        <f ca="1"/>
        <v>#N/A</v>
      </c>
      <c r="N166" s="4" t="e">
        <f ca="1"/>
        <v>#N/A</v>
      </c>
      <c r="O166" s="4" t="e">
        <f ca="1"/>
        <v>#N/A</v>
      </c>
      <c r="P166" s="3" t="e">
        <f ca="1"/>
        <v>#N/A</v>
      </c>
      <c r="Q166" s="3" t="e">
        <f ca="1"/>
        <v>#N/A</v>
      </c>
    </row>
    <row r="167" spans="4:17" x14ac:dyDescent="0.25">
      <c r="D167" s="3" t="e">
        <f ca="1"/>
        <v>#N/A</v>
      </c>
      <c r="E167" s="4" t="e">
        <f ca="1"/>
        <v>#N/A</v>
      </c>
      <c r="F167" s="4" t="e">
        <f ca="1"/>
        <v>#N/A</v>
      </c>
      <c r="G167" s="4" t="e">
        <f ca="1"/>
        <v>#N/A</v>
      </c>
      <c r="H167" s="4" t="e">
        <f ca="1"/>
        <v>#N/A</v>
      </c>
      <c r="I167" s="7" t="e">
        <f ca="1"/>
        <v>#N/A</v>
      </c>
      <c r="J167" s="4" t="e">
        <f ca="1"/>
        <v>#N/A</v>
      </c>
      <c r="K167" s="4" t="e">
        <f ca="1"/>
        <v>#N/A</v>
      </c>
      <c r="L167" s="4" t="e">
        <f ca="1"/>
        <v>#N/A</v>
      </c>
      <c r="M167" s="4" t="e">
        <f ca="1"/>
        <v>#N/A</v>
      </c>
      <c r="N167" s="4" t="e">
        <f ca="1"/>
        <v>#N/A</v>
      </c>
      <c r="O167" s="4" t="e">
        <f ca="1"/>
        <v>#N/A</v>
      </c>
      <c r="P167" s="3" t="e">
        <f ca="1"/>
        <v>#N/A</v>
      </c>
      <c r="Q167" s="3" t="e">
        <f ca="1"/>
        <v>#N/A</v>
      </c>
    </row>
    <row r="168" spans="4:17" x14ac:dyDescent="0.25">
      <c r="D168" s="3" t="e">
        <f ca="1"/>
        <v>#N/A</v>
      </c>
      <c r="E168" s="4" t="e">
        <f ca="1"/>
        <v>#N/A</v>
      </c>
      <c r="F168" s="4" t="e">
        <f ca="1"/>
        <v>#N/A</v>
      </c>
      <c r="G168" s="4" t="e">
        <f ca="1"/>
        <v>#N/A</v>
      </c>
      <c r="H168" s="4" t="e">
        <f ca="1"/>
        <v>#N/A</v>
      </c>
      <c r="I168" s="7" t="e">
        <f ca="1"/>
        <v>#N/A</v>
      </c>
      <c r="J168" s="4" t="e">
        <f ca="1"/>
        <v>#N/A</v>
      </c>
      <c r="K168" s="4" t="e">
        <f ca="1"/>
        <v>#N/A</v>
      </c>
      <c r="L168" s="4" t="e">
        <f ca="1"/>
        <v>#N/A</v>
      </c>
      <c r="M168" s="4" t="e">
        <f ca="1"/>
        <v>#N/A</v>
      </c>
      <c r="N168" s="4" t="e">
        <f ca="1"/>
        <v>#N/A</v>
      </c>
      <c r="O168" s="4" t="e">
        <f ca="1"/>
        <v>#N/A</v>
      </c>
      <c r="P168" s="3" t="e">
        <f ca="1"/>
        <v>#N/A</v>
      </c>
      <c r="Q168" s="3" t="e">
        <f ca="1"/>
        <v>#N/A</v>
      </c>
    </row>
    <row r="169" spans="4:17" x14ac:dyDescent="0.25">
      <c r="D169" s="3" t="e">
        <f ca="1"/>
        <v>#N/A</v>
      </c>
      <c r="E169" s="4" t="e">
        <f ca="1"/>
        <v>#N/A</v>
      </c>
      <c r="F169" s="4" t="e">
        <f ca="1"/>
        <v>#N/A</v>
      </c>
      <c r="G169" s="4" t="e">
        <f ca="1"/>
        <v>#N/A</v>
      </c>
      <c r="H169" s="4" t="e">
        <f ca="1"/>
        <v>#N/A</v>
      </c>
      <c r="I169" s="7" t="e">
        <f ca="1"/>
        <v>#N/A</v>
      </c>
      <c r="J169" s="4" t="e">
        <f ca="1"/>
        <v>#N/A</v>
      </c>
      <c r="K169" s="4" t="e">
        <f ca="1"/>
        <v>#N/A</v>
      </c>
      <c r="L169" s="4" t="e">
        <f ca="1"/>
        <v>#N/A</v>
      </c>
      <c r="M169" s="4" t="e">
        <f ca="1"/>
        <v>#N/A</v>
      </c>
      <c r="N169" s="4" t="e">
        <f ca="1"/>
        <v>#N/A</v>
      </c>
      <c r="O169" s="4" t="e">
        <f ca="1"/>
        <v>#N/A</v>
      </c>
      <c r="P169" s="3" t="e">
        <f ca="1"/>
        <v>#N/A</v>
      </c>
      <c r="Q169" s="3" t="e">
        <f ca="1"/>
        <v>#N/A</v>
      </c>
    </row>
    <row r="170" spans="4:17" x14ac:dyDescent="0.25">
      <c r="D170" s="3" t="e">
        <f ca="1"/>
        <v>#N/A</v>
      </c>
      <c r="E170" s="4" t="e">
        <f ca="1"/>
        <v>#N/A</v>
      </c>
      <c r="F170" s="4" t="e">
        <f ca="1"/>
        <v>#N/A</v>
      </c>
      <c r="G170" s="4" t="e">
        <f ca="1"/>
        <v>#N/A</v>
      </c>
      <c r="H170" s="4" t="e">
        <f ca="1"/>
        <v>#N/A</v>
      </c>
      <c r="I170" s="7" t="e">
        <f ca="1"/>
        <v>#N/A</v>
      </c>
      <c r="J170" s="4" t="e">
        <f ca="1"/>
        <v>#N/A</v>
      </c>
      <c r="K170" s="4" t="e">
        <f ca="1"/>
        <v>#N/A</v>
      </c>
      <c r="L170" s="4" t="e">
        <f ca="1"/>
        <v>#N/A</v>
      </c>
      <c r="M170" s="4" t="e">
        <f ca="1"/>
        <v>#N/A</v>
      </c>
      <c r="N170" s="4" t="e">
        <f ca="1"/>
        <v>#N/A</v>
      </c>
      <c r="O170" s="4" t="e">
        <f ca="1"/>
        <v>#N/A</v>
      </c>
      <c r="P170" s="3" t="e">
        <f ca="1"/>
        <v>#N/A</v>
      </c>
      <c r="Q170" s="3" t="e">
        <f ca="1"/>
        <v>#N/A</v>
      </c>
    </row>
    <row r="171" spans="4:17" x14ac:dyDescent="0.25">
      <c r="D171" s="3" t="e">
        <f ca="1"/>
        <v>#N/A</v>
      </c>
      <c r="E171" s="4" t="e">
        <f ca="1"/>
        <v>#N/A</v>
      </c>
      <c r="F171" s="4" t="e">
        <f ca="1"/>
        <v>#N/A</v>
      </c>
      <c r="G171" s="4" t="e">
        <f ca="1"/>
        <v>#N/A</v>
      </c>
      <c r="H171" s="4" t="e">
        <f ca="1"/>
        <v>#N/A</v>
      </c>
      <c r="I171" s="7" t="e">
        <f ca="1"/>
        <v>#N/A</v>
      </c>
      <c r="J171" s="4" t="e">
        <f ca="1"/>
        <v>#N/A</v>
      </c>
      <c r="K171" s="4" t="e">
        <f ca="1"/>
        <v>#N/A</v>
      </c>
      <c r="L171" s="4" t="e">
        <f ca="1"/>
        <v>#N/A</v>
      </c>
      <c r="M171" s="4" t="e">
        <f ca="1"/>
        <v>#N/A</v>
      </c>
      <c r="N171" s="4" t="e">
        <f ca="1"/>
        <v>#N/A</v>
      </c>
      <c r="O171" s="4" t="e">
        <f ca="1"/>
        <v>#N/A</v>
      </c>
      <c r="P171" s="3" t="e">
        <f ca="1"/>
        <v>#N/A</v>
      </c>
      <c r="Q171" s="3" t="e">
        <f ca="1"/>
        <v>#N/A</v>
      </c>
    </row>
    <row r="172" spans="4:17" x14ac:dyDescent="0.25">
      <c r="D172" s="3" t="e">
        <f ca="1"/>
        <v>#N/A</v>
      </c>
      <c r="E172" s="4" t="e">
        <f ca="1"/>
        <v>#N/A</v>
      </c>
      <c r="F172" s="4" t="e">
        <f ca="1"/>
        <v>#N/A</v>
      </c>
      <c r="G172" s="4" t="e">
        <f ca="1"/>
        <v>#N/A</v>
      </c>
      <c r="H172" s="4" t="e">
        <f ca="1"/>
        <v>#N/A</v>
      </c>
      <c r="I172" s="7" t="e">
        <f ca="1"/>
        <v>#N/A</v>
      </c>
      <c r="J172" s="4" t="e">
        <f ca="1"/>
        <v>#N/A</v>
      </c>
      <c r="K172" s="4" t="e">
        <f ca="1"/>
        <v>#N/A</v>
      </c>
      <c r="L172" s="4" t="e">
        <f ca="1"/>
        <v>#N/A</v>
      </c>
      <c r="M172" s="4" t="e">
        <f ca="1"/>
        <v>#N/A</v>
      </c>
      <c r="N172" s="4" t="e">
        <f ca="1"/>
        <v>#N/A</v>
      </c>
      <c r="O172" s="4" t="e">
        <f ca="1"/>
        <v>#N/A</v>
      </c>
      <c r="P172" s="3" t="e">
        <f ca="1"/>
        <v>#N/A</v>
      </c>
      <c r="Q172" s="3" t="e">
        <f ca="1"/>
        <v>#N/A</v>
      </c>
    </row>
    <row r="173" spans="4:17" x14ac:dyDescent="0.25">
      <c r="D173" s="3" t="e">
        <f ca="1"/>
        <v>#N/A</v>
      </c>
      <c r="E173" s="4" t="e">
        <f ca="1"/>
        <v>#N/A</v>
      </c>
      <c r="F173" s="4" t="e">
        <f ca="1"/>
        <v>#N/A</v>
      </c>
      <c r="G173" s="4" t="e">
        <f ca="1"/>
        <v>#N/A</v>
      </c>
      <c r="H173" s="4" t="e">
        <f ca="1"/>
        <v>#N/A</v>
      </c>
      <c r="I173" s="7" t="e">
        <f ca="1"/>
        <v>#N/A</v>
      </c>
      <c r="J173" s="4" t="e">
        <f ca="1"/>
        <v>#N/A</v>
      </c>
      <c r="K173" s="4" t="e">
        <f ca="1"/>
        <v>#N/A</v>
      </c>
      <c r="L173" s="4" t="e">
        <f ca="1"/>
        <v>#N/A</v>
      </c>
      <c r="M173" s="4" t="e">
        <f ca="1"/>
        <v>#N/A</v>
      </c>
      <c r="N173" s="4" t="e">
        <f ca="1"/>
        <v>#N/A</v>
      </c>
      <c r="O173" s="4" t="e">
        <f ca="1"/>
        <v>#N/A</v>
      </c>
      <c r="P173" s="3" t="e">
        <f ca="1"/>
        <v>#N/A</v>
      </c>
      <c r="Q173" s="3" t="e">
        <f ca="1"/>
        <v>#N/A</v>
      </c>
    </row>
    <row r="174" spans="4:17" x14ac:dyDescent="0.25">
      <c r="D174" s="3" t="e">
        <f ca="1"/>
        <v>#N/A</v>
      </c>
      <c r="E174" s="4" t="e">
        <f ca="1"/>
        <v>#N/A</v>
      </c>
      <c r="F174" s="4" t="e">
        <f ca="1"/>
        <v>#N/A</v>
      </c>
      <c r="G174" s="4" t="e">
        <f ca="1"/>
        <v>#N/A</v>
      </c>
      <c r="H174" s="4" t="e">
        <f ca="1"/>
        <v>#N/A</v>
      </c>
      <c r="I174" s="7" t="e">
        <f ca="1"/>
        <v>#N/A</v>
      </c>
      <c r="J174" s="4" t="e">
        <f ca="1"/>
        <v>#N/A</v>
      </c>
      <c r="K174" s="4" t="e">
        <f ca="1"/>
        <v>#N/A</v>
      </c>
      <c r="L174" s="4" t="e">
        <f ca="1"/>
        <v>#N/A</v>
      </c>
      <c r="M174" s="4" t="e">
        <f ca="1"/>
        <v>#N/A</v>
      </c>
      <c r="N174" s="4" t="e">
        <f ca="1"/>
        <v>#N/A</v>
      </c>
      <c r="O174" s="4" t="e">
        <f ca="1"/>
        <v>#N/A</v>
      </c>
      <c r="P174" s="3" t="e">
        <f ca="1"/>
        <v>#N/A</v>
      </c>
      <c r="Q174" s="3" t="e">
        <f ca="1"/>
        <v>#N/A</v>
      </c>
    </row>
    <row r="175" spans="4:17" x14ac:dyDescent="0.25">
      <c r="D175" s="3" t="e">
        <f ca="1"/>
        <v>#N/A</v>
      </c>
      <c r="E175" s="4" t="e">
        <f ca="1"/>
        <v>#N/A</v>
      </c>
      <c r="F175" s="4" t="e">
        <f ca="1"/>
        <v>#N/A</v>
      </c>
      <c r="G175" s="4" t="e">
        <f ca="1"/>
        <v>#N/A</v>
      </c>
      <c r="H175" s="4" t="e">
        <f ca="1"/>
        <v>#N/A</v>
      </c>
      <c r="I175" s="7" t="e">
        <f ca="1"/>
        <v>#N/A</v>
      </c>
      <c r="J175" s="4" t="e">
        <f ca="1"/>
        <v>#N/A</v>
      </c>
      <c r="K175" s="4" t="e">
        <f ca="1"/>
        <v>#N/A</v>
      </c>
      <c r="L175" s="4" t="e">
        <f ca="1"/>
        <v>#N/A</v>
      </c>
      <c r="M175" s="4" t="e">
        <f ca="1"/>
        <v>#N/A</v>
      </c>
      <c r="N175" s="4" t="e">
        <f ca="1"/>
        <v>#N/A</v>
      </c>
      <c r="O175" s="4" t="e">
        <f ca="1"/>
        <v>#N/A</v>
      </c>
      <c r="P175" s="3" t="e">
        <f ca="1"/>
        <v>#N/A</v>
      </c>
      <c r="Q175" s="3" t="e">
        <f ca="1"/>
        <v>#N/A</v>
      </c>
    </row>
    <row r="176" spans="4:17" x14ac:dyDescent="0.25">
      <c r="D176" s="3" t="e">
        <f ca="1"/>
        <v>#N/A</v>
      </c>
      <c r="E176" s="4" t="e">
        <f ca="1"/>
        <v>#N/A</v>
      </c>
      <c r="F176" s="4" t="e">
        <f ca="1"/>
        <v>#N/A</v>
      </c>
      <c r="G176" s="4" t="e">
        <f ca="1"/>
        <v>#N/A</v>
      </c>
      <c r="H176" s="4" t="e">
        <f ca="1"/>
        <v>#N/A</v>
      </c>
      <c r="I176" s="7" t="e">
        <f ca="1"/>
        <v>#N/A</v>
      </c>
      <c r="J176" s="4" t="e">
        <f ca="1"/>
        <v>#N/A</v>
      </c>
      <c r="K176" s="4" t="e">
        <f ca="1"/>
        <v>#N/A</v>
      </c>
      <c r="L176" s="4" t="e">
        <f ca="1"/>
        <v>#N/A</v>
      </c>
      <c r="M176" s="4" t="e">
        <f ca="1"/>
        <v>#N/A</v>
      </c>
      <c r="N176" s="4" t="e">
        <f ca="1"/>
        <v>#N/A</v>
      </c>
      <c r="O176" s="4" t="e">
        <f ca="1"/>
        <v>#N/A</v>
      </c>
      <c r="P176" s="3" t="e">
        <f ca="1"/>
        <v>#N/A</v>
      </c>
      <c r="Q176" s="3" t="e">
        <f ca="1"/>
        <v>#N/A</v>
      </c>
    </row>
    <row r="177" spans="4:17" x14ac:dyDescent="0.25">
      <c r="D177" s="3" t="e">
        <f ca="1"/>
        <v>#N/A</v>
      </c>
      <c r="E177" s="4" t="e">
        <f ca="1"/>
        <v>#N/A</v>
      </c>
      <c r="F177" s="4" t="e">
        <f ca="1"/>
        <v>#N/A</v>
      </c>
      <c r="G177" s="4" t="e">
        <f ca="1"/>
        <v>#N/A</v>
      </c>
      <c r="H177" s="4" t="e">
        <f ca="1"/>
        <v>#N/A</v>
      </c>
      <c r="I177" s="7" t="e">
        <f ca="1"/>
        <v>#N/A</v>
      </c>
      <c r="J177" s="4" t="e">
        <f ca="1"/>
        <v>#N/A</v>
      </c>
      <c r="K177" s="4" t="e">
        <f ca="1"/>
        <v>#N/A</v>
      </c>
      <c r="L177" s="4" t="e">
        <f ca="1"/>
        <v>#N/A</v>
      </c>
      <c r="M177" s="4" t="e">
        <f ca="1"/>
        <v>#N/A</v>
      </c>
      <c r="N177" s="4" t="e">
        <f ca="1"/>
        <v>#N/A</v>
      </c>
      <c r="O177" s="4" t="e">
        <f ca="1"/>
        <v>#N/A</v>
      </c>
      <c r="P177" s="3" t="e">
        <f ca="1"/>
        <v>#N/A</v>
      </c>
      <c r="Q177" s="3" t="e">
        <f ca="1"/>
        <v>#N/A</v>
      </c>
    </row>
    <row r="178" spans="4:17" x14ac:dyDescent="0.25">
      <c r="D178" s="3" t="e">
        <f ca="1"/>
        <v>#N/A</v>
      </c>
      <c r="E178" s="4" t="e">
        <f ca="1"/>
        <v>#N/A</v>
      </c>
      <c r="F178" s="4" t="e">
        <f ca="1"/>
        <v>#N/A</v>
      </c>
      <c r="G178" s="4" t="e">
        <f ca="1"/>
        <v>#N/A</v>
      </c>
      <c r="H178" s="4" t="e">
        <f ca="1"/>
        <v>#N/A</v>
      </c>
      <c r="I178" s="7" t="e">
        <f ca="1"/>
        <v>#N/A</v>
      </c>
      <c r="J178" s="4" t="e">
        <f ca="1"/>
        <v>#N/A</v>
      </c>
      <c r="K178" s="4" t="e">
        <f ca="1"/>
        <v>#N/A</v>
      </c>
      <c r="L178" s="4" t="e">
        <f ca="1"/>
        <v>#N/A</v>
      </c>
      <c r="M178" s="4" t="e">
        <f ca="1"/>
        <v>#N/A</v>
      </c>
      <c r="N178" s="4" t="e">
        <f ca="1"/>
        <v>#N/A</v>
      </c>
      <c r="O178" s="4" t="e">
        <f ca="1"/>
        <v>#N/A</v>
      </c>
      <c r="P178" s="3" t="e">
        <f ca="1"/>
        <v>#N/A</v>
      </c>
      <c r="Q178" s="3" t="e">
        <f ca="1"/>
        <v>#N/A</v>
      </c>
    </row>
    <row r="179" spans="4:17" x14ac:dyDescent="0.25">
      <c r="D179" s="3" t="e">
        <f ca="1"/>
        <v>#N/A</v>
      </c>
      <c r="E179" s="4" t="e">
        <f ca="1"/>
        <v>#N/A</v>
      </c>
      <c r="F179" s="4" t="e">
        <f ca="1"/>
        <v>#N/A</v>
      </c>
      <c r="G179" s="4" t="e">
        <f ca="1"/>
        <v>#N/A</v>
      </c>
      <c r="H179" s="4" t="e">
        <f ca="1"/>
        <v>#N/A</v>
      </c>
      <c r="I179" s="7" t="e">
        <f ca="1"/>
        <v>#N/A</v>
      </c>
      <c r="J179" s="4" t="e">
        <f ca="1"/>
        <v>#N/A</v>
      </c>
      <c r="K179" s="4" t="e">
        <f ca="1"/>
        <v>#N/A</v>
      </c>
      <c r="L179" s="4" t="e">
        <f ca="1"/>
        <v>#N/A</v>
      </c>
      <c r="M179" s="4" t="e">
        <f ca="1"/>
        <v>#N/A</v>
      </c>
      <c r="N179" s="4" t="e">
        <f ca="1"/>
        <v>#N/A</v>
      </c>
      <c r="O179" s="4" t="e">
        <f ca="1"/>
        <v>#N/A</v>
      </c>
      <c r="P179" s="3" t="e">
        <f ca="1"/>
        <v>#N/A</v>
      </c>
      <c r="Q179" s="3" t="e">
        <f ca="1"/>
        <v>#N/A</v>
      </c>
    </row>
    <row r="180" spans="4:17" x14ac:dyDescent="0.25">
      <c r="D180" s="3" t="e">
        <f ca="1"/>
        <v>#N/A</v>
      </c>
      <c r="E180" s="4" t="e">
        <f ca="1"/>
        <v>#N/A</v>
      </c>
      <c r="F180" s="4" t="e">
        <f ca="1"/>
        <v>#N/A</v>
      </c>
      <c r="G180" s="4" t="e">
        <f ca="1"/>
        <v>#N/A</v>
      </c>
      <c r="H180" s="4" t="e">
        <f ca="1"/>
        <v>#N/A</v>
      </c>
      <c r="I180" s="7" t="e">
        <f ca="1"/>
        <v>#N/A</v>
      </c>
      <c r="J180" s="4" t="e">
        <f ca="1"/>
        <v>#N/A</v>
      </c>
      <c r="K180" s="4" t="e">
        <f ca="1"/>
        <v>#N/A</v>
      </c>
      <c r="L180" s="4" t="e">
        <f ca="1"/>
        <v>#N/A</v>
      </c>
      <c r="M180" s="4" t="e">
        <f ca="1"/>
        <v>#N/A</v>
      </c>
      <c r="N180" s="4" t="e">
        <f ca="1"/>
        <v>#N/A</v>
      </c>
      <c r="O180" s="4" t="e">
        <f ca="1"/>
        <v>#N/A</v>
      </c>
      <c r="P180" s="3" t="e">
        <f ca="1"/>
        <v>#N/A</v>
      </c>
      <c r="Q180" s="3" t="e">
        <f ca="1"/>
        <v>#N/A</v>
      </c>
    </row>
    <row r="181" spans="4:17" x14ac:dyDescent="0.25">
      <c r="D181" s="3" t="e">
        <f ca="1"/>
        <v>#N/A</v>
      </c>
      <c r="E181" s="4" t="e">
        <f ca="1"/>
        <v>#N/A</v>
      </c>
      <c r="F181" s="4" t="e">
        <f ca="1"/>
        <v>#N/A</v>
      </c>
      <c r="G181" s="4" t="e">
        <f ca="1"/>
        <v>#N/A</v>
      </c>
      <c r="H181" s="4" t="e">
        <f ca="1"/>
        <v>#N/A</v>
      </c>
      <c r="I181" s="7" t="e">
        <f ca="1"/>
        <v>#N/A</v>
      </c>
      <c r="J181" s="4" t="e">
        <f ca="1"/>
        <v>#N/A</v>
      </c>
      <c r="K181" s="4" t="e">
        <f ca="1"/>
        <v>#N/A</v>
      </c>
      <c r="L181" s="4" t="e">
        <f ca="1"/>
        <v>#N/A</v>
      </c>
      <c r="M181" s="4" t="e">
        <f ca="1"/>
        <v>#N/A</v>
      </c>
      <c r="N181" s="4" t="e">
        <f ca="1"/>
        <v>#N/A</v>
      </c>
      <c r="O181" s="4" t="e">
        <f ca="1"/>
        <v>#N/A</v>
      </c>
      <c r="P181" s="3" t="e">
        <f ca="1"/>
        <v>#N/A</v>
      </c>
      <c r="Q181" s="3" t="e">
        <f ca="1"/>
        <v>#N/A</v>
      </c>
    </row>
    <row r="182" spans="4:17" x14ac:dyDescent="0.25">
      <c r="D182" s="3" t="e">
        <f ca="1"/>
        <v>#N/A</v>
      </c>
      <c r="E182" s="4" t="e">
        <f ca="1"/>
        <v>#N/A</v>
      </c>
      <c r="F182" s="4" t="e">
        <f ca="1"/>
        <v>#N/A</v>
      </c>
      <c r="G182" s="4" t="e">
        <f ca="1"/>
        <v>#N/A</v>
      </c>
      <c r="H182" s="4" t="e">
        <f ca="1"/>
        <v>#N/A</v>
      </c>
      <c r="I182" s="7" t="e">
        <f ca="1"/>
        <v>#N/A</v>
      </c>
      <c r="J182" s="4" t="e">
        <f ca="1"/>
        <v>#N/A</v>
      </c>
      <c r="K182" s="4" t="e">
        <f ca="1"/>
        <v>#N/A</v>
      </c>
      <c r="L182" s="4" t="e">
        <f ca="1"/>
        <v>#N/A</v>
      </c>
      <c r="M182" s="4" t="e">
        <f ca="1"/>
        <v>#N/A</v>
      </c>
      <c r="N182" s="4" t="e">
        <f ca="1"/>
        <v>#N/A</v>
      </c>
      <c r="O182" s="4" t="e">
        <f ca="1"/>
        <v>#N/A</v>
      </c>
      <c r="P182" s="3" t="e">
        <f ca="1"/>
        <v>#N/A</v>
      </c>
      <c r="Q182" s="3" t="e">
        <f ca="1"/>
        <v>#N/A</v>
      </c>
    </row>
    <row r="183" spans="4:17" x14ac:dyDescent="0.25">
      <c r="D183" s="3" t="e">
        <f ca="1"/>
        <v>#N/A</v>
      </c>
      <c r="E183" s="4" t="e">
        <f ca="1"/>
        <v>#N/A</v>
      </c>
      <c r="F183" s="4" t="e">
        <f ca="1"/>
        <v>#N/A</v>
      </c>
      <c r="G183" s="4" t="e">
        <f ca="1"/>
        <v>#N/A</v>
      </c>
      <c r="H183" s="4" t="e">
        <f ca="1"/>
        <v>#N/A</v>
      </c>
      <c r="I183" s="7" t="e">
        <f ca="1"/>
        <v>#N/A</v>
      </c>
      <c r="J183" s="4" t="e">
        <f ca="1"/>
        <v>#N/A</v>
      </c>
      <c r="K183" s="4" t="e">
        <f ca="1"/>
        <v>#N/A</v>
      </c>
      <c r="L183" s="4" t="e">
        <f ca="1"/>
        <v>#N/A</v>
      </c>
      <c r="M183" s="4" t="e">
        <f ca="1"/>
        <v>#N/A</v>
      </c>
      <c r="N183" s="4" t="e">
        <f ca="1"/>
        <v>#N/A</v>
      </c>
      <c r="O183" s="4" t="e">
        <f ca="1"/>
        <v>#N/A</v>
      </c>
      <c r="P183" s="3" t="e">
        <f ca="1"/>
        <v>#N/A</v>
      </c>
      <c r="Q183" s="3" t="e">
        <f ca="1"/>
        <v>#N/A</v>
      </c>
    </row>
    <row r="184" spans="4:17" x14ac:dyDescent="0.25">
      <c r="D184" s="3" t="e">
        <f ca="1"/>
        <v>#N/A</v>
      </c>
      <c r="E184" s="4" t="e">
        <f ca="1"/>
        <v>#N/A</v>
      </c>
      <c r="F184" s="4" t="e">
        <f ca="1"/>
        <v>#N/A</v>
      </c>
      <c r="G184" s="4" t="e">
        <f ca="1"/>
        <v>#N/A</v>
      </c>
      <c r="H184" s="4" t="e">
        <f ca="1"/>
        <v>#N/A</v>
      </c>
      <c r="I184" s="7" t="e">
        <f ca="1"/>
        <v>#N/A</v>
      </c>
      <c r="J184" s="4" t="e">
        <f ca="1"/>
        <v>#N/A</v>
      </c>
      <c r="K184" s="4" t="e">
        <f ca="1"/>
        <v>#N/A</v>
      </c>
      <c r="L184" s="4" t="e">
        <f ca="1"/>
        <v>#N/A</v>
      </c>
      <c r="M184" s="4" t="e">
        <f ca="1"/>
        <v>#N/A</v>
      </c>
      <c r="N184" s="4" t="e">
        <f ca="1"/>
        <v>#N/A</v>
      </c>
      <c r="O184" s="4" t="e">
        <f ca="1"/>
        <v>#N/A</v>
      </c>
      <c r="P184" s="3" t="e">
        <f ca="1"/>
        <v>#N/A</v>
      </c>
      <c r="Q184" s="3" t="e">
        <f ca="1"/>
        <v>#N/A</v>
      </c>
    </row>
    <row r="185" spans="4:17" x14ac:dyDescent="0.25">
      <c r="D185" s="3" t="e">
        <f ca="1"/>
        <v>#N/A</v>
      </c>
      <c r="E185" s="4" t="e">
        <f ca="1"/>
        <v>#N/A</v>
      </c>
      <c r="F185" s="4" t="e">
        <f ca="1"/>
        <v>#N/A</v>
      </c>
      <c r="G185" s="4" t="e">
        <f ca="1"/>
        <v>#N/A</v>
      </c>
      <c r="H185" s="4" t="e">
        <f ca="1"/>
        <v>#N/A</v>
      </c>
      <c r="I185" s="7" t="e">
        <f ca="1"/>
        <v>#N/A</v>
      </c>
      <c r="J185" s="4" t="e">
        <f ca="1"/>
        <v>#N/A</v>
      </c>
      <c r="K185" s="4" t="e">
        <f ca="1"/>
        <v>#N/A</v>
      </c>
      <c r="L185" s="4" t="e">
        <f ca="1"/>
        <v>#N/A</v>
      </c>
      <c r="M185" s="4" t="e">
        <f ca="1"/>
        <v>#N/A</v>
      </c>
      <c r="N185" s="4" t="e">
        <f ca="1"/>
        <v>#N/A</v>
      </c>
      <c r="O185" s="4" t="e">
        <f ca="1"/>
        <v>#N/A</v>
      </c>
      <c r="P185" s="3" t="e">
        <f ca="1"/>
        <v>#N/A</v>
      </c>
      <c r="Q185" s="3" t="e">
        <f ca="1"/>
        <v>#N/A</v>
      </c>
    </row>
    <row r="186" spans="4:17" x14ac:dyDescent="0.25">
      <c r="D186" s="3" t="e">
        <f ca="1"/>
        <v>#N/A</v>
      </c>
      <c r="E186" s="4" t="e">
        <f ca="1"/>
        <v>#N/A</v>
      </c>
      <c r="F186" s="4" t="e">
        <f ca="1"/>
        <v>#N/A</v>
      </c>
      <c r="G186" s="4" t="e">
        <f ca="1"/>
        <v>#N/A</v>
      </c>
      <c r="H186" s="4" t="e">
        <f ca="1"/>
        <v>#N/A</v>
      </c>
      <c r="I186" s="7" t="e">
        <f ca="1"/>
        <v>#N/A</v>
      </c>
      <c r="J186" s="4" t="e">
        <f ca="1"/>
        <v>#N/A</v>
      </c>
      <c r="K186" s="4" t="e">
        <f ca="1"/>
        <v>#N/A</v>
      </c>
      <c r="L186" s="4" t="e">
        <f ca="1"/>
        <v>#N/A</v>
      </c>
      <c r="M186" s="4" t="e">
        <f ca="1"/>
        <v>#N/A</v>
      </c>
      <c r="N186" s="4" t="e">
        <f ca="1"/>
        <v>#N/A</v>
      </c>
      <c r="O186" s="4" t="e">
        <f ca="1"/>
        <v>#N/A</v>
      </c>
      <c r="P186" s="3" t="e">
        <f ca="1"/>
        <v>#N/A</v>
      </c>
      <c r="Q186" s="3" t="e">
        <f ca="1"/>
        <v>#N/A</v>
      </c>
    </row>
    <row r="187" spans="4:17" x14ac:dyDescent="0.25">
      <c r="D187" s="3" t="e">
        <f ca="1"/>
        <v>#N/A</v>
      </c>
      <c r="E187" s="4" t="e">
        <f ca="1"/>
        <v>#N/A</v>
      </c>
      <c r="F187" s="4" t="e">
        <f ca="1"/>
        <v>#N/A</v>
      </c>
      <c r="G187" s="4" t="e">
        <f ca="1"/>
        <v>#N/A</v>
      </c>
      <c r="H187" s="4" t="e">
        <f ca="1"/>
        <v>#N/A</v>
      </c>
      <c r="I187" s="7" t="e">
        <f ca="1"/>
        <v>#N/A</v>
      </c>
      <c r="J187" s="4" t="e">
        <f ca="1"/>
        <v>#N/A</v>
      </c>
      <c r="K187" s="4" t="e">
        <f ca="1"/>
        <v>#N/A</v>
      </c>
      <c r="L187" s="4" t="e">
        <f ca="1"/>
        <v>#N/A</v>
      </c>
      <c r="M187" s="4" t="e">
        <f ca="1"/>
        <v>#N/A</v>
      </c>
      <c r="N187" s="4" t="e">
        <f ca="1"/>
        <v>#N/A</v>
      </c>
      <c r="O187" s="4" t="e">
        <f ca="1"/>
        <v>#N/A</v>
      </c>
      <c r="P187" s="3" t="e">
        <f ca="1"/>
        <v>#N/A</v>
      </c>
      <c r="Q187" s="3" t="e">
        <f ca="1"/>
        <v>#N/A</v>
      </c>
    </row>
    <row r="188" spans="4:17" x14ac:dyDescent="0.25">
      <c r="D188" s="3" t="e">
        <f ca="1"/>
        <v>#N/A</v>
      </c>
      <c r="E188" s="4" t="e">
        <f ca="1"/>
        <v>#N/A</v>
      </c>
      <c r="F188" s="4" t="e">
        <f ca="1"/>
        <v>#N/A</v>
      </c>
      <c r="G188" s="4" t="e">
        <f ca="1"/>
        <v>#N/A</v>
      </c>
      <c r="H188" s="4" t="e">
        <f ca="1"/>
        <v>#N/A</v>
      </c>
      <c r="I188" s="7" t="e">
        <f ca="1"/>
        <v>#N/A</v>
      </c>
      <c r="J188" s="4" t="e">
        <f ca="1"/>
        <v>#N/A</v>
      </c>
      <c r="K188" s="4" t="e">
        <f ca="1"/>
        <v>#N/A</v>
      </c>
      <c r="L188" s="4" t="e">
        <f ca="1"/>
        <v>#N/A</v>
      </c>
      <c r="M188" s="4" t="e">
        <f ca="1"/>
        <v>#N/A</v>
      </c>
      <c r="N188" s="4" t="e">
        <f ca="1"/>
        <v>#N/A</v>
      </c>
      <c r="O188" s="4" t="e">
        <f ca="1"/>
        <v>#N/A</v>
      </c>
      <c r="P188" s="3" t="e">
        <f ca="1"/>
        <v>#N/A</v>
      </c>
      <c r="Q188" s="3" t="e">
        <f ca="1"/>
        <v>#N/A</v>
      </c>
    </row>
    <row r="189" spans="4:17" x14ac:dyDescent="0.25">
      <c r="D189" s="3" t="e">
        <f ca="1"/>
        <v>#N/A</v>
      </c>
      <c r="E189" s="4" t="e">
        <f ca="1"/>
        <v>#N/A</v>
      </c>
      <c r="F189" s="4" t="e">
        <f ca="1"/>
        <v>#N/A</v>
      </c>
      <c r="G189" s="4" t="e">
        <f ca="1"/>
        <v>#N/A</v>
      </c>
      <c r="H189" s="4" t="e">
        <f ca="1"/>
        <v>#N/A</v>
      </c>
      <c r="I189" s="7" t="e">
        <f ca="1"/>
        <v>#N/A</v>
      </c>
      <c r="J189" s="4" t="e">
        <f ca="1"/>
        <v>#N/A</v>
      </c>
      <c r="K189" s="4" t="e">
        <f ca="1"/>
        <v>#N/A</v>
      </c>
      <c r="L189" s="4" t="e">
        <f ca="1"/>
        <v>#N/A</v>
      </c>
      <c r="M189" s="4" t="e">
        <f ca="1"/>
        <v>#N/A</v>
      </c>
      <c r="N189" s="4" t="e">
        <f ca="1"/>
        <v>#N/A</v>
      </c>
      <c r="O189" s="4" t="e">
        <f ca="1"/>
        <v>#N/A</v>
      </c>
      <c r="P189" s="3" t="e">
        <f ca="1"/>
        <v>#N/A</v>
      </c>
      <c r="Q189" s="3" t="e">
        <f ca="1"/>
        <v>#N/A</v>
      </c>
    </row>
    <row r="190" spans="4:17" x14ac:dyDescent="0.25">
      <c r="D190" s="3" t="e">
        <f ca="1"/>
        <v>#N/A</v>
      </c>
      <c r="E190" s="4" t="e">
        <f ca="1"/>
        <v>#N/A</v>
      </c>
      <c r="F190" s="4" t="e">
        <f ca="1"/>
        <v>#N/A</v>
      </c>
      <c r="G190" s="4" t="e">
        <f ca="1"/>
        <v>#N/A</v>
      </c>
      <c r="H190" s="4" t="e">
        <f ca="1"/>
        <v>#N/A</v>
      </c>
      <c r="I190" s="7" t="e">
        <f ca="1"/>
        <v>#N/A</v>
      </c>
      <c r="J190" s="4" t="e">
        <f ca="1"/>
        <v>#N/A</v>
      </c>
      <c r="K190" s="4" t="e">
        <f ca="1"/>
        <v>#N/A</v>
      </c>
      <c r="L190" s="4" t="e">
        <f ca="1"/>
        <v>#N/A</v>
      </c>
      <c r="M190" s="4" t="e">
        <f ca="1"/>
        <v>#N/A</v>
      </c>
      <c r="N190" s="4" t="e">
        <f ca="1"/>
        <v>#N/A</v>
      </c>
      <c r="O190" s="4" t="e">
        <f ca="1"/>
        <v>#N/A</v>
      </c>
      <c r="P190" s="3" t="e">
        <f ca="1"/>
        <v>#N/A</v>
      </c>
      <c r="Q190" s="3" t="e">
        <f ca="1"/>
        <v>#N/A</v>
      </c>
    </row>
    <row r="191" spans="4:17" x14ac:dyDescent="0.25">
      <c r="D191" s="3" t="e">
        <f ca="1"/>
        <v>#N/A</v>
      </c>
      <c r="E191" s="4" t="e">
        <f ca="1"/>
        <v>#N/A</v>
      </c>
      <c r="F191" s="4" t="e">
        <f ca="1"/>
        <v>#N/A</v>
      </c>
      <c r="G191" s="4" t="e">
        <f ca="1"/>
        <v>#N/A</v>
      </c>
      <c r="H191" s="4" t="e">
        <f ca="1"/>
        <v>#N/A</v>
      </c>
      <c r="I191" s="7" t="e">
        <f ca="1"/>
        <v>#N/A</v>
      </c>
      <c r="J191" s="4" t="e">
        <f ca="1"/>
        <v>#N/A</v>
      </c>
      <c r="K191" s="4" t="e">
        <f ca="1"/>
        <v>#N/A</v>
      </c>
      <c r="L191" s="4" t="e">
        <f ca="1"/>
        <v>#N/A</v>
      </c>
      <c r="M191" s="4" t="e">
        <f ca="1"/>
        <v>#N/A</v>
      </c>
      <c r="N191" s="4" t="e">
        <f ca="1"/>
        <v>#N/A</v>
      </c>
      <c r="O191" s="4" t="e">
        <f ca="1"/>
        <v>#N/A</v>
      </c>
      <c r="P191" s="3" t="e">
        <f ca="1"/>
        <v>#N/A</v>
      </c>
      <c r="Q191" s="3" t="e">
        <f ca="1"/>
        <v>#N/A</v>
      </c>
    </row>
    <row r="192" spans="4:17" x14ac:dyDescent="0.25">
      <c r="D192" s="3" t="e">
        <f ca="1"/>
        <v>#N/A</v>
      </c>
      <c r="E192" s="4" t="e">
        <f ca="1"/>
        <v>#N/A</v>
      </c>
      <c r="F192" s="4" t="e">
        <f ca="1"/>
        <v>#N/A</v>
      </c>
      <c r="G192" s="4" t="e">
        <f ca="1"/>
        <v>#N/A</v>
      </c>
      <c r="H192" s="4" t="e">
        <f ca="1"/>
        <v>#N/A</v>
      </c>
      <c r="I192" s="7" t="e">
        <f ca="1"/>
        <v>#N/A</v>
      </c>
      <c r="J192" s="4" t="e">
        <f ca="1"/>
        <v>#N/A</v>
      </c>
      <c r="K192" s="4" t="e">
        <f ca="1"/>
        <v>#N/A</v>
      </c>
      <c r="L192" s="4" t="e">
        <f ca="1"/>
        <v>#N/A</v>
      </c>
      <c r="M192" s="4" t="e">
        <f ca="1"/>
        <v>#N/A</v>
      </c>
      <c r="N192" s="4" t="e">
        <f ca="1"/>
        <v>#N/A</v>
      </c>
      <c r="O192" s="4" t="e">
        <f ca="1"/>
        <v>#N/A</v>
      </c>
      <c r="P192" s="3" t="e">
        <f ca="1"/>
        <v>#N/A</v>
      </c>
      <c r="Q192" s="3" t="e">
        <f ca="1"/>
        <v>#N/A</v>
      </c>
    </row>
    <row r="193" spans="4:17" x14ac:dyDescent="0.25">
      <c r="D193" s="3" t="e">
        <f ca="1"/>
        <v>#N/A</v>
      </c>
      <c r="E193" s="4" t="e">
        <f ca="1"/>
        <v>#N/A</v>
      </c>
      <c r="F193" s="4" t="e">
        <f ca="1"/>
        <v>#N/A</v>
      </c>
      <c r="G193" s="4" t="e">
        <f ca="1"/>
        <v>#N/A</v>
      </c>
      <c r="H193" s="4" t="e">
        <f ca="1"/>
        <v>#N/A</v>
      </c>
      <c r="I193" s="7" t="e">
        <f ca="1"/>
        <v>#N/A</v>
      </c>
      <c r="J193" s="4" t="e">
        <f ca="1"/>
        <v>#N/A</v>
      </c>
      <c r="K193" s="4" t="e">
        <f ca="1"/>
        <v>#N/A</v>
      </c>
      <c r="L193" s="4" t="e">
        <f ca="1"/>
        <v>#N/A</v>
      </c>
      <c r="M193" s="4" t="e">
        <f ca="1"/>
        <v>#N/A</v>
      </c>
      <c r="N193" s="4" t="e">
        <f ca="1"/>
        <v>#N/A</v>
      </c>
      <c r="O193" s="4" t="e">
        <f ca="1"/>
        <v>#N/A</v>
      </c>
      <c r="P193" s="3" t="e">
        <f ca="1"/>
        <v>#N/A</v>
      </c>
      <c r="Q193" s="3" t="e">
        <f ca="1"/>
        <v>#N/A</v>
      </c>
    </row>
    <row r="194" spans="4:17" x14ac:dyDescent="0.25">
      <c r="D194" s="3" t="e">
        <f ca="1"/>
        <v>#N/A</v>
      </c>
      <c r="E194" s="4" t="e">
        <f ca="1"/>
        <v>#N/A</v>
      </c>
      <c r="F194" s="4" t="e">
        <f ca="1"/>
        <v>#N/A</v>
      </c>
      <c r="G194" s="4" t="e">
        <f ca="1"/>
        <v>#N/A</v>
      </c>
      <c r="H194" s="4" t="e">
        <f ca="1"/>
        <v>#N/A</v>
      </c>
      <c r="I194" s="7" t="e">
        <f ca="1"/>
        <v>#N/A</v>
      </c>
      <c r="J194" s="4" t="e">
        <f ca="1"/>
        <v>#N/A</v>
      </c>
      <c r="K194" s="4" t="e">
        <f ca="1"/>
        <v>#N/A</v>
      </c>
      <c r="L194" s="4" t="e">
        <f ca="1"/>
        <v>#N/A</v>
      </c>
      <c r="M194" s="4" t="e">
        <f ca="1"/>
        <v>#N/A</v>
      </c>
      <c r="N194" s="4" t="e">
        <f ca="1"/>
        <v>#N/A</v>
      </c>
      <c r="O194" s="4" t="e">
        <f ca="1"/>
        <v>#N/A</v>
      </c>
      <c r="P194" s="3" t="e">
        <f ca="1"/>
        <v>#N/A</v>
      </c>
      <c r="Q194" s="3" t="e">
        <f ca="1"/>
        <v>#N/A</v>
      </c>
    </row>
    <row r="195" spans="4:17" x14ac:dyDescent="0.25">
      <c r="D195" s="3" t="e">
        <f ca="1"/>
        <v>#N/A</v>
      </c>
      <c r="E195" s="4" t="e">
        <f ca="1"/>
        <v>#N/A</v>
      </c>
      <c r="F195" s="4" t="e">
        <f ca="1"/>
        <v>#N/A</v>
      </c>
      <c r="G195" s="4" t="e">
        <f ca="1"/>
        <v>#N/A</v>
      </c>
      <c r="H195" s="4" t="e">
        <f ca="1"/>
        <v>#N/A</v>
      </c>
      <c r="I195" s="7" t="e">
        <f ca="1"/>
        <v>#N/A</v>
      </c>
      <c r="J195" s="4" t="e">
        <f ca="1"/>
        <v>#N/A</v>
      </c>
      <c r="K195" s="4" t="e">
        <f ca="1"/>
        <v>#N/A</v>
      </c>
      <c r="L195" s="4" t="e">
        <f ca="1"/>
        <v>#N/A</v>
      </c>
      <c r="M195" s="4" t="e">
        <f ca="1"/>
        <v>#N/A</v>
      </c>
      <c r="N195" s="4" t="e">
        <f ca="1"/>
        <v>#N/A</v>
      </c>
      <c r="O195" s="4" t="e">
        <f ca="1"/>
        <v>#N/A</v>
      </c>
      <c r="P195" s="3" t="e">
        <f ca="1"/>
        <v>#N/A</v>
      </c>
      <c r="Q195" s="3" t="e">
        <f ca="1"/>
        <v>#N/A</v>
      </c>
    </row>
    <row r="196" spans="4:17" x14ac:dyDescent="0.25">
      <c r="D196" s="3" t="e">
        <f ca="1"/>
        <v>#N/A</v>
      </c>
      <c r="E196" s="4" t="e">
        <f ca="1"/>
        <v>#N/A</v>
      </c>
      <c r="F196" s="4" t="e">
        <f ca="1"/>
        <v>#N/A</v>
      </c>
      <c r="G196" s="4" t="e">
        <f ca="1"/>
        <v>#N/A</v>
      </c>
      <c r="H196" s="4" t="e">
        <f ca="1"/>
        <v>#N/A</v>
      </c>
      <c r="I196" s="7" t="e">
        <f ca="1"/>
        <v>#N/A</v>
      </c>
      <c r="J196" s="4" t="e">
        <f ca="1"/>
        <v>#N/A</v>
      </c>
      <c r="K196" s="4" t="e">
        <f ca="1"/>
        <v>#N/A</v>
      </c>
      <c r="L196" s="4" t="e">
        <f ca="1"/>
        <v>#N/A</v>
      </c>
      <c r="M196" s="4" t="e">
        <f ca="1"/>
        <v>#N/A</v>
      </c>
      <c r="N196" s="4" t="e">
        <f ca="1"/>
        <v>#N/A</v>
      </c>
      <c r="O196" s="4" t="e">
        <f ca="1"/>
        <v>#N/A</v>
      </c>
      <c r="P196" s="3" t="e">
        <f ca="1"/>
        <v>#N/A</v>
      </c>
      <c r="Q196" s="3" t="e">
        <f ca="1"/>
        <v>#N/A</v>
      </c>
    </row>
    <row r="197" spans="4:17" x14ac:dyDescent="0.25">
      <c r="D197" s="3" t="e">
        <f ca="1"/>
        <v>#N/A</v>
      </c>
      <c r="E197" s="4" t="e">
        <f ca="1"/>
        <v>#N/A</v>
      </c>
      <c r="F197" s="4" t="e">
        <f ca="1"/>
        <v>#N/A</v>
      </c>
      <c r="G197" s="4" t="e">
        <f ca="1"/>
        <v>#N/A</v>
      </c>
      <c r="H197" s="4" t="e">
        <f ca="1"/>
        <v>#N/A</v>
      </c>
      <c r="I197" s="7" t="e">
        <f ca="1"/>
        <v>#N/A</v>
      </c>
      <c r="J197" s="4" t="e">
        <f ca="1"/>
        <v>#N/A</v>
      </c>
      <c r="K197" s="4" t="e">
        <f ca="1"/>
        <v>#N/A</v>
      </c>
      <c r="L197" s="4" t="e">
        <f ca="1"/>
        <v>#N/A</v>
      </c>
      <c r="M197" s="4" t="e">
        <f ca="1"/>
        <v>#N/A</v>
      </c>
      <c r="N197" s="4" t="e">
        <f ca="1"/>
        <v>#N/A</v>
      </c>
      <c r="O197" s="4" t="e">
        <f ca="1"/>
        <v>#N/A</v>
      </c>
      <c r="P197" s="3" t="e">
        <f ca="1"/>
        <v>#N/A</v>
      </c>
      <c r="Q197" s="3" t="e">
        <f ca="1"/>
        <v>#N/A</v>
      </c>
    </row>
    <row r="198" spans="4:17" x14ac:dyDescent="0.25">
      <c r="D198" s="3" t="e">
        <f ca="1"/>
        <v>#N/A</v>
      </c>
      <c r="E198" s="4" t="e">
        <f ca="1"/>
        <v>#N/A</v>
      </c>
      <c r="F198" s="4" t="e">
        <f ca="1"/>
        <v>#N/A</v>
      </c>
      <c r="G198" s="4" t="e">
        <f ca="1"/>
        <v>#N/A</v>
      </c>
      <c r="H198" s="4" t="e">
        <f ca="1"/>
        <v>#N/A</v>
      </c>
      <c r="I198" s="7" t="e">
        <f ca="1"/>
        <v>#N/A</v>
      </c>
      <c r="J198" s="4" t="e">
        <f ca="1"/>
        <v>#N/A</v>
      </c>
      <c r="K198" s="4" t="e">
        <f ca="1"/>
        <v>#N/A</v>
      </c>
      <c r="L198" s="4" t="e">
        <f ca="1"/>
        <v>#N/A</v>
      </c>
      <c r="M198" s="4" t="e">
        <f ca="1"/>
        <v>#N/A</v>
      </c>
      <c r="N198" s="4" t="e">
        <f ca="1"/>
        <v>#N/A</v>
      </c>
      <c r="O198" s="4" t="e">
        <f ca="1"/>
        <v>#N/A</v>
      </c>
      <c r="P198" s="3" t="e">
        <f ca="1"/>
        <v>#N/A</v>
      </c>
      <c r="Q198" s="3" t="e">
        <f ca="1"/>
        <v>#N/A</v>
      </c>
    </row>
    <row r="199" spans="4:17" x14ac:dyDescent="0.25">
      <c r="D199" s="3" t="e">
        <f ca="1"/>
        <v>#N/A</v>
      </c>
      <c r="E199" s="4" t="e">
        <f ca="1"/>
        <v>#N/A</v>
      </c>
      <c r="F199" s="4" t="e">
        <f ca="1"/>
        <v>#N/A</v>
      </c>
      <c r="G199" s="4" t="e">
        <f ca="1"/>
        <v>#N/A</v>
      </c>
      <c r="H199" s="4" t="e">
        <f ca="1"/>
        <v>#N/A</v>
      </c>
      <c r="I199" s="7" t="e">
        <f ca="1"/>
        <v>#N/A</v>
      </c>
      <c r="J199" s="4" t="e">
        <f ca="1"/>
        <v>#N/A</v>
      </c>
      <c r="K199" s="4" t="e">
        <f ca="1"/>
        <v>#N/A</v>
      </c>
      <c r="L199" s="4" t="e">
        <f ca="1"/>
        <v>#N/A</v>
      </c>
      <c r="M199" s="4" t="e">
        <f ca="1"/>
        <v>#N/A</v>
      </c>
      <c r="N199" s="4" t="e">
        <f ca="1"/>
        <v>#N/A</v>
      </c>
      <c r="O199" s="4" t="e">
        <f ca="1"/>
        <v>#N/A</v>
      </c>
      <c r="P199" s="3" t="e">
        <f ca="1"/>
        <v>#N/A</v>
      </c>
      <c r="Q199" s="3" t="e">
        <f ca="1"/>
        <v>#N/A</v>
      </c>
    </row>
    <row r="200" spans="4:17" x14ac:dyDescent="0.25">
      <c r="D200" s="3" t="e">
        <f ca="1"/>
        <v>#N/A</v>
      </c>
      <c r="E200" s="4" t="e">
        <f ca="1"/>
        <v>#N/A</v>
      </c>
      <c r="F200" s="4" t="e">
        <f ca="1"/>
        <v>#N/A</v>
      </c>
      <c r="G200" s="4" t="e">
        <f ca="1"/>
        <v>#N/A</v>
      </c>
      <c r="H200" s="4" t="e">
        <f ca="1"/>
        <v>#N/A</v>
      </c>
      <c r="I200" s="7" t="e">
        <f ca="1"/>
        <v>#N/A</v>
      </c>
      <c r="J200" s="4" t="e">
        <f ca="1"/>
        <v>#N/A</v>
      </c>
      <c r="K200" s="4" t="e">
        <f ca="1"/>
        <v>#N/A</v>
      </c>
      <c r="L200" s="4" t="e">
        <f ca="1"/>
        <v>#N/A</v>
      </c>
      <c r="M200" s="4" t="e">
        <f ca="1"/>
        <v>#N/A</v>
      </c>
      <c r="N200" s="4" t="e">
        <f ca="1"/>
        <v>#N/A</v>
      </c>
      <c r="O200" s="4" t="e">
        <f ca="1"/>
        <v>#N/A</v>
      </c>
      <c r="P200" s="3" t="e">
        <f ca="1"/>
        <v>#N/A</v>
      </c>
      <c r="Q200" s="3" t="e">
        <f ca="1"/>
        <v>#N/A</v>
      </c>
    </row>
    <row r="201" spans="4:17" x14ac:dyDescent="0.25">
      <c r="D201" s="3" t="e">
        <f ca="1"/>
        <v>#N/A</v>
      </c>
      <c r="E201" s="4" t="e">
        <f ca="1"/>
        <v>#N/A</v>
      </c>
      <c r="F201" s="4" t="e">
        <f ca="1"/>
        <v>#N/A</v>
      </c>
      <c r="G201" s="4" t="e">
        <f ca="1"/>
        <v>#N/A</v>
      </c>
      <c r="H201" s="4" t="e">
        <f ca="1"/>
        <v>#N/A</v>
      </c>
      <c r="I201" s="7" t="e">
        <f ca="1"/>
        <v>#N/A</v>
      </c>
      <c r="J201" s="4" t="e">
        <f ca="1"/>
        <v>#N/A</v>
      </c>
      <c r="K201" s="4" t="e">
        <f ca="1"/>
        <v>#N/A</v>
      </c>
      <c r="L201" s="4" t="e">
        <f ca="1"/>
        <v>#N/A</v>
      </c>
      <c r="M201" s="4" t="e">
        <f ca="1"/>
        <v>#N/A</v>
      </c>
      <c r="N201" s="4" t="e">
        <f ca="1"/>
        <v>#N/A</v>
      </c>
      <c r="O201" s="4" t="e">
        <f ca="1"/>
        <v>#N/A</v>
      </c>
      <c r="P201" s="3" t="e">
        <f ca="1"/>
        <v>#N/A</v>
      </c>
      <c r="Q201" s="3" t="e">
        <f ca="1"/>
        <v>#N/A</v>
      </c>
    </row>
    <row r="202" spans="4:17" x14ac:dyDescent="0.25">
      <c r="D202" s="3" t="e">
        <f ca="1"/>
        <v>#N/A</v>
      </c>
      <c r="E202" s="4" t="e">
        <f ca="1"/>
        <v>#N/A</v>
      </c>
      <c r="F202" s="4" t="e">
        <f ca="1"/>
        <v>#N/A</v>
      </c>
      <c r="G202" s="4" t="e">
        <f ca="1"/>
        <v>#N/A</v>
      </c>
      <c r="H202" s="4" t="e">
        <f ca="1"/>
        <v>#N/A</v>
      </c>
      <c r="I202" s="7" t="e">
        <f ca="1"/>
        <v>#N/A</v>
      </c>
      <c r="J202" s="4" t="e">
        <f ca="1"/>
        <v>#N/A</v>
      </c>
      <c r="K202" s="4" t="e">
        <f ca="1"/>
        <v>#N/A</v>
      </c>
      <c r="L202" s="4" t="e">
        <f ca="1"/>
        <v>#N/A</v>
      </c>
      <c r="M202" s="4" t="e">
        <f ca="1"/>
        <v>#N/A</v>
      </c>
      <c r="N202" s="4" t="e">
        <f ca="1"/>
        <v>#N/A</v>
      </c>
      <c r="O202" s="4" t="e">
        <f ca="1"/>
        <v>#N/A</v>
      </c>
      <c r="P202" s="3" t="e">
        <f ca="1"/>
        <v>#N/A</v>
      </c>
      <c r="Q202" s="3" t="e">
        <f ca="1"/>
        <v>#N/A</v>
      </c>
    </row>
    <row r="203" spans="4:17" x14ac:dyDescent="0.25">
      <c r="D203" s="3" t="e">
        <f ca="1"/>
        <v>#N/A</v>
      </c>
      <c r="E203" s="4" t="e">
        <f ca="1"/>
        <v>#N/A</v>
      </c>
      <c r="F203" s="4" t="e">
        <f ca="1"/>
        <v>#N/A</v>
      </c>
      <c r="G203" s="4" t="e">
        <f ca="1"/>
        <v>#N/A</v>
      </c>
      <c r="H203" s="4" t="e">
        <f ca="1"/>
        <v>#N/A</v>
      </c>
      <c r="I203" s="7" t="e">
        <f ca="1"/>
        <v>#N/A</v>
      </c>
      <c r="J203" s="4" t="e">
        <f ca="1"/>
        <v>#N/A</v>
      </c>
      <c r="K203" s="4" t="e">
        <f ca="1"/>
        <v>#N/A</v>
      </c>
      <c r="L203" s="4" t="e">
        <f ca="1"/>
        <v>#N/A</v>
      </c>
      <c r="M203" s="4" t="e">
        <f ca="1"/>
        <v>#N/A</v>
      </c>
      <c r="N203" s="4" t="e">
        <f ca="1"/>
        <v>#N/A</v>
      </c>
      <c r="O203" s="4" t="e">
        <f ca="1"/>
        <v>#N/A</v>
      </c>
      <c r="P203" s="3" t="e">
        <f ca="1"/>
        <v>#N/A</v>
      </c>
      <c r="Q203" s="3" t="e">
        <f ca="1"/>
        <v>#N/A</v>
      </c>
    </row>
    <row r="204" spans="4:17" x14ac:dyDescent="0.25">
      <c r="D204" s="3" t="e">
        <f ca="1"/>
        <v>#N/A</v>
      </c>
      <c r="E204" s="4" t="e">
        <f ca="1"/>
        <v>#N/A</v>
      </c>
      <c r="F204" s="4" t="e">
        <f ca="1"/>
        <v>#N/A</v>
      </c>
      <c r="G204" s="4" t="e">
        <f ca="1"/>
        <v>#N/A</v>
      </c>
      <c r="H204" s="4" t="e">
        <f ca="1"/>
        <v>#N/A</v>
      </c>
      <c r="I204" s="7" t="e">
        <f ca="1"/>
        <v>#N/A</v>
      </c>
      <c r="J204" s="4" t="e">
        <f ca="1"/>
        <v>#N/A</v>
      </c>
      <c r="K204" s="4" t="e">
        <f ca="1"/>
        <v>#N/A</v>
      </c>
      <c r="L204" s="4" t="e">
        <f ca="1"/>
        <v>#N/A</v>
      </c>
      <c r="M204" s="4" t="e">
        <f ca="1"/>
        <v>#N/A</v>
      </c>
      <c r="N204" s="4" t="e">
        <f ca="1"/>
        <v>#N/A</v>
      </c>
      <c r="O204" s="4" t="e">
        <f ca="1"/>
        <v>#N/A</v>
      </c>
      <c r="P204" s="3" t="e">
        <f ca="1"/>
        <v>#N/A</v>
      </c>
      <c r="Q204" s="3" t="e">
        <f ca="1"/>
        <v>#N/A</v>
      </c>
    </row>
    <row r="205" spans="4:17" x14ac:dyDescent="0.25">
      <c r="D205" s="3" t="e">
        <f ca="1"/>
        <v>#N/A</v>
      </c>
      <c r="E205" s="4" t="e">
        <f ca="1"/>
        <v>#N/A</v>
      </c>
      <c r="F205" s="4" t="e">
        <f ca="1"/>
        <v>#N/A</v>
      </c>
      <c r="G205" s="4" t="e">
        <f ca="1"/>
        <v>#N/A</v>
      </c>
      <c r="H205" s="4" t="e">
        <f ca="1"/>
        <v>#N/A</v>
      </c>
      <c r="I205" s="7" t="e">
        <f ca="1"/>
        <v>#N/A</v>
      </c>
      <c r="J205" s="4" t="e">
        <f ca="1"/>
        <v>#N/A</v>
      </c>
      <c r="K205" s="4" t="e">
        <f ca="1"/>
        <v>#N/A</v>
      </c>
      <c r="L205" s="4" t="e">
        <f ca="1"/>
        <v>#N/A</v>
      </c>
      <c r="M205" s="4" t="e">
        <f ca="1"/>
        <v>#N/A</v>
      </c>
      <c r="N205" s="4" t="e">
        <f ca="1"/>
        <v>#N/A</v>
      </c>
      <c r="O205" s="4" t="e">
        <f ca="1"/>
        <v>#N/A</v>
      </c>
      <c r="P205" s="3" t="e">
        <f ca="1"/>
        <v>#N/A</v>
      </c>
      <c r="Q205" s="3" t="e">
        <f ca="1"/>
        <v>#N/A</v>
      </c>
    </row>
    <row r="206" spans="4:17" x14ac:dyDescent="0.25">
      <c r="D206" s="3" t="e">
        <f ca="1"/>
        <v>#N/A</v>
      </c>
      <c r="E206" s="4" t="e">
        <f ca="1"/>
        <v>#N/A</v>
      </c>
      <c r="F206" s="4" t="e">
        <f ca="1"/>
        <v>#N/A</v>
      </c>
      <c r="G206" s="4" t="e">
        <f ca="1"/>
        <v>#N/A</v>
      </c>
      <c r="H206" s="4" t="e">
        <f ca="1"/>
        <v>#N/A</v>
      </c>
      <c r="I206" s="7" t="e">
        <f ca="1"/>
        <v>#N/A</v>
      </c>
      <c r="J206" s="4" t="e">
        <f ca="1"/>
        <v>#N/A</v>
      </c>
      <c r="K206" s="4" t="e">
        <f ca="1"/>
        <v>#N/A</v>
      </c>
      <c r="L206" s="4" t="e">
        <f ca="1"/>
        <v>#N/A</v>
      </c>
      <c r="M206" s="4" t="e">
        <f ca="1"/>
        <v>#N/A</v>
      </c>
      <c r="N206" s="4" t="e">
        <f ca="1"/>
        <v>#N/A</v>
      </c>
      <c r="O206" s="4" t="e">
        <f ca="1"/>
        <v>#N/A</v>
      </c>
      <c r="P206" s="3" t="e">
        <f ca="1"/>
        <v>#N/A</v>
      </c>
      <c r="Q206" s="3" t="e">
        <f ca="1"/>
        <v>#N/A</v>
      </c>
    </row>
    <row r="207" spans="4:17" x14ac:dyDescent="0.25">
      <c r="D207" s="3" t="e">
        <f ca="1"/>
        <v>#N/A</v>
      </c>
      <c r="E207" s="4" t="e">
        <f ca="1"/>
        <v>#N/A</v>
      </c>
      <c r="F207" s="4" t="e">
        <f ca="1"/>
        <v>#N/A</v>
      </c>
      <c r="G207" s="4" t="e">
        <f ca="1"/>
        <v>#N/A</v>
      </c>
      <c r="H207" s="4" t="e">
        <f ca="1"/>
        <v>#N/A</v>
      </c>
      <c r="I207" s="7" t="e">
        <f ca="1"/>
        <v>#N/A</v>
      </c>
      <c r="J207" s="4" t="e">
        <f ca="1"/>
        <v>#N/A</v>
      </c>
      <c r="K207" s="4" t="e">
        <f ca="1"/>
        <v>#N/A</v>
      </c>
      <c r="L207" s="4" t="e">
        <f ca="1"/>
        <v>#N/A</v>
      </c>
      <c r="M207" s="4" t="e">
        <f ca="1"/>
        <v>#N/A</v>
      </c>
      <c r="N207" s="4" t="e">
        <f ca="1"/>
        <v>#N/A</v>
      </c>
      <c r="O207" s="4" t="e">
        <f ca="1"/>
        <v>#N/A</v>
      </c>
      <c r="P207" s="3" t="e">
        <f ca="1"/>
        <v>#N/A</v>
      </c>
      <c r="Q207" s="3" t="e">
        <f ca="1"/>
        <v>#N/A</v>
      </c>
    </row>
    <row r="208" spans="4:17" x14ac:dyDescent="0.25">
      <c r="D208" s="3" t="e">
        <f ca="1"/>
        <v>#N/A</v>
      </c>
      <c r="E208" s="4" t="e">
        <f ca="1"/>
        <v>#N/A</v>
      </c>
      <c r="F208" s="4" t="e">
        <f ca="1"/>
        <v>#N/A</v>
      </c>
      <c r="G208" s="4" t="e">
        <f ca="1"/>
        <v>#N/A</v>
      </c>
      <c r="H208" s="4" t="e">
        <f ca="1"/>
        <v>#N/A</v>
      </c>
      <c r="I208" s="7" t="e">
        <f ca="1"/>
        <v>#N/A</v>
      </c>
      <c r="J208" s="4" t="e">
        <f ca="1"/>
        <v>#N/A</v>
      </c>
      <c r="K208" s="4" t="e">
        <f ca="1"/>
        <v>#N/A</v>
      </c>
      <c r="L208" s="4" t="e">
        <f ca="1"/>
        <v>#N/A</v>
      </c>
      <c r="M208" s="4" t="e">
        <f ca="1"/>
        <v>#N/A</v>
      </c>
      <c r="N208" s="4" t="e">
        <f ca="1"/>
        <v>#N/A</v>
      </c>
      <c r="O208" s="4" t="e">
        <f ca="1"/>
        <v>#N/A</v>
      </c>
      <c r="P208" s="3" t="e">
        <f ca="1"/>
        <v>#N/A</v>
      </c>
      <c r="Q208" s="3" t="e">
        <f ca="1"/>
        <v>#N/A</v>
      </c>
    </row>
    <row r="209" spans="4:17" x14ac:dyDescent="0.25">
      <c r="D209" s="3" t="e">
        <f ca="1"/>
        <v>#N/A</v>
      </c>
      <c r="E209" s="4" t="e">
        <f ca="1"/>
        <v>#N/A</v>
      </c>
      <c r="F209" s="4" t="e">
        <f ca="1"/>
        <v>#N/A</v>
      </c>
      <c r="G209" s="4" t="e">
        <f ca="1"/>
        <v>#N/A</v>
      </c>
      <c r="H209" s="4" t="e">
        <f ca="1"/>
        <v>#N/A</v>
      </c>
      <c r="I209" s="7" t="e">
        <f ca="1"/>
        <v>#N/A</v>
      </c>
      <c r="J209" s="4" t="e">
        <f ca="1"/>
        <v>#N/A</v>
      </c>
      <c r="K209" s="4" t="e">
        <f ca="1"/>
        <v>#N/A</v>
      </c>
      <c r="L209" s="4" t="e">
        <f ca="1"/>
        <v>#N/A</v>
      </c>
      <c r="M209" s="4" t="e">
        <f ca="1"/>
        <v>#N/A</v>
      </c>
      <c r="N209" s="4" t="e">
        <f ca="1"/>
        <v>#N/A</v>
      </c>
      <c r="O209" s="4" t="e">
        <f ca="1"/>
        <v>#N/A</v>
      </c>
      <c r="P209" s="3" t="e">
        <f ca="1"/>
        <v>#N/A</v>
      </c>
      <c r="Q209" s="3" t="e">
        <f ca="1"/>
        <v>#N/A</v>
      </c>
    </row>
    <row r="210" spans="4:17" x14ac:dyDescent="0.25">
      <c r="D210" s="3" t="e">
        <f ca="1"/>
        <v>#N/A</v>
      </c>
      <c r="E210" s="4" t="e">
        <f ca="1"/>
        <v>#N/A</v>
      </c>
      <c r="F210" s="4" t="e">
        <f ca="1"/>
        <v>#N/A</v>
      </c>
      <c r="G210" s="4" t="e">
        <f ca="1"/>
        <v>#N/A</v>
      </c>
      <c r="H210" s="4" t="e">
        <f ca="1"/>
        <v>#N/A</v>
      </c>
      <c r="I210" s="7" t="e">
        <f ca="1"/>
        <v>#N/A</v>
      </c>
      <c r="J210" s="4" t="e">
        <f ca="1"/>
        <v>#N/A</v>
      </c>
      <c r="K210" s="4" t="e">
        <f ca="1"/>
        <v>#N/A</v>
      </c>
      <c r="L210" s="4" t="e">
        <f ca="1"/>
        <v>#N/A</v>
      </c>
      <c r="M210" s="4" t="e">
        <f ca="1"/>
        <v>#N/A</v>
      </c>
      <c r="N210" s="4" t="e">
        <f ca="1"/>
        <v>#N/A</v>
      </c>
      <c r="O210" s="4" t="e">
        <f ca="1"/>
        <v>#N/A</v>
      </c>
      <c r="P210" s="3" t="e">
        <f ca="1"/>
        <v>#N/A</v>
      </c>
      <c r="Q210" s="3" t="e">
        <f ca="1"/>
        <v>#N/A</v>
      </c>
    </row>
    <row r="211" spans="4:17" x14ac:dyDescent="0.25">
      <c r="D211" s="3" t="e">
        <f ca="1"/>
        <v>#N/A</v>
      </c>
      <c r="E211" s="4" t="e">
        <f ca="1"/>
        <v>#N/A</v>
      </c>
      <c r="F211" s="4" t="e">
        <f ca="1"/>
        <v>#N/A</v>
      </c>
      <c r="G211" s="4" t="e">
        <f ca="1"/>
        <v>#N/A</v>
      </c>
      <c r="H211" s="4" t="e">
        <f ca="1"/>
        <v>#N/A</v>
      </c>
      <c r="I211" s="7" t="e">
        <f ca="1"/>
        <v>#N/A</v>
      </c>
      <c r="J211" s="4" t="e">
        <f ca="1"/>
        <v>#N/A</v>
      </c>
      <c r="K211" s="4" t="e">
        <f ca="1"/>
        <v>#N/A</v>
      </c>
      <c r="L211" s="4" t="e">
        <f ca="1"/>
        <v>#N/A</v>
      </c>
      <c r="M211" s="4" t="e">
        <f ca="1"/>
        <v>#N/A</v>
      </c>
      <c r="N211" s="4" t="e">
        <f ca="1"/>
        <v>#N/A</v>
      </c>
      <c r="O211" s="4" t="e">
        <f ca="1"/>
        <v>#N/A</v>
      </c>
      <c r="P211" s="3" t="e">
        <f ca="1"/>
        <v>#N/A</v>
      </c>
      <c r="Q211" s="3" t="e">
        <f ca="1"/>
        <v>#N/A</v>
      </c>
    </row>
    <row r="212" spans="4:17" x14ac:dyDescent="0.25">
      <c r="D212" s="3" t="e">
        <f ca="1"/>
        <v>#N/A</v>
      </c>
      <c r="E212" s="4" t="e">
        <f ca="1"/>
        <v>#N/A</v>
      </c>
      <c r="F212" s="4" t="e">
        <f ca="1"/>
        <v>#N/A</v>
      </c>
      <c r="G212" s="4" t="e">
        <f ca="1"/>
        <v>#N/A</v>
      </c>
      <c r="H212" s="4" t="e">
        <f ca="1"/>
        <v>#N/A</v>
      </c>
      <c r="I212" s="7" t="e">
        <f ca="1"/>
        <v>#N/A</v>
      </c>
      <c r="J212" s="4" t="e">
        <f ca="1"/>
        <v>#N/A</v>
      </c>
      <c r="K212" s="4" t="e">
        <f ca="1"/>
        <v>#N/A</v>
      </c>
      <c r="L212" s="4" t="e">
        <f ca="1"/>
        <v>#N/A</v>
      </c>
      <c r="M212" s="4" t="e">
        <f ca="1"/>
        <v>#N/A</v>
      </c>
      <c r="N212" s="4" t="e">
        <f ca="1"/>
        <v>#N/A</v>
      </c>
      <c r="O212" s="4" t="e">
        <f ca="1"/>
        <v>#N/A</v>
      </c>
      <c r="P212" s="3" t="e">
        <f ca="1"/>
        <v>#N/A</v>
      </c>
      <c r="Q212" s="3" t="e">
        <f ca="1"/>
        <v>#N/A</v>
      </c>
    </row>
    <row r="213" spans="4:17" x14ac:dyDescent="0.25">
      <c r="D213" s="3" t="e">
        <f ca="1"/>
        <v>#N/A</v>
      </c>
      <c r="E213" s="4" t="e">
        <f ca="1"/>
        <v>#N/A</v>
      </c>
      <c r="F213" s="4" t="e">
        <f ca="1"/>
        <v>#N/A</v>
      </c>
      <c r="G213" s="4" t="e">
        <f ca="1"/>
        <v>#N/A</v>
      </c>
      <c r="H213" s="4" t="e">
        <f ca="1"/>
        <v>#N/A</v>
      </c>
      <c r="I213" s="7" t="e">
        <f ca="1"/>
        <v>#N/A</v>
      </c>
      <c r="J213" s="4" t="e">
        <f ca="1"/>
        <v>#N/A</v>
      </c>
      <c r="K213" s="4" t="e">
        <f ca="1"/>
        <v>#N/A</v>
      </c>
      <c r="L213" s="4" t="e">
        <f ca="1"/>
        <v>#N/A</v>
      </c>
      <c r="M213" s="4" t="e">
        <f ca="1"/>
        <v>#N/A</v>
      </c>
      <c r="N213" s="4" t="e">
        <f ca="1"/>
        <v>#N/A</v>
      </c>
      <c r="O213" s="4" t="e">
        <f ca="1"/>
        <v>#N/A</v>
      </c>
      <c r="P213" s="3" t="e">
        <f ca="1"/>
        <v>#N/A</v>
      </c>
      <c r="Q213" s="3" t="e">
        <f ca="1"/>
        <v>#N/A</v>
      </c>
    </row>
    <row r="214" spans="4:17" x14ac:dyDescent="0.25">
      <c r="D214" s="3" t="e">
        <f ca="1"/>
        <v>#N/A</v>
      </c>
      <c r="E214" s="4" t="e">
        <f ca="1"/>
        <v>#N/A</v>
      </c>
      <c r="F214" s="4" t="e">
        <f ca="1"/>
        <v>#N/A</v>
      </c>
      <c r="G214" s="4" t="e">
        <f ca="1"/>
        <v>#N/A</v>
      </c>
      <c r="H214" s="4" t="e">
        <f ca="1"/>
        <v>#N/A</v>
      </c>
      <c r="I214" s="7" t="e">
        <f ca="1"/>
        <v>#N/A</v>
      </c>
      <c r="J214" s="4" t="e">
        <f ca="1"/>
        <v>#N/A</v>
      </c>
      <c r="K214" s="4" t="e">
        <f ca="1"/>
        <v>#N/A</v>
      </c>
      <c r="L214" s="4" t="e">
        <f ca="1"/>
        <v>#N/A</v>
      </c>
      <c r="M214" s="4" t="e">
        <f ca="1"/>
        <v>#N/A</v>
      </c>
      <c r="N214" s="4" t="e">
        <f ca="1"/>
        <v>#N/A</v>
      </c>
      <c r="O214" s="4" t="e">
        <f ca="1"/>
        <v>#N/A</v>
      </c>
      <c r="P214" s="3" t="e">
        <f ca="1"/>
        <v>#N/A</v>
      </c>
      <c r="Q214" s="3" t="e">
        <f ca="1"/>
        <v>#N/A</v>
      </c>
    </row>
    <row r="215" spans="4:17" x14ac:dyDescent="0.25">
      <c r="D215" s="3" t="e">
        <f ca="1"/>
        <v>#N/A</v>
      </c>
      <c r="E215" s="4" t="e">
        <f ca="1"/>
        <v>#N/A</v>
      </c>
      <c r="F215" s="4" t="e">
        <f ca="1"/>
        <v>#N/A</v>
      </c>
      <c r="G215" s="4" t="e">
        <f ca="1"/>
        <v>#N/A</v>
      </c>
      <c r="H215" s="4" t="e">
        <f ca="1"/>
        <v>#N/A</v>
      </c>
      <c r="I215" s="7" t="e">
        <f ca="1"/>
        <v>#N/A</v>
      </c>
      <c r="J215" s="4" t="e">
        <f ca="1"/>
        <v>#N/A</v>
      </c>
      <c r="K215" s="4" t="e">
        <f ca="1"/>
        <v>#N/A</v>
      </c>
      <c r="L215" s="4" t="e">
        <f ca="1"/>
        <v>#N/A</v>
      </c>
      <c r="M215" s="4" t="e">
        <f ca="1"/>
        <v>#N/A</v>
      </c>
      <c r="N215" s="4" t="e">
        <f ca="1"/>
        <v>#N/A</v>
      </c>
      <c r="O215" s="4" t="e">
        <f ca="1"/>
        <v>#N/A</v>
      </c>
      <c r="P215" s="3" t="e">
        <f ca="1"/>
        <v>#N/A</v>
      </c>
      <c r="Q215" s="3" t="e">
        <f ca="1"/>
        <v>#N/A</v>
      </c>
    </row>
    <row r="216" spans="4:17" x14ac:dyDescent="0.25">
      <c r="D216" s="3" t="e">
        <f ca="1"/>
        <v>#N/A</v>
      </c>
      <c r="E216" s="4" t="e">
        <f ca="1"/>
        <v>#N/A</v>
      </c>
      <c r="F216" s="4" t="e">
        <f ca="1"/>
        <v>#N/A</v>
      </c>
      <c r="G216" s="4" t="e">
        <f ca="1"/>
        <v>#N/A</v>
      </c>
      <c r="H216" s="4" t="e">
        <f ca="1"/>
        <v>#N/A</v>
      </c>
      <c r="I216" s="7" t="e">
        <f ca="1"/>
        <v>#N/A</v>
      </c>
      <c r="J216" s="4" t="e">
        <f ca="1"/>
        <v>#N/A</v>
      </c>
      <c r="K216" s="4" t="e">
        <f ca="1"/>
        <v>#N/A</v>
      </c>
      <c r="L216" s="4" t="e">
        <f ca="1"/>
        <v>#N/A</v>
      </c>
      <c r="M216" s="4" t="e">
        <f ca="1"/>
        <v>#N/A</v>
      </c>
      <c r="N216" s="4" t="e">
        <f ca="1"/>
        <v>#N/A</v>
      </c>
      <c r="O216" s="4" t="e">
        <f ca="1"/>
        <v>#N/A</v>
      </c>
      <c r="P216" s="3" t="e">
        <f ca="1"/>
        <v>#N/A</v>
      </c>
      <c r="Q216" s="3" t="e">
        <f ca="1"/>
        <v>#N/A</v>
      </c>
    </row>
    <row r="217" spans="4:17" x14ac:dyDescent="0.25">
      <c r="D217" s="3" t="e">
        <f ca="1"/>
        <v>#N/A</v>
      </c>
      <c r="E217" s="4" t="e">
        <f ca="1"/>
        <v>#N/A</v>
      </c>
      <c r="F217" s="4" t="e">
        <f ca="1"/>
        <v>#N/A</v>
      </c>
      <c r="G217" s="4" t="e">
        <f ca="1"/>
        <v>#N/A</v>
      </c>
      <c r="H217" s="4" t="e">
        <f ca="1"/>
        <v>#N/A</v>
      </c>
      <c r="I217" s="7" t="e">
        <f ca="1"/>
        <v>#N/A</v>
      </c>
      <c r="J217" s="4" t="e">
        <f ca="1"/>
        <v>#N/A</v>
      </c>
      <c r="K217" s="4" t="e">
        <f ca="1"/>
        <v>#N/A</v>
      </c>
      <c r="L217" s="4" t="e">
        <f ca="1"/>
        <v>#N/A</v>
      </c>
      <c r="M217" s="4" t="e">
        <f ca="1"/>
        <v>#N/A</v>
      </c>
      <c r="N217" s="4" t="e">
        <f ca="1"/>
        <v>#N/A</v>
      </c>
      <c r="O217" s="4" t="e">
        <f ca="1"/>
        <v>#N/A</v>
      </c>
      <c r="P217" s="3" t="e">
        <f ca="1"/>
        <v>#N/A</v>
      </c>
      <c r="Q217" s="3" t="e">
        <f ca="1"/>
        <v>#N/A</v>
      </c>
    </row>
    <row r="218" spans="4:17" x14ac:dyDescent="0.25">
      <c r="D218" s="3" t="e">
        <f ca="1"/>
        <v>#N/A</v>
      </c>
      <c r="E218" s="4" t="e">
        <f ca="1"/>
        <v>#N/A</v>
      </c>
      <c r="F218" s="4" t="e">
        <f ca="1"/>
        <v>#N/A</v>
      </c>
      <c r="G218" s="4" t="e">
        <f ca="1"/>
        <v>#N/A</v>
      </c>
      <c r="H218" s="4" t="e">
        <f ca="1"/>
        <v>#N/A</v>
      </c>
      <c r="I218" s="7" t="e">
        <f ca="1"/>
        <v>#N/A</v>
      </c>
      <c r="J218" s="4" t="e">
        <f ca="1"/>
        <v>#N/A</v>
      </c>
      <c r="K218" s="4" t="e">
        <f ca="1"/>
        <v>#N/A</v>
      </c>
      <c r="L218" s="4" t="e">
        <f ca="1"/>
        <v>#N/A</v>
      </c>
      <c r="M218" s="4" t="e">
        <f ca="1"/>
        <v>#N/A</v>
      </c>
      <c r="N218" s="4" t="e">
        <f ca="1"/>
        <v>#N/A</v>
      </c>
      <c r="O218" s="4" t="e">
        <f ca="1"/>
        <v>#N/A</v>
      </c>
      <c r="P218" s="3" t="e">
        <f ca="1"/>
        <v>#N/A</v>
      </c>
      <c r="Q218" s="3" t="e">
        <f ca="1"/>
        <v>#N/A</v>
      </c>
    </row>
    <row r="219" spans="4:17" x14ac:dyDescent="0.25">
      <c r="D219" s="3" t="e">
        <f ca="1"/>
        <v>#N/A</v>
      </c>
      <c r="E219" s="4" t="e">
        <f ca="1"/>
        <v>#N/A</v>
      </c>
      <c r="F219" s="4" t="e">
        <f ca="1"/>
        <v>#N/A</v>
      </c>
      <c r="G219" s="4" t="e">
        <f ca="1"/>
        <v>#N/A</v>
      </c>
      <c r="H219" s="4" t="e">
        <f ca="1"/>
        <v>#N/A</v>
      </c>
      <c r="I219" s="7" t="e">
        <f ca="1"/>
        <v>#N/A</v>
      </c>
      <c r="J219" s="4" t="e">
        <f ca="1"/>
        <v>#N/A</v>
      </c>
      <c r="K219" s="4" t="e">
        <f ca="1"/>
        <v>#N/A</v>
      </c>
      <c r="L219" s="4" t="e">
        <f ca="1"/>
        <v>#N/A</v>
      </c>
      <c r="M219" s="4" t="e">
        <f ca="1"/>
        <v>#N/A</v>
      </c>
      <c r="N219" s="4" t="e">
        <f ca="1"/>
        <v>#N/A</v>
      </c>
      <c r="O219" s="4" t="e">
        <f ca="1"/>
        <v>#N/A</v>
      </c>
      <c r="P219" s="3" t="e">
        <f ca="1"/>
        <v>#N/A</v>
      </c>
      <c r="Q219" s="3" t="e">
        <f ca="1"/>
        <v>#N/A</v>
      </c>
    </row>
    <row r="220" spans="4:17" x14ac:dyDescent="0.25">
      <c r="D220" s="3" t="e">
        <f ca="1"/>
        <v>#N/A</v>
      </c>
      <c r="E220" s="4" t="e">
        <f ca="1"/>
        <v>#N/A</v>
      </c>
      <c r="F220" s="4" t="e">
        <f ca="1"/>
        <v>#N/A</v>
      </c>
      <c r="G220" s="4" t="e">
        <f ca="1"/>
        <v>#N/A</v>
      </c>
      <c r="H220" s="4" t="e">
        <f ca="1"/>
        <v>#N/A</v>
      </c>
      <c r="I220" s="7" t="e">
        <f ca="1"/>
        <v>#N/A</v>
      </c>
      <c r="J220" s="4" t="e">
        <f ca="1"/>
        <v>#N/A</v>
      </c>
      <c r="K220" s="4" t="e">
        <f ca="1"/>
        <v>#N/A</v>
      </c>
      <c r="L220" s="4" t="e">
        <f ca="1"/>
        <v>#N/A</v>
      </c>
      <c r="M220" s="4" t="e">
        <f ca="1"/>
        <v>#N/A</v>
      </c>
      <c r="N220" s="4" t="e">
        <f ca="1"/>
        <v>#N/A</v>
      </c>
      <c r="O220" s="4" t="e">
        <f ca="1"/>
        <v>#N/A</v>
      </c>
      <c r="P220" s="3" t="e">
        <f ca="1"/>
        <v>#N/A</v>
      </c>
      <c r="Q220" s="3" t="e">
        <f ca="1"/>
        <v>#N/A</v>
      </c>
    </row>
    <row r="221" spans="4:17" x14ac:dyDescent="0.25">
      <c r="D221" s="3" t="e">
        <f ca="1"/>
        <v>#N/A</v>
      </c>
      <c r="E221" s="4" t="e">
        <f ca="1"/>
        <v>#N/A</v>
      </c>
      <c r="F221" s="4" t="e">
        <f ca="1"/>
        <v>#N/A</v>
      </c>
      <c r="G221" s="4" t="e">
        <f ca="1"/>
        <v>#N/A</v>
      </c>
      <c r="H221" s="4" t="e">
        <f ca="1"/>
        <v>#N/A</v>
      </c>
      <c r="I221" s="7" t="e">
        <f ca="1"/>
        <v>#N/A</v>
      </c>
      <c r="J221" s="4" t="e">
        <f ca="1"/>
        <v>#N/A</v>
      </c>
      <c r="K221" s="4" t="e">
        <f ca="1"/>
        <v>#N/A</v>
      </c>
      <c r="L221" s="4" t="e">
        <f ca="1"/>
        <v>#N/A</v>
      </c>
      <c r="M221" s="4" t="e">
        <f ca="1"/>
        <v>#N/A</v>
      </c>
      <c r="N221" s="4" t="e">
        <f ca="1"/>
        <v>#N/A</v>
      </c>
      <c r="O221" s="4" t="e">
        <f ca="1"/>
        <v>#N/A</v>
      </c>
      <c r="P221" s="3" t="e">
        <f ca="1"/>
        <v>#N/A</v>
      </c>
      <c r="Q221" s="3" t="e">
        <f ca="1"/>
        <v>#N/A</v>
      </c>
    </row>
    <row r="222" spans="4:17" x14ac:dyDescent="0.25">
      <c r="D222" s="3" t="e">
        <f ca="1"/>
        <v>#N/A</v>
      </c>
      <c r="E222" s="4" t="e">
        <f ca="1"/>
        <v>#N/A</v>
      </c>
      <c r="F222" s="4" t="e">
        <f ca="1"/>
        <v>#N/A</v>
      </c>
      <c r="G222" s="4" t="e">
        <f ca="1"/>
        <v>#N/A</v>
      </c>
      <c r="H222" s="4" t="e">
        <f ca="1"/>
        <v>#N/A</v>
      </c>
      <c r="I222" s="7" t="e">
        <f ca="1"/>
        <v>#N/A</v>
      </c>
      <c r="J222" s="4" t="e">
        <f ca="1"/>
        <v>#N/A</v>
      </c>
      <c r="K222" s="4" t="e">
        <f ca="1"/>
        <v>#N/A</v>
      </c>
      <c r="L222" s="4" t="e">
        <f ca="1"/>
        <v>#N/A</v>
      </c>
      <c r="M222" s="4" t="e">
        <f ca="1"/>
        <v>#N/A</v>
      </c>
      <c r="N222" s="4" t="e">
        <f ca="1"/>
        <v>#N/A</v>
      </c>
      <c r="O222" s="4" t="e">
        <f ca="1"/>
        <v>#N/A</v>
      </c>
      <c r="P222" s="3" t="e">
        <f ca="1"/>
        <v>#N/A</v>
      </c>
      <c r="Q222" s="3" t="e">
        <f ca="1"/>
        <v>#N/A</v>
      </c>
    </row>
    <row r="223" spans="4:17" x14ac:dyDescent="0.25">
      <c r="D223" s="3" t="e">
        <f ca="1"/>
        <v>#N/A</v>
      </c>
      <c r="E223" s="4" t="e">
        <f ca="1"/>
        <v>#N/A</v>
      </c>
      <c r="F223" s="4" t="e">
        <f ca="1"/>
        <v>#N/A</v>
      </c>
      <c r="G223" s="4" t="e">
        <f ca="1"/>
        <v>#N/A</v>
      </c>
      <c r="H223" s="4" t="e">
        <f ca="1"/>
        <v>#N/A</v>
      </c>
      <c r="I223" s="7" t="e">
        <f ca="1"/>
        <v>#N/A</v>
      </c>
      <c r="J223" s="4" t="e">
        <f ca="1"/>
        <v>#N/A</v>
      </c>
      <c r="K223" s="4" t="e">
        <f ca="1"/>
        <v>#N/A</v>
      </c>
      <c r="L223" s="4" t="e">
        <f ca="1"/>
        <v>#N/A</v>
      </c>
      <c r="M223" s="4" t="e">
        <f ca="1"/>
        <v>#N/A</v>
      </c>
      <c r="N223" s="4" t="e">
        <f ca="1"/>
        <v>#N/A</v>
      </c>
      <c r="O223" s="4" t="e">
        <f ca="1"/>
        <v>#N/A</v>
      </c>
      <c r="P223" s="3" t="e">
        <f ca="1"/>
        <v>#N/A</v>
      </c>
      <c r="Q223" s="3" t="e">
        <f ca="1"/>
        <v>#N/A</v>
      </c>
    </row>
    <row r="224" spans="4:17" x14ac:dyDescent="0.25">
      <c r="D224" s="3" t="e">
        <f ca="1"/>
        <v>#N/A</v>
      </c>
      <c r="E224" s="4" t="e">
        <f ca="1"/>
        <v>#N/A</v>
      </c>
      <c r="F224" s="4" t="e">
        <f ca="1"/>
        <v>#N/A</v>
      </c>
      <c r="G224" s="4" t="e">
        <f ca="1"/>
        <v>#N/A</v>
      </c>
      <c r="H224" s="4" t="e">
        <f ca="1"/>
        <v>#N/A</v>
      </c>
      <c r="I224" s="7" t="e">
        <f ca="1"/>
        <v>#N/A</v>
      </c>
      <c r="J224" s="4" t="e">
        <f ca="1"/>
        <v>#N/A</v>
      </c>
      <c r="K224" s="4" t="e">
        <f ca="1"/>
        <v>#N/A</v>
      </c>
      <c r="L224" s="4" t="e">
        <f ca="1"/>
        <v>#N/A</v>
      </c>
      <c r="M224" s="4" t="e">
        <f ca="1"/>
        <v>#N/A</v>
      </c>
      <c r="N224" s="4" t="e">
        <f ca="1"/>
        <v>#N/A</v>
      </c>
      <c r="O224" s="4" t="e">
        <f ca="1"/>
        <v>#N/A</v>
      </c>
      <c r="P224" s="3" t="e">
        <f ca="1"/>
        <v>#N/A</v>
      </c>
      <c r="Q224" s="3" t="e">
        <f ca="1"/>
        <v>#N/A</v>
      </c>
    </row>
    <row r="225" spans="4:17" x14ac:dyDescent="0.25">
      <c r="D225" s="3" t="e">
        <f ca="1"/>
        <v>#N/A</v>
      </c>
      <c r="E225" s="4" t="e">
        <f ca="1"/>
        <v>#N/A</v>
      </c>
      <c r="F225" s="4" t="e">
        <f ca="1"/>
        <v>#N/A</v>
      </c>
      <c r="G225" s="4" t="e">
        <f ca="1"/>
        <v>#N/A</v>
      </c>
      <c r="H225" s="4" t="e">
        <f ca="1"/>
        <v>#N/A</v>
      </c>
      <c r="I225" s="7" t="e">
        <f ca="1"/>
        <v>#N/A</v>
      </c>
      <c r="J225" s="4" t="e">
        <f ca="1"/>
        <v>#N/A</v>
      </c>
      <c r="K225" s="4" t="e">
        <f ca="1"/>
        <v>#N/A</v>
      </c>
      <c r="L225" s="4" t="e">
        <f ca="1"/>
        <v>#N/A</v>
      </c>
      <c r="M225" s="4" t="e">
        <f ca="1"/>
        <v>#N/A</v>
      </c>
      <c r="N225" s="4" t="e">
        <f ca="1"/>
        <v>#N/A</v>
      </c>
      <c r="O225" s="4" t="e">
        <f ca="1"/>
        <v>#N/A</v>
      </c>
      <c r="P225" s="3" t="e">
        <f ca="1"/>
        <v>#N/A</v>
      </c>
      <c r="Q225" s="3" t="e">
        <f ca="1"/>
        <v>#N/A</v>
      </c>
    </row>
    <row r="226" spans="4:17" x14ac:dyDescent="0.25">
      <c r="D226" s="3" t="e">
        <f ca="1"/>
        <v>#N/A</v>
      </c>
      <c r="E226" s="4" t="e">
        <f ca="1"/>
        <v>#N/A</v>
      </c>
      <c r="F226" s="4" t="e">
        <f ca="1"/>
        <v>#N/A</v>
      </c>
      <c r="G226" s="4" t="e">
        <f ca="1"/>
        <v>#N/A</v>
      </c>
      <c r="H226" s="4" t="e">
        <f ca="1"/>
        <v>#N/A</v>
      </c>
      <c r="I226" s="7" t="e">
        <f ca="1"/>
        <v>#N/A</v>
      </c>
      <c r="J226" s="4" t="e">
        <f ca="1"/>
        <v>#N/A</v>
      </c>
      <c r="K226" s="4" t="e">
        <f ca="1"/>
        <v>#N/A</v>
      </c>
      <c r="L226" s="4" t="e">
        <f ca="1"/>
        <v>#N/A</v>
      </c>
      <c r="M226" s="4" t="e">
        <f ca="1"/>
        <v>#N/A</v>
      </c>
      <c r="N226" s="4" t="e">
        <f ca="1"/>
        <v>#N/A</v>
      </c>
      <c r="O226" s="4" t="e">
        <f ca="1"/>
        <v>#N/A</v>
      </c>
      <c r="P226" s="3" t="e">
        <f ca="1"/>
        <v>#N/A</v>
      </c>
      <c r="Q226" s="3" t="e">
        <f ca="1"/>
        <v>#N/A</v>
      </c>
    </row>
    <row r="227" spans="4:17" x14ac:dyDescent="0.25">
      <c r="D227" s="3" t="e">
        <f ca="1"/>
        <v>#N/A</v>
      </c>
      <c r="E227" s="4" t="e">
        <f ca="1"/>
        <v>#N/A</v>
      </c>
      <c r="F227" s="4" t="e">
        <f ca="1"/>
        <v>#N/A</v>
      </c>
      <c r="G227" s="4" t="e">
        <f ca="1"/>
        <v>#N/A</v>
      </c>
      <c r="H227" s="4" t="e">
        <f ca="1"/>
        <v>#N/A</v>
      </c>
      <c r="I227" s="7" t="e">
        <f ca="1"/>
        <v>#N/A</v>
      </c>
      <c r="J227" s="4" t="e">
        <f ca="1"/>
        <v>#N/A</v>
      </c>
      <c r="K227" s="4" t="e">
        <f ca="1"/>
        <v>#N/A</v>
      </c>
      <c r="L227" s="4" t="e">
        <f ca="1"/>
        <v>#N/A</v>
      </c>
      <c r="M227" s="4" t="e">
        <f ca="1"/>
        <v>#N/A</v>
      </c>
      <c r="N227" s="4" t="e">
        <f ca="1"/>
        <v>#N/A</v>
      </c>
      <c r="O227" s="4" t="e">
        <f ca="1"/>
        <v>#N/A</v>
      </c>
      <c r="P227" s="3" t="e">
        <f ca="1"/>
        <v>#N/A</v>
      </c>
      <c r="Q227" s="3" t="e">
        <f ca="1"/>
        <v>#N/A</v>
      </c>
    </row>
    <row r="228" spans="4:17" x14ac:dyDescent="0.25">
      <c r="D228" s="3" t="e">
        <f ca="1"/>
        <v>#N/A</v>
      </c>
      <c r="E228" s="4" t="e">
        <f ca="1"/>
        <v>#N/A</v>
      </c>
      <c r="F228" s="4" t="e">
        <f ca="1"/>
        <v>#N/A</v>
      </c>
      <c r="G228" s="4" t="e">
        <f ca="1"/>
        <v>#N/A</v>
      </c>
      <c r="H228" s="4" t="e">
        <f ca="1"/>
        <v>#N/A</v>
      </c>
      <c r="I228" s="7" t="e">
        <f ca="1"/>
        <v>#N/A</v>
      </c>
      <c r="J228" s="4" t="e">
        <f ca="1"/>
        <v>#N/A</v>
      </c>
      <c r="K228" s="4" t="e">
        <f ca="1"/>
        <v>#N/A</v>
      </c>
      <c r="L228" s="4" t="e">
        <f ca="1"/>
        <v>#N/A</v>
      </c>
      <c r="M228" s="4" t="e">
        <f ca="1"/>
        <v>#N/A</v>
      </c>
      <c r="N228" s="4" t="e">
        <f ca="1"/>
        <v>#N/A</v>
      </c>
      <c r="O228" s="4" t="e">
        <f ca="1"/>
        <v>#N/A</v>
      </c>
      <c r="P228" s="3" t="e">
        <f ca="1"/>
        <v>#N/A</v>
      </c>
      <c r="Q228" s="3" t="e">
        <f ca="1"/>
        <v>#N/A</v>
      </c>
    </row>
    <row r="229" spans="4:17" x14ac:dyDescent="0.25">
      <c r="D229" s="3" t="e">
        <f ca="1"/>
        <v>#N/A</v>
      </c>
      <c r="E229" s="4" t="e">
        <f ca="1"/>
        <v>#N/A</v>
      </c>
      <c r="F229" s="4" t="e">
        <f ca="1"/>
        <v>#N/A</v>
      </c>
      <c r="G229" s="4" t="e">
        <f ca="1"/>
        <v>#N/A</v>
      </c>
      <c r="H229" s="4" t="e">
        <f ca="1"/>
        <v>#N/A</v>
      </c>
      <c r="I229" s="7" t="e">
        <f ca="1"/>
        <v>#N/A</v>
      </c>
      <c r="J229" s="4" t="e">
        <f ca="1"/>
        <v>#N/A</v>
      </c>
      <c r="K229" s="4" t="e">
        <f ca="1"/>
        <v>#N/A</v>
      </c>
      <c r="L229" s="4" t="e">
        <f ca="1"/>
        <v>#N/A</v>
      </c>
      <c r="M229" s="4" t="e">
        <f ca="1"/>
        <v>#N/A</v>
      </c>
      <c r="N229" s="4" t="e">
        <f ca="1"/>
        <v>#N/A</v>
      </c>
      <c r="O229" s="4" t="e">
        <f ca="1"/>
        <v>#N/A</v>
      </c>
      <c r="P229" s="3" t="e">
        <f ca="1"/>
        <v>#N/A</v>
      </c>
      <c r="Q229" s="3" t="e">
        <f ca="1"/>
        <v>#N/A</v>
      </c>
    </row>
    <row r="230" spans="4:17" x14ac:dyDescent="0.25">
      <c r="D230" s="3" t="e">
        <f ca="1"/>
        <v>#N/A</v>
      </c>
      <c r="E230" s="4" t="e">
        <f ca="1"/>
        <v>#N/A</v>
      </c>
      <c r="F230" s="4" t="e">
        <f ca="1"/>
        <v>#N/A</v>
      </c>
      <c r="G230" s="4" t="e">
        <f ca="1"/>
        <v>#N/A</v>
      </c>
      <c r="H230" s="4" t="e">
        <f ca="1"/>
        <v>#N/A</v>
      </c>
      <c r="I230" s="7" t="e">
        <f ca="1"/>
        <v>#N/A</v>
      </c>
      <c r="J230" s="4" t="e">
        <f ca="1"/>
        <v>#N/A</v>
      </c>
      <c r="K230" s="4" t="e">
        <f ca="1"/>
        <v>#N/A</v>
      </c>
      <c r="L230" s="4" t="e">
        <f ca="1"/>
        <v>#N/A</v>
      </c>
      <c r="M230" s="4" t="e">
        <f ca="1"/>
        <v>#N/A</v>
      </c>
      <c r="N230" s="4" t="e">
        <f ca="1"/>
        <v>#N/A</v>
      </c>
      <c r="O230" s="4" t="e">
        <f ca="1"/>
        <v>#N/A</v>
      </c>
      <c r="P230" s="3" t="e">
        <f ca="1"/>
        <v>#N/A</v>
      </c>
      <c r="Q230" s="3" t="e">
        <f ca="1"/>
        <v>#N/A</v>
      </c>
    </row>
    <row r="231" spans="4:17" x14ac:dyDescent="0.25">
      <c r="D231" s="3" t="e">
        <f ca="1"/>
        <v>#N/A</v>
      </c>
      <c r="E231" s="4" t="e">
        <f ca="1"/>
        <v>#N/A</v>
      </c>
      <c r="F231" s="4" t="e">
        <f ca="1"/>
        <v>#N/A</v>
      </c>
      <c r="G231" s="4" t="e">
        <f ca="1"/>
        <v>#N/A</v>
      </c>
      <c r="H231" s="4" t="e">
        <f ca="1"/>
        <v>#N/A</v>
      </c>
      <c r="I231" s="7" t="e">
        <f ca="1"/>
        <v>#N/A</v>
      </c>
      <c r="J231" s="4" t="e">
        <f ca="1"/>
        <v>#N/A</v>
      </c>
      <c r="K231" s="4" t="e">
        <f ca="1"/>
        <v>#N/A</v>
      </c>
      <c r="L231" s="4" t="e">
        <f ca="1"/>
        <v>#N/A</v>
      </c>
      <c r="M231" s="4" t="e">
        <f ca="1"/>
        <v>#N/A</v>
      </c>
      <c r="N231" s="4" t="e">
        <f ca="1"/>
        <v>#N/A</v>
      </c>
      <c r="O231" s="4" t="e">
        <f ca="1"/>
        <v>#N/A</v>
      </c>
      <c r="P231" s="3" t="e">
        <f ca="1"/>
        <v>#N/A</v>
      </c>
      <c r="Q231" s="3" t="e">
        <f ca="1"/>
        <v>#N/A</v>
      </c>
    </row>
    <row r="232" spans="4:17" x14ac:dyDescent="0.25">
      <c r="D232" s="3" t="e">
        <f ca="1"/>
        <v>#N/A</v>
      </c>
      <c r="E232" s="4" t="e">
        <f ca="1"/>
        <v>#N/A</v>
      </c>
      <c r="F232" s="4" t="e">
        <f ca="1"/>
        <v>#N/A</v>
      </c>
      <c r="G232" s="4" t="e">
        <f ca="1"/>
        <v>#N/A</v>
      </c>
      <c r="H232" s="4" t="e">
        <f ca="1"/>
        <v>#N/A</v>
      </c>
      <c r="I232" s="7" t="e">
        <f ca="1"/>
        <v>#N/A</v>
      </c>
      <c r="J232" s="4" t="e">
        <f ca="1"/>
        <v>#N/A</v>
      </c>
      <c r="K232" s="4" t="e">
        <f ca="1"/>
        <v>#N/A</v>
      </c>
      <c r="L232" s="4" t="e">
        <f ca="1"/>
        <v>#N/A</v>
      </c>
      <c r="M232" s="4" t="e">
        <f ca="1"/>
        <v>#N/A</v>
      </c>
      <c r="N232" s="4" t="e">
        <f ca="1"/>
        <v>#N/A</v>
      </c>
      <c r="O232" s="4" t="e">
        <f ca="1"/>
        <v>#N/A</v>
      </c>
      <c r="P232" s="3" t="e">
        <f ca="1"/>
        <v>#N/A</v>
      </c>
      <c r="Q232" s="3" t="e">
        <f ca="1"/>
        <v>#N/A</v>
      </c>
    </row>
    <row r="233" spans="4:17" x14ac:dyDescent="0.25">
      <c r="D233" s="3" t="e">
        <f ca="1"/>
        <v>#N/A</v>
      </c>
      <c r="E233" s="4" t="e">
        <f ca="1"/>
        <v>#N/A</v>
      </c>
      <c r="F233" s="4" t="e">
        <f ca="1"/>
        <v>#N/A</v>
      </c>
      <c r="G233" s="4" t="e">
        <f ca="1"/>
        <v>#N/A</v>
      </c>
      <c r="H233" s="4" t="e">
        <f ca="1"/>
        <v>#N/A</v>
      </c>
      <c r="I233" s="7" t="e">
        <f ca="1"/>
        <v>#N/A</v>
      </c>
      <c r="J233" s="4" t="e">
        <f ca="1"/>
        <v>#N/A</v>
      </c>
      <c r="K233" s="4" t="e">
        <f ca="1"/>
        <v>#N/A</v>
      </c>
      <c r="L233" s="4" t="e">
        <f ca="1"/>
        <v>#N/A</v>
      </c>
      <c r="M233" s="4" t="e">
        <f ca="1"/>
        <v>#N/A</v>
      </c>
      <c r="N233" s="4" t="e">
        <f ca="1"/>
        <v>#N/A</v>
      </c>
      <c r="O233" s="4" t="e">
        <f ca="1"/>
        <v>#N/A</v>
      </c>
      <c r="P233" s="3" t="e">
        <f ca="1"/>
        <v>#N/A</v>
      </c>
      <c r="Q233" s="3" t="e">
        <f ca="1"/>
        <v>#N/A</v>
      </c>
    </row>
    <row r="234" spans="4:17" x14ac:dyDescent="0.25">
      <c r="D234" s="3" t="e">
        <f ca="1"/>
        <v>#N/A</v>
      </c>
      <c r="E234" s="4" t="e">
        <f ca="1"/>
        <v>#N/A</v>
      </c>
      <c r="F234" s="4" t="e">
        <f ca="1"/>
        <v>#N/A</v>
      </c>
      <c r="G234" s="4" t="e">
        <f ca="1"/>
        <v>#N/A</v>
      </c>
      <c r="H234" s="4" t="e">
        <f ca="1"/>
        <v>#N/A</v>
      </c>
      <c r="I234" s="7" t="e">
        <f ca="1"/>
        <v>#N/A</v>
      </c>
      <c r="J234" s="4" t="e">
        <f ca="1"/>
        <v>#N/A</v>
      </c>
      <c r="K234" s="4" t="e">
        <f ca="1"/>
        <v>#N/A</v>
      </c>
      <c r="L234" s="4" t="e">
        <f ca="1"/>
        <v>#N/A</v>
      </c>
      <c r="M234" s="4" t="e">
        <f ca="1"/>
        <v>#N/A</v>
      </c>
      <c r="N234" s="4" t="e">
        <f ca="1"/>
        <v>#N/A</v>
      </c>
      <c r="O234" s="4" t="e">
        <f ca="1"/>
        <v>#N/A</v>
      </c>
      <c r="P234" s="3" t="e">
        <f ca="1"/>
        <v>#N/A</v>
      </c>
      <c r="Q234" s="3" t="e">
        <f ca="1"/>
        <v>#N/A</v>
      </c>
    </row>
    <row r="235" spans="4:17" x14ac:dyDescent="0.25">
      <c r="D235" s="3" t="e">
        <f ca="1"/>
        <v>#N/A</v>
      </c>
      <c r="E235" s="4" t="e">
        <f ca="1"/>
        <v>#N/A</v>
      </c>
      <c r="F235" s="4" t="e">
        <f ca="1"/>
        <v>#N/A</v>
      </c>
      <c r="G235" s="4" t="e">
        <f ca="1"/>
        <v>#N/A</v>
      </c>
      <c r="H235" s="4" t="e">
        <f ca="1"/>
        <v>#N/A</v>
      </c>
      <c r="I235" s="7" t="e">
        <f ca="1"/>
        <v>#N/A</v>
      </c>
      <c r="J235" s="4" t="e">
        <f ca="1"/>
        <v>#N/A</v>
      </c>
      <c r="K235" s="4" t="e">
        <f ca="1"/>
        <v>#N/A</v>
      </c>
      <c r="L235" s="4" t="e">
        <f ca="1"/>
        <v>#N/A</v>
      </c>
      <c r="M235" s="4" t="e">
        <f ca="1"/>
        <v>#N/A</v>
      </c>
      <c r="N235" s="4" t="e">
        <f ca="1"/>
        <v>#N/A</v>
      </c>
      <c r="O235" s="4" t="e">
        <f ca="1"/>
        <v>#N/A</v>
      </c>
      <c r="P235" s="3" t="e">
        <f ca="1"/>
        <v>#N/A</v>
      </c>
      <c r="Q235" s="3" t="e">
        <f ca="1"/>
        <v>#N/A</v>
      </c>
    </row>
    <row r="236" spans="4:17" x14ac:dyDescent="0.25">
      <c r="D236" s="3" t="e">
        <f ca="1"/>
        <v>#N/A</v>
      </c>
      <c r="E236" s="4" t="e">
        <f ca="1"/>
        <v>#N/A</v>
      </c>
      <c r="F236" s="4" t="e">
        <f ca="1"/>
        <v>#N/A</v>
      </c>
      <c r="G236" s="4" t="e">
        <f ca="1"/>
        <v>#N/A</v>
      </c>
      <c r="H236" s="4" t="e">
        <f ca="1"/>
        <v>#N/A</v>
      </c>
      <c r="I236" s="7" t="e">
        <f ca="1"/>
        <v>#N/A</v>
      </c>
      <c r="J236" s="4" t="e">
        <f ca="1"/>
        <v>#N/A</v>
      </c>
      <c r="K236" s="4" t="e">
        <f ca="1"/>
        <v>#N/A</v>
      </c>
      <c r="L236" s="4" t="e">
        <f ca="1"/>
        <v>#N/A</v>
      </c>
      <c r="M236" s="4" t="e">
        <f ca="1"/>
        <v>#N/A</v>
      </c>
      <c r="N236" s="4" t="e">
        <f ca="1"/>
        <v>#N/A</v>
      </c>
      <c r="O236" s="4" t="e">
        <f ca="1"/>
        <v>#N/A</v>
      </c>
      <c r="P236" s="3" t="e">
        <f ca="1"/>
        <v>#N/A</v>
      </c>
      <c r="Q236" s="3" t="e">
        <f ca="1"/>
        <v>#N/A</v>
      </c>
    </row>
    <row r="237" spans="4:17" x14ac:dyDescent="0.25">
      <c r="D237" s="3" t="e">
        <f ca="1"/>
        <v>#N/A</v>
      </c>
      <c r="E237" s="4" t="e">
        <f ca="1"/>
        <v>#N/A</v>
      </c>
      <c r="F237" s="4" t="e">
        <f ca="1"/>
        <v>#N/A</v>
      </c>
      <c r="G237" s="4" t="e">
        <f ca="1"/>
        <v>#N/A</v>
      </c>
      <c r="H237" s="4" t="e">
        <f ca="1"/>
        <v>#N/A</v>
      </c>
      <c r="I237" s="7" t="e">
        <f ca="1"/>
        <v>#N/A</v>
      </c>
      <c r="J237" s="4" t="e">
        <f ca="1"/>
        <v>#N/A</v>
      </c>
      <c r="K237" s="4" t="e">
        <f ca="1"/>
        <v>#N/A</v>
      </c>
      <c r="L237" s="4" t="e">
        <f ca="1"/>
        <v>#N/A</v>
      </c>
      <c r="M237" s="4" t="e">
        <f ca="1"/>
        <v>#N/A</v>
      </c>
      <c r="N237" s="4" t="e">
        <f ca="1"/>
        <v>#N/A</v>
      </c>
      <c r="O237" s="4" t="e">
        <f ca="1"/>
        <v>#N/A</v>
      </c>
      <c r="P237" s="3" t="e">
        <f ca="1"/>
        <v>#N/A</v>
      </c>
      <c r="Q237" s="3" t="e">
        <f ca="1"/>
        <v>#N/A</v>
      </c>
    </row>
    <row r="238" spans="4:17" x14ac:dyDescent="0.25">
      <c r="D238" s="3" t="e">
        <f ca="1"/>
        <v>#N/A</v>
      </c>
      <c r="E238" s="4" t="e">
        <f ca="1"/>
        <v>#N/A</v>
      </c>
      <c r="F238" s="4" t="e">
        <f ca="1"/>
        <v>#N/A</v>
      </c>
      <c r="G238" s="4" t="e">
        <f ca="1"/>
        <v>#N/A</v>
      </c>
      <c r="H238" s="4" t="e">
        <f ca="1"/>
        <v>#N/A</v>
      </c>
      <c r="I238" s="7" t="e">
        <f ca="1"/>
        <v>#N/A</v>
      </c>
      <c r="J238" s="4" t="e">
        <f ca="1"/>
        <v>#N/A</v>
      </c>
      <c r="K238" s="4" t="e">
        <f ca="1"/>
        <v>#N/A</v>
      </c>
      <c r="L238" s="4" t="e">
        <f ca="1"/>
        <v>#N/A</v>
      </c>
      <c r="M238" s="4" t="e">
        <f ca="1"/>
        <v>#N/A</v>
      </c>
      <c r="N238" s="4" t="e">
        <f ca="1"/>
        <v>#N/A</v>
      </c>
      <c r="O238" s="4" t="e">
        <f ca="1"/>
        <v>#N/A</v>
      </c>
      <c r="P238" s="3" t="e">
        <f ca="1"/>
        <v>#N/A</v>
      </c>
      <c r="Q238" s="3" t="e">
        <f ca="1"/>
        <v>#N/A</v>
      </c>
    </row>
    <row r="239" spans="4:17" x14ac:dyDescent="0.25">
      <c r="D239" s="3" t="e">
        <f ca="1"/>
        <v>#N/A</v>
      </c>
      <c r="E239" s="4" t="e">
        <f ca="1"/>
        <v>#N/A</v>
      </c>
      <c r="F239" s="4" t="e">
        <f ca="1"/>
        <v>#N/A</v>
      </c>
      <c r="G239" s="4" t="e">
        <f ca="1"/>
        <v>#N/A</v>
      </c>
      <c r="H239" s="4" t="e">
        <f ca="1"/>
        <v>#N/A</v>
      </c>
      <c r="I239" s="7" t="e">
        <f ca="1"/>
        <v>#N/A</v>
      </c>
      <c r="J239" s="4" t="e">
        <f ca="1"/>
        <v>#N/A</v>
      </c>
      <c r="K239" s="4" t="e">
        <f ca="1"/>
        <v>#N/A</v>
      </c>
      <c r="L239" s="4" t="e">
        <f ca="1"/>
        <v>#N/A</v>
      </c>
      <c r="M239" s="4" t="e">
        <f ca="1"/>
        <v>#N/A</v>
      </c>
      <c r="N239" s="4" t="e">
        <f ca="1"/>
        <v>#N/A</v>
      </c>
      <c r="O239" s="4" t="e">
        <f ca="1"/>
        <v>#N/A</v>
      </c>
      <c r="P239" s="3" t="e">
        <f ca="1"/>
        <v>#N/A</v>
      </c>
      <c r="Q239" s="3" t="e">
        <f ca="1"/>
        <v>#N/A</v>
      </c>
    </row>
    <row r="240" spans="4:17" x14ac:dyDescent="0.25">
      <c r="D240" s="3" t="e">
        <f ca="1"/>
        <v>#N/A</v>
      </c>
      <c r="E240" s="4" t="e">
        <f ca="1"/>
        <v>#N/A</v>
      </c>
      <c r="F240" s="4" t="e">
        <f ca="1"/>
        <v>#N/A</v>
      </c>
      <c r="G240" s="4" t="e">
        <f ca="1"/>
        <v>#N/A</v>
      </c>
      <c r="H240" s="4" t="e">
        <f ca="1"/>
        <v>#N/A</v>
      </c>
      <c r="I240" s="7" t="e">
        <f ca="1"/>
        <v>#N/A</v>
      </c>
      <c r="J240" s="4" t="e">
        <f ca="1"/>
        <v>#N/A</v>
      </c>
      <c r="K240" s="4" t="e">
        <f ca="1"/>
        <v>#N/A</v>
      </c>
      <c r="L240" s="4" t="e">
        <f ca="1"/>
        <v>#N/A</v>
      </c>
      <c r="M240" s="4" t="e">
        <f ca="1"/>
        <v>#N/A</v>
      </c>
      <c r="N240" s="4" t="e">
        <f ca="1"/>
        <v>#N/A</v>
      </c>
      <c r="O240" s="4" t="e">
        <f ca="1"/>
        <v>#N/A</v>
      </c>
      <c r="P240" s="3" t="e">
        <f ca="1"/>
        <v>#N/A</v>
      </c>
      <c r="Q240" s="3" t="e">
        <f ca="1"/>
        <v>#N/A</v>
      </c>
    </row>
    <row r="241" spans="4:17" x14ac:dyDescent="0.25">
      <c r="D241" s="3" t="e">
        <f ca="1"/>
        <v>#N/A</v>
      </c>
      <c r="E241" s="4" t="e">
        <f ca="1"/>
        <v>#N/A</v>
      </c>
      <c r="F241" s="4" t="e">
        <f ca="1"/>
        <v>#N/A</v>
      </c>
      <c r="G241" s="4" t="e">
        <f ca="1"/>
        <v>#N/A</v>
      </c>
      <c r="H241" s="4" t="e">
        <f ca="1"/>
        <v>#N/A</v>
      </c>
      <c r="I241" s="7" t="e">
        <f ca="1"/>
        <v>#N/A</v>
      </c>
      <c r="J241" s="4" t="e">
        <f ca="1"/>
        <v>#N/A</v>
      </c>
      <c r="K241" s="4" t="e">
        <f ca="1"/>
        <v>#N/A</v>
      </c>
      <c r="L241" s="4" t="e">
        <f ca="1"/>
        <v>#N/A</v>
      </c>
      <c r="M241" s="4" t="e">
        <f ca="1"/>
        <v>#N/A</v>
      </c>
      <c r="N241" s="4" t="e">
        <f ca="1"/>
        <v>#N/A</v>
      </c>
      <c r="O241" s="4" t="e">
        <f ca="1"/>
        <v>#N/A</v>
      </c>
      <c r="P241" s="3" t="e">
        <f ca="1"/>
        <v>#N/A</v>
      </c>
      <c r="Q241" s="3" t="e">
        <f ca="1"/>
        <v>#N/A</v>
      </c>
    </row>
    <row r="242" spans="4:17" x14ac:dyDescent="0.25">
      <c r="D242" s="3" t="e">
        <f ca="1"/>
        <v>#N/A</v>
      </c>
      <c r="E242" s="4" t="e">
        <f ca="1"/>
        <v>#N/A</v>
      </c>
      <c r="F242" s="4" t="e">
        <f ca="1"/>
        <v>#N/A</v>
      </c>
      <c r="G242" s="4" t="e">
        <f ca="1"/>
        <v>#N/A</v>
      </c>
      <c r="H242" s="4" t="e">
        <f ca="1"/>
        <v>#N/A</v>
      </c>
      <c r="I242" s="7" t="e">
        <f ca="1"/>
        <v>#N/A</v>
      </c>
      <c r="J242" s="4" t="e">
        <f ca="1"/>
        <v>#N/A</v>
      </c>
      <c r="K242" s="4" t="e">
        <f ca="1"/>
        <v>#N/A</v>
      </c>
      <c r="L242" s="4" t="e">
        <f ca="1"/>
        <v>#N/A</v>
      </c>
      <c r="M242" s="4" t="e">
        <f ca="1"/>
        <v>#N/A</v>
      </c>
      <c r="N242" s="4" t="e">
        <f ca="1"/>
        <v>#N/A</v>
      </c>
      <c r="O242" s="4" t="e">
        <f ca="1"/>
        <v>#N/A</v>
      </c>
      <c r="P242" s="3" t="e">
        <f ca="1"/>
        <v>#N/A</v>
      </c>
      <c r="Q242" s="3" t="e">
        <f ca="1"/>
        <v>#N/A</v>
      </c>
    </row>
    <row r="243" spans="4:17" x14ac:dyDescent="0.25">
      <c r="D243" s="3" t="e">
        <f ca="1"/>
        <v>#N/A</v>
      </c>
      <c r="E243" s="4" t="e">
        <f ca="1"/>
        <v>#N/A</v>
      </c>
      <c r="F243" s="4" t="e">
        <f ca="1"/>
        <v>#N/A</v>
      </c>
      <c r="G243" s="4" t="e">
        <f ca="1"/>
        <v>#N/A</v>
      </c>
      <c r="H243" s="4" t="e">
        <f ca="1"/>
        <v>#N/A</v>
      </c>
      <c r="I243" s="7" t="e">
        <f ca="1"/>
        <v>#N/A</v>
      </c>
      <c r="J243" s="4" t="e">
        <f ca="1"/>
        <v>#N/A</v>
      </c>
      <c r="K243" s="4" t="e">
        <f ca="1"/>
        <v>#N/A</v>
      </c>
      <c r="L243" s="4" t="e">
        <f ca="1"/>
        <v>#N/A</v>
      </c>
      <c r="M243" s="4" t="e">
        <f ca="1"/>
        <v>#N/A</v>
      </c>
      <c r="N243" s="4" t="e">
        <f ca="1"/>
        <v>#N/A</v>
      </c>
      <c r="O243" s="4" t="e">
        <f ca="1"/>
        <v>#N/A</v>
      </c>
      <c r="P243" s="3" t="e">
        <f ca="1"/>
        <v>#N/A</v>
      </c>
      <c r="Q243" s="3" t="e">
        <f ca="1"/>
        <v>#N/A</v>
      </c>
    </row>
    <row r="244" spans="4:17" x14ac:dyDescent="0.25">
      <c r="D244" s="3" t="e">
        <f ca="1"/>
        <v>#N/A</v>
      </c>
      <c r="E244" s="4" t="e">
        <f ca="1"/>
        <v>#N/A</v>
      </c>
      <c r="F244" s="4" t="e">
        <f ca="1"/>
        <v>#N/A</v>
      </c>
      <c r="G244" s="4" t="e">
        <f ca="1"/>
        <v>#N/A</v>
      </c>
      <c r="H244" s="4" t="e">
        <f ca="1"/>
        <v>#N/A</v>
      </c>
      <c r="I244" s="7" t="e">
        <f ca="1"/>
        <v>#N/A</v>
      </c>
      <c r="J244" s="4" t="e">
        <f ca="1"/>
        <v>#N/A</v>
      </c>
      <c r="K244" s="4" t="e">
        <f ca="1"/>
        <v>#N/A</v>
      </c>
      <c r="L244" s="4" t="e">
        <f ca="1"/>
        <v>#N/A</v>
      </c>
      <c r="M244" s="4" t="e">
        <f ca="1"/>
        <v>#N/A</v>
      </c>
      <c r="N244" s="4" t="e">
        <f ca="1"/>
        <v>#N/A</v>
      </c>
      <c r="O244" s="4" t="e">
        <f ca="1"/>
        <v>#N/A</v>
      </c>
      <c r="P244" s="3" t="e">
        <f ca="1"/>
        <v>#N/A</v>
      </c>
      <c r="Q244" s="3" t="e">
        <f ca="1"/>
        <v>#N/A</v>
      </c>
    </row>
    <row r="245" spans="4:17" x14ac:dyDescent="0.25">
      <c r="D245" s="3" t="e">
        <f ca="1"/>
        <v>#N/A</v>
      </c>
      <c r="E245" s="4" t="e">
        <f ca="1"/>
        <v>#N/A</v>
      </c>
      <c r="F245" s="4" t="e">
        <f ca="1"/>
        <v>#N/A</v>
      </c>
      <c r="G245" s="4" t="e">
        <f ca="1"/>
        <v>#N/A</v>
      </c>
      <c r="H245" s="4" t="e">
        <f ca="1"/>
        <v>#N/A</v>
      </c>
      <c r="I245" s="7" t="e">
        <f ca="1"/>
        <v>#N/A</v>
      </c>
      <c r="J245" s="4" t="e">
        <f ca="1"/>
        <v>#N/A</v>
      </c>
      <c r="K245" s="4" t="e">
        <f ca="1"/>
        <v>#N/A</v>
      </c>
      <c r="L245" s="4" t="e">
        <f ca="1"/>
        <v>#N/A</v>
      </c>
      <c r="M245" s="4" t="e">
        <f ca="1"/>
        <v>#N/A</v>
      </c>
      <c r="N245" s="4" t="e">
        <f ca="1"/>
        <v>#N/A</v>
      </c>
      <c r="O245" s="4" t="e">
        <f ca="1"/>
        <v>#N/A</v>
      </c>
      <c r="P245" s="3" t="e">
        <f ca="1"/>
        <v>#N/A</v>
      </c>
      <c r="Q245" s="3" t="e">
        <f ca="1"/>
        <v>#N/A</v>
      </c>
    </row>
    <row r="246" spans="4:17" x14ac:dyDescent="0.25">
      <c r="D246" s="3" t="e">
        <f ca="1"/>
        <v>#N/A</v>
      </c>
      <c r="E246" s="4" t="e">
        <f ca="1"/>
        <v>#N/A</v>
      </c>
      <c r="F246" s="4" t="e">
        <f ca="1"/>
        <v>#N/A</v>
      </c>
      <c r="G246" s="4" t="e">
        <f ca="1"/>
        <v>#N/A</v>
      </c>
      <c r="H246" s="4" t="e">
        <f ca="1"/>
        <v>#N/A</v>
      </c>
      <c r="I246" s="7" t="e">
        <f ca="1"/>
        <v>#N/A</v>
      </c>
      <c r="J246" s="4" t="e">
        <f ca="1"/>
        <v>#N/A</v>
      </c>
      <c r="K246" s="4" t="e">
        <f ca="1"/>
        <v>#N/A</v>
      </c>
      <c r="L246" s="4" t="e">
        <f ca="1"/>
        <v>#N/A</v>
      </c>
      <c r="M246" s="4" t="e">
        <f ca="1"/>
        <v>#N/A</v>
      </c>
      <c r="N246" s="4" t="e">
        <f ca="1"/>
        <v>#N/A</v>
      </c>
      <c r="O246" s="4" t="e">
        <f ca="1"/>
        <v>#N/A</v>
      </c>
      <c r="P246" s="3" t="e">
        <f ca="1"/>
        <v>#N/A</v>
      </c>
      <c r="Q246" s="3" t="e">
        <f ca="1"/>
        <v>#N/A</v>
      </c>
    </row>
    <row r="247" spans="4:17" x14ac:dyDescent="0.25">
      <c r="D247" s="3" t="e">
        <f ca="1"/>
        <v>#N/A</v>
      </c>
      <c r="E247" s="4" t="e">
        <f ca="1"/>
        <v>#N/A</v>
      </c>
      <c r="F247" s="4" t="e">
        <f ca="1"/>
        <v>#N/A</v>
      </c>
      <c r="G247" s="4" t="e">
        <f ca="1"/>
        <v>#N/A</v>
      </c>
      <c r="H247" s="4" t="e">
        <f ca="1"/>
        <v>#N/A</v>
      </c>
      <c r="I247" s="7" t="e">
        <f ca="1"/>
        <v>#N/A</v>
      </c>
      <c r="J247" s="4" t="e">
        <f ca="1"/>
        <v>#N/A</v>
      </c>
      <c r="K247" s="4" t="e">
        <f ca="1"/>
        <v>#N/A</v>
      </c>
      <c r="L247" s="4" t="e">
        <f ca="1"/>
        <v>#N/A</v>
      </c>
      <c r="M247" s="4" t="e">
        <f ca="1"/>
        <v>#N/A</v>
      </c>
      <c r="N247" s="4" t="e">
        <f ca="1"/>
        <v>#N/A</v>
      </c>
      <c r="O247" s="4" t="e">
        <f ca="1"/>
        <v>#N/A</v>
      </c>
      <c r="P247" s="3" t="e">
        <f ca="1"/>
        <v>#N/A</v>
      </c>
      <c r="Q247" s="3" t="e">
        <f ca="1"/>
        <v>#N/A</v>
      </c>
    </row>
    <row r="248" spans="4:17" x14ac:dyDescent="0.25">
      <c r="D248" s="3" t="e">
        <f ca="1"/>
        <v>#N/A</v>
      </c>
      <c r="E248" s="4" t="e">
        <f ca="1"/>
        <v>#N/A</v>
      </c>
      <c r="F248" s="4" t="e">
        <f ca="1"/>
        <v>#N/A</v>
      </c>
      <c r="G248" s="4" t="e">
        <f ca="1"/>
        <v>#N/A</v>
      </c>
      <c r="H248" s="4" t="e">
        <f ca="1"/>
        <v>#N/A</v>
      </c>
      <c r="I248" s="7" t="e">
        <f ca="1"/>
        <v>#N/A</v>
      </c>
      <c r="J248" s="4" t="e">
        <f ca="1"/>
        <v>#N/A</v>
      </c>
      <c r="K248" s="4" t="e">
        <f ca="1"/>
        <v>#N/A</v>
      </c>
      <c r="L248" s="4" t="e">
        <f ca="1"/>
        <v>#N/A</v>
      </c>
      <c r="M248" s="4" t="e">
        <f ca="1"/>
        <v>#N/A</v>
      </c>
      <c r="N248" s="4" t="e">
        <f ca="1"/>
        <v>#N/A</v>
      </c>
      <c r="O248" s="4" t="e">
        <f ca="1"/>
        <v>#N/A</v>
      </c>
      <c r="P248" s="3" t="e">
        <f ca="1"/>
        <v>#N/A</v>
      </c>
      <c r="Q248" s="3" t="e">
        <f ca="1"/>
        <v>#N/A</v>
      </c>
    </row>
    <row r="249" spans="4:17" x14ac:dyDescent="0.25">
      <c r="D249" s="3" t="e">
        <f ca="1"/>
        <v>#N/A</v>
      </c>
      <c r="E249" s="4" t="e">
        <f ca="1"/>
        <v>#N/A</v>
      </c>
      <c r="F249" s="4" t="e">
        <f ca="1"/>
        <v>#N/A</v>
      </c>
      <c r="G249" s="4" t="e">
        <f ca="1"/>
        <v>#N/A</v>
      </c>
      <c r="H249" s="4" t="e">
        <f ca="1"/>
        <v>#N/A</v>
      </c>
      <c r="I249" s="7" t="e">
        <f ca="1"/>
        <v>#N/A</v>
      </c>
      <c r="J249" s="4" t="e">
        <f ca="1"/>
        <v>#N/A</v>
      </c>
      <c r="K249" s="4" t="e">
        <f ca="1"/>
        <v>#N/A</v>
      </c>
      <c r="L249" s="4" t="e">
        <f ca="1"/>
        <v>#N/A</v>
      </c>
      <c r="M249" s="4" t="e">
        <f ca="1"/>
        <v>#N/A</v>
      </c>
      <c r="N249" s="4" t="e">
        <f ca="1"/>
        <v>#N/A</v>
      </c>
      <c r="O249" s="4" t="e">
        <f ca="1"/>
        <v>#N/A</v>
      </c>
      <c r="P249" s="3" t="e">
        <f ca="1"/>
        <v>#N/A</v>
      </c>
      <c r="Q249" s="3" t="e">
        <f ca="1"/>
        <v>#N/A</v>
      </c>
    </row>
    <row r="250" spans="4:17" x14ac:dyDescent="0.25">
      <c r="D250" s="3" t="e">
        <f ca="1"/>
        <v>#N/A</v>
      </c>
      <c r="E250" s="4" t="e">
        <f ca="1"/>
        <v>#N/A</v>
      </c>
      <c r="F250" s="4" t="e">
        <f ca="1"/>
        <v>#N/A</v>
      </c>
      <c r="G250" s="4" t="e">
        <f ca="1"/>
        <v>#N/A</v>
      </c>
      <c r="H250" s="4" t="e">
        <f ca="1"/>
        <v>#N/A</v>
      </c>
      <c r="I250" s="7" t="e">
        <f ca="1"/>
        <v>#N/A</v>
      </c>
      <c r="J250" s="4" t="e">
        <f ca="1"/>
        <v>#N/A</v>
      </c>
      <c r="K250" s="4" t="e">
        <f ca="1"/>
        <v>#N/A</v>
      </c>
      <c r="L250" s="4" t="e">
        <f ca="1"/>
        <v>#N/A</v>
      </c>
      <c r="M250" s="4" t="e">
        <f ca="1"/>
        <v>#N/A</v>
      </c>
      <c r="N250" s="4" t="e">
        <f ca="1"/>
        <v>#N/A</v>
      </c>
      <c r="O250" s="4" t="e">
        <f ca="1"/>
        <v>#N/A</v>
      </c>
      <c r="P250" s="3" t="e">
        <f ca="1"/>
        <v>#N/A</v>
      </c>
      <c r="Q250" s="3" t="e">
        <f ca="1"/>
        <v>#N/A</v>
      </c>
    </row>
    <row r="251" spans="4:17" x14ac:dyDescent="0.25">
      <c r="D251" s="3" t="e">
        <f ca="1"/>
        <v>#N/A</v>
      </c>
      <c r="E251" s="4" t="e">
        <f ca="1"/>
        <v>#N/A</v>
      </c>
      <c r="F251" s="4" t="e">
        <f ca="1"/>
        <v>#N/A</v>
      </c>
      <c r="G251" s="4" t="e">
        <f ca="1"/>
        <v>#N/A</v>
      </c>
      <c r="H251" s="4" t="e">
        <f ca="1"/>
        <v>#N/A</v>
      </c>
      <c r="I251" s="7" t="e">
        <f ca="1"/>
        <v>#N/A</v>
      </c>
      <c r="J251" s="4" t="e">
        <f ca="1"/>
        <v>#N/A</v>
      </c>
      <c r="K251" s="4" t="e">
        <f ca="1"/>
        <v>#N/A</v>
      </c>
      <c r="L251" s="4" t="e">
        <f ca="1"/>
        <v>#N/A</v>
      </c>
      <c r="M251" s="4" t="e">
        <f ca="1"/>
        <v>#N/A</v>
      </c>
      <c r="N251" s="4" t="e">
        <f ca="1"/>
        <v>#N/A</v>
      </c>
      <c r="O251" s="4" t="e">
        <f ca="1"/>
        <v>#N/A</v>
      </c>
      <c r="P251" s="3" t="e">
        <f ca="1"/>
        <v>#N/A</v>
      </c>
      <c r="Q251" s="3" t="e">
        <f ca="1"/>
        <v>#N/A</v>
      </c>
    </row>
    <row r="252" spans="4:17" x14ac:dyDescent="0.25">
      <c r="D252" s="3" t="e">
        <f ca="1"/>
        <v>#N/A</v>
      </c>
      <c r="E252" s="4" t="e">
        <f ca="1"/>
        <v>#N/A</v>
      </c>
      <c r="F252" s="4" t="e">
        <f ca="1"/>
        <v>#N/A</v>
      </c>
      <c r="G252" s="4" t="e">
        <f ca="1"/>
        <v>#N/A</v>
      </c>
      <c r="H252" s="4" t="e">
        <f ca="1"/>
        <v>#N/A</v>
      </c>
      <c r="I252" s="7" t="e">
        <f ca="1"/>
        <v>#N/A</v>
      </c>
      <c r="J252" s="4" t="e">
        <f ca="1"/>
        <v>#N/A</v>
      </c>
      <c r="K252" s="4" t="e">
        <f ca="1"/>
        <v>#N/A</v>
      </c>
      <c r="L252" s="4" t="e">
        <f ca="1"/>
        <v>#N/A</v>
      </c>
      <c r="M252" s="4" t="e">
        <f ca="1"/>
        <v>#N/A</v>
      </c>
      <c r="N252" s="4" t="e">
        <f ca="1"/>
        <v>#N/A</v>
      </c>
      <c r="O252" s="4" t="e">
        <f ca="1"/>
        <v>#N/A</v>
      </c>
      <c r="P252" s="3" t="e">
        <f ca="1"/>
        <v>#N/A</v>
      </c>
      <c r="Q252" s="3" t="e">
        <f ca="1"/>
        <v>#N/A</v>
      </c>
    </row>
    <row r="253" spans="4:17" x14ac:dyDescent="0.25">
      <c r="D253" s="3" t="e">
        <f ca="1"/>
        <v>#N/A</v>
      </c>
      <c r="E253" s="4" t="e">
        <f ca="1"/>
        <v>#N/A</v>
      </c>
      <c r="F253" s="4" t="e">
        <f ca="1"/>
        <v>#N/A</v>
      </c>
      <c r="G253" s="4" t="e">
        <f ca="1"/>
        <v>#N/A</v>
      </c>
      <c r="H253" s="4" t="e">
        <f ca="1"/>
        <v>#N/A</v>
      </c>
      <c r="I253" s="7" t="e">
        <f ca="1"/>
        <v>#N/A</v>
      </c>
      <c r="J253" s="4" t="e">
        <f ca="1"/>
        <v>#N/A</v>
      </c>
      <c r="K253" s="4" t="e">
        <f ca="1"/>
        <v>#N/A</v>
      </c>
      <c r="L253" s="4" t="e">
        <f ca="1"/>
        <v>#N/A</v>
      </c>
      <c r="M253" s="4" t="e">
        <f ca="1"/>
        <v>#N/A</v>
      </c>
      <c r="N253" s="4" t="e">
        <f ca="1"/>
        <v>#N/A</v>
      </c>
      <c r="O253" s="4" t="e">
        <f ca="1"/>
        <v>#N/A</v>
      </c>
      <c r="P253" s="3" t="e">
        <f ca="1"/>
        <v>#N/A</v>
      </c>
      <c r="Q253" s="3" t="e">
        <f ca="1"/>
        <v>#N/A</v>
      </c>
    </row>
    <row r="254" spans="4:17" x14ac:dyDescent="0.25">
      <c r="D254" s="3" t="e">
        <f ca="1"/>
        <v>#N/A</v>
      </c>
      <c r="E254" s="4" t="e">
        <f ca="1"/>
        <v>#N/A</v>
      </c>
      <c r="F254" s="4" t="e">
        <f ca="1"/>
        <v>#N/A</v>
      </c>
      <c r="G254" s="4" t="e">
        <f ca="1"/>
        <v>#N/A</v>
      </c>
      <c r="H254" s="4" t="e">
        <f ca="1"/>
        <v>#N/A</v>
      </c>
      <c r="I254" s="7" t="e">
        <f ca="1"/>
        <v>#N/A</v>
      </c>
      <c r="J254" s="4" t="e">
        <f ca="1"/>
        <v>#N/A</v>
      </c>
      <c r="K254" s="4" t="e">
        <f ca="1"/>
        <v>#N/A</v>
      </c>
      <c r="L254" s="4" t="e">
        <f ca="1"/>
        <v>#N/A</v>
      </c>
      <c r="M254" s="4" t="e">
        <f ca="1"/>
        <v>#N/A</v>
      </c>
      <c r="N254" s="4" t="e">
        <f ca="1"/>
        <v>#N/A</v>
      </c>
      <c r="O254" s="4" t="e">
        <f ca="1"/>
        <v>#N/A</v>
      </c>
      <c r="P254" s="3" t="e">
        <f ca="1"/>
        <v>#N/A</v>
      </c>
      <c r="Q254" s="3" t="e">
        <f ca="1"/>
        <v>#N/A</v>
      </c>
    </row>
    <row r="255" spans="4:17" x14ac:dyDescent="0.25">
      <c r="D255" s="3" t="e">
        <f ca="1"/>
        <v>#N/A</v>
      </c>
      <c r="E255" s="4" t="e">
        <f ca="1"/>
        <v>#N/A</v>
      </c>
      <c r="F255" s="4" t="e">
        <f ca="1"/>
        <v>#N/A</v>
      </c>
      <c r="G255" s="4" t="e">
        <f ca="1"/>
        <v>#N/A</v>
      </c>
      <c r="H255" s="4" t="e">
        <f ca="1"/>
        <v>#N/A</v>
      </c>
      <c r="I255" s="7" t="e">
        <f ca="1"/>
        <v>#N/A</v>
      </c>
      <c r="J255" s="4" t="e">
        <f ca="1"/>
        <v>#N/A</v>
      </c>
      <c r="K255" s="4" t="e">
        <f ca="1"/>
        <v>#N/A</v>
      </c>
      <c r="L255" s="4" t="e">
        <f ca="1"/>
        <v>#N/A</v>
      </c>
      <c r="M255" s="4" t="e">
        <f ca="1"/>
        <v>#N/A</v>
      </c>
      <c r="N255" s="4" t="e">
        <f ca="1"/>
        <v>#N/A</v>
      </c>
      <c r="O255" s="4" t="e">
        <f ca="1"/>
        <v>#N/A</v>
      </c>
      <c r="P255" s="3" t="e">
        <f ca="1"/>
        <v>#N/A</v>
      </c>
      <c r="Q255" s="3" t="e">
        <f ca="1"/>
        <v>#N/A</v>
      </c>
    </row>
    <row r="256" spans="4:17" x14ac:dyDescent="0.25">
      <c r="D256" s="3" t="e">
        <f ca="1"/>
        <v>#N/A</v>
      </c>
      <c r="E256" s="4" t="e">
        <f ca="1"/>
        <v>#N/A</v>
      </c>
      <c r="F256" s="4" t="e">
        <f ca="1"/>
        <v>#N/A</v>
      </c>
      <c r="G256" s="4" t="e">
        <f ca="1"/>
        <v>#N/A</v>
      </c>
      <c r="H256" s="4" t="e">
        <f ca="1"/>
        <v>#N/A</v>
      </c>
      <c r="I256" s="7" t="e">
        <f ca="1"/>
        <v>#N/A</v>
      </c>
      <c r="J256" s="4" t="e">
        <f ca="1"/>
        <v>#N/A</v>
      </c>
      <c r="K256" s="4" t="e">
        <f ca="1"/>
        <v>#N/A</v>
      </c>
      <c r="L256" s="4" t="e">
        <f ca="1"/>
        <v>#N/A</v>
      </c>
      <c r="M256" s="4" t="e">
        <f ca="1"/>
        <v>#N/A</v>
      </c>
      <c r="N256" s="4" t="e">
        <f ca="1"/>
        <v>#N/A</v>
      </c>
      <c r="O256" s="4" t="e">
        <f ca="1"/>
        <v>#N/A</v>
      </c>
      <c r="P256" s="3" t="e">
        <f ca="1"/>
        <v>#N/A</v>
      </c>
      <c r="Q256" s="3" t="e">
        <f ca="1"/>
        <v>#N/A</v>
      </c>
    </row>
    <row r="257" spans="4:17" x14ac:dyDescent="0.25">
      <c r="D257" s="3" t="e">
        <f ca="1"/>
        <v>#N/A</v>
      </c>
      <c r="E257" s="4" t="e">
        <f ca="1"/>
        <v>#N/A</v>
      </c>
      <c r="F257" s="4" t="e">
        <f ca="1"/>
        <v>#N/A</v>
      </c>
      <c r="G257" s="4" t="e">
        <f ca="1"/>
        <v>#N/A</v>
      </c>
      <c r="H257" s="4" t="e">
        <f ca="1"/>
        <v>#N/A</v>
      </c>
      <c r="I257" s="7" t="e">
        <f ca="1"/>
        <v>#N/A</v>
      </c>
      <c r="J257" s="4" t="e">
        <f ca="1"/>
        <v>#N/A</v>
      </c>
      <c r="K257" s="4" t="e">
        <f ca="1"/>
        <v>#N/A</v>
      </c>
      <c r="L257" s="4" t="e">
        <f ca="1"/>
        <v>#N/A</v>
      </c>
      <c r="M257" s="4" t="e">
        <f ca="1"/>
        <v>#N/A</v>
      </c>
      <c r="N257" s="4" t="e">
        <f ca="1"/>
        <v>#N/A</v>
      </c>
      <c r="O257" s="4" t="e">
        <f ca="1"/>
        <v>#N/A</v>
      </c>
      <c r="P257" s="3" t="e">
        <f ca="1"/>
        <v>#N/A</v>
      </c>
      <c r="Q257" s="3" t="e">
        <f ca="1"/>
        <v>#N/A</v>
      </c>
    </row>
    <row r="258" spans="4:17" x14ac:dyDescent="0.25">
      <c r="D258" s="3" t="e">
        <f ca="1"/>
        <v>#N/A</v>
      </c>
      <c r="E258" s="4" t="e">
        <f ca="1"/>
        <v>#N/A</v>
      </c>
      <c r="F258" s="4" t="e">
        <f ca="1"/>
        <v>#N/A</v>
      </c>
      <c r="G258" s="4" t="e">
        <f ca="1"/>
        <v>#N/A</v>
      </c>
      <c r="H258" s="4" t="e">
        <f ca="1"/>
        <v>#N/A</v>
      </c>
      <c r="I258" s="7" t="e">
        <f ca="1"/>
        <v>#N/A</v>
      </c>
      <c r="J258" s="4" t="e">
        <f ca="1"/>
        <v>#N/A</v>
      </c>
      <c r="K258" s="4" t="e">
        <f ca="1"/>
        <v>#N/A</v>
      </c>
      <c r="L258" s="4" t="e">
        <f ca="1"/>
        <v>#N/A</v>
      </c>
      <c r="M258" s="4" t="e">
        <f ca="1"/>
        <v>#N/A</v>
      </c>
      <c r="N258" s="4" t="e">
        <f ca="1"/>
        <v>#N/A</v>
      </c>
      <c r="O258" s="4" t="e">
        <f ca="1"/>
        <v>#N/A</v>
      </c>
      <c r="P258" s="3" t="e">
        <f ca="1"/>
        <v>#N/A</v>
      </c>
      <c r="Q258" s="3" t="e">
        <f ca="1"/>
        <v>#N/A</v>
      </c>
    </row>
    <row r="259" spans="4:17" x14ac:dyDescent="0.25">
      <c r="D259" s="3" t="e">
        <f ca="1"/>
        <v>#N/A</v>
      </c>
      <c r="E259" s="4" t="e">
        <f ca="1"/>
        <v>#N/A</v>
      </c>
      <c r="F259" s="4" t="e">
        <f ca="1"/>
        <v>#N/A</v>
      </c>
      <c r="G259" s="4" t="e">
        <f ca="1"/>
        <v>#N/A</v>
      </c>
      <c r="H259" s="4" t="e">
        <f ca="1"/>
        <v>#N/A</v>
      </c>
      <c r="I259" s="7" t="e">
        <f ca="1"/>
        <v>#N/A</v>
      </c>
      <c r="J259" s="4" t="e">
        <f ca="1"/>
        <v>#N/A</v>
      </c>
      <c r="K259" s="4" t="e">
        <f ca="1"/>
        <v>#N/A</v>
      </c>
      <c r="L259" s="4" t="e">
        <f ca="1"/>
        <v>#N/A</v>
      </c>
      <c r="M259" s="4" t="e">
        <f ca="1"/>
        <v>#N/A</v>
      </c>
      <c r="N259" s="4" t="e">
        <f ca="1"/>
        <v>#N/A</v>
      </c>
      <c r="O259" s="4" t="e">
        <f ca="1"/>
        <v>#N/A</v>
      </c>
      <c r="P259" s="3" t="e">
        <f ca="1"/>
        <v>#N/A</v>
      </c>
      <c r="Q259" s="3" t="e">
        <f ca="1"/>
        <v>#N/A</v>
      </c>
    </row>
    <row r="260" spans="4:17" x14ac:dyDescent="0.25">
      <c r="D260" s="3" t="e">
        <f ca="1"/>
        <v>#N/A</v>
      </c>
      <c r="E260" s="4" t="e">
        <f ca="1"/>
        <v>#N/A</v>
      </c>
      <c r="F260" s="4" t="e">
        <f ca="1"/>
        <v>#N/A</v>
      </c>
      <c r="G260" s="4" t="e">
        <f ca="1"/>
        <v>#N/A</v>
      </c>
      <c r="H260" s="4" t="e">
        <f ca="1"/>
        <v>#N/A</v>
      </c>
      <c r="I260" s="7" t="e">
        <f ca="1"/>
        <v>#N/A</v>
      </c>
      <c r="J260" s="4" t="e">
        <f ca="1"/>
        <v>#N/A</v>
      </c>
      <c r="K260" s="4" t="e">
        <f ca="1"/>
        <v>#N/A</v>
      </c>
      <c r="L260" s="4" t="e">
        <f ca="1"/>
        <v>#N/A</v>
      </c>
      <c r="M260" s="4" t="e">
        <f ca="1"/>
        <v>#N/A</v>
      </c>
      <c r="N260" s="4" t="e">
        <f ca="1"/>
        <v>#N/A</v>
      </c>
      <c r="O260" s="4" t="e">
        <f ca="1"/>
        <v>#N/A</v>
      </c>
      <c r="P260" s="3" t="e">
        <f ca="1"/>
        <v>#N/A</v>
      </c>
      <c r="Q260" s="3" t="e">
        <f ca="1"/>
        <v>#N/A</v>
      </c>
    </row>
    <row r="261" spans="4:17" x14ac:dyDescent="0.25">
      <c r="D261" s="3" t="e">
        <f ca="1"/>
        <v>#N/A</v>
      </c>
      <c r="E261" s="4" t="e">
        <f ca="1"/>
        <v>#N/A</v>
      </c>
      <c r="F261" s="4" t="e">
        <f ca="1"/>
        <v>#N/A</v>
      </c>
      <c r="G261" s="4" t="e">
        <f ca="1"/>
        <v>#N/A</v>
      </c>
      <c r="H261" s="4" t="e">
        <f ca="1"/>
        <v>#N/A</v>
      </c>
      <c r="I261" s="7" t="e">
        <f ca="1"/>
        <v>#N/A</v>
      </c>
      <c r="J261" s="4" t="e">
        <f ca="1"/>
        <v>#N/A</v>
      </c>
      <c r="K261" s="4" t="e">
        <f ca="1"/>
        <v>#N/A</v>
      </c>
      <c r="L261" s="4" t="e">
        <f ca="1"/>
        <v>#N/A</v>
      </c>
      <c r="M261" s="4" t="e">
        <f ca="1"/>
        <v>#N/A</v>
      </c>
      <c r="N261" s="4" t="e">
        <f ca="1"/>
        <v>#N/A</v>
      </c>
      <c r="O261" s="4" t="e">
        <f ca="1"/>
        <v>#N/A</v>
      </c>
      <c r="P261" s="3" t="e">
        <f ca="1"/>
        <v>#N/A</v>
      </c>
      <c r="Q261" s="3" t="e">
        <f ca="1"/>
        <v>#N/A</v>
      </c>
    </row>
    <row r="262" spans="4:17" x14ac:dyDescent="0.25">
      <c r="D262" s="3" t="e">
        <f ca="1"/>
        <v>#N/A</v>
      </c>
      <c r="E262" s="4" t="e">
        <f ca="1"/>
        <v>#N/A</v>
      </c>
      <c r="F262" s="4" t="e">
        <f ca="1"/>
        <v>#N/A</v>
      </c>
      <c r="G262" s="4" t="e">
        <f ca="1"/>
        <v>#N/A</v>
      </c>
      <c r="H262" s="4" t="e">
        <f ca="1"/>
        <v>#N/A</v>
      </c>
      <c r="I262" s="7" t="e">
        <f ca="1"/>
        <v>#N/A</v>
      </c>
      <c r="J262" s="4" t="e">
        <f ca="1"/>
        <v>#N/A</v>
      </c>
      <c r="K262" s="4" t="e">
        <f ca="1"/>
        <v>#N/A</v>
      </c>
      <c r="L262" s="4" t="e">
        <f ca="1"/>
        <v>#N/A</v>
      </c>
      <c r="M262" s="4" t="e">
        <f ca="1"/>
        <v>#N/A</v>
      </c>
      <c r="N262" s="4" t="e">
        <f ca="1"/>
        <v>#N/A</v>
      </c>
      <c r="O262" s="4" t="e">
        <f ca="1"/>
        <v>#N/A</v>
      </c>
      <c r="P262" s="3" t="e">
        <f ca="1"/>
        <v>#N/A</v>
      </c>
      <c r="Q262" s="3" t="e">
        <f ca="1"/>
        <v>#N/A</v>
      </c>
    </row>
    <row r="263" spans="4:17" x14ac:dyDescent="0.25">
      <c r="D263" s="3" t="e">
        <f ca="1"/>
        <v>#N/A</v>
      </c>
      <c r="E263" s="4" t="e">
        <f ca="1"/>
        <v>#N/A</v>
      </c>
      <c r="F263" s="4" t="e">
        <f ca="1"/>
        <v>#N/A</v>
      </c>
      <c r="G263" s="4" t="e">
        <f ca="1"/>
        <v>#N/A</v>
      </c>
      <c r="H263" s="4" t="e">
        <f ca="1"/>
        <v>#N/A</v>
      </c>
      <c r="I263" s="7" t="e">
        <f ca="1"/>
        <v>#N/A</v>
      </c>
      <c r="J263" s="4" t="e">
        <f ca="1"/>
        <v>#N/A</v>
      </c>
      <c r="K263" s="4" t="e">
        <f ca="1"/>
        <v>#N/A</v>
      </c>
      <c r="L263" s="4" t="e">
        <f ca="1"/>
        <v>#N/A</v>
      </c>
      <c r="M263" s="4" t="e">
        <f ca="1"/>
        <v>#N/A</v>
      </c>
      <c r="N263" s="4" t="e">
        <f ca="1"/>
        <v>#N/A</v>
      </c>
      <c r="O263" s="4" t="e">
        <f ca="1"/>
        <v>#N/A</v>
      </c>
      <c r="P263" s="3" t="e">
        <f ca="1"/>
        <v>#N/A</v>
      </c>
      <c r="Q263" s="3" t="e">
        <f ca="1"/>
        <v>#N/A</v>
      </c>
    </row>
    <row r="264" spans="4:17" x14ac:dyDescent="0.25">
      <c r="D264" s="3" t="e">
        <f ca="1"/>
        <v>#N/A</v>
      </c>
      <c r="E264" s="4" t="e">
        <f ca="1"/>
        <v>#N/A</v>
      </c>
      <c r="F264" s="4" t="e">
        <f ca="1"/>
        <v>#N/A</v>
      </c>
      <c r="G264" s="4" t="e">
        <f ca="1"/>
        <v>#N/A</v>
      </c>
      <c r="H264" s="4" t="e">
        <f ca="1"/>
        <v>#N/A</v>
      </c>
      <c r="I264" s="7" t="e">
        <f ca="1"/>
        <v>#N/A</v>
      </c>
      <c r="J264" s="4" t="e">
        <f ca="1"/>
        <v>#N/A</v>
      </c>
      <c r="K264" s="4" t="e">
        <f ca="1"/>
        <v>#N/A</v>
      </c>
      <c r="L264" s="4" t="e">
        <f ca="1"/>
        <v>#N/A</v>
      </c>
      <c r="M264" s="4" t="e">
        <f ca="1"/>
        <v>#N/A</v>
      </c>
      <c r="N264" s="4" t="e">
        <f ca="1"/>
        <v>#N/A</v>
      </c>
      <c r="O264" s="4" t="e">
        <f ca="1"/>
        <v>#N/A</v>
      </c>
      <c r="P264" s="3" t="e">
        <f ca="1"/>
        <v>#N/A</v>
      </c>
      <c r="Q264" s="3" t="e">
        <f ca="1"/>
        <v>#N/A</v>
      </c>
    </row>
    <row r="265" spans="4:17" x14ac:dyDescent="0.25">
      <c r="D265" s="3" t="e">
        <f ca="1"/>
        <v>#N/A</v>
      </c>
      <c r="E265" s="4" t="e">
        <f ca="1"/>
        <v>#N/A</v>
      </c>
      <c r="F265" s="4" t="e">
        <f ca="1"/>
        <v>#N/A</v>
      </c>
      <c r="G265" s="4" t="e">
        <f ca="1"/>
        <v>#N/A</v>
      </c>
      <c r="H265" s="4" t="e">
        <f ca="1"/>
        <v>#N/A</v>
      </c>
      <c r="I265" s="7" t="e">
        <f ca="1"/>
        <v>#N/A</v>
      </c>
      <c r="J265" s="4" t="e">
        <f ca="1"/>
        <v>#N/A</v>
      </c>
      <c r="K265" s="4" t="e">
        <f ca="1"/>
        <v>#N/A</v>
      </c>
      <c r="L265" s="4" t="e">
        <f ca="1"/>
        <v>#N/A</v>
      </c>
      <c r="M265" s="4" t="e">
        <f ca="1"/>
        <v>#N/A</v>
      </c>
      <c r="N265" s="4" t="e">
        <f ca="1"/>
        <v>#N/A</v>
      </c>
      <c r="O265" s="4" t="e">
        <f ca="1"/>
        <v>#N/A</v>
      </c>
      <c r="P265" s="3" t="e">
        <f ca="1"/>
        <v>#N/A</v>
      </c>
      <c r="Q265" s="3" t="e">
        <f ca="1"/>
        <v>#N/A</v>
      </c>
    </row>
    <row r="266" spans="4:17" x14ac:dyDescent="0.25">
      <c r="D266" s="3" t="e">
        <f ca="1"/>
        <v>#N/A</v>
      </c>
      <c r="E266" s="4" t="e">
        <f ca="1"/>
        <v>#N/A</v>
      </c>
      <c r="F266" s="4" t="e">
        <f ca="1"/>
        <v>#N/A</v>
      </c>
      <c r="G266" s="4" t="e">
        <f ca="1"/>
        <v>#N/A</v>
      </c>
      <c r="H266" s="4" t="e">
        <f ca="1"/>
        <v>#N/A</v>
      </c>
      <c r="I266" s="7" t="e">
        <f ca="1"/>
        <v>#N/A</v>
      </c>
      <c r="J266" s="4" t="e">
        <f ca="1"/>
        <v>#N/A</v>
      </c>
      <c r="K266" s="4" t="e">
        <f ca="1"/>
        <v>#N/A</v>
      </c>
      <c r="L266" s="4" t="e">
        <f ca="1"/>
        <v>#N/A</v>
      </c>
      <c r="M266" s="4" t="e">
        <f ca="1"/>
        <v>#N/A</v>
      </c>
      <c r="N266" s="4" t="e">
        <f ca="1"/>
        <v>#N/A</v>
      </c>
      <c r="O266" s="4" t="e">
        <f ca="1"/>
        <v>#N/A</v>
      </c>
      <c r="P266" s="3" t="e">
        <f ca="1"/>
        <v>#N/A</v>
      </c>
      <c r="Q266" s="3" t="e">
        <f ca="1"/>
        <v>#N/A</v>
      </c>
    </row>
    <row r="267" spans="4:17" x14ac:dyDescent="0.25">
      <c r="D267" s="3" t="e">
        <f ca="1"/>
        <v>#N/A</v>
      </c>
      <c r="E267" s="4" t="e">
        <f ca="1"/>
        <v>#N/A</v>
      </c>
      <c r="F267" s="4" t="e">
        <f ca="1"/>
        <v>#N/A</v>
      </c>
      <c r="G267" s="4" t="e">
        <f ca="1"/>
        <v>#N/A</v>
      </c>
      <c r="H267" s="4" t="e">
        <f ca="1"/>
        <v>#N/A</v>
      </c>
      <c r="I267" s="7" t="e">
        <f ca="1"/>
        <v>#N/A</v>
      </c>
      <c r="J267" s="4" t="e">
        <f ca="1"/>
        <v>#N/A</v>
      </c>
      <c r="K267" s="4" t="e">
        <f ca="1"/>
        <v>#N/A</v>
      </c>
      <c r="L267" s="4" t="e">
        <f ca="1"/>
        <v>#N/A</v>
      </c>
      <c r="M267" s="4" t="e">
        <f ca="1"/>
        <v>#N/A</v>
      </c>
      <c r="N267" s="4" t="e">
        <f ca="1"/>
        <v>#N/A</v>
      </c>
      <c r="O267" s="4" t="e">
        <f ca="1"/>
        <v>#N/A</v>
      </c>
      <c r="P267" s="3" t="e">
        <f ca="1"/>
        <v>#N/A</v>
      </c>
      <c r="Q267" s="3" t="e">
        <f ca="1"/>
        <v>#N/A</v>
      </c>
    </row>
    <row r="268" spans="4:17" x14ac:dyDescent="0.25">
      <c r="D268" s="3" t="e">
        <f ca="1"/>
        <v>#N/A</v>
      </c>
      <c r="E268" s="4" t="e">
        <f ca="1"/>
        <v>#N/A</v>
      </c>
      <c r="F268" s="4" t="e">
        <f ca="1"/>
        <v>#N/A</v>
      </c>
      <c r="G268" s="4" t="e">
        <f ca="1"/>
        <v>#N/A</v>
      </c>
      <c r="H268" s="4" t="e">
        <f ca="1"/>
        <v>#N/A</v>
      </c>
      <c r="I268" s="7" t="e">
        <f ca="1"/>
        <v>#N/A</v>
      </c>
      <c r="J268" s="4" t="e">
        <f ca="1"/>
        <v>#N/A</v>
      </c>
      <c r="K268" s="4" t="e">
        <f ca="1"/>
        <v>#N/A</v>
      </c>
      <c r="L268" s="4" t="e">
        <f ca="1"/>
        <v>#N/A</v>
      </c>
      <c r="M268" s="4" t="e">
        <f ca="1"/>
        <v>#N/A</v>
      </c>
      <c r="N268" s="4" t="e">
        <f ca="1"/>
        <v>#N/A</v>
      </c>
      <c r="O268" s="4" t="e">
        <f ca="1"/>
        <v>#N/A</v>
      </c>
      <c r="P268" s="3" t="e">
        <f ca="1"/>
        <v>#N/A</v>
      </c>
      <c r="Q268" s="3" t="e">
        <f ca="1"/>
        <v>#N/A</v>
      </c>
    </row>
    <row r="269" spans="4:17" x14ac:dyDescent="0.25">
      <c r="D269" s="3" t="e">
        <f ca="1"/>
        <v>#N/A</v>
      </c>
      <c r="E269" s="4" t="e">
        <f ca="1"/>
        <v>#N/A</v>
      </c>
      <c r="F269" s="4" t="e">
        <f ca="1"/>
        <v>#N/A</v>
      </c>
      <c r="G269" s="4" t="e">
        <f ca="1"/>
        <v>#N/A</v>
      </c>
      <c r="H269" s="4" t="e">
        <f ca="1"/>
        <v>#N/A</v>
      </c>
      <c r="I269" s="7" t="e">
        <f ca="1"/>
        <v>#N/A</v>
      </c>
      <c r="J269" s="4" t="e">
        <f ca="1"/>
        <v>#N/A</v>
      </c>
      <c r="K269" s="4" t="e">
        <f ca="1"/>
        <v>#N/A</v>
      </c>
      <c r="L269" s="4" t="e">
        <f ca="1"/>
        <v>#N/A</v>
      </c>
      <c r="M269" s="4" t="e">
        <f ca="1"/>
        <v>#N/A</v>
      </c>
      <c r="N269" s="4" t="e">
        <f ca="1"/>
        <v>#N/A</v>
      </c>
      <c r="O269" s="4" t="e">
        <f ca="1"/>
        <v>#N/A</v>
      </c>
      <c r="P269" s="3" t="e">
        <f ca="1"/>
        <v>#N/A</v>
      </c>
      <c r="Q269" s="3" t="e">
        <f ca="1"/>
        <v>#N/A</v>
      </c>
    </row>
    <row r="270" spans="4:17" x14ac:dyDescent="0.25">
      <c r="D270" s="3" t="e">
        <f ca="1"/>
        <v>#N/A</v>
      </c>
      <c r="E270" s="4" t="e">
        <f ca="1"/>
        <v>#N/A</v>
      </c>
      <c r="F270" s="4" t="e">
        <f ca="1"/>
        <v>#N/A</v>
      </c>
      <c r="G270" s="4" t="e">
        <f ca="1"/>
        <v>#N/A</v>
      </c>
      <c r="H270" s="4" t="e">
        <f ca="1"/>
        <v>#N/A</v>
      </c>
      <c r="I270" s="7" t="e">
        <f ca="1"/>
        <v>#N/A</v>
      </c>
      <c r="J270" s="4" t="e">
        <f ca="1"/>
        <v>#N/A</v>
      </c>
      <c r="K270" s="4" t="e">
        <f ca="1"/>
        <v>#N/A</v>
      </c>
      <c r="L270" s="4" t="e">
        <f ca="1"/>
        <v>#N/A</v>
      </c>
      <c r="M270" s="4" t="e">
        <f ca="1"/>
        <v>#N/A</v>
      </c>
      <c r="N270" s="4" t="e">
        <f ca="1"/>
        <v>#N/A</v>
      </c>
      <c r="O270" s="4" t="e">
        <f ca="1"/>
        <v>#N/A</v>
      </c>
      <c r="P270" s="3" t="e">
        <f ca="1"/>
        <v>#N/A</v>
      </c>
      <c r="Q270" s="3" t="e">
        <f ca="1"/>
        <v>#N/A</v>
      </c>
    </row>
    <row r="271" spans="4:17" x14ac:dyDescent="0.25">
      <c r="D271" s="3" t="e">
        <f ca="1"/>
        <v>#N/A</v>
      </c>
      <c r="E271" s="4" t="e">
        <f ca="1"/>
        <v>#N/A</v>
      </c>
      <c r="F271" s="4" t="e">
        <f ca="1"/>
        <v>#N/A</v>
      </c>
      <c r="G271" s="4" t="e">
        <f ca="1"/>
        <v>#N/A</v>
      </c>
      <c r="H271" s="4" t="e">
        <f ca="1"/>
        <v>#N/A</v>
      </c>
      <c r="I271" s="7" t="e">
        <f ca="1"/>
        <v>#N/A</v>
      </c>
      <c r="J271" s="4" t="e">
        <f ca="1"/>
        <v>#N/A</v>
      </c>
      <c r="K271" s="4" t="e">
        <f ca="1"/>
        <v>#N/A</v>
      </c>
      <c r="L271" s="4" t="e">
        <f ca="1"/>
        <v>#N/A</v>
      </c>
      <c r="M271" s="4" t="e">
        <f ca="1"/>
        <v>#N/A</v>
      </c>
      <c r="N271" s="4" t="e">
        <f ca="1"/>
        <v>#N/A</v>
      </c>
      <c r="O271" s="4" t="e">
        <f ca="1"/>
        <v>#N/A</v>
      </c>
      <c r="P271" s="3" t="e">
        <f ca="1"/>
        <v>#N/A</v>
      </c>
      <c r="Q271" s="3" t="e">
        <f ca="1"/>
        <v>#N/A</v>
      </c>
    </row>
    <row r="272" spans="4:17" x14ac:dyDescent="0.25">
      <c r="D272" s="3" t="e">
        <f ca="1"/>
        <v>#N/A</v>
      </c>
      <c r="E272" s="4" t="e">
        <f ca="1"/>
        <v>#N/A</v>
      </c>
      <c r="F272" s="4" t="e">
        <f ca="1"/>
        <v>#N/A</v>
      </c>
      <c r="G272" s="4" t="e">
        <f ca="1"/>
        <v>#N/A</v>
      </c>
      <c r="H272" s="4" t="e">
        <f ca="1"/>
        <v>#N/A</v>
      </c>
      <c r="I272" s="7" t="e">
        <f ca="1"/>
        <v>#N/A</v>
      </c>
      <c r="J272" s="4" t="e">
        <f ca="1"/>
        <v>#N/A</v>
      </c>
      <c r="K272" s="4" t="e">
        <f ca="1"/>
        <v>#N/A</v>
      </c>
      <c r="L272" s="4" t="e">
        <f ca="1"/>
        <v>#N/A</v>
      </c>
      <c r="M272" s="4" t="e">
        <f ca="1"/>
        <v>#N/A</v>
      </c>
      <c r="N272" s="4" t="e">
        <f ca="1"/>
        <v>#N/A</v>
      </c>
      <c r="O272" s="4" t="e">
        <f ca="1"/>
        <v>#N/A</v>
      </c>
      <c r="P272" s="3" t="e">
        <f ca="1"/>
        <v>#N/A</v>
      </c>
      <c r="Q272" s="3" t="e">
        <f ca="1"/>
        <v>#N/A</v>
      </c>
    </row>
    <row r="273" spans="4:17" x14ac:dyDescent="0.25">
      <c r="D273" s="3" t="e">
        <f ca="1"/>
        <v>#N/A</v>
      </c>
      <c r="E273" s="4" t="e">
        <f ca="1"/>
        <v>#N/A</v>
      </c>
      <c r="F273" s="4" t="e">
        <f ca="1"/>
        <v>#N/A</v>
      </c>
      <c r="G273" s="4" t="e">
        <f ca="1"/>
        <v>#N/A</v>
      </c>
      <c r="H273" s="4" t="e">
        <f ca="1"/>
        <v>#N/A</v>
      </c>
      <c r="I273" s="7" t="e">
        <f ca="1"/>
        <v>#N/A</v>
      </c>
      <c r="J273" s="4" t="e">
        <f ca="1"/>
        <v>#N/A</v>
      </c>
      <c r="K273" s="4" t="e">
        <f ca="1"/>
        <v>#N/A</v>
      </c>
      <c r="L273" s="4" t="e">
        <f ca="1"/>
        <v>#N/A</v>
      </c>
      <c r="M273" s="4" t="e">
        <f ca="1"/>
        <v>#N/A</v>
      </c>
      <c r="N273" s="4" t="e">
        <f ca="1"/>
        <v>#N/A</v>
      </c>
      <c r="O273" s="4" t="e">
        <f ca="1"/>
        <v>#N/A</v>
      </c>
      <c r="P273" s="3" t="e">
        <f ca="1"/>
        <v>#N/A</v>
      </c>
      <c r="Q273" s="3" t="e">
        <f ca="1"/>
        <v>#N/A</v>
      </c>
    </row>
    <row r="274" spans="4:17" x14ac:dyDescent="0.25">
      <c r="D274" s="3" t="e">
        <f ca="1"/>
        <v>#N/A</v>
      </c>
      <c r="E274" s="4" t="e">
        <f ca="1"/>
        <v>#N/A</v>
      </c>
      <c r="F274" s="4" t="e">
        <f ca="1"/>
        <v>#N/A</v>
      </c>
      <c r="G274" s="4" t="e">
        <f ca="1"/>
        <v>#N/A</v>
      </c>
      <c r="H274" s="4" t="e">
        <f ca="1"/>
        <v>#N/A</v>
      </c>
      <c r="I274" s="7" t="e">
        <f ca="1"/>
        <v>#N/A</v>
      </c>
      <c r="J274" s="4" t="e">
        <f ca="1"/>
        <v>#N/A</v>
      </c>
      <c r="K274" s="4" t="e">
        <f ca="1"/>
        <v>#N/A</v>
      </c>
      <c r="L274" s="4" t="e">
        <f ca="1"/>
        <v>#N/A</v>
      </c>
      <c r="M274" s="4" t="e">
        <f ca="1"/>
        <v>#N/A</v>
      </c>
      <c r="N274" s="4" t="e">
        <f ca="1"/>
        <v>#N/A</v>
      </c>
      <c r="O274" s="4" t="e">
        <f ca="1"/>
        <v>#N/A</v>
      </c>
      <c r="P274" s="3" t="e">
        <f ca="1"/>
        <v>#N/A</v>
      </c>
      <c r="Q274" s="3" t="e">
        <f ca="1"/>
        <v>#N/A</v>
      </c>
    </row>
    <row r="275" spans="4:17" x14ac:dyDescent="0.25">
      <c r="D275" s="3" t="e">
        <f ca="1"/>
        <v>#N/A</v>
      </c>
      <c r="E275" s="4" t="e">
        <f ca="1"/>
        <v>#N/A</v>
      </c>
      <c r="F275" s="4" t="e">
        <f ca="1"/>
        <v>#N/A</v>
      </c>
      <c r="G275" s="4" t="e">
        <f ca="1"/>
        <v>#N/A</v>
      </c>
      <c r="H275" s="4" t="e">
        <f ca="1"/>
        <v>#N/A</v>
      </c>
      <c r="I275" s="7" t="e">
        <f ca="1"/>
        <v>#N/A</v>
      </c>
      <c r="J275" s="4" t="e">
        <f ca="1"/>
        <v>#N/A</v>
      </c>
      <c r="K275" s="4" t="e">
        <f ca="1"/>
        <v>#N/A</v>
      </c>
      <c r="L275" s="4" t="e">
        <f ca="1"/>
        <v>#N/A</v>
      </c>
      <c r="M275" s="4" t="e">
        <f ca="1"/>
        <v>#N/A</v>
      </c>
      <c r="N275" s="4" t="e">
        <f ca="1"/>
        <v>#N/A</v>
      </c>
      <c r="O275" s="4" t="e">
        <f ca="1"/>
        <v>#N/A</v>
      </c>
      <c r="P275" s="3" t="e">
        <f ca="1"/>
        <v>#N/A</v>
      </c>
      <c r="Q275" s="3" t="e">
        <f ca="1"/>
        <v>#N/A</v>
      </c>
    </row>
    <row r="276" spans="4:17" x14ac:dyDescent="0.25">
      <c r="D276" s="3" t="e">
        <f ca="1"/>
        <v>#N/A</v>
      </c>
      <c r="E276" s="4" t="e">
        <f ca="1"/>
        <v>#N/A</v>
      </c>
      <c r="F276" s="4" t="e">
        <f ca="1"/>
        <v>#N/A</v>
      </c>
      <c r="G276" s="4" t="e">
        <f ca="1"/>
        <v>#N/A</v>
      </c>
      <c r="H276" s="4" t="e">
        <f ca="1"/>
        <v>#N/A</v>
      </c>
      <c r="I276" s="7" t="e">
        <f ca="1"/>
        <v>#N/A</v>
      </c>
      <c r="J276" s="4" t="e">
        <f ca="1"/>
        <v>#N/A</v>
      </c>
      <c r="K276" s="4" t="e">
        <f ca="1"/>
        <v>#N/A</v>
      </c>
      <c r="L276" s="4" t="e">
        <f ca="1"/>
        <v>#N/A</v>
      </c>
      <c r="M276" s="4" t="e">
        <f ca="1"/>
        <v>#N/A</v>
      </c>
      <c r="N276" s="4" t="e">
        <f ca="1"/>
        <v>#N/A</v>
      </c>
      <c r="O276" s="4" t="e">
        <f ca="1"/>
        <v>#N/A</v>
      </c>
      <c r="P276" s="3" t="e">
        <f ca="1"/>
        <v>#N/A</v>
      </c>
      <c r="Q276" s="3" t="e">
        <f ca="1"/>
        <v>#N/A</v>
      </c>
    </row>
    <row r="277" spans="4:17" x14ac:dyDescent="0.25">
      <c r="D277" s="3" t="e">
        <f ca="1"/>
        <v>#N/A</v>
      </c>
      <c r="E277" s="4" t="e">
        <f ca="1"/>
        <v>#N/A</v>
      </c>
      <c r="F277" s="4" t="e">
        <f ca="1"/>
        <v>#N/A</v>
      </c>
      <c r="G277" s="4" t="e">
        <f ca="1"/>
        <v>#N/A</v>
      </c>
      <c r="H277" s="4" t="e">
        <f ca="1"/>
        <v>#N/A</v>
      </c>
      <c r="I277" s="7" t="e">
        <f ca="1"/>
        <v>#N/A</v>
      </c>
      <c r="J277" s="4" t="e">
        <f ca="1"/>
        <v>#N/A</v>
      </c>
      <c r="K277" s="4" t="e">
        <f ca="1"/>
        <v>#N/A</v>
      </c>
      <c r="L277" s="4" t="e">
        <f ca="1"/>
        <v>#N/A</v>
      </c>
      <c r="M277" s="4" t="e">
        <f ca="1"/>
        <v>#N/A</v>
      </c>
      <c r="N277" s="4" t="e">
        <f ca="1"/>
        <v>#N/A</v>
      </c>
      <c r="O277" s="4" t="e">
        <f ca="1"/>
        <v>#N/A</v>
      </c>
      <c r="P277" s="3" t="e">
        <f ca="1"/>
        <v>#N/A</v>
      </c>
      <c r="Q277" s="3" t="e">
        <f ca="1"/>
        <v>#N/A</v>
      </c>
    </row>
    <row r="278" spans="4:17" x14ac:dyDescent="0.25">
      <c r="D278" s="3" t="e">
        <f ca="1"/>
        <v>#N/A</v>
      </c>
      <c r="E278" s="4" t="e">
        <f ca="1"/>
        <v>#N/A</v>
      </c>
      <c r="F278" s="4" t="e">
        <f ca="1"/>
        <v>#N/A</v>
      </c>
      <c r="G278" s="4" t="e">
        <f ca="1"/>
        <v>#N/A</v>
      </c>
      <c r="H278" s="4" t="e">
        <f ca="1"/>
        <v>#N/A</v>
      </c>
      <c r="I278" s="7" t="e">
        <f ca="1"/>
        <v>#N/A</v>
      </c>
      <c r="J278" s="4" t="e">
        <f ca="1"/>
        <v>#N/A</v>
      </c>
      <c r="K278" s="4" t="e">
        <f ca="1"/>
        <v>#N/A</v>
      </c>
      <c r="L278" s="4" t="e">
        <f ca="1"/>
        <v>#N/A</v>
      </c>
      <c r="M278" s="4" t="e">
        <f ca="1"/>
        <v>#N/A</v>
      </c>
      <c r="N278" s="4" t="e">
        <f ca="1"/>
        <v>#N/A</v>
      </c>
      <c r="O278" s="4" t="e">
        <f ca="1"/>
        <v>#N/A</v>
      </c>
      <c r="P278" s="3" t="e">
        <f ca="1"/>
        <v>#N/A</v>
      </c>
      <c r="Q278" s="3" t="e">
        <f ca="1"/>
        <v>#N/A</v>
      </c>
    </row>
    <row r="279" spans="4:17" x14ac:dyDescent="0.25">
      <c r="D279" s="3" t="e">
        <f ca="1"/>
        <v>#N/A</v>
      </c>
      <c r="E279" s="4" t="e">
        <f ca="1"/>
        <v>#N/A</v>
      </c>
      <c r="F279" s="4" t="e">
        <f ca="1"/>
        <v>#N/A</v>
      </c>
      <c r="G279" s="4" t="e">
        <f ca="1"/>
        <v>#N/A</v>
      </c>
      <c r="H279" s="4" t="e">
        <f ca="1"/>
        <v>#N/A</v>
      </c>
      <c r="I279" s="7" t="e">
        <f ca="1"/>
        <v>#N/A</v>
      </c>
      <c r="J279" s="4" t="e">
        <f ca="1"/>
        <v>#N/A</v>
      </c>
      <c r="K279" s="4" t="e">
        <f ca="1"/>
        <v>#N/A</v>
      </c>
      <c r="L279" s="4" t="e">
        <f ca="1"/>
        <v>#N/A</v>
      </c>
      <c r="M279" s="4" t="e">
        <f ca="1"/>
        <v>#N/A</v>
      </c>
      <c r="N279" s="4" t="e">
        <f ca="1"/>
        <v>#N/A</v>
      </c>
      <c r="O279" s="4" t="e">
        <f ca="1"/>
        <v>#N/A</v>
      </c>
      <c r="P279" s="3" t="e">
        <f ca="1"/>
        <v>#N/A</v>
      </c>
      <c r="Q279" s="3" t="e">
        <f ca="1"/>
        <v>#N/A</v>
      </c>
    </row>
    <row r="280" spans="4:17" x14ac:dyDescent="0.25">
      <c r="D280" s="3" t="e">
        <f ca="1"/>
        <v>#N/A</v>
      </c>
      <c r="E280" s="4" t="e">
        <f ca="1"/>
        <v>#N/A</v>
      </c>
      <c r="F280" s="4" t="e">
        <f ca="1"/>
        <v>#N/A</v>
      </c>
      <c r="G280" s="4" t="e">
        <f ca="1"/>
        <v>#N/A</v>
      </c>
      <c r="H280" s="4" t="e">
        <f ca="1"/>
        <v>#N/A</v>
      </c>
      <c r="I280" s="7" t="e">
        <f ca="1"/>
        <v>#N/A</v>
      </c>
      <c r="J280" s="4" t="e">
        <f ca="1"/>
        <v>#N/A</v>
      </c>
      <c r="K280" s="4" t="e">
        <f ca="1"/>
        <v>#N/A</v>
      </c>
      <c r="L280" s="4" t="e">
        <f ca="1"/>
        <v>#N/A</v>
      </c>
      <c r="M280" s="4" t="e">
        <f ca="1"/>
        <v>#N/A</v>
      </c>
      <c r="N280" s="4" t="e">
        <f ca="1"/>
        <v>#N/A</v>
      </c>
      <c r="O280" s="4" t="e">
        <f ca="1"/>
        <v>#N/A</v>
      </c>
      <c r="P280" s="3" t="e">
        <f ca="1"/>
        <v>#N/A</v>
      </c>
      <c r="Q280" s="3" t="e">
        <f ca="1"/>
        <v>#N/A</v>
      </c>
    </row>
    <row r="281" spans="4:17" x14ac:dyDescent="0.25">
      <c r="D281" s="3" t="e">
        <f ca="1"/>
        <v>#N/A</v>
      </c>
      <c r="E281" s="4" t="e">
        <f ca="1"/>
        <v>#N/A</v>
      </c>
      <c r="F281" s="4" t="e">
        <f ca="1"/>
        <v>#N/A</v>
      </c>
      <c r="G281" s="4" t="e">
        <f ca="1"/>
        <v>#N/A</v>
      </c>
      <c r="H281" s="4" t="e">
        <f ca="1"/>
        <v>#N/A</v>
      </c>
      <c r="I281" s="7" t="e">
        <f ca="1"/>
        <v>#N/A</v>
      </c>
      <c r="J281" s="4" t="e">
        <f ca="1"/>
        <v>#N/A</v>
      </c>
      <c r="K281" s="4" t="e">
        <f ca="1"/>
        <v>#N/A</v>
      </c>
      <c r="L281" s="4" t="e">
        <f ca="1"/>
        <v>#N/A</v>
      </c>
      <c r="M281" s="4" t="e">
        <f ca="1"/>
        <v>#N/A</v>
      </c>
      <c r="N281" s="4" t="e">
        <f ca="1"/>
        <v>#N/A</v>
      </c>
      <c r="O281" s="4" t="e">
        <f ca="1"/>
        <v>#N/A</v>
      </c>
      <c r="P281" s="3" t="e">
        <f ca="1"/>
        <v>#N/A</v>
      </c>
      <c r="Q281" s="3" t="e">
        <f ca="1"/>
        <v>#N/A</v>
      </c>
    </row>
    <row r="282" spans="4:17" x14ac:dyDescent="0.25">
      <c r="D282" s="3" t="e">
        <f ca="1"/>
        <v>#N/A</v>
      </c>
      <c r="E282" s="4" t="e">
        <f ca="1"/>
        <v>#N/A</v>
      </c>
      <c r="F282" s="4" t="e">
        <f ca="1"/>
        <v>#N/A</v>
      </c>
      <c r="G282" s="4" t="e">
        <f ca="1"/>
        <v>#N/A</v>
      </c>
      <c r="H282" s="4" t="e">
        <f ca="1"/>
        <v>#N/A</v>
      </c>
      <c r="I282" s="7" t="e">
        <f ca="1"/>
        <v>#N/A</v>
      </c>
      <c r="J282" s="4" t="e">
        <f ca="1"/>
        <v>#N/A</v>
      </c>
      <c r="K282" s="4" t="e">
        <f ca="1"/>
        <v>#N/A</v>
      </c>
      <c r="L282" s="4" t="e">
        <f ca="1"/>
        <v>#N/A</v>
      </c>
      <c r="M282" s="4" t="e">
        <f ca="1"/>
        <v>#N/A</v>
      </c>
      <c r="N282" s="4" t="e">
        <f ca="1"/>
        <v>#N/A</v>
      </c>
      <c r="O282" s="4" t="e">
        <f ca="1"/>
        <v>#N/A</v>
      </c>
      <c r="P282" s="3" t="e">
        <f ca="1"/>
        <v>#N/A</v>
      </c>
      <c r="Q282" s="3" t="e">
        <f ca="1"/>
        <v>#N/A</v>
      </c>
    </row>
    <row r="283" spans="4:17" x14ac:dyDescent="0.25">
      <c r="D283" s="3" t="e">
        <f ca="1"/>
        <v>#N/A</v>
      </c>
      <c r="E283" s="4" t="e">
        <f ca="1"/>
        <v>#N/A</v>
      </c>
      <c r="F283" s="4" t="e">
        <f ca="1"/>
        <v>#N/A</v>
      </c>
      <c r="G283" s="4" t="e">
        <f ca="1"/>
        <v>#N/A</v>
      </c>
      <c r="H283" s="4" t="e">
        <f ca="1"/>
        <v>#N/A</v>
      </c>
      <c r="I283" s="7" t="e">
        <f ca="1"/>
        <v>#N/A</v>
      </c>
      <c r="J283" s="4" t="e">
        <f ca="1"/>
        <v>#N/A</v>
      </c>
      <c r="K283" s="4" t="e">
        <f ca="1"/>
        <v>#N/A</v>
      </c>
      <c r="L283" s="4" t="e">
        <f ca="1"/>
        <v>#N/A</v>
      </c>
      <c r="M283" s="4" t="e">
        <f ca="1"/>
        <v>#N/A</v>
      </c>
      <c r="N283" s="4" t="e">
        <f ca="1"/>
        <v>#N/A</v>
      </c>
      <c r="O283" s="4" t="e">
        <f ca="1"/>
        <v>#N/A</v>
      </c>
      <c r="P283" s="3" t="e">
        <f ca="1"/>
        <v>#N/A</v>
      </c>
      <c r="Q283" s="3" t="e">
        <f ca="1"/>
        <v>#N/A</v>
      </c>
    </row>
    <row r="284" spans="4:17" x14ac:dyDescent="0.25">
      <c r="D284" s="3" t="e">
        <f ca="1"/>
        <v>#N/A</v>
      </c>
      <c r="E284" s="4" t="e">
        <f ca="1"/>
        <v>#N/A</v>
      </c>
      <c r="F284" s="4" t="e">
        <f ca="1"/>
        <v>#N/A</v>
      </c>
      <c r="G284" s="4" t="e">
        <f ca="1"/>
        <v>#N/A</v>
      </c>
      <c r="H284" s="4" t="e">
        <f ca="1"/>
        <v>#N/A</v>
      </c>
      <c r="I284" s="7" t="e">
        <f ca="1"/>
        <v>#N/A</v>
      </c>
      <c r="J284" s="4" t="e">
        <f ca="1"/>
        <v>#N/A</v>
      </c>
      <c r="K284" s="4" t="e">
        <f ca="1"/>
        <v>#N/A</v>
      </c>
      <c r="L284" s="4" t="e">
        <f ca="1"/>
        <v>#N/A</v>
      </c>
      <c r="M284" s="4" t="e">
        <f ca="1"/>
        <v>#N/A</v>
      </c>
      <c r="N284" s="4" t="e">
        <f ca="1"/>
        <v>#N/A</v>
      </c>
      <c r="O284" s="4" t="e">
        <f ca="1"/>
        <v>#N/A</v>
      </c>
      <c r="P284" s="3" t="e">
        <f ca="1"/>
        <v>#N/A</v>
      </c>
      <c r="Q284" s="3" t="e">
        <f ca="1"/>
        <v>#N/A</v>
      </c>
    </row>
    <row r="285" spans="4:17" x14ac:dyDescent="0.25">
      <c r="D285" s="3" t="e">
        <f ca="1"/>
        <v>#N/A</v>
      </c>
      <c r="E285" s="4" t="e">
        <f ca="1"/>
        <v>#N/A</v>
      </c>
      <c r="F285" s="4" t="e">
        <f ca="1"/>
        <v>#N/A</v>
      </c>
      <c r="G285" s="4" t="e">
        <f ca="1"/>
        <v>#N/A</v>
      </c>
      <c r="H285" s="4" t="e">
        <f ca="1"/>
        <v>#N/A</v>
      </c>
      <c r="I285" s="7" t="e">
        <f ca="1"/>
        <v>#N/A</v>
      </c>
      <c r="J285" s="4" t="e">
        <f ca="1"/>
        <v>#N/A</v>
      </c>
      <c r="K285" s="4" t="e">
        <f ca="1"/>
        <v>#N/A</v>
      </c>
      <c r="L285" s="4" t="e">
        <f ca="1"/>
        <v>#N/A</v>
      </c>
      <c r="M285" s="4" t="e">
        <f ca="1"/>
        <v>#N/A</v>
      </c>
      <c r="N285" s="4" t="e">
        <f ca="1"/>
        <v>#N/A</v>
      </c>
      <c r="O285" s="4" t="e">
        <f ca="1"/>
        <v>#N/A</v>
      </c>
      <c r="P285" s="3" t="e">
        <f ca="1"/>
        <v>#N/A</v>
      </c>
      <c r="Q285" s="3" t="e">
        <f ca="1"/>
        <v>#N/A</v>
      </c>
    </row>
    <row r="286" spans="4:17" x14ac:dyDescent="0.25">
      <c r="D286" s="3" t="e">
        <f ca="1"/>
        <v>#N/A</v>
      </c>
      <c r="E286" s="4" t="e">
        <f ca="1"/>
        <v>#N/A</v>
      </c>
      <c r="F286" s="4" t="e">
        <f ca="1"/>
        <v>#N/A</v>
      </c>
      <c r="G286" s="4" t="e">
        <f ca="1"/>
        <v>#N/A</v>
      </c>
      <c r="H286" s="4" t="e">
        <f ca="1"/>
        <v>#N/A</v>
      </c>
      <c r="I286" s="7" t="e">
        <f ca="1"/>
        <v>#N/A</v>
      </c>
      <c r="J286" s="4" t="e">
        <f ca="1"/>
        <v>#N/A</v>
      </c>
      <c r="K286" s="4" t="e">
        <f ca="1"/>
        <v>#N/A</v>
      </c>
      <c r="L286" s="4" t="e">
        <f ca="1"/>
        <v>#N/A</v>
      </c>
      <c r="M286" s="4" t="e">
        <f ca="1"/>
        <v>#N/A</v>
      </c>
      <c r="N286" s="4" t="e">
        <f ca="1"/>
        <v>#N/A</v>
      </c>
      <c r="O286" s="4" t="e">
        <f ca="1"/>
        <v>#N/A</v>
      </c>
      <c r="P286" s="3" t="e">
        <f ca="1"/>
        <v>#N/A</v>
      </c>
      <c r="Q286" s="3" t="e">
        <f ca="1"/>
        <v>#N/A</v>
      </c>
    </row>
    <row r="287" spans="4:17" x14ac:dyDescent="0.25">
      <c r="D287" s="3" t="e">
        <f ca="1"/>
        <v>#N/A</v>
      </c>
      <c r="E287" s="4" t="e">
        <f ca="1"/>
        <v>#N/A</v>
      </c>
      <c r="F287" s="4" t="e">
        <f ca="1"/>
        <v>#N/A</v>
      </c>
      <c r="G287" s="4" t="e">
        <f ca="1"/>
        <v>#N/A</v>
      </c>
      <c r="H287" s="4" t="e">
        <f ca="1"/>
        <v>#N/A</v>
      </c>
      <c r="I287" s="7" t="e">
        <f ca="1"/>
        <v>#N/A</v>
      </c>
      <c r="J287" s="4" t="e">
        <f ca="1"/>
        <v>#N/A</v>
      </c>
      <c r="K287" s="4" t="e">
        <f ca="1"/>
        <v>#N/A</v>
      </c>
      <c r="L287" s="4" t="e">
        <f ca="1"/>
        <v>#N/A</v>
      </c>
      <c r="M287" s="4" t="e">
        <f ca="1"/>
        <v>#N/A</v>
      </c>
      <c r="N287" s="4" t="e">
        <f ca="1"/>
        <v>#N/A</v>
      </c>
      <c r="O287" s="4" t="e">
        <f ca="1"/>
        <v>#N/A</v>
      </c>
      <c r="P287" s="3" t="e">
        <f ca="1"/>
        <v>#N/A</v>
      </c>
      <c r="Q287" s="3" t="e">
        <f ca="1"/>
        <v>#N/A</v>
      </c>
    </row>
    <row r="288" spans="4:17" x14ac:dyDescent="0.25">
      <c r="D288" s="3" t="e">
        <f ca="1"/>
        <v>#N/A</v>
      </c>
      <c r="E288" s="4" t="e">
        <f ca="1"/>
        <v>#N/A</v>
      </c>
      <c r="F288" s="4" t="e">
        <f ca="1"/>
        <v>#N/A</v>
      </c>
      <c r="G288" s="4" t="e">
        <f ca="1"/>
        <v>#N/A</v>
      </c>
      <c r="H288" s="4" t="e">
        <f ca="1"/>
        <v>#N/A</v>
      </c>
      <c r="I288" s="7" t="e">
        <f ca="1"/>
        <v>#N/A</v>
      </c>
      <c r="J288" s="4" t="e">
        <f ca="1"/>
        <v>#N/A</v>
      </c>
      <c r="K288" s="4" t="e">
        <f ca="1"/>
        <v>#N/A</v>
      </c>
      <c r="L288" s="4" t="e">
        <f ca="1"/>
        <v>#N/A</v>
      </c>
      <c r="M288" s="4" t="e">
        <f ca="1"/>
        <v>#N/A</v>
      </c>
      <c r="N288" s="4" t="e">
        <f ca="1"/>
        <v>#N/A</v>
      </c>
      <c r="O288" s="4" t="e">
        <f ca="1"/>
        <v>#N/A</v>
      </c>
      <c r="P288" s="3" t="e">
        <f ca="1"/>
        <v>#N/A</v>
      </c>
      <c r="Q288" s="3" t="e">
        <f ca="1"/>
        <v>#N/A</v>
      </c>
    </row>
    <row r="289" spans="4:17" x14ac:dyDescent="0.25">
      <c r="D289" s="3" t="e">
        <f ca="1"/>
        <v>#N/A</v>
      </c>
      <c r="E289" s="4" t="e">
        <f ca="1"/>
        <v>#N/A</v>
      </c>
      <c r="F289" s="4" t="e">
        <f ca="1"/>
        <v>#N/A</v>
      </c>
      <c r="G289" s="4" t="e">
        <f ca="1"/>
        <v>#N/A</v>
      </c>
      <c r="H289" s="4" t="e">
        <f ca="1"/>
        <v>#N/A</v>
      </c>
      <c r="I289" s="7" t="e">
        <f ca="1"/>
        <v>#N/A</v>
      </c>
      <c r="J289" s="4" t="e">
        <f ca="1"/>
        <v>#N/A</v>
      </c>
      <c r="K289" s="4" t="e">
        <f ca="1"/>
        <v>#N/A</v>
      </c>
      <c r="L289" s="4" t="e">
        <f ca="1"/>
        <v>#N/A</v>
      </c>
      <c r="M289" s="4" t="e">
        <f ca="1"/>
        <v>#N/A</v>
      </c>
      <c r="N289" s="4" t="e">
        <f ca="1"/>
        <v>#N/A</v>
      </c>
      <c r="O289" s="4" t="e">
        <f ca="1"/>
        <v>#N/A</v>
      </c>
      <c r="P289" s="3" t="e">
        <f ca="1"/>
        <v>#N/A</v>
      </c>
      <c r="Q289" s="3" t="e">
        <f ca="1"/>
        <v>#N/A</v>
      </c>
    </row>
    <row r="290" spans="4:17" x14ac:dyDescent="0.25">
      <c r="D290" s="3" t="e">
        <f ca="1"/>
        <v>#N/A</v>
      </c>
      <c r="E290" s="4" t="e">
        <f ca="1"/>
        <v>#N/A</v>
      </c>
      <c r="F290" s="4" t="e">
        <f ca="1"/>
        <v>#N/A</v>
      </c>
      <c r="G290" s="4" t="e">
        <f ca="1"/>
        <v>#N/A</v>
      </c>
      <c r="H290" s="4" t="e">
        <f ca="1"/>
        <v>#N/A</v>
      </c>
      <c r="I290" s="7" t="e">
        <f ca="1"/>
        <v>#N/A</v>
      </c>
      <c r="J290" s="4" t="e">
        <f ca="1"/>
        <v>#N/A</v>
      </c>
      <c r="K290" s="4" t="e">
        <f ca="1"/>
        <v>#N/A</v>
      </c>
      <c r="L290" s="4" t="e">
        <f ca="1"/>
        <v>#N/A</v>
      </c>
      <c r="M290" s="4" t="e">
        <f ca="1"/>
        <v>#N/A</v>
      </c>
      <c r="N290" s="4" t="e">
        <f ca="1"/>
        <v>#N/A</v>
      </c>
      <c r="O290" s="4" t="e">
        <f ca="1"/>
        <v>#N/A</v>
      </c>
      <c r="P290" s="3" t="e">
        <f ca="1"/>
        <v>#N/A</v>
      </c>
      <c r="Q290" s="3" t="e">
        <f ca="1"/>
        <v>#N/A</v>
      </c>
    </row>
    <row r="291" spans="4:17" x14ac:dyDescent="0.25">
      <c r="D291" s="3" t="e">
        <f ca="1"/>
        <v>#N/A</v>
      </c>
      <c r="E291" s="4" t="e">
        <f ca="1"/>
        <v>#N/A</v>
      </c>
      <c r="F291" s="4" t="e">
        <f ca="1"/>
        <v>#N/A</v>
      </c>
      <c r="G291" s="4" t="e">
        <f ca="1"/>
        <v>#N/A</v>
      </c>
      <c r="H291" s="4" t="e">
        <f ca="1"/>
        <v>#N/A</v>
      </c>
      <c r="I291" s="7" t="e">
        <f ca="1"/>
        <v>#N/A</v>
      </c>
      <c r="J291" s="4" t="e">
        <f ca="1"/>
        <v>#N/A</v>
      </c>
      <c r="K291" s="4" t="e">
        <f ca="1"/>
        <v>#N/A</v>
      </c>
      <c r="L291" s="4" t="e">
        <f ca="1"/>
        <v>#N/A</v>
      </c>
      <c r="M291" s="4" t="e">
        <f ca="1"/>
        <v>#N/A</v>
      </c>
      <c r="N291" s="4" t="e">
        <f ca="1"/>
        <v>#N/A</v>
      </c>
      <c r="O291" s="4" t="e">
        <f ca="1"/>
        <v>#N/A</v>
      </c>
      <c r="P291" s="3" t="e">
        <f ca="1"/>
        <v>#N/A</v>
      </c>
      <c r="Q291" s="3" t="e">
        <f ca="1"/>
        <v>#N/A</v>
      </c>
    </row>
    <row r="292" spans="4:17" x14ac:dyDescent="0.25">
      <c r="D292" s="3" t="e">
        <f ca="1"/>
        <v>#N/A</v>
      </c>
      <c r="E292" s="4" t="e">
        <f ca="1"/>
        <v>#N/A</v>
      </c>
      <c r="F292" s="4" t="e">
        <f ca="1"/>
        <v>#N/A</v>
      </c>
      <c r="G292" s="4" t="e">
        <f ca="1"/>
        <v>#N/A</v>
      </c>
      <c r="H292" s="4" t="e">
        <f ca="1"/>
        <v>#N/A</v>
      </c>
      <c r="I292" s="7" t="e">
        <f ca="1"/>
        <v>#N/A</v>
      </c>
      <c r="J292" s="4" t="e">
        <f ca="1"/>
        <v>#N/A</v>
      </c>
      <c r="K292" s="4" t="e">
        <f ca="1"/>
        <v>#N/A</v>
      </c>
      <c r="L292" s="4" t="e">
        <f ca="1"/>
        <v>#N/A</v>
      </c>
      <c r="M292" s="4" t="e">
        <f ca="1"/>
        <v>#N/A</v>
      </c>
      <c r="N292" s="4" t="e">
        <f ca="1"/>
        <v>#N/A</v>
      </c>
      <c r="O292" s="4" t="e">
        <f ca="1"/>
        <v>#N/A</v>
      </c>
      <c r="P292" s="3" t="e">
        <f ca="1"/>
        <v>#N/A</v>
      </c>
      <c r="Q292" s="3" t="e">
        <f ca="1"/>
        <v>#N/A</v>
      </c>
    </row>
    <row r="293" spans="4:17" x14ac:dyDescent="0.25">
      <c r="D293" s="3" t="e">
        <f ca="1"/>
        <v>#N/A</v>
      </c>
      <c r="E293" s="4" t="e">
        <f ca="1"/>
        <v>#N/A</v>
      </c>
      <c r="F293" s="4" t="e">
        <f ca="1"/>
        <v>#N/A</v>
      </c>
      <c r="G293" s="4" t="e">
        <f ca="1"/>
        <v>#N/A</v>
      </c>
      <c r="H293" s="4" t="e">
        <f ca="1"/>
        <v>#N/A</v>
      </c>
      <c r="I293" s="7" t="e">
        <f ca="1"/>
        <v>#N/A</v>
      </c>
      <c r="J293" s="4" t="e">
        <f ca="1"/>
        <v>#N/A</v>
      </c>
      <c r="K293" s="4" t="e">
        <f ca="1"/>
        <v>#N/A</v>
      </c>
      <c r="L293" s="4" t="e">
        <f ca="1"/>
        <v>#N/A</v>
      </c>
      <c r="M293" s="4" t="e">
        <f ca="1"/>
        <v>#N/A</v>
      </c>
      <c r="N293" s="4" t="e">
        <f ca="1"/>
        <v>#N/A</v>
      </c>
      <c r="O293" s="4" t="e">
        <f ca="1"/>
        <v>#N/A</v>
      </c>
      <c r="P293" s="3" t="e">
        <f ca="1"/>
        <v>#N/A</v>
      </c>
      <c r="Q293" s="3" t="e">
        <f ca="1"/>
        <v>#N/A</v>
      </c>
    </row>
    <row r="294" spans="4:17" x14ac:dyDescent="0.25">
      <c r="D294" s="3" t="e">
        <f ca="1"/>
        <v>#N/A</v>
      </c>
      <c r="E294" s="4" t="e">
        <f ca="1"/>
        <v>#N/A</v>
      </c>
      <c r="F294" s="4" t="e">
        <f ca="1"/>
        <v>#N/A</v>
      </c>
      <c r="G294" s="4" t="e">
        <f ca="1"/>
        <v>#N/A</v>
      </c>
      <c r="H294" s="4" t="e">
        <f ca="1"/>
        <v>#N/A</v>
      </c>
      <c r="I294" s="7" t="e">
        <f ca="1"/>
        <v>#N/A</v>
      </c>
      <c r="J294" s="4" t="e">
        <f ca="1"/>
        <v>#N/A</v>
      </c>
      <c r="K294" s="4" t="e">
        <f ca="1"/>
        <v>#N/A</v>
      </c>
      <c r="L294" s="4" t="e">
        <f ca="1"/>
        <v>#N/A</v>
      </c>
      <c r="M294" s="4" t="e">
        <f ca="1"/>
        <v>#N/A</v>
      </c>
      <c r="N294" s="4" t="e">
        <f ca="1"/>
        <v>#N/A</v>
      </c>
      <c r="O294" s="4" t="e">
        <f ca="1"/>
        <v>#N/A</v>
      </c>
      <c r="P294" s="3" t="e">
        <f ca="1"/>
        <v>#N/A</v>
      </c>
      <c r="Q294" s="3" t="e">
        <f ca="1"/>
        <v>#N/A</v>
      </c>
    </row>
    <row r="295" spans="4:17" x14ac:dyDescent="0.25">
      <c r="D295" s="3" t="e">
        <f ca="1"/>
        <v>#N/A</v>
      </c>
      <c r="E295" s="4" t="e">
        <f ca="1"/>
        <v>#N/A</v>
      </c>
      <c r="F295" s="4" t="e">
        <f ca="1"/>
        <v>#N/A</v>
      </c>
      <c r="G295" s="4" t="e">
        <f ca="1"/>
        <v>#N/A</v>
      </c>
      <c r="H295" s="4" t="e">
        <f ca="1"/>
        <v>#N/A</v>
      </c>
      <c r="I295" s="7" t="e">
        <f ca="1"/>
        <v>#N/A</v>
      </c>
      <c r="J295" s="4" t="e">
        <f ca="1"/>
        <v>#N/A</v>
      </c>
      <c r="K295" s="4" t="e">
        <f ca="1"/>
        <v>#N/A</v>
      </c>
      <c r="L295" s="4" t="e">
        <f ca="1"/>
        <v>#N/A</v>
      </c>
      <c r="M295" s="4" t="e">
        <f ca="1"/>
        <v>#N/A</v>
      </c>
      <c r="N295" s="4" t="e">
        <f ca="1"/>
        <v>#N/A</v>
      </c>
      <c r="O295" s="4" t="e">
        <f ca="1"/>
        <v>#N/A</v>
      </c>
      <c r="P295" s="3" t="e">
        <f ca="1"/>
        <v>#N/A</v>
      </c>
      <c r="Q295" s="3" t="e">
        <f ca="1"/>
        <v>#N/A</v>
      </c>
    </row>
    <row r="296" spans="4:17" x14ac:dyDescent="0.25">
      <c r="D296" s="3" t="e">
        <f ca="1"/>
        <v>#N/A</v>
      </c>
      <c r="E296" s="4" t="e">
        <f ca="1"/>
        <v>#N/A</v>
      </c>
      <c r="F296" s="4" t="e">
        <f ca="1"/>
        <v>#N/A</v>
      </c>
      <c r="G296" s="4" t="e">
        <f ca="1"/>
        <v>#N/A</v>
      </c>
      <c r="H296" s="4" t="e">
        <f ca="1"/>
        <v>#N/A</v>
      </c>
      <c r="I296" s="7" t="e">
        <f ca="1"/>
        <v>#N/A</v>
      </c>
      <c r="J296" s="4" t="e">
        <f ca="1"/>
        <v>#N/A</v>
      </c>
      <c r="K296" s="4" t="e">
        <f ca="1"/>
        <v>#N/A</v>
      </c>
      <c r="L296" s="4" t="e">
        <f ca="1"/>
        <v>#N/A</v>
      </c>
      <c r="M296" s="4" t="e">
        <f ca="1"/>
        <v>#N/A</v>
      </c>
      <c r="N296" s="4" t="e">
        <f ca="1"/>
        <v>#N/A</v>
      </c>
      <c r="O296" s="4" t="e">
        <f ca="1"/>
        <v>#N/A</v>
      </c>
      <c r="P296" s="3" t="e">
        <f ca="1"/>
        <v>#N/A</v>
      </c>
      <c r="Q296" s="3" t="e">
        <f ca="1"/>
        <v>#N/A</v>
      </c>
    </row>
    <row r="297" spans="4:17" x14ac:dyDescent="0.25">
      <c r="D297" s="3" t="e">
        <f ca="1"/>
        <v>#N/A</v>
      </c>
      <c r="E297" s="4" t="e">
        <f ca="1"/>
        <v>#N/A</v>
      </c>
      <c r="F297" s="4" t="e">
        <f ca="1"/>
        <v>#N/A</v>
      </c>
      <c r="G297" s="4" t="e">
        <f ca="1"/>
        <v>#N/A</v>
      </c>
      <c r="H297" s="4" t="e">
        <f ca="1"/>
        <v>#N/A</v>
      </c>
      <c r="I297" s="7" t="e">
        <f ca="1"/>
        <v>#N/A</v>
      </c>
      <c r="J297" s="4" t="e">
        <f ca="1"/>
        <v>#N/A</v>
      </c>
      <c r="K297" s="4" t="e">
        <f ca="1"/>
        <v>#N/A</v>
      </c>
      <c r="L297" s="4" t="e">
        <f ca="1"/>
        <v>#N/A</v>
      </c>
      <c r="M297" s="4" t="e">
        <f ca="1"/>
        <v>#N/A</v>
      </c>
      <c r="N297" s="4" t="e">
        <f ca="1"/>
        <v>#N/A</v>
      </c>
      <c r="O297" s="4" t="e">
        <f ca="1"/>
        <v>#N/A</v>
      </c>
      <c r="P297" s="3" t="e">
        <f ca="1"/>
        <v>#N/A</v>
      </c>
      <c r="Q297" s="3" t="e">
        <f ca="1"/>
        <v>#N/A</v>
      </c>
    </row>
    <row r="298" spans="4:17" x14ac:dyDescent="0.25">
      <c r="D298" s="3" t="e">
        <f ca="1"/>
        <v>#N/A</v>
      </c>
      <c r="E298" s="4" t="e">
        <f ca="1"/>
        <v>#N/A</v>
      </c>
      <c r="F298" s="4" t="e">
        <f ca="1"/>
        <v>#N/A</v>
      </c>
      <c r="G298" s="4" t="e">
        <f ca="1"/>
        <v>#N/A</v>
      </c>
      <c r="H298" s="4" t="e">
        <f ca="1"/>
        <v>#N/A</v>
      </c>
      <c r="I298" s="7" t="e">
        <f ca="1"/>
        <v>#N/A</v>
      </c>
      <c r="J298" s="4" t="e">
        <f ca="1"/>
        <v>#N/A</v>
      </c>
      <c r="K298" s="4" t="e">
        <f ca="1"/>
        <v>#N/A</v>
      </c>
      <c r="L298" s="4" t="e">
        <f ca="1"/>
        <v>#N/A</v>
      </c>
      <c r="M298" s="4" t="e">
        <f ca="1"/>
        <v>#N/A</v>
      </c>
      <c r="N298" s="4" t="e">
        <f ca="1"/>
        <v>#N/A</v>
      </c>
      <c r="O298" s="4" t="e">
        <f ca="1"/>
        <v>#N/A</v>
      </c>
      <c r="P298" s="3" t="e">
        <f ca="1"/>
        <v>#N/A</v>
      </c>
      <c r="Q298" s="3" t="e">
        <f ca="1"/>
        <v>#N/A</v>
      </c>
    </row>
    <row r="299" spans="4:17" x14ac:dyDescent="0.25">
      <c r="D299" s="3" t="e">
        <f ca="1"/>
        <v>#N/A</v>
      </c>
      <c r="E299" s="4" t="e">
        <f ca="1"/>
        <v>#N/A</v>
      </c>
      <c r="F299" s="4" t="e">
        <f ca="1"/>
        <v>#N/A</v>
      </c>
      <c r="G299" s="4" t="e">
        <f ca="1"/>
        <v>#N/A</v>
      </c>
      <c r="H299" s="4" t="e">
        <f ca="1"/>
        <v>#N/A</v>
      </c>
      <c r="I299" s="7" t="e">
        <f ca="1"/>
        <v>#N/A</v>
      </c>
      <c r="J299" s="4" t="e">
        <f ca="1"/>
        <v>#N/A</v>
      </c>
      <c r="K299" s="4" t="e">
        <f ca="1"/>
        <v>#N/A</v>
      </c>
      <c r="L299" s="4" t="e">
        <f ca="1"/>
        <v>#N/A</v>
      </c>
      <c r="M299" s="4" t="e">
        <f ca="1"/>
        <v>#N/A</v>
      </c>
      <c r="N299" s="4" t="e">
        <f ca="1"/>
        <v>#N/A</v>
      </c>
      <c r="O299" s="4" t="e">
        <f ca="1"/>
        <v>#N/A</v>
      </c>
      <c r="P299" s="3" t="e">
        <f ca="1"/>
        <v>#N/A</v>
      </c>
      <c r="Q299" s="3" t="e">
        <f ca="1"/>
        <v>#N/A</v>
      </c>
    </row>
    <row r="300" spans="4:17" x14ac:dyDescent="0.25">
      <c r="D300" s="3" t="e">
        <f ca="1"/>
        <v>#N/A</v>
      </c>
      <c r="E300" s="4" t="e">
        <f ca="1"/>
        <v>#N/A</v>
      </c>
      <c r="F300" s="4" t="e">
        <f ca="1"/>
        <v>#N/A</v>
      </c>
      <c r="G300" s="4" t="e">
        <f ca="1"/>
        <v>#N/A</v>
      </c>
      <c r="H300" s="4" t="e">
        <f ca="1"/>
        <v>#N/A</v>
      </c>
      <c r="I300" s="7" t="e">
        <f ca="1"/>
        <v>#N/A</v>
      </c>
      <c r="J300" s="4" t="e">
        <f ca="1"/>
        <v>#N/A</v>
      </c>
      <c r="K300" s="4" t="e">
        <f ca="1"/>
        <v>#N/A</v>
      </c>
      <c r="L300" s="4" t="e">
        <f ca="1"/>
        <v>#N/A</v>
      </c>
      <c r="M300" s="4" t="e">
        <f ca="1"/>
        <v>#N/A</v>
      </c>
      <c r="N300" s="4" t="e">
        <f ca="1"/>
        <v>#N/A</v>
      </c>
      <c r="O300" s="4" t="e">
        <f ca="1"/>
        <v>#N/A</v>
      </c>
      <c r="P300" s="3" t="e">
        <f ca="1"/>
        <v>#N/A</v>
      </c>
      <c r="Q300" s="3" t="e">
        <f ca="1"/>
        <v>#N/A</v>
      </c>
    </row>
    <row r="301" spans="4:17" x14ac:dyDescent="0.25">
      <c r="D301" s="3" t="e">
        <f ca="1"/>
        <v>#N/A</v>
      </c>
      <c r="E301" s="4" t="e">
        <f ca="1"/>
        <v>#N/A</v>
      </c>
      <c r="F301" s="4" t="e">
        <f ca="1"/>
        <v>#N/A</v>
      </c>
      <c r="G301" s="4" t="e">
        <f ca="1"/>
        <v>#N/A</v>
      </c>
      <c r="H301" s="4" t="e">
        <f ca="1"/>
        <v>#N/A</v>
      </c>
      <c r="I301" s="7" t="e">
        <f ca="1"/>
        <v>#N/A</v>
      </c>
      <c r="J301" s="4" t="e">
        <f ca="1"/>
        <v>#N/A</v>
      </c>
      <c r="K301" s="4" t="e">
        <f ca="1"/>
        <v>#N/A</v>
      </c>
      <c r="L301" s="4" t="e">
        <f ca="1"/>
        <v>#N/A</v>
      </c>
      <c r="M301" s="4" t="e">
        <f ca="1"/>
        <v>#N/A</v>
      </c>
      <c r="N301" s="4" t="e">
        <f ca="1"/>
        <v>#N/A</v>
      </c>
      <c r="O301" s="4" t="e">
        <f ca="1"/>
        <v>#N/A</v>
      </c>
      <c r="P301" s="3" t="e">
        <f ca="1"/>
        <v>#N/A</v>
      </c>
      <c r="Q301" s="3" t="e">
        <f ca="1"/>
        <v>#N/A</v>
      </c>
    </row>
    <row r="302" spans="4:17" x14ac:dyDescent="0.25">
      <c r="D302" s="3" t="e">
        <f ca="1"/>
        <v>#N/A</v>
      </c>
      <c r="E302" s="4" t="e">
        <f ca="1"/>
        <v>#N/A</v>
      </c>
      <c r="F302" s="4" t="e">
        <f ca="1"/>
        <v>#N/A</v>
      </c>
      <c r="G302" s="4" t="e">
        <f ca="1"/>
        <v>#N/A</v>
      </c>
      <c r="H302" s="4" t="e">
        <f ca="1"/>
        <v>#N/A</v>
      </c>
      <c r="I302" s="7" t="e">
        <f ca="1"/>
        <v>#N/A</v>
      </c>
      <c r="J302" s="4" t="e">
        <f ca="1"/>
        <v>#N/A</v>
      </c>
      <c r="K302" s="4" t="e">
        <f ca="1"/>
        <v>#N/A</v>
      </c>
      <c r="L302" s="4" t="e">
        <f ca="1"/>
        <v>#N/A</v>
      </c>
      <c r="M302" s="4" t="e">
        <f ca="1"/>
        <v>#N/A</v>
      </c>
      <c r="N302" s="4" t="e">
        <f ca="1"/>
        <v>#N/A</v>
      </c>
      <c r="O302" s="4" t="e">
        <f ca="1"/>
        <v>#N/A</v>
      </c>
      <c r="P302" s="3" t="e">
        <f ca="1"/>
        <v>#N/A</v>
      </c>
      <c r="Q302" s="3" t="e">
        <f ca="1"/>
        <v>#N/A</v>
      </c>
    </row>
    <row r="303" spans="4:17" x14ac:dyDescent="0.25">
      <c r="D303" s="3" t="e">
        <f ca="1"/>
        <v>#N/A</v>
      </c>
      <c r="E303" s="4" t="e">
        <f ca="1"/>
        <v>#N/A</v>
      </c>
      <c r="F303" s="4" t="e">
        <f ca="1"/>
        <v>#N/A</v>
      </c>
      <c r="G303" s="4" t="e">
        <f ca="1"/>
        <v>#N/A</v>
      </c>
      <c r="H303" s="4" t="e">
        <f ca="1"/>
        <v>#N/A</v>
      </c>
      <c r="I303" s="7" t="e">
        <f ca="1"/>
        <v>#N/A</v>
      </c>
      <c r="J303" s="4" t="e">
        <f ca="1"/>
        <v>#N/A</v>
      </c>
      <c r="K303" s="4" t="e">
        <f ca="1"/>
        <v>#N/A</v>
      </c>
      <c r="L303" s="4" t="e">
        <f ca="1"/>
        <v>#N/A</v>
      </c>
      <c r="M303" s="4" t="e">
        <f ca="1"/>
        <v>#N/A</v>
      </c>
      <c r="N303" s="4" t="e">
        <f ca="1"/>
        <v>#N/A</v>
      </c>
      <c r="O303" s="4" t="e">
        <f ca="1"/>
        <v>#N/A</v>
      </c>
      <c r="P303" s="3" t="e">
        <f ca="1"/>
        <v>#N/A</v>
      </c>
      <c r="Q303" s="3" t="e">
        <f ca="1"/>
        <v>#N/A</v>
      </c>
    </row>
    <row r="304" spans="4:17" x14ac:dyDescent="0.25">
      <c r="D304" s="3" t="e">
        <f ca="1"/>
        <v>#N/A</v>
      </c>
      <c r="E304" s="4" t="e">
        <f ca="1"/>
        <v>#N/A</v>
      </c>
      <c r="F304" s="4" t="e">
        <f ca="1"/>
        <v>#N/A</v>
      </c>
      <c r="G304" s="4" t="e">
        <f ca="1"/>
        <v>#N/A</v>
      </c>
      <c r="H304" s="4" t="e">
        <f ca="1"/>
        <v>#N/A</v>
      </c>
      <c r="I304" s="7" t="e">
        <f ca="1"/>
        <v>#N/A</v>
      </c>
      <c r="J304" s="4" t="e">
        <f ca="1"/>
        <v>#N/A</v>
      </c>
      <c r="K304" s="4" t="e">
        <f ca="1"/>
        <v>#N/A</v>
      </c>
      <c r="L304" s="4" t="e">
        <f ca="1"/>
        <v>#N/A</v>
      </c>
      <c r="M304" s="4" t="e">
        <f ca="1"/>
        <v>#N/A</v>
      </c>
      <c r="N304" s="4" t="e">
        <f ca="1"/>
        <v>#N/A</v>
      </c>
      <c r="O304" s="4" t="e">
        <f ca="1"/>
        <v>#N/A</v>
      </c>
      <c r="P304" s="3" t="e">
        <f ca="1"/>
        <v>#N/A</v>
      </c>
      <c r="Q304" s="3" t="e">
        <f ca="1"/>
        <v>#N/A</v>
      </c>
    </row>
    <row r="305" spans="4:17" x14ac:dyDescent="0.25">
      <c r="D305" s="3" t="e">
        <f ca="1"/>
        <v>#N/A</v>
      </c>
      <c r="E305" s="4" t="e">
        <f ca="1"/>
        <v>#N/A</v>
      </c>
      <c r="F305" s="4" t="e">
        <f ca="1"/>
        <v>#N/A</v>
      </c>
      <c r="G305" s="4" t="e">
        <f ca="1"/>
        <v>#N/A</v>
      </c>
      <c r="H305" s="4" t="e">
        <f ca="1"/>
        <v>#N/A</v>
      </c>
      <c r="I305" s="7" t="e">
        <f ca="1"/>
        <v>#N/A</v>
      </c>
      <c r="J305" s="4" t="e">
        <f ca="1"/>
        <v>#N/A</v>
      </c>
      <c r="K305" s="4" t="e">
        <f ca="1"/>
        <v>#N/A</v>
      </c>
      <c r="L305" s="4" t="e">
        <f ca="1"/>
        <v>#N/A</v>
      </c>
      <c r="M305" s="4" t="e">
        <f ca="1"/>
        <v>#N/A</v>
      </c>
      <c r="N305" s="4" t="e">
        <f ca="1"/>
        <v>#N/A</v>
      </c>
      <c r="O305" s="4" t="e">
        <f ca="1"/>
        <v>#N/A</v>
      </c>
      <c r="P305" s="3" t="e">
        <f ca="1"/>
        <v>#N/A</v>
      </c>
      <c r="Q305" s="3" t="e">
        <f ca="1"/>
        <v>#N/A</v>
      </c>
    </row>
    <row r="306" spans="4:17" x14ac:dyDescent="0.25">
      <c r="D306" s="3" t="e">
        <f ca="1"/>
        <v>#N/A</v>
      </c>
      <c r="E306" s="4" t="e">
        <f ca="1"/>
        <v>#N/A</v>
      </c>
      <c r="F306" s="4" t="e">
        <f ca="1"/>
        <v>#N/A</v>
      </c>
      <c r="G306" s="4" t="e">
        <f ca="1"/>
        <v>#N/A</v>
      </c>
      <c r="H306" s="4" t="e">
        <f ca="1"/>
        <v>#N/A</v>
      </c>
      <c r="I306" s="7" t="e">
        <f ca="1"/>
        <v>#N/A</v>
      </c>
      <c r="J306" s="4" t="e">
        <f ca="1"/>
        <v>#N/A</v>
      </c>
      <c r="K306" s="4" t="e">
        <f ca="1"/>
        <v>#N/A</v>
      </c>
      <c r="L306" s="4" t="e">
        <f ca="1"/>
        <v>#N/A</v>
      </c>
      <c r="M306" s="4" t="e">
        <f ca="1"/>
        <v>#N/A</v>
      </c>
      <c r="N306" s="4" t="e">
        <f ca="1"/>
        <v>#N/A</v>
      </c>
      <c r="O306" s="4" t="e">
        <f ca="1"/>
        <v>#N/A</v>
      </c>
      <c r="P306" s="3" t="e">
        <f ca="1"/>
        <v>#N/A</v>
      </c>
      <c r="Q306" s="3" t="e">
        <f ca="1"/>
        <v>#N/A</v>
      </c>
    </row>
    <row r="307" spans="4:17" x14ac:dyDescent="0.25">
      <c r="D307" s="3" t="e">
        <f ca="1"/>
        <v>#N/A</v>
      </c>
      <c r="E307" s="4" t="e">
        <f ca="1"/>
        <v>#N/A</v>
      </c>
      <c r="F307" s="4" t="e">
        <f ca="1"/>
        <v>#N/A</v>
      </c>
      <c r="G307" s="4" t="e">
        <f ca="1"/>
        <v>#N/A</v>
      </c>
      <c r="H307" s="4" t="e">
        <f ca="1"/>
        <v>#N/A</v>
      </c>
      <c r="I307" s="7" t="e">
        <f ca="1"/>
        <v>#N/A</v>
      </c>
      <c r="J307" s="4" t="e">
        <f ca="1"/>
        <v>#N/A</v>
      </c>
      <c r="K307" s="4" t="e">
        <f ca="1"/>
        <v>#N/A</v>
      </c>
      <c r="L307" s="4" t="e">
        <f ca="1"/>
        <v>#N/A</v>
      </c>
      <c r="M307" s="4" t="e">
        <f ca="1"/>
        <v>#N/A</v>
      </c>
      <c r="N307" s="4" t="e">
        <f ca="1"/>
        <v>#N/A</v>
      </c>
      <c r="O307" s="4" t="e">
        <f ca="1"/>
        <v>#N/A</v>
      </c>
      <c r="P307" s="3" t="e">
        <f ca="1"/>
        <v>#N/A</v>
      </c>
      <c r="Q307" s="3" t="e">
        <f ca="1"/>
        <v>#N/A</v>
      </c>
    </row>
    <row r="308" spans="4:17" x14ac:dyDescent="0.25">
      <c r="D308" s="3" t="e">
        <f ca="1"/>
        <v>#N/A</v>
      </c>
      <c r="E308" s="4" t="e">
        <f ca="1"/>
        <v>#N/A</v>
      </c>
      <c r="F308" s="4" t="e">
        <f ca="1"/>
        <v>#N/A</v>
      </c>
      <c r="G308" s="4" t="e">
        <f ca="1"/>
        <v>#N/A</v>
      </c>
      <c r="H308" s="4" t="e">
        <f ca="1"/>
        <v>#N/A</v>
      </c>
      <c r="I308" s="7" t="e">
        <f ca="1"/>
        <v>#N/A</v>
      </c>
      <c r="J308" s="4" t="e">
        <f ca="1"/>
        <v>#N/A</v>
      </c>
      <c r="K308" s="4" t="e">
        <f ca="1"/>
        <v>#N/A</v>
      </c>
      <c r="L308" s="4" t="e">
        <f ca="1"/>
        <v>#N/A</v>
      </c>
      <c r="M308" s="4" t="e">
        <f ca="1"/>
        <v>#N/A</v>
      </c>
      <c r="N308" s="4" t="e">
        <f ca="1"/>
        <v>#N/A</v>
      </c>
      <c r="O308" s="4" t="e">
        <f ca="1"/>
        <v>#N/A</v>
      </c>
      <c r="P308" s="3" t="e">
        <f ca="1"/>
        <v>#N/A</v>
      </c>
      <c r="Q308" s="3" t="e">
        <f ca="1"/>
        <v>#N/A</v>
      </c>
    </row>
    <row r="309" spans="4:17" x14ac:dyDescent="0.25">
      <c r="D309" s="3" t="e">
        <f ca="1"/>
        <v>#N/A</v>
      </c>
      <c r="E309" s="4" t="e">
        <f ca="1"/>
        <v>#N/A</v>
      </c>
      <c r="F309" s="4" t="e">
        <f ca="1"/>
        <v>#N/A</v>
      </c>
      <c r="G309" s="4" t="e">
        <f ca="1"/>
        <v>#N/A</v>
      </c>
      <c r="H309" s="4" t="e">
        <f ca="1"/>
        <v>#N/A</v>
      </c>
      <c r="I309" s="7" t="e">
        <f ca="1"/>
        <v>#N/A</v>
      </c>
      <c r="J309" s="4" t="e">
        <f ca="1"/>
        <v>#N/A</v>
      </c>
      <c r="K309" s="4" t="e">
        <f ca="1"/>
        <v>#N/A</v>
      </c>
      <c r="L309" s="4" t="e">
        <f ca="1"/>
        <v>#N/A</v>
      </c>
      <c r="M309" s="4" t="e">
        <f ca="1"/>
        <v>#N/A</v>
      </c>
      <c r="N309" s="4" t="e">
        <f ca="1"/>
        <v>#N/A</v>
      </c>
      <c r="O309" s="4" t="e">
        <f ca="1"/>
        <v>#N/A</v>
      </c>
      <c r="P309" s="3" t="e">
        <f ca="1"/>
        <v>#N/A</v>
      </c>
      <c r="Q309" s="3" t="e">
        <f ca="1"/>
        <v>#N/A</v>
      </c>
    </row>
    <row r="310" spans="4:17" x14ac:dyDescent="0.25">
      <c r="D310" s="3" t="e">
        <f ca="1"/>
        <v>#N/A</v>
      </c>
      <c r="E310" s="4" t="e">
        <f ca="1"/>
        <v>#N/A</v>
      </c>
      <c r="F310" s="4" t="e">
        <f ca="1"/>
        <v>#N/A</v>
      </c>
      <c r="G310" s="4" t="e">
        <f ca="1"/>
        <v>#N/A</v>
      </c>
      <c r="H310" s="4" t="e">
        <f ca="1"/>
        <v>#N/A</v>
      </c>
      <c r="I310" s="7" t="e">
        <f ca="1"/>
        <v>#N/A</v>
      </c>
      <c r="J310" s="4" t="e">
        <f ca="1"/>
        <v>#N/A</v>
      </c>
      <c r="K310" s="4" t="e">
        <f ca="1"/>
        <v>#N/A</v>
      </c>
      <c r="L310" s="4" t="e">
        <f ca="1"/>
        <v>#N/A</v>
      </c>
      <c r="M310" s="4" t="e">
        <f ca="1"/>
        <v>#N/A</v>
      </c>
      <c r="N310" s="4" t="e">
        <f ca="1"/>
        <v>#N/A</v>
      </c>
      <c r="O310" s="4" t="e">
        <f ca="1"/>
        <v>#N/A</v>
      </c>
      <c r="P310" s="3" t="e">
        <f ca="1"/>
        <v>#N/A</v>
      </c>
      <c r="Q310" s="3" t="e">
        <f ca="1"/>
        <v>#N/A</v>
      </c>
    </row>
    <row r="311" spans="4:17" x14ac:dyDescent="0.25">
      <c r="D311" s="3" t="e">
        <f ca="1"/>
        <v>#N/A</v>
      </c>
      <c r="E311" s="4" t="e">
        <f ca="1"/>
        <v>#N/A</v>
      </c>
      <c r="F311" s="4" t="e">
        <f ca="1"/>
        <v>#N/A</v>
      </c>
      <c r="G311" s="4" t="e">
        <f ca="1"/>
        <v>#N/A</v>
      </c>
      <c r="H311" s="4" t="e">
        <f ca="1"/>
        <v>#N/A</v>
      </c>
      <c r="I311" s="7" t="e">
        <f ca="1"/>
        <v>#N/A</v>
      </c>
      <c r="J311" s="4" t="e">
        <f ca="1"/>
        <v>#N/A</v>
      </c>
      <c r="K311" s="4" t="e">
        <f ca="1"/>
        <v>#N/A</v>
      </c>
      <c r="L311" s="4" t="e">
        <f ca="1"/>
        <v>#N/A</v>
      </c>
      <c r="M311" s="4" t="e">
        <f ca="1"/>
        <v>#N/A</v>
      </c>
      <c r="N311" s="4" t="e">
        <f ca="1"/>
        <v>#N/A</v>
      </c>
      <c r="O311" s="4" t="e">
        <f ca="1"/>
        <v>#N/A</v>
      </c>
      <c r="P311" s="3" t="e">
        <f ca="1"/>
        <v>#N/A</v>
      </c>
      <c r="Q311" s="3" t="e">
        <f ca="1"/>
        <v>#N/A</v>
      </c>
    </row>
    <row r="312" spans="4:17" x14ac:dyDescent="0.25">
      <c r="D312" s="3" t="e">
        <f ca="1"/>
        <v>#N/A</v>
      </c>
      <c r="E312" s="4" t="e">
        <f ca="1"/>
        <v>#N/A</v>
      </c>
      <c r="F312" s="4" t="e">
        <f ca="1"/>
        <v>#N/A</v>
      </c>
      <c r="G312" s="4" t="e">
        <f ca="1"/>
        <v>#N/A</v>
      </c>
      <c r="H312" s="4" t="e">
        <f ca="1"/>
        <v>#N/A</v>
      </c>
      <c r="I312" s="7" t="e">
        <f ca="1"/>
        <v>#N/A</v>
      </c>
      <c r="J312" s="4" t="e">
        <f ca="1"/>
        <v>#N/A</v>
      </c>
      <c r="K312" s="4" t="e">
        <f ca="1"/>
        <v>#N/A</v>
      </c>
      <c r="L312" s="4" t="e">
        <f ca="1"/>
        <v>#N/A</v>
      </c>
      <c r="M312" s="4" t="e">
        <f ca="1"/>
        <v>#N/A</v>
      </c>
      <c r="N312" s="4" t="e">
        <f ca="1"/>
        <v>#N/A</v>
      </c>
      <c r="O312" s="4" t="e">
        <f ca="1"/>
        <v>#N/A</v>
      </c>
      <c r="P312" s="3" t="e">
        <f ca="1"/>
        <v>#N/A</v>
      </c>
      <c r="Q312" s="3" t="e">
        <f ca="1"/>
        <v>#N/A</v>
      </c>
    </row>
    <row r="313" spans="4:17" x14ac:dyDescent="0.25">
      <c r="D313" s="3" t="e">
        <f ca="1"/>
        <v>#N/A</v>
      </c>
      <c r="E313" s="4" t="e">
        <f ca="1"/>
        <v>#N/A</v>
      </c>
      <c r="F313" s="4" t="e">
        <f ca="1"/>
        <v>#N/A</v>
      </c>
      <c r="G313" s="4" t="e">
        <f ca="1"/>
        <v>#N/A</v>
      </c>
      <c r="H313" s="4" t="e">
        <f ca="1"/>
        <v>#N/A</v>
      </c>
      <c r="I313" s="7" t="e">
        <f ca="1"/>
        <v>#N/A</v>
      </c>
      <c r="J313" s="4" t="e">
        <f ca="1"/>
        <v>#N/A</v>
      </c>
      <c r="K313" s="4" t="e">
        <f ca="1"/>
        <v>#N/A</v>
      </c>
      <c r="L313" s="4" t="e">
        <f ca="1"/>
        <v>#N/A</v>
      </c>
      <c r="M313" s="4" t="e">
        <f ca="1"/>
        <v>#N/A</v>
      </c>
      <c r="N313" s="4" t="e">
        <f ca="1"/>
        <v>#N/A</v>
      </c>
      <c r="O313" s="4" t="e">
        <f ca="1"/>
        <v>#N/A</v>
      </c>
      <c r="P313" s="3" t="e">
        <f ca="1"/>
        <v>#N/A</v>
      </c>
      <c r="Q313" s="3" t="e">
        <f ca="1"/>
        <v>#N/A</v>
      </c>
    </row>
    <row r="314" spans="4:17" x14ac:dyDescent="0.25">
      <c r="D314" s="3" t="e">
        <f ca="1"/>
        <v>#N/A</v>
      </c>
      <c r="E314" s="4" t="e">
        <f ca="1"/>
        <v>#N/A</v>
      </c>
      <c r="F314" s="4" t="e">
        <f ca="1"/>
        <v>#N/A</v>
      </c>
      <c r="G314" s="4" t="e">
        <f ca="1"/>
        <v>#N/A</v>
      </c>
      <c r="H314" s="4" t="e">
        <f ca="1"/>
        <v>#N/A</v>
      </c>
      <c r="I314" s="7" t="e">
        <f ca="1"/>
        <v>#N/A</v>
      </c>
      <c r="J314" s="4" t="e">
        <f ca="1"/>
        <v>#N/A</v>
      </c>
      <c r="K314" s="4" t="e">
        <f ca="1"/>
        <v>#N/A</v>
      </c>
      <c r="L314" s="4" t="e">
        <f ca="1"/>
        <v>#N/A</v>
      </c>
      <c r="M314" s="4" t="e">
        <f ca="1"/>
        <v>#N/A</v>
      </c>
      <c r="N314" s="4" t="e">
        <f ca="1"/>
        <v>#N/A</v>
      </c>
      <c r="O314" s="4" t="e">
        <f ca="1"/>
        <v>#N/A</v>
      </c>
      <c r="P314" s="3" t="e">
        <f ca="1"/>
        <v>#N/A</v>
      </c>
      <c r="Q314" s="3" t="e">
        <f ca="1"/>
        <v>#N/A</v>
      </c>
    </row>
    <row r="315" spans="4:17" x14ac:dyDescent="0.25">
      <c r="D315" s="3" t="e">
        <f ca="1"/>
        <v>#N/A</v>
      </c>
      <c r="E315" s="4" t="e">
        <f ca="1"/>
        <v>#N/A</v>
      </c>
      <c r="F315" s="4" t="e">
        <f ca="1"/>
        <v>#N/A</v>
      </c>
      <c r="G315" s="4" t="e">
        <f ca="1"/>
        <v>#N/A</v>
      </c>
      <c r="H315" s="4" t="e">
        <f ca="1"/>
        <v>#N/A</v>
      </c>
      <c r="I315" s="7" t="e">
        <f ca="1"/>
        <v>#N/A</v>
      </c>
      <c r="J315" s="4" t="e">
        <f ca="1"/>
        <v>#N/A</v>
      </c>
      <c r="K315" s="4" t="e">
        <f ca="1"/>
        <v>#N/A</v>
      </c>
      <c r="L315" s="4" t="e">
        <f ca="1"/>
        <v>#N/A</v>
      </c>
      <c r="M315" s="4" t="e">
        <f ca="1"/>
        <v>#N/A</v>
      </c>
      <c r="N315" s="4" t="e">
        <f ca="1"/>
        <v>#N/A</v>
      </c>
      <c r="O315" s="4" t="e">
        <f ca="1"/>
        <v>#N/A</v>
      </c>
      <c r="P315" s="3" t="e">
        <f ca="1"/>
        <v>#N/A</v>
      </c>
      <c r="Q315" s="3" t="e">
        <f ca="1"/>
        <v>#N/A</v>
      </c>
    </row>
    <row r="316" spans="4:17" x14ac:dyDescent="0.25">
      <c r="D316" s="3" t="e">
        <f ca="1"/>
        <v>#N/A</v>
      </c>
      <c r="E316" s="4" t="e">
        <f ca="1"/>
        <v>#N/A</v>
      </c>
      <c r="F316" s="4" t="e">
        <f ca="1"/>
        <v>#N/A</v>
      </c>
      <c r="G316" s="4" t="e">
        <f ca="1"/>
        <v>#N/A</v>
      </c>
      <c r="H316" s="4" t="e">
        <f ca="1"/>
        <v>#N/A</v>
      </c>
      <c r="I316" s="7" t="e">
        <f ca="1"/>
        <v>#N/A</v>
      </c>
      <c r="J316" s="4" t="e">
        <f ca="1"/>
        <v>#N/A</v>
      </c>
      <c r="K316" s="4" t="e">
        <f ca="1"/>
        <v>#N/A</v>
      </c>
      <c r="L316" s="4" t="e">
        <f ca="1"/>
        <v>#N/A</v>
      </c>
      <c r="M316" s="4" t="e">
        <f ca="1"/>
        <v>#N/A</v>
      </c>
      <c r="N316" s="4" t="e">
        <f ca="1"/>
        <v>#N/A</v>
      </c>
      <c r="O316" s="4" t="e">
        <f ca="1"/>
        <v>#N/A</v>
      </c>
      <c r="P316" s="3" t="e">
        <f ca="1"/>
        <v>#N/A</v>
      </c>
      <c r="Q316" s="3" t="e">
        <f ca="1"/>
        <v>#N/A</v>
      </c>
    </row>
    <row r="317" spans="4:17" x14ac:dyDescent="0.25">
      <c r="D317" s="3" t="e">
        <f ca="1"/>
        <v>#N/A</v>
      </c>
      <c r="E317" s="4" t="e">
        <f ca="1"/>
        <v>#N/A</v>
      </c>
      <c r="F317" s="4" t="e">
        <f ca="1"/>
        <v>#N/A</v>
      </c>
      <c r="G317" s="4" t="e">
        <f ca="1"/>
        <v>#N/A</v>
      </c>
      <c r="H317" s="4" t="e">
        <f ca="1"/>
        <v>#N/A</v>
      </c>
      <c r="I317" s="7" t="e">
        <f ca="1"/>
        <v>#N/A</v>
      </c>
      <c r="J317" s="4" t="e">
        <f ca="1"/>
        <v>#N/A</v>
      </c>
      <c r="K317" s="4" t="e">
        <f ca="1"/>
        <v>#N/A</v>
      </c>
      <c r="L317" s="4" t="e">
        <f ca="1"/>
        <v>#N/A</v>
      </c>
      <c r="M317" s="4" t="e">
        <f ca="1"/>
        <v>#N/A</v>
      </c>
      <c r="N317" s="4" t="e">
        <f ca="1"/>
        <v>#N/A</v>
      </c>
      <c r="O317" s="4" t="e">
        <f ca="1"/>
        <v>#N/A</v>
      </c>
      <c r="P317" s="3" t="e">
        <f ca="1"/>
        <v>#N/A</v>
      </c>
      <c r="Q317" s="3" t="e">
        <f ca="1"/>
        <v>#N/A</v>
      </c>
    </row>
    <row r="318" spans="4:17" x14ac:dyDescent="0.25">
      <c r="D318" s="3" t="e">
        <f ca="1"/>
        <v>#N/A</v>
      </c>
      <c r="E318" s="4" t="e">
        <f ca="1"/>
        <v>#N/A</v>
      </c>
      <c r="F318" s="4" t="e">
        <f ca="1"/>
        <v>#N/A</v>
      </c>
      <c r="G318" s="4" t="e">
        <f ca="1"/>
        <v>#N/A</v>
      </c>
      <c r="H318" s="4" t="e">
        <f ca="1"/>
        <v>#N/A</v>
      </c>
      <c r="I318" s="7" t="e">
        <f ca="1"/>
        <v>#N/A</v>
      </c>
      <c r="J318" s="4" t="e">
        <f ca="1"/>
        <v>#N/A</v>
      </c>
      <c r="K318" s="4" t="e">
        <f ca="1"/>
        <v>#N/A</v>
      </c>
      <c r="L318" s="4" t="e">
        <f ca="1"/>
        <v>#N/A</v>
      </c>
      <c r="M318" s="4" t="e">
        <f ca="1"/>
        <v>#N/A</v>
      </c>
      <c r="N318" s="4" t="e">
        <f ca="1"/>
        <v>#N/A</v>
      </c>
      <c r="O318" s="4" t="e">
        <f ca="1"/>
        <v>#N/A</v>
      </c>
      <c r="P318" s="3" t="e">
        <f ca="1"/>
        <v>#N/A</v>
      </c>
      <c r="Q318" s="3" t="e">
        <f ca="1"/>
        <v>#N/A</v>
      </c>
    </row>
    <row r="319" spans="4:17" x14ac:dyDescent="0.25">
      <c r="D319" s="3" t="e">
        <f ca="1"/>
        <v>#N/A</v>
      </c>
      <c r="E319" s="4" t="e">
        <f ca="1"/>
        <v>#N/A</v>
      </c>
      <c r="F319" s="4" t="e">
        <f ca="1"/>
        <v>#N/A</v>
      </c>
      <c r="G319" s="4" t="e">
        <f ca="1"/>
        <v>#N/A</v>
      </c>
      <c r="H319" s="4" t="e">
        <f ca="1"/>
        <v>#N/A</v>
      </c>
      <c r="I319" s="7" t="e">
        <f ca="1"/>
        <v>#N/A</v>
      </c>
      <c r="J319" s="4" t="e">
        <f ca="1"/>
        <v>#N/A</v>
      </c>
      <c r="K319" s="4" t="e">
        <f ca="1"/>
        <v>#N/A</v>
      </c>
      <c r="L319" s="4" t="e">
        <f ca="1"/>
        <v>#N/A</v>
      </c>
      <c r="M319" s="4" t="e">
        <f ca="1"/>
        <v>#N/A</v>
      </c>
      <c r="N319" s="4" t="e">
        <f ca="1"/>
        <v>#N/A</v>
      </c>
      <c r="O319" s="4" t="e">
        <f ca="1"/>
        <v>#N/A</v>
      </c>
      <c r="P319" s="3" t="e">
        <f ca="1"/>
        <v>#N/A</v>
      </c>
      <c r="Q319" s="3" t="e">
        <f ca="1"/>
        <v>#N/A</v>
      </c>
    </row>
    <row r="320" spans="4:17" x14ac:dyDescent="0.25">
      <c r="D320" s="3" t="e">
        <f ca="1"/>
        <v>#N/A</v>
      </c>
      <c r="E320" s="4" t="e">
        <f ca="1"/>
        <v>#N/A</v>
      </c>
      <c r="F320" s="4" t="e">
        <f ca="1"/>
        <v>#N/A</v>
      </c>
      <c r="G320" s="4" t="e">
        <f ca="1"/>
        <v>#N/A</v>
      </c>
      <c r="H320" s="4" t="e">
        <f ca="1"/>
        <v>#N/A</v>
      </c>
      <c r="I320" s="7" t="e">
        <f ca="1"/>
        <v>#N/A</v>
      </c>
      <c r="J320" s="4" t="e">
        <f ca="1"/>
        <v>#N/A</v>
      </c>
      <c r="K320" s="4" t="e">
        <f ca="1"/>
        <v>#N/A</v>
      </c>
      <c r="L320" s="4" t="e">
        <f ca="1"/>
        <v>#N/A</v>
      </c>
      <c r="M320" s="4" t="e">
        <f ca="1"/>
        <v>#N/A</v>
      </c>
      <c r="N320" s="4" t="e">
        <f ca="1"/>
        <v>#N/A</v>
      </c>
      <c r="O320" s="4" t="e">
        <f ca="1"/>
        <v>#N/A</v>
      </c>
      <c r="P320" s="3" t="e">
        <f ca="1"/>
        <v>#N/A</v>
      </c>
      <c r="Q320" s="3" t="e">
        <f ca="1"/>
        <v>#N/A</v>
      </c>
    </row>
    <row r="321" spans="4:17" x14ac:dyDescent="0.25">
      <c r="D321" s="3" t="e">
        <f ca="1"/>
        <v>#N/A</v>
      </c>
      <c r="E321" s="4" t="e">
        <f ca="1"/>
        <v>#N/A</v>
      </c>
      <c r="F321" s="4" t="e">
        <f ca="1"/>
        <v>#N/A</v>
      </c>
      <c r="G321" s="4" t="e">
        <f ca="1"/>
        <v>#N/A</v>
      </c>
      <c r="H321" s="4" t="e">
        <f ca="1"/>
        <v>#N/A</v>
      </c>
      <c r="I321" s="7" t="e">
        <f ca="1"/>
        <v>#N/A</v>
      </c>
      <c r="J321" s="4" t="e">
        <f ca="1"/>
        <v>#N/A</v>
      </c>
      <c r="K321" s="4" t="e">
        <f ca="1"/>
        <v>#N/A</v>
      </c>
      <c r="L321" s="4" t="e">
        <f ca="1"/>
        <v>#N/A</v>
      </c>
      <c r="M321" s="4" t="e">
        <f ca="1"/>
        <v>#N/A</v>
      </c>
      <c r="N321" s="4" t="e">
        <f ca="1"/>
        <v>#N/A</v>
      </c>
      <c r="O321" s="4" t="e">
        <f ca="1"/>
        <v>#N/A</v>
      </c>
      <c r="P321" s="3" t="e">
        <f ca="1"/>
        <v>#N/A</v>
      </c>
      <c r="Q321" s="3" t="e">
        <f ca="1"/>
        <v>#N/A</v>
      </c>
    </row>
    <row r="322" spans="4:17" x14ac:dyDescent="0.25">
      <c r="D322" s="3" t="e">
        <f ca="1"/>
        <v>#N/A</v>
      </c>
      <c r="E322" s="4" t="e">
        <f ca="1"/>
        <v>#N/A</v>
      </c>
      <c r="F322" s="4" t="e">
        <f ca="1"/>
        <v>#N/A</v>
      </c>
      <c r="G322" s="4" t="e">
        <f ca="1"/>
        <v>#N/A</v>
      </c>
      <c r="H322" s="4" t="e">
        <f ca="1"/>
        <v>#N/A</v>
      </c>
      <c r="I322" s="7" t="e">
        <f ca="1"/>
        <v>#N/A</v>
      </c>
      <c r="J322" s="4" t="e">
        <f ca="1"/>
        <v>#N/A</v>
      </c>
      <c r="K322" s="4" t="e">
        <f ca="1"/>
        <v>#N/A</v>
      </c>
      <c r="L322" s="4" t="e">
        <f ca="1"/>
        <v>#N/A</v>
      </c>
      <c r="M322" s="4" t="e">
        <f ca="1"/>
        <v>#N/A</v>
      </c>
      <c r="N322" s="4" t="e">
        <f ca="1"/>
        <v>#N/A</v>
      </c>
      <c r="O322" s="4" t="e">
        <f ca="1"/>
        <v>#N/A</v>
      </c>
      <c r="P322" s="3" t="e">
        <f ca="1"/>
        <v>#N/A</v>
      </c>
      <c r="Q322" s="3" t="e">
        <f ca="1"/>
        <v>#N/A</v>
      </c>
    </row>
    <row r="323" spans="4:17" x14ac:dyDescent="0.25">
      <c r="D323" s="3" t="e">
        <f ca="1"/>
        <v>#N/A</v>
      </c>
      <c r="E323" s="4" t="e">
        <f ca="1"/>
        <v>#N/A</v>
      </c>
      <c r="F323" s="4" t="e">
        <f ca="1"/>
        <v>#N/A</v>
      </c>
      <c r="G323" s="4" t="e">
        <f ca="1"/>
        <v>#N/A</v>
      </c>
      <c r="H323" s="4" t="e">
        <f ca="1"/>
        <v>#N/A</v>
      </c>
      <c r="I323" s="7" t="e">
        <f ca="1"/>
        <v>#N/A</v>
      </c>
      <c r="J323" s="4" t="e">
        <f ca="1"/>
        <v>#N/A</v>
      </c>
      <c r="K323" s="4" t="e">
        <f ca="1"/>
        <v>#N/A</v>
      </c>
      <c r="L323" s="4" t="e">
        <f ca="1"/>
        <v>#N/A</v>
      </c>
      <c r="M323" s="4" t="e">
        <f ca="1"/>
        <v>#N/A</v>
      </c>
      <c r="N323" s="4" t="e">
        <f ca="1"/>
        <v>#N/A</v>
      </c>
      <c r="O323" s="4" t="e">
        <f ca="1"/>
        <v>#N/A</v>
      </c>
      <c r="P323" s="3" t="e">
        <f ca="1"/>
        <v>#N/A</v>
      </c>
      <c r="Q323" s="3" t="e">
        <f ca="1"/>
        <v>#N/A</v>
      </c>
    </row>
    <row r="324" spans="4:17" x14ac:dyDescent="0.25">
      <c r="D324" s="3" t="e">
        <f ca="1"/>
        <v>#N/A</v>
      </c>
      <c r="E324" s="4" t="e">
        <f ca="1"/>
        <v>#N/A</v>
      </c>
      <c r="F324" s="4" t="e">
        <f ca="1"/>
        <v>#N/A</v>
      </c>
      <c r="G324" s="4" t="e">
        <f ca="1"/>
        <v>#N/A</v>
      </c>
      <c r="H324" s="4" t="e">
        <f ca="1"/>
        <v>#N/A</v>
      </c>
      <c r="I324" s="7" t="e">
        <f ca="1"/>
        <v>#N/A</v>
      </c>
      <c r="J324" s="4" t="e">
        <f ca="1"/>
        <v>#N/A</v>
      </c>
      <c r="K324" s="4" t="e">
        <f ca="1"/>
        <v>#N/A</v>
      </c>
      <c r="L324" s="4" t="e">
        <f ca="1"/>
        <v>#N/A</v>
      </c>
      <c r="M324" s="4" t="e">
        <f ca="1"/>
        <v>#N/A</v>
      </c>
      <c r="N324" s="4" t="e">
        <f ca="1"/>
        <v>#N/A</v>
      </c>
      <c r="O324" s="4" t="e">
        <f ca="1"/>
        <v>#N/A</v>
      </c>
      <c r="P324" s="3" t="e">
        <f ca="1"/>
        <v>#N/A</v>
      </c>
      <c r="Q324" s="3" t="e">
        <f ca="1"/>
        <v>#N/A</v>
      </c>
    </row>
    <row r="325" spans="4:17" x14ac:dyDescent="0.25">
      <c r="D325" s="3" t="e">
        <f ca="1"/>
        <v>#N/A</v>
      </c>
      <c r="E325" s="4" t="e">
        <f ca="1"/>
        <v>#N/A</v>
      </c>
      <c r="F325" s="4" t="e">
        <f ca="1"/>
        <v>#N/A</v>
      </c>
      <c r="G325" s="4" t="e">
        <f ca="1"/>
        <v>#N/A</v>
      </c>
      <c r="H325" s="4" t="e">
        <f ca="1"/>
        <v>#N/A</v>
      </c>
      <c r="I325" s="7" t="e">
        <f ca="1"/>
        <v>#N/A</v>
      </c>
      <c r="J325" s="4" t="e">
        <f ca="1"/>
        <v>#N/A</v>
      </c>
      <c r="K325" s="4" t="e">
        <f ca="1"/>
        <v>#N/A</v>
      </c>
      <c r="L325" s="4" t="e">
        <f ca="1"/>
        <v>#N/A</v>
      </c>
      <c r="M325" s="4" t="e">
        <f ca="1"/>
        <v>#N/A</v>
      </c>
      <c r="N325" s="4" t="e">
        <f ca="1"/>
        <v>#N/A</v>
      </c>
      <c r="O325" s="4" t="e">
        <f ca="1"/>
        <v>#N/A</v>
      </c>
      <c r="P325" s="3" t="e">
        <f ca="1"/>
        <v>#N/A</v>
      </c>
      <c r="Q325" s="3" t="e">
        <f ca="1"/>
        <v>#N/A</v>
      </c>
    </row>
    <row r="326" spans="4:17" x14ac:dyDescent="0.25">
      <c r="D326" s="3" t="e">
        <f ca="1"/>
        <v>#N/A</v>
      </c>
      <c r="E326" s="4" t="e">
        <f ca="1"/>
        <v>#N/A</v>
      </c>
      <c r="F326" s="4" t="e">
        <f ca="1"/>
        <v>#N/A</v>
      </c>
      <c r="G326" s="4" t="e">
        <f ca="1"/>
        <v>#N/A</v>
      </c>
      <c r="H326" s="4" t="e">
        <f ca="1"/>
        <v>#N/A</v>
      </c>
      <c r="I326" s="7" t="e">
        <f ca="1"/>
        <v>#N/A</v>
      </c>
      <c r="J326" s="4" t="e">
        <f ca="1"/>
        <v>#N/A</v>
      </c>
      <c r="K326" s="4" t="e">
        <f ca="1"/>
        <v>#N/A</v>
      </c>
      <c r="L326" s="4" t="e">
        <f ca="1"/>
        <v>#N/A</v>
      </c>
      <c r="M326" s="4" t="e">
        <f ca="1"/>
        <v>#N/A</v>
      </c>
      <c r="N326" s="4" t="e">
        <f ca="1"/>
        <v>#N/A</v>
      </c>
      <c r="O326" s="4" t="e">
        <f ca="1"/>
        <v>#N/A</v>
      </c>
      <c r="P326" s="3" t="e">
        <f ca="1"/>
        <v>#N/A</v>
      </c>
      <c r="Q326" s="3" t="e">
        <f ca="1"/>
        <v>#N/A</v>
      </c>
    </row>
    <row r="327" spans="4:17" x14ac:dyDescent="0.25">
      <c r="D327" s="3" t="e">
        <f ca="1"/>
        <v>#N/A</v>
      </c>
      <c r="E327" s="4" t="e">
        <f ca="1"/>
        <v>#N/A</v>
      </c>
      <c r="F327" s="4" t="e">
        <f ca="1"/>
        <v>#N/A</v>
      </c>
      <c r="G327" s="4" t="e">
        <f ca="1"/>
        <v>#N/A</v>
      </c>
      <c r="H327" s="4" t="e">
        <f ca="1"/>
        <v>#N/A</v>
      </c>
      <c r="I327" s="7" t="e">
        <f ca="1"/>
        <v>#N/A</v>
      </c>
      <c r="J327" s="4" t="e">
        <f ca="1"/>
        <v>#N/A</v>
      </c>
      <c r="K327" s="4" t="e">
        <f ca="1"/>
        <v>#N/A</v>
      </c>
      <c r="L327" s="4" t="e">
        <f ca="1"/>
        <v>#N/A</v>
      </c>
      <c r="M327" s="4" t="e">
        <f ca="1"/>
        <v>#N/A</v>
      </c>
      <c r="N327" s="4" t="e">
        <f ca="1"/>
        <v>#N/A</v>
      </c>
      <c r="O327" s="4" t="e">
        <f ca="1"/>
        <v>#N/A</v>
      </c>
      <c r="P327" s="3" t="e">
        <f ca="1"/>
        <v>#N/A</v>
      </c>
      <c r="Q327" s="3" t="e">
        <f ca="1"/>
        <v>#N/A</v>
      </c>
    </row>
    <row r="328" spans="4:17" x14ac:dyDescent="0.25">
      <c r="D328" s="3" t="e">
        <f ca="1"/>
        <v>#N/A</v>
      </c>
      <c r="E328" s="4" t="e">
        <f ca="1"/>
        <v>#N/A</v>
      </c>
      <c r="F328" s="4" t="e">
        <f ca="1"/>
        <v>#N/A</v>
      </c>
      <c r="G328" s="4" t="e">
        <f ca="1"/>
        <v>#N/A</v>
      </c>
      <c r="H328" s="4" t="e">
        <f ca="1"/>
        <v>#N/A</v>
      </c>
      <c r="I328" s="7" t="e">
        <f ca="1"/>
        <v>#N/A</v>
      </c>
      <c r="J328" s="4" t="e">
        <f ca="1"/>
        <v>#N/A</v>
      </c>
      <c r="K328" s="4" t="e">
        <f ca="1"/>
        <v>#N/A</v>
      </c>
      <c r="L328" s="4" t="e">
        <f ca="1"/>
        <v>#N/A</v>
      </c>
      <c r="M328" s="4" t="e">
        <f ca="1"/>
        <v>#N/A</v>
      </c>
      <c r="N328" s="4" t="e">
        <f ca="1"/>
        <v>#N/A</v>
      </c>
      <c r="O328" s="4" t="e">
        <f ca="1"/>
        <v>#N/A</v>
      </c>
      <c r="P328" s="3" t="e">
        <f ca="1"/>
        <v>#N/A</v>
      </c>
      <c r="Q328" s="3" t="e">
        <f ca="1"/>
        <v>#N/A</v>
      </c>
    </row>
    <row r="329" spans="4:17" x14ac:dyDescent="0.25">
      <c r="D329" s="3" t="e">
        <f ca="1"/>
        <v>#N/A</v>
      </c>
      <c r="E329" s="4" t="e">
        <f ca="1"/>
        <v>#N/A</v>
      </c>
      <c r="F329" s="4" t="e">
        <f ca="1"/>
        <v>#N/A</v>
      </c>
      <c r="G329" s="4" t="e">
        <f ca="1"/>
        <v>#N/A</v>
      </c>
      <c r="H329" s="4" t="e">
        <f ca="1"/>
        <v>#N/A</v>
      </c>
      <c r="I329" s="7" t="e">
        <f ca="1"/>
        <v>#N/A</v>
      </c>
      <c r="J329" s="4" t="e">
        <f ca="1"/>
        <v>#N/A</v>
      </c>
      <c r="K329" s="4" t="e">
        <f ca="1"/>
        <v>#N/A</v>
      </c>
      <c r="L329" s="4" t="e">
        <f ca="1"/>
        <v>#N/A</v>
      </c>
      <c r="M329" s="4" t="e">
        <f ca="1"/>
        <v>#N/A</v>
      </c>
      <c r="N329" s="4" t="e">
        <f ca="1"/>
        <v>#N/A</v>
      </c>
      <c r="O329" s="4" t="e">
        <f ca="1"/>
        <v>#N/A</v>
      </c>
      <c r="P329" s="3" t="e">
        <f ca="1"/>
        <v>#N/A</v>
      </c>
      <c r="Q329" s="3" t="e">
        <f ca="1"/>
        <v>#N/A</v>
      </c>
    </row>
    <row r="330" spans="4:17" x14ac:dyDescent="0.25">
      <c r="D330" s="3" t="e">
        <f ca="1"/>
        <v>#N/A</v>
      </c>
      <c r="E330" s="4" t="e">
        <f ca="1"/>
        <v>#N/A</v>
      </c>
      <c r="F330" s="4" t="e">
        <f ca="1"/>
        <v>#N/A</v>
      </c>
      <c r="G330" s="4" t="e">
        <f ca="1"/>
        <v>#N/A</v>
      </c>
      <c r="H330" s="4" t="e">
        <f ca="1"/>
        <v>#N/A</v>
      </c>
      <c r="I330" s="7" t="e">
        <f ca="1"/>
        <v>#N/A</v>
      </c>
      <c r="J330" s="4" t="e">
        <f ca="1"/>
        <v>#N/A</v>
      </c>
      <c r="K330" s="4" t="e">
        <f ca="1"/>
        <v>#N/A</v>
      </c>
      <c r="L330" s="4" t="e">
        <f ca="1"/>
        <v>#N/A</v>
      </c>
      <c r="M330" s="4" t="e">
        <f ca="1"/>
        <v>#N/A</v>
      </c>
      <c r="N330" s="4" t="e">
        <f ca="1"/>
        <v>#N/A</v>
      </c>
      <c r="O330" s="4" t="e">
        <f ca="1"/>
        <v>#N/A</v>
      </c>
      <c r="P330" s="3" t="e">
        <f ca="1"/>
        <v>#N/A</v>
      </c>
      <c r="Q330" s="3" t="e">
        <f ca="1"/>
        <v>#N/A</v>
      </c>
    </row>
    <row r="331" spans="4:17" x14ac:dyDescent="0.25">
      <c r="D331" s="3" t="e">
        <f ca="1"/>
        <v>#N/A</v>
      </c>
      <c r="E331" s="4" t="e">
        <f ca="1"/>
        <v>#N/A</v>
      </c>
      <c r="F331" s="4" t="e">
        <f ca="1"/>
        <v>#N/A</v>
      </c>
      <c r="G331" s="4" t="e">
        <f ca="1"/>
        <v>#N/A</v>
      </c>
      <c r="H331" s="4" t="e">
        <f ca="1"/>
        <v>#N/A</v>
      </c>
      <c r="I331" s="7" t="e">
        <f ca="1"/>
        <v>#N/A</v>
      </c>
      <c r="J331" s="4" t="e">
        <f ca="1"/>
        <v>#N/A</v>
      </c>
      <c r="K331" s="4" t="e">
        <f ca="1"/>
        <v>#N/A</v>
      </c>
      <c r="L331" s="4" t="e">
        <f ca="1"/>
        <v>#N/A</v>
      </c>
      <c r="M331" s="4" t="e">
        <f ca="1"/>
        <v>#N/A</v>
      </c>
      <c r="N331" s="4" t="e">
        <f ca="1"/>
        <v>#N/A</v>
      </c>
      <c r="O331" s="4" t="e">
        <f ca="1"/>
        <v>#N/A</v>
      </c>
      <c r="P331" s="3" t="e">
        <f ca="1"/>
        <v>#N/A</v>
      </c>
      <c r="Q331" s="3" t="e">
        <f ca="1"/>
        <v>#N/A</v>
      </c>
    </row>
    <row r="332" spans="4:17" x14ac:dyDescent="0.25">
      <c r="D332" s="3" t="e">
        <f ca="1"/>
        <v>#N/A</v>
      </c>
      <c r="E332" s="4" t="e">
        <f ca="1"/>
        <v>#N/A</v>
      </c>
      <c r="F332" s="4" t="e">
        <f ca="1"/>
        <v>#N/A</v>
      </c>
      <c r="G332" s="4" t="e">
        <f ca="1"/>
        <v>#N/A</v>
      </c>
      <c r="H332" s="4" t="e">
        <f ca="1"/>
        <v>#N/A</v>
      </c>
      <c r="I332" s="7" t="e">
        <f ca="1"/>
        <v>#N/A</v>
      </c>
      <c r="J332" s="4" t="e">
        <f ca="1"/>
        <v>#N/A</v>
      </c>
      <c r="K332" s="4" t="e">
        <f ca="1"/>
        <v>#N/A</v>
      </c>
      <c r="L332" s="4" t="e">
        <f ca="1"/>
        <v>#N/A</v>
      </c>
      <c r="M332" s="4" t="e">
        <f ca="1"/>
        <v>#N/A</v>
      </c>
      <c r="N332" s="4" t="e">
        <f ca="1"/>
        <v>#N/A</v>
      </c>
      <c r="O332" s="4" t="e">
        <f ca="1"/>
        <v>#N/A</v>
      </c>
      <c r="P332" s="3" t="e">
        <f ca="1"/>
        <v>#N/A</v>
      </c>
      <c r="Q332" s="3" t="e">
        <f ca="1"/>
        <v>#N/A</v>
      </c>
    </row>
    <row r="333" spans="4:17" x14ac:dyDescent="0.25">
      <c r="D333" s="3" t="e">
        <f ca="1"/>
        <v>#N/A</v>
      </c>
      <c r="E333" s="4" t="e">
        <f ca="1"/>
        <v>#N/A</v>
      </c>
      <c r="F333" s="4" t="e">
        <f ca="1"/>
        <v>#N/A</v>
      </c>
      <c r="G333" s="4" t="e">
        <f ca="1"/>
        <v>#N/A</v>
      </c>
      <c r="H333" s="4" t="e">
        <f ca="1"/>
        <v>#N/A</v>
      </c>
      <c r="I333" s="7" t="e">
        <f ca="1"/>
        <v>#N/A</v>
      </c>
      <c r="J333" s="4" t="e">
        <f ca="1"/>
        <v>#N/A</v>
      </c>
      <c r="K333" s="4" t="e">
        <f ca="1"/>
        <v>#N/A</v>
      </c>
      <c r="L333" s="4" t="e">
        <f ca="1"/>
        <v>#N/A</v>
      </c>
      <c r="M333" s="4" t="e">
        <f ca="1"/>
        <v>#N/A</v>
      </c>
      <c r="N333" s="4" t="e">
        <f ca="1"/>
        <v>#N/A</v>
      </c>
      <c r="O333" s="4" t="e">
        <f ca="1"/>
        <v>#N/A</v>
      </c>
      <c r="P333" s="3" t="e">
        <f ca="1"/>
        <v>#N/A</v>
      </c>
      <c r="Q333" s="3" t="e">
        <f ca="1"/>
        <v>#N/A</v>
      </c>
    </row>
    <row r="334" spans="4:17" x14ac:dyDescent="0.25">
      <c r="D334" s="3" t="e">
        <f ca="1"/>
        <v>#N/A</v>
      </c>
      <c r="E334" s="4" t="e">
        <f ca="1"/>
        <v>#N/A</v>
      </c>
      <c r="F334" s="4" t="e">
        <f ca="1"/>
        <v>#N/A</v>
      </c>
      <c r="G334" s="4" t="e">
        <f ca="1"/>
        <v>#N/A</v>
      </c>
      <c r="H334" s="4" t="e">
        <f ca="1"/>
        <v>#N/A</v>
      </c>
      <c r="I334" s="7" t="e">
        <f ca="1"/>
        <v>#N/A</v>
      </c>
      <c r="J334" s="4" t="e">
        <f ca="1"/>
        <v>#N/A</v>
      </c>
      <c r="K334" s="4" t="e">
        <f ca="1"/>
        <v>#N/A</v>
      </c>
      <c r="L334" s="4" t="e">
        <f ca="1"/>
        <v>#N/A</v>
      </c>
      <c r="M334" s="4" t="e">
        <f ca="1"/>
        <v>#N/A</v>
      </c>
      <c r="N334" s="4" t="e">
        <f ca="1"/>
        <v>#N/A</v>
      </c>
      <c r="O334" s="4" t="e">
        <f ca="1"/>
        <v>#N/A</v>
      </c>
      <c r="P334" s="3" t="e">
        <f ca="1"/>
        <v>#N/A</v>
      </c>
      <c r="Q334" s="3" t="e">
        <f ca="1"/>
        <v>#N/A</v>
      </c>
    </row>
    <row r="335" spans="4:17" x14ac:dyDescent="0.25">
      <c r="D335" s="3" t="e">
        <f ca="1"/>
        <v>#N/A</v>
      </c>
      <c r="E335" s="4" t="e">
        <f ca="1"/>
        <v>#N/A</v>
      </c>
      <c r="F335" s="4" t="e">
        <f ca="1"/>
        <v>#N/A</v>
      </c>
      <c r="G335" s="4" t="e">
        <f ca="1"/>
        <v>#N/A</v>
      </c>
      <c r="H335" s="4" t="e">
        <f ca="1"/>
        <v>#N/A</v>
      </c>
      <c r="I335" s="7" t="e">
        <f ca="1"/>
        <v>#N/A</v>
      </c>
      <c r="J335" s="4" t="e">
        <f ca="1"/>
        <v>#N/A</v>
      </c>
      <c r="K335" s="4" t="e">
        <f ca="1"/>
        <v>#N/A</v>
      </c>
      <c r="L335" s="4" t="e">
        <f ca="1"/>
        <v>#N/A</v>
      </c>
      <c r="M335" s="4" t="e">
        <f ca="1"/>
        <v>#N/A</v>
      </c>
      <c r="N335" s="4" t="e">
        <f ca="1"/>
        <v>#N/A</v>
      </c>
      <c r="O335" s="4" t="e">
        <f ca="1"/>
        <v>#N/A</v>
      </c>
      <c r="P335" s="3" t="e">
        <f ca="1"/>
        <v>#N/A</v>
      </c>
      <c r="Q335" s="3" t="e">
        <f ca="1"/>
        <v>#N/A</v>
      </c>
    </row>
    <row r="336" spans="4:17" x14ac:dyDescent="0.25">
      <c r="D336" s="3" t="e">
        <f ca="1"/>
        <v>#N/A</v>
      </c>
      <c r="E336" s="4" t="e">
        <f ca="1"/>
        <v>#N/A</v>
      </c>
      <c r="F336" s="4" t="e">
        <f ca="1"/>
        <v>#N/A</v>
      </c>
      <c r="G336" s="4" t="e">
        <f ca="1"/>
        <v>#N/A</v>
      </c>
      <c r="H336" s="4" t="e">
        <f ca="1"/>
        <v>#N/A</v>
      </c>
      <c r="I336" s="7" t="e">
        <f ca="1"/>
        <v>#N/A</v>
      </c>
      <c r="J336" s="4" t="e">
        <f ca="1"/>
        <v>#N/A</v>
      </c>
      <c r="K336" s="4" t="e">
        <f ca="1"/>
        <v>#N/A</v>
      </c>
      <c r="L336" s="4" t="e">
        <f ca="1"/>
        <v>#N/A</v>
      </c>
      <c r="M336" s="4" t="e">
        <f ca="1"/>
        <v>#N/A</v>
      </c>
      <c r="N336" s="4" t="e">
        <f ca="1"/>
        <v>#N/A</v>
      </c>
      <c r="O336" s="4" t="e">
        <f ca="1"/>
        <v>#N/A</v>
      </c>
      <c r="P336" s="3" t="e">
        <f ca="1"/>
        <v>#N/A</v>
      </c>
      <c r="Q336" s="3" t="e">
        <f ca="1"/>
        <v>#N/A</v>
      </c>
    </row>
    <row r="337" spans="4:17" x14ac:dyDescent="0.25">
      <c r="D337" s="3" t="e">
        <f ca="1"/>
        <v>#N/A</v>
      </c>
      <c r="E337" s="4" t="e">
        <f ca="1"/>
        <v>#N/A</v>
      </c>
      <c r="F337" s="4" t="e">
        <f ca="1"/>
        <v>#N/A</v>
      </c>
      <c r="G337" s="4" t="e">
        <f ca="1"/>
        <v>#N/A</v>
      </c>
      <c r="H337" s="4" t="e">
        <f ca="1"/>
        <v>#N/A</v>
      </c>
      <c r="I337" s="7" t="e">
        <f ca="1"/>
        <v>#N/A</v>
      </c>
      <c r="J337" s="4" t="e">
        <f ca="1"/>
        <v>#N/A</v>
      </c>
      <c r="K337" s="4" t="e">
        <f ca="1"/>
        <v>#N/A</v>
      </c>
      <c r="L337" s="4" t="e">
        <f ca="1"/>
        <v>#N/A</v>
      </c>
      <c r="M337" s="4" t="e">
        <f ca="1"/>
        <v>#N/A</v>
      </c>
      <c r="N337" s="4" t="e">
        <f ca="1"/>
        <v>#N/A</v>
      </c>
      <c r="O337" s="4" t="e">
        <f ca="1"/>
        <v>#N/A</v>
      </c>
      <c r="P337" s="3" t="e">
        <f ca="1"/>
        <v>#N/A</v>
      </c>
      <c r="Q337" s="3" t="e">
        <f ca="1"/>
        <v>#N/A</v>
      </c>
    </row>
    <row r="338" spans="4:17" x14ac:dyDescent="0.25">
      <c r="D338" s="3" t="e">
        <f ca="1"/>
        <v>#N/A</v>
      </c>
      <c r="E338" s="4" t="e">
        <f ca="1"/>
        <v>#N/A</v>
      </c>
      <c r="F338" s="4" t="e">
        <f ca="1"/>
        <v>#N/A</v>
      </c>
      <c r="G338" s="4" t="e">
        <f ca="1"/>
        <v>#N/A</v>
      </c>
      <c r="H338" s="4" t="e">
        <f ca="1"/>
        <v>#N/A</v>
      </c>
      <c r="I338" s="7" t="e">
        <f ca="1"/>
        <v>#N/A</v>
      </c>
      <c r="J338" s="4" t="e">
        <f ca="1"/>
        <v>#N/A</v>
      </c>
      <c r="K338" s="4" t="e">
        <f ca="1"/>
        <v>#N/A</v>
      </c>
      <c r="L338" s="4" t="e">
        <f ca="1"/>
        <v>#N/A</v>
      </c>
      <c r="M338" s="4" t="e">
        <f ca="1"/>
        <v>#N/A</v>
      </c>
      <c r="N338" s="4" t="e">
        <f ca="1"/>
        <v>#N/A</v>
      </c>
      <c r="O338" s="4" t="e">
        <f ca="1"/>
        <v>#N/A</v>
      </c>
      <c r="P338" s="3" t="e">
        <f ca="1"/>
        <v>#N/A</v>
      </c>
      <c r="Q338" s="3" t="e">
        <f ca="1"/>
        <v>#N/A</v>
      </c>
    </row>
    <row r="339" spans="4:17" x14ac:dyDescent="0.25">
      <c r="D339" s="3" t="e">
        <f ca="1"/>
        <v>#N/A</v>
      </c>
      <c r="E339" s="4" t="e">
        <f ca="1"/>
        <v>#N/A</v>
      </c>
      <c r="F339" s="4" t="e">
        <f ca="1"/>
        <v>#N/A</v>
      </c>
      <c r="G339" s="4" t="e">
        <f ca="1"/>
        <v>#N/A</v>
      </c>
      <c r="H339" s="4" t="e">
        <f ca="1"/>
        <v>#N/A</v>
      </c>
      <c r="I339" s="7" t="e">
        <f ca="1"/>
        <v>#N/A</v>
      </c>
      <c r="J339" s="4" t="e">
        <f ca="1"/>
        <v>#N/A</v>
      </c>
      <c r="K339" s="4" t="e">
        <f ca="1"/>
        <v>#N/A</v>
      </c>
      <c r="L339" s="4" t="e">
        <f ca="1"/>
        <v>#N/A</v>
      </c>
      <c r="M339" s="4" t="e">
        <f ca="1"/>
        <v>#N/A</v>
      </c>
      <c r="N339" s="4" t="e">
        <f ca="1"/>
        <v>#N/A</v>
      </c>
      <c r="O339" s="4" t="e">
        <f ca="1"/>
        <v>#N/A</v>
      </c>
      <c r="P339" s="3" t="e">
        <f ca="1"/>
        <v>#N/A</v>
      </c>
      <c r="Q339" s="3" t="e">
        <f ca="1"/>
        <v>#N/A</v>
      </c>
    </row>
    <row r="340" spans="4:17" x14ac:dyDescent="0.25">
      <c r="D340" s="3" t="e">
        <f ca="1"/>
        <v>#N/A</v>
      </c>
      <c r="E340" s="4" t="e">
        <f ca="1"/>
        <v>#N/A</v>
      </c>
      <c r="F340" s="4" t="e">
        <f ca="1"/>
        <v>#N/A</v>
      </c>
      <c r="G340" s="4" t="e">
        <f ca="1"/>
        <v>#N/A</v>
      </c>
      <c r="H340" s="4" t="e">
        <f ca="1"/>
        <v>#N/A</v>
      </c>
      <c r="I340" s="7" t="e">
        <f ca="1"/>
        <v>#N/A</v>
      </c>
      <c r="J340" s="4" t="e">
        <f ca="1"/>
        <v>#N/A</v>
      </c>
      <c r="K340" s="4" t="e">
        <f ca="1"/>
        <v>#N/A</v>
      </c>
      <c r="L340" s="4" t="e">
        <f ca="1"/>
        <v>#N/A</v>
      </c>
      <c r="M340" s="4" t="e">
        <f ca="1"/>
        <v>#N/A</v>
      </c>
      <c r="N340" s="4" t="e">
        <f ca="1"/>
        <v>#N/A</v>
      </c>
      <c r="O340" s="4" t="e">
        <f ca="1"/>
        <v>#N/A</v>
      </c>
      <c r="P340" s="3" t="e">
        <f ca="1"/>
        <v>#N/A</v>
      </c>
      <c r="Q340" s="3" t="e">
        <f ca="1"/>
        <v>#N/A</v>
      </c>
    </row>
    <row r="341" spans="4:17" x14ac:dyDescent="0.25">
      <c r="D341" s="3" t="e">
        <f ca="1"/>
        <v>#N/A</v>
      </c>
      <c r="E341" s="4" t="e">
        <f ca="1"/>
        <v>#N/A</v>
      </c>
      <c r="F341" s="4" t="e">
        <f ca="1"/>
        <v>#N/A</v>
      </c>
      <c r="G341" s="4" t="e">
        <f ca="1"/>
        <v>#N/A</v>
      </c>
      <c r="H341" s="4" t="e">
        <f ca="1"/>
        <v>#N/A</v>
      </c>
      <c r="I341" s="7" t="e">
        <f ca="1"/>
        <v>#N/A</v>
      </c>
      <c r="J341" s="4" t="e">
        <f ca="1"/>
        <v>#N/A</v>
      </c>
      <c r="K341" s="4" t="e">
        <f ca="1"/>
        <v>#N/A</v>
      </c>
      <c r="L341" s="4" t="e">
        <f ca="1"/>
        <v>#N/A</v>
      </c>
      <c r="M341" s="4" t="e">
        <f ca="1"/>
        <v>#N/A</v>
      </c>
      <c r="N341" s="4" t="e">
        <f ca="1"/>
        <v>#N/A</v>
      </c>
      <c r="O341" s="4" t="e">
        <f ca="1"/>
        <v>#N/A</v>
      </c>
      <c r="P341" s="3" t="e">
        <f ca="1"/>
        <v>#N/A</v>
      </c>
      <c r="Q341" s="3" t="e">
        <f ca="1"/>
        <v>#N/A</v>
      </c>
    </row>
    <row r="342" spans="4:17" x14ac:dyDescent="0.25">
      <c r="D342" s="3" t="e">
        <f ca="1"/>
        <v>#N/A</v>
      </c>
      <c r="E342" s="4" t="e">
        <f ca="1"/>
        <v>#N/A</v>
      </c>
      <c r="F342" s="4" t="e">
        <f ca="1"/>
        <v>#N/A</v>
      </c>
      <c r="G342" s="4" t="e">
        <f ca="1"/>
        <v>#N/A</v>
      </c>
      <c r="H342" s="4" t="e">
        <f ca="1"/>
        <v>#N/A</v>
      </c>
      <c r="I342" s="7" t="e">
        <f ca="1"/>
        <v>#N/A</v>
      </c>
      <c r="J342" s="4" t="e">
        <f ca="1"/>
        <v>#N/A</v>
      </c>
      <c r="K342" s="4" t="e">
        <f ca="1"/>
        <v>#N/A</v>
      </c>
      <c r="L342" s="4" t="e">
        <f ca="1"/>
        <v>#N/A</v>
      </c>
      <c r="M342" s="4" t="e">
        <f ca="1"/>
        <v>#N/A</v>
      </c>
      <c r="N342" s="4" t="e">
        <f ca="1"/>
        <v>#N/A</v>
      </c>
      <c r="O342" s="4" t="e">
        <f ca="1"/>
        <v>#N/A</v>
      </c>
      <c r="P342" s="3" t="e">
        <f ca="1"/>
        <v>#N/A</v>
      </c>
      <c r="Q342" s="3" t="e">
        <f ca="1"/>
        <v>#N/A</v>
      </c>
    </row>
    <row r="343" spans="4:17" x14ac:dyDescent="0.25">
      <c r="D343" s="3" t="e">
        <f ca="1"/>
        <v>#N/A</v>
      </c>
      <c r="E343" s="4" t="e">
        <f ca="1"/>
        <v>#N/A</v>
      </c>
      <c r="F343" s="4" t="e">
        <f ca="1"/>
        <v>#N/A</v>
      </c>
      <c r="G343" s="4" t="e">
        <f ca="1"/>
        <v>#N/A</v>
      </c>
      <c r="H343" s="4" t="e">
        <f ca="1"/>
        <v>#N/A</v>
      </c>
      <c r="I343" s="7" t="e">
        <f ca="1"/>
        <v>#N/A</v>
      </c>
      <c r="J343" s="4" t="e">
        <f ca="1"/>
        <v>#N/A</v>
      </c>
      <c r="K343" s="4" t="e">
        <f ca="1"/>
        <v>#N/A</v>
      </c>
      <c r="L343" s="4" t="e">
        <f ca="1"/>
        <v>#N/A</v>
      </c>
      <c r="M343" s="4" t="e">
        <f ca="1"/>
        <v>#N/A</v>
      </c>
      <c r="N343" s="4" t="e">
        <f ca="1"/>
        <v>#N/A</v>
      </c>
      <c r="O343" s="4" t="e">
        <f ca="1"/>
        <v>#N/A</v>
      </c>
      <c r="P343" s="3" t="e">
        <f ca="1"/>
        <v>#N/A</v>
      </c>
      <c r="Q343" s="3" t="e">
        <f ca="1"/>
        <v>#N/A</v>
      </c>
    </row>
    <row r="344" spans="4:17" x14ac:dyDescent="0.25">
      <c r="D344" s="3" t="e">
        <f ca="1"/>
        <v>#N/A</v>
      </c>
      <c r="E344" s="4" t="e">
        <f ca="1"/>
        <v>#N/A</v>
      </c>
      <c r="F344" s="4" t="e">
        <f ca="1"/>
        <v>#N/A</v>
      </c>
      <c r="G344" s="4" t="e">
        <f ca="1"/>
        <v>#N/A</v>
      </c>
      <c r="H344" s="4" t="e">
        <f ca="1"/>
        <v>#N/A</v>
      </c>
      <c r="I344" s="7" t="e">
        <f ca="1"/>
        <v>#N/A</v>
      </c>
      <c r="J344" s="4" t="e">
        <f ca="1"/>
        <v>#N/A</v>
      </c>
      <c r="K344" s="4" t="e">
        <f ca="1"/>
        <v>#N/A</v>
      </c>
      <c r="L344" s="4" t="e">
        <f ca="1"/>
        <v>#N/A</v>
      </c>
      <c r="M344" s="4" t="e">
        <f ca="1"/>
        <v>#N/A</v>
      </c>
      <c r="N344" s="4" t="e">
        <f ca="1"/>
        <v>#N/A</v>
      </c>
      <c r="O344" s="4" t="e">
        <f ca="1"/>
        <v>#N/A</v>
      </c>
      <c r="P344" s="3" t="e">
        <f ca="1"/>
        <v>#N/A</v>
      </c>
      <c r="Q344" s="3" t="e">
        <f ca="1"/>
        <v>#N/A</v>
      </c>
    </row>
    <row r="345" spans="4:17" x14ac:dyDescent="0.25">
      <c r="D345" s="3" t="e">
        <f ca="1"/>
        <v>#N/A</v>
      </c>
      <c r="E345" s="4" t="e">
        <f ca="1"/>
        <v>#N/A</v>
      </c>
      <c r="F345" s="4" t="e">
        <f ca="1"/>
        <v>#N/A</v>
      </c>
      <c r="G345" s="4" t="e">
        <f ca="1"/>
        <v>#N/A</v>
      </c>
      <c r="H345" s="4" t="e">
        <f ca="1"/>
        <v>#N/A</v>
      </c>
      <c r="I345" s="7" t="e">
        <f ca="1"/>
        <v>#N/A</v>
      </c>
      <c r="J345" s="4" t="e">
        <f ca="1"/>
        <v>#N/A</v>
      </c>
      <c r="K345" s="4" t="e">
        <f ca="1"/>
        <v>#N/A</v>
      </c>
      <c r="L345" s="4" t="e">
        <f ca="1"/>
        <v>#N/A</v>
      </c>
      <c r="M345" s="4" t="e">
        <f ca="1"/>
        <v>#N/A</v>
      </c>
      <c r="N345" s="4" t="e">
        <f ca="1"/>
        <v>#N/A</v>
      </c>
      <c r="O345" s="4" t="e">
        <f ca="1"/>
        <v>#N/A</v>
      </c>
      <c r="P345" s="3" t="e">
        <f ca="1"/>
        <v>#N/A</v>
      </c>
      <c r="Q345" s="3" t="e">
        <f ca="1"/>
        <v>#N/A</v>
      </c>
    </row>
    <row r="346" spans="4:17" x14ac:dyDescent="0.25">
      <c r="D346" s="3" t="e">
        <f ca="1"/>
        <v>#N/A</v>
      </c>
      <c r="E346" s="4" t="e">
        <f ca="1"/>
        <v>#N/A</v>
      </c>
      <c r="F346" s="4" t="e">
        <f ca="1"/>
        <v>#N/A</v>
      </c>
      <c r="G346" s="4" t="e">
        <f ca="1"/>
        <v>#N/A</v>
      </c>
      <c r="H346" s="4" t="e">
        <f ca="1"/>
        <v>#N/A</v>
      </c>
      <c r="I346" s="7" t="e">
        <f ca="1"/>
        <v>#N/A</v>
      </c>
      <c r="J346" s="4" t="e">
        <f ca="1"/>
        <v>#N/A</v>
      </c>
      <c r="K346" s="4" t="e">
        <f ca="1"/>
        <v>#N/A</v>
      </c>
      <c r="L346" s="4" t="e">
        <f ca="1"/>
        <v>#N/A</v>
      </c>
      <c r="M346" s="4" t="e">
        <f ca="1"/>
        <v>#N/A</v>
      </c>
      <c r="N346" s="4" t="e">
        <f ca="1"/>
        <v>#N/A</v>
      </c>
      <c r="O346" s="4" t="e">
        <f ca="1"/>
        <v>#N/A</v>
      </c>
      <c r="P346" s="3" t="e">
        <f ca="1"/>
        <v>#N/A</v>
      </c>
      <c r="Q346" s="3" t="e">
        <f ca="1"/>
        <v>#N/A</v>
      </c>
    </row>
    <row r="347" spans="4:17" x14ac:dyDescent="0.25">
      <c r="D347" s="3" t="e">
        <f ca="1"/>
        <v>#N/A</v>
      </c>
      <c r="E347" s="4" t="e">
        <f ca="1"/>
        <v>#N/A</v>
      </c>
      <c r="F347" s="4" t="e">
        <f ca="1"/>
        <v>#N/A</v>
      </c>
      <c r="G347" s="4" t="e">
        <f ca="1"/>
        <v>#N/A</v>
      </c>
      <c r="H347" s="4" t="e">
        <f ca="1"/>
        <v>#N/A</v>
      </c>
      <c r="I347" s="7" t="e">
        <f ca="1"/>
        <v>#N/A</v>
      </c>
      <c r="J347" s="4" t="e">
        <f ca="1"/>
        <v>#N/A</v>
      </c>
      <c r="K347" s="4" t="e">
        <f ca="1"/>
        <v>#N/A</v>
      </c>
      <c r="L347" s="4" t="e">
        <f ca="1"/>
        <v>#N/A</v>
      </c>
      <c r="M347" s="4" t="e">
        <f ca="1"/>
        <v>#N/A</v>
      </c>
      <c r="N347" s="4" t="e">
        <f ca="1"/>
        <v>#N/A</v>
      </c>
      <c r="O347" s="4" t="e">
        <f ca="1"/>
        <v>#N/A</v>
      </c>
      <c r="P347" s="3" t="e">
        <f ca="1"/>
        <v>#N/A</v>
      </c>
      <c r="Q347" s="3" t="e">
        <f ca="1"/>
        <v>#N/A</v>
      </c>
    </row>
    <row r="348" spans="4:17" x14ac:dyDescent="0.25">
      <c r="D348" s="3" t="e">
        <f ca="1"/>
        <v>#N/A</v>
      </c>
      <c r="E348" s="4" t="e">
        <f ca="1"/>
        <v>#N/A</v>
      </c>
      <c r="F348" s="4" t="e">
        <f ca="1"/>
        <v>#N/A</v>
      </c>
      <c r="G348" s="4" t="e">
        <f ca="1"/>
        <v>#N/A</v>
      </c>
      <c r="H348" s="4" t="e">
        <f ca="1"/>
        <v>#N/A</v>
      </c>
      <c r="I348" s="7" t="e">
        <f ca="1"/>
        <v>#N/A</v>
      </c>
      <c r="J348" s="4" t="e">
        <f ca="1"/>
        <v>#N/A</v>
      </c>
      <c r="K348" s="4" t="e">
        <f ca="1"/>
        <v>#N/A</v>
      </c>
      <c r="L348" s="4" t="e">
        <f ca="1"/>
        <v>#N/A</v>
      </c>
      <c r="M348" s="4" t="e">
        <f ca="1"/>
        <v>#N/A</v>
      </c>
      <c r="N348" s="4" t="e">
        <f ca="1"/>
        <v>#N/A</v>
      </c>
      <c r="O348" s="4" t="e">
        <f ca="1"/>
        <v>#N/A</v>
      </c>
      <c r="P348" s="3" t="e">
        <f ca="1"/>
        <v>#N/A</v>
      </c>
      <c r="Q348" s="3" t="e">
        <f ca="1"/>
        <v>#N/A</v>
      </c>
    </row>
    <row r="349" spans="4:17" x14ac:dyDescent="0.25">
      <c r="D349" s="3" t="e">
        <f ca="1"/>
        <v>#N/A</v>
      </c>
      <c r="E349" s="4" t="e">
        <f ca="1"/>
        <v>#N/A</v>
      </c>
      <c r="F349" s="4" t="e">
        <f ca="1"/>
        <v>#N/A</v>
      </c>
      <c r="G349" s="4" t="e">
        <f ca="1"/>
        <v>#N/A</v>
      </c>
      <c r="H349" s="4" t="e">
        <f ca="1"/>
        <v>#N/A</v>
      </c>
      <c r="I349" s="7" t="e">
        <f ca="1"/>
        <v>#N/A</v>
      </c>
      <c r="J349" s="4" t="e">
        <f ca="1"/>
        <v>#N/A</v>
      </c>
      <c r="K349" s="4" t="e">
        <f ca="1"/>
        <v>#N/A</v>
      </c>
      <c r="L349" s="4" t="e">
        <f ca="1"/>
        <v>#N/A</v>
      </c>
      <c r="M349" s="4" t="e">
        <f ca="1"/>
        <v>#N/A</v>
      </c>
      <c r="N349" s="4" t="e">
        <f ca="1"/>
        <v>#N/A</v>
      </c>
      <c r="O349" s="4" t="e">
        <f ca="1"/>
        <v>#N/A</v>
      </c>
      <c r="P349" s="3" t="e">
        <f ca="1"/>
        <v>#N/A</v>
      </c>
      <c r="Q349" s="3" t="e">
        <f ca="1"/>
        <v>#N/A</v>
      </c>
    </row>
    <row r="350" spans="4:17" x14ac:dyDescent="0.25">
      <c r="D350" s="3" t="e">
        <f ca="1"/>
        <v>#N/A</v>
      </c>
      <c r="E350" s="4" t="e">
        <f ca="1"/>
        <v>#N/A</v>
      </c>
      <c r="F350" s="4" t="e">
        <f ca="1"/>
        <v>#N/A</v>
      </c>
      <c r="G350" s="4" t="e">
        <f ca="1"/>
        <v>#N/A</v>
      </c>
      <c r="H350" s="4" t="e">
        <f ca="1"/>
        <v>#N/A</v>
      </c>
      <c r="I350" s="7" t="e">
        <f ca="1"/>
        <v>#N/A</v>
      </c>
      <c r="J350" s="4" t="e">
        <f ca="1"/>
        <v>#N/A</v>
      </c>
      <c r="K350" s="4" t="e">
        <f ca="1"/>
        <v>#N/A</v>
      </c>
      <c r="L350" s="4" t="e">
        <f ca="1"/>
        <v>#N/A</v>
      </c>
      <c r="M350" s="4" t="e">
        <f ca="1"/>
        <v>#N/A</v>
      </c>
      <c r="N350" s="4" t="e">
        <f ca="1"/>
        <v>#N/A</v>
      </c>
      <c r="O350" s="4" t="e">
        <f ca="1"/>
        <v>#N/A</v>
      </c>
      <c r="P350" s="3" t="e">
        <f ca="1"/>
        <v>#N/A</v>
      </c>
      <c r="Q350" s="3" t="e">
        <f ca="1"/>
        <v>#N/A</v>
      </c>
    </row>
    <row r="351" spans="4:17" x14ac:dyDescent="0.25">
      <c r="D351" s="3" t="e">
        <f ca="1"/>
        <v>#N/A</v>
      </c>
      <c r="E351" s="4" t="e">
        <f ca="1"/>
        <v>#N/A</v>
      </c>
      <c r="F351" s="4" t="e">
        <f ca="1"/>
        <v>#N/A</v>
      </c>
      <c r="G351" s="4" t="e">
        <f ca="1"/>
        <v>#N/A</v>
      </c>
      <c r="H351" s="4" t="e">
        <f ca="1"/>
        <v>#N/A</v>
      </c>
      <c r="I351" s="7" t="e">
        <f ca="1"/>
        <v>#N/A</v>
      </c>
      <c r="J351" s="4" t="e">
        <f ca="1"/>
        <v>#N/A</v>
      </c>
      <c r="K351" s="4" t="e">
        <f ca="1"/>
        <v>#N/A</v>
      </c>
      <c r="L351" s="4" t="e">
        <f ca="1"/>
        <v>#N/A</v>
      </c>
      <c r="M351" s="4" t="e">
        <f ca="1"/>
        <v>#N/A</v>
      </c>
      <c r="N351" s="4" t="e">
        <f ca="1"/>
        <v>#N/A</v>
      </c>
      <c r="O351" s="4" t="e">
        <f ca="1"/>
        <v>#N/A</v>
      </c>
      <c r="P351" s="3" t="e">
        <f ca="1"/>
        <v>#N/A</v>
      </c>
      <c r="Q351" s="3" t="e">
        <f ca="1"/>
        <v>#N/A</v>
      </c>
    </row>
    <row r="352" spans="4:17" x14ac:dyDescent="0.25">
      <c r="D352" s="3" t="e">
        <f ca="1"/>
        <v>#N/A</v>
      </c>
      <c r="E352" s="4" t="e">
        <f ca="1"/>
        <v>#N/A</v>
      </c>
      <c r="F352" s="4" t="e">
        <f ca="1"/>
        <v>#N/A</v>
      </c>
      <c r="G352" s="4" t="e">
        <f ca="1"/>
        <v>#N/A</v>
      </c>
      <c r="H352" s="4" t="e">
        <f ca="1"/>
        <v>#N/A</v>
      </c>
      <c r="I352" s="7" t="e">
        <f ca="1"/>
        <v>#N/A</v>
      </c>
      <c r="J352" s="4" t="e">
        <f ca="1"/>
        <v>#N/A</v>
      </c>
      <c r="K352" s="4" t="e">
        <f ca="1"/>
        <v>#N/A</v>
      </c>
      <c r="L352" s="4" t="e">
        <f ca="1"/>
        <v>#N/A</v>
      </c>
      <c r="M352" s="4" t="e">
        <f ca="1"/>
        <v>#N/A</v>
      </c>
      <c r="N352" s="4" t="e">
        <f ca="1"/>
        <v>#N/A</v>
      </c>
      <c r="O352" s="4" t="e">
        <f ca="1"/>
        <v>#N/A</v>
      </c>
      <c r="P352" s="3" t="e">
        <f ca="1"/>
        <v>#N/A</v>
      </c>
      <c r="Q352" s="3" t="e">
        <f ca="1"/>
        <v>#N/A</v>
      </c>
    </row>
    <row r="353" spans="4:17" x14ac:dyDescent="0.25">
      <c r="D353" s="3" t="e">
        <f ca="1"/>
        <v>#N/A</v>
      </c>
      <c r="E353" s="4" t="e">
        <f ca="1"/>
        <v>#N/A</v>
      </c>
      <c r="F353" s="4" t="e">
        <f ca="1"/>
        <v>#N/A</v>
      </c>
      <c r="G353" s="4" t="e">
        <f ca="1"/>
        <v>#N/A</v>
      </c>
      <c r="H353" s="4" t="e">
        <f ca="1"/>
        <v>#N/A</v>
      </c>
      <c r="I353" s="7" t="e">
        <f ca="1"/>
        <v>#N/A</v>
      </c>
      <c r="J353" s="4" t="e">
        <f ca="1"/>
        <v>#N/A</v>
      </c>
      <c r="K353" s="4" t="e">
        <f ca="1"/>
        <v>#N/A</v>
      </c>
      <c r="L353" s="4" t="e">
        <f ca="1"/>
        <v>#N/A</v>
      </c>
      <c r="M353" s="4" t="e">
        <f ca="1"/>
        <v>#N/A</v>
      </c>
      <c r="N353" s="4" t="e">
        <f ca="1"/>
        <v>#N/A</v>
      </c>
      <c r="O353" s="4" t="e">
        <f ca="1"/>
        <v>#N/A</v>
      </c>
      <c r="P353" s="3" t="e">
        <f ca="1"/>
        <v>#N/A</v>
      </c>
      <c r="Q353" s="3" t="e">
        <f ca="1"/>
        <v>#N/A</v>
      </c>
    </row>
    <row r="354" spans="4:17" x14ac:dyDescent="0.25">
      <c r="D354" s="3" t="e">
        <f ca="1"/>
        <v>#N/A</v>
      </c>
      <c r="E354" s="4" t="e">
        <f ca="1"/>
        <v>#N/A</v>
      </c>
      <c r="F354" s="4" t="e">
        <f ca="1"/>
        <v>#N/A</v>
      </c>
      <c r="G354" s="4" t="e">
        <f ca="1"/>
        <v>#N/A</v>
      </c>
      <c r="H354" s="4" t="e">
        <f ca="1"/>
        <v>#N/A</v>
      </c>
      <c r="I354" s="7" t="e">
        <f ca="1"/>
        <v>#N/A</v>
      </c>
      <c r="J354" s="4" t="e">
        <f ca="1"/>
        <v>#N/A</v>
      </c>
      <c r="K354" s="4" t="e">
        <f ca="1"/>
        <v>#N/A</v>
      </c>
      <c r="L354" s="4" t="e">
        <f ca="1"/>
        <v>#N/A</v>
      </c>
      <c r="M354" s="4" t="e">
        <f ca="1"/>
        <v>#N/A</v>
      </c>
      <c r="N354" s="4" t="e">
        <f ca="1"/>
        <v>#N/A</v>
      </c>
      <c r="O354" s="4" t="e">
        <f ca="1"/>
        <v>#N/A</v>
      </c>
      <c r="P354" s="3" t="e">
        <f ca="1"/>
        <v>#N/A</v>
      </c>
      <c r="Q354" s="3" t="e">
        <f ca="1"/>
        <v>#N/A</v>
      </c>
    </row>
    <row r="355" spans="4:17" x14ac:dyDescent="0.25">
      <c r="D355" s="3" t="e">
        <f ca="1"/>
        <v>#N/A</v>
      </c>
      <c r="E355" s="4" t="e">
        <f ca="1"/>
        <v>#N/A</v>
      </c>
      <c r="F355" s="4" t="e">
        <f ca="1"/>
        <v>#N/A</v>
      </c>
      <c r="G355" s="4" t="e">
        <f ca="1"/>
        <v>#N/A</v>
      </c>
      <c r="H355" s="4" t="e">
        <f ca="1"/>
        <v>#N/A</v>
      </c>
      <c r="I355" s="7" t="e">
        <f ca="1"/>
        <v>#N/A</v>
      </c>
      <c r="J355" s="4" t="e">
        <f ca="1"/>
        <v>#N/A</v>
      </c>
      <c r="K355" s="4" t="e">
        <f ca="1"/>
        <v>#N/A</v>
      </c>
      <c r="L355" s="4" t="e">
        <f ca="1"/>
        <v>#N/A</v>
      </c>
      <c r="M355" s="4" t="e">
        <f ca="1"/>
        <v>#N/A</v>
      </c>
      <c r="N355" s="4" t="e">
        <f ca="1"/>
        <v>#N/A</v>
      </c>
      <c r="O355" s="4" t="e">
        <f ca="1"/>
        <v>#N/A</v>
      </c>
      <c r="P355" s="3" t="e">
        <f ca="1"/>
        <v>#N/A</v>
      </c>
      <c r="Q355" s="3" t="e">
        <f ca="1"/>
        <v>#N/A</v>
      </c>
    </row>
    <row r="356" spans="4:17" x14ac:dyDescent="0.25">
      <c r="D356" s="3" t="e">
        <f ca="1"/>
        <v>#N/A</v>
      </c>
      <c r="E356" s="4" t="e">
        <f ca="1"/>
        <v>#N/A</v>
      </c>
      <c r="F356" s="4" t="e">
        <f ca="1"/>
        <v>#N/A</v>
      </c>
      <c r="G356" s="4" t="e">
        <f ca="1"/>
        <v>#N/A</v>
      </c>
      <c r="H356" s="4" t="e">
        <f ca="1"/>
        <v>#N/A</v>
      </c>
      <c r="I356" s="7" t="e">
        <f ca="1"/>
        <v>#N/A</v>
      </c>
      <c r="J356" s="4" t="e">
        <f ca="1"/>
        <v>#N/A</v>
      </c>
      <c r="K356" s="4" t="e">
        <f ca="1"/>
        <v>#N/A</v>
      </c>
      <c r="L356" s="4" t="e">
        <f ca="1"/>
        <v>#N/A</v>
      </c>
      <c r="M356" s="4" t="e">
        <f ca="1"/>
        <v>#N/A</v>
      </c>
      <c r="N356" s="4" t="e">
        <f ca="1"/>
        <v>#N/A</v>
      </c>
      <c r="O356" s="4" t="e">
        <f ca="1"/>
        <v>#N/A</v>
      </c>
      <c r="P356" s="3" t="e">
        <f ca="1"/>
        <v>#N/A</v>
      </c>
      <c r="Q356" s="3" t="e">
        <f ca="1"/>
        <v>#N/A</v>
      </c>
    </row>
    <row r="357" spans="4:17" x14ac:dyDescent="0.25">
      <c r="D357" s="3" t="e">
        <f ca="1"/>
        <v>#N/A</v>
      </c>
      <c r="E357" s="4" t="e">
        <f ca="1"/>
        <v>#N/A</v>
      </c>
      <c r="F357" s="4" t="e">
        <f ca="1"/>
        <v>#N/A</v>
      </c>
      <c r="G357" s="4" t="e">
        <f ca="1"/>
        <v>#N/A</v>
      </c>
      <c r="H357" s="4" t="e">
        <f ca="1"/>
        <v>#N/A</v>
      </c>
      <c r="I357" s="7" t="e">
        <f ca="1"/>
        <v>#N/A</v>
      </c>
      <c r="J357" s="4" t="e">
        <f ca="1"/>
        <v>#N/A</v>
      </c>
      <c r="K357" s="4" t="e">
        <f ca="1"/>
        <v>#N/A</v>
      </c>
      <c r="L357" s="4" t="e">
        <f ca="1"/>
        <v>#N/A</v>
      </c>
      <c r="M357" s="4" t="e">
        <f ca="1"/>
        <v>#N/A</v>
      </c>
      <c r="N357" s="4" t="e">
        <f ca="1"/>
        <v>#N/A</v>
      </c>
      <c r="O357" s="4" t="e">
        <f ca="1"/>
        <v>#N/A</v>
      </c>
      <c r="P357" s="3" t="e">
        <f ca="1"/>
        <v>#N/A</v>
      </c>
      <c r="Q357" s="3" t="e">
        <f ca="1"/>
        <v>#N/A</v>
      </c>
    </row>
    <row r="358" spans="4:17" x14ac:dyDescent="0.25">
      <c r="D358" s="3" t="e">
        <f ca="1"/>
        <v>#N/A</v>
      </c>
      <c r="E358" s="4" t="e">
        <f ca="1"/>
        <v>#N/A</v>
      </c>
      <c r="F358" s="4" t="e">
        <f ca="1"/>
        <v>#N/A</v>
      </c>
      <c r="G358" s="4" t="e">
        <f ca="1"/>
        <v>#N/A</v>
      </c>
      <c r="H358" s="4" t="e">
        <f ca="1"/>
        <v>#N/A</v>
      </c>
      <c r="I358" s="7" t="e">
        <f ca="1"/>
        <v>#N/A</v>
      </c>
      <c r="J358" s="4" t="e">
        <f ca="1"/>
        <v>#N/A</v>
      </c>
      <c r="K358" s="4" t="e">
        <f ca="1"/>
        <v>#N/A</v>
      </c>
      <c r="L358" s="4" t="e">
        <f ca="1"/>
        <v>#N/A</v>
      </c>
      <c r="M358" s="4" t="e">
        <f ca="1"/>
        <v>#N/A</v>
      </c>
      <c r="N358" s="4" t="e">
        <f ca="1"/>
        <v>#N/A</v>
      </c>
      <c r="O358" s="4" t="e">
        <f ca="1"/>
        <v>#N/A</v>
      </c>
      <c r="P358" s="3" t="e">
        <f ca="1"/>
        <v>#N/A</v>
      </c>
      <c r="Q358" s="3" t="e">
        <f ca="1"/>
        <v>#N/A</v>
      </c>
    </row>
    <row r="359" spans="4:17" x14ac:dyDescent="0.25">
      <c r="D359" s="3" t="e">
        <f ca="1"/>
        <v>#N/A</v>
      </c>
      <c r="E359" s="4" t="e">
        <f ca="1"/>
        <v>#N/A</v>
      </c>
      <c r="F359" s="4" t="e">
        <f ca="1"/>
        <v>#N/A</v>
      </c>
      <c r="G359" s="4" t="e">
        <f ca="1"/>
        <v>#N/A</v>
      </c>
      <c r="H359" s="4" t="e">
        <f ca="1"/>
        <v>#N/A</v>
      </c>
      <c r="I359" s="7" t="e">
        <f ca="1"/>
        <v>#N/A</v>
      </c>
      <c r="J359" s="4" t="e">
        <f ca="1"/>
        <v>#N/A</v>
      </c>
      <c r="K359" s="4" t="e">
        <f ca="1"/>
        <v>#N/A</v>
      </c>
      <c r="L359" s="4" t="e">
        <f ca="1"/>
        <v>#N/A</v>
      </c>
      <c r="M359" s="4" t="e">
        <f ca="1"/>
        <v>#N/A</v>
      </c>
      <c r="N359" s="4" t="e">
        <f ca="1"/>
        <v>#N/A</v>
      </c>
      <c r="O359" s="4" t="e">
        <f ca="1"/>
        <v>#N/A</v>
      </c>
      <c r="P359" s="3" t="e">
        <f ca="1"/>
        <v>#N/A</v>
      </c>
      <c r="Q359" s="3" t="e">
        <f ca="1"/>
        <v>#N/A</v>
      </c>
    </row>
    <row r="360" spans="4:17" x14ac:dyDescent="0.25">
      <c r="D360" s="3" t="e">
        <f ca="1"/>
        <v>#N/A</v>
      </c>
      <c r="E360" s="4" t="e">
        <f ca="1"/>
        <v>#N/A</v>
      </c>
      <c r="F360" s="4" t="e">
        <f ca="1"/>
        <v>#N/A</v>
      </c>
      <c r="G360" s="4" t="e">
        <f ca="1"/>
        <v>#N/A</v>
      </c>
      <c r="H360" s="4" t="e">
        <f ca="1"/>
        <v>#N/A</v>
      </c>
      <c r="I360" s="7" t="e">
        <f ca="1"/>
        <v>#N/A</v>
      </c>
      <c r="J360" s="4" t="e">
        <f ca="1"/>
        <v>#N/A</v>
      </c>
      <c r="K360" s="4" t="e">
        <f ca="1"/>
        <v>#N/A</v>
      </c>
      <c r="L360" s="4" t="e">
        <f ca="1"/>
        <v>#N/A</v>
      </c>
      <c r="M360" s="4" t="e">
        <f ca="1"/>
        <v>#N/A</v>
      </c>
      <c r="N360" s="4" t="e">
        <f ca="1"/>
        <v>#N/A</v>
      </c>
      <c r="O360" s="4" t="e">
        <f ca="1"/>
        <v>#N/A</v>
      </c>
      <c r="P360" s="3" t="e">
        <f ca="1"/>
        <v>#N/A</v>
      </c>
      <c r="Q360" s="3" t="e">
        <f ca="1"/>
        <v>#N/A</v>
      </c>
    </row>
    <row r="361" spans="4:17" x14ac:dyDescent="0.25">
      <c r="D361" s="3" t="e">
        <f ca="1"/>
        <v>#N/A</v>
      </c>
      <c r="E361" s="4" t="e">
        <f ca="1"/>
        <v>#N/A</v>
      </c>
      <c r="F361" s="4" t="e">
        <f ca="1"/>
        <v>#N/A</v>
      </c>
      <c r="G361" s="4" t="e">
        <f ca="1"/>
        <v>#N/A</v>
      </c>
      <c r="H361" s="4" t="e">
        <f ca="1"/>
        <v>#N/A</v>
      </c>
      <c r="I361" s="7" t="e">
        <f ca="1"/>
        <v>#N/A</v>
      </c>
      <c r="J361" s="4" t="e">
        <f ca="1"/>
        <v>#N/A</v>
      </c>
      <c r="K361" s="4" t="e">
        <f ca="1"/>
        <v>#N/A</v>
      </c>
      <c r="L361" s="4" t="e">
        <f ca="1"/>
        <v>#N/A</v>
      </c>
      <c r="M361" s="4" t="e">
        <f ca="1"/>
        <v>#N/A</v>
      </c>
      <c r="N361" s="4" t="e">
        <f ca="1"/>
        <v>#N/A</v>
      </c>
      <c r="O361" s="4" t="e">
        <f ca="1"/>
        <v>#N/A</v>
      </c>
      <c r="P361" s="3" t="e">
        <f ca="1"/>
        <v>#N/A</v>
      </c>
      <c r="Q361" s="3" t="e">
        <f ca="1"/>
        <v>#N/A</v>
      </c>
    </row>
    <row r="362" spans="4:17" x14ac:dyDescent="0.25">
      <c r="D362" s="3" t="e">
        <f ca="1"/>
        <v>#N/A</v>
      </c>
      <c r="E362" s="4" t="e">
        <f ca="1"/>
        <v>#N/A</v>
      </c>
      <c r="F362" s="4" t="e">
        <f ca="1"/>
        <v>#N/A</v>
      </c>
      <c r="G362" s="4" t="e">
        <f ca="1"/>
        <v>#N/A</v>
      </c>
      <c r="H362" s="4" t="e">
        <f ca="1"/>
        <v>#N/A</v>
      </c>
      <c r="I362" s="7" t="e">
        <f ca="1"/>
        <v>#N/A</v>
      </c>
      <c r="J362" s="4" t="e">
        <f ca="1"/>
        <v>#N/A</v>
      </c>
      <c r="K362" s="4" t="e">
        <f ca="1"/>
        <v>#N/A</v>
      </c>
      <c r="L362" s="4" t="e">
        <f ca="1"/>
        <v>#N/A</v>
      </c>
      <c r="M362" s="4" t="e">
        <f ca="1"/>
        <v>#N/A</v>
      </c>
      <c r="N362" s="4" t="e">
        <f ca="1"/>
        <v>#N/A</v>
      </c>
      <c r="O362" s="4" t="e">
        <f ca="1"/>
        <v>#N/A</v>
      </c>
      <c r="P362" s="3" t="e">
        <f ca="1"/>
        <v>#N/A</v>
      </c>
      <c r="Q362" s="3" t="e">
        <f ca="1"/>
        <v>#N/A</v>
      </c>
    </row>
    <row r="363" spans="4:17" x14ac:dyDescent="0.25">
      <c r="D363" s="3" t="e">
        <f ca="1"/>
        <v>#N/A</v>
      </c>
      <c r="E363" s="4" t="e">
        <f ca="1"/>
        <v>#N/A</v>
      </c>
      <c r="F363" s="4" t="e">
        <f ca="1"/>
        <v>#N/A</v>
      </c>
      <c r="G363" s="4" t="e">
        <f ca="1"/>
        <v>#N/A</v>
      </c>
      <c r="H363" s="4" t="e">
        <f ca="1"/>
        <v>#N/A</v>
      </c>
      <c r="I363" s="7" t="e">
        <f ca="1"/>
        <v>#N/A</v>
      </c>
      <c r="J363" s="4" t="e">
        <f ca="1"/>
        <v>#N/A</v>
      </c>
      <c r="K363" s="4" t="e">
        <f ca="1"/>
        <v>#N/A</v>
      </c>
      <c r="L363" s="4" t="e">
        <f ca="1"/>
        <v>#N/A</v>
      </c>
      <c r="M363" s="4" t="e">
        <f ca="1"/>
        <v>#N/A</v>
      </c>
      <c r="N363" s="4" t="e">
        <f ca="1"/>
        <v>#N/A</v>
      </c>
      <c r="O363" s="4" t="e">
        <f ca="1"/>
        <v>#N/A</v>
      </c>
      <c r="P363" s="3" t="e">
        <f ca="1"/>
        <v>#N/A</v>
      </c>
      <c r="Q363" s="3" t="e">
        <f ca="1"/>
        <v>#N/A</v>
      </c>
    </row>
    <row r="364" spans="4:17" x14ac:dyDescent="0.25">
      <c r="D364" s="3" t="e">
        <f ca="1"/>
        <v>#N/A</v>
      </c>
      <c r="E364" s="4" t="e">
        <f ca="1"/>
        <v>#N/A</v>
      </c>
      <c r="F364" s="4" t="e">
        <f ca="1"/>
        <v>#N/A</v>
      </c>
      <c r="G364" s="4" t="e">
        <f ca="1"/>
        <v>#N/A</v>
      </c>
      <c r="H364" s="4" t="e">
        <f ca="1"/>
        <v>#N/A</v>
      </c>
      <c r="I364" s="7" t="e">
        <f ca="1"/>
        <v>#N/A</v>
      </c>
      <c r="J364" s="4" t="e">
        <f ca="1"/>
        <v>#N/A</v>
      </c>
      <c r="K364" s="4" t="e">
        <f ca="1"/>
        <v>#N/A</v>
      </c>
      <c r="L364" s="4" t="e">
        <f ca="1"/>
        <v>#N/A</v>
      </c>
      <c r="M364" s="4" t="e">
        <f ca="1"/>
        <v>#N/A</v>
      </c>
      <c r="N364" s="4" t="e">
        <f ca="1"/>
        <v>#N/A</v>
      </c>
      <c r="O364" s="4" t="e">
        <f ca="1"/>
        <v>#N/A</v>
      </c>
      <c r="P364" s="3" t="e">
        <f ca="1"/>
        <v>#N/A</v>
      </c>
      <c r="Q364" s="3" t="e">
        <f ca="1"/>
        <v>#N/A</v>
      </c>
    </row>
    <row r="365" spans="4:17" x14ac:dyDescent="0.25">
      <c r="D365" s="3" t="e">
        <f ca="1"/>
        <v>#N/A</v>
      </c>
      <c r="E365" s="4" t="e">
        <f ca="1"/>
        <v>#N/A</v>
      </c>
      <c r="F365" s="4" t="e">
        <f ca="1"/>
        <v>#N/A</v>
      </c>
      <c r="G365" s="4" t="e">
        <f ca="1"/>
        <v>#N/A</v>
      </c>
      <c r="H365" s="4" t="e">
        <f ca="1"/>
        <v>#N/A</v>
      </c>
      <c r="I365" s="7" t="e">
        <f ca="1"/>
        <v>#N/A</v>
      </c>
      <c r="J365" s="4" t="e">
        <f ca="1"/>
        <v>#N/A</v>
      </c>
      <c r="K365" s="4" t="e">
        <f ca="1"/>
        <v>#N/A</v>
      </c>
      <c r="L365" s="4" t="e">
        <f ca="1"/>
        <v>#N/A</v>
      </c>
      <c r="M365" s="4" t="e">
        <f ca="1"/>
        <v>#N/A</v>
      </c>
      <c r="N365" s="4" t="e">
        <f ca="1"/>
        <v>#N/A</v>
      </c>
      <c r="O365" s="4" t="e">
        <f ca="1"/>
        <v>#N/A</v>
      </c>
      <c r="P365" s="3" t="e">
        <f ca="1"/>
        <v>#N/A</v>
      </c>
      <c r="Q365" s="3" t="e">
        <f ca="1"/>
        <v>#N/A</v>
      </c>
    </row>
    <row r="366" spans="4:17" x14ac:dyDescent="0.25">
      <c r="D366" s="3" t="e">
        <f ca="1"/>
        <v>#N/A</v>
      </c>
      <c r="E366" s="4" t="e">
        <f ca="1"/>
        <v>#N/A</v>
      </c>
      <c r="F366" s="4" t="e">
        <f ca="1"/>
        <v>#N/A</v>
      </c>
      <c r="G366" s="4" t="e">
        <f ca="1"/>
        <v>#N/A</v>
      </c>
      <c r="H366" s="4" t="e">
        <f ca="1"/>
        <v>#N/A</v>
      </c>
      <c r="I366" s="7" t="e">
        <f ca="1"/>
        <v>#N/A</v>
      </c>
      <c r="J366" s="4" t="e">
        <f ca="1"/>
        <v>#N/A</v>
      </c>
      <c r="K366" s="4" t="e">
        <f ca="1"/>
        <v>#N/A</v>
      </c>
      <c r="L366" s="4" t="e">
        <f ca="1"/>
        <v>#N/A</v>
      </c>
      <c r="M366" s="4" t="e">
        <f ca="1"/>
        <v>#N/A</v>
      </c>
      <c r="N366" s="4" t="e">
        <f ca="1"/>
        <v>#N/A</v>
      </c>
      <c r="O366" s="4" t="e">
        <f ca="1"/>
        <v>#N/A</v>
      </c>
      <c r="P366" s="3" t="e">
        <f ca="1"/>
        <v>#N/A</v>
      </c>
      <c r="Q366" s="3" t="e">
        <f ca="1"/>
        <v>#N/A</v>
      </c>
    </row>
    <row r="367" spans="4:17" x14ac:dyDescent="0.25">
      <c r="D367" s="3" t="e">
        <f ca="1"/>
        <v>#N/A</v>
      </c>
      <c r="E367" s="4" t="e">
        <f ca="1"/>
        <v>#N/A</v>
      </c>
      <c r="F367" s="4" t="e">
        <f ca="1"/>
        <v>#N/A</v>
      </c>
      <c r="G367" s="4" t="e">
        <f ca="1"/>
        <v>#N/A</v>
      </c>
      <c r="H367" s="4" t="e">
        <f ca="1"/>
        <v>#N/A</v>
      </c>
      <c r="I367" s="7" t="e">
        <f ca="1"/>
        <v>#N/A</v>
      </c>
      <c r="J367" s="4" t="e">
        <f ca="1"/>
        <v>#N/A</v>
      </c>
      <c r="K367" s="4" t="e">
        <f ca="1"/>
        <v>#N/A</v>
      </c>
      <c r="L367" s="4" t="e">
        <f ca="1"/>
        <v>#N/A</v>
      </c>
      <c r="M367" s="4" t="e">
        <f ca="1"/>
        <v>#N/A</v>
      </c>
      <c r="N367" s="4" t="e">
        <f ca="1"/>
        <v>#N/A</v>
      </c>
      <c r="O367" s="4" t="e">
        <f ca="1"/>
        <v>#N/A</v>
      </c>
      <c r="P367" s="3" t="e">
        <f ca="1"/>
        <v>#N/A</v>
      </c>
      <c r="Q367" s="3" t="e">
        <f ca="1"/>
        <v>#N/A</v>
      </c>
    </row>
    <row r="368" spans="4:17" x14ac:dyDescent="0.25">
      <c r="D368" s="3" t="e">
        <f ca="1"/>
        <v>#N/A</v>
      </c>
      <c r="E368" s="4" t="e">
        <f ca="1"/>
        <v>#N/A</v>
      </c>
      <c r="F368" s="4" t="e">
        <f ca="1"/>
        <v>#N/A</v>
      </c>
      <c r="G368" s="4" t="e">
        <f ca="1"/>
        <v>#N/A</v>
      </c>
      <c r="H368" s="4" t="e">
        <f ca="1"/>
        <v>#N/A</v>
      </c>
      <c r="I368" s="7" t="e">
        <f ca="1"/>
        <v>#N/A</v>
      </c>
      <c r="J368" s="4" t="e">
        <f ca="1"/>
        <v>#N/A</v>
      </c>
      <c r="K368" s="4" t="e">
        <f ca="1"/>
        <v>#N/A</v>
      </c>
      <c r="L368" s="4" t="e">
        <f ca="1"/>
        <v>#N/A</v>
      </c>
      <c r="M368" s="4" t="e">
        <f ca="1"/>
        <v>#N/A</v>
      </c>
      <c r="N368" s="4" t="e">
        <f ca="1"/>
        <v>#N/A</v>
      </c>
      <c r="O368" s="4" t="e">
        <f ca="1"/>
        <v>#N/A</v>
      </c>
      <c r="P368" s="3" t="e">
        <f ca="1"/>
        <v>#N/A</v>
      </c>
      <c r="Q368" s="3" t="e">
        <f ca="1"/>
        <v>#N/A</v>
      </c>
    </row>
    <row r="369" spans="4:17" x14ac:dyDescent="0.25">
      <c r="D369" s="3" t="e">
        <f ca="1"/>
        <v>#N/A</v>
      </c>
      <c r="E369" s="4" t="e">
        <f ca="1"/>
        <v>#N/A</v>
      </c>
      <c r="F369" s="4" t="e">
        <f ca="1"/>
        <v>#N/A</v>
      </c>
      <c r="G369" s="4" t="e">
        <f ca="1"/>
        <v>#N/A</v>
      </c>
      <c r="H369" s="4" t="e">
        <f ca="1"/>
        <v>#N/A</v>
      </c>
      <c r="I369" s="7" t="e">
        <f ca="1"/>
        <v>#N/A</v>
      </c>
      <c r="J369" s="4" t="e">
        <f ca="1"/>
        <v>#N/A</v>
      </c>
      <c r="K369" s="4" t="e">
        <f ca="1"/>
        <v>#N/A</v>
      </c>
      <c r="L369" s="4" t="e">
        <f ca="1"/>
        <v>#N/A</v>
      </c>
      <c r="M369" s="4" t="e">
        <f ca="1"/>
        <v>#N/A</v>
      </c>
      <c r="N369" s="4" t="e">
        <f ca="1"/>
        <v>#N/A</v>
      </c>
      <c r="O369" s="4" t="e">
        <f ca="1"/>
        <v>#N/A</v>
      </c>
      <c r="P369" s="3" t="e">
        <f ca="1"/>
        <v>#N/A</v>
      </c>
      <c r="Q369" s="3" t="e">
        <f ca="1"/>
        <v>#N/A</v>
      </c>
    </row>
    <row r="370" spans="4:17" x14ac:dyDescent="0.25">
      <c r="D370" s="3" t="e">
        <f ca="1"/>
        <v>#N/A</v>
      </c>
      <c r="E370" s="4" t="e">
        <f ca="1"/>
        <v>#N/A</v>
      </c>
      <c r="F370" s="4" t="e">
        <f ca="1"/>
        <v>#N/A</v>
      </c>
      <c r="G370" s="4" t="e">
        <f ca="1"/>
        <v>#N/A</v>
      </c>
      <c r="H370" s="4" t="e">
        <f ca="1"/>
        <v>#N/A</v>
      </c>
      <c r="I370" s="7" t="e">
        <f ca="1"/>
        <v>#N/A</v>
      </c>
      <c r="J370" s="4" t="e">
        <f ca="1"/>
        <v>#N/A</v>
      </c>
      <c r="K370" s="4" t="e">
        <f ca="1"/>
        <v>#N/A</v>
      </c>
      <c r="L370" s="4" t="e">
        <f ca="1"/>
        <v>#N/A</v>
      </c>
      <c r="M370" s="4" t="e">
        <f ca="1"/>
        <v>#N/A</v>
      </c>
      <c r="N370" s="4" t="e">
        <f ca="1"/>
        <v>#N/A</v>
      </c>
      <c r="O370" s="4" t="e">
        <f ca="1"/>
        <v>#N/A</v>
      </c>
      <c r="P370" s="3" t="e">
        <f ca="1"/>
        <v>#N/A</v>
      </c>
      <c r="Q370" s="3" t="e">
        <f ca="1"/>
        <v>#N/A</v>
      </c>
    </row>
    <row r="371" spans="4:17" x14ac:dyDescent="0.25">
      <c r="D371" s="3" t="e">
        <f ca="1"/>
        <v>#N/A</v>
      </c>
      <c r="E371" s="4" t="e">
        <f ca="1"/>
        <v>#N/A</v>
      </c>
      <c r="F371" s="4" t="e">
        <f ca="1"/>
        <v>#N/A</v>
      </c>
      <c r="G371" s="4" t="e">
        <f ca="1"/>
        <v>#N/A</v>
      </c>
      <c r="H371" s="4" t="e">
        <f ca="1"/>
        <v>#N/A</v>
      </c>
      <c r="I371" s="7" t="e">
        <f ca="1"/>
        <v>#N/A</v>
      </c>
      <c r="J371" s="4" t="e">
        <f ca="1"/>
        <v>#N/A</v>
      </c>
      <c r="K371" s="4" t="e">
        <f ca="1"/>
        <v>#N/A</v>
      </c>
      <c r="L371" s="4" t="e">
        <f ca="1"/>
        <v>#N/A</v>
      </c>
      <c r="M371" s="4" t="e">
        <f ca="1"/>
        <v>#N/A</v>
      </c>
      <c r="N371" s="4" t="e">
        <f ca="1"/>
        <v>#N/A</v>
      </c>
      <c r="O371" s="4" t="e">
        <f ca="1"/>
        <v>#N/A</v>
      </c>
      <c r="P371" s="3" t="e">
        <f ca="1"/>
        <v>#N/A</v>
      </c>
      <c r="Q371" s="3" t="e">
        <f ca="1"/>
        <v>#N/A</v>
      </c>
    </row>
    <row r="372" spans="4:17" x14ac:dyDescent="0.25">
      <c r="D372" s="3" t="e">
        <f ca="1"/>
        <v>#N/A</v>
      </c>
      <c r="E372" s="4" t="e">
        <f ca="1"/>
        <v>#N/A</v>
      </c>
      <c r="F372" s="4" t="e">
        <f ca="1"/>
        <v>#N/A</v>
      </c>
      <c r="G372" s="4" t="e">
        <f ca="1"/>
        <v>#N/A</v>
      </c>
      <c r="H372" s="4" t="e">
        <f ca="1"/>
        <v>#N/A</v>
      </c>
      <c r="I372" s="7" t="e">
        <f ca="1"/>
        <v>#N/A</v>
      </c>
      <c r="J372" s="4" t="e">
        <f ca="1"/>
        <v>#N/A</v>
      </c>
      <c r="K372" s="4" t="e">
        <f ca="1"/>
        <v>#N/A</v>
      </c>
      <c r="L372" s="4" t="e">
        <f ca="1"/>
        <v>#N/A</v>
      </c>
      <c r="M372" s="4" t="e">
        <f ca="1"/>
        <v>#N/A</v>
      </c>
      <c r="N372" s="4" t="e">
        <f ca="1"/>
        <v>#N/A</v>
      </c>
      <c r="O372" s="4" t="e">
        <f ca="1"/>
        <v>#N/A</v>
      </c>
      <c r="P372" s="3" t="e">
        <f ca="1"/>
        <v>#N/A</v>
      </c>
      <c r="Q372" s="3" t="e">
        <f ca="1"/>
        <v>#N/A</v>
      </c>
    </row>
    <row r="373" spans="4:17" x14ac:dyDescent="0.25">
      <c r="D373" s="3" t="e">
        <f ca="1"/>
        <v>#N/A</v>
      </c>
      <c r="E373" s="4" t="e">
        <f ca="1"/>
        <v>#N/A</v>
      </c>
      <c r="F373" s="4" t="e">
        <f ca="1"/>
        <v>#N/A</v>
      </c>
      <c r="G373" s="4" t="e">
        <f ca="1"/>
        <v>#N/A</v>
      </c>
      <c r="H373" s="4" t="e">
        <f ca="1"/>
        <v>#N/A</v>
      </c>
      <c r="I373" s="7" t="e">
        <f ca="1"/>
        <v>#N/A</v>
      </c>
      <c r="J373" s="4" t="e">
        <f ca="1"/>
        <v>#N/A</v>
      </c>
      <c r="K373" s="4" t="e">
        <f ca="1"/>
        <v>#N/A</v>
      </c>
      <c r="L373" s="4" t="e">
        <f ca="1"/>
        <v>#N/A</v>
      </c>
      <c r="M373" s="4" t="e">
        <f ca="1"/>
        <v>#N/A</v>
      </c>
      <c r="N373" s="4" t="e">
        <f ca="1"/>
        <v>#N/A</v>
      </c>
      <c r="O373" s="4" t="e">
        <f ca="1"/>
        <v>#N/A</v>
      </c>
      <c r="P373" s="3" t="e">
        <f ca="1"/>
        <v>#N/A</v>
      </c>
      <c r="Q373" s="3" t="e">
        <f ca="1"/>
        <v>#N/A</v>
      </c>
    </row>
    <row r="374" spans="4:17" x14ac:dyDescent="0.25">
      <c r="D374" s="3" t="e">
        <f ca="1"/>
        <v>#N/A</v>
      </c>
      <c r="E374" s="4" t="e">
        <f ca="1"/>
        <v>#N/A</v>
      </c>
      <c r="F374" s="4" t="e">
        <f ca="1"/>
        <v>#N/A</v>
      </c>
      <c r="G374" s="4" t="e">
        <f ca="1"/>
        <v>#N/A</v>
      </c>
      <c r="H374" s="4" t="e">
        <f ca="1"/>
        <v>#N/A</v>
      </c>
      <c r="I374" s="7" t="e">
        <f ca="1"/>
        <v>#N/A</v>
      </c>
      <c r="J374" s="4" t="e">
        <f ca="1"/>
        <v>#N/A</v>
      </c>
      <c r="K374" s="4" t="e">
        <f ca="1"/>
        <v>#N/A</v>
      </c>
      <c r="L374" s="4" t="e">
        <f ca="1"/>
        <v>#N/A</v>
      </c>
      <c r="M374" s="4" t="e">
        <f ca="1"/>
        <v>#N/A</v>
      </c>
      <c r="N374" s="4" t="e">
        <f ca="1"/>
        <v>#N/A</v>
      </c>
      <c r="O374" s="4" t="e">
        <f ca="1"/>
        <v>#N/A</v>
      </c>
      <c r="P374" s="3" t="e">
        <f ca="1"/>
        <v>#N/A</v>
      </c>
      <c r="Q374" s="3" t="e">
        <f ca="1"/>
        <v>#N/A</v>
      </c>
    </row>
    <row r="375" spans="4:17" x14ac:dyDescent="0.25">
      <c r="D375" s="3" t="e">
        <f ca="1"/>
        <v>#N/A</v>
      </c>
      <c r="E375" s="4" t="e">
        <f ca="1"/>
        <v>#N/A</v>
      </c>
      <c r="F375" s="4" t="e">
        <f ca="1"/>
        <v>#N/A</v>
      </c>
      <c r="G375" s="4" t="e">
        <f ca="1"/>
        <v>#N/A</v>
      </c>
      <c r="H375" s="4" t="e">
        <f ca="1"/>
        <v>#N/A</v>
      </c>
      <c r="I375" s="7" t="e">
        <f ca="1"/>
        <v>#N/A</v>
      </c>
      <c r="J375" s="4" t="e">
        <f ca="1"/>
        <v>#N/A</v>
      </c>
      <c r="K375" s="4" t="e">
        <f ca="1"/>
        <v>#N/A</v>
      </c>
      <c r="L375" s="4" t="e">
        <f ca="1"/>
        <v>#N/A</v>
      </c>
      <c r="M375" s="4" t="e">
        <f ca="1"/>
        <v>#N/A</v>
      </c>
      <c r="N375" s="4" t="e">
        <f ca="1"/>
        <v>#N/A</v>
      </c>
      <c r="O375" s="4" t="e">
        <f ca="1"/>
        <v>#N/A</v>
      </c>
      <c r="P375" s="3" t="e">
        <f ca="1"/>
        <v>#N/A</v>
      </c>
      <c r="Q375" s="3" t="e">
        <f ca="1"/>
        <v>#N/A</v>
      </c>
    </row>
    <row r="376" spans="4:17" x14ac:dyDescent="0.25">
      <c r="D376" s="3" t="e">
        <f ca="1"/>
        <v>#N/A</v>
      </c>
      <c r="E376" s="4" t="e">
        <f ca="1"/>
        <v>#N/A</v>
      </c>
      <c r="F376" s="4" t="e">
        <f ca="1"/>
        <v>#N/A</v>
      </c>
      <c r="G376" s="4" t="e">
        <f ca="1"/>
        <v>#N/A</v>
      </c>
      <c r="H376" s="4" t="e">
        <f ca="1"/>
        <v>#N/A</v>
      </c>
      <c r="I376" s="7" t="e">
        <f ca="1"/>
        <v>#N/A</v>
      </c>
      <c r="J376" s="4" t="e">
        <f ca="1"/>
        <v>#N/A</v>
      </c>
      <c r="K376" s="4" t="e">
        <f ca="1"/>
        <v>#N/A</v>
      </c>
      <c r="L376" s="4" t="e">
        <f ca="1"/>
        <v>#N/A</v>
      </c>
      <c r="M376" s="4" t="e">
        <f ca="1"/>
        <v>#N/A</v>
      </c>
      <c r="N376" s="4" t="e">
        <f ca="1"/>
        <v>#N/A</v>
      </c>
      <c r="O376" s="4" t="e">
        <f ca="1"/>
        <v>#N/A</v>
      </c>
      <c r="P376" s="3" t="e">
        <f ca="1"/>
        <v>#N/A</v>
      </c>
      <c r="Q376" s="3" t="e">
        <f ca="1"/>
        <v>#N/A</v>
      </c>
    </row>
    <row r="377" spans="4:17" x14ac:dyDescent="0.25">
      <c r="D377" s="3" t="e">
        <f ca="1"/>
        <v>#N/A</v>
      </c>
      <c r="E377" s="4" t="e">
        <f ca="1"/>
        <v>#N/A</v>
      </c>
      <c r="F377" s="4" t="e">
        <f ca="1"/>
        <v>#N/A</v>
      </c>
      <c r="G377" s="4" t="e">
        <f ca="1"/>
        <v>#N/A</v>
      </c>
      <c r="H377" s="4" t="e">
        <f ca="1"/>
        <v>#N/A</v>
      </c>
      <c r="I377" s="7" t="e">
        <f ca="1"/>
        <v>#N/A</v>
      </c>
      <c r="J377" s="4" t="e">
        <f ca="1"/>
        <v>#N/A</v>
      </c>
      <c r="K377" s="4" t="e">
        <f ca="1"/>
        <v>#N/A</v>
      </c>
      <c r="L377" s="4" t="e">
        <f ca="1"/>
        <v>#N/A</v>
      </c>
      <c r="M377" s="4" t="e">
        <f ca="1"/>
        <v>#N/A</v>
      </c>
      <c r="N377" s="4" t="e">
        <f ca="1"/>
        <v>#N/A</v>
      </c>
      <c r="O377" s="4" t="e">
        <f ca="1"/>
        <v>#N/A</v>
      </c>
      <c r="P377" s="3" t="e">
        <f ca="1"/>
        <v>#N/A</v>
      </c>
      <c r="Q377" s="3" t="e">
        <f ca="1"/>
        <v>#N/A</v>
      </c>
    </row>
    <row r="378" spans="4:17" x14ac:dyDescent="0.25">
      <c r="D378" s="3" t="e">
        <f ca="1"/>
        <v>#N/A</v>
      </c>
      <c r="E378" s="4" t="e">
        <f ca="1"/>
        <v>#N/A</v>
      </c>
      <c r="F378" s="4" t="e">
        <f ca="1"/>
        <v>#N/A</v>
      </c>
      <c r="G378" s="4" t="e">
        <f ca="1"/>
        <v>#N/A</v>
      </c>
      <c r="H378" s="4" t="e">
        <f ca="1"/>
        <v>#N/A</v>
      </c>
      <c r="I378" s="7" t="e">
        <f ca="1"/>
        <v>#N/A</v>
      </c>
      <c r="J378" s="4" t="e">
        <f ca="1"/>
        <v>#N/A</v>
      </c>
      <c r="K378" s="4" t="e">
        <f ca="1"/>
        <v>#N/A</v>
      </c>
      <c r="L378" s="4" t="e">
        <f ca="1"/>
        <v>#N/A</v>
      </c>
      <c r="M378" s="4" t="e">
        <f ca="1"/>
        <v>#N/A</v>
      </c>
      <c r="N378" s="4" t="e">
        <f ca="1"/>
        <v>#N/A</v>
      </c>
      <c r="O378" s="4" t="e">
        <f ca="1"/>
        <v>#N/A</v>
      </c>
      <c r="P378" s="3" t="e">
        <f ca="1"/>
        <v>#N/A</v>
      </c>
      <c r="Q378" s="3" t="e">
        <f ca="1"/>
        <v>#N/A</v>
      </c>
    </row>
    <row r="379" spans="4:17" x14ac:dyDescent="0.25">
      <c r="D379" s="3" t="e">
        <f ca="1"/>
        <v>#N/A</v>
      </c>
      <c r="E379" s="4" t="e">
        <f ca="1"/>
        <v>#N/A</v>
      </c>
      <c r="F379" s="4" t="e">
        <f ca="1"/>
        <v>#N/A</v>
      </c>
      <c r="G379" s="4" t="e">
        <f ca="1"/>
        <v>#N/A</v>
      </c>
      <c r="H379" s="4" t="e">
        <f ca="1"/>
        <v>#N/A</v>
      </c>
      <c r="I379" s="7" t="e">
        <f ca="1"/>
        <v>#N/A</v>
      </c>
      <c r="J379" s="4" t="e">
        <f ca="1"/>
        <v>#N/A</v>
      </c>
      <c r="K379" s="4" t="e">
        <f ca="1"/>
        <v>#N/A</v>
      </c>
      <c r="L379" s="4" t="e">
        <f ca="1"/>
        <v>#N/A</v>
      </c>
      <c r="M379" s="4" t="e">
        <f ca="1"/>
        <v>#N/A</v>
      </c>
      <c r="N379" s="4" t="e">
        <f ca="1"/>
        <v>#N/A</v>
      </c>
      <c r="O379" s="4" t="e">
        <f ca="1"/>
        <v>#N/A</v>
      </c>
      <c r="P379" s="3" t="e">
        <f ca="1"/>
        <v>#N/A</v>
      </c>
      <c r="Q379" s="3" t="e">
        <f ca="1"/>
        <v>#N/A</v>
      </c>
    </row>
    <row r="380" spans="4:17" x14ac:dyDescent="0.25">
      <c r="D380" s="3" t="e">
        <f ca="1"/>
        <v>#N/A</v>
      </c>
      <c r="E380" s="4" t="e">
        <f ca="1"/>
        <v>#N/A</v>
      </c>
      <c r="F380" s="4" t="e">
        <f ca="1"/>
        <v>#N/A</v>
      </c>
      <c r="G380" s="4" t="e">
        <f ca="1"/>
        <v>#N/A</v>
      </c>
      <c r="H380" s="4" t="e">
        <f ca="1"/>
        <v>#N/A</v>
      </c>
      <c r="I380" s="7" t="e">
        <f ca="1"/>
        <v>#N/A</v>
      </c>
      <c r="J380" s="4" t="e">
        <f ca="1"/>
        <v>#N/A</v>
      </c>
      <c r="K380" s="4" t="e">
        <f ca="1"/>
        <v>#N/A</v>
      </c>
      <c r="L380" s="4" t="e">
        <f ca="1"/>
        <v>#N/A</v>
      </c>
      <c r="M380" s="4" t="e">
        <f ca="1"/>
        <v>#N/A</v>
      </c>
      <c r="N380" s="4" t="e">
        <f ca="1"/>
        <v>#N/A</v>
      </c>
      <c r="O380" s="4" t="e">
        <f ca="1"/>
        <v>#N/A</v>
      </c>
      <c r="P380" s="3" t="e">
        <f ca="1"/>
        <v>#N/A</v>
      </c>
      <c r="Q380" s="3" t="e">
        <f ca="1"/>
        <v>#N/A</v>
      </c>
    </row>
    <row r="381" spans="4:17" x14ac:dyDescent="0.25">
      <c r="D381" s="3" t="e">
        <f ca="1"/>
        <v>#N/A</v>
      </c>
      <c r="E381" s="4" t="e">
        <f ca="1"/>
        <v>#N/A</v>
      </c>
      <c r="F381" s="4" t="e">
        <f ca="1"/>
        <v>#N/A</v>
      </c>
      <c r="G381" s="4" t="e">
        <f ca="1"/>
        <v>#N/A</v>
      </c>
      <c r="H381" s="4" t="e">
        <f ca="1"/>
        <v>#N/A</v>
      </c>
      <c r="I381" s="7" t="e">
        <f ca="1"/>
        <v>#N/A</v>
      </c>
      <c r="J381" s="4" t="e">
        <f ca="1"/>
        <v>#N/A</v>
      </c>
      <c r="K381" s="4" t="e">
        <f ca="1"/>
        <v>#N/A</v>
      </c>
      <c r="L381" s="4" t="e">
        <f ca="1"/>
        <v>#N/A</v>
      </c>
      <c r="M381" s="4" t="e">
        <f ca="1"/>
        <v>#N/A</v>
      </c>
      <c r="N381" s="4" t="e">
        <f ca="1"/>
        <v>#N/A</v>
      </c>
      <c r="O381" s="4" t="e">
        <f ca="1"/>
        <v>#N/A</v>
      </c>
      <c r="P381" s="3" t="e">
        <f ca="1"/>
        <v>#N/A</v>
      </c>
      <c r="Q381" s="3" t="e">
        <f ca="1"/>
        <v>#N/A</v>
      </c>
    </row>
    <row r="382" spans="4:17" x14ac:dyDescent="0.25">
      <c r="D382" s="3" t="e">
        <f ca="1"/>
        <v>#N/A</v>
      </c>
      <c r="E382" s="4" t="e">
        <f ca="1"/>
        <v>#N/A</v>
      </c>
      <c r="F382" s="4" t="e">
        <f ca="1"/>
        <v>#N/A</v>
      </c>
      <c r="G382" s="4" t="e">
        <f ca="1"/>
        <v>#N/A</v>
      </c>
      <c r="H382" s="4" t="e">
        <f ca="1"/>
        <v>#N/A</v>
      </c>
      <c r="I382" s="7" t="e">
        <f ca="1"/>
        <v>#N/A</v>
      </c>
      <c r="J382" s="4" t="e">
        <f ca="1"/>
        <v>#N/A</v>
      </c>
      <c r="K382" s="4" t="e">
        <f ca="1"/>
        <v>#N/A</v>
      </c>
      <c r="L382" s="4" t="e">
        <f ca="1"/>
        <v>#N/A</v>
      </c>
      <c r="M382" s="4" t="e">
        <f ca="1"/>
        <v>#N/A</v>
      </c>
      <c r="N382" s="4" t="e">
        <f ca="1"/>
        <v>#N/A</v>
      </c>
      <c r="O382" s="4" t="e">
        <f ca="1"/>
        <v>#N/A</v>
      </c>
      <c r="P382" s="3" t="e">
        <f ca="1"/>
        <v>#N/A</v>
      </c>
      <c r="Q382" s="3" t="e">
        <f ca="1"/>
        <v>#N/A</v>
      </c>
    </row>
    <row r="383" spans="4:17" x14ac:dyDescent="0.25">
      <c r="D383" s="3" t="e">
        <f ca="1"/>
        <v>#N/A</v>
      </c>
      <c r="E383" s="4" t="e">
        <f ca="1"/>
        <v>#N/A</v>
      </c>
      <c r="F383" s="4" t="e">
        <f ca="1"/>
        <v>#N/A</v>
      </c>
      <c r="G383" s="4" t="e">
        <f ca="1"/>
        <v>#N/A</v>
      </c>
      <c r="H383" s="4" t="e">
        <f ca="1"/>
        <v>#N/A</v>
      </c>
      <c r="I383" s="7" t="e">
        <f ca="1"/>
        <v>#N/A</v>
      </c>
      <c r="J383" s="4" t="e">
        <f ca="1"/>
        <v>#N/A</v>
      </c>
      <c r="K383" s="4" t="e">
        <f ca="1"/>
        <v>#N/A</v>
      </c>
      <c r="L383" s="4" t="e">
        <f ca="1"/>
        <v>#N/A</v>
      </c>
      <c r="M383" s="4" t="e">
        <f ca="1"/>
        <v>#N/A</v>
      </c>
      <c r="N383" s="4" t="e">
        <f ca="1"/>
        <v>#N/A</v>
      </c>
      <c r="O383" s="4" t="e">
        <f ca="1"/>
        <v>#N/A</v>
      </c>
      <c r="P383" s="3" t="e">
        <f ca="1"/>
        <v>#N/A</v>
      </c>
      <c r="Q383" s="3" t="e">
        <f ca="1"/>
        <v>#N/A</v>
      </c>
    </row>
    <row r="384" spans="4:17" x14ac:dyDescent="0.25">
      <c r="D384" s="3" t="e">
        <f ca="1"/>
        <v>#N/A</v>
      </c>
      <c r="E384" s="4" t="e">
        <f ca="1"/>
        <v>#N/A</v>
      </c>
      <c r="F384" s="4" t="e">
        <f ca="1"/>
        <v>#N/A</v>
      </c>
      <c r="G384" s="4" t="e">
        <f ca="1"/>
        <v>#N/A</v>
      </c>
      <c r="H384" s="4" t="e">
        <f ca="1"/>
        <v>#N/A</v>
      </c>
      <c r="I384" s="7" t="e">
        <f ca="1"/>
        <v>#N/A</v>
      </c>
      <c r="J384" s="4" t="e">
        <f ca="1"/>
        <v>#N/A</v>
      </c>
      <c r="K384" s="4" t="e">
        <f ca="1"/>
        <v>#N/A</v>
      </c>
      <c r="L384" s="4" t="e">
        <f ca="1"/>
        <v>#N/A</v>
      </c>
      <c r="M384" s="4" t="e">
        <f ca="1"/>
        <v>#N/A</v>
      </c>
      <c r="N384" s="4" t="e">
        <f ca="1"/>
        <v>#N/A</v>
      </c>
      <c r="O384" s="4" t="e">
        <f ca="1"/>
        <v>#N/A</v>
      </c>
      <c r="P384" s="3" t="e">
        <f ca="1"/>
        <v>#N/A</v>
      </c>
      <c r="Q384" s="3" t="e">
        <f ca="1"/>
        <v>#N/A</v>
      </c>
    </row>
    <row r="385" spans="4:17" x14ac:dyDescent="0.25">
      <c r="D385" s="3" t="e">
        <f ca="1"/>
        <v>#N/A</v>
      </c>
      <c r="E385" s="4" t="e">
        <f ca="1"/>
        <v>#N/A</v>
      </c>
      <c r="F385" s="4" t="e">
        <f ca="1"/>
        <v>#N/A</v>
      </c>
      <c r="G385" s="4" t="e">
        <f ca="1"/>
        <v>#N/A</v>
      </c>
      <c r="H385" s="4" t="e">
        <f ca="1"/>
        <v>#N/A</v>
      </c>
      <c r="I385" s="7" t="e">
        <f ca="1"/>
        <v>#N/A</v>
      </c>
      <c r="J385" s="4" t="e">
        <f ca="1"/>
        <v>#N/A</v>
      </c>
      <c r="K385" s="4" t="e">
        <f ca="1"/>
        <v>#N/A</v>
      </c>
      <c r="L385" s="4" t="e">
        <f ca="1"/>
        <v>#N/A</v>
      </c>
      <c r="M385" s="4" t="e">
        <f ca="1"/>
        <v>#N/A</v>
      </c>
      <c r="N385" s="4" t="e">
        <f ca="1"/>
        <v>#N/A</v>
      </c>
      <c r="O385" s="4" t="e">
        <f ca="1"/>
        <v>#N/A</v>
      </c>
      <c r="P385" s="3" t="e">
        <f ca="1"/>
        <v>#N/A</v>
      </c>
      <c r="Q385" s="3" t="e">
        <f ca="1"/>
        <v>#N/A</v>
      </c>
    </row>
    <row r="386" spans="4:17" x14ac:dyDescent="0.25">
      <c r="D386" s="3" t="e">
        <f ca="1"/>
        <v>#N/A</v>
      </c>
      <c r="E386" s="4" t="e">
        <f ca="1"/>
        <v>#N/A</v>
      </c>
      <c r="F386" s="4" t="e">
        <f ca="1"/>
        <v>#N/A</v>
      </c>
      <c r="G386" s="4" t="e">
        <f ca="1"/>
        <v>#N/A</v>
      </c>
      <c r="H386" s="4" t="e">
        <f ca="1"/>
        <v>#N/A</v>
      </c>
      <c r="I386" s="7" t="e">
        <f ca="1"/>
        <v>#N/A</v>
      </c>
      <c r="J386" s="4" t="e">
        <f ca="1"/>
        <v>#N/A</v>
      </c>
      <c r="K386" s="4" t="e">
        <f ca="1"/>
        <v>#N/A</v>
      </c>
      <c r="L386" s="4" t="e">
        <f ca="1"/>
        <v>#N/A</v>
      </c>
      <c r="M386" s="4" t="e">
        <f ca="1"/>
        <v>#N/A</v>
      </c>
      <c r="N386" s="4" t="e">
        <f ca="1"/>
        <v>#N/A</v>
      </c>
      <c r="O386" s="4" t="e">
        <f ca="1"/>
        <v>#N/A</v>
      </c>
      <c r="P386" s="3" t="e">
        <f ca="1"/>
        <v>#N/A</v>
      </c>
      <c r="Q386" s="3" t="e">
        <f ca="1"/>
        <v>#N/A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showGridLines="0" workbookViewId="0"/>
  </sheetViews>
  <sheetFormatPr defaultRowHeight="15" x14ac:dyDescent="0.25"/>
  <cols>
    <col min="1" max="1" width="5.140625" customWidth="1"/>
    <col min="2" max="2" width="17.28515625" customWidth="1"/>
    <col min="3" max="3" width="16.42578125" customWidth="1"/>
    <col min="4" max="4" width="8" customWidth="1"/>
    <col min="5" max="5" width="17.42578125" bestFit="1" customWidth="1"/>
    <col min="6" max="6" width="16.85546875" customWidth="1"/>
    <col min="7" max="7" width="5.85546875" customWidth="1"/>
    <col min="8" max="8" width="18.140625" customWidth="1"/>
    <col min="9" max="9" width="15.28515625" customWidth="1"/>
    <col min="11" max="11" width="27.42578125" customWidth="1"/>
    <col min="12" max="12" width="28" customWidth="1"/>
  </cols>
  <sheetData>
    <row r="2" spans="2:12" x14ac:dyDescent="0.25">
      <c r="B2" s="1" t="s">
        <v>31</v>
      </c>
      <c r="K2" s="1" t="s">
        <v>80</v>
      </c>
    </row>
    <row r="3" spans="2:12" x14ac:dyDescent="0.25">
      <c r="B3" s="9" t="s">
        <v>2</v>
      </c>
      <c r="C3" s="29" t="s">
        <v>17</v>
      </c>
      <c r="E3" s="9" t="s">
        <v>2</v>
      </c>
      <c r="F3" s="29" t="s">
        <v>66</v>
      </c>
      <c r="H3" s="9" t="s">
        <v>2</v>
      </c>
      <c r="I3" s="29" t="s">
        <v>30</v>
      </c>
      <c r="K3" s="9" t="s">
        <v>2</v>
      </c>
      <c r="L3" s="29" t="s">
        <v>85</v>
      </c>
    </row>
    <row r="4" spans="2:12" x14ac:dyDescent="0.25">
      <c r="B4" t="s">
        <v>35</v>
      </c>
      <c r="C4" s="30">
        <v>1</v>
      </c>
      <c r="E4" t="s">
        <v>35</v>
      </c>
      <c r="F4" s="30">
        <v>2</v>
      </c>
      <c r="H4" t="s">
        <v>35</v>
      </c>
      <c r="I4" s="30">
        <v>3</v>
      </c>
      <c r="K4" s="26" t="s">
        <v>53</v>
      </c>
      <c r="L4" s="30">
        <v>200</v>
      </c>
    </row>
    <row r="5" spans="2:12" x14ac:dyDescent="0.25">
      <c r="B5" s="15" t="s">
        <v>18</v>
      </c>
      <c r="C5" s="43">
        <v>2000000</v>
      </c>
      <c r="E5" s="15" t="s">
        <v>18</v>
      </c>
      <c r="F5" s="43">
        <v>2000000</v>
      </c>
      <c r="H5" s="15" t="s">
        <v>18</v>
      </c>
      <c r="I5" s="43">
        <v>3000000</v>
      </c>
      <c r="K5" s="26" t="s">
        <v>82</v>
      </c>
      <c r="L5" s="30">
        <v>1</v>
      </c>
    </row>
    <row r="6" spans="2:12" x14ac:dyDescent="0.25">
      <c r="B6" s="15" t="s">
        <v>19</v>
      </c>
      <c r="C6" s="30" t="s">
        <v>20</v>
      </c>
      <c r="E6" s="15" t="s">
        <v>19</v>
      </c>
      <c r="F6" s="30" t="s">
        <v>20</v>
      </c>
      <c r="H6" s="15" t="s">
        <v>19</v>
      </c>
      <c r="I6" s="30" t="s">
        <v>20</v>
      </c>
      <c r="K6" s="23" t="s">
        <v>83</v>
      </c>
      <c r="L6" s="31" t="b">
        <v>0</v>
      </c>
    </row>
    <row r="7" spans="2:12" x14ac:dyDescent="0.25">
      <c r="B7" s="15" t="s">
        <v>22</v>
      </c>
      <c r="C7" s="30" t="s">
        <v>29</v>
      </c>
      <c r="E7" s="15" t="s">
        <v>22</v>
      </c>
      <c r="F7" s="30" t="s">
        <v>29</v>
      </c>
      <c r="H7" s="15" t="s">
        <v>22</v>
      </c>
      <c r="I7" s="30" t="s">
        <v>29</v>
      </c>
      <c r="K7" s="21" t="s">
        <v>81</v>
      </c>
      <c r="L7" s="32" t="str">
        <f ca="1">_xll.mscSyntheticExcessSpreadCreate(L3,K4:L6)</f>
        <v>SYNTHETIC_XS:2</v>
      </c>
    </row>
    <row r="8" spans="2:12" x14ac:dyDescent="0.25">
      <c r="B8" s="15" t="s">
        <v>21</v>
      </c>
      <c r="C8" s="44">
        <v>500</v>
      </c>
      <c r="D8" t="s">
        <v>67</v>
      </c>
      <c r="E8" s="15" t="s">
        <v>21</v>
      </c>
      <c r="F8" s="44">
        <v>500</v>
      </c>
      <c r="G8" s="34" t="s">
        <v>67</v>
      </c>
      <c r="H8" s="15" t="s">
        <v>21</v>
      </c>
      <c r="I8" s="44">
        <v>500</v>
      </c>
      <c r="J8" t="s">
        <v>67</v>
      </c>
    </row>
    <row r="9" spans="2:12" x14ac:dyDescent="0.25">
      <c r="B9" s="15" t="s">
        <v>23</v>
      </c>
      <c r="C9" s="30" t="s">
        <v>29</v>
      </c>
      <c r="E9" s="15" t="s">
        <v>23</v>
      </c>
      <c r="F9" s="30" t="s">
        <v>29</v>
      </c>
      <c r="H9" s="15" t="s">
        <v>23</v>
      </c>
      <c r="I9" s="30" t="s">
        <v>29</v>
      </c>
    </row>
    <row r="10" spans="2:12" x14ac:dyDescent="0.25">
      <c r="B10" s="15" t="s">
        <v>24</v>
      </c>
      <c r="C10" s="30" t="s">
        <v>68</v>
      </c>
      <c r="E10" s="15" t="s">
        <v>24</v>
      </c>
      <c r="F10" s="30" t="s">
        <v>68</v>
      </c>
      <c r="H10" s="15" t="s">
        <v>24</v>
      </c>
      <c r="I10" s="30" t="s">
        <v>68</v>
      </c>
      <c r="K10" s="52" t="s">
        <v>84</v>
      </c>
      <c r="L10" s="49">
        <v>2000000</v>
      </c>
    </row>
    <row r="11" spans="2:12" x14ac:dyDescent="0.25">
      <c r="B11" s="15" t="s">
        <v>26</v>
      </c>
      <c r="C11" s="30" t="s">
        <v>62</v>
      </c>
      <c r="E11" s="15" t="s">
        <v>26</v>
      </c>
      <c r="F11" s="30" t="s">
        <v>62</v>
      </c>
      <c r="H11" s="15" t="s">
        <v>26</v>
      </c>
      <c r="I11" s="30" t="s">
        <v>62</v>
      </c>
      <c r="K11" s="53" t="s">
        <v>74</v>
      </c>
      <c r="L11" s="31">
        <v>100</v>
      </c>
    </row>
    <row r="12" spans="2:12" x14ac:dyDescent="0.25">
      <c r="B12" s="15" t="s">
        <v>25</v>
      </c>
      <c r="C12" s="30" t="s">
        <v>63</v>
      </c>
      <c r="E12" s="15" t="s">
        <v>25</v>
      </c>
      <c r="F12" s="30" t="s">
        <v>63</v>
      </c>
      <c r="H12" s="15" t="s">
        <v>25</v>
      </c>
      <c r="I12" s="30" t="s">
        <v>63</v>
      </c>
      <c r="K12" s="21" t="s">
        <v>75</v>
      </c>
      <c r="L12" s="32" t="str">
        <f ca="1">_xll.mscSyntheticExcessSpreadSetThreshold(L7,L10,L11)</f>
        <v>SYNTHETIC_XS:3</v>
      </c>
    </row>
    <row r="13" spans="2:12" x14ac:dyDescent="0.25">
      <c r="B13" s="15" t="s">
        <v>27</v>
      </c>
      <c r="C13" s="83">
        <v>0</v>
      </c>
      <c r="E13" s="15" t="s">
        <v>27</v>
      </c>
      <c r="F13" s="83">
        <v>0</v>
      </c>
      <c r="H13" s="15" t="s">
        <v>27</v>
      </c>
      <c r="I13" s="83">
        <v>0</v>
      </c>
    </row>
    <row r="14" spans="2:12" x14ac:dyDescent="0.25">
      <c r="B14" s="11" t="s">
        <v>32</v>
      </c>
      <c r="C14" s="31"/>
      <c r="E14" s="11" t="s">
        <v>32</v>
      </c>
      <c r="F14" s="31"/>
      <c r="H14" s="11" t="s">
        <v>32</v>
      </c>
      <c r="I14" s="31"/>
    </row>
    <row r="15" spans="2:12" x14ac:dyDescent="0.25">
      <c r="B15" s="21" t="s">
        <v>28</v>
      </c>
      <c r="C15" s="32" t="str">
        <f ca="1">_xll.mscTrancheDefinitionCreate(C3,B5:C14)</f>
        <v>EQUITY:1</v>
      </c>
      <c r="E15" s="21" t="s">
        <v>28</v>
      </c>
      <c r="F15" s="32" t="str">
        <f ca="1">_xll.mscTrancheDefinitionCreate(F3,E5:F14)</f>
        <v>MEZZ:1</v>
      </c>
      <c r="H15" s="21" t="s">
        <v>28</v>
      </c>
      <c r="I15" s="32" t="str">
        <f ca="1">_xll.mscTrancheDefinitionCreate(I3,H5:I14)</f>
        <v>SENIOR:1</v>
      </c>
    </row>
    <row r="18" spans="2:2" x14ac:dyDescent="0.25">
      <c r="B18" s="1" t="s">
        <v>56</v>
      </c>
    </row>
    <row r="19" spans="2:2" x14ac:dyDescent="0.25">
      <c r="B19" s="24">
        <f ca="1">COUNTA(B22:B25)</f>
        <v>3</v>
      </c>
    </row>
    <row r="21" spans="2:2" x14ac:dyDescent="0.25">
      <c r="B21" s="1" t="s">
        <v>38</v>
      </c>
    </row>
    <row r="22" spans="2:2" x14ac:dyDescent="0.25">
      <c r="B22" s="13" t="str">
        <f ca="1">C15</f>
        <v>EQUITY:1</v>
      </c>
    </row>
    <row r="23" spans="2:2" x14ac:dyDescent="0.25">
      <c r="B23" s="14" t="str">
        <f ca="1">F15</f>
        <v>MEZZ:1</v>
      </c>
    </row>
    <row r="24" spans="2:2" x14ac:dyDescent="0.25">
      <c r="B24" s="14" t="str">
        <f ca="1">I15</f>
        <v>SENIOR:1</v>
      </c>
    </row>
    <row r="25" spans="2:2" x14ac:dyDescent="0.25">
      <c r="B25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showGridLines="0" workbookViewId="0"/>
  </sheetViews>
  <sheetFormatPr defaultRowHeight="15" x14ac:dyDescent="0.25"/>
  <cols>
    <col min="1" max="1" width="5.140625" customWidth="1"/>
    <col min="2" max="2" width="13.42578125" customWidth="1"/>
    <col min="3" max="3" width="14.42578125" customWidth="1"/>
    <col min="4" max="4" width="5.140625" customWidth="1"/>
    <col min="5" max="5" width="18.28515625" customWidth="1"/>
    <col min="6" max="6" width="12.85546875" customWidth="1"/>
    <col min="7" max="7" width="5.7109375" customWidth="1"/>
    <col min="8" max="8" width="14.85546875" customWidth="1"/>
    <col min="9" max="9" width="19.42578125" customWidth="1"/>
    <col min="10" max="10" width="16.85546875" customWidth="1"/>
  </cols>
  <sheetData>
    <row r="2" spans="2:10" x14ac:dyDescent="0.25">
      <c r="B2" s="1" t="s">
        <v>57</v>
      </c>
    </row>
    <row r="3" spans="2:10" x14ac:dyDescent="0.25">
      <c r="B3" s="9" t="s">
        <v>34</v>
      </c>
      <c r="C3" s="10" t="s">
        <v>55</v>
      </c>
      <c r="E3" s="9" t="s">
        <v>34</v>
      </c>
      <c r="F3" s="10" t="s">
        <v>58</v>
      </c>
      <c r="I3" s="9" t="s">
        <v>34</v>
      </c>
      <c r="J3" s="10" t="s">
        <v>72</v>
      </c>
    </row>
    <row r="4" spans="2:10" x14ac:dyDescent="0.25">
      <c r="B4" s="23" t="s">
        <v>53</v>
      </c>
      <c r="C4" s="20">
        <v>200</v>
      </c>
      <c r="E4" s="23" t="s">
        <v>53</v>
      </c>
      <c r="F4" s="20">
        <v>200</v>
      </c>
      <c r="I4" s="23" t="s">
        <v>53</v>
      </c>
      <c r="J4" s="20">
        <v>200</v>
      </c>
    </row>
    <row r="5" spans="2:10" x14ac:dyDescent="0.25">
      <c r="B5" s="47" t="s">
        <v>54</v>
      </c>
      <c r="C5" s="32" t="str">
        <f ca="1">_xll.mscTriggerCreate(C3,C4)</f>
        <v>TRIGGER1:2</v>
      </c>
      <c r="E5" s="47" t="s">
        <v>54</v>
      </c>
      <c r="F5" s="32" t="str">
        <f ca="1">_xll.mscTriggerCreate(F3,F4)</f>
        <v>TRIGGER2:2</v>
      </c>
      <c r="I5" s="47" t="s">
        <v>54</v>
      </c>
      <c r="J5" s="32" t="str">
        <f ca="1">_xll.mscTriggerCreate(J3,J4)</f>
        <v>TRIGGER3:2</v>
      </c>
    </row>
    <row r="7" spans="2:10" x14ac:dyDescent="0.25">
      <c r="B7" s="9" t="s">
        <v>73</v>
      </c>
      <c r="C7" s="48">
        <v>10000</v>
      </c>
      <c r="E7" s="9" t="s">
        <v>73</v>
      </c>
      <c r="F7" s="48">
        <v>20000</v>
      </c>
      <c r="H7" s="3" t="s">
        <v>70</v>
      </c>
      <c r="I7" s="3" t="s">
        <v>69</v>
      </c>
      <c r="J7" s="3" t="s">
        <v>71</v>
      </c>
    </row>
    <row r="8" spans="2:10" x14ac:dyDescent="0.25">
      <c r="B8" s="23" t="s">
        <v>74</v>
      </c>
      <c r="C8" s="20">
        <v>100</v>
      </c>
      <c r="E8" s="26" t="s">
        <v>76</v>
      </c>
      <c r="F8" s="20">
        <v>50</v>
      </c>
      <c r="H8" s="3">
        <v>1</v>
      </c>
      <c r="I8" s="49">
        <v>10000</v>
      </c>
      <c r="J8" s="29" t="b">
        <v>1</v>
      </c>
    </row>
    <row r="9" spans="2:10" x14ac:dyDescent="0.25">
      <c r="B9" s="47" t="s">
        <v>75</v>
      </c>
      <c r="C9" s="32" t="str">
        <f ca="1">_xll.mscTriggerSetThreshold(C5,C7,C8)</f>
        <v>TRIGGER1:3</v>
      </c>
      <c r="E9" s="11" t="s">
        <v>77</v>
      </c>
      <c r="F9" s="20">
        <v>100</v>
      </c>
      <c r="H9" s="3">
        <v>2</v>
      </c>
      <c r="I9" s="50">
        <v>10100</v>
      </c>
      <c r="J9" s="30" t="b">
        <v>1</v>
      </c>
    </row>
    <row r="10" spans="2:10" x14ac:dyDescent="0.25">
      <c r="E10" s="47" t="s">
        <v>78</v>
      </c>
      <c r="F10" s="32" t="str">
        <f ca="1">_xll.mscTriggerSetThresholdRange(F5,F7,F8,F9)</f>
        <v>TRIGGER2:3</v>
      </c>
      <c r="H10" s="3">
        <v>3</v>
      </c>
      <c r="I10" s="50">
        <v>10200</v>
      </c>
      <c r="J10" s="30" t="b">
        <v>1</v>
      </c>
    </row>
    <row r="11" spans="2:10" x14ac:dyDescent="0.25">
      <c r="H11" s="3">
        <v>4</v>
      </c>
      <c r="I11" s="50">
        <v>10300</v>
      </c>
      <c r="J11" s="30" t="b">
        <v>1</v>
      </c>
    </row>
    <row r="12" spans="2:10" x14ac:dyDescent="0.25">
      <c r="H12" s="3">
        <v>5</v>
      </c>
      <c r="I12" s="50">
        <v>10400</v>
      </c>
      <c r="J12" s="30" t="b">
        <v>1</v>
      </c>
    </row>
    <row r="13" spans="2:10" x14ac:dyDescent="0.25">
      <c r="H13" s="3">
        <v>6</v>
      </c>
      <c r="I13" s="50">
        <v>10500</v>
      </c>
      <c r="J13" s="30" t="b">
        <v>1</v>
      </c>
    </row>
    <row r="14" spans="2:10" x14ac:dyDescent="0.25">
      <c r="H14" s="3">
        <v>7</v>
      </c>
      <c r="I14" s="50">
        <v>10600</v>
      </c>
      <c r="J14" s="30" t="b">
        <v>1</v>
      </c>
    </row>
    <row r="15" spans="2:10" x14ac:dyDescent="0.25">
      <c r="H15" s="3">
        <v>8</v>
      </c>
      <c r="I15" s="50">
        <v>10700</v>
      </c>
      <c r="J15" s="30" t="b">
        <v>1</v>
      </c>
    </row>
    <row r="16" spans="2:10" x14ac:dyDescent="0.25">
      <c r="H16" s="3">
        <v>9</v>
      </c>
      <c r="I16" s="50">
        <v>10800</v>
      </c>
      <c r="J16" s="30" t="b">
        <v>1</v>
      </c>
    </row>
    <row r="17" spans="2:10" x14ac:dyDescent="0.25">
      <c r="H17" s="3">
        <v>10</v>
      </c>
      <c r="I17" s="50">
        <v>10900</v>
      </c>
      <c r="J17" s="30" t="b">
        <v>1</v>
      </c>
    </row>
    <row r="18" spans="2:10" x14ac:dyDescent="0.25">
      <c r="B18" s="1" t="s">
        <v>59</v>
      </c>
      <c r="H18" s="3">
        <v>11</v>
      </c>
      <c r="I18" s="50">
        <v>11000</v>
      </c>
      <c r="J18" s="30" t="b">
        <v>1</v>
      </c>
    </row>
    <row r="19" spans="2:10" x14ac:dyDescent="0.25">
      <c r="B19" s="24">
        <f ca="1">COUNTA(B22:B25)</f>
        <v>3</v>
      </c>
      <c r="H19" s="3">
        <v>12</v>
      </c>
      <c r="I19" s="50">
        <v>11100</v>
      </c>
      <c r="J19" s="30" t="b">
        <v>1</v>
      </c>
    </row>
    <row r="20" spans="2:10" x14ac:dyDescent="0.25">
      <c r="H20" s="3">
        <v>13</v>
      </c>
      <c r="I20" s="50">
        <v>11200</v>
      </c>
      <c r="J20" s="30" t="b">
        <v>1</v>
      </c>
    </row>
    <row r="21" spans="2:10" x14ac:dyDescent="0.25">
      <c r="B21" s="1" t="s">
        <v>46</v>
      </c>
      <c r="H21" s="3">
        <v>14</v>
      </c>
      <c r="I21" s="50">
        <v>11300</v>
      </c>
      <c r="J21" s="30" t="b">
        <v>1</v>
      </c>
    </row>
    <row r="22" spans="2:10" x14ac:dyDescent="0.25">
      <c r="B22" s="13" t="str">
        <f ca="1">C9</f>
        <v>TRIGGER1:3</v>
      </c>
      <c r="H22" s="3">
        <v>15</v>
      </c>
      <c r="I22" s="50">
        <v>11400</v>
      </c>
      <c r="J22" s="30" t="b">
        <v>1</v>
      </c>
    </row>
    <row r="23" spans="2:10" x14ac:dyDescent="0.25">
      <c r="B23" s="14" t="str">
        <f ca="1">F10</f>
        <v>TRIGGER2:3</v>
      </c>
      <c r="H23" s="3">
        <v>16</v>
      </c>
      <c r="I23" s="50">
        <v>11500</v>
      </c>
      <c r="J23" s="30" t="b">
        <v>1</v>
      </c>
    </row>
    <row r="24" spans="2:10" x14ac:dyDescent="0.25">
      <c r="B24" s="14" t="str">
        <f ca="1">J28</f>
        <v>TRIGGER3:3</v>
      </c>
      <c r="H24" s="3">
        <v>17</v>
      </c>
      <c r="I24" s="50">
        <v>11600</v>
      </c>
      <c r="J24" s="30" t="b">
        <v>1</v>
      </c>
    </row>
    <row r="25" spans="2:10" x14ac:dyDescent="0.25">
      <c r="B25" s="12"/>
      <c r="H25" s="3">
        <v>18</v>
      </c>
      <c r="I25" s="50">
        <v>11700</v>
      </c>
      <c r="J25" s="30" t="b">
        <v>1</v>
      </c>
    </row>
    <row r="26" spans="2:10" x14ac:dyDescent="0.25">
      <c r="H26" s="3">
        <v>19</v>
      </c>
      <c r="I26" s="50">
        <v>11800</v>
      </c>
      <c r="J26" s="30" t="b">
        <v>1</v>
      </c>
    </row>
    <row r="27" spans="2:10" x14ac:dyDescent="0.25">
      <c r="H27" s="3">
        <v>20</v>
      </c>
      <c r="I27" s="51">
        <v>11900</v>
      </c>
      <c r="J27" s="31" t="b">
        <v>1</v>
      </c>
    </row>
    <row r="28" spans="2:10" x14ac:dyDescent="0.25">
      <c r="I28" s="47" t="s">
        <v>79</v>
      </c>
      <c r="J28" s="32" t="str">
        <f ca="1">_xll.mscTriggerSetThresholdVector(J5,I8:I27,J8:J27)</f>
        <v>TRIGGER3:3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8"/>
  <sheetViews>
    <sheetView showGridLines="0" workbookViewId="0"/>
  </sheetViews>
  <sheetFormatPr defaultRowHeight="15" x14ac:dyDescent="0.25"/>
  <cols>
    <col min="1" max="1" width="5.7109375" customWidth="1"/>
    <col min="2" max="2" width="25.85546875" customWidth="1"/>
    <col min="3" max="3" width="21.28515625" customWidth="1"/>
    <col min="4" max="5" width="17.140625" customWidth="1"/>
    <col min="6" max="6" width="4.85546875" customWidth="1"/>
    <col min="7" max="7" width="16.28515625" customWidth="1"/>
    <col min="8" max="8" width="11.85546875" bestFit="1" customWidth="1"/>
    <col min="9" max="9" width="13.7109375" bestFit="1" customWidth="1"/>
    <col min="10" max="10" width="18.7109375" bestFit="1" customWidth="1"/>
    <col min="11" max="11" width="18.85546875" bestFit="1" customWidth="1"/>
  </cols>
  <sheetData>
    <row r="2" spans="2:7" x14ac:dyDescent="0.25">
      <c r="B2" s="1" t="s">
        <v>36</v>
      </c>
    </row>
    <row r="3" spans="2:7" x14ac:dyDescent="0.25">
      <c r="B3" s="9" t="s">
        <v>34</v>
      </c>
      <c r="C3" s="22" t="s">
        <v>33</v>
      </c>
    </row>
    <row r="4" spans="2:7" x14ac:dyDescent="0.25">
      <c r="B4" s="23" t="s">
        <v>36</v>
      </c>
      <c r="C4" s="12" t="str">
        <f ca="1">_xll.mscCashflowEngineCreate(C3)</f>
        <v>CAPITALSTRUCTURE:4</v>
      </c>
    </row>
    <row r="6" spans="2:7" x14ac:dyDescent="0.25">
      <c r="B6" s="1" t="s">
        <v>51</v>
      </c>
      <c r="E6" s="1" t="s">
        <v>38</v>
      </c>
      <c r="G6" s="1" t="s">
        <v>46</v>
      </c>
    </row>
    <row r="7" spans="2:7" x14ac:dyDescent="0.25">
      <c r="B7" s="25" t="s">
        <v>39</v>
      </c>
      <c r="C7" s="54" t="str">
        <f ca="1">Portfolio!D9</f>
        <v>MYPORTFOLIO:2</v>
      </c>
      <c r="E7" s="13" t="str">
        <f t="array" aca="1" ref="E7:E14" ca="1">_xll.meUtilityResize(Tranches,8,1)</f>
        <v>EQUITY:1</v>
      </c>
      <c r="G7" s="13" t="str">
        <f t="array" aca="1" ref="G7:G14" ca="1">_xll.meUtilityResize(Triggers,8,1)</f>
        <v>TRIGGER1:3</v>
      </c>
    </row>
    <row r="8" spans="2:7" x14ac:dyDescent="0.25">
      <c r="B8" s="26" t="s">
        <v>60</v>
      </c>
      <c r="C8" s="29">
        <v>7.0000000000000007E-2</v>
      </c>
      <c r="E8" s="14" t="str">
        <f ca="1"/>
        <v>MEZZ:1</v>
      </c>
      <c r="G8" s="14" t="str">
        <f ca="1"/>
        <v>TRIGGER2:3</v>
      </c>
    </row>
    <row r="9" spans="2:7" x14ac:dyDescent="0.25">
      <c r="B9" s="26" t="s">
        <v>61</v>
      </c>
      <c r="C9" s="30">
        <v>0.4</v>
      </c>
      <c r="E9" s="14" t="str">
        <f ca="1"/>
        <v>SENIOR:1</v>
      </c>
      <c r="G9" s="14" t="str">
        <f ca="1"/>
        <v>TRIGGER3:3</v>
      </c>
    </row>
    <row r="10" spans="2:7" x14ac:dyDescent="0.25">
      <c r="B10" s="26" t="s">
        <v>40</v>
      </c>
      <c r="C10" s="30">
        <v>50</v>
      </c>
      <c r="E10" s="14" t="str">
        <f ca="1"/>
        <v/>
      </c>
      <c r="G10" s="14" t="str">
        <f ca="1"/>
        <v/>
      </c>
    </row>
    <row r="11" spans="2:7" x14ac:dyDescent="0.25">
      <c r="B11" s="26" t="s">
        <v>41</v>
      </c>
      <c r="C11" s="30">
        <v>500</v>
      </c>
      <c r="E11" s="14" t="str">
        <f ca="1"/>
        <v/>
      </c>
      <c r="G11" s="14" t="str">
        <f ca="1"/>
        <v/>
      </c>
    </row>
    <row r="12" spans="2:7" x14ac:dyDescent="0.25">
      <c r="B12" s="26" t="s">
        <v>42</v>
      </c>
      <c r="C12" s="30" t="s">
        <v>49</v>
      </c>
      <c r="E12" s="14" t="str">
        <f ca="1"/>
        <v/>
      </c>
      <c r="G12" s="14" t="str">
        <f ca="1"/>
        <v/>
      </c>
    </row>
    <row r="13" spans="2:7" x14ac:dyDescent="0.25">
      <c r="B13" s="26" t="s">
        <v>43</v>
      </c>
      <c r="C13" s="30" t="s">
        <v>50</v>
      </c>
      <c r="E13" s="14" t="str">
        <f ca="1"/>
        <v/>
      </c>
      <c r="G13" s="14" t="str">
        <f ca="1"/>
        <v/>
      </c>
    </row>
    <row r="14" spans="2:7" x14ac:dyDescent="0.25">
      <c r="B14" s="26" t="s">
        <v>44</v>
      </c>
      <c r="C14" s="33">
        <f ca="1">TODAY()</f>
        <v>43858</v>
      </c>
      <c r="E14" s="12" t="str">
        <f ca="1"/>
        <v/>
      </c>
      <c r="G14" s="12" t="str">
        <f ca="1"/>
        <v/>
      </c>
    </row>
    <row r="15" spans="2:7" x14ac:dyDescent="0.25">
      <c r="B15" s="26" t="s">
        <v>45</v>
      </c>
      <c r="C15" s="33">
        <f ca="1">C14+3000</f>
        <v>46858</v>
      </c>
    </row>
    <row r="16" spans="2:7" x14ac:dyDescent="0.25">
      <c r="B16" s="26" t="s">
        <v>47</v>
      </c>
      <c r="C16" s="33">
        <f ca="1">C15</f>
        <v>46858</v>
      </c>
      <c r="E16" s="1" t="s">
        <v>80</v>
      </c>
    </row>
    <row r="17" spans="2:5" x14ac:dyDescent="0.25">
      <c r="B17" s="26" t="s">
        <v>48</v>
      </c>
      <c r="C17" s="31">
        <v>0</v>
      </c>
      <c r="E17" s="32" t="str">
        <f ca="1">Tranches!L12</f>
        <v>SYNTHETIC_XS:3</v>
      </c>
    </row>
    <row r="18" spans="2:5" x14ac:dyDescent="0.25">
      <c r="B18" s="27" t="s">
        <v>37</v>
      </c>
      <c r="C18" s="32" t="str">
        <f ca="1">_xll.mscCashflowEngineConfigure(C4,C7,B8:C17,E7:E14,G7:G14)</f>
        <v>CAPITALSTRUCTURE:5</v>
      </c>
    </row>
    <row r="20" spans="2:5" x14ac:dyDescent="0.25">
      <c r="B20" s="27" t="s">
        <v>86</v>
      </c>
      <c r="C20" s="28" t="str">
        <f ca="1">_xll.mscCashflowEngineSetSyntheticExcessSpread(C18,E17)</f>
        <v>CAPITALSTRUCTURE:6</v>
      </c>
    </row>
    <row r="22" spans="2:5" x14ac:dyDescent="0.25">
      <c r="B22" s="27" t="s">
        <v>52</v>
      </c>
      <c r="C22" s="28" t="str">
        <f ca="1">_xll.mscCashflowEngineEvaluate(C20)</f>
        <v>CAPITALSTRUCTURE:7</v>
      </c>
    </row>
    <row r="25" spans="2:5" x14ac:dyDescent="0.25">
      <c r="B25" s="1" t="s">
        <v>92</v>
      </c>
    </row>
    <row r="26" spans="2:5" x14ac:dyDescent="0.25">
      <c r="B26" s="25" t="s">
        <v>89</v>
      </c>
      <c r="C26" s="58">
        <f ca="1">C14</f>
        <v>43858</v>
      </c>
    </row>
    <row r="27" spans="2:5" x14ac:dyDescent="0.25">
      <c r="B27" s="26" t="s">
        <v>91</v>
      </c>
      <c r="C27" s="30">
        <v>98</v>
      </c>
    </row>
    <row r="28" spans="2:5" x14ac:dyDescent="0.25">
      <c r="B28" s="23" t="s">
        <v>90</v>
      </c>
      <c r="C28" s="57">
        <v>0.01</v>
      </c>
    </row>
    <row r="30" spans="2:5" x14ac:dyDescent="0.25">
      <c r="B30" s="27" t="s">
        <v>88</v>
      </c>
      <c r="C30" s="55" t="s">
        <v>87</v>
      </c>
    </row>
    <row r="31" spans="2:5" x14ac:dyDescent="0.25">
      <c r="B31" s="13" t="str">
        <f t="array" aca="1" ref="B31:B38" ca="1">_xll.meUtilityResize(Tranches,8,1)</f>
        <v>EQUITY:1</v>
      </c>
      <c r="C31" s="59">
        <f ca="1">_xll.mscTrancheCalculatePV(B31,$C$22,$C$26,$C$27,$C$28)</f>
        <v>58067.673242476543</v>
      </c>
      <c r="E31" s="1"/>
    </row>
    <row r="32" spans="2:5" x14ac:dyDescent="0.25">
      <c r="B32" s="14" t="str">
        <f ca="1"/>
        <v>MEZZ:1</v>
      </c>
      <c r="C32" s="60">
        <f ca="1">_xll.mscTrancheCalculatePV(B32,$C$22,$C$26,$C$27,$C$28)</f>
        <v>269903.464522038</v>
      </c>
    </row>
    <row r="33" spans="2:3" x14ac:dyDescent="0.25">
      <c r="B33" s="14" t="str">
        <f ca="1"/>
        <v>SENIOR:1</v>
      </c>
      <c r="C33" s="60">
        <f ca="1">_xll.mscTrancheCalculatePV(B33,$C$22,$C$26,$C$27,$C$28)</f>
        <v>3163667.1097680777</v>
      </c>
    </row>
    <row r="34" spans="2:3" x14ac:dyDescent="0.25">
      <c r="B34" s="14" t="str">
        <f ca="1"/>
        <v/>
      </c>
      <c r="C34" s="56"/>
    </row>
    <row r="35" spans="2:3" x14ac:dyDescent="0.25">
      <c r="B35" s="14" t="str">
        <f ca="1"/>
        <v/>
      </c>
      <c r="C35" s="56"/>
    </row>
    <row r="36" spans="2:3" x14ac:dyDescent="0.25">
      <c r="B36" s="14" t="str">
        <f ca="1"/>
        <v/>
      </c>
      <c r="C36" s="56"/>
    </row>
    <row r="37" spans="2:3" x14ac:dyDescent="0.25">
      <c r="B37" s="14" t="str">
        <f ca="1"/>
        <v/>
      </c>
      <c r="C37" s="56"/>
    </row>
    <row r="38" spans="2:3" x14ac:dyDescent="0.25">
      <c r="B38" s="12" t="str">
        <f ca="1"/>
        <v/>
      </c>
      <c r="C38" s="3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N121"/>
  <sheetViews>
    <sheetView showGridLines="0" zoomScale="80" zoomScaleNormal="80" workbookViewId="0"/>
  </sheetViews>
  <sheetFormatPr defaultRowHeight="15" x14ac:dyDescent="0.25"/>
  <cols>
    <col min="1" max="1" width="4.140625" customWidth="1"/>
    <col min="2" max="2" width="16.28515625" customWidth="1"/>
    <col min="3" max="3" width="19.7109375" customWidth="1"/>
    <col min="4" max="4" width="17.140625" bestFit="1" customWidth="1"/>
    <col min="5" max="5" width="21.28515625" bestFit="1" customWidth="1"/>
    <col min="6" max="6" width="20.5703125" bestFit="1" customWidth="1"/>
    <col min="7" max="7" width="18" bestFit="1" customWidth="1"/>
    <col min="8" max="8" width="11.85546875" bestFit="1" customWidth="1"/>
    <col min="9" max="9" width="15.5703125" bestFit="1" customWidth="1"/>
    <col min="10" max="10" width="20.28515625" bestFit="1" customWidth="1"/>
    <col min="11" max="11" width="20.85546875" bestFit="1" customWidth="1"/>
    <col min="12" max="12" width="16.5703125" bestFit="1" customWidth="1"/>
    <col min="13" max="13" width="20.85546875" bestFit="1" customWidth="1"/>
    <col min="14" max="14" width="18.7109375" style="3" bestFit="1" customWidth="1"/>
    <col min="15" max="15" width="24.5703125" style="3" bestFit="1" customWidth="1"/>
    <col min="16" max="16" width="23.7109375" style="3" bestFit="1" customWidth="1"/>
    <col min="17" max="17" width="21.28515625" style="3" bestFit="1" customWidth="1"/>
    <col min="18" max="18" width="20.7109375" bestFit="1" customWidth="1"/>
    <col min="19" max="19" width="19.85546875" bestFit="1" customWidth="1"/>
    <col min="20" max="20" width="22" bestFit="1" customWidth="1"/>
    <col min="21" max="21" width="26.140625" customWidth="1"/>
    <col min="22" max="22" width="25.28515625" bestFit="1" customWidth="1"/>
    <col min="23" max="23" width="24.5703125" bestFit="1" customWidth="1"/>
    <col min="24" max="24" width="28.28515625" customWidth="1"/>
    <col min="25" max="25" width="15.5703125" style="3" bestFit="1" customWidth="1"/>
    <col min="26" max="26" width="20.140625" style="3" bestFit="1" customWidth="1"/>
    <col min="27" max="27" width="16.28515625" customWidth="1"/>
    <col min="28" max="28" width="25" style="3" customWidth="1"/>
    <col min="29" max="29" width="18.140625" style="3" bestFit="1" customWidth="1"/>
    <col min="30" max="30" width="18.42578125" style="3" bestFit="1" customWidth="1"/>
    <col min="31" max="31" width="21.5703125" style="3" bestFit="1" customWidth="1"/>
    <col min="32" max="32" width="35.7109375" style="3" customWidth="1"/>
    <col min="33" max="33" width="19.42578125" bestFit="1" customWidth="1"/>
    <col min="34" max="34" width="18.85546875" bestFit="1" customWidth="1"/>
    <col min="35" max="35" width="26.28515625" bestFit="1" customWidth="1"/>
    <col min="36" max="36" width="24.140625" bestFit="1" customWidth="1"/>
    <col min="37" max="37" width="22.85546875" bestFit="1" customWidth="1"/>
    <col min="38" max="38" width="28.85546875" bestFit="1" customWidth="1"/>
    <col min="39" max="39" width="28" bestFit="1" customWidth="1"/>
    <col min="40" max="40" width="25.5703125" bestFit="1" customWidth="1"/>
    <col min="41" max="41" width="19" bestFit="1" customWidth="1"/>
    <col min="42" max="42" width="13.85546875" bestFit="1" customWidth="1"/>
    <col min="43" max="43" width="22.5703125" customWidth="1"/>
    <col min="44" max="44" width="25.85546875" customWidth="1"/>
    <col min="45" max="45" width="24" customWidth="1"/>
    <col min="46" max="46" width="16" customWidth="1"/>
    <col min="47" max="47" width="29.5703125" bestFit="1" customWidth="1"/>
    <col min="48" max="48" width="19.85546875" style="3" bestFit="1" customWidth="1"/>
    <col min="49" max="49" width="24.42578125" style="3" bestFit="1" customWidth="1"/>
    <col min="50" max="50" width="16.85546875" customWidth="1"/>
    <col min="51" max="51" width="32.42578125" style="3" bestFit="1" customWidth="1"/>
    <col min="52" max="52" width="22.42578125" style="3" bestFit="1" customWidth="1"/>
    <col min="53" max="53" width="22.7109375" style="3" bestFit="1" customWidth="1"/>
    <col min="54" max="54" width="35.7109375" style="3" bestFit="1" customWidth="1"/>
    <col min="55" max="55" width="43.140625" style="3" bestFit="1" customWidth="1"/>
    <col min="56" max="56" width="12.5703125" customWidth="1"/>
    <col min="57" max="57" width="23.140625" style="3" bestFit="1" customWidth="1"/>
    <col min="58" max="58" width="30.5703125" style="3" bestFit="1" customWidth="1"/>
    <col min="59" max="59" width="28.42578125" style="3" bestFit="1" customWidth="1"/>
    <col min="60" max="60" width="18.85546875" style="3" bestFit="1" customWidth="1"/>
    <col min="61" max="61" width="19.85546875" style="3" customWidth="1"/>
    <col min="62" max="62" width="23.85546875" style="3" bestFit="1" customWidth="1"/>
    <col min="63" max="63" width="21.42578125" style="3" bestFit="1" customWidth="1"/>
    <col min="64" max="64" width="20.85546875" bestFit="1" customWidth="1"/>
    <col min="65" max="65" width="20" bestFit="1" customWidth="1"/>
    <col min="66" max="66" width="22.140625" bestFit="1" customWidth="1"/>
    <col min="67" max="67" width="26.5703125" bestFit="1" customWidth="1"/>
    <col min="68" max="68" width="25.5703125" bestFit="1" customWidth="1"/>
    <col min="69" max="69" width="24.85546875" bestFit="1" customWidth="1"/>
    <col min="70" max="70" width="25.5703125" bestFit="1" customWidth="1"/>
    <col min="71" max="71" width="15.7109375" style="3" bestFit="1" customWidth="1"/>
    <col min="72" max="72" width="20.28515625" style="3" bestFit="1" customWidth="1"/>
    <col min="73" max="73" width="16" bestFit="1" customWidth="1"/>
    <col min="74" max="74" width="28.42578125" style="3" bestFit="1" customWidth="1"/>
    <col min="75" max="75" width="18.42578125" style="3" bestFit="1" customWidth="1"/>
    <col min="76" max="76" width="18.7109375" style="3" bestFit="1" customWidth="1"/>
    <col min="77" max="77" width="31.5703125" style="3" bestFit="1" customWidth="1"/>
    <col min="78" max="78" width="39.140625" style="3" bestFit="1" customWidth="1"/>
    <col min="79" max="79" width="19.5703125" bestFit="1" customWidth="1"/>
    <col min="80" max="80" width="19.140625" style="3" bestFit="1" customWidth="1"/>
    <col min="81" max="81" width="26.42578125" style="3" bestFit="1" customWidth="1"/>
    <col min="82" max="82" width="24.28515625" style="3" bestFit="1" customWidth="1"/>
  </cols>
  <sheetData>
    <row r="2" spans="2:92" x14ac:dyDescent="0.25">
      <c r="B2" t="s">
        <v>65</v>
      </c>
      <c r="C2" t="s">
        <v>64</v>
      </c>
    </row>
    <row r="3" spans="2:92" x14ac:dyDescent="0.25">
      <c r="B3" s="27" t="s">
        <v>64</v>
      </c>
      <c r="C3" s="28" t="str">
        <f ca="1">_xll.mscCashflowEngineLiabilityFlows(C2,CashflowEngine!C22)</f>
        <v>LIABILITYFLOWS:2</v>
      </c>
    </row>
    <row r="4" spans="2:92" x14ac:dyDescent="0.25">
      <c r="R4" t="e">
        <f>NA()</f>
        <v>#N/A</v>
      </c>
      <c r="BM4" s="39"/>
    </row>
    <row r="5" spans="2:92" x14ac:dyDescent="0.25">
      <c r="B5" s="1" t="s">
        <v>9</v>
      </c>
    </row>
    <row r="6" spans="2:92" x14ac:dyDescent="0.25">
      <c r="B6" t="str">
        <f t="array" aca="1" ref="B6:CN121" ca="1">_xll.mscDataFrameDisplay(C3)</f>
        <v>Period</v>
      </c>
      <c r="C6" t="str">
        <f ca="1"/>
        <v>PoolBalanceStart</v>
      </c>
      <c r="D6" t="str">
        <f ca="1"/>
        <v>PoolBalanceEnd</v>
      </c>
      <c r="E6" t="str">
        <f ca="1"/>
        <v>PrincipalComponent</v>
      </c>
      <c r="F6" t="str">
        <f ca="1"/>
        <v>ReinvestmentBalance</v>
      </c>
      <c r="G6" t="str">
        <f ca="1"/>
        <v>SeverityRecovered</v>
      </c>
      <c r="H6" t="str">
        <f ca="1"/>
        <v>Prepayment</v>
      </c>
      <c r="I6" t="str">
        <f ca="1"/>
        <v>LossGivenLoss</v>
      </c>
      <c r="J6" t="str">
        <f ca="1"/>
        <v>InterestComponent</v>
      </c>
      <c r="K6" t="str">
        <f ca="1"/>
        <v>CumulativeDefaults</v>
      </c>
      <c r="L6" t="str">
        <f ca="1"/>
        <v>CumulativeLoss</v>
      </c>
      <c r="M6" t="str">
        <f ca="1"/>
        <v>CumulativeRecovery</v>
      </c>
      <c r="N6" s="3" t="str">
        <f ca="1"/>
        <v>EQUITYFixingDate</v>
      </c>
      <c r="O6" s="3" t="str">
        <f ca="1"/>
        <v>EQUITYAccrualStartDate</v>
      </c>
      <c r="P6" s="3" t="str">
        <f ca="1"/>
        <v>EQUITYAccrualEndDate</v>
      </c>
      <c r="Q6" s="3" t="str">
        <f ca="1"/>
        <v>EQUITYPaymentDate</v>
      </c>
      <c r="R6" t="str">
        <f ca="1"/>
        <v>EQUITYBalanceStart</v>
      </c>
      <c r="S6" t="str">
        <f ca="1"/>
        <v>EQUITYBalanceEnd</v>
      </c>
      <c r="T6" t="str">
        <f ca="1"/>
        <v>EQUITYLossAllocated</v>
      </c>
      <c r="U6" t="str">
        <f ca="1"/>
        <v>EQUITYPrincipalAllocated</v>
      </c>
      <c r="V6" t="str">
        <f ca="1"/>
        <v>EQUITYPrincipalPayment</v>
      </c>
      <c r="W6" t="str">
        <f ca="1"/>
        <v>EQUITYAttachmentPoint</v>
      </c>
      <c r="X6" t="str">
        <f ca="1"/>
        <v>EQUITYDetachmentPoint</v>
      </c>
      <c r="Y6" s="3" t="str">
        <f ca="1"/>
        <v>EQUITYCoupon</v>
      </c>
      <c r="Z6" s="3" t="str">
        <f ca="1"/>
        <v>EQUITYCouponRate</v>
      </c>
      <c r="AA6" t="str">
        <f ca="1"/>
        <v>EQUITYPayType</v>
      </c>
      <c r="AB6" s="3" t="str">
        <f ca="1"/>
        <v>EQUITYCouponYearFraction</v>
      </c>
      <c r="AC6" s="3" t="str">
        <f ca="1"/>
        <v>EQUITYResetRate</v>
      </c>
      <c r="AD6" s="3" t="str">
        <f ca="1"/>
        <v>EQUITYResetDate</v>
      </c>
      <c r="AE6" s="3" t="str">
        <f ca="1"/>
        <v>EQUITYDiscountFactorRiskless</v>
      </c>
      <c r="AF6" s="3" t="str">
        <f ca="1"/>
        <v>EQUITYDiscountFactorDiscountMargin</v>
      </c>
      <c r="AG6" t="str">
        <f ca="1"/>
        <v>EQUITYRiskWeight</v>
      </c>
      <c r="AH6" t="str">
        <f ca="1"/>
        <v>EQUITYPVRiskless</v>
      </c>
      <c r="AI6" t="str">
        <f ca="1"/>
        <v>EQUITYPVDiscountMargin</v>
      </c>
      <c r="AJ6" t="str">
        <f ca="1"/>
        <v>EQUITYAverageBalance</v>
      </c>
      <c r="AK6" t="str">
        <f ca="1"/>
        <v>MEZZFixingDate</v>
      </c>
      <c r="AL6" t="str">
        <f ca="1"/>
        <v>MEZZAccrualStartDate</v>
      </c>
      <c r="AM6" t="str">
        <f ca="1"/>
        <v>MEZZAccrualEndDate</v>
      </c>
      <c r="AN6" t="str">
        <f ca="1"/>
        <v>MEZZPaymentDate</v>
      </c>
      <c r="AO6" t="str">
        <f ca="1"/>
        <v>MEZZBalanceStart</v>
      </c>
      <c r="AP6" t="str">
        <f ca="1"/>
        <v>MEZZBalanceEnd</v>
      </c>
      <c r="AQ6" t="str">
        <f ca="1"/>
        <v>MEZZLossAllocated</v>
      </c>
      <c r="AR6" t="str">
        <f ca="1"/>
        <v>MEZZPrincipalAllocated</v>
      </c>
      <c r="AS6" t="str">
        <f ca="1"/>
        <v>MEZZPrincipalPayment</v>
      </c>
      <c r="AT6" t="str">
        <f ca="1"/>
        <v>MEZZAttachmentPoint</v>
      </c>
      <c r="AU6" t="str">
        <f ca="1"/>
        <v>MEZZDetachmentPoint</v>
      </c>
      <c r="AV6" s="3" t="str">
        <f ca="1"/>
        <v>MEZZCoupon</v>
      </c>
      <c r="AW6" s="3" t="str">
        <f ca="1"/>
        <v>MEZZCouponRate</v>
      </c>
      <c r="AX6" t="str">
        <f ca="1"/>
        <v>MEZZPayType</v>
      </c>
      <c r="AY6" s="3" t="str">
        <f ca="1"/>
        <v>MEZZCouponYearFraction</v>
      </c>
      <c r="AZ6" s="3" t="str">
        <f ca="1"/>
        <v>MEZZResetRate</v>
      </c>
      <c r="BA6" s="3" t="str">
        <f ca="1"/>
        <v>MEZZResetDate</v>
      </c>
      <c r="BB6" s="3" t="str">
        <f ca="1"/>
        <v>MEZZDiscountFactorRiskless</v>
      </c>
      <c r="BC6" s="3" t="str">
        <f ca="1"/>
        <v>MEZZDiscountFactorDiscountMargin</v>
      </c>
      <c r="BD6" t="str">
        <f ca="1"/>
        <v>MEZZRiskWeight</v>
      </c>
      <c r="BE6" s="3" t="str">
        <f ca="1"/>
        <v>MEZZPVRiskless</v>
      </c>
      <c r="BF6" s="3" t="str">
        <f ca="1"/>
        <v>MEZZPVDiscountMargin</v>
      </c>
      <c r="BG6" s="3" t="str">
        <f ca="1"/>
        <v>MEZZAverageBalance</v>
      </c>
      <c r="BH6" s="3" t="str">
        <f ca="1"/>
        <v>SENIORFixingDate</v>
      </c>
      <c r="BI6" s="3" t="str">
        <f ca="1"/>
        <v>SENIORAccrualStartDate</v>
      </c>
      <c r="BJ6" s="3" t="str">
        <f ca="1"/>
        <v>SENIORAccrualEndDate</v>
      </c>
      <c r="BK6" s="3" t="str">
        <f ca="1"/>
        <v>SENIORPaymentDate</v>
      </c>
      <c r="BL6" t="str">
        <f ca="1"/>
        <v>SENIORBalanceStart</v>
      </c>
      <c r="BM6" t="str">
        <f ca="1"/>
        <v>SENIORBalanceEnd</v>
      </c>
      <c r="BN6" t="str">
        <f ca="1"/>
        <v>SENIORLossAllocated</v>
      </c>
      <c r="BO6" t="str">
        <f ca="1"/>
        <v>SENIORPrincipalAllocated</v>
      </c>
      <c r="BP6" t="str">
        <f ca="1"/>
        <v>SENIORPrincipalPayment</v>
      </c>
      <c r="BQ6" t="str">
        <f ca="1"/>
        <v>SENIORAttachmentPoint</v>
      </c>
      <c r="BR6" t="str">
        <f ca="1"/>
        <v>SENIORDetachmentPoint</v>
      </c>
      <c r="BS6" s="3" t="str">
        <f ca="1"/>
        <v>SENIORCoupon</v>
      </c>
      <c r="BT6" s="3" t="str">
        <f ca="1"/>
        <v>SENIORCouponRate</v>
      </c>
      <c r="BU6" t="str">
        <f ca="1"/>
        <v>SENIORPayType</v>
      </c>
      <c r="BV6" s="3" t="str">
        <f ca="1"/>
        <v>SENIORCouponYearFraction</v>
      </c>
      <c r="BW6" s="3" t="str">
        <f ca="1"/>
        <v>SENIORResetRate</v>
      </c>
      <c r="BX6" s="3" t="str">
        <f ca="1"/>
        <v>SENIORResetDate</v>
      </c>
      <c r="BY6" s="3" t="str">
        <f ca="1"/>
        <v>SENIORDiscountFactorRiskless</v>
      </c>
      <c r="BZ6" s="3" t="str">
        <f ca="1"/>
        <v>SENIORDiscountFactorDiscountMargin</v>
      </c>
      <c r="CA6" t="str">
        <f ca="1"/>
        <v>SENIORRiskWeight</v>
      </c>
      <c r="CB6" s="3" t="str">
        <f ca="1"/>
        <v>SENIORPVRiskless</v>
      </c>
      <c r="CC6" s="3" t="str">
        <f ca="1"/>
        <v>SENIORPVDiscountMargin</v>
      </c>
      <c r="CD6" s="3" t="str">
        <f ca="1"/>
        <v>SENIORAverageBalance</v>
      </c>
      <c r="CE6" t="e">
        <f ca="1"/>
        <v>#N/A</v>
      </c>
      <c r="CF6" t="e">
        <f ca="1"/>
        <v>#N/A</v>
      </c>
      <c r="CG6" t="e">
        <f ca="1"/>
        <v>#N/A</v>
      </c>
      <c r="CH6" t="e">
        <f ca="1"/>
        <v>#N/A</v>
      </c>
      <c r="CI6" t="e">
        <f ca="1"/>
        <v>#N/A</v>
      </c>
      <c r="CJ6" t="e">
        <f ca="1"/>
        <v>#N/A</v>
      </c>
      <c r="CK6" t="e">
        <f ca="1"/>
        <v>#N/A</v>
      </c>
      <c r="CL6" t="e">
        <f ca="1"/>
        <v>#N/A</v>
      </c>
      <c r="CM6" t="e">
        <f ca="1"/>
        <v>#N/A</v>
      </c>
      <c r="CN6" t="e">
        <f ca="1"/>
        <v>#N/A</v>
      </c>
    </row>
    <row r="7" spans="2:92" x14ac:dyDescent="0.25">
      <c r="B7">
        <f ca="1"/>
        <v>0</v>
      </c>
      <c r="C7" s="37">
        <f ca="1"/>
        <v>7966109.1700000027</v>
      </c>
      <c r="D7" s="37">
        <f ca="1"/>
        <v>7803090.5646297075</v>
      </c>
      <c r="E7" s="35">
        <f ca="1"/>
        <v>12220.092976639649</v>
      </c>
      <c r="F7" s="35">
        <f ca="1"/>
        <v>0</v>
      </c>
      <c r="G7" s="35">
        <f ca="1"/>
        <v>90479.107436195089</v>
      </c>
      <c r="H7" s="35">
        <f ca="1"/>
        <v>0</v>
      </c>
      <c r="I7" s="35">
        <f ca="1"/>
        <v>150798.51239365857</v>
      </c>
      <c r="J7" s="35">
        <f ca="1"/>
        <v>331921.21541666653</v>
      </c>
      <c r="K7" s="35">
        <f ca="1"/>
        <v>150798.51239365857</v>
      </c>
      <c r="L7" s="35">
        <f ca="1"/>
        <v>150798.51239365857</v>
      </c>
      <c r="M7" s="35">
        <f ca="1"/>
        <v>90479.107436195089</v>
      </c>
      <c r="N7" s="45">
        <f ca="1"/>
        <v>43858</v>
      </c>
      <c r="O7" s="45">
        <f ca="1"/>
        <v>43858</v>
      </c>
      <c r="P7" s="45">
        <f ca="1"/>
        <v>43878</v>
      </c>
      <c r="Q7" s="45">
        <f ca="1"/>
        <v>43878</v>
      </c>
      <c r="R7" s="37">
        <f ca="1"/>
        <v>2000000</v>
      </c>
      <c r="S7" s="37">
        <f ca="1"/>
        <v>1849201.4876063415</v>
      </c>
      <c r="T7" s="41">
        <f ca="1"/>
        <v>150798.51239365857</v>
      </c>
      <c r="U7" s="42">
        <f ca="1"/>
        <v>0</v>
      </c>
      <c r="V7" s="42">
        <f ca="1"/>
        <v>0</v>
      </c>
      <c r="W7">
        <f ca="1"/>
        <v>0</v>
      </c>
      <c r="X7">
        <f ca="1"/>
        <v>0.23698321482881501</v>
      </c>
      <c r="Y7" s="4">
        <f ca="1"/>
        <v>5179.2051496111189</v>
      </c>
      <c r="Z7" s="3">
        <f ca="1"/>
        <v>4.6612846346500078E-2</v>
      </c>
      <c r="AA7" t="str">
        <f ca="1"/>
        <v>SEQUENTIAL</v>
      </c>
      <c r="AB7" s="3">
        <f ca="1"/>
        <v>5.5555555555555552E-2</v>
      </c>
      <c r="AC7" s="3">
        <f ca="1"/>
        <v>-3.3871536534999264E-3</v>
      </c>
      <c r="AD7" s="45">
        <f ca="1"/>
        <v>43858</v>
      </c>
      <c r="AE7" s="3">
        <f ca="1"/>
        <v>1.0026404344288891</v>
      </c>
      <c r="AF7" s="3">
        <f ca="1"/>
        <v>1.0026404344288891</v>
      </c>
      <c r="AG7">
        <f ca="1"/>
        <v>0</v>
      </c>
      <c r="AH7" s="35">
        <f ca="1"/>
        <v>5192.8805012024313</v>
      </c>
      <c r="AI7" s="35">
        <f ca="1"/>
        <v>5192.8805012024313</v>
      </c>
      <c r="AJ7" s="35">
        <f ca="1"/>
        <v>2000000</v>
      </c>
      <c r="AK7" s="36">
        <f ca="1"/>
        <v>43858</v>
      </c>
      <c r="AL7" s="36">
        <f ca="1"/>
        <v>43858</v>
      </c>
      <c r="AM7" s="36">
        <f ca="1"/>
        <v>43878</v>
      </c>
      <c r="AN7" s="36">
        <f ca="1"/>
        <v>43878</v>
      </c>
      <c r="AO7" s="37">
        <f ca="1"/>
        <v>2000000</v>
      </c>
      <c r="AP7" s="37">
        <f ca="1"/>
        <v>2000000</v>
      </c>
      <c r="AQ7" s="41">
        <f ca="1"/>
        <v>0</v>
      </c>
      <c r="AR7" s="42">
        <f ca="1"/>
        <v>0</v>
      </c>
      <c r="AS7" s="42">
        <f ca="1"/>
        <v>0</v>
      </c>
      <c r="AT7">
        <f ca="1"/>
        <v>0.23698321482881501</v>
      </c>
      <c r="AU7">
        <f ca="1"/>
        <v>0.49329191500790992</v>
      </c>
      <c r="AV7" s="4">
        <f ca="1"/>
        <v>5179.2051496111189</v>
      </c>
      <c r="AW7" s="3">
        <f ca="1"/>
        <v>4.6612846346500078E-2</v>
      </c>
      <c r="AX7" t="str">
        <f ca="1"/>
        <v>SEQUENTIAL</v>
      </c>
      <c r="AY7" s="3">
        <f ca="1"/>
        <v>5.5555555555555552E-2</v>
      </c>
      <c r="AZ7" s="3">
        <f ca="1"/>
        <v>-3.3871536534999264E-3</v>
      </c>
      <c r="BA7" s="45">
        <f ca="1"/>
        <v>43858</v>
      </c>
      <c r="BB7" s="3">
        <f ca="1"/>
        <v>1.0026404344288891</v>
      </c>
      <c r="BC7" s="3">
        <f ca="1"/>
        <v>1.0026404344288891</v>
      </c>
      <c r="BD7">
        <f ca="1"/>
        <v>0</v>
      </c>
      <c r="BE7" s="4">
        <f ca="1"/>
        <v>5192.8805012024313</v>
      </c>
      <c r="BF7" s="4">
        <f ca="1"/>
        <v>5192.8805012024313</v>
      </c>
      <c r="BG7" s="4">
        <f ca="1"/>
        <v>2000000</v>
      </c>
      <c r="BH7" s="45">
        <f ca="1"/>
        <v>43858</v>
      </c>
      <c r="BI7" s="45">
        <f ca="1"/>
        <v>43858</v>
      </c>
      <c r="BJ7" s="45">
        <f ca="1"/>
        <v>43878</v>
      </c>
      <c r="BK7" s="45">
        <f ca="1"/>
        <v>43878</v>
      </c>
      <c r="BL7" s="37">
        <f ca="1"/>
        <v>3000000</v>
      </c>
      <c r="BM7" s="37">
        <f ca="1"/>
        <v>2897300.7995871655</v>
      </c>
      <c r="BN7" s="40">
        <f ca="1"/>
        <v>0</v>
      </c>
      <c r="BO7" s="42">
        <f ca="1"/>
        <v>102699.20041283473</v>
      </c>
      <c r="BP7" s="42">
        <f ca="1"/>
        <v>102699.20041283473</v>
      </c>
      <c r="BQ7">
        <f ca="1"/>
        <v>0.49329191500790992</v>
      </c>
      <c r="BR7">
        <f ca="1"/>
        <v>0.86459361599292928</v>
      </c>
      <c r="BS7" s="4">
        <f ca="1"/>
        <v>7768.8077244166789</v>
      </c>
      <c r="BT7" s="3">
        <f ca="1"/>
        <v>4.6612846346500078E-2</v>
      </c>
      <c r="BU7" t="str">
        <f ca="1"/>
        <v>SEQUENTIAL</v>
      </c>
      <c r="BV7" s="3">
        <f ca="1"/>
        <v>5.5555555555555552E-2</v>
      </c>
      <c r="BW7" s="3">
        <f ca="1"/>
        <v>-3.3871536534999264E-3</v>
      </c>
      <c r="BX7" s="45">
        <f ca="1"/>
        <v>43858</v>
      </c>
      <c r="BY7" s="3">
        <f ca="1"/>
        <v>1.0026404344288891</v>
      </c>
      <c r="BZ7" s="3">
        <f ca="1"/>
        <v>1.0026404344288891</v>
      </c>
      <c r="CA7">
        <f ca="1"/>
        <v>0</v>
      </c>
      <c r="CB7" s="4">
        <f ca="1"/>
        <v>110759.6916692278</v>
      </c>
      <c r="CC7" s="4">
        <f ca="1"/>
        <v>110759.6916692278</v>
      </c>
      <c r="CD7" s="4">
        <f ca="1"/>
        <v>3000000</v>
      </c>
      <c r="CE7" t="e">
        <f ca="1"/>
        <v>#N/A</v>
      </c>
      <c r="CF7" t="e">
        <f ca="1"/>
        <v>#N/A</v>
      </c>
      <c r="CG7" t="e">
        <f ca="1"/>
        <v>#N/A</v>
      </c>
      <c r="CH7" t="e">
        <f ca="1"/>
        <v>#N/A</v>
      </c>
      <c r="CI7" t="e">
        <f ca="1"/>
        <v>#N/A</v>
      </c>
      <c r="CJ7" t="e">
        <f ca="1"/>
        <v>#N/A</v>
      </c>
      <c r="CK7" t="e">
        <f ca="1"/>
        <v>#N/A</v>
      </c>
      <c r="CL7" t="e">
        <f ca="1"/>
        <v>#N/A</v>
      </c>
      <c r="CM7" t="e">
        <f ca="1"/>
        <v>#N/A</v>
      </c>
      <c r="CN7" t="e">
        <f ca="1"/>
        <v>#N/A</v>
      </c>
    </row>
    <row r="8" spans="2:92" x14ac:dyDescent="0.25">
      <c r="B8">
        <f ca="1"/>
        <v>1</v>
      </c>
      <c r="C8" s="37">
        <f ca="1"/>
        <v>7803090.5646297075</v>
      </c>
      <c r="D8" s="37">
        <f ca="1"/>
        <v>7642889.6973285507</v>
      </c>
      <c r="E8" s="35">
        <f ca="1"/>
        <v>12488.298453797357</v>
      </c>
      <c r="F8" s="35">
        <f ca="1"/>
        <v>0</v>
      </c>
      <c r="G8" s="35">
        <f ca="1"/>
        <v>88627.541308411557</v>
      </c>
      <c r="H8" s="35">
        <f ca="1"/>
        <v>0</v>
      </c>
      <c r="I8" s="35">
        <f ca="1"/>
        <v>147712.56884735267</v>
      </c>
      <c r="J8" s="35">
        <f ca="1"/>
        <v>325128.77352623764</v>
      </c>
      <c r="K8" s="35">
        <f ca="1"/>
        <v>298511.08124101127</v>
      </c>
      <c r="L8" s="35">
        <f ca="1"/>
        <v>298511.08124101127</v>
      </c>
      <c r="M8" s="35">
        <f ca="1"/>
        <v>179106.64874460665</v>
      </c>
      <c r="N8" s="45">
        <f ca="1"/>
        <v>43878</v>
      </c>
      <c r="O8" s="45">
        <f ca="1"/>
        <v>43878</v>
      </c>
      <c r="P8" s="45">
        <f ca="1"/>
        <v>43906</v>
      </c>
      <c r="Q8" s="45">
        <f ca="1"/>
        <v>43906</v>
      </c>
      <c r="R8" s="37">
        <f ca="1"/>
        <v>1849201.4876063415</v>
      </c>
      <c r="S8" s="37">
        <f ca="1"/>
        <v>1701488.9187589888</v>
      </c>
      <c r="T8" s="41">
        <f ca="1"/>
        <v>147712.56884735267</v>
      </c>
      <c r="U8" s="42">
        <f ca="1"/>
        <v>0</v>
      </c>
      <c r="V8" s="42">
        <f ca="1"/>
        <v>0</v>
      </c>
      <c r="W8">
        <f ca="1"/>
        <v>0</v>
      </c>
      <c r="X8">
        <f ca="1"/>
        <v>0.22262377008446385</v>
      </c>
      <c r="Y8" s="4">
        <f ca="1"/>
        <v>6705.5071170917554</v>
      </c>
      <c r="Z8" s="3">
        <f ca="1"/>
        <v>4.6622103384544776E-2</v>
      </c>
      <c r="AA8" t="str">
        <f ca="1"/>
        <v>SEQUENTIAL</v>
      </c>
      <c r="AB8" s="3">
        <f ca="1"/>
        <v>7.7777777777777779E-2</v>
      </c>
      <c r="AC8" s="3">
        <f ca="1"/>
        <v>-3.3778966154552272E-3</v>
      </c>
      <c r="AD8" s="45">
        <f ca="1"/>
        <v>43878</v>
      </c>
      <c r="AE8" s="3">
        <f ca="1"/>
        <v>1.0029062073517292</v>
      </c>
      <c r="AF8" s="3">
        <f ca="1"/>
        <v>1.0029062073517292</v>
      </c>
      <c r="AG8">
        <f ca="1"/>
        <v>0</v>
      </c>
      <c r="AH8" s="35">
        <f ca="1"/>
        <v>6724.9947111725196</v>
      </c>
      <c r="AI8" s="35">
        <f ca="1"/>
        <v>6724.9947111725196</v>
      </c>
      <c r="AJ8" s="35">
        <f ca="1"/>
        <v>1849201.4876063415</v>
      </c>
      <c r="AK8" s="36">
        <f ca="1"/>
        <v>43878</v>
      </c>
      <c r="AL8" s="36">
        <f ca="1"/>
        <v>43878</v>
      </c>
      <c r="AM8" s="36">
        <f ca="1"/>
        <v>43906</v>
      </c>
      <c r="AN8" s="36">
        <f ca="1"/>
        <v>43906</v>
      </c>
      <c r="AO8" s="37">
        <f ca="1"/>
        <v>2000000</v>
      </c>
      <c r="AP8" s="37">
        <f ca="1"/>
        <v>2000000</v>
      </c>
      <c r="AQ8" s="41">
        <f ca="1"/>
        <v>0</v>
      </c>
      <c r="AR8" s="42">
        <f ca="1"/>
        <v>0</v>
      </c>
      <c r="AS8" s="42">
        <f ca="1"/>
        <v>0</v>
      </c>
      <c r="AT8">
        <f ca="1"/>
        <v>0.22262377008446385</v>
      </c>
      <c r="AU8">
        <f ca="1"/>
        <v>0.48430489845389041</v>
      </c>
      <c r="AV8" s="4">
        <f ca="1"/>
        <v>7252.3271931514091</v>
      </c>
      <c r="AW8" s="3">
        <f ca="1"/>
        <v>4.6622103384544776E-2</v>
      </c>
      <c r="AX8" t="str">
        <f ca="1"/>
        <v>SEQUENTIAL</v>
      </c>
      <c r="AY8" s="3">
        <f ca="1"/>
        <v>7.7777777777777779E-2</v>
      </c>
      <c r="AZ8" s="3">
        <f ca="1"/>
        <v>-3.3778966154552272E-3</v>
      </c>
      <c r="BA8" s="45">
        <f ca="1"/>
        <v>43878</v>
      </c>
      <c r="BB8" s="3">
        <f ca="1"/>
        <v>1.0029062073517292</v>
      </c>
      <c r="BC8" s="3">
        <f ca="1"/>
        <v>1.0029062073517292</v>
      </c>
      <c r="BD8">
        <f ca="1"/>
        <v>0</v>
      </c>
      <c r="BE8" s="4">
        <f ca="1"/>
        <v>7273.403959757291</v>
      </c>
      <c r="BF8" s="4">
        <f ca="1"/>
        <v>7273.403959757291</v>
      </c>
      <c r="BG8" s="4">
        <f ca="1"/>
        <v>2000000</v>
      </c>
      <c r="BH8" s="45">
        <f ca="1"/>
        <v>43878</v>
      </c>
      <c r="BI8" s="45">
        <f ca="1"/>
        <v>43878</v>
      </c>
      <c r="BJ8" s="45">
        <f ca="1"/>
        <v>43906</v>
      </c>
      <c r="BK8" s="45">
        <f ca="1"/>
        <v>43906</v>
      </c>
      <c r="BL8" s="37">
        <f ca="1"/>
        <v>2897300.7995871655</v>
      </c>
      <c r="BM8" s="37">
        <f ca="1"/>
        <v>2796184.9598249565</v>
      </c>
      <c r="BN8" s="40">
        <f ca="1"/>
        <v>0</v>
      </c>
      <c r="BO8" s="42">
        <f ca="1"/>
        <v>101115.83976220891</v>
      </c>
      <c r="BP8" s="42">
        <f ca="1"/>
        <v>101115.83976220891</v>
      </c>
      <c r="BQ8">
        <f ca="1"/>
        <v>0.48430489845389041</v>
      </c>
      <c r="BR8">
        <f ca="1"/>
        <v>0.85015931616219753</v>
      </c>
      <c r="BS8" s="4">
        <f ca="1"/>
        <v>10506.08668779266</v>
      </c>
      <c r="BT8" s="3">
        <f ca="1"/>
        <v>4.6622103384544776E-2</v>
      </c>
      <c r="BU8" t="str">
        <f ca="1"/>
        <v>SEQUENTIAL</v>
      </c>
      <c r="BV8" s="3">
        <f ca="1"/>
        <v>7.7777777777777779E-2</v>
      </c>
      <c r="BW8" s="3">
        <f ca="1"/>
        <v>-3.3778966154552272E-3</v>
      </c>
      <c r="BX8" s="45">
        <f ca="1"/>
        <v>43878</v>
      </c>
      <c r="BY8" s="3">
        <f ca="1"/>
        <v>1.0029062073517292</v>
      </c>
      <c r="BZ8" s="3">
        <f ca="1"/>
        <v>1.0029062073517292</v>
      </c>
      <c r="CA8">
        <f ca="1"/>
        <v>0</v>
      </c>
      <c r="CB8" s="4">
        <f ca="1"/>
        <v>111946.32291326474</v>
      </c>
      <c r="CC8" s="4">
        <f ca="1"/>
        <v>111946.32291326474</v>
      </c>
      <c r="CD8" s="4">
        <f ca="1"/>
        <v>2897300.7995871655</v>
      </c>
      <c r="CE8" t="e">
        <f ca="1"/>
        <v>#N/A</v>
      </c>
      <c r="CF8" t="e">
        <f ca="1"/>
        <v>#N/A</v>
      </c>
      <c r="CG8" t="e">
        <f ca="1"/>
        <v>#N/A</v>
      </c>
      <c r="CH8" t="e">
        <f ca="1"/>
        <v>#N/A</v>
      </c>
      <c r="CI8" t="e">
        <f ca="1"/>
        <v>#N/A</v>
      </c>
      <c r="CJ8" t="e">
        <f ca="1"/>
        <v>#N/A</v>
      </c>
      <c r="CK8" t="e">
        <f ca="1"/>
        <v>#N/A</v>
      </c>
      <c r="CL8" t="e">
        <f ca="1"/>
        <v>#N/A</v>
      </c>
      <c r="CM8" t="e">
        <f ca="1"/>
        <v>#N/A</v>
      </c>
      <c r="CN8" t="e">
        <f ca="1"/>
        <v>#N/A</v>
      </c>
    </row>
    <row r="9" spans="2:92" x14ac:dyDescent="0.25">
      <c r="B9">
        <f ca="1"/>
        <v>2</v>
      </c>
      <c r="C9" s="37">
        <f ca="1"/>
        <v>7642889.6973285507</v>
      </c>
      <c r="D9" s="37">
        <f ca="1"/>
        <v>7485447.3417424699</v>
      </c>
      <c r="E9" s="35">
        <f ca="1"/>
        <v>12762.390480109385</v>
      </c>
      <c r="F9" s="35">
        <f ca="1"/>
        <v>0</v>
      </c>
      <c r="G9" s="35">
        <f ca="1"/>
        <v>86807.979063583276</v>
      </c>
      <c r="H9" s="35">
        <f ca="1"/>
        <v>0</v>
      </c>
      <c r="I9" s="35">
        <f ca="1"/>
        <v>144679.96510597217</v>
      </c>
      <c r="J9" s="35">
        <f ca="1"/>
        <v>318453.73738868977</v>
      </c>
      <c r="K9" s="35">
        <f ca="1"/>
        <v>443191.04634698341</v>
      </c>
      <c r="L9" s="35">
        <f ca="1"/>
        <v>443191.04634698341</v>
      </c>
      <c r="M9" s="35">
        <f ca="1"/>
        <v>265914.62780818995</v>
      </c>
      <c r="N9" s="45">
        <f ca="1"/>
        <v>43906</v>
      </c>
      <c r="O9" s="45">
        <f ca="1"/>
        <v>43906</v>
      </c>
      <c r="P9" s="45">
        <f ca="1"/>
        <v>43936</v>
      </c>
      <c r="Q9" s="45">
        <f ca="1"/>
        <v>43936</v>
      </c>
      <c r="R9" s="37">
        <f ca="1"/>
        <v>1701488.9187589888</v>
      </c>
      <c r="S9" s="37">
        <f ca="1"/>
        <v>1556808.9536530166</v>
      </c>
      <c r="T9" s="41">
        <f ca="1"/>
        <v>144679.96510597217</v>
      </c>
      <c r="U9" s="42">
        <f ca="1"/>
        <v>0</v>
      </c>
      <c r="V9" s="42">
        <f ca="1"/>
        <v>0</v>
      </c>
      <c r="W9">
        <f ca="1"/>
        <v>0</v>
      </c>
      <c r="X9">
        <f ca="1"/>
        <v>0.20797807834028809</v>
      </c>
      <c r="Y9" s="4">
        <f ca="1"/>
        <v>6612.7934081529202</v>
      </c>
      <c r="Z9" s="3">
        <f ca="1"/>
        <v>4.663769479951297E-2</v>
      </c>
      <c r="AA9" t="str">
        <f ca="1"/>
        <v>SEQUENTIAL</v>
      </c>
      <c r="AB9" s="3">
        <f ca="1"/>
        <v>8.3333333333333329E-2</v>
      </c>
      <c r="AC9" s="3">
        <f ca="1"/>
        <v>-3.3623052004870353E-3</v>
      </c>
      <c r="AD9" s="45">
        <f ca="1"/>
        <v>43906</v>
      </c>
      <c r="AE9" s="3">
        <f ca="1"/>
        <v>1.0031877882932214</v>
      </c>
      <c r="AF9" s="3">
        <f ca="1"/>
        <v>1.0031877882932214</v>
      </c>
      <c r="AG9">
        <f ca="1"/>
        <v>0</v>
      </c>
      <c r="AH9" s="35">
        <f ca="1"/>
        <v>6633.873593564922</v>
      </c>
      <c r="AI9" s="35">
        <f ca="1"/>
        <v>6633.873593564922</v>
      </c>
      <c r="AJ9" s="35">
        <f ca="1"/>
        <v>1701488.9187589888</v>
      </c>
      <c r="AK9" s="36">
        <f ca="1"/>
        <v>43906</v>
      </c>
      <c r="AL9" s="36">
        <f ca="1"/>
        <v>43906</v>
      </c>
      <c r="AM9" s="36">
        <f ca="1"/>
        <v>43936</v>
      </c>
      <c r="AN9" s="36">
        <f ca="1"/>
        <v>43936</v>
      </c>
      <c r="AO9" s="37">
        <f ca="1"/>
        <v>2000000</v>
      </c>
      <c r="AP9" s="37">
        <f ca="1"/>
        <v>2000000</v>
      </c>
      <c r="AQ9" s="41">
        <f ca="1"/>
        <v>0</v>
      </c>
      <c r="AR9" s="42">
        <f ca="1"/>
        <v>0</v>
      </c>
      <c r="AS9" s="42">
        <f ca="1"/>
        <v>0</v>
      </c>
      <c r="AT9">
        <f ca="1"/>
        <v>0.20797807834028809</v>
      </c>
      <c r="AU9">
        <f ca="1"/>
        <v>0.47516317880142339</v>
      </c>
      <c r="AV9" s="4">
        <f ca="1"/>
        <v>7772.9491332521611</v>
      </c>
      <c r="AW9" s="3">
        <f ca="1"/>
        <v>4.663769479951297E-2</v>
      </c>
      <c r="AX9" t="str">
        <f ca="1"/>
        <v>SEQUENTIAL</v>
      </c>
      <c r="AY9" s="3">
        <f ca="1"/>
        <v>8.3333333333333329E-2</v>
      </c>
      <c r="AZ9" s="3">
        <f ca="1"/>
        <v>-3.3623052004870353E-3</v>
      </c>
      <c r="BA9" s="45">
        <f ca="1"/>
        <v>43906</v>
      </c>
      <c r="BB9" s="3">
        <f ca="1"/>
        <v>1.0031877882932214</v>
      </c>
      <c r="BC9" s="3">
        <f ca="1"/>
        <v>1.0031877882932214</v>
      </c>
      <c r="BD9">
        <f ca="1"/>
        <v>0</v>
      </c>
      <c r="BE9" s="4">
        <f ca="1"/>
        <v>7797.7276495029482</v>
      </c>
      <c r="BF9" s="4">
        <f ca="1"/>
        <v>7797.7276495029482</v>
      </c>
      <c r="BG9" s="4">
        <f ca="1"/>
        <v>2000000</v>
      </c>
      <c r="BH9" s="45">
        <f ca="1"/>
        <v>43906</v>
      </c>
      <c r="BI9" s="45">
        <f ca="1"/>
        <v>43906</v>
      </c>
      <c r="BJ9" s="45">
        <f ca="1"/>
        <v>43936</v>
      </c>
      <c r="BK9" s="45">
        <f ca="1"/>
        <v>43936</v>
      </c>
      <c r="BL9" s="37">
        <f ca="1"/>
        <v>2796184.9598249565</v>
      </c>
      <c r="BM9" s="37">
        <f ca="1"/>
        <v>2696614.5902812639</v>
      </c>
      <c r="BN9" s="40">
        <f ca="1"/>
        <v>0</v>
      </c>
      <c r="BO9" s="42">
        <f ca="1"/>
        <v>99570.369543692665</v>
      </c>
      <c r="BP9" s="42">
        <f ca="1"/>
        <v>99570.369543692665</v>
      </c>
      <c r="BQ9">
        <f ca="1"/>
        <v>0.47516317880142339</v>
      </c>
      <c r="BR9">
        <f ca="1"/>
        <v>0.83541079890605463</v>
      </c>
      <c r="BS9" s="4">
        <f ca="1"/>
        <v>10867.301729942063</v>
      </c>
      <c r="BT9" s="3">
        <f ca="1"/>
        <v>4.663769479951297E-2</v>
      </c>
      <c r="BU9" t="str">
        <f ca="1"/>
        <v>SEQUENTIAL</v>
      </c>
      <c r="BV9" s="3">
        <f ca="1"/>
        <v>8.3333333333333329E-2</v>
      </c>
      <c r="BW9" s="3">
        <f ca="1"/>
        <v>-3.3623052004870353E-3</v>
      </c>
      <c r="BX9" s="45">
        <f ca="1"/>
        <v>43906</v>
      </c>
      <c r="BY9" s="3">
        <f ca="1"/>
        <v>1.0031877882932214</v>
      </c>
      <c r="BZ9" s="3">
        <f ca="1"/>
        <v>1.0031877882932214</v>
      </c>
      <c r="CA9">
        <f ca="1"/>
        <v>0</v>
      </c>
      <c r="CB9" s="4">
        <f ca="1"/>
        <v>110789.72318925145</v>
      </c>
      <c r="CC9" s="4">
        <f ca="1"/>
        <v>110789.72318925145</v>
      </c>
      <c r="CD9" s="4">
        <f ca="1"/>
        <v>2796184.9598249565</v>
      </c>
      <c r="CE9" t="e">
        <f ca="1"/>
        <v>#N/A</v>
      </c>
      <c r="CF9" t="e">
        <f ca="1"/>
        <v>#N/A</v>
      </c>
      <c r="CG9" t="e">
        <f ca="1"/>
        <v>#N/A</v>
      </c>
      <c r="CH9" t="e">
        <f ca="1"/>
        <v>#N/A</v>
      </c>
      <c r="CI9" t="e">
        <f ca="1"/>
        <v>#N/A</v>
      </c>
      <c r="CJ9" t="e">
        <f ca="1"/>
        <v>#N/A</v>
      </c>
      <c r="CK9" t="e">
        <f ca="1"/>
        <v>#N/A</v>
      </c>
      <c r="CL9" t="e">
        <f ca="1"/>
        <v>#N/A</v>
      </c>
      <c r="CM9" t="e">
        <f ca="1"/>
        <v>#N/A</v>
      </c>
      <c r="CN9" t="e">
        <f ca="1"/>
        <v>#N/A</v>
      </c>
    </row>
    <row r="10" spans="2:92" x14ac:dyDescent="0.25">
      <c r="B10">
        <f ca="1"/>
        <v>3</v>
      </c>
      <c r="C10" s="37">
        <f ca="1"/>
        <v>7485447.3417424699</v>
      </c>
      <c r="D10" s="37">
        <f ca="1"/>
        <v>7330705.2634753073</v>
      </c>
      <c r="E10" s="35">
        <f ca="1"/>
        <v>13042.498253015381</v>
      </c>
      <c r="F10" s="35">
        <f ca="1"/>
        <v>0</v>
      </c>
      <c r="G10" s="35">
        <f ca="1"/>
        <v>85019.748008487077</v>
      </c>
      <c r="H10" s="35">
        <f ca="1"/>
        <v>0</v>
      </c>
      <c r="I10" s="35">
        <f ca="1"/>
        <v>141699.58001414506</v>
      </c>
      <c r="J10" s="35">
        <f ca="1"/>
        <v>311893.63923926977</v>
      </c>
      <c r="K10" s="35">
        <f ca="1"/>
        <v>584890.62636112841</v>
      </c>
      <c r="L10" s="35">
        <f ca="1"/>
        <v>584890.62636112841</v>
      </c>
      <c r="M10" s="35">
        <f ca="1"/>
        <v>350934.375816677</v>
      </c>
      <c r="N10" s="45">
        <f ca="1"/>
        <v>43936</v>
      </c>
      <c r="O10" s="45">
        <f ca="1"/>
        <v>43936</v>
      </c>
      <c r="P10" s="45">
        <f ca="1"/>
        <v>43966</v>
      </c>
      <c r="Q10" s="45">
        <f ca="1"/>
        <v>43966</v>
      </c>
      <c r="R10" s="37">
        <f ca="1"/>
        <v>1556808.9536530166</v>
      </c>
      <c r="S10" s="37">
        <f ca="1"/>
        <v>1415109.3736388716</v>
      </c>
      <c r="T10" s="41">
        <f ca="1"/>
        <v>141699.58001414506</v>
      </c>
      <c r="U10" s="42">
        <f ca="1"/>
        <v>0</v>
      </c>
      <c r="V10" s="42">
        <f ca="1"/>
        <v>0</v>
      </c>
      <c r="W10">
        <f ca="1"/>
        <v>0</v>
      </c>
      <c r="X10">
        <f ca="1"/>
        <v>0.1930386399095253</v>
      </c>
      <c r="Y10" s="4">
        <f ca="1"/>
        <v>6058.6016589294686</v>
      </c>
      <c r="Z10" s="3">
        <f ca="1"/>
        <v>4.6700155299439404E-2</v>
      </c>
      <c r="AA10" t="str">
        <f ca="1"/>
        <v>SEQUENTIAL</v>
      </c>
      <c r="AB10" s="3">
        <f ca="1"/>
        <v>8.3333333333333329E-2</v>
      </c>
      <c r="AC10" s="3">
        <f ca="1"/>
        <v>-3.299844700560601E-3</v>
      </c>
      <c r="AD10" s="45">
        <f ca="1"/>
        <v>43936</v>
      </c>
      <c r="AE10" s="3">
        <f ca="1"/>
        <v>1.0034691423946027</v>
      </c>
      <c r="AF10" s="3">
        <f ca="1"/>
        <v>1.0034691423946027</v>
      </c>
      <c r="AG10">
        <f ca="1"/>
        <v>0</v>
      </c>
      <c r="AH10" s="35">
        <f ca="1"/>
        <v>6079.619810796471</v>
      </c>
      <c r="AI10" s="35">
        <f ca="1"/>
        <v>6079.619810796471</v>
      </c>
      <c r="AJ10" s="35">
        <f ca="1"/>
        <v>1556808.9536530166</v>
      </c>
      <c r="AK10" s="36">
        <f ca="1"/>
        <v>43936</v>
      </c>
      <c r="AL10" s="36">
        <f ca="1"/>
        <v>43936</v>
      </c>
      <c r="AM10" s="36">
        <f ca="1"/>
        <v>43966</v>
      </c>
      <c r="AN10" s="36">
        <f ca="1"/>
        <v>43966</v>
      </c>
      <c r="AO10" s="37">
        <f ca="1"/>
        <v>2000000</v>
      </c>
      <c r="AP10" s="37">
        <f ca="1"/>
        <v>2000000</v>
      </c>
      <c r="AQ10" s="41">
        <f ca="1"/>
        <v>0</v>
      </c>
      <c r="AR10" s="42">
        <f ca="1"/>
        <v>0</v>
      </c>
      <c r="AS10" s="42">
        <f ca="1"/>
        <v>0</v>
      </c>
      <c r="AT10">
        <f ca="1"/>
        <v>0.1930386399095253</v>
      </c>
      <c r="AU10">
        <f ca="1"/>
        <v>0.46586368581129561</v>
      </c>
      <c r="AV10" s="4">
        <f ca="1"/>
        <v>7783.3592165732334</v>
      </c>
      <c r="AW10" s="3">
        <f ca="1"/>
        <v>4.6700155299439404E-2</v>
      </c>
      <c r="AX10" t="str">
        <f ca="1"/>
        <v>SEQUENTIAL</v>
      </c>
      <c r="AY10" s="3">
        <f ca="1"/>
        <v>8.3333333333333329E-2</v>
      </c>
      <c r="AZ10" s="3">
        <f ca="1"/>
        <v>-3.299844700560601E-3</v>
      </c>
      <c r="BA10" s="45">
        <f ca="1"/>
        <v>43936</v>
      </c>
      <c r="BB10" s="3">
        <f ca="1"/>
        <v>1.0034691423946027</v>
      </c>
      <c r="BC10" s="3">
        <f ca="1"/>
        <v>1.0034691423946027</v>
      </c>
      <c r="BD10">
        <f ca="1"/>
        <v>0</v>
      </c>
      <c r="BE10" s="4">
        <f ca="1"/>
        <v>7810.3607980038696</v>
      </c>
      <c r="BF10" s="4">
        <f ca="1"/>
        <v>7810.3607980038696</v>
      </c>
      <c r="BG10" s="4">
        <f ca="1"/>
        <v>2000000</v>
      </c>
      <c r="BH10" s="45">
        <f ca="1"/>
        <v>43936</v>
      </c>
      <c r="BI10" s="45">
        <f ca="1"/>
        <v>43936</v>
      </c>
      <c r="BJ10" s="45">
        <f ca="1"/>
        <v>43966</v>
      </c>
      <c r="BK10" s="45">
        <f ca="1"/>
        <v>43966</v>
      </c>
      <c r="BL10" s="37">
        <f ca="1"/>
        <v>2696614.5902812639</v>
      </c>
      <c r="BM10" s="37">
        <f ca="1"/>
        <v>2598552.3440197613</v>
      </c>
      <c r="BN10" s="40">
        <f ca="1"/>
        <v>0</v>
      </c>
      <c r="BO10" s="42">
        <f ca="1"/>
        <v>98062.246261502456</v>
      </c>
      <c r="BP10" s="42">
        <f ca="1"/>
        <v>98062.246261502456</v>
      </c>
      <c r="BQ10">
        <f ca="1"/>
        <v>0.46586368581129561</v>
      </c>
      <c r="BR10">
        <f ca="1"/>
        <v>0.8203387670789678</v>
      </c>
      <c r="BS10" s="4">
        <f ca="1"/>
        <v>10494.360012405765</v>
      </c>
      <c r="BT10" s="3">
        <f ca="1"/>
        <v>4.6700155299439404E-2</v>
      </c>
      <c r="BU10" t="str">
        <f ca="1"/>
        <v>SEQUENTIAL</v>
      </c>
      <c r="BV10" s="3">
        <f ca="1"/>
        <v>8.3333333333333329E-2</v>
      </c>
      <c r="BW10" s="3">
        <f ca="1"/>
        <v>-3.299844700560601E-3</v>
      </c>
      <c r="BX10" s="45">
        <f ca="1"/>
        <v>43936</v>
      </c>
      <c r="BY10" s="3">
        <f ca="1"/>
        <v>1.0034691423946027</v>
      </c>
      <c r="BZ10" s="3">
        <f ca="1"/>
        <v>1.0034691423946027</v>
      </c>
      <c r="CA10">
        <f ca="1"/>
        <v>0</v>
      </c>
      <c r="CB10" s="4">
        <f ca="1"/>
        <v>108933.20459894724</v>
      </c>
      <c r="CC10" s="4">
        <f ca="1"/>
        <v>108933.20459894724</v>
      </c>
      <c r="CD10" s="4">
        <f ca="1"/>
        <v>2696614.5902812639</v>
      </c>
      <c r="CE10" t="e">
        <f ca="1"/>
        <v>#N/A</v>
      </c>
      <c r="CF10" t="e">
        <f ca="1"/>
        <v>#N/A</v>
      </c>
      <c r="CG10" t="e">
        <f ca="1"/>
        <v>#N/A</v>
      </c>
      <c r="CH10" t="e">
        <f ca="1"/>
        <v>#N/A</v>
      </c>
      <c r="CI10" t="e">
        <f ca="1"/>
        <v>#N/A</v>
      </c>
      <c r="CJ10" t="e">
        <f ca="1"/>
        <v>#N/A</v>
      </c>
      <c r="CK10" t="e">
        <f ca="1"/>
        <v>#N/A</v>
      </c>
      <c r="CL10" t="e">
        <f ca="1"/>
        <v>#N/A</v>
      </c>
      <c r="CM10" t="e">
        <f ca="1"/>
        <v>#N/A</v>
      </c>
      <c r="CN10" t="e">
        <f ca="1"/>
        <v>#N/A</v>
      </c>
    </row>
    <row r="11" spans="2:92" x14ac:dyDescent="0.25">
      <c r="B11">
        <f ca="1"/>
        <v>4</v>
      </c>
      <c r="C11" s="37">
        <f ca="1"/>
        <v>7330705.2634753073</v>
      </c>
      <c r="D11" s="37">
        <f ca="1"/>
        <v>7178606.1984754689</v>
      </c>
      <c r="E11" s="35">
        <f ca="1"/>
        <v>13328.753805568496</v>
      </c>
      <c r="F11" s="35">
        <f ca="1"/>
        <v>0</v>
      </c>
      <c r="G11" s="35">
        <f ca="1"/>
        <v>83262.186716562835</v>
      </c>
      <c r="H11" s="35">
        <f ca="1"/>
        <v>0</v>
      </c>
      <c r="I11" s="35">
        <f ca="1"/>
        <v>138770.31119427143</v>
      </c>
      <c r="J11" s="35">
        <f ca="1"/>
        <v>305446.0526448047</v>
      </c>
      <c r="K11" s="35">
        <f ca="1"/>
        <v>723660.93755539984</v>
      </c>
      <c r="L11" s="35">
        <f ca="1"/>
        <v>723660.93755539984</v>
      </c>
      <c r="M11" s="35">
        <f ca="1"/>
        <v>434196.56253323983</v>
      </c>
      <c r="N11" s="45">
        <f ca="1"/>
        <v>43966</v>
      </c>
      <c r="O11" s="45">
        <f ca="1"/>
        <v>43966</v>
      </c>
      <c r="P11" s="45">
        <f ca="1"/>
        <v>43997</v>
      </c>
      <c r="Q11" s="45">
        <f ca="1"/>
        <v>43997</v>
      </c>
      <c r="R11" s="37">
        <f ca="1"/>
        <v>1415109.3736388716</v>
      </c>
      <c r="S11" s="37">
        <f ca="1"/>
        <v>1276339.0624446003</v>
      </c>
      <c r="T11" s="41">
        <f ca="1"/>
        <v>138770.31119427143</v>
      </c>
      <c r="U11" s="42">
        <f ca="1"/>
        <v>0</v>
      </c>
      <c r="V11" s="42">
        <f ca="1"/>
        <v>0</v>
      </c>
      <c r="W11">
        <f ca="1"/>
        <v>0</v>
      </c>
      <c r="X11">
        <f ca="1"/>
        <v>0.17779761518547407</v>
      </c>
      <c r="Y11" s="4">
        <f ca="1"/>
        <v>5698.7335198706951</v>
      </c>
      <c r="Z11" s="3">
        <f ca="1"/>
        <v>4.6765884043113014E-2</v>
      </c>
      <c r="AA11" t="str">
        <f ca="1"/>
        <v>SEQUENTIAL</v>
      </c>
      <c r="AB11" s="3">
        <f ca="1"/>
        <v>8.611111111111111E-2</v>
      </c>
      <c r="AC11" s="3">
        <f ca="1"/>
        <v>-3.2341159568869873E-3</v>
      </c>
      <c r="AD11" s="45">
        <f ca="1"/>
        <v>43966</v>
      </c>
      <c r="AE11" s="3">
        <f ca="1"/>
        <v>1.0037596137061928</v>
      </c>
      <c r="AF11" s="3">
        <f ca="1"/>
        <v>1.0037596137061928</v>
      </c>
      <c r="AG11">
        <f ca="1"/>
        <v>0</v>
      </c>
      <c r="AH11" s="35">
        <f ca="1"/>
        <v>5720.1585565199412</v>
      </c>
      <c r="AI11" s="35">
        <f ca="1"/>
        <v>5720.1585565199412</v>
      </c>
      <c r="AJ11" s="35">
        <f ca="1"/>
        <v>1415109.3736388716</v>
      </c>
      <c r="AK11" s="36">
        <f ca="1"/>
        <v>43966</v>
      </c>
      <c r="AL11" s="36">
        <f ca="1"/>
        <v>43966</v>
      </c>
      <c r="AM11" s="36">
        <f ca="1"/>
        <v>43997</v>
      </c>
      <c r="AN11" s="36">
        <f ca="1"/>
        <v>43997</v>
      </c>
      <c r="AO11" s="37">
        <f ca="1"/>
        <v>2000000</v>
      </c>
      <c r="AP11" s="37">
        <f ca="1"/>
        <v>2000000</v>
      </c>
      <c r="AQ11" s="41">
        <f ca="1"/>
        <v>0</v>
      </c>
      <c r="AR11" s="42">
        <f ca="1"/>
        <v>0</v>
      </c>
      <c r="AS11" s="42">
        <f ca="1"/>
        <v>0</v>
      </c>
      <c r="AT11">
        <f ca="1"/>
        <v>0.17779761518547407</v>
      </c>
      <c r="AU11">
        <f ca="1"/>
        <v>0.4564032309141573</v>
      </c>
      <c r="AV11" s="4">
        <f ca="1"/>
        <v>8054.1244740916864</v>
      </c>
      <c r="AW11" s="3">
        <f ca="1"/>
        <v>4.6765884043113014E-2</v>
      </c>
      <c r="AX11" t="str">
        <f ca="1"/>
        <v>SEQUENTIAL</v>
      </c>
      <c r="AY11" s="3">
        <f ca="1"/>
        <v>8.611111111111111E-2</v>
      </c>
      <c r="AZ11" s="3">
        <f ca="1"/>
        <v>-3.2341159568869873E-3</v>
      </c>
      <c r="BA11" s="45">
        <f ca="1"/>
        <v>43966</v>
      </c>
      <c r="BB11" s="3">
        <f ca="1"/>
        <v>1.0037596137061928</v>
      </c>
      <c r="BC11" s="3">
        <f ca="1"/>
        <v>1.0037596137061928</v>
      </c>
      <c r="BD11">
        <f ca="1"/>
        <v>0</v>
      </c>
      <c r="BE11" s="4">
        <f ca="1"/>
        <v>8084.4048708558648</v>
      </c>
      <c r="BF11" s="4">
        <f ca="1"/>
        <v>8084.4048708558648</v>
      </c>
      <c r="BG11" s="4">
        <f ca="1"/>
        <v>2000000</v>
      </c>
      <c r="BH11" s="45">
        <f ca="1"/>
        <v>43966</v>
      </c>
      <c r="BI11" s="45">
        <f ca="1"/>
        <v>43966</v>
      </c>
      <c r="BJ11" s="45">
        <f ca="1"/>
        <v>43997</v>
      </c>
      <c r="BK11" s="45">
        <f ca="1"/>
        <v>43997</v>
      </c>
      <c r="BL11" s="37">
        <f ca="1"/>
        <v>2598552.3440197613</v>
      </c>
      <c r="BM11" s="37">
        <f ca="1"/>
        <v>2501961.4034976298</v>
      </c>
      <c r="BN11" s="40">
        <f ca="1"/>
        <v>0</v>
      </c>
      <c r="BO11" s="42">
        <f ca="1"/>
        <v>96590.940522131335</v>
      </c>
      <c r="BP11" s="42">
        <f ca="1"/>
        <v>96590.940522131335</v>
      </c>
      <c r="BQ11">
        <f ca="1"/>
        <v>0.4564032309141573</v>
      </c>
      <c r="BR11">
        <f ca="1"/>
        <v>0.80493347958958605</v>
      </c>
      <c r="BS11" s="4">
        <f ca="1"/>
        <v>10464.532015588939</v>
      </c>
      <c r="BT11" s="3">
        <f ca="1"/>
        <v>4.6765884043113014E-2</v>
      </c>
      <c r="BU11" t="str">
        <f ca="1"/>
        <v>SEQUENTIAL</v>
      </c>
      <c r="BV11" s="3">
        <f ca="1"/>
        <v>8.611111111111111E-2</v>
      </c>
      <c r="BW11" s="3">
        <f ca="1"/>
        <v>-3.2341159568869873E-3</v>
      </c>
      <c r="BX11" s="45">
        <f ca="1"/>
        <v>43966</v>
      </c>
      <c r="BY11" s="3">
        <f ca="1"/>
        <v>1.0037596137061928</v>
      </c>
      <c r="BZ11" s="3">
        <f ca="1"/>
        <v>1.0037596137061928</v>
      </c>
      <c r="CA11">
        <f ca="1"/>
        <v>0</v>
      </c>
      <c r="CB11" s="4">
        <f ca="1"/>
        <v>107457.95975959604</v>
      </c>
      <c r="CC11" s="4">
        <f ca="1"/>
        <v>107457.95975959604</v>
      </c>
      <c r="CD11" s="4">
        <f ca="1"/>
        <v>2598552.3440197613</v>
      </c>
      <c r="CE11" t="e">
        <f ca="1"/>
        <v>#N/A</v>
      </c>
      <c r="CF11" t="e">
        <f ca="1"/>
        <v>#N/A</v>
      </c>
      <c r="CG11" t="e">
        <f ca="1"/>
        <v>#N/A</v>
      </c>
      <c r="CH11" t="e">
        <f ca="1"/>
        <v>#N/A</v>
      </c>
      <c r="CI11" t="e">
        <f ca="1"/>
        <v>#N/A</v>
      </c>
      <c r="CJ11" t="e">
        <f ca="1"/>
        <v>#N/A</v>
      </c>
      <c r="CK11" t="e">
        <f ca="1"/>
        <v>#N/A</v>
      </c>
      <c r="CL11" t="e">
        <f ca="1"/>
        <v>#N/A</v>
      </c>
      <c r="CM11" t="e">
        <f ca="1"/>
        <v>#N/A</v>
      </c>
      <c r="CN11" t="e">
        <f ca="1"/>
        <v>#N/A</v>
      </c>
    </row>
    <row r="12" spans="2:92" x14ac:dyDescent="0.25">
      <c r="B12">
        <f ca="1"/>
        <v>5</v>
      </c>
      <c r="C12" s="37">
        <f ca="1"/>
        <v>7178606.1984754689</v>
      </c>
      <c r="D12" s="37">
        <f ca="1"/>
        <v>7029093.8317694198</v>
      </c>
      <c r="E12" s="35">
        <f ca="1"/>
        <v>13621.292068671242</v>
      </c>
      <c r="F12" s="35">
        <f ca="1"/>
        <v>0</v>
      </c>
      <c r="G12" s="35">
        <f ca="1"/>
        <v>81534.644782428673</v>
      </c>
      <c r="H12" s="35">
        <f ca="1"/>
        <v>0</v>
      </c>
      <c r="I12" s="35">
        <f ca="1"/>
        <v>135891.0746373811</v>
      </c>
      <c r="J12" s="35">
        <f ca="1"/>
        <v>299108.59160314454</v>
      </c>
      <c r="K12" s="35">
        <f ca="1"/>
        <v>859552.01219278097</v>
      </c>
      <c r="L12" s="35">
        <f ca="1"/>
        <v>859552.01219278097</v>
      </c>
      <c r="M12" s="35">
        <f ca="1"/>
        <v>515731.20731566852</v>
      </c>
      <c r="N12" s="45">
        <f ca="1"/>
        <v>43997</v>
      </c>
      <c r="O12" s="45">
        <f ca="1"/>
        <v>43997</v>
      </c>
      <c r="P12" s="45">
        <f ca="1"/>
        <v>44027</v>
      </c>
      <c r="Q12" s="45">
        <f ca="1"/>
        <v>44027</v>
      </c>
      <c r="R12" s="37">
        <f ca="1"/>
        <v>1276339.0624446003</v>
      </c>
      <c r="S12" s="37">
        <f ca="1"/>
        <v>1140447.9878072191</v>
      </c>
      <c r="T12" s="41">
        <f ca="1"/>
        <v>135891.0746373811</v>
      </c>
      <c r="U12" s="42">
        <f ca="1"/>
        <v>0</v>
      </c>
      <c r="V12" s="42">
        <f ca="1"/>
        <v>0</v>
      </c>
      <c r="W12">
        <f ca="1"/>
        <v>0</v>
      </c>
      <c r="X12">
        <f ca="1"/>
        <v>0.16224680095359267</v>
      </c>
      <c r="Y12" s="4">
        <f ca="1"/>
        <v>4982.3312750760178</v>
      </c>
      <c r="Z12" s="3">
        <f ca="1"/>
        <v>4.6843332669297917E-2</v>
      </c>
      <c r="AA12" t="str">
        <f ca="1"/>
        <v>SEQUENTIAL</v>
      </c>
      <c r="AB12" s="3">
        <f ca="1"/>
        <v>8.3333333333333329E-2</v>
      </c>
      <c r="AC12" s="3">
        <f ca="1"/>
        <v>-3.1566673307020852E-3</v>
      </c>
      <c r="AD12" s="45">
        <f ca="1"/>
        <v>43997</v>
      </c>
      <c r="AE12" s="3">
        <f ca="1"/>
        <v>1.0040301591633936</v>
      </c>
      <c r="AF12" s="3">
        <f ca="1"/>
        <v>1.0040301591633936</v>
      </c>
      <c r="AG12">
        <f ca="1"/>
        <v>0</v>
      </c>
      <c r="AH12" s="35">
        <f ca="1"/>
        <v>5002.4108631193276</v>
      </c>
      <c r="AI12" s="35">
        <f ca="1"/>
        <v>5002.4108631193276</v>
      </c>
      <c r="AJ12" s="35">
        <f ca="1"/>
        <v>1276339.0624446003</v>
      </c>
      <c r="AK12" s="36">
        <f ca="1"/>
        <v>43997</v>
      </c>
      <c r="AL12" s="36">
        <f ca="1"/>
        <v>43997</v>
      </c>
      <c r="AM12" s="36">
        <f ca="1"/>
        <v>44027</v>
      </c>
      <c r="AN12" s="36">
        <f ca="1"/>
        <v>44027</v>
      </c>
      <c r="AO12" s="37">
        <f ca="1"/>
        <v>2000000</v>
      </c>
      <c r="AP12" s="37">
        <f ca="1"/>
        <v>2000000</v>
      </c>
      <c r="AQ12" s="41">
        <f ca="1"/>
        <v>0</v>
      </c>
      <c r="AR12" s="42">
        <f ca="1"/>
        <v>0</v>
      </c>
      <c r="AS12" s="42">
        <f ca="1"/>
        <v>0</v>
      </c>
      <c r="AT12">
        <f ca="1"/>
        <v>0.16224680095359267</v>
      </c>
      <c r="AU12">
        <f ca="1"/>
        <v>0.44677849847633633</v>
      </c>
      <c r="AV12" s="4">
        <f ca="1"/>
        <v>7807.2221115496523</v>
      </c>
      <c r="AW12" s="3">
        <f ca="1"/>
        <v>4.6843332669297917E-2</v>
      </c>
      <c r="AX12" t="str">
        <f ca="1"/>
        <v>SEQUENTIAL</v>
      </c>
      <c r="AY12" s="3">
        <f ca="1"/>
        <v>8.3333333333333329E-2</v>
      </c>
      <c r="AZ12" s="3">
        <f ca="1"/>
        <v>-3.1566673307020852E-3</v>
      </c>
      <c r="BA12" s="45">
        <f ca="1"/>
        <v>43997</v>
      </c>
      <c r="BB12" s="3">
        <f ca="1"/>
        <v>1.0040301591633936</v>
      </c>
      <c r="BC12" s="3">
        <f ca="1"/>
        <v>1.0040301591633936</v>
      </c>
      <c r="BD12">
        <f ca="1"/>
        <v>0</v>
      </c>
      <c r="BE12" s="4">
        <f ca="1"/>
        <v>7838.6864592831625</v>
      </c>
      <c r="BF12" s="4">
        <f ca="1"/>
        <v>7838.6864592831625</v>
      </c>
      <c r="BG12" s="4">
        <f ca="1"/>
        <v>2000000</v>
      </c>
      <c r="BH12" s="45">
        <f ca="1"/>
        <v>43997</v>
      </c>
      <c r="BI12" s="45">
        <f ca="1"/>
        <v>43997</v>
      </c>
      <c r="BJ12" s="45">
        <f ca="1"/>
        <v>44027</v>
      </c>
      <c r="BK12" s="45">
        <f ca="1"/>
        <v>44027</v>
      </c>
      <c r="BL12" s="37">
        <f ca="1"/>
        <v>2501961.4034976298</v>
      </c>
      <c r="BM12" s="37">
        <f ca="1"/>
        <v>2406805.4666465297</v>
      </c>
      <c r="BN12" s="40">
        <f ca="1"/>
        <v>0</v>
      </c>
      <c r="BO12" s="42">
        <f ca="1"/>
        <v>95155.936851099919</v>
      </c>
      <c r="BP12" s="42">
        <f ca="1"/>
        <v>95155.936851099919</v>
      </c>
      <c r="BQ12">
        <f ca="1"/>
        <v>0.44677849847633633</v>
      </c>
      <c r="BR12">
        <f ca="1"/>
        <v>0.78918472099231451</v>
      </c>
      <c r="BS12" s="4">
        <f ca="1"/>
        <v>9766.684195815249</v>
      </c>
      <c r="BT12" s="3">
        <f ca="1"/>
        <v>4.6843332669297917E-2</v>
      </c>
      <c r="BU12" t="str">
        <f ca="1"/>
        <v>SEQUENTIAL</v>
      </c>
      <c r="BV12" s="3">
        <f ca="1"/>
        <v>8.3333333333333329E-2</v>
      </c>
      <c r="BW12" s="3">
        <f ca="1"/>
        <v>-3.1566673307020852E-3</v>
      </c>
      <c r="BX12" s="45">
        <f ca="1"/>
        <v>43997</v>
      </c>
      <c r="BY12" s="3">
        <f ca="1"/>
        <v>1.0040301591633936</v>
      </c>
      <c r="BZ12" s="3">
        <f ca="1"/>
        <v>1.0040301591633936</v>
      </c>
      <c r="CA12">
        <f ca="1"/>
        <v>0</v>
      </c>
      <c r="CB12" s="4">
        <f ca="1"/>
        <v>105345.47590957467</v>
      </c>
      <c r="CC12" s="4">
        <f ca="1"/>
        <v>105345.47590957467</v>
      </c>
      <c r="CD12" s="4">
        <f ca="1"/>
        <v>2501961.4034976298</v>
      </c>
      <c r="CE12" t="e">
        <f ca="1"/>
        <v>#N/A</v>
      </c>
      <c r="CF12" t="e">
        <f ca="1"/>
        <v>#N/A</v>
      </c>
      <c r="CG12" t="e">
        <f ca="1"/>
        <v>#N/A</v>
      </c>
      <c r="CH12" t="e">
        <f ca="1"/>
        <v>#N/A</v>
      </c>
      <c r="CI12" t="e">
        <f ca="1"/>
        <v>#N/A</v>
      </c>
      <c r="CJ12" t="e">
        <f ca="1"/>
        <v>#N/A</v>
      </c>
      <c r="CK12" t="e">
        <f ca="1"/>
        <v>#N/A</v>
      </c>
      <c r="CL12" t="e">
        <f ca="1"/>
        <v>#N/A</v>
      </c>
      <c r="CM12" t="e">
        <f ca="1"/>
        <v>#N/A</v>
      </c>
      <c r="CN12" t="e">
        <f ca="1"/>
        <v>#N/A</v>
      </c>
    </row>
    <row r="13" spans="2:92" x14ac:dyDescent="0.25">
      <c r="B13">
        <f ca="1"/>
        <v>6</v>
      </c>
      <c r="C13" s="37">
        <f ca="1"/>
        <v>7029093.8317694198</v>
      </c>
      <c r="D13" s="37">
        <f ca="1"/>
        <v>6882112.776534183</v>
      </c>
      <c r="E13" s="35">
        <f ca="1"/>
        <v>13920.250934677102</v>
      </c>
      <c r="F13" s="35">
        <f ca="1"/>
        <v>0</v>
      </c>
      <c r="G13" s="35">
        <f ca="1"/>
        <v>79836.482580336218</v>
      </c>
      <c r="H13" s="35">
        <f ca="1"/>
        <v>0</v>
      </c>
      <c r="I13" s="35">
        <f ca="1"/>
        <v>133060.80430056032</v>
      </c>
      <c r="J13" s="35">
        <f ca="1"/>
        <v>292878.909657059</v>
      </c>
      <c r="K13" s="35">
        <f ca="1"/>
        <v>992612.81649334123</v>
      </c>
      <c r="L13" s="35">
        <f ca="1"/>
        <v>992612.81649334123</v>
      </c>
      <c r="M13" s="35">
        <f ca="1"/>
        <v>595567.68989600474</v>
      </c>
      <c r="N13" s="45">
        <f ca="1"/>
        <v>44027</v>
      </c>
      <c r="O13" s="45">
        <f ca="1"/>
        <v>44027</v>
      </c>
      <c r="P13" s="45">
        <f ca="1"/>
        <v>44060</v>
      </c>
      <c r="Q13" s="45">
        <f ca="1"/>
        <v>44060</v>
      </c>
      <c r="R13" s="37">
        <f ca="1"/>
        <v>1140447.9878072191</v>
      </c>
      <c r="S13" s="37">
        <f ca="1"/>
        <v>1007387.1835066588</v>
      </c>
      <c r="T13" s="41">
        <f ca="1"/>
        <v>133060.80430056032</v>
      </c>
      <c r="U13" s="42">
        <f ca="1"/>
        <v>0</v>
      </c>
      <c r="V13" s="42">
        <f ca="1"/>
        <v>0</v>
      </c>
      <c r="W13">
        <f ca="1"/>
        <v>0</v>
      </c>
      <c r="X13">
        <f ca="1"/>
        <v>0.14637760470033692</v>
      </c>
      <c r="Y13" s="4">
        <f ca="1"/>
        <v>4905.7383571341925</v>
      </c>
      <c r="Z13" s="3">
        <f ca="1"/>
        <v>4.6926423902146172E-2</v>
      </c>
      <c r="AA13" t="str">
        <f ca="1"/>
        <v>SEQUENTIAL</v>
      </c>
      <c r="AB13" s="3">
        <f ca="1"/>
        <v>9.166666666666666E-2</v>
      </c>
      <c r="AC13" s="3">
        <f ca="1"/>
        <v>-3.0735760978538333E-3</v>
      </c>
      <c r="AD13" s="45">
        <f ca="1"/>
        <v>44027</v>
      </c>
      <c r="AE13" s="3">
        <f ca="1"/>
        <v>1.0043170220396545</v>
      </c>
      <c r="AF13" s="3">
        <f ca="1"/>
        <v>1.0043170220396545</v>
      </c>
      <c r="AG13">
        <f ca="1"/>
        <v>0</v>
      </c>
      <c r="AH13" s="35">
        <f ca="1"/>
        <v>4926.9165377427189</v>
      </c>
      <c r="AI13" s="35">
        <f ca="1"/>
        <v>4926.9165377427189</v>
      </c>
      <c r="AJ13" s="35">
        <f ca="1"/>
        <v>1140447.9878072191</v>
      </c>
      <c r="AK13" s="36">
        <f ca="1"/>
        <v>44027</v>
      </c>
      <c r="AL13" s="36">
        <f ca="1"/>
        <v>44027</v>
      </c>
      <c r="AM13" s="36">
        <f ca="1"/>
        <v>44060</v>
      </c>
      <c r="AN13" s="36">
        <f ca="1"/>
        <v>44060</v>
      </c>
      <c r="AO13" s="37">
        <f ca="1"/>
        <v>2000000</v>
      </c>
      <c r="AP13" s="37">
        <f ca="1"/>
        <v>2000000</v>
      </c>
      <c r="AQ13" s="41">
        <f ca="1"/>
        <v>0</v>
      </c>
      <c r="AR13" s="42">
        <f ca="1"/>
        <v>0</v>
      </c>
      <c r="AS13" s="42">
        <f ca="1"/>
        <v>0</v>
      </c>
      <c r="AT13">
        <f ca="1"/>
        <v>0.14637760470033692</v>
      </c>
      <c r="AU13">
        <f ca="1"/>
        <v>0.43698603628828825</v>
      </c>
      <c r="AV13" s="4">
        <f ca="1"/>
        <v>8603.1777153934636</v>
      </c>
      <c r="AW13" s="3">
        <f ca="1"/>
        <v>4.6926423902146172E-2</v>
      </c>
      <c r="AX13" t="str">
        <f ca="1"/>
        <v>SEQUENTIAL</v>
      </c>
      <c r="AY13" s="3">
        <f ca="1"/>
        <v>9.166666666666666E-2</v>
      </c>
      <c r="AZ13" s="3">
        <f ca="1"/>
        <v>-3.0735760978538333E-3</v>
      </c>
      <c r="BA13" s="45">
        <f ca="1"/>
        <v>44027</v>
      </c>
      <c r="BB13" s="3">
        <f ca="1"/>
        <v>1.0043170220396545</v>
      </c>
      <c r="BC13" s="3">
        <f ca="1"/>
        <v>1.0043170220396545</v>
      </c>
      <c r="BD13">
        <f ca="1"/>
        <v>0</v>
      </c>
      <c r="BE13" s="4">
        <f ca="1"/>
        <v>8640.3178232018818</v>
      </c>
      <c r="BF13" s="4">
        <f ca="1"/>
        <v>8640.3178232018818</v>
      </c>
      <c r="BG13" s="4">
        <f ca="1"/>
        <v>2000000</v>
      </c>
      <c r="BH13" s="45">
        <f ca="1"/>
        <v>44027</v>
      </c>
      <c r="BI13" s="45">
        <f ca="1"/>
        <v>44027</v>
      </c>
      <c r="BJ13" s="45">
        <f ca="1"/>
        <v>44060</v>
      </c>
      <c r="BK13" s="45">
        <f ca="1"/>
        <v>44060</v>
      </c>
      <c r="BL13" s="37">
        <f ca="1"/>
        <v>2406805.4666465297</v>
      </c>
      <c r="BM13" s="37">
        <f ca="1"/>
        <v>2313048.7331315163</v>
      </c>
      <c r="BN13" s="40">
        <f ca="1"/>
        <v>0</v>
      </c>
      <c r="BO13" s="42">
        <f ca="1"/>
        <v>93756.733515013315</v>
      </c>
      <c r="BP13" s="42">
        <f ca="1"/>
        <v>93756.733515013315</v>
      </c>
      <c r="BQ13">
        <f ca="1"/>
        <v>0.43698603628828825</v>
      </c>
      <c r="BR13">
        <f ca="1"/>
        <v>0.77308176854921218</v>
      </c>
      <c r="BS13" s="4">
        <f ca="1"/>
        <v>10353.087577970296</v>
      </c>
      <c r="BT13" s="3">
        <f ca="1"/>
        <v>4.6926423902146172E-2</v>
      </c>
      <c r="BU13" t="str">
        <f ca="1"/>
        <v>SEQUENTIAL</v>
      </c>
      <c r="BV13" s="3">
        <f ca="1"/>
        <v>9.166666666666666E-2</v>
      </c>
      <c r="BW13" s="3">
        <f ca="1"/>
        <v>-3.0735760978538333E-3</v>
      </c>
      <c r="BX13" s="45">
        <f ca="1"/>
        <v>44027</v>
      </c>
      <c r="BY13" s="3">
        <f ca="1"/>
        <v>1.0043170220396545</v>
      </c>
      <c r="BZ13" s="3">
        <f ca="1"/>
        <v>1.0043170220396545</v>
      </c>
      <c r="CA13">
        <f ca="1"/>
        <v>0</v>
      </c>
      <c r="CB13" s="4">
        <f ca="1"/>
        <v>104559.26548518649</v>
      </c>
      <c r="CC13" s="4">
        <f ca="1"/>
        <v>104559.26548518649</v>
      </c>
      <c r="CD13" s="4">
        <f ca="1"/>
        <v>2406805.4666465297</v>
      </c>
      <c r="CE13" t="e">
        <f ca="1"/>
        <v>#N/A</v>
      </c>
      <c r="CF13" t="e">
        <f ca="1"/>
        <v>#N/A</v>
      </c>
      <c r="CG13" t="e">
        <f ca="1"/>
        <v>#N/A</v>
      </c>
      <c r="CH13" t="e">
        <f ca="1"/>
        <v>#N/A</v>
      </c>
      <c r="CI13" t="e">
        <f ca="1"/>
        <v>#N/A</v>
      </c>
      <c r="CJ13" t="e">
        <f ca="1"/>
        <v>#N/A</v>
      </c>
      <c r="CK13" t="e">
        <f ca="1"/>
        <v>#N/A</v>
      </c>
      <c r="CL13" t="e">
        <f ca="1"/>
        <v>#N/A</v>
      </c>
      <c r="CM13" t="e">
        <f ca="1"/>
        <v>#N/A</v>
      </c>
      <c r="CN13" t="e">
        <f ca="1"/>
        <v>#N/A</v>
      </c>
    </row>
    <row r="14" spans="2:92" x14ac:dyDescent="0.25">
      <c r="B14">
        <f ca="1"/>
        <v>7</v>
      </c>
      <c r="C14" s="37">
        <f ca="1"/>
        <v>6882112.776534183</v>
      </c>
      <c r="D14" s="37">
        <f ca="1"/>
        <v>6737608.5535009997</v>
      </c>
      <c r="E14" s="35">
        <f ca="1"/>
        <v>14225.771322388322</v>
      </c>
      <c r="F14" s="35">
        <f ca="1"/>
        <v>0</v>
      </c>
      <c r="G14" s="35">
        <f ca="1"/>
        <v>78167.071026475372</v>
      </c>
      <c r="H14" s="35">
        <f ca="1"/>
        <v>0</v>
      </c>
      <c r="I14" s="35">
        <f ca="1"/>
        <v>130278.45171079242</v>
      </c>
      <c r="J14" s="35">
        <f ca="1"/>
        <v>286754.69902225758</v>
      </c>
      <c r="K14" s="35">
        <f ca="1"/>
        <v>1122891.2682041337</v>
      </c>
      <c r="L14" s="35">
        <f ca="1"/>
        <v>1122891.2682041337</v>
      </c>
      <c r="M14" s="35">
        <f ca="1"/>
        <v>673734.76092248014</v>
      </c>
      <c r="N14" s="45">
        <f ca="1"/>
        <v>44060</v>
      </c>
      <c r="O14" s="45">
        <f ca="1"/>
        <v>44060</v>
      </c>
      <c r="P14" s="45">
        <f ca="1"/>
        <v>44089</v>
      </c>
      <c r="Q14" s="45">
        <f ca="1"/>
        <v>44089</v>
      </c>
      <c r="R14" s="37">
        <f ca="1"/>
        <v>1007387.1835066588</v>
      </c>
      <c r="S14" s="37">
        <f ca="1"/>
        <v>877108.73179586639</v>
      </c>
      <c r="T14" s="41">
        <f ca="1"/>
        <v>130278.45171079242</v>
      </c>
      <c r="U14" s="42">
        <f ca="1"/>
        <v>0</v>
      </c>
      <c r="V14" s="42">
        <f ca="1"/>
        <v>0</v>
      </c>
      <c r="W14">
        <f ca="1"/>
        <v>0</v>
      </c>
      <c r="X14">
        <f ca="1"/>
        <v>0.13018101672589791</v>
      </c>
      <c r="Y14" s="4">
        <f ca="1"/>
        <v>3815.4368318837751</v>
      </c>
      <c r="Z14" s="3">
        <f ca="1"/>
        <v>4.7016722274954646E-2</v>
      </c>
      <c r="AA14" t="str">
        <f ca="1"/>
        <v>SEQUENTIAL</v>
      </c>
      <c r="AB14" s="3">
        <f ca="1"/>
        <v>8.0555555555555561E-2</v>
      </c>
      <c r="AC14" s="3">
        <f ca="1"/>
        <v>-2.9832777250453539E-3</v>
      </c>
      <c r="AD14" s="45">
        <f ca="1"/>
        <v>44060</v>
      </c>
      <c r="AE14" s="3">
        <f ca="1"/>
        <v>1.0045640329656846</v>
      </c>
      <c r="AF14" s="3">
        <f ca="1"/>
        <v>1.0045640329656846</v>
      </c>
      <c r="AG14">
        <f ca="1"/>
        <v>0</v>
      </c>
      <c r="AH14" s="35">
        <f ca="1"/>
        <v>3832.8506113629801</v>
      </c>
      <c r="AI14" s="35">
        <f ca="1"/>
        <v>3832.8506113629801</v>
      </c>
      <c r="AJ14" s="35">
        <f ca="1"/>
        <v>1007387.1835066588</v>
      </c>
      <c r="AK14" s="36">
        <f ca="1"/>
        <v>44060</v>
      </c>
      <c r="AL14" s="36">
        <f ca="1"/>
        <v>44060</v>
      </c>
      <c r="AM14" s="36">
        <f ca="1"/>
        <v>44089</v>
      </c>
      <c r="AN14" s="36">
        <f ca="1"/>
        <v>44089</v>
      </c>
      <c r="AO14" s="37">
        <f ca="1"/>
        <v>2000000</v>
      </c>
      <c r="AP14" s="37">
        <f ca="1"/>
        <v>2000000</v>
      </c>
      <c r="AQ14" s="41">
        <f ca="1"/>
        <v>0</v>
      </c>
      <c r="AR14" s="42">
        <f ca="1"/>
        <v>0</v>
      </c>
      <c r="AS14" s="42">
        <f ca="1"/>
        <v>0</v>
      </c>
      <c r="AT14">
        <f ca="1"/>
        <v>0.13018101672589791</v>
      </c>
      <c r="AU14">
        <f ca="1"/>
        <v>0.42702224520016996</v>
      </c>
      <c r="AV14" s="4">
        <f ca="1"/>
        <v>7574.9163665204715</v>
      </c>
      <c r="AW14" s="3">
        <f ca="1"/>
        <v>4.7016722274954646E-2</v>
      </c>
      <c r="AX14" t="str">
        <f ca="1"/>
        <v>SEQUENTIAL</v>
      </c>
      <c r="AY14" s="3">
        <f ca="1"/>
        <v>8.0555555555555561E-2</v>
      </c>
      <c r="AZ14" s="3">
        <f ca="1"/>
        <v>-2.9832777250453539E-3</v>
      </c>
      <c r="BA14" s="45">
        <f ca="1"/>
        <v>44060</v>
      </c>
      <c r="BB14" s="3">
        <f ca="1"/>
        <v>1.0045640329656846</v>
      </c>
      <c r="BC14" s="3">
        <f ca="1"/>
        <v>1.0045640329656846</v>
      </c>
      <c r="BD14">
        <f ca="1"/>
        <v>0</v>
      </c>
      <c r="BE14" s="4">
        <f ca="1"/>
        <v>7609.4885345295752</v>
      </c>
      <c r="BF14" s="4">
        <f ca="1"/>
        <v>7609.4885345295752</v>
      </c>
      <c r="BG14" s="4">
        <f ca="1"/>
        <v>2000000</v>
      </c>
      <c r="BH14" s="45">
        <f ca="1"/>
        <v>44060</v>
      </c>
      <c r="BI14" s="45">
        <f ca="1"/>
        <v>44060</v>
      </c>
      <c r="BJ14" s="45">
        <f ca="1"/>
        <v>44089</v>
      </c>
      <c r="BK14" s="45">
        <f ca="1"/>
        <v>44089</v>
      </c>
      <c r="BL14" s="37">
        <f ca="1"/>
        <v>2313048.7331315163</v>
      </c>
      <c r="BM14" s="37">
        <f ca="1"/>
        <v>2220655.8907826524</v>
      </c>
      <c r="BN14" s="40">
        <f ca="1"/>
        <v>0</v>
      </c>
      <c r="BO14" s="42">
        <f ca="1"/>
        <v>92392.842348863691</v>
      </c>
      <c r="BP14" s="42">
        <f ca="1"/>
        <v>92392.842348863691</v>
      </c>
      <c r="BQ14">
        <f ca="1"/>
        <v>0.42702224520016996</v>
      </c>
      <c r="BR14">
        <f ca="1"/>
        <v>0.75661335651944561</v>
      </c>
      <c r="BS14" s="4">
        <f ca="1"/>
        <v>8760.5753525786822</v>
      </c>
      <c r="BT14" s="3">
        <f ca="1"/>
        <v>4.7016722274954646E-2</v>
      </c>
      <c r="BU14" t="str">
        <f ca="1"/>
        <v>SEQUENTIAL</v>
      </c>
      <c r="BV14" s="3">
        <f ca="1"/>
        <v>8.0555555555555561E-2</v>
      </c>
      <c r="BW14" s="3">
        <f ca="1"/>
        <v>-2.9832777250453539E-3</v>
      </c>
      <c r="BX14" s="45">
        <f ca="1"/>
        <v>44060</v>
      </c>
      <c r="BY14" s="3">
        <f ca="1"/>
        <v>1.0045640329656846</v>
      </c>
      <c r="BZ14" s="3">
        <f ca="1"/>
        <v>1.0045640329656846</v>
      </c>
      <c r="CA14">
        <f ca="1"/>
        <v>0</v>
      </c>
      <c r="CB14" s="4">
        <f ca="1"/>
        <v>101615.08523442343</v>
      </c>
      <c r="CC14" s="4">
        <f ca="1"/>
        <v>101615.08523442343</v>
      </c>
      <c r="CD14" s="4">
        <f ca="1"/>
        <v>2313048.7331315163</v>
      </c>
      <c r="CE14" t="e">
        <f ca="1"/>
        <v>#N/A</v>
      </c>
      <c r="CF14" t="e">
        <f ca="1"/>
        <v>#N/A</v>
      </c>
      <c r="CG14" t="e">
        <f ca="1"/>
        <v>#N/A</v>
      </c>
      <c r="CH14" t="e">
        <f ca="1"/>
        <v>#N/A</v>
      </c>
      <c r="CI14" t="e">
        <f ca="1"/>
        <v>#N/A</v>
      </c>
      <c r="CJ14" t="e">
        <f ca="1"/>
        <v>#N/A</v>
      </c>
      <c r="CK14" t="e">
        <f ca="1"/>
        <v>#N/A</v>
      </c>
      <c r="CL14" t="e">
        <f ca="1"/>
        <v>#N/A</v>
      </c>
      <c r="CM14" t="e">
        <f ca="1"/>
        <v>#N/A</v>
      </c>
      <c r="CN14" t="e">
        <f ca="1"/>
        <v>#N/A</v>
      </c>
    </row>
    <row r="15" spans="2:92" x14ac:dyDescent="0.25">
      <c r="B15">
        <f ca="1"/>
        <v>8</v>
      </c>
      <c r="C15" s="37">
        <f ca="1"/>
        <v>6737608.5535009997</v>
      </c>
      <c r="D15" s="37">
        <f ca="1"/>
        <v>6595527.5706824483</v>
      </c>
      <c r="E15" s="35">
        <f ca="1"/>
        <v>14537.997243480031</v>
      </c>
      <c r="F15" s="35">
        <f ca="1"/>
        <v>0</v>
      </c>
      <c r="G15" s="35">
        <f ca="1"/>
        <v>76525.791345041755</v>
      </c>
      <c r="H15" s="35">
        <f ca="1"/>
        <v>0</v>
      </c>
      <c r="I15" s="35">
        <f ca="1"/>
        <v>127542.98557506963</v>
      </c>
      <c r="J15" s="35">
        <f ca="1"/>
        <v>280733.68972920836</v>
      </c>
      <c r="K15" s="35">
        <f ca="1"/>
        <v>1250434.2537792034</v>
      </c>
      <c r="L15" s="35">
        <f ca="1"/>
        <v>1250434.2537792034</v>
      </c>
      <c r="M15" s="35">
        <f ca="1"/>
        <v>750260.55226752185</v>
      </c>
      <c r="N15" s="45">
        <f ca="1"/>
        <v>44089</v>
      </c>
      <c r="O15" s="45">
        <f ca="1"/>
        <v>44089</v>
      </c>
      <c r="P15" s="45">
        <f ca="1"/>
        <v>44119</v>
      </c>
      <c r="Q15" s="45">
        <f ca="1"/>
        <v>44119</v>
      </c>
      <c r="R15" s="37">
        <f ca="1"/>
        <v>877108.73179586639</v>
      </c>
      <c r="S15" s="37">
        <f ca="1"/>
        <v>749565.74622079672</v>
      </c>
      <c r="T15" s="41">
        <f ca="1"/>
        <v>127542.98557506963</v>
      </c>
      <c r="U15" s="42">
        <f ca="1"/>
        <v>0</v>
      </c>
      <c r="V15" s="42">
        <f ca="1"/>
        <v>0</v>
      </c>
      <c r="W15">
        <f ca="1"/>
        <v>0</v>
      </c>
      <c r="X15">
        <f ca="1"/>
        <v>0.11364757984678368</v>
      </c>
      <c r="Y15" s="4">
        <f ca="1"/>
        <v>3442.2553577942572</v>
      </c>
      <c r="Z15" s="3">
        <f ca="1"/>
        <v>4.709457652867681E-2</v>
      </c>
      <c r="AA15" t="str">
        <f ca="1"/>
        <v>SEQUENTIAL</v>
      </c>
      <c r="AB15" s="3">
        <f ca="1"/>
        <v>8.3333333333333329E-2</v>
      </c>
      <c r="AC15" s="3">
        <f ca="1"/>
        <v>-2.905423471323193E-3</v>
      </c>
      <c r="AD15" s="45">
        <f ca="1"/>
        <v>44089</v>
      </c>
      <c r="AE15" s="3">
        <f ca="1"/>
        <v>1.0048146502233899</v>
      </c>
      <c r="AF15" s="3">
        <f ca="1"/>
        <v>1.0048146502233899</v>
      </c>
      <c r="AG15">
        <f ca="1"/>
        <v>0</v>
      </c>
      <c r="AH15" s="35">
        <f ca="1"/>
        <v>3458.8286133216266</v>
      </c>
      <c r="AI15" s="35">
        <f ca="1"/>
        <v>3458.8286133216266</v>
      </c>
      <c r="AJ15" s="35">
        <f ca="1"/>
        <v>877108.73179586639</v>
      </c>
      <c r="AK15" s="36">
        <f ca="1"/>
        <v>44089</v>
      </c>
      <c r="AL15" s="36">
        <f ca="1"/>
        <v>44089</v>
      </c>
      <c r="AM15" s="36">
        <f ca="1"/>
        <v>44119</v>
      </c>
      <c r="AN15" s="36">
        <f ca="1"/>
        <v>44119</v>
      </c>
      <c r="AO15" s="37">
        <f ca="1"/>
        <v>2000000</v>
      </c>
      <c r="AP15" s="37">
        <f ca="1"/>
        <v>2000000</v>
      </c>
      <c r="AQ15" s="41">
        <f ca="1"/>
        <v>0</v>
      </c>
      <c r="AR15" s="42">
        <f ca="1"/>
        <v>0</v>
      </c>
      <c r="AS15" s="42">
        <f ca="1"/>
        <v>0</v>
      </c>
      <c r="AT15">
        <f ca="1"/>
        <v>0.11364757984678368</v>
      </c>
      <c r="AU15">
        <f ca="1"/>
        <v>0.41688336782076335</v>
      </c>
      <c r="AV15" s="4">
        <f ca="1"/>
        <v>7849.0960881128012</v>
      </c>
      <c r="AW15" s="3">
        <f ca="1"/>
        <v>4.709457652867681E-2</v>
      </c>
      <c r="AX15" t="str">
        <f ca="1"/>
        <v>SEQUENTIAL</v>
      </c>
      <c r="AY15" s="3">
        <f ca="1"/>
        <v>8.3333333333333329E-2</v>
      </c>
      <c r="AZ15" s="3">
        <f ca="1"/>
        <v>-2.905423471323193E-3</v>
      </c>
      <c r="BA15" s="45">
        <f ca="1"/>
        <v>44089</v>
      </c>
      <c r="BB15" s="3">
        <f ca="1"/>
        <v>1.0048146502233899</v>
      </c>
      <c r="BC15" s="3">
        <f ca="1"/>
        <v>1.0048146502233899</v>
      </c>
      <c r="BD15">
        <f ca="1"/>
        <v>0</v>
      </c>
      <c r="BE15" s="4">
        <f ca="1"/>
        <v>7886.8867403468421</v>
      </c>
      <c r="BF15" s="4">
        <f ca="1"/>
        <v>7886.8867403468421</v>
      </c>
      <c r="BG15" s="4">
        <f ca="1"/>
        <v>2000000</v>
      </c>
      <c r="BH15" s="45">
        <f ca="1"/>
        <v>44089</v>
      </c>
      <c r="BI15" s="45">
        <f ca="1"/>
        <v>44089</v>
      </c>
      <c r="BJ15" s="45">
        <f ca="1"/>
        <v>44119</v>
      </c>
      <c r="BK15" s="45">
        <f ca="1"/>
        <v>44119</v>
      </c>
      <c r="BL15" s="37">
        <f ca="1"/>
        <v>2220655.8907826524</v>
      </c>
      <c r="BM15" s="37">
        <f ca="1"/>
        <v>2129592.1021941304</v>
      </c>
      <c r="BN15" s="40">
        <f ca="1"/>
        <v>0</v>
      </c>
      <c r="BO15" s="42">
        <f ca="1"/>
        <v>91063.788588521784</v>
      </c>
      <c r="BP15" s="42">
        <f ca="1"/>
        <v>91063.788588521784</v>
      </c>
      <c r="BQ15">
        <f ca="1"/>
        <v>0.41688336782076335</v>
      </c>
      <c r="BR15">
        <f ca="1"/>
        <v>0.73976763740676388</v>
      </c>
      <c r="BS15" s="4">
        <f ca="1"/>
        <v>8715.0707326933825</v>
      </c>
      <c r="BT15" s="3">
        <f ca="1"/>
        <v>4.709457652867681E-2</v>
      </c>
      <c r="BU15" t="str">
        <f ca="1"/>
        <v>SEQUENTIAL</v>
      </c>
      <c r="BV15" s="3">
        <f ca="1"/>
        <v>8.3333333333333329E-2</v>
      </c>
      <c r="BW15" s="3">
        <f ca="1"/>
        <v>-2.905423471323193E-3</v>
      </c>
      <c r="BX15" s="45">
        <f ca="1"/>
        <v>44089</v>
      </c>
      <c r="BY15" s="3">
        <f ca="1"/>
        <v>1.0048146502233899</v>
      </c>
      <c r="BZ15" s="3">
        <f ca="1"/>
        <v>1.0048146502233899</v>
      </c>
      <c r="CA15">
        <f ca="1"/>
        <v>0</v>
      </c>
      <c r="CB15" s="4">
        <f ca="1"/>
        <v>100259.25962853564</v>
      </c>
      <c r="CC15" s="4">
        <f ca="1"/>
        <v>100259.25962853564</v>
      </c>
      <c r="CD15" s="4">
        <f ca="1"/>
        <v>2220655.8907826524</v>
      </c>
      <c r="CE15" t="e">
        <f ca="1"/>
        <v>#N/A</v>
      </c>
      <c r="CF15" t="e">
        <f ca="1"/>
        <v>#N/A</v>
      </c>
      <c r="CG15" t="e">
        <f ca="1"/>
        <v>#N/A</v>
      </c>
      <c r="CH15" t="e">
        <f ca="1"/>
        <v>#N/A</v>
      </c>
      <c r="CI15" t="e">
        <f ca="1"/>
        <v>#N/A</v>
      </c>
      <c r="CJ15" t="e">
        <f ca="1"/>
        <v>#N/A</v>
      </c>
      <c r="CK15" t="e">
        <f ca="1"/>
        <v>#N/A</v>
      </c>
      <c r="CL15" t="e">
        <f ca="1"/>
        <v>#N/A</v>
      </c>
      <c r="CM15" t="e">
        <f ca="1"/>
        <v>#N/A</v>
      </c>
      <c r="CN15" t="e">
        <f ca="1"/>
        <v>#N/A</v>
      </c>
    </row>
    <row r="16" spans="2:92" x14ac:dyDescent="0.25">
      <c r="B16">
        <f ca="1"/>
        <v>9</v>
      </c>
      <c r="C16" s="37">
        <f ca="1"/>
        <v>6595527.5706824483</v>
      </c>
      <c r="D16" s="37">
        <f ca="1"/>
        <v>6455817.103415438</v>
      </c>
      <c r="E16" s="35">
        <f ca="1"/>
        <v>14857.075870382361</v>
      </c>
      <c r="F16" s="35">
        <f ca="1"/>
        <v>0</v>
      </c>
      <c r="G16" s="35">
        <f ca="1"/>
        <v>74912.034837976535</v>
      </c>
      <c r="H16" s="35">
        <f ca="1"/>
        <v>0</v>
      </c>
      <c r="I16" s="35">
        <f ca="1"/>
        <v>124853.39139662751</v>
      </c>
      <c r="J16" s="35">
        <f ca="1"/>
        <v>274813.64877843537</v>
      </c>
      <c r="K16" s="35">
        <f ca="1"/>
        <v>1375287.6451758309</v>
      </c>
      <c r="L16" s="35">
        <f ca="1"/>
        <v>1375287.6451758309</v>
      </c>
      <c r="M16" s="35">
        <f ca="1"/>
        <v>825172.58710549842</v>
      </c>
      <c r="N16" s="45">
        <f ca="1"/>
        <v>44119</v>
      </c>
      <c r="O16" s="45">
        <f ca="1"/>
        <v>44119</v>
      </c>
      <c r="P16" s="45">
        <f ca="1"/>
        <v>44151</v>
      </c>
      <c r="Q16" s="45">
        <f ca="1"/>
        <v>44151</v>
      </c>
      <c r="R16" s="37">
        <f ca="1"/>
        <v>749565.74622079672</v>
      </c>
      <c r="S16" s="37">
        <f ca="1"/>
        <v>624712.35482416919</v>
      </c>
      <c r="T16" s="41">
        <f ca="1"/>
        <v>124853.39139662751</v>
      </c>
      <c r="U16" s="42">
        <f ca="1"/>
        <v>0</v>
      </c>
      <c r="V16" s="42">
        <f ca="1"/>
        <v>0</v>
      </c>
      <c r="W16">
        <f ca="1"/>
        <v>0</v>
      </c>
      <c r="X16">
        <f ca="1"/>
        <v>9.6767356450303751E-2</v>
      </c>
      <c r="Y16" s="4">
        <f ca="1"/>
        <v>3143.1694493464584</v>
      </c>
      <c r="Z16" s="3">
        <f ca="1"/>
        <v>4.7174856219659222E-2</v>
      </c>
      <c r="AA16" t="str">
        <f ca="1"/>
        <v>SEQUENTIAL</v>
      </c>
      <c r="AB16" s="3">
        <f ca="1"/>
        <v>8.8888888888888892E-2</v>
      </c>
      <c r="AC16" s="3">
        <f ca="1"/>
        <v>-2.8251437803407807E-3</v>
      </c>
      <c r="AD16" s="45">
        <f ca="1"/>
        <v>44119</v>
      </c>
      <c r="AE16" s="3">
        <f ca="1"/>
        <v>1.0050752715902314</v>
      </c>
      <c r="AF16" s="3">
        <f ca="1"/>
        <v>1.0050752715902314</v>
      </c>
      <c r="AG16">
        <f ca="1"/>
        <v>0</v>
      </c>
      <c r="AH16" s="35">
        <f ca="1"/>
        <v>3159.1218879560097</v>
      </c>
      <c r="AI16" s="35">
        <f ca="1"/>
        <v>3159.1218879560097</v>
      </c>
      <c r="AJ16" s="35">
        <f ca="1"/>
        <v>749565.74622079672</v>
      </c>
      <c r="AK16" s="36">
        <f ca="1"/>
        <v>44119</v>
      </c>
      <c r="AL16" s="36">
        <f ca="1"/>
        <v>44119</v>
      </c>
      <c r="AM16" s="36">
        <f ca="1"/>
        <v>44151</v>
      </c>
      <c r="AN16" s="36">
        <f ca="1"/>
        <v>44151</v>
      </c>
      <c r="AO16" s="37">
        <f ca="1"/>
        <v>2000000</v>
      </c>
      <c r="AP16" s="37">
        <f ca="1"/>
        <v>2000000</v>
      </c>
      <c r="AQ16" s="41">
        <f ca="1"/>
        <v>0</v>
      </c>
      <c r="AR16" s="42">
        <f ca="1"/>
        <v>0</v>
      </c>
      <c r="AS16" s="42">
        <f ca="1"/>
        <v>0</v>
      </c>
      <c r="AT16">
        <f ca="1"/>
        <v>9.6767356450303751E-2</v>
      </c>
      <c r="AU16">
        <f ca="1"/>
        <v>0.40656547618667355</v>
      </c>
      <c r="AV16" s="4">
        <f ca="1"/>
        <v>8386.6411057171954</v>
      </c>
      <c r="AW16" s="3">
        <f ca="1"/>
        <v>4.7174856219659222E-2</v>
      </c>
      <c r="AX16" t="str">
        <f ca="1"/>
        <v>SEQUENTIAL</v>
      </c>
      <c r="AY16" s="3">
        <f ca="1"/>
        <v>8.8888888888888892E-2</v>
      </c>
      <c r="AZ16" s="3">
        <f ca="1"/>
        <v>-2.8251437803407807E-3</v>
      </c>
      <c r="BA16" s="45">
        <f ca="1"/>
        <v>44119</v>
      </c>
      <c r="BB16" s="3">
        <f ca="1"/>
        <v>1.0050752715902314</v>
      </c>
      <c r="BC16" s="3">
        <f ca="1"/>
        <v>1.0050752715902314</v>
      </c>
      <c r="BD16">
        <f ca="1"/>
        <v>0</v>
      </c>
      <c r="BE16" s="4">
        <f ca="1"/>
        <v>8429.2055870585082</v>
      </c>
      <c r="BF16" s="4">
        <f ca="1"/>
        <v>8429.2055870585082</v>
      </c>
      <c r="BG16" s="4">
        <f ca="1"/>
        <v>2000000</v>
      </c>
      <c r="BH16" s="45">
        <f ca="1"/>
        <v>44119</v>
      </c>
      <c r="BI16" s="45">
        <f ca="1"/>
        <v>44119</v>
      </c>
      <c r="BJ16" s="45">
        <f ca="1"/>
        <v>44151</v>
      </c>
      <c r="BK16" s="45">
        <f ca="1"/>
        <v>44151</v>
      </c>
      <c r="BL16" s="37">
        <f ca="1"/>
        <v>2129592.1021941304</v>
      </c>
      <c r="BM16" s="37">
        <f ca="1"/>
        <v>2039822.9914857715</v>
      </c>
      <c r="BN16" s="40">
        <f ca="1"/>
        <v>0</v>
      </c>
      <c r="BO16" s="42">
        <f ca="1"/>
        <v>89769.110708358901</v>
      </c>
      <c r="BP16" s="42">
        <f ca="1"/>
        <v>89769.110708358901</v>
      </c>
      <c r="BQ16">
        <f ca="1"/>
        <v>0.40656547618667355</v>
      </c>
      <c r="BR16">
        <f ca="1"/>
        <v>0.72253213986532805</v>
      </c>
      <c r="BS16" s="4">
        <f ca="1"/>
        <v>8930.0623313359938</v>
      </c>
      <c r="BT16" s="3">
        <f ca="1"/>
        <v>4.7174856219659222E-2</v>
      </c>
      <c r="BU16" t="str">
        <f ca="1"/>
        <v>SEQUENTIAL</v>
      </c>
      <c r="BV16" s="3">
        <f ca="1"/>
        <v>8.8888888888888892E-2</v>
      </c>
      <c r="BW16" s="3">
        <f ca="1"/>
        <v>-2.8251437803407807E-3</v>
      </c>
      <c r="BX16" s="45">
        <f ca="1"/>
        <v>44119</v>
      </c>
      <c r="BY16" s="3">
        <f ca="1"/>
        <v>1.0050752715902314</v>
      </c>
      <c r="BZ16" s="3">
        <f ca="1"/>
        <v>1.0050752715902314</v>
      </c>
      <c r="CA16">
        <f ca="1"/>
        <v>0</v>
      </c>
      <c r="CB16" s="4">
        <f ca="1"/>
        <v>99200.098148602585</v>
      </c>
      <c r="CC16" s="4">
        <f ca="1"/>
        <v>99200.098148602585</v>
      </c>
      <c r="CD16" s="4">
        <f ca="1"/>
        <v>2129592.1021941304</v>
      </c>
      <c r="CE16" t="e">
        <f ca="1"/>
        <v>#N/A</v>
      </c>
      <c r="CF16" t="e">
        <f ca="1"/>
        <v>#N/A</v>
      </c>
      <c r="CG16" t="e">
        <f ca="1"/>
        <v>#N/A</v>
      </c>
      <c r="CH16" t="e">
        <f ca="1"/>
        <v>#N/A</v>
      </c>
      <c r="CI16" t="e">
        <f ca="1"/>
        <v>#N/A</v>
      </c>
      <c r="CJ16" t="e">
        <f ca="1"/>
        <v>#N/A</v>
      </c>
      <c r="CK16" t="e">
        <f ca="1"/>
        <v>#N/A</v>
      </c>
      <c r="CL16" t="e">
        <f ca="1"/>
        <v>#N/A</v>
      </c>
      <c r="CM16" t="e">
        <f ca="1"/>
        <v>#N/A</v>
      </c>
      <c r="CN16" t="e">
        <f ca="1"/>
        <v>#N/A</v>
      </c>
    </row>
    <row r="17" spans="2:92" x14ac:dyDescent="0.25">
      <c r="B17">
        <f ca="1"/>
        <v>10</v>
      </c>
      <c r="C17" s="37">
        <f ca="1"/>
        <v>6455817.103415438</v>
      </c>
      <c r="D17" s="37">
        <f ca="1"/>
        <v>6318425.2747126305</v>
      </c>
      <c r="E17" s="35">
        <f ca="1"/>
        <v>15183.157605652417</v>
      </c>
      <c r="F17" s="35">
        <f ca="1"/>
        <v>0</v>
      </c>
      <c r="G17" s="35">
        <f ca="1"/>
        <v>73325.202658294933</v>
      </c>
      <c r="H17" s="35">
        <f ca="1"/>
        <v>0</v>
      </c>
      <c r="I17" s="35">
        <f ca="1"/>
        <v>122208.67109715818</v>
      </c>
      <c r="J17" s="35">
        <f ca="1"/>
        <v>268992.37930897676</v>
      </c>
      <c r="K17" s="35">
        <f ca="1"/>
        <v>1497496.3162729891</v>
      </c>
      <c r="L17" s="35">
        <f ca="1"/>
        <v>1497496.3162729891</v>
      </c>
      <c r="M17" s="35">
        <f ca="1"/>
        <v>898497.78976379335</v>
      </c>
      <c r="N17" s="45">
        <f ca="1"/>
        <v>44151</v>
      </c>
      <c r="O17" s="45">
        <f ca="1"/>
        <v>44151</v>
      </c>
      <c r="P17" s="45">
        <f ca="1"/>
        <v>44180</v>
      </c>
      <c r="Q17" s="45">
        <f ca="1"/>
        <v>44180</v>
      </c>
      <c r="R17" s="37">
        <f ca="1"/>
        <v>624712.35482416919</v>
      </c>
      <c r="S17" s="37">
        <f ca="1"/>
        <v>502503.68372701103</v>
      </c>
      <c r="T17" s="41">
        <f ca="1"/>
        <v>122208.67109715818</v>
      </c>
      <c r="U17" s="42">
        <f ca="1"/>
        <v>0</v>
      </c>
      <c r="V17" s="42">
        <f ca="1"/>
        <v>0</v>
      </c>
      <c r="W17">
        <f ca="1"/>
        <v>0</v>
      </c>
      <c r="X17">
        <f ca="1"/>
        <v>7.9529892636083357E-2</v>
      </c>
      <c r="Y17" s="4">
        <f ca="1"/>
        <v>2378.4206720577308</v>
      </c>
      <c r="Z17" s="3">
        <f ca="1"/>
        <v>4.7262106964731321E-2</v>
      </c>
      <c r="AA17" t="str">
        <f ca="1"/>
        <v>SEQUENTIAL</v>
      </c>
      <c r="AB17" s="3">
        <f ca="1"/>
        <v>8.0555555555555561E-2</v>
      </c>
      <c r="AC17" s="3">
        <f ca="1"/>
        <v>-2.7378930352686833E-3</v>
      </c>
      <c r="AD17" s="45">
        <f ca="1"/>
        <v>44151</v>
      </c>
      <c r="AE17" s="3">
        <f ca="1"/>
        <v>1.0053045504289331</v>
      </c>
      <c r="AF17" s="3">
        <f ca="1"/>
        <v>1.0053045504289331</v>
      </c>
      <c r="AG17">
        <f ca="1"/>
        <v>0</v>
      </c>
      <c r="AH17" s="35">
        <f ca="1"/>
        <v>2391.0371244538778</v>
      </c>
      <c r="AI17" s="35">
        <f ca="1"/>
        <v>2391.0371244538778</v>
      </c>
      <c r="AJ17" s="35">
        <f ca="1"/>
        <v>624712.35482416919</v>
      </c>
      <c r="AK17" s="36">
        <f ca="1"/>
        <v>44151</v>
      </c>
      <c r="AL17" s="36">
        <f ca="1"/>
        <v>44151</v>
      </c>
      <c r="AM17" s="36">
        <f ca="1"/>
        <v>44180</v>
      </c>
      <c r="AN17" s="36">
        <f ca="1"/>
        <v>44180</v>
      </c>
      <c r="AO17" s="37">
        <f ca="1"/>
        <v>2000000</v>
      </c>
      <c r="AP17" s="37">
        <f ca="1"/>
        <v>2000000</v>
      </c>
      <c r="AQ17" s="41">
        <f ca="1"/>
        <v>0</v>
      </c>
      <c r="AR17" s="42">
        <f ca="1"/>
        <v>0</v>
      </c>
      <c r="AS17" s="42">
        <f ca="1"/>
        <v>0</v>
      </c>
      <c r="AT17">
        <f ca="1"/>
        <v>7.9529892636083357E-2</v>
      </c>
      <c r="AU17">
        <f ca="1"/>
        <v>0.3960644582982471</v>
      </c>
      <c r="AV17" s="4">
        <f ca="1"/>
        <v>7614.4505665400466</v>
      </c>
      <c r="AW17" s="3">
        <f ca="1"/>
        <v>4.7262106964731321E-2</v>
      </c>
      <c r="AX17" t="str">
        <f ca="1"/>
        <v>SEQUENTIAL</v>
      </c>
      <c r="AY17" s="3">
        <f ca="1"/>
        <v>8.0555555555555561E-2</v>
      </c>
      <c r="AZ17" s="3">
        <f ca="1"/>
        <v>-2.7378930352686833E-3</v>
      </c>
      <c r="BA17" s="45">
        <f ca="1"/>
        <v>44151</v>
      </c>
      <c r="BB17" s="3">
        <f ca="1"/>
        <v>1.0053045504289331</v>
      </c>
      <c r="BC17" s="3">
        <f ca="1"/>
        <v>1.0053045504289331</v>
      </c>
      <c r="BD17">
        <f ca="1"/>
        <v>0</v>
      </c>
      <c r="BE17" s="4">
        <f ca="1"/>
        <v>7654.8418035588766</v>
      </c>
      <c r="BF17" s="4">
        <f ca="1"/>
        <v>7654.8418035588766</v>
      </c>
      <c r="BG17" s="4">
        <f ca="1"/>
        <v>2000000</v>
      </c>
      <c r="BH17" s="45">
        <f ca="1"/>
        <v>44151</v>
      </c>
      <c r="BI17" s="45">
        <f ca="1"/>
        <v>44151</v>
      </c>
      <c r="BJ17" s="45">
        <f ca="1"/>
        <v>44180</v>
      </c>
      <c r="BK17" s="45">
        <f ca="1"/>
        <v>44180</v>
      </c>
      <c r="BL17" s="37">
        <f ca="1"/>
        <v>2039822.9914857715</v>
      </c>
      <c r="BM17" s="37">
        <f ca="1"/>
        <v>1951314.6312218241</v>
      </c>
      <c r="BN17" s="40">
        <f ca="1"/>
        <v>0</v>
      </c>
      <c r="BO17" s="42">
        <f ca="1"/>
        <v>88508.360263947354</v>
      </c>
      <c r="BP17" s="42">
        <f ca="1"/>
        <v>88508.360263947354</v>
      </c>
      <c r="BQ17">
        <f ca="1"/>
        <v>0.3960644582982471</v>
      </c>
      <c r="BR17">
        <f ca="1"/>
        <v>0.70489372293025976</v>
      </c>
      <c r="BS17" s="4">
        <f ca="1"/>
        <v>7766.0656665801225</v>
      </c>
      <c r="BT17" s="3">
        <f ca="1"/>
        <v>4.7262106964731321E-2</v>
      </c>
      <c r="BU17" t="str">
        <f ca="1"/>
        <v>SEQUENTIAL</v>
      </c>
      <c r="BV17" s="3">
        <f ca="1"/>
        <v>8.0555555555555561E-2</v>
      </c>
      <c r="BW17" s="3">
        <f ca="1"/>
        <v>-2.7378930352686833E-3</v>
      </c>
      <c r="BX17" s="45">
        <f ca="1"/>
        <v>44151</v>
      </c>
      <c r="BY17" s="3">
        <f ca="1"/>
        <v>1.0053045504289331</v>
      </c>
      <c r="BZ17" s="3">
        <f ca="1"/>
        <v>1.0053045504289331</v>
      </c>
      <c r="CA17">
        <f ca="1"/>
        <v>0</v>
      </c>
      <c r="CB17" s="4">
        <f ca="1"/>
        <v>96785.118477892538</v>
      </c>
      <c r="CC17" s="4">
        <f ca="1"/>
        <v>96785.118477892538</v>
      </c>
      <c r="CD17" s="4">
        <f ca="1"/>
        <v>2039822.9914857715</v>
      </c>
      <c r="CE17" t="e">
        <f ca="1"/>
        <v>#N/A</v>
      </c>
      <c r="CF17" t="e">
        <f ca="1"/>
        <v>#N/A</v>
      </c>
      <c r="CG17" t="e">
        <f ca="1"/>
        <v>#N/A</v>
      </c>
      <c r="CH17" t="e">
        <f ca="1"/>
        <v>#N/A</v>
      </c>
      <c r="CI17" t="e">
        <f ca="1"/>
        <v>#N/A</v>
      </c>
      <c r="CJ17" t="e">
        <f ca="1"/>
        <v>#N/A</v>
      </c>
      <c r="CK17" t="e">
        <f ca="1"/>
        <v>#N/A</v>
      </c>
      <c r="CL17" t="e">
        <f ca="1"/>
        <v>#N/A</v>
      </c>
      <c r="CM17" t="e">
        <f ca="1"/>
        <v>#N/A</v>
      </c>
      <c r="CN17" t="e">
        <f ca="1"/>
        <v>#N/A</v>
      </c>
    </row>
    <row r="18" spans="2:92" x14ac:dyDescent="0.25">
      <c r="B18">
        <f ca="1"/>
        <v>11</v>
      </c>
      <c r="C18" s="37">
        <f ca="1"/>
        <v>6318425.2747126305</v>
      </c>
      <c r="D18" s="37">
        <f ca="1"/>
        <v>6183301.0359148951</v>
      </c>
      <c r="E18" s="35">
        <f ca="1"/>
        <v>15516.396152868818</v>
      </c>
      <c r="F18" s="35">
        <f ca="1"/>
        <v>0</v>
      </c>
      <c r="G18" s="35">
        <f ca="1"/>
        <v>71764.70558691764</v>
      </c>
      <c r="H18" s="35">
        <f ca="1"/>
        <v>0</v>
      </c>
      <c r="I18" s="35">
        <f ca="1"/>
        <v>119607.84264486263</v>
      </c>
      <c r="J18" s="35">
        <f ca="1"/>
        <v>263267.71977969276</v>
      </c>
      <c r="K18" s="35">
        <f ca="1"/>
        <v>1617104.1589178517</v>
      </c>
      <c r="L18" s="35">
        <f ca="1"/>
        <v>1617104.1589178517</v>
      </c>
      <c r="M18" s="35">
        <f ca="1"/>
        <v>970262.49535071105</v>
      </c>
      <c r="N18" s="45">
        <f ca="1"/>
        <v>44180</v>
      </c>
      <c r="O18" s="45">
        <f ca="1"/>
        <v>44180</v>
      </c>
      <c r="P18" s="45">
        <f ca="1"/>
        <v>44211</v>
      </c>
      <c r="Q18" s="45">
        <f ca="1"/>
        <v>44211</v>
      </c>
      <c r="R18" s="37">
        <f ca="1"/>
        <v>502503.68372701103</v>
      </c>
      <c r="S18" s="37">
        <f ca="1"/>
        <v>382895.84108214837</v>
      </c>
      <c r="T18" s="41">
        <f ca="1"/>
        <v>119607.84264486263</v>
      </c>
      <c r="U18" s="42">
        <f ca="1"/>
        <v>0</v>
      </c>
      <c r="V18" s="42">
        <f ca="1"/>
        <v>0</v>
      </c>
      <c r="W18">
        <f ca="1"/>
        <v>0</v>
      </c>
      <c r="X18">
        <f ca="1"/>
        <v>6.192417914931652E-2</v>
      </c>
      <c r="Y18" s="4">
        <f ca="1"/>
        <v>2048.6370944604851</v>
      </c>
      <c r="Z18" s="3">
        <f ca="1"/>
        <v>4.7344178944748516E-2</v>
      </c>
      <c r="AA18" t="str">
        <f ca="1"/>
        <v>SEQUENTIAL</v>
      </c>
      <c r="AB18" s="3">
        <f ca="1"/>
        <v>8.611111111111111E-2</v>
      </c>
      <c r="AC18" s="3">
        <f ca="1"/>
        <v>-2.6558210552514862E-3</v>
      </c>
      <c r="AD18" s="45">
        <f ca="1"/>
        <v>44180</v>
      </c>
      <c r="AE18" s="3">
        <f ca="1"/>
        <v>1.0055420932769092</v>
      </c>
      <c r="AF18" s="3">
        <f ca="1"/>
        <v>1.0055420932769092</v>
      </c>
      <c r="AG18">
        <f ca="1"/>
        <v>0</v>
      </c>
      <c r="AH18" s="35">
        <f ca="1"/>
        <v>2059.9908323285213</v>
      </c>
      <c r="AI18" s="35">
        <f ca="1"/>
        <v>2059.9908323285213</v>
      </c>
      <c r="AJ18" s="35">
        <f ca="1"/>
        <v>502503.68372701103</v>
      </c>
      <c r="AK18" s="36">
        <f ca="1"/>
        <v>44180</v>
      </c>
      <c r="AL18" s="36">
        <f ca="1"/>
        <v>44180</v>
      </c>
      <c r="AM18" s="36">
        <f ca="1"/>
        <v>44211</v>
      </c>
      <c r="AN18" s="36">
        <f ca="1"/>
        <v>44211</v>
      </c>
      <c r="AO18" s="37">
        <f ca="1"/>
        <v>2000000</v>
      </c>
      <c r="AP18" s="37">
        <f ca="1"/>
        <v>2000000</v>
      </c>
      <c r="AQ18" s="41">
        <f ca="1"/>
        <v>0</v>
      </c>
      <c r="AR18" s="42">
        <f ca="1"/>
        <v>0</v>
      </c>
      <c r="AS18" s="42">
        <f ca="1"/>
        <v>0</v>
      </c>
      <c r="AT18">
        <f ca="1"/>
        <v>6.192417914931652E-2</v>
      </c>
      <c r="AU18">
        <f ca="1"/>
        <v>0.3853760034068226</v>
      </c>
      <c r="AV18" s="4">
        <f ca="1"/>
        <v>8153.7197071511328</v>
      </c>
      <c r="AW18" s="3">
        <f ca="1"/>
        <v>4.7344178944748516E-2</v>
      </c>
      <c r="AX18" t="str">
        <f ca="1"/>
        <v>SEQUENTIAL</v>
      </c>
      <c r="AY18" s="3">
        <f ca="1"/>
        <v>8.611111111111111E-2</v>
      </c>
      <c r="AZ18" s="3">
        <f ca="1"/>
        <v>-2.6558210552514862E-3</v>
      </c>
      <c r="BA18" s="45">
        <f ca="1"/>
        <v>44180</v>
      </c>
      <c r="BB18" s="3">
        <f ca="1"/>
        <v>1.0055420932769092</v>
      </c>
      <c r="BC18" s="3">
        <f ca="1"/>
        <v>1.0055420932769092</v>
      </c>
      <c r="BD18">
        <f ca="1"/>
        <v>0</v>
      </c>
      <c r="BE18" s="4">
        <f ca="1"/>
        <v>8198.9083823219371</v>
      </c>
      <c r="BF18" s="4">
        <f ca="1"/>
        <v>8198.9083823219371</v>
      </c>
      <c r="BG18" s="4">
        <f ca="1"/>
        <v>2000000</v>
      </c>
      <c r="BH18" s="45">
        <f ca="1"/>
        <v>44180</v>
      </c>
      <c r="BI18" s="45">
        <f ca="1"/>
        <v>44180</v>
      </c>
      <c r="BJ18" s="45">
        <f ca="1"/>
        <v>44211</v>
      </c>
      <c r="BK18" s="45">
        <f ca="1"/>
        <v>44211</v>
      </c>
      <c r="BL18" s="37">
        <f ca="1"/>
        <v>1951314.6312218241</v>
      </c>
      <c r="BM18" s="37">
        <f ca="1"/>
        <v>1864033.5294820375</v>
      </c>
      <c r="BN18" s="40">
        <f ca="1"/>
        <v>0</v>
      </c>
      <c r="BO18" s="42">
        <f ca="1"/>
        <v>87281.101739786463</v>
      </c>
      <c r="BP18" s="42">
        <f ca="1"/>
        <v>87281.101739786463</v>
      </c>
      <c r="BQ18">
        <f ca="1"/>
        <v>0.3853760034068226</v>
      </c>
      <c r="BR18">
        <f ca="1"/>
        <v>0.68683852620088404</v>
      </c>
      <c r="BS18" s="4">
        <f ca="1"/>
        <v>7955.2362817228659</v>
      </c>
      <c r="BT18" s="3">
        <f ca="1"/>
        <v>4.7344178944748516E-2</v>
      </c>
      <c r="BU18" t="str">
        <f ca="1"/>
        <v>SEQUENTIAL</v>
      </c>
      <c r="BV18" s="3">
        <f ca="1"/>
        <v>8.611111111111111E-2</v>
      </c>
      <c r="BW18" s="3">
        <f ca="1"/>
        <v>-2.6558210552514862E-3</v>
      </c>
      <c r="BX18" s="45">
        <f ca="1"/>
        <v>44180</v>
      </c>
      <c r="BY18" s="3">
        <f ca="1"/>
        <v>1.0055420932769092</v>
      </c>
      <c r="BZ18" s="3">
        <f ca="1"/>
        <v>1.0055420932769092</v>
      </c>
      <c r="CA18">
        <f ca="1"/>
        <v>0</v>
      </c>
      <c r="CB18" s="4">
        <f ca="1"/>
        <v>95764.146690175796</v>
      </c>
      <c r="CC18" s="4">
        <f ca="1"/>
        <v>95764.146690175796</v>
      </c>
      <c r="CD18" s="4">
        <f ca="1"/>
        <v>1951314.6312218241</v>
      </c>
      <c r="CE18" t="e">
        <f ca="1"/>
        <v>#N/A</v>
      </c>
      <c r="CF18" t="e">
        <f ca="1"/>
        <v>#N/A</v>
      </c>
      <c r="CG18" t="e">
        <f ca="1"/>
        <v>#N/A</v>
      </c>
      <c r="CH18" t="e">
        <f ca="1"/>
        <v>#N/A</v>
      </c>
      <c r="CI18" t="e">
        <f ca="1"/>
        <v>#N/A</v>
      </c>
      <c r="CJ18" t="e">
        <f ca="1"/>
        <v>#N/A</v>
      </c>
      <c r="CK18" t="e">
        <f ca="1"/>
        <v>#N/A</v>
      </c>
      <c r="CL18" t="e">
        <f ca="1"/>
        <v>#N/A</v>
      </c>
      <c r="CM18" t="e">
        <f ca="1"/>
        <v>#N/A</v>
      </c>
      <c r="CN18" t="e">
        <f ca="1"/>
        <v>#N/A</v>
      </c>
    </row>
    <row r="19" spans="2:92" x14ac:dyDescent="0.25">
      <c r="B19">
        <f ca="1"/>
        <v>12</v>
      </c>
      <c r="C19" s="37">
        <f ca="1"/>
        <v>6183301.0359148951</v>
      </c>
      <c r="D19" s="37">
        <f ca="1"/>
        <v>6050394.147637614</v>
      </c>
      <c r="E19" s="35">
        <f ca="1"/>
        <v>15856.948589082154</v>
      </c>
      <c r="F19" s="35">
        <f ca="1"/>
        <v>0</v>
      </c>
      <c r="G19" s="35">
        <f ca="1"/>
        <v>70229.963812921254</v>
      </c>
      <c r="H19" s="35">
        <f ca="1"/>
        <v>0</v>
      </c>
      <c r="I19" s="35">
        <f ca="1"/>
        <v>117049.9396882022</v>
      </c>
      <c r="J19" s="35">
        <f ca="1"/>
        <v>257637.54316312066</v>
      </c>
      <c r="K19" s="35">
        <f ca="1"/>
        <v>1734154.098606054</v>
      </c>
      <c r="L19" s="35">
        <f ca="1"/>
        <v>1734154.098606054</v>
      </c>
      <c r="M19" s="35">
        <f ca="1"/>
        <v>1040492.4591636322</v>
      </c>
      <c r="N19" s="45">
        <f ca="1"/>
        <v>44211</v>
      </c>
      <c r="O19" s="45">
        <f ca="1"/>
        <v>44211</v>
      </c>
      <c r="P19" s="45">
        <f ca="1"/>
        <v>44242</v>
      </c>
      <c r="Q19" s="45">
        <f ca="1"/>
        <v>44242</v>
      </c>
      <c r="R19" s="37">
        <f ca="1"/>
        <v>382895.84108214837</v>
      </c>
      <c r="S19" s="37">
        <f ca="1"/>
        <v>265845.90139394614</v>
      </c>
      <c r="T19" s="41">
        <f ca="1"/>
        <v>117049.9396882022</v>
      </c>
      <c r="U19" s="42">
        <f ca="1"/>
        <v>0</v>
      </c>
      <c r="V19" s="42">
        <f ca="1"/>
        <v>0</v>
      </c>
      <c r="W19">
        <f ca="1"/>
        <v>0</v>
      </c>
      <c r="X19">
        <f ca="1"/>
        <v>4.3938608776049097E-2</v>
      </c>
      <c r="Y19" s="4">
        <f ca="1"/>
        <v>1564.039191995176</v>
      </c>
      <c r="Z19" s="3">
        <f ca="1"/>
        <v>4.7435970384728493E-2</v>
      </c>
      <c r="AA19" t="str">
        <f ca="1"/>
        <v>SEQUENTIAL</v>
      </c>
      <c r="AB19" s="3">
        <f ca="1"/>
        <v>8.611111111111111E-2</v>
      </c>
      <c r="AC19" s="3">
        <f ca="1"/>
        <v>-2.5640296152715071E-3</v>
      </c>
      <c r="AD19" s="45">
        <f ca="1"/>
        <v>44211</v>
      </c>
      <c r="AE19" s="3">
        <f ca="1"/>
        <v>1.0057717642358854</v>
      </c>
      <c r="AF19" s="3">
        <f ca="1"/>
        <v>1.0057717642358854</v>
      </c>
      <c r="AG19">
        <f ca="1"/>
        <v>0</v>
      </c>
      <c r="AH19" s="35">
        <f ca="1"/>
        <v>1573.0664574670568</v>
      </c>
      <c r="AI19" s="35">
        <f ca="1"/>
        <v>1573.0664574670568</v>
      </c>
      <c r="AJ19" s="35">
        <f ca="1"/>
        <v>382895.84108214837</v>
      </c>
      <c r="AK19" s="36">
        <f ca="1"/>
        <v>44211</v>
      </c>
      <c r="AL19" s="36">
        <f ca="1"/>
        <v>44211</v>
      </c>
      <c r="AM19" s="36">
        <f ca="1"/>
        <v>44242</v>
      </c>
      <c r="AN19" s="36">
        <f ca="1"/>
        <v>44242</v>
      </c>
      <c r="AO19" s="37">
        <f ca="1"/>
        <v>2000000</v>
      </c>
      <c r="AP19" s="37">
        <f ca="1"/>
        <v>2000000</v>
      </c>
      <c r="AQ19" s="41">
        <f ca="1"/>
        <v>0</v>
      </c>
      <c r="AR19" s="42">
        <f ca="1"/>
        <v>0</v>
      </c>
      <c r="AS19" s="42">
        <f ca="1"/>
        <v>0</v>
      </c>
      <c r="AT19">
        <f ca="1"/>
        <v>4.3938608776049097E-2</v>
      </c>
      <c r="AU19">
        <f ca="1"/>
        <v>0.37449558592453841</v>
      </c>
      <c r="AV19" s="4">
        <f ca="1"/>
        <v>8169.5282329254624</v>
      </c>
      <c r="AW19" s="3">
        <f ca="1"/>
        <v>4.7435970384728493E-2</v>
      </c>
      <c r="AX19" t="str">
        <f ca="1"/>
        <v>SEQUENTIAL</v>
      </c>
      <c r="AY19" s="3">
        <f ca="1"/>
        <v>8.611111111111111E-2</v>
      </c>
      <c r="AZ19" s="3">
        <f ca="1"/>
        <v>-2.5640296152715071E-3</v>
      </c>
      <c r="BA19" s="45">
        <f ca="1"/>
        <v>44211</v>
      </c>
      <c r="BB19" s="3">
        <f ca="1"/>
        <v>1.0057717642358854</v>
      </c>
      <c r="BC19" s="3">
        <f ca="1"/>
        <v>1.0057717642358854</v>
      </c>
      <c r="BD19">
        <f ca="1"/>
        <v>0</v>
      </c>
      <c r="BE19" s="4">
        <f ca="1"/>
        <v>8216.6808238043177</v>
      </c>
      <c r="BF19" s="4">
        <f ca="1"/>
        <v>8216.6808238043177</v>
      </c>
      <c r="BG19" s="4">
        <f ca="1"/>
        <v>2000000</v>
      </c>
      <c r="BH19" s="45">
        <f ca="1"/>
        <v>44211</v>
      </c>
      <c r="BI19" s="45">
        <f ca="1"/>
        <v>44211</v>
      </c>
      <c r="BJ19" s="45">
        <f ca="1"/>
        <v>44242</v>
      </c>
      <c r="BK19" s="45">
        <f ca="1"/>
        <v>44242</v>
      </c>
      <c r="BL19" s="37">
        <f ca="1"/>
        <v>1864033.5294820375</v>
      </c>
      <c r="BM19" s="37">
        <f ca="1"/>
        <v>1777946.6170800342</v>
      </c>
      <c r="BN19" s="40">
        <f ca="1"/>
        <v>0</v>
      </c>
      <c r="BO19" s="42">
        <f ca="1"/>
        <v>86086.912402003407</v>
      </c>
      <c r="BP19" s="42">
        <f ca="1"/>
        <v>86086.912402003407</v>
      </c>
      <c r="BQ19">
        <f ca="1"/>
        <v>0.37449558592453841</v>
      </c>
      <c r="BR19">
        <f ca="1"/>
        <v>0.66835191556121776</v>
      </c>
      <c r="BS19" s="4">
        <f ca="1"/>
        <v>7614.1372731116026</v>
      </c>
      <c r="BT19" s="3">
        <f ca="1"/>
        <v>4.7435970384728493E-2</v>
      </c>
      <c r="BU19" t="str">
        <f ca="1"/>
        <v>SEQUENTIAL</v>
      </c>
      <c r="BV19" s="3">
        <f ca="1"/>
        <v>8.611111111111111E-2</v>
      </c>
      <c r="BW19" s="3">
        <f ca="1"/>
        <v>-2.5640296152715071E-3</v>
      </c>
      <c r="BX19" s="45">
        <f ca="1"/>
        <v>44211</v>
      </c>
      <c r="BY19" s="3">
        <f ca="1"/>
        <v>1.0057717642358854</v>
      </c>
      <c r="BZ19" s="3">
        <f ca="1"/>
        <v>1.0057717642358854</v>
      </c>
      <c r="CA19">
        <f ca="1"/>
        <v>0</v>
      </c>
      <c r="CB19" s="4">
        <f ca="1"/>
        <v>94241.87004249476</v>
      </c>
      <c r="CC19" s="4">
        <f ca="1"/>
        <v>94241.87004249476</v>
      </c>
      <c r="CD19" s="4">
        <f ca="1"/>
        <v>1864033.5294820375</v>
      </c>
      <c r="CE19" t="e">
        <f ca="1"/>
        <v>#N/A</v>
      </c>
      <c r="CF19" t="e">
        <f ca="1"/>
        <v>#N/A</v>
      </c>
      <c r="CG19" t="e">
        <f ca="1"/>
        <v>#N/A</v>
      </c>
      <c r="CH19" t="e">
        <f ca="1"/>
        <v>#N/A</v>
      </c>
      <c r="CI19" t="e">
        <f ca="1"/>
        <v>#N/A</v>
      </c>
      <c r="CJ19" t="e">
        <f ca="1"/>
        <v>#N/A</v>
      </c>
      <c r="CK19" t="e">
        <f ca="1"/>
        <v>#N/A</v>
      </c>
      <c r="CL19" t="e">
        <f ca="1"/>
        <v>#N/A</v>
      </c>
      <c r="CM19" t="e">
        <f ca="1"/>
        <v>#N/A</v>
      </c>
      <c r="CN19" t="e">
        <f ca="1"/>
        <v>#N/A</v>
      </c>
    </row>
    <row r="20" spans="2:92" x14ac:dyDescent="0.25">
      <c r="B20">
        <f ca="1"/>
        <v>13</v>
      </c>
      <c r="C20" s="37">
        <f ca="1"/>
        <v>6050394.147637614</v>
      </c>
      <c r="D20" s="37">
        <f ca="1"/>
        <v>5919655.161003544</v>
      </c>
      <c r="E20" s="35">
        <f ca="1"/>
        <v>16204.975438855719</v>
      </c>
      <c r="F20" s="35">
        <f ca="1"/>
        <v>0</v>
      </c>
      <c r="G20" s="35">
        <f ca="1"/>
        <v>68720.406717126345</v>
      </c>
      <c r="H20" s="35">
        <f ca="1"/>
        <v>0</v>
      </c>
      <c r="I20" s="35">
        <f ca="1"/>
        <v>114534.01119521064</v>
      </c>
      <c r="J20" s="35">
        <f ca="1"/>
        <v>252099.75615156718</v>
      </c>
      <c r="K20" s="35">
        <f ca="1"/>
        <v>1848688.1098012647</v>
      </c>
      <c r="L20" s="35">
        <f ca="1"/>
        <v>1848688.1098012647</v>
      </c>
      <c r="M20" s="35">
        <f ca="1"/>
        <v>1109212.8658807585</v>
      </c>
      <c r="N20" s="45">
        <f ca="1"/>
        <v>44242</v>
      </c>
      <c r="O20" s="45">
        <f ca="1"/>
        <v>44242</v>
      </c>
      <c r="P20" s="45">
        <f ca="1"/>
        <v>44270</v>
      </c>
      <c r="Q20" s="45">
        <f ca="1"/>
        <v>44270</v>
      </c>
      <c r="R20" s="37">
        <f ca="1"/>
        <v>265845.90139394614</v>
      </c>
      <c r="S20" s="37">
        <f ca="1"/>
        <v>151311.89019873552</v>
      </c>
      <c r="T20" s="41">
        <f ca="1"/>
        <v>114534.01119521064</v>
      </c>
      <c r="U20" s="42">
        <f ca="1"/>
        <v>0</v>
      </c>
      <c r="V20" s="42">
        <f ca="1"/>
        <v>0</v>
      </c>
      <c r="W20">
        <f ca="1"/>
        <v>0</v>
      </c>
      <c r="X20">
        <f ca="1"/>
        <v>2.5560929831778243E-2</v>
      </c>
      <c r="Y20" s="4">
        <f ca="1"/>
        <v>982.82798884580495</v>
      </c>
      <c r="Z20" s="3">
        <f ca="1"/>
        <v>4.7532648765058888E-2</v>
      </c>
      <c r="AA20" t="str">
        <f ca="1"/>
        <v>SEQUENTIAL</v>
      </c>
      <c r="AB20" s="3">
        <f ca="1"/>
        <v>7.7777777777777779E-2</v>
      </c>
      <c r="AC20" s="3">
        <f ca="1"/>
        <v>-2.4673512349411117E-3</v>
      </c>
      <c r="AD20" s="45">
        <f ca="1"/>
        <v>44242</v>
      </c>
      <c r="AE20" s="3">
        <f ca="1"/>
        <v>1.0059723520445627</v>
      </c>
      <c r="AF20" s="3">
        <f ca="1"/>
        <v>1.0059723520445627</v>
      </c>
      <c r="AG20">
        <f ca="1"/>
        <v>0</v>
      </c>
      <c r="AH20" s="35">
        <f ca="1"/>
        <v>988.6977835944416</v>
      </c>
      <c r="AI20" s="35">
        <f ca="1"/>
        <v>988.6977835944416</v>
      </c>
      <c r="AJ20" s="35">
        <f ca="1"/>
        <v>265845.90139394614</v>
      </c>
      <c r="AK20" s="36">
        <f ca="1"/>
        <v>44242</v>
      </c>
      <c r="AL20" s="36">
        <f ca="1"/>
        <v>44242</v>
      </c>
      <c r="AM20" s="36">
        <f ca="1"/>
        <v>44270</v>
      </c>
      <c r="AN20" s="36">
        <f ca="1"/>
        <v>44270</v>
      </c>
      <c r="AO20" s="37">
        <f ca="1"/>
        <v>2000000</v>
      </c>
      <c r="AP20" s="37">
        <f ca="1"/>
        <v>2000000</v>
      </c>
      <c r="AQ20" s="41">
        <f ca="1"/>
        <v>0</v>
      </c>
      <c r="AR20" s="42">
        <f ca="1"/>
        <v>0</v>
      </c>
      <c r="AS20" s="42">
        <f ca="1"/>
        <v>0</v>
      </c>
      <c r="AT20">
        <f ca="1"/>
        <v>2.5560929831778243E-2</v>
      </c>
      <c r="AU20">
        <f ca="1"/>
        <v>0.36341844781276567</v>
      </c>
      <c r="AV20" s="4">
        <f ca="1"/>
        <v>7393.9675856758276</v>
      </c>
      <c r="AW20" s="3">
        <f ca="1"/>
        <v>4.7532648765058888E-2</v>
      </c>
      <c r="AX20" t="str">
        <f ca="1"/>
        <v>SEQUENTIAL</v>
      </c>
      <c r="AY20" s="3">
        <f ca="1"/>
        <v>7.7777777777777779E-2</v>
      </c>
      <c r="AZ20" s="3">
        <f ca="1"/>
        <v>-2.4673512349411117E-3</v>
      </c>
      <c r="BA20" s="45">
        <f ca="1"/>
        <v>44242</v>
      </c>
      <c r="BB20" s="3">
        <f ca="1"/>
        <v>1.0059723520445627</v>
      </c>
      <c r="BC20" s="3">
        <f ca="1"/>
        <v>1.0059723520445627</v>
      </c>
      <c r="BD20">
        <f ca="1"/>
        <v>0</v>
      </c>
      <c r="BE20" s="4">
        <f ca="1"/>
        <v>7438.1269631035693</v>
      </c>
      <c r="BF20" s="4">
        <f ca="1"/>
        <v>7438.1269631035693</v>
      </c>
      <c r="BG20" s="4">
        <f ca="1"/>
        <v>2000000</v>
      </c>
      <c r="BH20" s="45">
        <f ca="1"/>
        <v>44242</v>
      </c>
      <c r="BI20" s="45">
        <f ca="1"/>
        <v>44242</v>
      </c>
      <c r="BJ20" s="45">
        <f ca="1"/>
        <v>44270</v>
      </c>
      <c r="BK20" s="45">
        <f ca="1"/>
        <v>44270</v>
      </c>
      <c r="BL20" s="37">
        <f ca="1"/>
        <v>1777946.6170800342</v>
      </c>
      <c r="BM20" s="37">
        <f ca="1"/>
        <v>1693021.2349240521</v>
      </c>
      <c r="BN20" s="40">
        <f ca="1"/>
        <v>0</v>
      </c>
      <c r="BO20" s="42">
        <f ca="1"/>
        <v>84925.382155982064</v>
      </c>
      <c r="BP20" s="42">
        <f ca="1"/>
        <v>84925.382155982064</v>
      </c>
      <c r="BQ20">
        <f ca="1"/>
        <v>0.36341844781276567</v>
      </c>
      <c r="BR20">
        <f ca="1"/>
        <v>0.64941842397303895</v>
      </c>
      <c r="BS20" s="4">
        <f ca="1"/>
        <v>6573.039827875883</v>
      </c>
      <c r="BT20" s="3">
        <f ca="1"/>
        <v>4.7532648765058888E-2</v>
      </c>
      <c r="BU20" t="str">
        <f ca="1"/>
        <v>SEQUENTIAL</v>
      </c>
      <c r="BV20" s="3">
        <f ca="1"/>
        <v>7.7777777777777779E-2</v>
      </c>
      <c r="BW20" s="3">
        <f ca="1"/>
        <v>-2.4673512349411117E-3</v>
      </c>
      <c r="BX20" s="45">
        <f ca="1"/>
        <v>44242</v>
      </c>
      <c r="BY20" s="3">
        <f ca="1"/>
        <v>1.0059723520445627</v>
      </c>
      <c r="BZ20" s="3">
        <f ca="1"/>
        <v>1.0059723520445627</v>
      </c>
      <c r="CA20">
        <f ca="1"/>
        <v>0</v>
      </c>
      <c r="CB20" s="4">
        <f ca="1"/>
        <v>92044.882771467499</v>
      </c>
      <c r="CC20" s="4">
        <f ca="1"/>
        <v>92044.882771467499</v>
      </c>
      <c r="CD20" s="4">
        <f ca="1"/>
        <v>1777946.6170800342</v>
      </c>
      <c r="CE20" t="e">
        <f ca="1"/>
        <v>#N/A</v>
      </c>
      <c r="CF20" t="e">
        <f ca="1"/>
        <v>#N/A</v>
      </c>
      <c r="CG20" t="e">
        <f ca="1"/>
        <v>#N/A</v>
      </c>
      <c r="CH20" t="e">
        <f ca="1"/>
        <v>#N/A</v>
      </c>
      <c r="CI20" t="e">
        <f ca="1"/>
        <v>#N/A</v>
      </c>
      <c r="CJ20" t="e">
        <f ca="1"/>
        <v>#N/A</v>
      </c>
      <c r="CK20" t="e">
        <f ca="1"/>
        <v>#N/A</v>
      </c>
      <c r="CL20" t="e">
        <f ca="1"/>
        <v>#N/A</v>
      </c>
      <c r="CM20" t="e">
        <f ca="1"/>
        <v>#N/A</v>
      </c>
      <c r="CN20" t="e">
        <f ca="1"/>
        <v>#N/A</v>
      </c>
    </row>
    <row r="21" spans="2:92" x14ac:dyDescent="0.25">
      <c r="B21">
        <f ca="1"/>
        <v>14</v>
      </c>
      <c r="C21" s="37">
        <f ca="1"/>
        <v>5919655.161003544</v>
      </c>
      <c r="D21" s="37">
        <f ca="1"/>
        <v>5791035.3991553821</v>
      </c>
      <c r="E21" s="35">
        <f ca="1"/>
        <v>16560.640749931146</v>
      </c>
      <c r="F21" s="35">
        <f ca="1"/>
        <v>0</v>
      </c>
      <c r="G21" s="35">
        <f ca="1"/>
        <v>67235.472658940096</v>
      </c>
      <c r="H21" s="35">
        <f ca="1"/>
        <v>0</v>
      </c>
      <c r="I21" s="35">
        <f ca="1"/>
        <v>112059.12109823349</v>
      </c>
      <c r="J21" s="35">
        <f ca="1"/>
        <v>246652.2983751478</v>
      </c>
      <c r="K21" s="35">
        <f ca="1"/>
        <v>1960747.2308994981</v>
      </c>
      <c r="L21" s="35">
        <f ca="1"/>
        <v>1960747.2308994981</v>
      </c>
      <c r="M21" s="35">
        <f ca="1"/>
        <v>1176448.3385396986</v>
      </c>
      <c r="N21" s="45">
        <f ca="1"/>
        <v>44270</v>
      </c>
      <c r="O21" s="45">
        <f ca="1"/>
        <v>44270</v>
      </c>
      <c r="P21" s="45">
        <f ca="1"/>
        <v>44301</v>
      </c>
      <c r="Q21" s="45">
        <f ca="1"/>
        <v>44301</v>
      </c>
      <c r="R21" s="37">
        <f ca="1"/>
        <v>151311.89019873552</v>
      </c>
      <c r="S21" s="37">
        <f ca="1"/>
        <v>39252.769100502032</v>
      </c>
      <c r="T21" s="41">
        <f ca="1"/>
        <v>112059.12109823349</v>
      </c>
      <c r="U21" s="42">
        <f ca="1"/>
        <v>0</v>
      </c>
      <c r="V21" s="42">
        <f ca="1"/>
        <v>0</v>
      </c>
      <c r="W21">
        <f ca="1"/>
        <v>0</v>
      </c>
      <c r="X21">
        <f ca="1"/>
        <v>6.778195330359579E-3</v>
      </c>
      <c r="Y21" s="4">
        <f ca="1"/>
        <v>620.53064720087866</v>
      </c>
      <c r="Z21" s="3">
        <f ca="1"/>
        <v>4.7624561064739578E-2</v>
      </c>
      <c r="AA21" t="str">
        <f ca="1"/>
        <v>SEQUENTIAL</v>
      </c>
      <c r="AB21" s="3">
        <f ca="1"/>
        <v>8.611111111111111E-2</v>
      </c>
      <c r="AC21" s="3">
        <f ca="1"/>
        <v>-2.3754389352604261E-3</v>
      </c>
      <c r="AD21" s="45">
        <f ca="1"/>
        <v>44270</v>
      </c>
      <c r="AE21" s="3">
        <f ca="1"/>
        <v>1.0061865545308077</v>
      </c>
      <c r="AF21" s="3">
        <f ca="1"/>
        <v>1.0061865545308077</v>
      </c>
      <c r="AG21">
        <f ca="1"/>
        <v>0</v>
      </c>
      <c r="AH21" s="35">
        <f ca="1"/>
        <v>624.36959388782429</v>
      </c>
      <c r="AI21" s="35">
        <f ca="1"/>
        <v>624.36959388782429</v>
      </c>
      <c r="AJ21" s="35">
        <f ca="1"/>
        <v>151311.89019873552</v>
      </c>
      <c r="AK21" s="36">
        <f ca="1"/>
        <v>44270</v>
      </c>
      <c r="AL21" s="36">
        <f ca="1"/>
        <v>44270</v>
      </c>
      <c r="AM21" s="36">
        <f ca="1"/>
        <v>44301</v>
      </c>
      <c r="AN21" s="36">
        <f ca="1"/>
        <v>44301</v>
      </c>
      <c r="AO21" s="37">
        <f ca="1"/>
        <v>2000000</v>
      </c>
      <c r="AP21" s="37">
        <f ca="1"/>
        <v>2000000</v>
      </c>
      <c r="AQ21" s="41">
        <f ca="1"/>
        <v>0</v>
      </c>
      <c r="AR21" s="42">
        <f ca="1"/>
        <v>0</v>
      </c>
      <c r="AS21" s="42">
        <f ca="1"/>
        <v>0</v>
      </c>
      <c r="AT21">
        <f ca="1"/>
        <v>6.778195330359579E-3</v>
      </c>
      <c r="AU21">
        <f ca="1"/>
        <v>0.35213957928800188</v>
      </c>
      <c r="AV21" s="4">
        <f ca="1"/>
        <v>8202.007738927372</v>
      </c>
      <c r="AW21" s="3">
        <f ca="1"/>
        <v>4.7624561064739578E-2</v>
      </c>
      <c r="AX21" t="str">
        <f ca="1"/>
        <v>SEQUENTIAL</v>
      </c>
      <c r="AY21" s="3">
        <f ca="1"/>
        <v>8.611111111111111E-2</v>
      </c>
      <c r="AZ21" s="3">
        <f ca="1"/>
        <v>-2.3754389352604261E-3</v>
      </c>
      <c r="BA21" s="45">
        <f ca="1"/>
        <v>44270</v>
      </c>
      <c r="BB21" s="3">
        <f ca="1"/>
        <v>1.0061865545308077</v>
      </c>
      <c r="BC21" s="3">
        <f ca="1"/>
        <v>1.0061865545308077</v>
      </c>
      <c r="BD21">
        <f ca="1"/>
        <v>0</v>
      </c>
      <c r="BE21" s="4">
        <f ca="1"/>
        <v>8252.7499070663525</v>
      </c>
      <c r="BF21" s="4">
        <f ca="1"/>
        <v>8252.7499070663525</v>
      </c>
      <c r="BG21" s="4">
        <f ca="1"/>
        <v>2000000</v>
      </c>
      <c r="BH21" s="45">
        <f ca="1"/>
        <v>44270</v>
      </c>
      <c r="BI21" s="45">
        <f ca="1"/>
        <v>44270</v>
      </c>
      <c r="BJ21" s="45">
        <f ca="1"/>
        <v>44301</v>
      </c>
      <c r="BK21" s="45">
        <f ca="1"/>
        <v>44301</v>
      </c>
      <c r="BL21" s="37">
        <f ca="1"/>
        <v>1693021.2349240521</v>
      </c>
      <c r="BM21" s="37">
        <f ca="1"/>
        <v>1609225.1215151809</v>
      </c>
      <c r="BN21" s="40">
        <f ca="1"/>
        <v>0</v>
      </c>
      <c r="BO21" s="42">
        <f ca="1"/>
        <v>83796.113408871242</v>
      </c>
      <c r="BP21" s="42">
        <f ca="1"/>
        <v>83796.113408871242</v>
      </c>
      <c r="BQ21">
        <f ca="1"/>
        <v>0.35213957928800188</v>
      </c>
      <c r="BR21">
        <f ca="1"/>
        <v>0.63002168682094584</v>
      </c>
      <c r="BS21" s="4">
        <f ca="1"/>
        <v>6943.086635507726</v>
      </c>
      <c r="BT21" s="3">
        <f ca="1"/>
        <v>4.7624561064739578E-2</v>
      </c>
      <c r="BU21" t="str">
        <f ca="1"/>
        <v>SEQUENTIAL</v>
      </c>
      <c r="BV21" s="3">
        <f ca="1"/>
        <v>8.611111111111111E-2</v>
      </c>
      <c r="BW21" s="3">
        <f ca="1"/>
        <v>-2.3754389352604261E-3</v>
      </c>
      <c r="BX21" s="45">
        <f ca="1"/>
        <v>44270</v>
      </c>
      <c r="BY21" s="3">
        <f ca="1"/>
        <v>1.0061865545308077</v>
      </c>
      <c r="BZ21" s="3">
        <f ca="1"/>
        <v>1.0061865545308077</v>
      </c>
      <c r="CA21">
        <f ca="1"/>
        <v>0</v>
      </c>
      <c r="CB21" s="4">
        <f ca="1"/>
        <v>91300.563053535399</v>
      </c>
      <c r="CC21" s="4">
        <f ca="1"/>
        <v>91300.563053535399</v>
      </c>
      <c r="CD21" s="4">
        <f ca="1"/>
        <v>1693021.2349240521</v>
      </c>
      <c r="CE21" t="e">
        <f ca="1"/>
        <v>#N/A</v>
      </c>
      <c r="CF21" t="e">
        <f ca="1"/>
        <v>#N/A</v>
      </c>
      <c r="CG21" t="e">
        <f ca="1"/>
        <v>#N/A</v>
      </c>
      <c r="CH21" t="e">
        <f ca="1"/>
        <v>#N/A</v>
      </c>
      <c r="CI21" t="e">
        <f ca="1"/>
        <v>#N/A</v>
      </c>
      <c r="CJ21" t="e">
        <f ca="1"/>
        <v>#N/A</v>
      </c>
      <c r="CK21" t="e">
        <f ca="1"/>
        <v>#N/A</v>
      </c>
      <c r="CL21" t="e">
        <f ca="1"/>
        <v>#N/A</v>
      </c>
      <c r="CM21" t="e">
        <f ca="1"/>
        <v>#N/A</v>
      </c>
      <c r="CN21" t="e">
        <f ca="1"/>
        <v>#N/A</v>
      </c>
    </row>
    <row r="22" spans="2:92" x14ac:dyDescent="0.25">
      <c r="B22">
        <f ca="1"/>
        <v>15</v>
      </c>
      <c r="C22" s="37">
        <f ca="1"/>
        <v>5791035.3991553821</v>
      </c>
      <c r="D22" s="37">
        <f ca="1"/>
        <v>5664486.9390408695</v>
      </c>
      <c r="E22" s="35">
        <f ca="1"/>
        <v>16924.112170554828</v>
      </c>
      <c r="F22" s="35">
        <f ca="1"/>
        <v>0</v>
      </c>
      <c r="G22" s="35">
        <f ca="1"/>
        <v>65774.608766375837</v>
      </c>
      <c r="H22" s="35">
        <f ca="1"/>
        <v>0</v>
      </c>
      <c r="I22" s="35">
        <f ca="1"/>
        <v>109624.34794395976</v>
      </c>
      <c r="J22" s="35">
        <f ca="1"/>
        <v>241293.14163147428</v>
      </c>
      <c r="K22" s="35">
        <f ca="1"/>
        <v>2070371.5788434579</v>
      </c>
      <c r="L22" s="35">
        <f ca="1"/>
        <v>2070371.5788434579</v>
      </c>
      <c r="M22" s="35">
        <f ca="1"/>
        <v>1242222.9473060744</v>
      </c>
      <c r="N22" s="45">
        <f ca="1"/>
        <v>44301</v>
      </c>
      <c r="O22" s="45">
        <f ca="1"/>
        <v>44301</v>
      </c>
      <c r="P22" s="45">
        <f ca="1"/>
        <v>44333</v>
      </c>
      <c r="Q22" s="45">
        <f ca="1"/>
        <v>44333</v>
      </c>
      <c r="R22" s="37">
        <f ca="1"/>
        <v>39252.769100502032</v>
      </c>
      <c r="S22" s="37">
        <f ca="1"/>
        <v>0</v>
      </c>
      <c r="T22" s="41">
        <f ca="1"/>
        <v>39252.769100502032</v>
      </c>
      <c r="U22" s="42">
        <f ca="1"/>
        <v>0</v>
      </c>
      <c r="V22" s="42">
        <f ca="1"/>
        <v>0</v>
      </c>
      <c r="W22">
        <f ca="1"/>
        <v>0</v>
      </c>
      <c r="X22">
        <f ca="1"/>
        <v>0</v>
      </c>
      <c r="Y22" s="4">
        <f ca="1"/>
        <v>166.5384975329921</v>
      </c>
      <c r="Z22" s="3">
        <f ca="1"/>
        <v>4.7730596851629475E-2</v>
      </c>
      <c r="AA22" t="str">
        <f ca="1"/>
        <v>SEQUENTIAL</v>
      </c>
      <c r="AB22" s="3">
        <f ca="1"/>
        <v>8.8888888888888892E-2</v>
      </c>
      <c r="AC22" s="3">
        <f ca="1"/>
        <v>-2.2694031483705274E-3</v>
      </c>
      <c r="AD22" s="45">
        <f ca="1"/>
        <v>44301</v>
      </c>
      <c r="AE22" s="3">
        <f ca="1"/>
        <v>1.0063985989814714</v>
      </c>
      <c r="AF22" s="3">
        <f ca="1"/>
        <v>1.0063985989814714</v>
      </c>
      <c r="AG22">
        <f ca="1"/>
        <v>0</v>
      </c>
      <c r="AH22" s="35">
        <f ca="1"/>
        <v>167.60411059368249</v>
      </c>
      <c r="AI22" s="35">
        <f ca="1"/>
        <v>167.60411059368249</v>
      </c>
      <c r="AJ22" s="35">
        <f ca="1"/>
        <v>39252.769100502032</v>
      </c>
      <c r="AK22" s="36">
        <f ca="1"/>
        <v>44301</v>
      </c>
      <c r="AL22" s="36">
        <f ca="1"/>
        <v>44301</v>
      </c>
      <c r="AM22" s="36">
        <f ca="1"/>
        <v>44333</v>
      </c>
      <c r="AN22" s="36">
        <f ca="1"/>
        <v>44333</v>
      </c>
      <c r="AO22" s="37">
        <f ca="1"/>
        <v>2000000</v>
      </c>
      <c r="AP22" s="37">
        <f ca="1"/>
        <v>1929628.4211565424</v>
      </c>
      <c r="AQ22" s="41">
        <f ca="1"/>
        <v>70371.578843457726</v>
      </c>
      <c r="AR22" s="42">
        <f ca="1"/>
        <v>0</v>
      </c>
      <c r="AS22" s="42">
        <f ca="1"/>
        <v>0</v>
      </c>
      <c r="AT22">
        <f ca="1"/>
        <v>0</v>
      </c>
      <c r="AU22">
        <f ca="1"/>
        <v>0.34065369766450088</v>
      </c>
      <c r="AV22" s="4">
        <f ca="1"/>
        <v>8485.4394402896851</v>
      </c>
      <c r="AW22" s="3">
        <f ca="1"/>
        <v>4.7730596851629475E-2</v>
      </c>
      <c r="AX22" t="str">
        <f ca="1"/>
        <v>SEQUENTIAL</v>
      </c>
      <c r="AY22" s="3">
        <f ca="1"/>
        <v>8.8888888888888892E-2</v>
      </c>
      <c r="AZ22" s="3">
        <f ca="1"/>
        <v>-2.2694031483705274E-3</v>
      </c>
      <c r="BA22" s="45">
        <f ca="1"/>
        <v>44301</v>
      </c>
      <c r="BB22" s="3">
        <f ca="1"/>
        <v>1.0063985989814714</v>
      </c>
      <c r="BC22" s="3">
        <f ca="1"/>
        <v>1.0063985989814714</v>
      </c>
      <c r="BD22">
        <f ca="1"/>
        <v>0</v>
      </c>
      <c r="BE22" s="4">
        <f ca="1"/>
        <v>8539.7343644496596</v>
      </c>
      <c r="BF22" s="4">
        <f ca="1"/>
        <v>8539.7343644496596</v>
      </c>
      <c r="BG22" s="4">
        <f ca="1"/>
        <v>2000000</v>
      </c>
      <c r="BH22" s="45">
        <f ca="1"/>
        <v>44301</v>
      </c>
      <c r="BI22" s="45">
        <f ca="1"/>
        <v>44301</v>
      </c>
      <c r="BJ22" s="45">
        <f ca="1"/>
        <v>44333</v>
      </c>
      <c r="BK22" s="45">
        <f ca="1"/>
        <v>44333</v>
      </c>
      <c r="BL22" s="37">
        <f ca="1"/>
        <v>1609225.1215151809</v>
      </c>
      <c r="BM22" s="37">
        <f ca="1"/>
        <v>1526526.4005782502</v>
      </c>
      <c r="BN22" s="40">
        <f ca="1"/>
        <v>0</v>
      </c>
      <c r="BO22" s="42">
        <f ca="1"/>
        <v>82698.720936930666</v>
      </c>
      <c r="BP22" s="42">
        <f ca="1"/>
        <v>82698.720936930666</v>
      </c>
      <c r="BQ22">
        <f ca="1"/>
        <v>0.34065369766450088</v>
      </c>
      <c r="BR22">
        <f ca="1"/>
        <v>0.61014437122526066</v>
      </c>
      <c r="BS22" s="4">
        <f ca="1"/>
        <v>6827.4911572049386</v>
      </c>
      <c r="BT22" s="3">
        <f ca="1"/>
        <v>4.7730596851629475E-2</v>
      </c>
      <c r="BU22" t="str">
        <f ca="1"/>
        <v>SEQUENTIAL</v>
      </c>
      <c r="BV22" s="3">
        <f ca="1"/>
        <v>8.8888888888888892E-2</v>
      </c>
      <c r="BW22" s="3">
        <f ca="1"/>
        <v>-2.2694031483705274E-3</v>
      </c>
      <c r="BX22" s="45">
        <f ca="1"/>
        <v>44301</v>
      </c>
      <c r="BY22" s="3">
        <f ca="1"/>
        <v>1.0063985989814714</v>
      </c>
      <c r="BZ22" s="3">
        <f ca="1"/>
        <v>1.0063985989814714</v>
      </c>
      <c r="CA22">
        <f ca="1"/>
        <v>0</v>
      </c>
      <c r="CB22" s="4">
        <f ca="1"/>
        <v>90099.05442365614</v>
      </c>
      <c r="CC22" s="4">
        <f ca="1"/>
        <v>90099.05442365614</v>
      </c>
      <c r="CD22" s="4">
        <f ca="1"/>
        <v>1609225.1215151809</v>
      </c>
      <c r="CE22" t="e">
        <f ca="1"/>
        <v>#N/A</v>
      </c>
      <c r="CF22" t="e">
        <f ca="1"/>
        <v>#N/A</v>
      </c>
      <c r="CG22" t="e">
        <f ca="1"/>
        <v>#N/A</v>
      </c>
      <c r="CH22" t="e">
        <f ca="1"/>
        <v>#N/A</v>
      </c>
      <c r="CI22" t="e">
        <f ca="1"/>
        <v>#N/A</v>
      </c>
      <c r="CJ22" t="e">
        <f ca="1"/>
        <v>#N/A</v>
      </c>
      <c r="CK22" t="e">
        <f ca="1"/>
        <v>#N/A</v>
      </c>
      <c r="CL22" t="e">
        <f ca="1"/>
        <v>#N/A</v>
      </c>
      <c r="CM22" t="e">
        <f ca="1"/>
        <v>#N/A</v>
      </c>
      <c r="CN22" t="e">
        <f ca="1"/>
        <v>#N/A</v>
      </c>
    </row>
    <row r="23" spans="2:92" x14ac:dyDescent="0.25">
      <c r="B23">
        <f ca="1"/>
        <v>16</v>
      </c>
      <c r="C23" s="37">
        <f ca="1"/>
        <v>5664486.9390408695</v>
      </c>
      <c r="D23" s="37">
        <f ca="1"/>
        <v>5539962.5934637543</v>
      </c>
      <c r="E23" s="35">
        <f ca="1"/>
        <v>17295.561028501445</v>
      </c>
      <c r="F23" s="35">
        <f ca="1"/>
        <v>0</v>
      </c>
      <c r="G23" s="35">
        <f ca="1"/>
        <v>64337.270729168602</v>
      </c>
      <c r="H23" s="35">
        <f ca="1"/>
        <v>0</v>
      </c>
      <c r="I23" s="35">
        <f ca="1"/>
        <v>107228.78454861441</v>
      </c>
      <c r="J23" s="35">
        <f ca="1"/>
        <v>236020.28912670282</v>
      </c>
      <c r="K23" s="35">
        <f ca="1"/>
        <v>2177600.3633920723</v>
      </c>
      <c r="L23" s="35">
        <f ca="1"/>
        <v>2177600.3633920723</v>
      </c>
      <c r="M23" s="35">
        <f ca="1"/>
        <v>1306560.218035243</v>
      </c>
      <c r="N23" s="45">
        <f ca="1"/>
        <v>44333</v>
      </c>
      <c r="O23" s="45">
        <f ca="1"/>
        <v>44333</v>
      </c>
      <c r="P23" s="45">
        <f ca="1"/>
        <v>44362</v>
      </c>
      <c r="Q23" s="45">
        <f ca="1"/>
        <v>44362</v>
      </c>
      <c r="R23" s="37">
        <f ca="1"/>
        <v>0</v>
      </c>
      <c r="S23" s="37">
        <f ca="1"/>
        <v>0</v>
      </c>
      <c r="T23" s="41">
        <f ca="1"/>
        <v>0</v>
      </c>
      <c r="U23" s="42">
        <f ca="1"/>
        <v>0</v>
      </c>
      <c r="V23" s="42">
        <f ca="1"/>
        <v>0</v>
      </c>
      <c r="W23">
        <f ca="1"/>
        <v>0</v>
      </c>
      <c r="X23">
        <f ca="1"/>
        <v>0</v>
      </c>
      <c r="Y23" s="4">
        <f ca="1"/>
        <v>0</v>
      </c>
      <c r="Z23" s="3">
        <f ca="1"/>
        <v>4.7843414714744889E-2</v>
      </c>
      <c r="AA23" t="str">
        <f ca="1"/>
        <v>SEQUENTIAL</v>
      </c>
      <c r="AB23" s="3">
        <f ca="1"/>
        <v>8.0555555555555561E-2</v>
      </c>
      <c r="AC23" s="3">
        <f ca="1"/>
        <v>-2.1565852852551107E-3</v>
      </c>
      <c r="AD23" s="45">
        <f ca="1"/>
        <v>44333</v>
      </c>
      <c r="AE23" s="3">
        <f ca="1"/>
        <v>1.006582476682363</v>
      </c>
      <c r="AF23" s="3">
        <f ca="1"/>
        <v>1.006582476682363</v>
      </c>
      <c r="AG23">
        <f ca="1"/>
        <v>0</v>
      </c>
      <c r="AH23" s="35">
        <f ca="1"/>
        <v>0</v>
      </c>
      <c r="AI23" s="35">
        <f ca="1"/>
        <v>0</v>
      </c>
      <c r="AJ23" s="35">
        <f ca="1"/>
        <v>0</v>
      </c>
      <c r="AK23" s="36">
        <f ca="1"/>
        <v>44333</v>
      </c>
      <c r="AL23" s="36">
        <f ca="1"/>
        <v>44333</v>
      </c>
      <c r="AM23" s="36">
        <f ca="1"/>
        <v>44362</v>
      </c>
      <c r="AN23" s="36">
        <f ca="1"/>
        <v>44362</v>
      </c>
      <c r="AO23" s="37">
        <f ca="1"/>
        <v>1929628.4211565424</v>
      </c>
      <c r="AP23" s="37">
        <f ca="1"/>
        <v>1822399.636607928</v>
      </c>
      <c r="AQ23" s="41">
        <f ca="1"/>
        <v>107228.78454861441</v>
      </c>
      <c r="AR23" s="42">
        <f ca="1"/>
        <v>0</v>
      </c>
      <c r="AS23" s="42">
        <f ca="1"/>
        <v>0</v>
      </c>
      <c r="AT23">
        <f ca="1"/>
        <v>0</v>
      </c>
      <c r="AU23">
        <f ca="1"/>
        <v>0.32895522413058531</v>
      </c>
      <c r="AV23" s="4">
        <f ca="1"/>
        <v>7436.8899198993749</v>
      </c>
      <c r="AW23" s="3">
        <f ca="1"/>
        <v>4.7843414714744889E-2</v>
      </c>
      <c r="AX23" t="str">
        <f ca="1"/>
        <v>SEQUENTIAL</v>
      </c>
      <c r="AY23" s="3">
        <f ca="1"/>
        <v>8.0555555555555561E-2</v>
      </c>
      <c r="AZ23" s="3">
        <f ca="1"/>
        <v>-2.1565852852551107E-3</v>
      </c>
      <c r="BA23" s="45">
        <f ca="1"/>
        <v>44333</v>
      </c>
      <c r="BB23" s="3">
        <f ca="1"/>
        <v>1.006582476682363</v>
      </c>
      <c r="BC23" s="3">
        <f ca="1"/>
        <v>1.006582476682363</v>
      </c>
      <c r="BD23">
        <f ca="1"/>
        <v>0</v>
      </c>
      <c r="BE23" s="4">
        <f ca="1"/>
        <v>7485.8430743864128</v>
      </c>
      <c r="BF23" s="4">
        <f ca="1"/>
        <v>7485.8430743864128</v>
      </c>
      <c r="BG23" s="4">
        <f ca="1"/>
        <v>1929628.4211565424</v>
      </c>
      <c r="BH23" s="45">
        <f ca="1"/>
        <v>44333</v>
      </c>
      <c r="BI23" s="45">
        <f ca="1"/>
        <v>44333</v>
      </c>
      <c r="BJ23" s="45">
        <f ca="1"/>
        <v>44362</v>
      </c>
      <c r="BK23" s="45">
        <f ca="1"/>
        <v>44362</v>
      </c>
      <c r="BL23" s="37">
        <f ca="1"/>
        <v>1526526.4005782502</v>
      </c>
      <c r="BM23" s="37">
        <f ca="1"/>
        <v>1444893.5688205801</v>
      </c>
      <c r="BN23" s="40">
        <f ca="1"/>
        <v>0</v>
      </c>
      <c r="BO23" s="42">
        <f ca="1"/>
        <v>81632.83175767005</v>
      </c>
      <c r="BP23" s="42">
        <f ca="1"/>
        <v>81632.83175767005</v>
      </c>
      <c r="BQ23">
        <f ca="1"/>
        <v>0.32895522413058531</v>
      </c>
      <c r="BR23">
        <f ca="1"/>
        <v>0.58976809866611324</v>
      </c>
      <c r="BS23" s="4">
        <f ca="1"/>
        <v>5883.313427834134</v>
      </c>
      <c r="BT23" s="3">
        <f ca="1"/>
        <v>4.7843414714744889E-2</v>
      </c>
      <c r="BU23" t="str">
        <f ca="1"/>
        <v>SEQUENTIAL</v>
      </c>
      <c r="BV23" s="3">
        <f ca="1"/>
        <v>8.0555555555555561E-2</v>
      </c>
      <c r="BW23" s="3">
        <f ca="1"/>
        <v>-2.1565852852551107E-3</v>
      </c>
      <c r="BX23" s="45">
        <f ca="1"/>
        <v>44333</v>
      </c>
      <c r="BY23" s="3">
        <f ca="1"/>
        <v>1.006582476682363</v>
      </c>
      <c r="BZ23" s="3">
        <f ca="1"/>
        <v>1.006582476682363</v>
      </c>
      <c r="CA23">
        <f ca="1"/>
        <v>0</v>
      </c>
      <c r="CB23" s="4">
        <f ca="1"/>
        <v>88092.218170518056</v>
      </c>
      <c r="CC23" s="4">
        <f ca="1"/>
        <v>88092.218170518056</v>
      </c>
      <c r="CD23" s="4">
        <f ca="1"/>
        <v>1526526.4005782502</v>
      </c>
      <c r="CE23" t="e">
        <f ca="1"/>
        <v>#N/A</v>
      </c>
      <c r="CF23" t="e">
        <f ca="1"/>
        <v>#N/A</v>
      </c>
      <c r="CG23" t="e">
        <f ca="1"/>
        <v>#N/A</v>
      </c>
      <c r="CH23" t="e">
        <f ca="1"/>
        <v>#N/A</v>
      </c>
      <c r="CI23" t="e">
        <f ca="1"/>
        <v>#N/A</v>
      </c>
      <c r="CJ23" t="e">
        <f ca="1"/>
        <v>#N/A</v>
      </c>
      <c r="CK23" t="e">
        <f ca="1"/>
        <v>#N/A</v>
      </c>
      <c r="CL23" t="e">
        <f ca="1"/>
        <v>#N/A</v>
      </c>
      <c r="CM23" t="e">
        <f ca="1"/>
        <v>#N/A</v>
      </c>
      <c r="CN23" t="e">
        <f ca="1"/>
        <v>#N/A</v>
      </c>
    </row>
    <row r="24" spans="2:92" x14ac:dyDescent="0.25">
      <c r="B24">
        <f ca="1"/>
        <v>17</v>
      </c>
      <c r="C24" s="37">
        <f ca="1"/>
        <v>5539962.5934637543</v>
      </c>
      <c r="D24" s="37">
        <f ca="1"/>
        <v>5417415.8933937401</v>
      </c>
      <c r="E24" s="35">
        <f ca="1"/>
        <v>17675.162411831912</v>
      </c>
      <c r="F24" s="35">
        <f ca="1"/>
        <v>0</v>
      </c>
      <c r="G24" s="35">
        <f ca="1"/>
        <v>62922.92259490952</v>
      </c>
      <c r="H24" s="35">
        <f ca="1"/>
        <v>0</v>
      </c>
      <c r="I24" s="35">
        <f ca="1"/>
        <v>104871.53765818255</v>
      </c>
      <c r="J24" s="35">
        <f ca="1"/>
        <v>230831.77472765633</v>
      </c>
      <c r="K24" s="35">
        <f ca="1"/>
        <v>2282471.9010502547</v>
      </c>
      <c r="L24" s="35">
        <f ca="1"/>
        <v>2282471.9010502547</v>
      </c>
      <c r="M24" s="35">
        <f ca="1"/>
        <v>1369483.1406301525</v>
      </c>
      <c r="N24" s="45">
        <f ca="1"/>
        <v>44362</v>
      </c>
      <c r="O24" s="45">
        <f ca="1"/>
        <v>44362</v>
      </c>
      <c r="P24" s="45">
        <f ca="1"/>
        <v>44392</v>
      </c>
      <c r="Q24" s="45">
        <f ca="1"/>
        <v>44392</v>
      </c>
      <c r="R24" s="37">
        <f ca="1"/>
        <v>0</v>
      </c>
      <c r="S24" s="37">
        <f ca="1"/>
        <v>0</v>
      </c>
      <c r="T24" s="41">
        <f ca="1"/>
        <v>0</v>
      </c>
      <c r="U24" s="42">
        <f ca="1"/>
        <v>0</v>
      </c>
      <c r="V24" s="42">
        <f ca="1"/>
        <v>0</v>
      </c>
      <c r="W24">
        <f ca="1"/>
        <v>0</v>
      </c>
      <c r="X24">
        <f ca="1"/>
        <v>0</v>
      </c>
      <c r="Y24" s="4">
        <f ca="1"/>
        <v>0</v>
      </c>
      <c r="Z24" s="3">
        <f ca="1"/>
        <v>4.7947708238949567E-2</v>
      </c>
      <c r="AA24" t="str">
        <f ca="1"/>
        <v>SEQUENTIAL</v>
      </c>
      <c r="AB24" s="3">
        <f ca="1"/>
        <v>8.3333333333333329E-2</v>
      </c>
      <c r="AC24" s="3">
        <f ca="1"/>
        <v>-2.0522917610504348E-3</v>
      </c>
      <c r="AD24" s="45">
        <f ca="1"/>
        <v>44362</v>
      </c>
      <c r="AE24" s="3">
        <f ca="1"/>
        <v>1.0067641250106762</v>
      </c>
      <c r="AF24" s="3">
        <f ca="1"/>
        <v>1.0067641250106762</v>
      </c>
      <c r="AG24">
        <f ca="1"/>
        <v>0</v>
      </c>
      <c r="AH24" s="35">
        <f ca="1"/>
        <v>0</v>
      </c>
      <c r="AI24" s="35">
        <f ca="1"/>
        <v>0</v>
      </c>
      <c r="AJ24" s="35">
        <f ca="1"/>
        <v>0</v>
      </c>
      <c r="AK24" s="36">
        <f ca="1"/>
        <v>44362</v>
      </c>
      <c r="AL24" s="36">
        <f ca="1"/>
        <v>44362</v>
      </c>
      <c r="AM24" s="36">
        <f ca="1"/>
        <v>44392</v>
      </c>
      <c r="AN24" s="36">
        <f ca="1"/>
        <v>44392</v>
      </c>
      <c r="AO24" s="37">
        <f ca="1"/>
        <v>1822399.636607928</v>
      </c>
      <c r="AP24" s="37">
        <f ca="1"/>
        <v>1717528.0989497453</v>
      </c>
      <c r="AQ24" s="41">
        <f ca="1"/>
        <v>104871.53765818255</v>
      </c>
      <c r="AR24" s="42">
        <f ca="1"/>
        <v>0</v>
      </c>
      <c r="AS24" s="42">
        <f ca="1"/>
        <v>0</v>
      </c>
      <c r="AT24">
        <f ca="1"/>
        <v>0</v>
      </c>
      <c r="AU24">
        <f ca="1"/>
        <v>0.31703825823012455</v>
      </c>
      <c r="AV24" s="4">
        <f ca="1"/>
        <v>7281.657172570387</v>
      </c>
      <c r="AW24" s="3">
        <f ca="1"/>
        <v>4.7947708238949567E-2</v>
      </c>
      <c r="AX24" t="str">
        <f ca="1"/>
        <v>SEQUENTIAL</v>
      </c>
      <c r="AY24" s="3">
        <f ca="1"/>
        <v>8.3333333333333329E-2</v>
      </c>
      <c r="AZ24" s="3">
        <f ca="1"/>
        <v>-2.0522917610504348E-3</v>
      </c>
      <c r="BA24" s="45">
        <f ca="1"/>
        <v>44362</v>
      </c>
      <c r="BB24" s="3">
        <f ca="1"/>
        <v>1.0067641250106762</v>
      </c>
      <c r="BC24" s="3">
        <f ca="1"/>
        <v>1.0067641250106762</v>
      </c>
      <c r="BD24">
        <f ca="1"/>
        <v>0</v>
      </c>
      <c r="BE24" s="4">
        <f ca="1"/>
        <v>7330.9112119705405</v>
      </c>
      <c r="BF24" s="4">
        <f ca="1"/>
        <v>7330.9112119705405</v>
      </c>
      <c r="BG24" s="4">
        <f ca="1"/>
        <v>1822399.636607928</v>
      </c>
      <c r="BH24" s="45">
        <f ca="1"/>
        <v>44362</v>
      </c>
      <c r="BI24" s="45">
        <f ca="1"/>
        <v>44362</v>
      </c>
      <c r="BJ24" s="45">
        <f ca="1"/>
        <v>44392</v>
      </c>
      <c r="BK24" s="45">
        <f ca="1"/>
        <v>44392</v>
      </c>
      <c r="BL24" s="37">
        <f ca="1"/>
        <v>1444893.5688205801</v>
      </c>
      <c r="BM24" s="37">
        <f ca="1"/>
        <v>1364295.4838138388</v>
      </c>
      <c r="BN24" s="40">
        <f ca="1"/>
        <v>0</v>
      </c>
      <c r="BO24" s="42">
        <f ca="1"/>
        <v>80598.085006741429</v>
      </c>
      <c r="BP24" s="42">
        <f ca="1"/>
        <v>80598.085006741429</v>
      </c>
      <c r="BQ24">
        <f ca="1"/>
        <v>0.31703825823012455</v>
      </c>
      <c r="BR24">
        <f ca="1"/>
        <v>0.56887336017928947</v>
      </c>
      <c r="BS24" s="4">
        <f ca="1"/>
        <v>5773.2779395119805</v>
      </c>
      <c r="BT24" s="3">
        <f ca="1"/>
        <v>4.7947708238949567E-2</v>
      </c>
      <c r="BU24" t="str">
        <f ca="1"/>
        <v>SEQUENTIAL</v>
      </c>
      <c r="BV24" s="3">
        <f ca="1"/>
        <v>8.3333333333333329E-2</v>
      </c>
      <c r="BW24" s="3">
        <f ca="1"/>
        <v>-2.0522917610504348E-3</v>
      </c>
      <c r="BX24" s="45">
        <f ca="1"/>
        <v>44362</v>
      </c>
      <c r="BY24" s="3">
        <f ca="1"/>
        <v>1.0067641250106762</v>
      </c>
      <c r="BZ24" s="3">
        <f ca="1"/>
        <v>1.0067641250106762</v>
      </c>
      <c r="CA24">
        <f ca="1"/>
        <v>0</v>
      </c>
      <c r="CB24" s="4">
        <f ca="1"/>
        <v>86955.589642564359</v>
      </c>
      <c r="CC24" s="4">
        <f ca="1"/>
        <v>86955.589642564359</v>
      </c>
      <c r="CD24" s="4">
        <f ca="1"/>
        <v>1444893.5688205801</v>
      </c>
      <c r="CE24" t="e">
        <f ca="1"/>
        <v>#N/A</v>
      </c>
      <c r="CF24" t="e">
        <f ca="1"/>
        <v>#N/A</v>
      </c>
      <c r="CG24" t="e">
        <f ca="1"/>
        <v>#N/A</v>
      </c>
      <c r="CH24" t="e">
        <f ca="1"/>
        <v>#N/A</v>
      </c>
      <c r="CI24" t="e">
        <f ca="1"/>
        <v>#N/A</v>
      </c>
      <c r="CJ24" t="e">
        <f ca="1"/>
        <v>#N/A</v>
      </c>
      <c r="CK24" t="e">
        <f ca="1"/>
        <v>#N/A</v>
      </c>
      <c r="CL24" t="e">
        <f ca="1"/>
        <v>#N/A</v>
      </c>
      <c r="CM24" t="e">
        <f ca="1"/>
        <v>#N/A</v>
      </c>
      <c r="CN24" t="e">
        <f ca="1"/>
        <v>#N/A</v>
      </c>
    </row>
    <row r="25" spans="2:92" x14ac:dyDescent="0.25">
      <c r="B25">
        <f ca="1"/>
        <v>18</v>
      </c>
      <c r="C25" s="37">
        <f ca="1"/>
        <v>5417415.8933937401</v>
      </c>
      <c r="D25" s="37">
        <f ca="1"/>
        <v>5296801.0705287755</v>
      </c>
      <c r="E25" s="35">
        <f ca="1"/>
        <v>18063.095251423856</v>
      </c>
      <c r="F25" s="35">
        <f ca="1"/>
        <v>0</v>
      </c>
      <c r="G25" s="35">
        <f ca="1"/>
        <v>61531.036568122116</v>
      </c>
      <c r="H25" s="35">
        <f ca="1"/>
        <v>0</v>
      </c>
      <c r="I25" s="35">
        <f ca="1"/>
        <v>102551.72761353687</v>
      </c>
      <c r="J25" s="35">
        <f ca="1"/>
        <v>225725.66222473898</v>
      </c>
      <c r="K25" s="35">
        <f ca="1"/>
        <v>2385023.6286637913</v>
      </c>
      <c r="L25" s="35">
        <f ca="1"/>
        <v>2385023.6286637913</v>
      </c>
      <c r="M25" s="35">
        <f ca="1"/>
        <v>1431014.1771982748</v>
      </c>
      <c r="N25" s="45">
        <f ca="1"/>
        <v>44392</v>
      </c>
      <c r="O25" s="45">
        <f ca="1"/>
        <v>44392</v>
      </c>
      <c r="P25" s="45">
        <f ca="1"/>
        <v>44424</v>
      </c>
      <c r="Q25" s="45">
        <f ca="1"/>
        <v>44424</v>
      </c>
      <c r="R25" s="37">
        <f ca="1"/>
        <v>0</v>
      </c>
      <c r="S25" s="37">
        <f ca="1"/>
        <v>0</v>
      </c>
      <c r="T25" s="41">
        <f ca="1"/>
        <v>0</v>
      </c>
      <c r="U25" s="42">
        <f ca="1"/>
        <v>0</v>
      </c>
      <c r="V25" s="42">
        <f ca="1"/>
        <v>0</v>
      </c>
      <c r="W25">
        <f ca="1"/>
        <v>0</v>
      </c>
      <c r="X25">
        <f ca="1"/>
        <v>0</v>
      </c>
      <c r="Y25" s="4">
        <f ca="1"/>
        <v>0</v>
      </c>
      <c r="Z25" s="3">
        <f ca="1"/>
        <v>4.805808903437777E-2</v>
      </c>
      <c r="AA25" t="str">
        <f ca="1"/>
        <v>SEQUENTIAL</v>
      </c>
      <c r="AB25" s="3">
        <f ca="1"/>
        <v>8.8888888888888892E-2</v>
      </c>
      <c r="AC25" s="3">
        <f ca="1"/>
        <v>-1.941910965622233E-3</v>
      </c>
      <c r="AD25" s="45">
        <f ca="1"/>
        <v>44392</v>
      </c>
      <c r="AE25" s="3">
        <f ca="1"/>
        <v>1.0069479812292463</v>
      </c>
      <c r="AF25" s="3">
        <f ca="1"/>
        <v>1.0069479812292463</v>
      </c>
      <c r="AG25">
        <f ca="1"/>
        <v>0</v>
      </c>
      <c r="AH25" s="35">
        <f ca="1"/>
        <v>0</v>
      </c>
      <c r="AI25" s="35">
        <f ca="1"/>
        <v>0</v>
      </c>
      <c r="AJ25" s="35">
        <f ca="1"/>
        <v>0</v>
      </c>
      <c r="AK25" s="36">
        <f ca="1"/>
        <v>44392</v>
      </c>
      <c r="AL25" s="36">
        <f ca="1"/>
        <v>44392</v>
      </c>
      <c r="AM25" s="36">
        <f ca="1"/>
        <v>44424</v>
      </c>
      <c r="AN25" s="36">
        <f ca="1"/>
        <v>44424</v>
      </c>
      <c r="AO25" s="37">
        <f ca="1"/>
        <v>1717528.0989497453</v>
      </c>
      <c r="AP25" s="37">
        <f ca="1"/>
        <v>1614976.3713362084</v>
      </c>
      <c r="AQ25" s="41">
        <f ca="1"/>
        <v>102551.72761353687</v>
      </c>
      <c r="AR25" s="42">
        <f ca="1"/>
        <v>0</v>
      </c>
      <c r="AS25" s="42">
        <f ca="1"/>
        <v>0</v>
      </c>
      <c r="AT25">
        <f ca="1"/>
        <v>0</v>
      </c>
      <c r="AU25">
        <f ca="1"/>
        <v>0.30489654979151154</v>
      </c>
      <c r="AV25" s="4">
        <f ca="1"/>
        <v>7336.9882931886632</v>
      </c>
      <c r="AW25" s="3">
        <f ca="1"/>
        <v>4.805808903437777E-2</v>
      </c>
      <c r="AX25" t="str">
        <f ca="1"/>
        <v>SEQUENTIAL</v>
      </c>
      <c r="AY25" s="3">
        <f ca="1"/>
        <v>8.8888888888888892E-2</v>
      </c>
      <c r="AZ25" s="3">
        <f ca="1"/>
        <v>-1.941910965622233E-3</v>
      </c>
      <c r="BA25" s="45">
        <f ca="1"/>
        <v>44392</v>
      </c>
      <c r="BB25" s="3">
        <f ca="1"/>
        <v>1.0069479812292463</v>
      </c>
      <c r="BC25" s="3">
        <f ca="1"/>
        <v>1.0069479812292463</v>
      </c>
      <c r="BD25">
        <f ca="1"/>
        <v>0</v>
      </c>
      <c r="BE25" s="4">
        <f ca="1"/>
        <v>7387.965550128938</v>
      </c>
      <c r="BF25" s="4">
        <f ca="1"/>
        <v>7387.965550128938</v>
      </c>
      <c r="BG25" s="4">
        <f ca="1"/>
        <v>1717528.0989497453</v>
      </c>
      <c r="BH25" s="45">
        <f ca="1"/>
        <v>44392</v>
      </c>
      <c r="BI25" s="45">
        <f ca="1"/>
        <v>44392</v>
      </c>
      <c r="BJ25" s="45">
        <f ca="1"/>
        <v>44424</v>
      </c>
      <c r="BK25" s="45">
        <f ca="1"/>
        <v>44424</v>
      </c>
      <c r="BL25" s="37">
        <f ca="1"/>
        <v>1364295.4838138388</v>
      </c>
      <c r="BM25" s="37">
        <f ca="1"/>
        <v>1284701.3519942928</v>
      </c>
      <c r="BN25" s="40">
        <f ca="1"/>
        <v>0</v>
      </c>
      <c r="BO25" s="42">
        <f ca="1"/>
        <v>79594.131819545975</v>
      </c>
      <c r="BP25" s="42">
        <f ca="1"/>
        <v>79594.131819545975</v>
      </c>
      <c r="BQ25">
        <f ca="1"/>
        <v>0.30489654979151154</v>
      </c>
      <c r="BR25">
        <f ca="1"/>
        <v>0.54743942328969297</v>
      </c>
      <c r="BS25" s="4">
        <f ca="1"/>
        <v>5828.0385626955513</v>
      </c>
      <c r="BT25" s="3">
        <f ca="1"/>
        <v>4.805808903437777E-2</v>
      </c>
      <c r="BU25" t="str">
        <f ca="1"/>
        <v>SEQUENTIAL</v>
      </c>
      <c r="BV25" s="3">
        <f ca="1"/>
        <v>8.8888888888888892E-2</v>
      </c>
      <c r="BW25" s="3">
        <f ca="1"/>
        <v>-1.941910965622233E-3</v>
      </c>
      <c r="BX25" s="45">
        <f ca="1"/>
        <v>44392</v>
      </c>
      <c r="BY25" s="3">
        <f ca="1"/>
        <v>1.0069479812292463</v>
      </c>
      <c r="BZ25" s="3">
        <f ca="1"/>
        <v>1.0069479812292463</v>
      </c>
      <c r="CA25">
        <f ca="1"/>
        <v>0</v>
      </c>
      <c r="CB25" s="4">
        <f ca="1"/>
        <v>86015.682018618827</v>
      </c>
      <c r="CC25" s="4">
        <f ca="1"/>
        <v>86015.682018618827</v>
      </c>
      <c r="CD25" s="4">
        <f ca="1"/>
        <v>1364295.4838138388</v>
      </c>
      <c r="CE25" t="e">
        <f ca="1"/>
        <v>#N/A</v>
      </c>
      <c r="CF25" t="e">
        <f ca="1"/>
        <v>#N/A</v>
      </c>
      <c r="CG25" t="e">
        <f ca="1"/>
        <v>#N/A</v>
      </c>
      <c r="CH25" t="e">
        <f ca="1"/>
        <v>#N/A</v>
      </c>
      <c r="CI25" t="e">
        <f ca="1"/>
        <v>#N/A</v>
      </c>
      <c r="CJ25" t="e">
        <f ca="1"/>
        <v>#N/A</v>
      </c>
      <c r="CK25" t="e">
        <f ca="1"/>
        <v>#N/A</v>
      </c>
      <c r="CL25" t="e">
        <f ca="1"/>
        <v>#N/A</v>
      </c>
      <c r="CM25" t="e">
        <f ca="1"/>
        <v>#N/A</v>
      </c>
      <c r="CN25" t="e">
        <f ca="1"/>
        <v>#N/A</v>
      </c>
    </row>
    <row r="26" spans="2:92" x14ac:dyDescent="0.25">
      <c r="B26">
        <f ca="1"/>
        <v>19</v>
      </c>
      <c r="C26" s="37">
        <f ca="1"/>
        <v>5296801.0705287755</v>
      </c>
      <c r="D26" s="37">
        <f ca="1"/>
        <v>5178073.0401031198</v>
      </c>
      <c r="E26" s="35">
        <f ca="1"/>
        <v>18459.54240531331</v>
      </c>
      <c r="F26" s="35">
        <f ca="1"/>
        <v>0</v>
      </c>
      <c r="G26" s="35">
        <f ca="1"/>
        <v>60161.092812204915</v>
      </c>
      <c r="H26" s="35">
        <f ca="1"/>
        <v>0</v>
      </c>
      <c r="I26" s="35">
        <f ca="1"/>
        <v>100268.48802034144</v>
      </c>
      <c r="J26" s="35">
        <f ca="1"/>
        <v>220700.04460536563</v>
      </c>
      <c r="K26" s="35">
        <f ca="1"/>
        <v>2485292.1166841327</v>
      </c>
      <c r="L26" s="35">
        <f ca="1"/>
        <v>2485292.1166841327</v>
      </c>
      <c r="M26" s="35">
        <f ca="1"/>
        <v>1491175.2700104797</v>
      </c>
      <c r="N26" s="45">
        <f ca="1"/>
        <v>44424</v>
      </c>
      <c r="O26" s="45">
        <f ca="1"/>
        <v>44424</v>
      </c>
      <c r="P26" s="45">
        <f ca="1"/>
        <v>44454</v>
      </c>
      <c r="Q26" s="45">
        <f ca="1"/>
        <v>44454</v>
      </c>
      <c r="R26" s="37">
        <f ca="1"/>
        <v>0</v>
      </c>
      <c r="S26" s="37">
        <f ca="1"/>
        <v>0</v>
      </c>
      <c r="T26" s="41">
        <f ca="1"/>
        <v>0</v>
      </c>
      <c r="U26" s="42">
        <f ca="1"/>
        <v>0</v>
      </c>
      <c r="V26" s="42">
        <f ca="1"/>
        <v>0</v>
      </c>
      <c r="W26">
        <f ca="1"/>
        <v>0</v>
      </c>
      <c r="X26">
        <f ca="1"/>
        <v>0</v>
      </c>
      <c r="Y26" s="4">
        <f ca="1"/>
        <v>0</v>
      </c>
      <c r="Z26" s="3">
        <f ca="1"/>
        <v>4.8179522748228919E-2</v>
      </c>
      <c r="AA26" t="str">
        <f ca="1"/>
        <v>SEQUENTIAL</v>
      </c>
      <c r="AB26" s="3">
        <f ca="1"/>
        <v>8.3333333333333329E-2</v>
      </c>
      <c r="AC26" s="3">
        <f ca="1"/>
        <v>-1.820477251771083E-3</v>
      </c>
      <c r="AD26" s="45">
        <f ca="1"/>
        <v>44424</v>
      </c>
      <c r="AE26" s="3">
        <f ca="1"/>
        <v>1.0071107799981531</v>
      </c>
      <c r="AF26" s="3">
        <f ca="1"/>
        <v>1.0071107799981531</v>
      </c>
      <c r="AG26">
        <f ca="1"/>
        <v>0</v>
      </c>
      <c r="AH26" s="35">
        <f ca="1"/>
        <v>0</v>
      </c>
      <c r="AI26" s="35">
        <f ca="1"/>
        <v>0</v>
      </c>
      <c r="AJ26" s="35">
        <f ca="1"/>
        <v>0</v>
      </c>
      <c r="AK26" s="36">
        <f ca="1"/>
        <v>44424</v>
      </c>
      <c r="AL26" s="36">
        <f ca="1"/>
        <v>44424</v>
      </c>
      <c r="AM26" s="36">
        <f ca="1"/>
        <v>44454</v>
      </c>
      <c r="AN26" s="36">
        <f ca="1"/>
        <v>44454</v>
      </c>
      <c r="AO26" s="37">
        <f ca="1"/>
        <v>1614976.3713362084</v>
      </c>
      <c r="AP26" s="37">
        <f ca="1"/>
        <v>1514707.883315867</v>
      </c>
      <c r="AQ26" s="41">
        <f ca="1"/>
        <v>100268.48802034144</v>
      </c>
      <c r="AR26" s="42">
        <f ca="1"/>
        <v>0</v>
      </c>
      <c r="AS26" s="42">
        <f ca="1"/>
        <v>0</v>
      </c>
      <c r="AT26">
        <f ca="1"/>
        <v>0</v>
      </c>
      <c r="AU26">
        <f ca="1"/>
        <v>0.2925234680130549</v>
      </c>
      <c r="AV26" s="4">
        <f ca="1"/>
        <v>6484.0659017204207</v>
      </c>
      <c r="AW26" s="3">
        <f ca="1"/>
        <v>4.8179522748228919E-2</v>
      </c>
      <c r="AX26" t="str">
        <f ca="1"/>
        <v>SEQUENTIAL</v>
      </c>
      <c r="AY26" s="3">
        <f ca="1"/>
        <v>8.3333333333333329E-2</v>
      </c>
      <c r="AZ26" s="3">
        <f ca="1"/>
        <v>-1.820477251771083E-3</v>
      </c>
      <c r="BA26" s="45">
        <f ca="1"/>
        <v>44424</v>
      </c>
      <c r="BB26" s="3">
        <f ca="1"/>
        <v>1.0071107799981531</v>
      </c>
      <c r="BC26" s="3">
        <f ca="1"/>
        <v>1.0071107799981531</v>
      </c>
      <c r="BD26">
        <f ca="1"/>
        <v>0</v>
      </c>
      <c r="BE26" s="4">
        <f ca="1"/>
        <v>6530.1726678410814</v>
      </c>
      <c r="BF26" s="4">
        <f ca="1"/>
        <v>6530.1726678410814</v>
      </c>
      <c r="BG26" s="4">
        <f ca="1"/>
        <v>1614976.3713362084</v>
      </c>
      <c r="BH26" s="45">
        <f ca="1"/>
        <v>44424</v>
      </c>
      <c r="BI26" s="45">
        <f ca="1"/>
        <v>44424</v>
      </c>
      <c r="BJ26" s="45">
        <f ca="1"/>
        <v>44454</v>
      </c>
      <c r="BK26" s="45">
        <f ca="1"/>
        <v>44454</v>
      </c>
      <c r="BL26" s="37">
        <f ca="1"/>
        <v>1284701.3519942928</v>
      </c>
      <c r="BM26" s="37">
        <f ca="1"/>
        <v>1206080.7167767745</v>
      </c>
      <c r="BN26" s="40">
        <f ca="1"/>
        <v>0</v>
      </c>
      <c r="BO26" s="42">
        <f ca="1"/>
        <v>78620.635217518226</v>
      </c>
      <c r="BP26" s="42">
        <f ca="1"/>
        <v>78620.635217518226</v>
      </c>
      <c r="BQ26">
        <f ca="1"/>
        <v>0.2925234680130549</v>
      </c>
      <c r="BR26">
        <f ca="1"/>
        <v>0.52544422973965188</v>
      </c>
      <c r="BS26" s="4">
        <f ca="1"/>
        <v>5158.0248344241227</v>
      </c>
      <c r="BT26" s="3">
        <f ca="1"/>
        <v>4.8179522748228919E-2</v>
      </c>
      <c r="BU26" t="str">
        <f ca="1"/>
        <v>SEQUENTIAL</v>
      </c>
      <c r="BV26" s="3">
        <f ca="1"/>
        <v>8.3333333333333329E-2</v>
      </c>
      <c r="BW26" s="3">
        <f ca="1"/>
        <v>-1.820477251771083E-3</v>
      </c>
      <c r="BX26" s="45">
        <f ca="1"/>
        <v>44424</v>
      </c>
      <c r="BY26" s="3">
        <f ca="1"/>
        <v>1.0071107799981531</v>
      </c>
      <c r="BZ26" s="3">
        <f ca="1"/>
        <v>1.0071107799981531</v>
      </c>
      <c r="CA26">
        <f ca="1"/>
        <v>0</v>
      </c>
      <c r="CB26" s="4">
        <f ca="1"/>
        <v>84374.391672111771</v>
      </c>
      <c r="CC26" s="4">
        <f ca="1"/>
        <v>84374.391672111771</v>
      </c>
      <c r="CD26" s="4">
        <f ca="1"/>
        <v>1284701.3519942928</v>
      </c>
      <c r="CE26" t="e">
        <f ca="1"/>
        <v>#N/A</v>
      </c>
      <c r="CF26" t="e">
        <f ca="1"/>
        <v>#N/A</v>
      </c>
      <c r="CG26" t="e">
        <f ca="1"/>
        <v>#N/A</v>
      </c>
      <c r="CH26" t="e">
        <f ca="1"/>
        <v>#N/A</v>
      </c>
      <c r="CI26" t="e">
        <f ca="1"/>
        <v>#N/A</v>
      </c>
      <c r="CJ26" t="e">
        <f ca="1"/>
        <v>#N/A</v>
      </c>
      <c r="CK26" t="e">
        <f ca="1"/>
        <v>#N/A</v>
      </c>
      <c r="CL26" t="e">
        <f ca="1"/>
        <v>#N/A</v>
      </c>
      <c r="CM26" t="e">
        <f ca="1"/>
        <v>#N/A</v>
      </c>
      <c r="CN26" t="e">
        <f ca="1"/>
        <v>#N/A</v>
      </c>
    </row>
    <row r="27" spans="2:92" x14ac:dyDescent="0.25">
      <c r="B27">
        <f ca="1"/>
        <v>20</v>
      </c>
      <c r="C27" s="37">
        <f ca="1"/>
        <v>5178073.0401031198</v>
      </c>
      <c r="D27" s="37">
        <f ca="1"/>
        <v>5061187.3839346264</v>
      </c>
      <c r="E27" s="35">
        <f ca="1"/>
        <v>18864.690744887681</v>
      </c>
      <c r="F27" s="35">
        <f ca="1"/>
        <v>0</v>
      </c>
      <c r="G27" s="35">
        <f ca="1"/>
        <v>58812.579254165015</v>
      </c>
      <c r="H27" s="35">
        <f ca="1"/>
        <v>0</v>
      </c>
      <c r="I27" s="35">
        <f ca="1"/>
        <v>98020.96542360833</v>
      </c>
      <c r="J27" s="35">
        <f ca="1"/>
        <v>215753.04333763005</v>
      </c>
      <c r="K27" s="35">
        <f ca="1"/>
        <v>2583313.0821077409</v>
      </c>
      <c r="L27" s="35">
        <f ca="1"/>
        <v>2583313.0821077409</v>
      </c>
      <c r="M27" s="35">
        <f ca="1"/>
        <v>1549987.8492646448</v>
      </c>
      <c r="N27" s="45">
        <f ca="1"/>
        <v>44454</v>
      </c>
      <c r="O27" s="45">
        <f ca="1"/>
        <v>44454</v>
      </c>
      <c r="P27" s="45">
        <f ca="1"/>
        <v>44484</v>
      </c>
      <c r="Q27" s="45">
        <f ca="1"/>
        <v>44484</v>
      </c>
      <c r="R27" s="37">
        <f ca="1"/>
        <v>0</v>
      </c>
      <c r="S27" s="37">
        <f ca="1"/>
        <v>0</v>
      </c>
      <c r="T27" s="41">
        <f ca="1"/>
        <v>0</v>
      </c>
      <c r="U27" s="42">
        <f ca="1"/>
        <v>0</v>
      </c>
      <c r="V27" s="42">
        <f ca="1"/>
        <v>0</v>
      </c>
      <c r="W27">
        <f ca="1"/>
        <v>0</v>
      </c>
      <c r="X27">
        <f ca="1"/>
        <v>0</v>
      </c>
      <c r="Y27" s="4">
        <f ca="1"/>
        <v>0</v>
      </c>
      <c r="Z27" s="3">
        <f ca="1"/>
        <v>4.8297410549974142E-2</v>
      </c>
      <c r="AA27" t="str">
        <f ca="1"/>
        <v>SEQUENTIAL</v>
      </c>
      <c r="AB27" s="3">
        <f ca="1"/>
        <v>8.3333333333333329E-2</v>
      </c>
      <c r="AC27" s="3">
        <f ca="1"/>
        <v>-1.7025894500258588E-3</v>
      </c>
      <c r="AD27" s="45">
        <f ca="1"/>
        <v>44454</v>
      </c>
      <c r="AE27" s="3">
        <f ca="1"/>
        <v>1.0072640338077357</v>
      </c>
      <c r="AF27" s="3">
        <f ca="1"/>
        <v>1.0072640338077357</v>
      </c>
      <c r="AG27">
        <f ca="1"/>
        <v>0</v>
      </c>
      <c r="AH27" s="35">
        <f ca="1"/>
        <v>0</v>
      </c>
      <c r="AI27" s="35">
        <f ca="1"/>
        <v>0</v>
      </c>
      <c r="AJ27" s="35">
        <f ca="1"/>
        <v>0</v>
      </c>
      <c r="AK27" s="36">
        <f ca="1"/>
        <v>44454</v>
      </c>
      <c r="AL27" s="36">
        <f ca="1"/>
        <v>44454</v>
      </c>
      <c r="AM27" s="36">
        <f ca="1"/>
        <v>44484</v>
      </c>
      <c r="AN27" s="36">
        <f ca="1"/>
        <v>44484</v>
      </c>
      <c r="AO27" s="37">
        <f ca="1"/>
        <v>1514707.883315867</v>
      </c>
      <c r="AP27" s="37">
        <f ca="1"/>
        <v>1416686.9178922586</v>
      </c>
      <c r="AQ27" s="41">
        <f ca="1"/>
        <v>98020.96542360833</v>
      </c>
      <c r="AR27" s="42">
        <f ca="1"/>
        <v>0</v>
      </c>
      <c r="AS27" s="42">
        <f ca="1"/>
        <v>0</v>
      </c>
      <c r="AT27">
        <f ca="1"/>
        <v>0</v>
      </c>
      <c r="AU27">
        <f ca="1"/>
        <v>0.27991196737531376</v>
      </c>
      <c r="AV27" s="4">
        <f ca="1"/>
        <v>6096.3723753157292</v>
      </c>
      <c r="AW27" s="3">
        <f ca="1"/>
        <v>4.8297410549974142E-2</v>
      </c>
      <c r="AX27" t="str">
        <f ca="1"/>
        <v>SEQUENTIAL</v>
      </c>
      <c r="AY27" s="3">
        <f ca="1"/>
        <v>8.3333333333333329E-2</v>
      </c>
      <c r="AZ27" s="3">
        <f ca="1"/>
        <v>-1.7025894500258588E-3</v>
      </c>
      <c r="BA27" s="45">
        <f ca="1"/>
        <v>44454</v>
      </c>
      <c r="BB27" s="3">
        <f ca="1"/>
        <v>1.0072640338077357</v>
      </c>
      <c r="BC27" s="3">
        <f ca="1"/>
        <v>1.0072640338077357</v>
      </c>
      <c r="BD27">
        <f ca="1"/>
        <v>0</v>
      </c>
      <c r="BE27" s="4">
        <f ca="1"/>
        <v>6140.6566303545687</v>
      </c>
      <c r="BF27" s="4">
        <f ca="1"/>
        <v>6140.6566303545687</v>
      </c>
      <c r="BG27" s="4">
        <f ca="1"/>
        <v>1514707.883315867</v>
      </c>
      <c r="BH27" s="45">
        <f ca="1"/>
        <v>44454</v>
      </c>
      <c r="BI27" s="45">
        <f ca="1"/>
        <v>44454</v>
      </c>
      <c r="BJ27" s="45">
        <f ca="1"/>
        <v>44484</v>
      </c>
      <c r="BK27" s="45">
        <f ca="1"/>
        <v>44484</v>
      </c>
      <c r="BL27" s="37">
        <f ca="1"/>
        <v>1206080.7167767745</v>
      </c>
      <c r="BM27" s="37">
        <f ca="1"/>
        <v>1128403.4467777219</v>
      </c>
      <c r="BN27" s="40">
        <f ca="1"/>
        <v>0</v>
      </c>
      <c r="BO27" s="42">
        <f ca="1"/>
        <v>77677.269999052689</v>
      </c>
      <c r="BP27" s="42">
        <f ca="1"/>
        <v>77677.269999052689</v>
      </c>
      <c r="BQ27">
        <f ca="1"/>
        <v>0.27991196737531376</v>
      </c>
      <c r="BR27">
        <f ca="1"/>
        <v>0.50286428294448904</v>
      </c>
      <c r="BS27" s="4">
        <f ca="1"/>
        <v>4854.214627881247</v>
      </c>
      <c r="BT27" s="3">
        <f ca="1"/>
        <v>4.8297410549974142E-2</v>
      </c>
      <c r="BU27" t="str">
        <f ca="1"/>
        <v>SEQUENTIAL</v>
      </c>
      <c r="BV27" s="3">
        <f ca="1"/>
        <v>8.3333333333333329E-2</v>
      </c>
      <c r="BW27" s="3">
        <f ca="1"/>
        <v>-1.7025894500258588E-3</v>
      </c>
      <c r="BX27" s="45">
        <f ca="1"/>
        <v>44454</v>
      </c>
      <c r="BY27" s="3">
        <f ca="1"/>
        <v>1.0072640338077357</v>
      </c>
      <c r="BZ27" s="3">
        <f ca="1"/>
        <v>1.0072640338077357</v>
      </c>
      <c r="CA27">
        <f ca="1"/>
        <v>0</v>
      </c>
      <c r="CB27" s="4">
        <f ca="1"/>
        <v>83130.996121466596</v>
      </c>
      <c r="CC27" s="4">
        <f ca="1"/>
        <v>83130.996121466596</v>
      </c>
      <c r="CD27" s="4">
        <f ca="1"/>
        <v>1206080.7167767745</v>
      </c>
      <c r="CE27" t="e">
        <f ca="1"/>
        <v>#N/A</v>
      </c>
      <c r="CF27" t="e">
        <f ca="1"/>
        <v>#N/A</v>
      </c>
      <c r="CG27" t="e">
        <f ca="1"/>
        <v>#N/A</v>
      </c>
      <c r="CH27" t="e">
        <f ca="1"/>
        <v>#N/A</v>
      </c>
      <c r="CI27" t="e">
        <f ca="1"/>
        <v>#N/A</v>
      </c>
      <c r="CJ27" t="e">
        <f ca="1"/>
        <v>#N/A</v>
      </c>
      <c r="CK27" t="e">
        <f ca="1"/>
        <v>#N/A</v>
      </c>
      <c r="CL27" t="e">
        <f ca="1"/>
        <v>#N/A</v>
      </c>
      <c r="CM27" t="e">
        <f ca="1"/>
        <v>#N/A</v>
      </c>
      <c r="CN27" t="e">
        <f ca="1"/>
        <v>#N/A</v>
      </c>
    </row>
    <row r="28" spans="2:92" x14ac:dyDescent="0.25">
      <c r="B28">
        <f ca="1"/>
        <v>21</v>
      </c>
      <c r="C28" s="37">
        <f ca="1"/>
        <v>5061187.3839346264</v>
      </c>
      <c r="D28" s="37">
        <f ca="1"/>
        <v>4946100.3337048739</v>
      </c>
      <c r="E28" s="35">
        <f ca="1"/>
        <v>19278.731242970425</v>
      </c>
      <c r="F28" s="35">
        <f ca="1"/>
        <v>0</v>
      </c>
      <c r="G28" s="35">
        <f ca="1"/>
        <v>57484.991392069518</v>
      </c>
      <c r="H28" s="35">
        <f ca="1"/>
        <v>0</v>
      </c>
      <c r="I28" s="35">
        <f ca="1"/>
        <v>95808.3189867826</v>
      </c>
      <c r="J28" s="35">
        <f ca="1"/>
        <v>210882.80766394266</v>
      </c>
      <c r="K28" s="35">
        <f ca="1"/>
        <v>2679121.4010945237</v>
      </c>
      <c r="L28" s="35">
        <f ca="1"/>
        <v>2679121.4010945237</v>
      </c>
      <c r="M28" s="35">
        <f ca="1"/>
        <v>1607472.8406567143</v>
      </c>
      <c r="N28" s="45">
        <f ca="1"/>
        <v>44484</v>
      </c>
      <c r="O28" s="45">
        <f ca="1"/>
        <v>44484</v>
      </c>
      <c r="P28" s="45">
        <f ca="1"/>
        <v>44515</v>
      </c>
      <c r="Q28" s="45">
        <f ca="1"/>
        <v>44515</v>
      </c>
      <c r="R28" s="37">
        <f ca="1"/>
        <v>0</v>
      </c>
      <c r="S28" s="37">
        <f ca="1"/>
        <v>0</v>
      </c>
      <c r="T28" s="41">
        <f ca="1"/>
        <v>0</v>
      </c>
      <c r="U28" s="42">
        <f ca="1"/>
        <v>0</v>
      </c>
      <c r="V28" s="42">
        <f ca="1"/>
        <v>0</v>
      </c>
      <c r="W28">
        <f ca="1"/>
        <v>0</v>
      </c>
      <c r="X28">
        <f ca="1"/>
        <v>0</v>
      </c>
      <c r="Y28" s="4">
        <f ca="1"/>
        <v>0</v>
      </c>
      <c r="Z28" s="3">
        <f ca="1"/>
        <v>4.8418541461860656E-2</v>
      </c>
      <c r="AA28" t="str">
        <f ca="1"/>
        <v>SEQUENTIAL</v>
      </c>
      <c r="AB28" s="3">
        <f ca="1"/>
        <v>8.611111111111111E-2</v>
      </c>
      <c r="AC28" s="3">
        <f ca="1"/>
        <v>-1.5814585381393469E-3</v>
      </c>
      <c r="AD28" s="45">
        <f ca="1"/>
        <v>44484</v>
      </c>
      <c r="AE28" s="3">
        <f ca="1"/>
        <v>1.0074120662043171</v>
      </c>
      <c r="AF28" s="3">
        <f ca="1"/>
        <v>1.0074120662043171</v>
      </c>
      <c r="AG28">
        <f ca="1"/>
        <v>0</v>
      </c>
      <c r="AH28" s="35">
        <f ca="1"/>
        <v>0</v>
      </c>
      <c r="AI28" s="35">
        <f ca="1"/>
        <v>0</v>
      </c>
      <c r="AJ28" s="35">
        <f ca="1"/>
        <v>0</v>
      </c>
      <c r="AK28" s="36">
        <f ca="1"/>
        <v>44484</v>
      </c>
      <c r="AL28" s="36">
        <f ca="1"/>
        <v>44484</v>
      </c>
      <c r="AM28" s="36">
        <f ca="1"/>
        <v>44515</v>
      </c>
      <c r="AN28" s="36">
        <f ca="1"/>
        <v>44515</v>
      </c>
      <c r="AO28" s="37">
        <f ca="1"/>
        <v>1416686.9178922586</v>
      </c>
      <c r="AP28" s="37">
        <f ca="1"/>
        <v>1320878.598905476</v>
      </c>
      <c r="AQ28" s="41">
        <f ca="1"/>
        <v>95808.3189867826</v>
      </c>
      <c r="AR28" s="42">
        <f ca="1"/>
        <v>0</v>
      </c>
      <c r="AS28" s="42">
        <f ca="1"/>
        <v>0</v>
      </c>
      <c r="AT28">
        <f ca="1"/>
        <v>0</v>
      </c>
      <c r="AU28">
        <f ca="1"/>
        <v>0.26705455000668632</v>
      </c>
      <c r="AV28" s="4">
        <f ca="1"/>
        <v>5906.698173460275</v>
      </c>
      <c r="AW28" s="3">
        <f ca="1"/>
        <v>4.8418541461860656E-2</v>
      </c>
      <c r="AX28" t="str">
        <f ca="1"/>
        <v>SEQUENTIAL</v>
      </c>
      <c r="AY28" s="3">
        <f ca="1"/>
        <v>8.611111111111111E-2</v>
      </c>
      <c r="AZ28" s="3">
        <f ca="1"/>
        <v>-1.5814585381393469E-3</v>
      </c>
      <c r="BA28" s="45">
        <f ca="1"/>
        <v>44484</v>
      </c>
      <c r="BB28" s="3">
        <f ca="1"/>
        <v>1.0074120662043171</v>
      </c>
      <c r="BC28" s="3">
        <f ca="1"/>
        <v>1.0074120662043171</v>
      </c>
      <c r="BD28">
        <f ca="1"/>
        <v>0</v>
      </c>
      <c r="BE28" s="4">
        <f ca="1"/>
        <v>5950.4790113708814</v>
      </c>
      <c r="BF28" s="4">
        <f ca="1"/>
        <v>5950.4790113708814</v>
      </c>
      <c r="BG28" s="4">
        <f ca="1"/>
        <v>1416686.9178922586</v>
      </c>
      <c r="BH28" s="45">
        <f ca="1"/>
        <v>44484</v>
      </c>
      <c r="BI28" s="45">
        <f ca="1"/>
        <v>44484</v>
      </c>
      <c r="BJ28" s="45">
        <f ca="1"/>
        <v>44515</v>
      </c>
      <c r="BK28" s="45">
        <f ca="1"/>
        <v>44515</v>
      </c>
      <c r="BL28" s="37">
        <f ca="1"/>
        <v>1128403.4467777219</v>
      </c>
      <c r="BM28" s="37">
        <f ca="1"/>
        <v>1051639.7241426818</v>
      </c>
      <c r="BN28" s="40">
        <f ca="1"/>
        <v>0</v>
      </c>
      <c r="BO28" s="42">
        <f ca="1"/>
        <v>76763.722635039943</v>
      </c>
      <c r="BP28" s="42">
        <f ca="1"/>
        <v>76763.722635039943</v>
      </c>
      <c r="BQ28">
        <f ca="1"/>
        <v>0.26705455000668632</v>
      </c>
      <c r="BR28">
        <f ca="1"/>
        <v>0.47967452396401833</v>
      </c>
      <c r="BS28" s="4">
        <f ca="1"/>
        <v>4704.7364479970047</v>
      </c>
      <c r="BT28" s="3">
        <f ca="1"/>
        <v>4.8418541461860656E-2</v>
      </c>
      <c r="BU28" t="str">
        <f ca="1"/>
        <v>SEQUENTIAL</v>
      </c>
      <c r="BV28" s="3">
        <f ca="1"/>
        <v>8.611111111111111E-2</v>
      </c>
      <c r="BW28" s="3">
        <f ca="1"/>
        <v>-1.5814585381393469E-3</v>
      </c>
      <c r="BX28" s="45">
        <f ca="1"/>
        <v>44484</v>
      </c>
      <c r="BY28" s="3">
        <f ca="1"/>
        <v>1.0074120662043171</v>
      </c>
      <c r="BZ28" s="3">
        <f ca="1"/>
        <v>1.0074120662043171</v>
      </c>
      <c r="CA28">
        <f ca="1"/>
        <v>0</v>
      </c>
      <c r="CB28" s="4">
        <f ca="1"/>
        <v>82072.308695324115</v>
      </c>
      <c r="CC28" s="4">
        <f ca="1"/>
        <v>82072.308695324115</v>
      </c>
      <c r="CD28" s="4">
        <f ca="1"/>
        <v>1128403.4467777219</v>
      </c>
      <c r="CE28" t="e">
        <f ca="1"/>
        <v>#N/A</v>
      </c>
      <c r="CF28" t="e">
        <f ca="1"/>
        <v>#N/A</v>
      </c>
      <c r="CG28" t="e">
        <f ca="1"/>
        <v>#N/A</v>
      </c>
      <c r="CH28" t="e">
        <f ca="1"/>
        <v>#N/A</v>
      </c>
      <c r="CI28" t="e">
        <f ca="1"/>
        <v>#N/A</v>
      </c>
      <c r="CJ28" t="e">
        <f ca="1"/>
        <v>#N/A</v>
      </c>
      <c r="CK28" t="e">
        <f ca="1"/>
        <v>#N/A</v>
      </c>
      <c r="CL28" t="e">
        <f ca="1"/>
        <v>#N/A</v>
      </c>
      <c r="CM28" t="e">
        <f ca="1"/>
        <v>#N/A</v>
      </c>
      <c r="CN28" t="e">
        <f ca="1"/>
        <v>#N/A</v>
      </c>
    </row>
    <row r="29" spans="2:92" x14ac:dyDescent="0.25">
      <c r="B29">
        <f ca="1"/>
        <v>22</v>
      </c>
      <c r="C29" s="37">
        <f ca="1"/>
        <v>4946100.3337048739</v>
      </c>
      <c r="D29" s="37">
        <f ca="1"/>
        <v>4832768.7544657988</v>
      </c>
      <c r="E29" s="35">
        <f ca="1"/>
        <v>19701.859063838896</v>
      </c>
      <c r="F29" s="35">
        <f ca="1"/>
        <v>0</v>
      </c>
      <c r="G29" s="35">
        <f ca="1"/>
        <v>56177.832105140944</v>
      </c>
      <c r="H29" s="35">
        <f ca="1"/>
        <v>0</v>
      </c>
      <c r="I29" s="35">
        <f ca="1"/>
        <v>93629.720175234921</v>
      </c>
      <c r="J29" s="35">
        <f ca="1"/>
        <v>206087.51390436961</v>
      </c>
      <c r="K29" s="35">
        <f ca="1"/>
        <v>2772751.1212697588</v>
      </c>
      <c r="L29" s="35">
        <f ca="1"/>
        <v>2772751.1212697588</v>
      </c>
      <c r="M29" s="35">
        <f ca="1"/>
        <v>1663650.6727618552</v>
      </c>
      <c r="N29" s="45">
        <f ca="1"/>
        <v>44515</v>
      </c>
      <c r="O29" s="45">
        <f ca="1"/>
        <v>44515</v>
      </c>
      <c r="P29" s="45">
        <f ca="1"/>
        <v>44545</v>
      </c>
      <c r="Q29" s="45">
        <f ca="1"/>
        <v>44545</v>
      </c>
      <c r="R29" s="37">
        <f ca="1"/>
        <v>0</v>
      </c>
      <c r="S29" s="37">
        <f ca="1"/>
        <v>0</v>
      </c>
      <c r="T29" s="41">
        <f ca="1"/>
        <v>0</v>
      </c>
      <c r="U29" s="42">
        <f ca="1"/>
        <v>0</v>
      </c>
      <c r="V29" s="42">
        <f ca="1"/>
        <v>0</v>
      </c>
      <c r="W29">
        <f ca="1"/>
        <v>0</v>
      </c>
      <c r="X29">
        <f ca="1"/>
        <v>0</v>
      </c>
      <c r="Y29" s="4">
        <f ca="1"/>
        <v>0</v>
      </c>
      <c r="Z29" s="3">
        <f ca="1"/>
        <v>4.8546039323000646E-2</v>
      </c>
      <c r="AA29" t="str">
        <f ca="1"/>
        <v>SEQUENTIAL</v>
      </c>
      <c r="AB29" s="3">
        <f ca="1"/>
        <v>8.3333333333333329E-2</v>
      </c>
      <c r="AC29" s="3">
        <f ca="1"/>
        <v>-1.4539606769993544E-3</v>
      </c>
      <c r="AD29" s="45">
        <f ca="1"/>
        <v>44515</v>
      </c>
      <c r="AE29" s="3">
        <f ca="1"/>
        <v>1.0075450348711017</v>
      </c>
      <c r="AF29" s="3">
        <f ca="1"/>
        <v>1.0075450348711017</v>
      </c>
      <c r="AG29">
        <f ca="1"/>
        <v>0</v>
      </c>
      <c r="AH29" s="35">
        <f ca="1"/>
        <v>0</v>
      </c>
      <c r="AI29" s="35">
        <f ca="1"/>
        <v>0</v>
      </c>
      <c r="AJ29" s="35">
        <f ca="1"/>
        <v>0</v>
      </c>
      <c r="AK29" s="36">
        <f ca="1"/>
        <v>44515</v>
      </c>
      <c r="AL29" s="36">
        <f ca="1"/>
        <v>44515</v>
      </c>
      <c r="AM29" s="36">
        <f ca="1"/>
        <v>44545</v>
      </c>
      <c r="AN29" s="36">
        <f ca="1"/>
        <v>44545</v>
      </c>
      <c r="AO29" s="37">
        <f ca="1"/>
        <v>1320878.598905476</v>
      </c>
      <c r="AP29" s="37">
        <f ca="1"/>
        <v>1227248.8787302412</v>
      </c>
      <c r="AQ29" s="41">
        <f ca="1"/>
        <v>93629.720175234921</v>
      </c>
      <c r="AR29" s="42">
        <f ca="1"/>
        <v>0</v>
      </c>
      <c r="AS29" s="42">
        <f ca="1"/>
        <v>0</v>
      </c>
      <c r="AT29">
        <f ca="1"/>
        <v>0</v>
      </c>
      <c r="AU29">
        <f ca="1"/>
        <v>0.25394322407753978</v>
      </c>
      <c r="AV29" s="4">
        <f ca="1"/>
        <v>5343.6187002812694</v>
      </c>
      <c r="AW29" s="3">
        <f ca="1"/>
        <v>4.8546039323000646E-2</v>
      </c>
      <c r="AX29" t="str">
        <f ca="1"/>
        <v>SEQUENTIAL</v>
      </c>
      <c r="AY29" s="3">
        <f ca="1"/>
        <v>8.3333333333333329E-2</v>
      </c>
      <c r="AZ29" s="3">
        <f ca="1"/>
        <v>-1.4539606769993544E-3</v>
      </c>
      <c r="BA29" s="45">
        <f ca="1"/>
        <v>44515</v>
      </c>
      <c r="BB29" s="3">
        <f ca="1"/>
        <v>1.0075450348711017</v>
      </c>
      <c r="BC29" s="3">
        <f ca="1"/>
        <v>1.0075450348711017</v>
      </c>
      <c r="BD29">
        <f ca="1"/>
        <v>0</v>
      </c>
      <c r="BE29" s="4">
        <f ca="1"/>
        <v>5383.9364897127625</v>
      </c>
      <c r="BF29" s="4">
        <f ca="1"/>
        <v>5383.9364897127625</v>
      </c>
      <c r="BG29" s="4">
        <f ca="1"/>
        <v>1320878.598905476</v>
      </c>
      <c r="BH29" s="45">
        <f ca="1"/>
        <v>44515</v>
      </c>
      <c r="BI29" s="45">
        <f ca="1"/>
        <v>44515</v>
      </c>
      <c r="BJ29" s="45">
        <f ca="1"/>
        <v>44545</v>
      </c>
      <c r="BK29" s="45">
        <f ca="1"/>
        <v>44545</v>
      </c>
      <c r="BL29" s="37">
        <f ca="1"/>
        <v>1051639.7241426818</v>
      </c>
      <c r="BM29" s="37">
        <f ca="1"/>
        <v>975760.03297370195</v>
      </c>
      <c r="BN29" s="40">
        <f ca="1"/>
        <v>0</v>
      </c>
      <c r="BO29" s="42">
        <f ca="1"/>
        <v>75879.691168979843</v>
      </c>
      <c r="BP29" s="42">
        <f ca="1"/>
        <v>75879.691168979843</v>
      </c>
      <c r="BQ29">
        <f ca="1"/>
        <v>0.25394322407753978</v>
      </c>
      <c r="BR29">
        <f ca="1"/>
        <v>0.4558481946127087</v>
      </c>
      <c r="BS29" s="4">
        <f ca="1"/>
        <v>4254.4119501550149</v>
      </c>
      <c r="BT29" s="3">
        <f ca="1"/>
        <v>4.8546039323000646E-2</v>
      </c>
      <c r="BU29" t="str">
        <f ca="1"/>
        <v>SEQUENTIAL</v>
      </c>
      <c r="BV29" s="3">
        <f ca="1"/>
        <v>8.3333333333333329E-2</v>
      </c>
      <c r="BW29" s="3">
        <f ca="1"/>
        <v>-1.4539606769993544E-3</v>
      </c>
      <c r="BX29" s="45">
        <f ca="1"/>
        <v>44515</v>
      </c>
      <c r="BY29" s="3">
        <f ca="1"/>
        <v>1.0075450348711017</v>
      </c>
      <c r="BZ29" s="3">
        <f ca="1"/>
        <v>1.0075450348711017</v>
      </c>
      <c r="CA29">
        <f ca="1"/>
        <v>0</v>
      </c>
      <c r="CB29" s="4">
        <f ca="1"/>
        <v>80738.71772153319</v>
      </c>
      <c r="CC29" s="4">
        <f ca="1"/>
        <v>80738.71772153319</v>
      </c>
      <c r="CD29" s="4">
        <f ca="1"/>
        <v>1051639.7241426818</v>
      </c>
      <c r="CE29" t="e">
        <f ca="1"/>
        <v>#N/A</v>
      </c>
      <c r="CF29" t="e">
        <f ca="1"/>
        <v>#N/A</v>
      </c>
      <c r="CG29" t="e">
        <f ca="1"/>
        <v>#N/A</v>
      </c>
      <c r="CH29" t="e">
        <f ca="1"/>
        <v>#N/A</v>
      </c>
      <c r="CI29" t="e">
        <f ca="1"/>
        <v>#N/A</v>
      </c>
      <c r="CJ29" t="e">
        <f ca="1"/>
        <v>#N/A</v>
      </c>
      <c r="CK29" t="e">
        <f ca="1"/>
        <v>#N/A</v>
      </c>
      <c r="CL29" t="e">
        <f ca="1"/>
        <v>#N/A</v>
      </c>
      <c r="CM29" t="e">
        <f ca="1"/>
        <v>#N/A</v>
      </c>
      <c r="CN29" t="e">
        <f ca="1"/>
        <v>#N/A</v>
      </c>
    </row>
    <row r="30" spans="2:92" x14ac:dyDescent="0.25">
      <c r="B30">
        <f ca="1"/>
        <v>23</v>
      </c>
      <c r="C30" s="37">
        <f ca="1"/>
        <v>4832768.7544657988</v>
      </c>
      <c r="D30" s="37">
        <f ca="1"/>
        <v>4721150.1283665402</v>
      </c>
      <c r="E30" s="35">
        <f ca="1"/>
        <v>20134.27365521824</v>
      </c>
      <c r="F30" s="35">
        <f ca="1"/>
        <v>0</v>
      </c>
      <c r="G30" s="35">
        <f ca="1"/>
        <v>54890.611466425289</v>
      </c>
      <c r="H30" s="35">
        <f ca="1"/>
        <v>0</v>
      </c>
      <c r="I30" s="35">
        <f ca="1"/>
        <v>91484.352444042204</v>
      </c>
      <c r="J30" s="35">
        <f ca="1"/>
        <v>201365.36476940813</v>
      </c>
      <c r="K30" s="35">
        <f ca="1"/>
        <v>2864235.4737138008</v>
      </c>
      <c r="L30" s="35">
        <f ca="1"/>
        <v>2864235.4737138008</v>
      </c>
      <c r="M30" s="35">
        <f ca="1"/>
        <v>1718541.2842282804</v>
      </c>
      <c r="N30" s="45">
        <f ca="1"/>
        <v>44545</v>
      </c>
      <c r="O30" s="45">
        <f ca="1"/>
        <v>44545</v>
      </c>
      <c r="P30" s="45">
        <f ca="1"/>
        <v>44578</v>
      </c>
      <c r="Q30" s="45">
        <f ca="1"/>
        <v>44578</v>
      </c>
      <c r="R30" s="37">
        <f ca="1"/>
        <v>0</v>
      </c>
      <c r="S30" s="37">
        <f ca="1"/>
        <v>0</v>
      </c>
      <c r="T30" s="41">
        <f ca="1"/>
        <v>0</v>
      </c>
      <c r="U30" s="42">
        <f ca="1"/>
        <v>0</v>
      </c>
      <c r="V30" s="42">
        <f ca="1"/>
        <v>0</v>
      </c>
      <c r="W30">
        <f ca="1"/>
        <v>0</v>
      </c>
      <c r="X30">
        <f ca="1"/>
        <v>0</v>
      </c>
      <c r="Y30" s="4">
        <f ca="1"/>
        <v>0</v>
      </c>
      <c r="Z30" s="3">
        <f ca="1"/>
        <v>4.867101926345261E-2</v>
      </c>
      <c r="AA30" t="str">
        <f ca="1"/>
        <v>SEQUENTIAL</v>
      </c>
      <c r="AB30" s="3">
        <f ca="1"/>
        <v>9.166666666666666E-2</v>
      </c>
      <c r="AC30" s="3">
        <f ca="1"/>
        <v>-1.3289807365473917E-3</v>
      </c>
      <c r="AD30" s="45">
        <f ca="1"/>
        <v>44545</v>
      </c>
      <c r="AE30" s="3">
        <f ca="1"/>
        <v>1.0076792740919864</v>
      </c>
      <c r="AF30" s="3">
        <f ca="1"/>
        <v>1.0076792740919864</v>
      </c>
      <c r="AG30">
        <f ca="1"/>
        <v>0</v>
      </c>
      <c r="AH30" s="35">
        <f ca="1"/>
        <v>0</v>
      </c>
      <c r="AI30" s="35">
        <f ca="1"/>
        <v>0</v>
      </c>
      <c r="AJ30" s="35">
        <f ca="1"/>
        <v>0</v>
      </c>
      <c r="AK30" s="36">
        <f ca="1"/>
        <v>44545</v>
      </c>
      <c r="AL30" s="36">
        <f ca="1"/>
        <v>44545</v>
      </c>
      <c r="AM30" s="36">
        <f ca="1"/>
        <v>44578</v>
      </c>
      <c r="AN30" s="36">
        <f ca="1"/>
        <v>44578</v>
      </c>
      <c r="AO30" s="37">
        <f ca="1"/>
        <v>1227248.8787302412</v>
      </c>
      <c r="AP30" s="37">
        <f ca="1"/>
        <v>1135764.526286199</v>
      </c>
      <c r="AQ30" s="41">
        <f ca="1"/>
        <v>91484.352444042204</v>
      </c>
      <c r="AR30" s="42">
        <f ca="1"/>
        <v>0</v>
      </c>
      <c r="AS30" s="42">
        <f ca="1"/>
        <v>0</v>
      </c>
      <c r="AT30">
        <f ca="1"/>
        <v>0</v>
      </c>
      <c r="AU30">
        <f ca="1"/>
        <v>0.24056945773913771</v>
      </c>
      <c r="AV30" s="4">
        <f ca="1"/>
        <v>5475.3832666252665</v>
      </c>
      <c r="AW30" s="3">
        <f ca="1"/>
        <v>4.867101926345261E-2</v>
      </c>
      <c r="AX30" t="str">
        <f ca="1"/>
        <v>SEQUENTIAL</v>
      </c>
      <c r="AY30" s="3">
        <f ca="1"/>
        <v>9.166666666666666E-2</v>
      </c>
      <c r="AZ30" s="3">
        <f ca="1"/>
        <v>-1.3289807365473917E-3</v>
      </c>
      <c r="BA30" s="45">
        <f ca="1"/>
        <v>44545</v>
      </c>
      <c r="BB30" s="3">
        <f ca="1"/>
        <v>1.0076792740919864</v>
      </c>
      <c r="BC30" s="3">
        <f ca="1"/>
        <v>1.0076792740919864</v>
      </c>
      <c r="BD30">
        <f ca="1"/>
        <v>0</v>
      </c>
      <c r="BE30" s="4">
        <f ca="1"/>
        <v>5517.4302354883575</v>
      </c>
      <c r="BF30" s="4">
        <f ca="1"/>
        <v>5517.4302354883575</v>
      </c>
      <c r="BG30" s="4">
        <f ca="1"/>
        <v>1227248.8787302412</v>
      </c>
      <c r="BH30" s="45">
        <f ca="1"/>
        <v>44545</v>
      </c>
      <c r="BI30" s="45">
        <f ca="1"/>
        <v>44545</v>
      </c>
      <c r="BJ30" s="45">
        <f ca="1"/>
        <v>44578</v>
      </c>
      <c r="BK30" s="45">
        <f ca="1"/>
        <v>44578</v>
      </c>
      <c r="BL30" s="37">
        <f ca="1"/>
        <v>975760.03297370195</v>
      </c>
      <c r="BM30" s="37">
        <f ca="1"/>
        <v>900735.14785205841</v>
      </c>
      <c r="BN30" s="40">
        <f ca="1"/>
        <v>0</v>
      </c>
      <c r="BO30" s="42">
        <f ca="1"/>
        <v>75024.885121643529</v>
      </c>
      <c r="BP30" s="42">
        <f ca="1"/>
        <v>75024.885121643529</v>
      </c>
      <c r="BQ30">
        <f ca="1"/>
        <v>0.24056945773913771</v>
      </c>
      <c r="BR30">
        <f ca="1"/>
        <v>0.4313566861392864</v>
      </c>
      <c r="BS30" s="4">
        <f ca="1"/>
        <v>4353.3632414589347</v>
      </c>
      <c r="BT30" s="3">
        <f ca="1"/>
        <v>4.867101926345261E-2</v>
      </c>
      <c r="BU30" t="str">
        <f ca="1"/>
        <v>SEQUENTIAL</v>
      </c>
      <c r="BV30" s="3">
        <f ca="1"/>
        <v>9.166666666666666E-2</v>
      </c>
      <c r="BW30" s="3">
        <f ca="1"/>
        <v>-1.3289807365473917E-3</v>
      </c>
      <c r="BX30" s="45">
        <f ca="1"/>
        <v>44545</v>
      </c>
      <c r="BY30" s="3">
        <f ca="1"/>
        <v>1.0076792740919864</v>
      </c>
      <c r="BZ30" s="3">
        <f ca="1"/>
        <v>1.0076792740919864</v>
      </c>
      <c r="CA30">
        <f ca="1"/>
        <v>0</v>
      </c>
      <c r="CB30" s="4">
        <f ca="1"/>
        <v>79987.815689224502</v>
      </c>
      <c r="CC30" s="4">
        <f ca="1"/>
        <v>79987.815689224502</v>
      </c>
      <c r="CD30" s="4">
        <f ca="1"/>
        <v>975760.03297370195</v>
      </c>
      <c r="CE30" t="e">
        <f ca="1"/>
        <v>#N/A</v>
      </c>
      <c r="CF30" t="e">
        <f ca="1"/>
        <v>#N/A</v>
      </c>
      <c r="CG30" t="e">
        <f ca="1"/>
        <v>#N/A</v>
      </c>
      <c r="CH30" t="e">
        <f ca="1"/>
        <v>#N/A</v>
      </c>
      <c r="CI30" t="e">
        <f ca="1"/>
        <v>#N/A</v>
      </c>
      <c r="CJ30" t="e">
        <f ca="1"/>
        <v>#N/A</v>
      </c>
      <c r="CK30" t="e">
        <f ca="1"/>
        <v>#N/A</v>
      </c>
      <c r="CL30" t="e">
        <f ca="1"/>
        <v>#N/A</v>
      </c>
      <c r="CM30" t="e">
        <f ca="1"/>
        <v>#N/A</v>
      </c>
      <c r="CN30" t="e">
        <f ca="1"/>
        <v>#N/A</v>
      </c>
    </row>
    <row r="31" spans="2:92" x14ac:dyDescent="0.25">
      <c r="B31">
        <f ca="1"/>
        <v>24</v>
      </c>
      <c r="C31" s="37">
        <f ca="1"/>
        <v>4721150.1283665402</v>
      </c>
      <c r="D31" s="37">
        <f ca="1"/>
        <v>4611202.5385943074</v>
      </c>
      <c r="E31" s="35">
        <f ca="1"/>
        <v>20576.178842293702</v>
      </c>
      <c r="F31" s="35">
        <f ca="1"/>
        <v>0</v>
      </c>
      <c r="G31" s="35">
        <f ca="1"/>
        <v>53622.846557961813</v>
      </c>
      <c r="H31" s="35">
        <f ca="1"/>
        <v>0</v>
      </c>
      <c r="I31" s="35">
        <f ca="1"/>
        <v>89371.410929936363</v>
      </c>
      <c r="J31" s="35">
        <f ca="1"/>
        <v>196714.58868193897</v>
      </c>
      <c r="K31" s="35">
        <f ca="1"/>
        <v>2953606.8846437372</v>
      </c>
      <c r="L31" s="35">
        <f ca="1"/>
        <v>2953606.8846437372</v>
      </c>
      <c r="M31" s="35">
        <f ca="1"/>
        <v>1772164.1307862422</v>
      </c>
      <c r="N31" s="45">
        <f ca="1"/>
        <v>44578</v>
      </c>
      <c r="O31" s="45">
        <f ca="1"/>
        <v>44578</v>
      </c>
      <c r="P31" s="45">
        <f ca="1"/>
        <v>44607</v>
      </c>
      <c r="Q31" s="45">
        <f ca="1"/>
        <v>44607</v>
      </c>
      <c r="R31" s="37">
        <f ca="1"/>
        <v>0</v>
      </c>
      <c r="S31" s="37">
        <f ca="1"/>
        <v>0</v>
      </c>
      <c r="T31" s="41">
        <f ca="1"/>
        <v>0</v>
      </c>
      <c r="U31" s="42">
        <f ca="1"/>
        <v>0</v>
      </c>
      <c r="V31" s="42">
        <f ca="1"/>
        <v>0</v>
      </c>
      <c r="W31">
        <f ca="1"/>
        <v>0</v>
      </c>
      <c r="X31">
        <f ca="1"/>
        <v>0</v>
      </c>
      <c r="Y31" s="4">
        <f ca="1"/>
        <v>0</v>
      </c>
      <c r="Z31" s="3">
        <f ca="1"/>
        <v>4.8811811923742003E-2</v>
      </c>
      <c r="AA31" t="str">
        <f ca="1"/>
        <v>SEQUENTIAL</v>
      </c>
      <c r="AB31" s="3">
        <f ca="1"/>
        <v>8.0555555555555561E-2</v>
      </c>
      <c r="AC31" s="3">
        <f ca="1"/>
        <v>-1.1881880762579973E-3</v>
      </c>
      <c r="AD31" s="45">
        <f ca="1"/>
        <v>44578</v>
      </c>
      <c r="AE31" s="3">
        <f ca="1"/>
        <v>1.0077865562203443</v>
      </c>
      <c r="AF31" s="3">
        <f ca="1"/>
        <v>1.0077865562203443</v>
      </c>
      <c r="AG31">
        <f ca="1"/>
        <v>0</v>
      </c>
      <c r="AH31" s="35">
        <f ca="1"/>
        <v>0</v>
      </c>
      <c r="AI31" s="35">
        <f ca="1"/>
        <v>0</v>
      </c>
      <c r="AJ31" s="35">
        <f ca="1"/>
        <v>0</v>
      </c>
      <c r="AK31" s="36">
        <f ca="1"/>
        <v>44578</v>
      </c>
      <c r="AL31" s="36">
        <f ca="1"/>
        <v>44578</v>
      </c>
      <c r="AM31" s="36">
        <f ca="1"/>
        <v>44607</v>
      </c>
      <c r="AN31" s="36">
        <f ca="1"/>
        <v>44607</v>
      </c>
      <c r="AO31" s="37">
        <f ca="1"/>
        <v>1135764.526286199</v>
      </c>
      <c r="AP31" s="37">
        <f ca="1"/>
        <v>1046393.1153562627</v>
      </c>
      <c r="AQ31" s="41">
        <f ca="1"/>
        <v>89371.410929936363</v>
      </c>
      <c r="AR31" s="42">
        <f ca="1"/>
        <v>0</v>
      </c>
      <c r="AS31" s="42">
        <f ca="1"/>
        <v>0</v>
      </c>
      <c r="AT31">
        <f ca="1"/>
        <v>0</v>
      </c>
      <c r="AU31">
        <f ca="1"/>
        <v>0.22692412805516199</v>
      </c>
      <c r="AV31" s="4">
        <f ca="1"/>
        <v>4465.8972470984909</v>
      </c>
      <c r="AW31" s="3">
        <f ca="1"/>
        <v>4.8811811923742003E-2</v>
      </c>
      <c r="AX31" t="str">
        <f ca="1"/>
        <v>SEQUENTIAL</v>
      </c>
      <c r="AY31" s="3">
        <f ca="1"/>
        <v>8.0555555555555561E-2</v>
      </c>
      <c r="AZ31" s="3">
        <f ca="1"/>
        <v>-1.1881880762579973E-3</v>
      </c>
      <c r="BA31" s="45">
        <f ca="1"/>
        <v>44578</v>
      </c>
      <c r="BB31" s="3">
        <f ca="1"/>
        <v>1.0077865562203443</v>
      </c>
      <c r="BC31" s="3">
        <f ca="1"/>
        <v>1.0077865562203443</v>
      </c>
      <c r="BD31">
        <f ca="1"/>
        <v>0</v>
      </c>
      <c r="BE31" s="4">
        <f ca="1"/>
        <v>4500.6712070873045</v>
      </c>
      <c r="BF31" s="4">
        <f ca="1"/>
        <v>4500.6712070873045</v>
      </c>
      <c r="BG31" s="4">
        <f ca="1"/>
        <v>1135764.526286199</v>
      </c>
      <c r="BH31" s="45">
        <f ca="1"/>
        <v>44578</v>
      </c>
      <c r="BI31" s="45">
        <f ca="1"/>
        <v>44578</v>
      </c>
      <c r="BJ31" s="45">
        <f ca="1"/>
        <v>44607</v>
      </c>
      <c r="BK31" s="45">
        <f ca="1"/>
        <v>44607</v>
      </c>
      <c r="BL31" s="37">
        <f ca="1"/>
        <v>900735.14785205841</v>
      </c>
      <c r="BM31" s="37">
        <f ca="1"/>
        <v>826536.12245180295</v>
      </c>
      <c r="BN31" s="40">
        <f ca="1"/>
        <v>0</v>
      </c>
      <c r="BO31" s="42">
        <f ca="1"/>
        <v>74199.025400255516</v>
      </c>
      <c r="BP31" s="42">
        <f ca="1"/>
        <v>74199.025400255516</v>
      </c>
      <c r="BQ31">
        <f ca="1"/>
        <v>0.22692412805516199</v>
      </c>
      <c r="BR31">
        <f ca="1"/>
        <v>0.40616937168390238</v>
      </c>
      <c r="BS31" s="4">
        <f ca="1"/>
        <v>3541.7470118658334</v>
      </c>
      <c r="BT31" s="3">
        <f ca="1"/>
        <v>4.8811811923742003E-2</v>
      </c>
      <c r="BU31" t="str">
        <f ca="1"/>
        <v>SEQUENTIAL</v>
      </c>
      <c r="BV31" s="3">
        <f ca="1"/>
        <v>8.0555555555555561E-2</v>
      </c>
      <c r="BW31" s="3">
        <f ca="1"/>
        <v>-1.1881880762579973E-3</v>
      </c>
      <c r="BX31" s="45">
        <f ca="1"/>
        <v>44578</v>
      </c>
      <c r="BY31" s="3">
        <f ca="1"/>
        <v>1.0077865562203443</v>
      </c>
      <c r="BZ31" s="3">
        <f ca="1"/>
        <v>1.0077865562203443</v>
      </c>
      <c r="CA31">
        <f ca="1"/>
        <v>0</v>
      </c>
      <c r="CB31" s="4">
        <f ca="1"/>
        <v>78346.105307121325</v>
      </c>
      <c r="CC31" s="4">
        <f ca="1"/>
        <v>78346.105307121325</v>
      </c>
      <c r="CD31" s="4">
        <f ca="1"/>
        <v>900735.14785205841</v>
      </c>
      <c r="CE31" t="e">
        <f ca="1"/>
        <v>#N/A</v>
      </c>
      <c r="CF31" t="e">
        <f ca="1"/>
        <v>#N/A</v>
      </c>
      <c r="CG31" t="e">
        <f ca="1"/>
        <v>#N/A</v>
      </c>
      <c r="CH31" t="e">
        <f ca="1"/>
        <v>#N/A</v>
      </c>
      <c r="CI31" t="e">
        <f ca="1"/>
        <v>#N/A</v>
      </c>
      <c r="CJ31" t="e">
        <f ca="1"/>
        <v>#N/A</v>
      </c>
      <c r="CK31" t="e">
        <f ca="1"/>
        <v>#N/A</v>
      </c>
      <c r="CL31" t="e">
        <f ca="1"/>
        <v>#N/A</v>
      </c>
      <c r="CM31" t="e">
        <f ca="1"/>
        <v>#N/A</v>
      </c>
      <c r="CN31" t="e">
        <f ca="1"/>
        <v>#N/A</v>
      </c>
    </row>
    <row r="32" spans="2:92" x14ac:dyDescent="0.25">
      <c r="B32">
        <f ca="1"/>
        <v>25</v>
      </c>
      <c r="C32" s="37">
        <f ca="1"/>
        <v>4611202.5385943074</v>
      </c>
      <c r="D32" s="37">
        <f ca="1"/>
        <v>4502884.653523216</v>
      </c>
      <c r="E32" s="35">
        <f ca="1"/>
        <v>21027.782923787141</v>
      </c>
      <c r="F32" s="35">
        <f ca="1"/>
        <v>0</v>
      </c>
      <c r="G32" s="35">
        <f ca="1"/>
        <v>52374.06128838304</v>
      </c>
      <c r="H32" s="35">
        <f ca="1"/>
        <v>0</v>
      </c>
      <c r="I32" s="35">
        <f ca="1"/>
        <v>87290.102147305108</v>
      </c>
      <c r="J32" s="35">
        <f ca="1"/>
        <v>192133.43910809621</v>
      </c>
      <c r="K32" s="35">
        <f ca="1"/>
        <v>3040896.9867910421</v>
      </c>
      <c r="L32" s="35">
        <f ca="1"/>
        <v>3040896.9867910421</v>
      </c>
      <c r="M32" s="35">
        <f ca="1"/>
        <v>1824538.1920746253</v>
      </c>
      <c r="N32" s="45">
        <f ca="1"/>
        <v>44607</v>
      </c>
      <c r="O32" s="45">
        <f ca="1"/>
        <v>44607</v>
      </c>
      <c r="P32" s="45">
        <f ca="1"/>
        <v>44635</v>
      </c>
      <c r="Q32" s="45">
        <f ca="1"/>
        <v>44635</v>
      </c>
      <c r="R32" s="37">
        <f ca="1"/>
        <v>0</v>
      </c>
      <c r="S32" s="37">
        <f ca="1"/>
        <v>0</v>
      </c>
      <c r="T32" s="41">
        <f ca="1"/>
        <v>0</v>
      </c>
      <c r="U32" s="42">
        <f ca="1"/>
        <v>0</v>
      </c>
      <c r="V32" s="42">
        <f ca="1"/>
        <v>0</v>
      </c>
      <c r="W32">
        <f ca="1"/>
        <v>0</v>
      </c>
      <c r="X32">
        <f ca="1"/>
        <v>0</v>
      </c>
      <c r="Y32" s="4">
        <f ca="1"/>
        <v>0</v>
      </c>
      <c r="Z32" s="3">
        <f ca="1"/>
        <v>4.8940261792951217E-2</v>
      </c>
      <c r="AA32" t="str">
        <f ca="1"/>
        <v>SEQUENTIAL</v>
      </c>
      <c r="AB32" s="3">
        <f ca="1"/>
        <v>7.7777777777777779E-2</v>
      </c>
      <c r="AC32" s="3">
        <f ca="1"/>
        <v>-1.0597382070487819E-3</v>
      </c>
      <c r="AD32" s="45">
        <f ca="1"/>
        <v>44607</v>
      </c>
      <c r="AE32" s="3">
        <f ca="1"/>
        <v>1.0078804063728251</v>
      </c>
      <c r="AF32" s="3">
        <f ca="1"/>
        <v>1.0078804063728251</v>
      </c>
      <c r="AG32">
        <f ca="1"/>
        <v>0</v>
      </c>
      <c r="AH32" s="35">
        <f ca="1"/>
        <v>0</v>
      </c>
      <c r="AI32" s="35">
        <f ca="1"/>
        <v>0</v>
      </c>
      <c r="AJ32" s="35">
        <f ca="1"/>
        <v>0</v>
      </c>
      <c r="AK32" s="36">
        <f ca="1"/>
        <v>44607</v>
      </c>
      <c r="AL32" s="36">
        <f ca="1"/>
        <v>44607</v>
      </c>
      <c r="AM32" s="36">
        <f ca="1"/>
        <v>44635</v>
      </c>
      <c r="AN32" s="36">
        <f ca="1"/>
        <v>44635</v>
      </c>
      <c r="AO32" s="37">
        <f ca="1"/>
        <v>1046393.1153562627</v>
      </c>
      <c r="AP32" s="37">
        <f ca="1"/>
        <v>959103.01320895751</v>
      </c>
      <c r="AQ32" s="41">
        <f ca="1"/>
        <v>87290.102147305108</v>
      </c>
      <c r="AR32" s="42">
        <f ca="1"/>
        <v>0</v>
      </c>
      <c r="AS32" s="42">
        <f ca="1"/>
        <v>0</v>
      </c>
      <c r="AT32">
        <f ca="1"/>
        <v>0</v>
      </c>
      <c r="AU32">
        <f ca="1"/>
        <v>0.21299746429403238</v>
      </c>
      <c r="AV32" s="4">
        <f ca="1"/>
        <v>3983.0585669682341</v>
      </c>
      <c r="AW32" s="3">
        <f ca="1"/>
        <v>4.8940261792951217E-2</v>
      </c>
      <c r="AX32" t="str">
        <f ca="1"/>
        <v>SEQUENTIAL</v>
      </c>
      <c r="AY32" s="3">
        <f ca="1"/>
        <v>7.7777777777777779E-2</v>
      </c>
      <c r="AZ32" s="3">
        <f ca="1"/>
        <v>-1.0597382070487819E-3</v>
      </c>
      <c r="BA32" s="45">
        <f ca="1"/>
        <v>44607</v>
      </c>
      <c r="BB32" s="3">
        <f ca="1"/>
        <v>1.0078804063728251</v>
      </c>
      <c r="BC32" s="3">
        <f ca="1"/>
        <v>1.0078804063728251</v>
      </c>
      <c r="BD32">
        <f ca="1"/>
        <v>0</v>
      </c>
      <c r="BE32" s="4">
        <f ca="1"/>
        <v>4014.4466870827059</v>
      </c>
      <c r="BF32" s="4">
        <f ca="1"/>
        <v>4014.4466870827059</v>
      </c>
      <c r="BG32" s="4">
        <f ca="1"/>
        <v>1046393.1153562627</v>
      </c>
      <c r="BH32" s="45">
        <f ca="1"/>
        <v>44607</v>
      </c>
      <c r="BI32" s="45">
        <f ca="1"/>
        <v>44607</v>
      </c>
      <c r="BJ32" s="45">
        <f ca="1"/>
        <v>44635</v>
      </c>
      <c r="BK32" s="45">
        <f ca="1"/>
        <v>44635</v>
      </c>
      <c r="BL32" s="37">
        <f ca="1"/>
        <v>826536.12245180295</v>
      </c>
      <c r="BM32" s="37">
        <f ca="1"/>
        <v>753134.27823963272</v>
      </c>
      <c r="BN32" s="40">
        <f ca="1"/>
        <v>0</v>
      </c>
      <c r="BO32" s="42">
        <f ca="1"/>
        <v>73401.844212170181</v>
      </c>
      <c r="BP32" s="42">
        <f ca="1"/>
        <v>73401.844212170181</v>
      </c>
      <c r="BQ32">
        <f ca="1"/>
        <v>0.21299746429403238</v>
      </c>
      <c r="BR32">
        <f ca="1"/>
        <v>0.38025342046211985</v>
      </c>
      <c r="BS32" s="4">
        <f ca="1"/>
        <v>3146.180661098379</v>
      </c>
      <c r="BT32" s="3">
        <f ca="1"/>
        <v>4.8940261792951217E-2</v>
      </c>
      <c r="BU32" t="str">
        <f ca="1"/>
        <v>SEQUENTIAL</v>
      </c>
      <c r="BV32" s="3">
        <f ca="1"/>
        <v>7.7777777777777779E-2</v>
      </c>
      <c r="BW32" s="3">
        <f ca="1"/>
        <v>-1.0597382070487819E-3</v>
      </c>
      <c r="BX32" s="45">
        <f ca="1"/>
        <v>44607</v>
      </c>
      <c r="BY32" s="3">
        <f ca="1"/>
        <v>1.0078804063728251</v>
      </c>
      <c r="BZ32" s="3">
        <f ca="1"/>
        <v>1.0078804063728251</v>
      </c>
      <c r="CA32">
        <f ca="1"/>
        <v>0</v>
      </c>
      <c r="CB32" s="4">
        <f ca="1"/>
        <v>77151.254416307027</v>
      </c>
      <c r="CC32" s="4">
        <f ca="1"/>
        <v>77151.254416307027</v>
      </c>
      <c r="CD32" s="4">
        <f ca="1"/>
        <v>826536.12245180295</v>
      </c>
      <c r="CE32" t="e">
        <f ca="1"/>
        <v>#N/A</v>
      </c>
      <c r="CF32" t="e">
        <f ca="1"/>
        <v>#N/A</v>
      </c>
      <c r="CG32" t="e">
        <f ca="1"/>
        <v>#N/A</v>
      </c>
      <c r="CH32" t="e">
        <f ca="1"/>
        <v>#N/A</v>
      </c>
      <c r="CI32" t="e">
        <f ca="1"/>
        <v>#N/A</v>
      </c>
      <c r="CJ32" t="e">
        <f ca="1"/>
        <v>#N/A</v>
      </c>
      <c r="CK32" t="e">
        <f ca="1"/>
        <v>#N/A</v>
      </c>
      <c r="CL32" t="e">
        <f ca="1"/>
        <v>#N/A</v>
      </c>
      <c r="CM32" t="e">
        <f ca="1"/>
        <v>#N/A</v>
      </c>
      <c r="CN32" t="e">
        <f ca="1"/>
        <v>#N/A</v>
      </c>
    </row>
    <row r="33" spans="2:92" x14ac:dyDescent="0.25">
      <c r="B33">
        <f ca="1"/>
        <v>26</v>
      </c>
      <c r="C33" s="37">
        <f ca="1"/>
        <v>4502884.653523216</v>
      </c>
      <c r="D33" s="37">
        <f ca="1"/>
        <v>4396155.7110649459</v>
      </c>
      <c r="E33" s="35">
        <f ca="1"/>
        <v>21489.2987701415</v>
      </c>
      <c r="F33" s="35">
        <f ca="1"/>
        <v>0</v>
      </c>
      <c r="G33" s="35">
        <f ca="1"/>
        <v>51143.786212877283</v>
      </c>
      <c r="H33" s="35">
        <f ca="1"/>
        <v>0</v>
      </c>
      <c r="I33" s="35">
        <f ca="1"/>
        <v>85239.643688128781</v>
      </c>
      <c r="J33" s="35">
        <f ca="1"/>
        <v>187620.19389680063</v>
      </c>
      <c r="K33" s="35">
        <f ca="1"/>
        <v>3126136.6304791709</v>
      </c>
      <c r="L33" s="35">
        <f ca="1"/>
        <v>3126136.6304791709</v>
      </c>
      <c r="M33" s="35">
        <f ca="1"/>
        <v>1875681.9782875027</v>
      </c>
      <c r="N33" s="45">
        <f ca="1"/>
        <v>44635</v>
      </c>
      <c r="O33" s="45">
        <f ca="1"/>
        <v>44635</v>
      </c>
      <c r="P33" s="45">
        <f ca="1"/>
        <v>44670</v>
      </c>
      <c r="Q33" s="45">
        <f ca="1"/>
        <v>44670</v>
      </c>
      <c r="R33" s="37">
        <f ca="1"/>
        <v>0</v>
      </c>
      <c r="S33" s="37">
        <f ca="1"/>
        <v>0</v>
      </c>
      <c r="T33" s="41">
        <f ca="1"/>
        <v>0</v>
      </c>
      <c r="U33" s="42">
        <f ca="1"/>
        <v>0</v>
      </c>
      <c r="V33" s="42">
        <f ca="1"/>
        <v>0</v>
      </c>
      <c r="W33">
        <f ca="1"/>
        <v>0</v>
      </c>
      <c r="X33">
        <f ca="1"/>
        <v>0</v>
      </c>
      <c r="Y33" s="4">
        <f ca="1"/>
        <v>0</v>
      </c>
      <c r="Z33" s="3">
        <f ca="1"/>
        <v>4.9069679185100308E-2</v>
      </c>
      <c r="AA33" t="str">
        <f ca="1"/>
        <v>SEQUENTIAL</v>
      </c>
      <c r="AB33" s="3">
        <f ca="1"/>
        <v>9.7222222222222224E-2</v>
      </c>
      <c r="AC33" s="3">
        <f ca="1"/>
        <v>-9.3032081489969297E-4</v>
      </c>
      <c r="AD33" s="45">
        <f ca="1"/>
        <v>44635</v>
      </c>
      <c r="AE33" s="3">
        <f ca="1"/>
        <v>1.0079839227071123</v>
      </c>
      <c r="AF33" s="3">
        <f ca="1"/>
        <v>1.0079839227071123</v>
      </c>
      <c r="AG33">
        <f ca="1"/>
        <v>0</v>
      </c>
      <c r="AH33" s="35">
        <f ca="1"/>
        <v>0</v>
      </c>
      <c r="AI33" s="35">
        <f ca="1"/>
        <v>0</v>
      </c>
      <c r="AJ33" s="35">
        <f ca="1"/>
        <v>0</v>
      </c>
      <c r="AK33" s="36">
        <f ca="1"/>
        <v>44635</v>
      </c>
      <c r="AL33" s="36">
        <f ca="1"/>
        <v>44635</v>
      </c>
      <c r="AM33" s="36">
        <f ca="1"/>
        <v>44670</v>
      </c>
      <c r="AN33" s="36">
        <f ca="1"/>
        <v>44670</v>
      </c>
      <c r="AO33" s="37">
        <f ca="1"/>
        <v>959103.01320895751</v>
      </c>
      <c r="AP33" s="37">
        <f ca="1"/>
        <v>873863.36952082871</v>
      </c>
      <c r="AQ33" s="41">
        <f ca="1"/>
        <v>85239.643688128781</v>
      </c>
      <c r="AR33" s="42">
        <f ca="1"/>
        <v>0</v>
      </c>
      <c r="AS33" s="42">
        <f ca="1"/>
        <v>0</v>
      </c>
      <c r="AT33">
        <f ca="1"/>
        <v>0</v>
      </c>
      <c r="AU33">
        <f ca="1"/>
        <v>0.19877898485746306</v>
      </c>
      <c r="AV33" s="4">
        <f ca="1"/>
        <v>4575.55750201925</v>
      </c>
      <c r="AW33" s="3">
        <f ca="1"/>
        <v>4.9069679185100308E-2</v>
      </c>
      <c r="AX33" t="str">
        <f ca="1"/>
        <v>SEQUENTIAL</v>
      </c>
      <c r="AY33" s="3">
        <f ca="1"/>
        <v>9.7222222222222224E-2</v>
      </c>
      <c r="AZ33" s="3">
        <f ca="1"/>
        <v>-9.3032081489969297E-4</v>
      </c>
      <c r="BA33" s="45">
        <f ca="1"/>
        <v>44635</v>
      </c>
      <c r="BB33" s="3">
        <f ca="1"/>
        <v>1.0079839227071123</v>
      </c>
      <c r="BC33" s="3">
        <f ca="1"/>
        <v>1.0079839227071123</v>
      </c>
      <c r="BD33">
        <f ca="1"/>
        <v>0</v>
      </c>
      <c r="BE33" s="4">
        <f ca="1"/>
        <v>4612.0883994573196</v>
      </c>
      <c r="BF33" s="4">
        <f ca="1"/>
        <v>4612.0883994573196</v>
      </c>
      <c r="BG33" s="4">
        <f ca="1"/>
        <v>959103.01320895751</v>
      </c>
      <c r="BH33" s="45">
        <f ca="1"/>
        <v>44635</v>
      </c>
      <c r="BI33" s="45">
        <f ca="1"/>
        <v>44635</v>
      </c>
      <c r="BJ33" s="45">
        <f ca="1"/>
        <v>44670</v>
      </c>
      <c r="BK33" s="45">
        <f ca="1"/>
        <v>44670</v>
      </c>
      <c r="BL33" s="37">
        <f ca="1"/>
        <v>753134.27823963272</v>
      </c>
      <c r="BM33" s="37">
        <f ca="1"/>
        <v>680501.19325661391</v>
      </c>
      <c r="BN33" s="40">
        <f ca="1"/>
        <v>0</v>
      </c>
      <c r="BO33" s="42">
        <f ca="1"/>
        <v>72633.08498301878</v>
      </c>
      <c r="BP33" s="42">
        <f ca="1"/>
        <v>72633.08498301878</v>
      </c>
      <c r="BQ33">
        <f ca="1"/>
        <v>0.19877898485746306</v>
      </c>
      <c r="BR33">
        <f ca="1"/>
        <v>0.35357359132324861</v>
      </c>
      <c r="BS33" s="4">
        <f ca="1"/>
        <v>3592.9500266061941</v>
      </c>
      <c r="BT33" s="3">
        <f ca="1"/>
        <v>4.9069679185100308E-2</v>
      </c>
      <c r="BU33" t="str">
        <f ca="1"/>
        <v>SEQUENTIAL</v>
      </c>
      <c r="BV33" s="3">
        <f ca="1"/>
        <v>9.7222222222222224E-2</v>
      </c>
      <c r="BW33" s="3">
        <f ca="1"/>
        <v>-9.3032081489969297E-4</v>
      </c>
      <c r="BX33" s="45">
        <f ca="1"/>
        <v>44635</v>
      </c>
      <c r="BY33" s="3">
        <f ca="1"/>
        <v>1.0079839227071123</v>
      </c>
      <c r="BZ33" s="3">
        <f ca="1"/>
        <v>1.0079839227071123</v>
      </c>
      <c r="CA33">
        <f ca="1"/>
        <v>0</v>
      </c>
      <c r="CB33" s="4">
        <f ca="1"/>
        <v>76834.617781411464</v>
      </c>
      <c r="CC33" s="4">
        <f ca="1"/>
        <v>76834.617781411464</v>
      </c>
      <c r="CD33" s="4">
        <f ca="1"/>
        <v>753134.27823963272</v>
      </c>
      <c r="CE33" t="e">
        <f ca="1"/>
        <v>#N/A</v>
      </c>
      <c r="CF33" t="e">
        <f ca="1"/>
        <v>#N/A</v>
      </c>
      <c r="CG33" t="e">
        <f ca="1"/>
        <v>#N/A</v>
      </c>
      <c r="CH33" t="e">
        <f ca="1"/>
        <v>#N/A</v>
      </c>
      <c r="CI33" t="e">
        <f ca="1"/>
        <v>#N/A</v>
      </c>
      <c r="CJ33" t="e">
        <f ca="1"/>
        <v>#N/A</v>
      </c>
      <c r="CK33" t="e">
        <f ca="1"/>
        <v>#N/A</v>
      </c>
      <c r="CL33" t="e">
        <f ca="1"/>
        <v>#N/A</v>
      </c>
      <c r="CM33" t="e">
        <f ca="1"/>
        <v>#N/A</v>
      </c>
      <c r="CN33" t="e">
        <f ca="1"/>
        <v>#N/A</v>
      </c>
    </row>
    <row r="34" spans="2:92" x14ac:dyDescent="0.25">
      <c r="B34">
        <f ca="1"/>
        <v>27</v>
      </c>
      <c r="C34" s="37">
        <f ca="1"/>
        <v>4396155.7110649459</v>
      </c>
      <c r="D34" s="37">
        <f ca="1"/>
        <v>4290975.5032153465</v>
      </c>
      <c r="E34" s="35">
        <f ca="1"/>
        <v>21960.943923860719</v>
      </c>
      <c r="F34" s="35">
        <f ca="1"/>
        <v>0</v>
      </c>
      <c r="G34" s="35">
        <f ca="1"/>
        <v>49931.558355443412</v>
      </c>
      <c r="H34" s="35">
        <f ca="1"/>
        <v>0</v>
      </c>
      <c r="I34" s="35">
        <f ca="1"/>
        <v>83219.263925739055</v>
      </c>
      <c r="J34" s="35">
        <f ca="1"/>
        <v>183173.15462770607</v>
      </c>
      <c r="K34" s="35">
        <f ca="1"/>
        <v>3209355.89440491</v>
      </c>
      <c r="L34" s="35">
        <f ca="1"/>
        <v>3209355.89440491</v>
      </c>
      <c r="M34" s="35">
        <f ca="1"/>
        <v>1925613.5366429461</v>
      </c>
      <c r="N34" s="45">
        <f ca="1"/>
        <v>44670</v>
      </c>
      <c r="O34" s="45">
        <f ca="1"/>
        <v>44670</v>
      </c>
      <c r="P34" s="45">
        <f ca="1"/>
        <v>44697</v>
      </c>
      <c r="Q34" s="45">
        <f ca="1"/>
        <v>44697</v>
      </c>
      <c r="R34" s="37">
        <f ca="1"/>
        <v>0</v>
      </c>
      <c r="S34" s="37">
        <f ca="1"/>
        <v>0</v>
      </c>
      <c r="T34" s="41">
        <f ca="1"/>
        <v>0</v>
      </c>
      <c r="U34" s="42">
        <f ca="1"/>
        <v>0</v>
      </c>
      <c r="V34" s="42">
        <f ca="1"/>
        <v>0</v>
      </c>
      <c r="W34">
        <f ca="1"/>
        <v>0</v>
      </c>
      <c r="X34">
        <f ca="1"/>
        <v>0</v>
      </c>
      <c r="Y34" s="4">
        <f ca="1"/>
        <v>0</v>
      </c>
      <c r="Z34" s="3">
        <f ca="1"/>
        <v>4.9237400336983039E-2</v>
      </c>
      <c r="AA34" t="str">
        <f ca="1"/>
        <v>SEQUENTIAL</v>
      </c>
      <c r="AB34" s="3">
        <f ca="1"/>
        <v>7.4999999999999997E-2</v>
      </c>
      <c r="AC34" s="3">
        <f ca="1"/>
        <v>-7.6259966301696694E-4</v>
      </c>
      <c r="AD34" s="45">
        <f ca="1"/>
        <v>44670</v>
      </c>
      <c r="AE34" s="3">
        <f ca="1"/>
        <v>1.0080530441262439</v>
      </c>
      <c r="AF34" s="3">
        <f ca="1"/>
        <v>1.0080530441262439</v>
      </c>
      <c r="AG34">
        <f ca="1"/>
        <v>0</v>
      </c>
      <c r="AH34" s="35">
        <f ca="1"/>
        <v>0</v>
      </c>
      <c r="AI34" s="35">
        <f ca="1"/>
        <v>0</v>
      </c>
      <c r="AJ34" s="35">
        <f ca="1"/>
        <v>0</v>
      </c>
      <c r="AK34" s="36">
        <f ca="1"/>
        <v>44670</v>
      </c>
      <c r="AL34" s="36">
        <f ca="1"/>
        <v>44670</v>
      </c>
      <c r="AM34" s="36">
        <f ca="1"/>
        <v>44697</v>
      </c>
      <c r="AN34" s="36">
        <f ca="1"/>
        <v>44697</v>
      </c>
      <c r="AO34" s="37">
        <f ca="1"/>
        <v>873863.36952082871</v>
      </c>
      <c r="AP34" s="37">
        <f ca="1"/>
        <v>790644.10559508961</v>
      </c>
      <c r="AQ34" s="41">
        <f ca="1"/>
        <v>83219.263925739055</v>
      </c>
      <c r="AR34" s="42">
        <f ca="1"/>
        <v>0</v>
      </c>
      <c r="AS34" s="42">
        <f ca="1"/>
        <v>0</v>
      </c>
      <c r="AT34">
        <f ca="1"/>
        <v>0</v>
      </c>
      <c r="AU34">
        <f ca="1"/>
        <v>0.1842574270122582</v>
      </c>
      <c r="AV34" s="4">
        <f ca="1"/>
        <v>3227.0070423691486</v>
      </c>
      <c r="AW34" s="3">
        <f ca="1"/>
        <v>4.9237400336983039E-2</v>
      </c>
      <c r="AX34" t="str">
        <f ca="1"/>
        <v>SEQUENTIAL</v>
      </c>
      <c r="AY34" s="3">
        <f ca="1"/>
        <v>7.4999999999999997E-2</v>
      </c>
      <c r="AZ34" s="3">
        <f ca="1"/>
        <v>-7.6259966301696694E-4</v>
      </c>
      <c r="BA34" s="45">
        <f ca="1"/>
        <v>44670</v>
      </c>
      <c r="BB34" s="3">
        <f ca="1"/>
        <v>1.0080530441262439</v>
      </c>
      <c r="BC34" s="3">
        <f ca="1"/>
        <v>1.0080530441262439</v>
      </c>
      <c r="BD34">
        <f ca="1"/>
        <v>0</v>
      </c>
      <c r="BE34" s="4">
        <f ca="1"/>
        <v>3252.9942724770472</v>
      </c>
      <c r="BF34" s="4">
        <f ca="1"/>
        <v>3252.9942724770472</v>
      </c>
      <c r="BG34" s="4">
        <f ca="1"/>
        <v>873863.36952082871</v>
      </c>
      <c r="BH34" s="45">
        <f ca="1"/>
        <v>44670</v>
      </c>
      <c r="BI34" s="45">
        <f ca="1"/>
        <v>44670</v>
      </c>
      <c r="BJ34" s="45">
        <f ca="1"/>
        <v>44697</v>
      </c>
      <c r="BK34" s="45">
        <f ca="1"/>
        <v>44697</v>
      </c>
      <c r="BL34" s="37">
        <f ca="1"/>
        <v>680501.19325661391</v>
      </c>
      <c r="BM34" s="37">
        <f ca="1"/>
        <v>608608.69097730983</v>
      </c>
      <c r="BN34" s="40">
        <f ca="1"/>
        <v>0</v>
      </c>
      <c r="BO34" s="42">
        <f ca="1"/>
        <v>71892.502279304128</v>
      </c>
      <c r="BP34" s="42">
        <f ca="1"/>
        <v>71892.502279304128</v>
      </c>
      <c r="BQ34">
        <f ca="1"/>
        <v>0.1842574270122582</v>
      </c>
      <c r="BR34">
        <f ca="1"/>
        <v>0.32609200297785446</v>
      </c>
      <c r="BS34" s="4">
        <f ca="1"/>
        <v>2512.9582261627925</v>
      </c>
      <c r="BT34" s="3">
        <f ca="1"/>
        <v>4.9237400336983039E-2</v>
      </c>
      <c r="BU34" t="str">
        <f ca="1"/>
        <v>SEQUENTIAL</v>
      </c>
      <c r="BV34" s="3">
        <f ca="1"/>
        <v>7.4999999999999997E-2</v>
      </c>
      <c r="BW34" s="3">
        <f ca="1"/>
        <v>-7.6259966301696694E-4</v>
      </c>
      <c r="BX34" s="45">
        <f ca="1"/>
        <v>44670</v>
      </c>
      <c r="BY34" s="3">
        <f ca="1"/>
        <v>1.0080530441262439</v>
      </c>
      <c r="BZ34" s="3">
        <f ca="1"/>
        <v>1.0080530441262439</v>
      </c>
      <c r="CA34">
        <f ca="1"/>
        <v>0</v>
      </c>
      <c r="CB34" s="4">
        <f ca="1"/>
        <v>75004.650962150947</v>
      </c>
      <c r="CC34" s="4">
        <f ca="1"/>
        <v>75004.650962150947</v>
      </c>
      <c r="CD34" s="4">
        <f ca="1"/>
        <v>680501.19325661391</v>
      </c>
      <c r="CE34" t="e">
        <f ca="1"/>
        <v>#N/A</v>
      </c>
      <c r="CF34" t="e">
        <f ca="1"/>
        <v>#N/A</v>
      </c>
      <c r="CG34" t="e">
        <f ca="1"/>
        <v>#N/A</v>
      </c>
      <c r="CH34" t="e">
        <f ca="1"/>
        <v>#N/A</v>
      </c>
      <c r="CI34" t="e">
        <f ca="1"/>
        <v>#N/A</v>
      </c>
      <c r="CJ34" t="e">
        <f ca="1"/>
        <v>#N/A</v>
      </c>
      <c r="CK34" t="e">
        <f ca="1"/>
        <v>#N/A</v>
      </c>
      <c r="CL34" t="e">
        <f ca="1"/>
        <v>#N/A</v>
      </c>
      <c r="CM34" t="e">
        <f ca="1"/>
        <v>#N/A</v>
      </c>
      <c r="CN34" t="e">
        <f ca="1"/>
        <v>#N/A</v>
      </c>
    </row>
    <row r="35" spans="2:92" x14ac:dyDescent="0.25">
      <c r="B35">
        <f ca="1"/>
        <v>28</v>
      </c>
      <c r="C35" s="37">
        <f ca="1"/>
        <v>4290975.5032153465</v>
      </c>
      <c r="D35" s="37">
        <f ca="1"/>
        <v>4187304.3607910108</v>
      </c>
      <c r="E35" s="35">
        <f ca="1"/>
        <v>22442.940702051543</v>
      </c>
      <c r="F35" s="35">
        <f ca="1"/>
        <v>0</v>
      </c>
      <c r="G35" s="35">
        <f ca="1"/>
        <v>48736.921033371007</v>
      </c>
      <c r="H35" s="35">
        <f ca="1"/>
        <v>0</v>
      </c>
      <c r="I35" s="35">
        <f ca="1"/>
        <v>81228.201722285055</v>
      </c>
      <c r="J35" s="35">
        <f ca="1"/>
        <v>178790.64596730616</v>
      </c>
      <c r="K35" s="35">
        <f ca="1"/>
        <v>3290584.0961271953</v>
      </c>
      <c r="L35" s="35">
        <f ca="1"/>
        <v>3290584.0961271953</v>
      </c>
      <c r="M35" s="35">
        <f ca="1"/>
        <v>1974350.4576763171</v>
      </c>
      <c r="N35" s="45">
        <f ca="1"/>
        <v>44697</v>
      </c>
      <c r="O35" s="45">
        <f ca="1"/>
        <v>44697</v>
      </c>
      <c r="P35" s="45">
        <f ca="1"/>
        <v>44727</v>
      </c>
      <c r="Q35" s="45">
        <f ca="1"/>
        <v>44727</v>
      </c>
      <c r="R35" s="37">
        <f ca="1"/>
        <v>0</v>
      </c>
      <c r="S35" s="37">
        <f ca="1"/>
        <v>0</v>
      </c>
      <c r="T35" s="41">
        <f ca="1"/>
        <v>0</v>
      </c>
      <c r="U35" s="42">
        <f ca="1"/>
        <v>0</v>
      </c>
      <c r="V35" s="42">
        <f ca="1"/>
        <v>0</v>
      </c>
      <c r="W35">
        <f ca="1"/>
        <v>0</v>
      </c>
      <c r="X35">
        <f ca="1"/>
        <v>0</v>
      </c>
      <c r="Y35" s="4">
        <f ca="1"/>
        <v>0</v>
      </c>
      <c r="Z35" s="3">
        <f ca="1"/>
        <v>4.9369499227159053E-2</v>
      </c>
      <c r="AA35" t="str">
        <f ca="1"/>
        <v>SEQUENTIAL</v>
      </c>
      <c r="AB35" s="3">
        <f ca="1"/>
        <v>8.3333333333333329E-2</v>
      </c>
      <c r="AC35" s="3">
        <f ca="1"/>
        <v>-6.3050077284095213E-4</v>
      </c>
      <c r="AD35" s="45">
        <f ca="1"/>
        <v>44697</v>
      </c>
      <c r="AE35" s="3">
        <f ca="1"/>
        <v>1.0081186100058259</v>
      </c>
      <c r="AF35" s="3">
        <f ca="1"/>
        <v>1.0081186100058259</v>
      </c>
      <c r="AG35">
        <f ca="1"/>
        <v>0</v>
      </c>
      <c r="AH35" s="35">
        <f ca="1"/>
        <v>0</v>
      </c>
      <c r="AI35" s="35">
        <f ca="1"/>
        <v>0</v>
      </c>
      <c r="AJ35" s="35">
        <f ca="1"/>
        <v>0</v>
      </c>
      <c r="AK35" s="36">
        <f ca="1"/>
        <v>44697</v>
      </c>
      <c r="AL35" s="36">
        <f ca="1"/>
        <v>44697</v>
      </c>
      <c r="AM35" s="36">
        <f ca="1"/>
        <v>44727</v>
      </c>
      <c r="AN35" s="36">
        <f ca="1"/>
        <v>44727</v>
      </c>
      <c r="AO35" s="37">
        <f ca="1"/>
        <v>790644.10559508961</v>
      </c>
      <c r="AP35" s="37">
        <f ca="1"/>
        <v>709415.9038728046</v>
      </c>
      <c r="AQ35" s="41">
        <f ca="1"/>
        <v>81228.201722285055</v>
      </c>
      <c r="AR35" s="42">
        <f ca="1"/>
        <v>0</v>
      </c>
      <c r="AS35" s="42">
        <f ca="1"/>
        <v>0</v>
      </c>
      <c r="AT35">
        <f ca="1"/>
        <v>0</v>
      </c>
      <c r="AU35">
        <f ca="1"/>
        <v>0.16942066846528228</v>
      </c>
      <c r="AV35" s="4">
        <f ca="1"/>
        <v>3252.8086300112195</v>
      </c>
      <c r="AW35" s="3">
        <f ca="1"/>
        <v>4.9369499227159053E-2</v>
      </c>
      <c r="AX35" t="str">
        <f ca="1"/>
        <v>SEQUENTIAL</v>
      </c>
      <c r="AY35" s="3">
        <f ca="1"/>
        <v>8.3333333333333329E-2</v>
      </c>
      <c r="AZ35" s="3">
        <f ca="1"/>
        <v>-6.3050077284095213E-4</v>
      </c>
      <c r="BA35" s="45">
        <f ca="1"/>
        <v>44697</v>
      </c>
      <c r="BB35" s="3">
        <f ca="1"/>
        <v>1.0081186100058259</v>
      </c>
      <c r="BC35" s="3">
        <f ca="1"/>
        <v>1.0081186100058259</v>
      </c>
      <c r="BD35">
        <f ca="1"/>
        <v>0</v>
      </c>
      <c r="BE35" s="4">
        <f ca="1"/>
        <v>3279.2169147018653</v>
      </c>
      <c r="BF35" s="4">
        <f ca="1"/>
        <v>3279.2169147018653</v>
      </c>
      <c r="BG35" s="4">
        <f ca="1"/>
        <v>790644.10559508961</v>
      </c>
      <c r="BH35" s="45">
        <f ca="1"/>
        <v>44697</v>
      </c>
      <c r="BI35" s="45">
        <f ca="1"/>
        <v>44697</v>
      </c>
      <c r="BJ35" s="45">
        <f ca="1"/>
        <v>44727</v>
      </c>
      <c r="BK35" s="45">
        <f ca="1"/>
        <v>44727</v>
      </c>
      <c r="BL35" s="37">
        <f ca="1"/>
        <v>608608.69097730983</v>
      </c>
      <c r="BM35" s="37">
        <f ca="1"/>
        <v>537428.82924188732</v>
      </c>
      <c r="BN35" s="40">
        <f ca="1"/>
        <v>0</v>
      </c>
      <c r="BO35" s="42">
        <f ca="1"/>
        <v>71179.861735422543</v>
      </c>
      <c r="BP35" s="42">
        <f ca="1"/>
        <v>71179.861735422543</v>
      </c>
      <c r="BQ35">
        <f ca="1"/>
        <v>0.16942066846528228</v>
      </c>
      <c r="BR35">
        <f ca="1"/>
        <v>0.29776787777594327</v>
      </c>
      <c r="BS35" s="4">
        <f ca="1"/>
        <v>2503.8921915705482</v>
      </c>
      <c r="BT35" s="3">
        <f ca="1"/>
        <v>4.9369499227159053E-2</v>
      </c>
      <c r="BU35" t="str">
        <f ca="1"/>
        <v>SEQUENTIAL</v>
      </c>
      <c r="BV35" s="3">
        <f ca="1"/>
        <v>8.3333333333333329E-2</v>
      </c>
      <c r="BW35" s="3">
        <f ca="1"/>
        <v>-6.3050077284095213E-4</v>
      </c>
      <c r="BX35" s="45">
        <f ca="1"/>
        <v>44697</v>
      </c>
      <c r="BY35" s="3">
        <f ca="1"/>
        <v>1.0081186100058259</v>
      </c>
      <c r="BZ35" s="3">
        <f ca="1"/>
        <v>1.0081186100058259</v>
      </c>
      <c r="CA35">
        <f ca="1"/>
        <v>0</v>
      </c>
      <c r="CB35" s="4">
        <f ca="1"/>
        <v>74281.96358889158</v>
      </c>
      <c r="CC35" s="4">
        <f ca="1"/>
        <v>74281.96358889158</v>
      </c>
      <c r="CD35" s="4">
        <f ca="1"/>
        <v>608608.69097730983</v>
      </c>
      <c r="CE35" t="e">
        <f ca="1"/>
        <v>#N/A</v>
      </c>
      <c r="CF35" t="e">
        <f ca="1"/>
        <v>#N/A</v>
      </c>
      <c r="CG35" t="e">
        <f ca="1"/>
        <v>#N/A</v>
      </c>
      <c r="CH35" t="e">
        <f ca="1"/>
        <v>#N/A</v>
      </c>
      <c r="CI35" t="e">
        <f ca="1"/>
        <v>#N/A</v>
      </c>
      <c r="CJ35" t="e">
        <f ca="1"/>
        <v>#N/A</v>
      </c>
      <c r="CK35" t="e">
        <f ca="1"/>
        <v>#N/A</v>
      </c>
      <c r="CL35" t="e">
        <f ca="1"/>
        <v>#N/A</v>
      </c>
      <c r="CM35" t="e">
        <f ca="1"/>
        <v>#N/A</v>
      </c>
      <c r="CN35" t="e">
        <f ca="1"/>
        <v>#N/A</v>
      </c>
    </row>
    <row r="36" spans="2:92" x14ac:dyDescent="0.25">
      <c r="B36">
        <f ca="1"/>
        <v>29</v>
      </c>
      <c r="C36" s="37">
        <f ca="1"/>
        <v>4187304.3607910108</v>
      </c>
      <c r="D36" s="37">
        <f ca="1"/>
        <v>4085103.138349995</v>
      </c>
      <c r="E36" s="35">
        <f ca="1"/>
        <v>22935.516301216194</v>
      </c>
      <c r="F36" s="35">
        <f ca="1"/>
        <v>0</v>
      </c>
      <c r="G36" s="35">
        <f ca="1"/>
        <v>47559.423683878304</v>
      </c>
      <c r="H36" s="35">
        <f ca="1"/>
        <v>0</v>
      </c>
      <c r="I36" s="35">
        <f ca="1"/>
        <v>79265.706139797127</v>
      </c>
      <c r="J36" s="35">
        <f ca="1"/>
        <v>174471.01503295888</v>
      </c>
      <c r="K36" s="35">
        <f ca="1"/>
        <v>3369849.8022669926</v>
      </c>
      <c r="L36" s="35">
        <f ca="1"/>
        <v>3369849.8022669926</v>
      </c>
      <c r="M36" s="35">
        <f ca="1"/>
        <v>2021909.8813601953</v>
      </c>
      <c r="N36" s="45">
        <f ca="1"/>
        <v>44727</v>
      </c>
      <c r="O36" s="45">
        <f ca="1"/>
        <v>44727</v>
      </c>
      <c r="P36" s="45">
        <f ca="1"/>
        <v>44757</v>
      </c>
      <c r="Q36" s="45">
        <f ca="1"/>
        <v>44757</v>
      </c>
      <c r="R36" s="37">
        <f ca="1"/>
        <v>0</v>
      </c>
      <c r="S36" s="37">
        <f ca="1"/>
        <v>0</v>
      </c>
      <c r="T36" s="41">
        <f ca="1"/>
        <v>0</v>
      </c>
      <c r="U36" s="42">
        <f ca="1"/>
        <v>0</v>
      </c>
      <c r="V36" s="42">
        <f ca="1"/>
        <v>0</v>
      </c>
      <c r="W36">
        <f ca="1"/>
        <v>0</v>
      </c>
      <c r="X36">
        <f ca="1"/>
        <v>0</v>
      </c>
      <c r="Y36" s="4">
        <f ca="1"/>
        <v>0</v>
      </c>
      <c r="Z36" s="3">
        <f ca="1"/>
        <v>4.9517634189793741E-2</v>
      </c>
      <c r="AA36" t="str">
        <f ca="1"/>
        <v>SEQUENTIAL</v>
      </c>
      <c r="AB36" s="3">
        <f ca="1"/>
        <v>8.3333333333333329E-2</v>
      </c>
      <c r="AC36" s="3">
        <f ca="1"/>
        <v>-4.8236581020626076E-4</v>
      </c>
      <c r="AD36" s="45">
        <f ca="1"/>
        <v>44727</v>
      </c>
      <c r="AE36" s="3">
        <f ca="1"/>
        <v>1.0081720825267444</v>
      </c>
      <c r="AF36" s="3">
        <f ca="1"/>
        <v>1.0081720825267444</v>
      </c>
      <c r="AG36">
        <f ca="1"/>
        <v>0</v>
      </c>
      <c r="AH36" s="35">
        <f ca="1"/>
        <v>0</v>
      </c>
      <c r="AI36" s="35">
        <f ca="1"/>
        <v>0</v>
      </c>
      <c r="AJ36" s="35">
        <f ca="1"/>
        <v>0</v>
      </c>
      <c r="AK36" s="36">
        <f ca="1"/>
        <v>44727</v>
      </c>
      <c r="AL36" s="36">
        <f ca="1"/>
        <v>44727</v>
      </c>
      <c r="AM36" s="36">
        <f ca="1"/>
        <v>44757</v>
      </c>
      <c r="AN36" s="36">
        <f ca="1"/>
        <v>44757</v>
      </c>
      <c r="AO36" s="37">
        <f ca="1"/>
        <v>709415.9038728046</v>
      </c>
      <c r="AP36" s="37">
        <f ca="1"/>
        <v>630150.19773300749</v>
      </c>
      <c r="AQ36" s="41">
        <f ca="1"/>
        <v>79265.706139797127</v>
      </c>
      <c r="AR36" s="42">
        <f ca="1"/>
        <v>0</v>
      </c>
      <c r="AS36" s="42">
        <f ca="1"/>
        <v>0</v>
      </c>
      <c r="AT36">
        <f ca="1"/>
        <v>0</v>
      </c>
      <c r="AU36">
        <f ca="1"/>
        <v>0.15425563967217976</v>
      </c>
      <c r="AV36" s="4">
        <f ca="1"/>
        <v>2927.3831013662848</v>
      </c>
      <c r="AW36" s="3">
        <f ca="1"/>
        <v>4.9517634189793741E-2</v>
      </c>
      <c r="AX36" t="str">
        <f ca="1"/>
        <v>SEQUENTIAL</v>
      </c>
      <c r="AY36" s="3">
        <f ca="1"/>
        <v>8.3333333333333329E-2</v>
      </c>
      <c r="AZ36" s="3">
        <f ca="1"/>
        <v>-4.8236581020626076E-4</v>
      </c>
      <c r="BA36" s="45">
        <f ca="1"/>
        <v>44727</v>
      </c>
      <c r="BB36" s="3">
        <f ca="1"/>
        <v>1.0081720825267444</v>
      </c>
      <c r="BC36" s="3">
        <f ca="1"/>
        <v>1.0081720825267444</v>
      </c>
      <c r="BD36">
        <f ca="1"/>
        <v>0</v>
      </c>
      <c r="BE36" s="4">
        <f ca="1"/>
        <v>2951.3059176580468</v>
      </c>
      <c r="BF36" s="4">
        <f ca="1"/>
        <v>2951.3059176580468</v>
      </c>
      <c r="BG36" s="4">
        <f ca="1"/>
        <v>709415.9038728046</v>
      </c>
      <c r="BH36" s="45">
        <f ca="1"/>
        <v>44727</v>
      </c>
      <c r="BI36" s="45">
        <f ca="1"/>
        <v>44727</v>
      </c>
      <c r="BJ36" s="45">
        <f ca="1"/>
        <v>44757</v>
      </c>
      <c r="BK36" s="45">
        <f ca="1"/>
        <v>44757</v>
      </c>
      <c r="BL36" s="37">
        <f ca="1"/>
        <v>537428.82924188732</v>
      </c>
      <c r="BM36" s="37">
        <f ca="1"/>
        <v>466933.88925679284</v>
      </c>
      <c r="BN36" s="40">
        <f ca="1"/>
        <v>0</v>
      </c>
      <c r="BO36" s="42">
        <f ca="1"/>
        <v>70494.939985094505</v>
      </c>
      <c r="BP36" s="42">
        <f ca="1"/>
        <v>70494.939985094505</v>
      </c>
      <c r="BQ36">
        <f ca="1"/>
        <v>0.15425563967217976</v>
      </c>
      <c r="BR36">
        <f ca="1"/>
        <v>0.26855725543148007</v>
      </c>
      <c r="BS36" s="4">
        <f ca="1"/>
        <v>2217.6836807874083</v>
      </c>
      <c r="BT36" s="3">
        <f ca="1"/>
        <v>4.9517634189793741E-2</v>
      </c>
      <c r="BU36" t="str">
        <f ca="1"/>
        <v>SEQUENTIAL</v>
      </c>
      <c r="BV36" s="3">
        <f ca="1"/>
        <v>8.3333333333333329E-2</v>
      </c>
      <c r="BW36" s="3">
        <f ca="1"/>
        <v>-4.8236581020626076E-4</v>
      </c>
      <c r="BX36" s="45">
        <f ca="1"/>
        <v>44727</v>
      </c>
      <c r="BY36" s="3">
        <f ca="1"/>
        <v>1.0081720825267444</v>
      </c>
      <c r="BZ36" s="3">
        <f ca="1"/>
        <v>1.0081720825267444</v>
      </c>
      <c r="CA36">
        <f ca="1"/>
        <v>0</v>
      </c>
      <c r="CB36" s="4">
        <f ca="1"/>
        <v>73306.837227215612</v>
      </c>
      <c r="CC36" s="4">
        <f ca="1"/>
        <v>73306.837227215612</v>
      </c>
      <c r="CD36" s="4">
        <f ca="1"/>
        <v>537428.82924188732</v>
      </c>
      <c r="CE36" t="e">
        <f ca="1"/>
        <v>#N/A</v>
      </c>
      <c r="CF36" t="e">
        <f ca="1"/>
        <v>#N/A</v>
      </c>
      <c r="CG36" t="e">
        <f ca="1"/>
        <v>#N/A</v>
      </c>
      <c r="CH36" t="e">
        <f ca="1"/>
        <v>#N/A</v>
      </c>
      <c r="CI36" t="e">
        <f ca="1"/>
        <v>#N/A</v>
      </c>
      <c r="CJ36" t="e">
        <f ca="1"/>
        <v>#N/A</v>
      </c>
      <c r="CK36" t="e">
        <f ca="1"/>
        <v>#N/A</v>
      </c>
      <c r="CL36" t="e">
        <f ca="1"/>
        <v>#N/A</v>
      </c>
      <c r="CM36" t="e">
        <f ca="1"/>
        <v>#N/A</v>
      </c>
      <c r="CN36" t="e">
        <f ca="1"/>
        <v>#N/A</v>
      </c>
    </row>
    <row r="37" spans="2:92" x14ac:dyDescent="0.25">
      <c r="B37">
        <f ca="1"/>
        <v>30</v>
      </c>
      <c r="C37" s="37">
        <f ca="1"/>
        <v>4085103.138349995</v>
      </c>
      <c r="D37" s="37">
        <f ca="1"/>
        <v>3984333.1992909131</v>
      </c>
      <c r="E37" s="35">
        <f ca="1"/>
        <v>23438.902904344788</v>
      </c>
      <c r="F37" s="35">
        <f ca="1"/>
        <v>0</v>
      </c>
      <c r="G37" s="35">
        <f ca="1"/>
        <v>46398.621692841713</v>
      </c>
      <c r="H37" s="35">
        <f ca="1"/>
        <v>0</v>
      </c>
      <c r="I37" s="35">
        <f ca="1"/>
        <v>77331.036154736212</v>
      </c>
      <c r="J37" s="35">
        <f ca="1"/>
        <v>170212.63076458304</v>
      </c>
      <c r="K37" s="35">
        <f ca="1"/>
        <v>3447180.8384217289</v>
      </c>
      <c r="L37" s="35">
        <f ca="1"/>
        <v>3447180.8384217289</v>
      </c>
      <c r="M37" s="35">
        <f ca="1"/>
        <v>2068308.503053037</v>
      </c>
      <c r="N37" s="45">
        <f ca="1"/>
        <v>44757</v>
      </c>
      <c r="O37" s="45">
        <f ca="1"/>
        <v>44757</v>
      </c>
      <c r="P37" s="45">
        <f ca="1"/>
        <v>44788</v>
      </c>
      <c r="Q37" s="45">
        <f ca="1"/>
        <v>44788</v>
      </c>
      <c r="R37" s="37">
        <f ca="1"/>
        <v>0</v>
      </c>
      <c r="S37" s="37">
        <f ca="1"/>
        <v>0</v>
      </c>
      <c r="T37" s="41">
        <f ca="1"/>
        <v>0</v>
      </c>
      <c r="U37" s="42">
        <f ca="1"/>
        <v>0</v>
      </c>
      <c r="V37" s="42">
        <f ca="1"/>
        <v>0</v>
      </c>
      <c r="W37">
        <f ca="1"/>
        <v>0</v>
      </c>
      <c r="X37">
        <f ca="1"/>
        <v>0</v>
      </c>
      <c r="Y37" s="4">
        <f ca="1"/>
        <v>0</v>
      </c>
      <c r="Z37" s="3">
        <f ca="1"/>
        <v>4.9667840815267109E-2</v>
      </c>
      <c r="AA37" t="str">
        <f ca="1"/>
        <v>SEQUENTIAL</v>
      </c>
      <c r="AB37" s="3">
        <f ca="1"/>
        <v>8.611111111111111E-2</v>
      </c>
      <c r="AC37" s="3">
        <f ca="1"/>
        <v>-3.3215918473289267E-4</v>
      </c>
      <c r="AD37" s="45">
        <f ca="1"/>
        <v>44757</v>
      </c>
      <c r="AE37" s="3">
        <f ca="1"/>
        <v>1.0082143409494926</v>
      </c>
      <c r="AF37" s="3">
        <f ca="1"/>
        <v>1.0082143409494926</v>
      </c>
      <c r="AG37">
        <f ca="1"/>
        <v>0</v>
      </c>
      <c r="AH37" s="35">
        <f ca="1"/>
        <v>0</v>
      </c>
      <c r="AI37" s="35">
        <f ca="1"/>
        <v>0</v>
      </c>
      <c r="AJ37" s="35">
        <f ca="1"/>
        <v>0</v>
      </c>
      <c r="AK37" s="36">
        <f ca="1"/>
        <v>44757</v>
      </c>
      <c r="AL37" s="36">
        <f ca="1"/>
        <v>44757</v>
      </c>
      <c r="AM37" s="36">
        <f ca="1"/>
        <v>44788</v>
      </c>
      <c r="AN37" s="36">
        <f ca="1"/>
        <v>44788</v>
      </c>
      <c r="AO37" s="37">
        <f ca="1"/>
        <v>630150.19773300749</v>
      </c>
      <c r="AP37" s="37">
        <f ca="1"/>
        <v>552819.16157827131</v>
      </c>
      <c r="AQ37" s="41">
        <f ca="1"/>
        <v>77331.036154736212</v>
      </c>
      <c r="AR37" s="42">
        <f ca="1"/>
        <v>0</v>
      </c>
      <c r="AS37" s="42">
        <f ca="1"/>
        <v>0</v>
      </c>
      <c r="AT37">
        <f ca="1"/>
        <v>0</v>
      </c>
      <c r="AU37">
        <f ca="1"/>
        <v>0.13874822559434935</v>
      </c>
      <c r="AV37" s="4">
        <f ca="1"/>
        <v>2695.122752866876</v>
      </c>
      <c r="AW37" s="3">
        <f ca="1"/>
        <v>4.9667840815267109E-2</v>
      </c>
      <c r="AX37" t="str">
        <f ca="1"/>
        <v>SEQUENTIAL</v>
      </c>
      <c r="AY37" s="3">
        <f ca="1"/>
        <v>8.611111111111111E-2</v>
      </c>
      <c r="AZ37" s="3">
        <f ca="1"/>
        <v>-3.3215918473289267E-4</v>
      </c>
      <c r="BA37" s="45">
        <f ca="1"/>
        <v>44757</v>
      </c>
      <c r="BB37" s="3">
        <f ca="1"/>
        <v>1.0082143409494926</v>
      </c>
      <c r="BC37" s="3">
        <f ca="1"/>
        <v>1.0082143409494926</v>
      </c>
      <c r="BD37">
        <f ca="1"/>
        <v>0</v>
      </c>
      <c r="BE37" s="4">
        <f ca="1"/>
        <v>2717.2614100596597</v>
      </c>
      <c r="BF37" s="4">
        <f ca="1"/>
        <v>2717.2614100596597</v>
      </c>
      <c r="BG37" s="4">
        <f ca="1"/>
        <v>630150.19773300749</v>
      </c>
      <c r="BH37" s="45">
        <f ca="1"/>
        <v>44757</v>
      </c>
      <c r="BI37" s="45">
        <f ca="1"/>
        <v>44757</v>
      </c>
      <c r="BJ37" s="45">
        <f ca="1"/>
        <v>44788</v>
      </c>
      <c r="BK37" s="45">
        <f ca="1"/>
        <v>44788</v>
      </c>
      <c r="BL37" s="37">
        <f ca="1"/>
        <v>466933.88925679284</v>
      </c>
      <c r="BM37" s="37">
        <f ca="1"/>
        <v>397096.36465960636</v>
      </c>
      <c r="BN37" s="40">
        <f ca="1"/>
        <v>0</v>
      </c>
      <c r="BO37" s="42">
        <f ca="1"/>
        <v>69837.524597186508</v>
      </c>
      <c r="BP37" s="42">
        <f ca="1"/>
        <v>69837.524597186508</v>
      </c>
      <c r="BQ37">
        <f ca="1"/>
        <v>0.13874822559434935</v>
      </c>
      <c r="BR37">
        <f ca="1"/>
        <v>0.23841267251617734</v>
      </c>
      <c r="BS37" s="4">
        <f ca="1"/>
        <v>1997.0542793573843</v>
      </c>
      <c r="BT37" s="3">
        <f ca="1"/>
        <v>4.9667840815267109E-2</v>
      </c>
      <c r="BU37" t="str">
        <f ca="1"/>
        <v>SEQUENTIAL</v>
      </c>
      <c r="BV37" s="3">
        <f ca="1"/>
        <v>8.611111111111111E-2</v>
      </c>
      <c r="BW37" s="3">
        <f ca="1"/>
        <v>-3.3215918473289267E-4</v>
      </c>
      <c r="BX37" s="45">
        <f ca="1"/>
        <v>44757</v>
      </c>
      <c r="BY37" s="3">
        <f ca="1"/>
        <v>1.0082143409494926</v>
      </c>
      <c r="BZ37" s="3">
        <f ca="1"/>
        <v>1.0082143409494926</v>
      </c>
      <c r="CA37">
        <f ca="1"/>
        <v>0</v>
      </c>
      <c r="CB37" s="4">
        <f ca="1"/>
        <v>72424.652599399036</v>
      </c>
      <c r="CC37" s="4">
        <f ca="1"/>
        <v>72424.652599399036</v>
      </c>
      <c r="CD37" s="4">
        <f ca="1"/>
        <v>466933.88925679284</v>
      </c>
      <c r="CE37" t="e">
        <f ca="1"/>
        <v>#N/A</v>
      </c>
      <c r="CF37" t="e">
        <f ca="1"/>
        <v>#N/A</v>
      </c>
      <c r="CG37" t="e">
        <f ca="1"/>
        <v>#N/A</v>
      </c>
      <c r="CH37" t="e">
        <f ca="1"/>
        <v>#N/A</v>
      </c>
      <c r="CI37" t="e">
        <f ca="1"/>
        <v>#N/A</v>
      </c>
      <c r="CJ37" t="e">
        <f ca="1"/>
        <v>#N/A</v>
      </c>
      <c r="CK37" t="e">
        <f ca="1"/>
        <v>#N/A</v>
      </c>
      <c r="CL37" t="e">
        <f ca="1"/>
        <v>#N/A</v>
      </c>
      <c r="CM37" t="e">
        <f ca="1"/>
        <v>#N/A</v>
      </c>
      <c r="CN37" t="e">
        <f ca="1"/>
        <v>#N/A</v>
      </c>
    </row>
    <row r="38" spans="2:92" x14ac:dyDescent="0.25">
      <c r="B38">
        <f ca="1"/>
        <v>31</v>
      </c>
      <c r="C38" s="37">
        <f ca="1"/>
        <v>3984333.1992909131</v>
      </c>
      <c r="D38" s="37">
        <f ca="1"/>
        <v>3884956.4011246366</v>
      </c>
      <c r="E38" s="35">
        <f ca="1"/>
        <v>23953.337790358331</v>
      </c>
      <c r="F38" s="35">
        <f ca="1"/>
        <v>0</v>
      </c>
      <c r="G38" s="35">
        <f ca="1"/>
        <v>45254.076225551107</v>
      </c>
      <c r="H38" s="35">
        <f ca="1"/>
        <v>0</v>
      </c>
      <c r="I38" s="35">
        <f ca="1"/>
        <v>75423.460375918599</v>
      </c>
      <c r="J38" s="35">
        <f ca="1"/>
        <v>166013.8833037882</v>
      </c>
      <c r="K38" s="35">
        <f ca="1"/>
        <v>3522604.2987976475</v>
      </c>
      <c r="L38" s="35">
        <f ca="1"/>
        <v>3522604.2987976475</v>
      </c>
      <c r="M38" s="35">
        <f ca="1"/>
        <v>2113562.5792785883</v>
      </c>
      <c r="N38" s="45">
        <f ca="1"/>
        <v>44788</v>
      </c>
      <c r="O38" s="45">
        <f ca="1"/>
        <v>44788</v>
      </c>
      <c r="P38" s="45">
        <f ca="1"/>
        <v>44819</v>
      </c>
      <c r="Q38" s="45">
        <f ca="1"/>
        <v>44819</v>
      </c>
      <c r="R38" s="37">
        <f ca="1"/>
        <v>0</v>
      </c>
      <c r="S38" s="37">
        <f ca="1"/>
        <v>0</v>
      </c>
      <c r="T38" s="41">
        <f ca="1"/>
        <v>0</v>
      </c>
      <c r="U38" s="42">
        <f ca="1"/>
        <v>0</v>
      </c>
      <c r="V38" s="42">
        <f ca="1"/>
        <v>0</v>
      </c>
      <c r="W38">
        <f ca="1"/>
        <v>0</v>
      </c>
      <c r="X38">
        <f ca="1"/>
        <v>0</v>
      </c>
      <c r="Y38" s="4">
        <f ca="1"/>
        <v>0</v>
      </c>
      <c r="Z38" s="3">
        <f ca="1"/>
        <v>4.9826477921186448E-2</v>
      </c>
      <c r="AA38" t="str">
        <f ca="1"/>
        <v>SEQUENTIAL</v>
      </c>
      <c r="AB38" s="3">
        <f ca="1"/>
        <v>8.611111111111111E-2</v>
      </c>
      <c r="AC38" s="3">
        <f ca="1"/>
        <v>-1.7352207881355687E-4</v>
      </c>
      <c r="AD38" s="45">
        <f ca="1"/>
        <v>44788</v>
      </c>
      <c r="AE38" s="3">
        <f ca="1"/>
        <v>1.0082430901762194</v>
      </c>
      <c r="AF38" s="3">
        <f ca="1"/>
        <v>1.0082430901762194</v>
      </c>
      <c r="AG38">
        <f ca="1"/>
        <v>0</v>
      </c>
      <c r="AH38" s="35">
        <f ca="1"/>
        <v>0</v>
      </c>
      <c r="AI38" s="35">
        <f ca="1"/>
        <v>0</v>
      </c>
      <c r="AJ38" s="35">
        <f ca="1"/>
        <v>0</v>
      </c>
      <c r="AK38" s="36">
        <f ca="1"/>
        <v>44788</v>
      </c>
      <c r="AL38" s="36">
        <f ca="1"/>
        <v>44788</v>
      </c>
      <c r="AM38" s="36">
        <f ca="1"/>
        <v>44819</v>
      </c>
      <c r="AN38" s="36">
        <f ca="1"/>
        <v>44819</v>
      </c>
      <c r="AO38" s="37">
        <f ca="1"/>
        <v>552819.16157827131</v>
      </c>
      <c r="AP38" s="37">
        <f ca="1"/>
        <v>477395.70120235271</v>
      </c>
      <c r="AQ38" s="41">
        <f ca="1"/>
        <v>75423.460375918599</v>
      </c>
      <c r="AR38" s="42">
        <f ca="1"/>
        <v>0</v>
      </c>
      <c r="AS38" s="42">
        <f ca="1"/>
        <v>0</v>
      </c>
      <c r="AT38">
        <f ca="1"/>
        <v>0</v>
      </c>
      <c r="AU38">
        <f ca="1"/>
        <v>0.12288315541048384</v>
      </c>
      <c r="AV38" s="4">
        <f ca="1"/>
        <v>2371.9332894790127</v>
      </c>
      <c r="AW38" s="3">
        <f ca="1"/>
        <v>4.9826477921186448E-2</v>
      </c>
      <c r="AX38" t="str">
        <f ca="1"/>
        <v>SEQUENTIAL</v>
      </c>
      <c r="AY38" s="3">
        <f ca="1"/>
        <v>8.611111111111111E-2</v>
      </c>
      <c r="AZ38" s="3">
        <f ca="1"/>
        <v>-1.7352207881355687E-4</v>
      </c>
      <c r="BA38" s="45">
        <f ca="1"/>
        <v>44788</v>
      </c>
      <c r="BB38" s="3">
        <f ca="1"/>
        <v>1.0082430901762194</v>
      </c>
      <c r="BC38" s="3">
        <f ca="1"/>
        <v>1.0082430901762194</v>
      </c>
      <c r="BD38">
        <f ca="1"/>
        <v>0</v>
      </c>
      <c r="BE38" s="4">
        <f ca="1"/>
        <v>2391.4853494761651</v>
      </c>
      <c r="BF38" s="4">
        <f ca="1"/>
        <v>2391.4853494761651</v>
      </c>
      <c r="BG38" s="4">
        <f ca="1"/>
        <v>552819.16157827131</v>
      </c>
      <c r="BH38" s="45">
        <f ca="1"/>
        <v>44788</v>
      </c>
      <c r="BI38" s="45">
        <f ca="1"/>
        <v>44788</v>
      </c>
      <c r="BJ38" s="45">
        <f ca="1"/>
        <v>44819</v>
      </c>
      <c r="BK38" s="45">
        <f ca="1"/>
        <v>44819</v>
      </c>
      <c r="BL38" s="37">
        <f ca="1"/>
        <v>397096.36465960636</v>
      </c>
      <c r="BM38" s="37">
        <f ca="1"/>
        <v>327888.95064369694</v>
      </c>
      <c r="BN38" s="40">
        <f ca="1"/>
        <v>0</v>
      </c>
      <c r="BO38" s="42">
        <f ca="1"/>
        <v>69207.414015909439</v>
      </c>
      <c r="BP38" s="42">
        <f ca="1"/>
        <v>69207.414015909439</v>
      </c>
      <c r="BQ38">
        <f ca="1"/>
        <v>0.12288315541048384</v>
      </c>
      <c r="BR38">
        <f ca="1"/>
        <v>0.20728280286824627</v>
      </c>
      <c r="BS38" s="4">
        <f ca="1"/>
        <v>1703.786973986538</v>
      </c>
      <c r="BT38" s="3">
        <f ca="1"/>
        <v>4.9826477921186448E-2</v>
      </c>
      <c r="BU38" t="str">
        <f ca="1"/>
        <v>SEQUENTIAL</v>
      </c>
      <c r="BV38" s="3">
        <f ca="1"/>
        <v>8.611111111111111E-2</v>
      </c>
      <c r="BW38" s="3">
        <f ca="1"/>
        <v>-1.7352207881355687E-4</v>
      </c>
      <c r="BX38" s="45">
        <f ca="1"/>
        <v>44788</v>
      </c>
      <c r="BY38" s="3">
        <f ca="1"/>
        <v>1.0082430901762194</v>
      </c>
      <c r="BZ38" s="3">
        <f ca="1"/>
        <v>1.0082430901762194</v>
      </c>
      <c r="CA38">
        <f ca="1"/>
        <v>0</v>
      </c>
      <c r="CB38" s="4">
        <f ca="1"/>
        <v>71495.728414159705</v>
      </c>
      <c r="CC38" s="4">
        <f ca="1"/>
        <v>71495.728414159705</v>
      </c>
      <c r="CD38" s="4">
        <f ca="1"/>
        <v>397096.36465960636</v>
      </c>
      <c r="CE38" t="e">
        <f ca="1"/>
        <v>#N/A</v>
      </c>
      <c r="CF38" t="e">
        <f ca="1"/>
        <v>#N/A</v>
      </c>
      <c r="CG38" t="e">
        <f ca="1"/>
        <v>#N/A</v>
      </c>
      <c r="CH38" t="e">
        <f ca="1"/>
        <v>#N/A</v>
      </c>
      <c r="CI38" t="e">
        <f ca="1"/>
        <v>#N/A</v>
      </c>
      <c r="CJ38" t="e">
        <f ca="1"/>
        <v>#N/A</v>
      </c>
      <c r="CK38" t="e">
        <f ca="1"/>
        <v>#N/A</v>
      </c>
      <c r="CL38" t="e">
        <f ca="1"/>
        <v>#N/A</v>
      </c>
      <c r="CM38" t="e">
        <f ca="1"/>
        <v>#N/A</v>
      </c>
      <c r="CN38" t="e">
        <f ca="1"/>
        <v>#N/A</v>
      </c>
    </row>
    <row r="39" spans="2:92" x14ac:dyDescent="0.25">
      <c r="B39">
        <f ca="1"/>
        <v>32</v>
      </c>
      <c r="C39" s="37">
        <f ca="1"/>
        <v>3884956.4011246366</v>
      </c>
      <c r="D39" s="37">
        <f ca="1"/>
        <v>3786935.0809129747</v>
      </c>
      <c r="E39" s="35">
        <f ca="1"/>
        <v>24479.063445953936</v>
      </c>
      <c r="F39" s="35">
        <f ca="1"/>
        <v>0</v>
      </c>
      <c r="G39" s="35">
        <f ca="1"/>
        <v>44125.354059425968</v>
      </c>
      <c r="H39" s="35">
        <f ca="1"/>
        <v>0</v>
      </c>
      <c r="I39" s="35">
        <f ca="1"/>
        <v>73542.256765710015</v>
      </c>
      <c r="J39" s="35">
        <f ca="1"/>
        <v>161873.18338019328</v>
      </c>
      <c r="K39" s="35">
        <f ca="1"/>
        <v>3596146.5555633577</v>
      </c>
      <c r="L39" s="35">
        <f ca="1"/>
        <v>3596146.5555633577</v>
      </c>
      <c r="M39" s="35">
        <f ca="1"/>
        <v>2157687.9333380144</v>
      </c>
      <c r="N39" s="45">
        <f ca="1"/>
        <v>44819</v>
      </c>
      <c r="O39" s="45">
        <f ca="1"/>
        <v>44819</v>
      </c>
      <c r="P39" s="45">
        <f ca="1"/>
        <v>44851</v>
      </c>
      <c r="Q39" s="45">
        <f ca="1"/>
        <v>44851</v>
      </c>
      <c r="R39" s="37">
        <f ca="1"/>
        <v>0</v>
      </c>
      <c r="S39" s="37">
        <f ca="1"/>
        <v>0</v>
      </c>
      <c r="T39" s="41">
        <f ca="1"/>
        <v>0</v>
      </c>
      <c r="U39" s="42">
        <f ca="1"/>
        <v>0</v>
      </c>
      <c r="V39" s="42">
        <f ca="1"/>
        <v>0</v>
      </c>
      <c r="W39">
        <f ca="1"/>
        <v>0</v>
      </c>
      <c r="X39">
        <f ca="1"/>
        <v>0</v>
      </c>
      <c r="Y39" s="4">
        <f ca="1"/>
        <v>0</v>
      </c>
      <c r="Z39" s="3">
        <f ca="1"/>
        <v>4.9989498154668056E-2</v>
      </c>
      <c r="AA39" t="str">
        <f ca="1"/>
        <v>SEQUENTIAL</v>
      </c>
      <c r="AB39" s="3">
        <f ca="1"/>
        <v>8.8888888888888892E-2</v>
      </c>
      <c r="AC39" s="3">
        <f ca="1"/>
        <v>-1.050184533194407E-5</v>
      </c>
      <c r="AD39" s="45">
        <f ca="1"/>
        <v>44819</v>
      </c>
      <c r="AE39" s="3">
        <f ca="1"/>
        <v>1.0082582767695907</v>
      </c>
      <c r="AF39" s="3">
        <f ca="1"/>
        <v>1.0082582767695907</v>
      </c>
      <c r="AG39">
        <f ca="1"/>
        <v>0</v>
      </c>
      <c r="AH39" s="35">
        <f ca="1"/>
        <v>0</v>
      </c>
      <c r="AI39" s="35">
        <f ca="1"/>
        <v>0</v>
      </c>
      <c r="AJ39" s="35">
        <f ca="1"/>
        <v>0</v>
      </c>
      <c r="AK39" s="36">
        <f ca="1"/>
        <v>44819</v>
      </c>
      <c r="AL39" s="36">
        <f ca="1"/>
        <v>44819</v>
      </c>
      <c r="AM39" s="36">
        <f ca="1"/>
        <v>44851</v>
      </c>
      <c r="AN39" s="36">
        <f ca="1"/>
        <v>44851</v>
      </c>
      <c r="AO39" s="37">
        <f ca="1"/>
        <v>477395.70120235271</v>
      </c>
      <c r="AP39" s="37">
        <f ca="1"/>
        <v>403853.44443664269</v>
      </c>
      <c r="AQ39" s="41">
        <f ca="1"/>
        <v>73542.256765710015</v>
      </c>
      <c r="AR39" s="42">
        <f ca="1"/>
        <v>0</v>
      </c>
      <c r="AS39" s="42">
        <f ca="1"/>
        <v>0</v>
      </c>
      <c r="AT39">
        <f ca="1"/>
        <v>0</v>
      </c>
      <c r="AU39">
        <f ca="1"/>
        <v>0.1066438784420037</v>
      </c>
      <c r="AV39" s="4">
        <f ca="1"/>
        <v>2121.313024382353</v>
      </c>
      <c r="AW39" s="3">
        <f ca="1"/>
        <v>4.9989498154668056E-2</v>
      </c>
      <c r="AX39" t="str">
        <f ca="1"/>
        <v>SEQUENTIAL</v>
      </c>
      <c r="AY39" s="3">
        <f ca="1"/>
        <v>8.8888888888888892E-2</v>
      </c>
      <c r="AZ39" s="3">
        <f ca="1"/>
        <v>-1.050184533194407E-5</v>
      </c>
      <c r="BA39" s="45">
        <f ca="1"/>
        <v>44819</v>
      </c>
      <c r="BB39" s="3">
        <f ca="1"/>
        <v>1.0082582767695907</v>
      </c>
      <c r="BC39" s="3">
        <f ca="1"/>
        <v>1.0082582767695907</v>
      </c>
      <c r="BD39">
        <f ca="1"/>
        <v>0</v>
      </c>
      <c r="BE39" s="4">
        <f ca="1"/>
        <v>2138.8314144526398</v>
      </c>
      <c r="BF39" s="4">
        <f ca="1"/>
        <v>2138.8314144526398</v>
      </c>
      <c r="BG39" s="4">
        <f ca="1"/>
        <v>477395.70120235271</v>
      </c>
      <c r="BH39" s="45">
        <f ca="1"/>
        <v>44819</v>
      </c>
      <c r="BI39" s="45">
        <f ca="1"/>
        <v>44819</v>
      </c>
      <c r="BJ39" s="45">
        <f ca="1"/>
        <v>44851</v>
      </c>
      <c r="BK39" s="45">
        <f ca="1"/>
        <v>44851</v>
      </c>
      <c r="BL39" s="37">
        <f ca="1"/>
        <v>327888.95064369694</v>
      </c>
      <c r="BM39" s="37">
        <f ca="1"/>
        <v>259284.53313831703</v>
      </c>
      <c r="BN39" s="40">
        <f ca="1"/>
        <v>0</v>
      </c>
      <c r="BO39" s="42">
        <f ca="1"/>
        <v>68604.417505379912</v>
      </c>
      <c r="BP39" s="42">
        <f ca="1"/>
        <v>68604.417505379912</v>
      </c>
      <c r="BQ39">
        <f ca="1"/>
        <v>0.1066438784420037</v>
      </c>
      <c r="BR39">
        <f ca="1"/>
        <v>0.17511205325840623</v>
      </c>
      <c r="BS39" s="4">
        <f ca="1"/>
        <v>1456.9781416123676</v>
      </c>
      <c r="BT39" s="3">
        <f ca="1"/>
        <v>4.9989498154668056E-2</v>
      </c>
      <c r="BU39" t="str">
        <f ca="1"/>
        <v>SEQUENTIAL</v>
      </c>
      <c r="BV39" s="3">
        <f ca="1"/>
        <v>8.8888888888888892E-2</v>
      </c>
      <c r="BW39" s="3">
        <f ca="1"/>
        <v>-1.050184533194407E-5</v>
      </c>
      <c r="BX39" s="45">
        <f ca="1"/>
        <v>44819</v>
      </c>
      <c r="BY39" s="3">
        <f ca="1"/>
        <v>1.0082582767695907</v>
      </c>
      <c r="BZ39" s="3">
        <f ca="1"/>
        <v>1.0082582767695907</v>
      </c>
      <c r="CA39">
        <f ca="1"/>
        <v>0</v>
      </c>
      <c r="CB39" s="4">
        <f ca="1"/>
        <v>70639.982043108947</v>
      </c>
      <c r="CC39" s="4">
        <f ca="1"/>
        <v>70639.982043108947</v>
      </c>
      <c r="CD39" s="4">
        <f ca="1"/>
        <v>327888.95064369694</v>
      </c>
      <c r="CE39" t="e">
        <f ca="1"/>
        <v>#N/A</v>
      </c>
      <c r="CF39" t="e">
        <f ca="1"/>
        <v>#N/A</v>
      </c>
      <c r="CG39" t="e">
        <f ca="1"/>
        <v>#N/A</v>
      </c>
      <c r="CH39" t="e">
        <f ca="1"/>
        <v>#N/A</v>
      </c>
      <c r="CI39" t="e">
        <f ca="1"/>
        <v>#N/A</v>
      </c>
      <c r="CJ39" t="e">
        <f ca="1"/>
        <v>#N/A</v>
      </c>
      <c r="CK39" t="e">
        <f ca="1"/>
        <v>#N/A</v>
      </c>
      <c r="CL39" t="e">
        <f ca="1"/>
        <v>#N/A</v>
      </c>
      <c r="CM39" t="e">
        <f ca="1"/>
        <v>#N/A</v>
      </c>
      <c r="CN39" t="e">
        <f ca="1"/>
        <v>#N/A</v>
      </c>
    </row>
    <row r="40" spans="2:92" x14ac:dyDescent="0.25">
      <c r="B40">
        <f ca="1"/>
        <v>33</v>
      </c>
      <c r="C40" s="37">
        <f ca="1"/>
        <v>3786935.0809129747</v>
      </c>
      <c r="D40" s="37">
        <f ca="1"/>
        <v>3690232.0408686893</v>
      </c>
      <c r="E40" s="35">
        <f ca="1"/>
        <v>25016.327679904236</v>
      </c>
      <c r="F40" s="35">
        <f ca="1"/>
        <v>0</v>
      </c>
      <c r="G40" s="35">
        <f ca="1"/>
        <v>43012.027418627644</v>
      </c>
      <c r="H40" s="35">
        <f ca="1"/>
        <v>0</v>
      </c>
      <c r="I40" s="35">
        <f ca="1"/>
        <v>71686.712364379477</v>
      </c>
      <c r="J40" s="35">
        <f ca="1"/>
        <v>157788.96170470738</v>
      </c>
      <c r="K40" s="35">
        <f ca="1"/>
        <v>3667833.267927737</v>
      </c>
      <c r="L40" s="35">
        <f ca="1"/>
        <v>3667833.267927737</v>
      </c>
      <c r="M40" s="35">
        <f ca="1"/>
        <v>2200699.9607566423</v>
      </c>
      <c r="N40" s="45">
        <f ca="1"/>
        <v>44851</v>
      </c>
      <c r="O40" s="45">
        <f ca="1"/>
        <v>44851</v>
      </c>
      <c r="P40" s="45">
        <f ca="1"/>
        <v>44880</v>
      </c>
      <c r="Q40" s="45">
        <f ca="1"/>
        <v>44880</v>
      </c>
      <c r="R40" s="37">
        <f ca="1"/>
        <v>0</v>
      </c>
      <c r="S40" s="37">
        <f ca="1"/>
        <v>0</v>
      </c>
      <c r="T40" s="41">
        <f ca="1"/>
        <v>0</v>
      </c>
      <c r="U40" s="42">
        <f ca="1"/>
        <v>0</v>
      </c>
      <c r="V40" s="42">
        <f ca="1"/>
        <v>0</v>
      </c>
      <c r="W40">
        <f ca="1"/>
        <v>0</v>
      </c>
      <c r="X40">
        <f ca="1"/>
        <v>0</v>
      </c>
      <c r="Y40" s="4">
        <f ca="1"/>
        <v>0</v>
      </c>
      <c r="Z40" s="3">
        <f ca="1"/>
        <v>5.0161393708586945E-2</v>
      </c>
      <c r="AA40" t="str">
        <f ca="1"/>
        <v>SEQUENTIAL</v>
      </c>
      <c r="AB40" s="3">
        <f ca="1"/>
        <v>8.0555555555555561E-2</v>
      </c>
      <c r="AC40" s="3">
        <f ca="1"/>
        <v>1.6139370858694286E-4</v>
      </c>
      <c r="AD40" s="45">
        <f ca="1"/>
        <v>44851</v>
      </c>
      <c r="AE40" s="3">
        <f ca="1"/>
        <v>1.0082590502263371</v>
      </c>
      <c r="AF40" s="3">
        <f ca="1"/>
        <v>1.0082590502263371</v>
      </c>
      <c r="AG40">
        <f ca="1"/>
        <v>0</v>
      </c>
      <c r="AH40" s="35">
        <f ca="1"/>
        <v>0</v>
      </c>
      <c r="AI40" s="35">
        <f ca="1"/>
        <v>0</v>
      </c>
      <c r="AJ40" s="35">
        <f ca="1"/>
        <v>0</v>
      </c>
      <c r="AK40" s="36">
        <f ca="1"/>
        <v>44851</v>
      </c>
      <c r="AL40" s="36">
        <f ca="1"/>
        <v>44851</v>
      </c>
      <c r="AM40" s="36">
        <f ca="1"/>
        <v>44880</v>
      </c>
      <c r="AN40" s="36">
        <f ca="1"/>
        <v>44880</v>
      </c>
      <c r="AO40" s="37">
        <f ca="1"/>
        <v>403853.44443664269</v>
      </c>
      <c r="AP40" s="37">
        <f ca="1"/>
        <v>332166.7320722632</v>
      </c>
      <c r="AQ40" s="41">
        <f ca="1"/>
        <v>71686.712364379477</v>
      </c>
      <c r="AR40" s="42">
        <f ca="1"/>
        <v>0</v>
      </c>
      <c r="AS40" s="42">
        <f ca="1"/>
        <v>0</v>
      </c>
      <c r="AT40">
        <f ca="1"/>
        <v>0</v>
      </c>
      <c r="AU40">
        <f ca="1"/>
        <v>9.0012424257763041E-2</v>
      </c>
      <c r="AV40" s="4">
        <f ca="1"/>
        <v>1631.8824921714054</v>
      </c>
      <c r="AW40" s="3">
        <f ca="1"/>
        <v>5.0161393708586945E-2</v>
      </c>
      <c r="AX40" t="str">
        <f ca="1"/>
        <v>SEQUENTIAL</v>
      </c>
      <c r="AY40" s="3">
        <f ca="1"/>
        <v>8.0555555555555561E-2</v>
      </c>
      <c r="AZ40" s="3">
        <f ca="1"/>
        <v>1.6139370858694286E-4</v>
      </c>
      <c r="BA40" s="45">
        <f ca="1"/>
        <v>44851</v>
      </c>
      <c r="BB40" s="3">
        <f ca="1"/>
        <v>1.0082590502263371</v>
      </c>
      <c r="BC40" s="3">
        <f ca="1"/>
        <v>1.0082590502263371</v>
      </c>
      <c r="BD40">
        <f ca="1"/>
        <v>0</v>
      </c>
      <c r="BE40" s="4">
        <f ca="1"/>
        <v>1645.3602916377292</v>
      </c>
      <c r="BF40" s="4">
        <f ca="1"/>
        <v>1645.3602916377292</v>
      </c>
      <c r="BG40" s="4">
        <f ca="1"/>
        <v>403853.44443664269</v>
      </c>
      <c r="BH40" s="45">
        <f ca="1"/>
        <v>44851</v>
      </c>
      <c r="BI40" s="45">
        <f ca="1"/>
        <v>44851</v>
      </c>
      <c r="BJ40" s="45">
        <f ca="1"/>
        <v>44880</v>
      </c>
      <c r="BK40" s="45">
        <f ca="1"/>
        <v>44880</v>
      </c>
      <c r="BL40" s="37">
        <f ca="1"/>
        <v>259284.53313831703</v>
      </c>
      <c r="BM40" s="37">
        <f ca="1"/>
        <v>191256.17803978515</v>
      </c>
      <c r="BN40" s="40">
        <f ca="1"/>
        <v>0</v>
      </c>
      <c r="BO40" s="42">
        <f ca="1"/>
        <v>68028.355098531872</v>
      </c>
      <c r="BP40" s="42">
        <f ca="1"/>
        <v>68028.355098531872</v>
      </c>
      <c r="BQ40">
        <f ca="1"/>
        <v>9.0012424257763041E-2</v>
      </c>
      <c r="BR40">
        <f ca="1"/>
        <v>0.14184010769925282</v>
      </c>
      <c r="BS40" s="4">
        <f ca="1"/>
        <v>1047.7114803601391</v>
      </c>
      <c r="BT40" s="3">
        <f ca="1"/>
        <v>5.0161393708586945E-2</v>
      </c>
      <c r="BU40" t="str">
        <f ca="1"/>
        <v>SEQUENTIAL</v>
      </c>
      <c r="BV40" s="3">
        <f ca="1"/>
        <v>8.0555555555555561E-2</v>
      </c>
      <c r="BW40" s="3">
        <f ca="1"/>
        <v>1.6139370858694286E-4</v>
      </c>
      <c r="BX40" s="45">
        <f ca="1"/>
        <v>44851</v>
      </c>
      <c r="BY40" s="3">
        <f ca="1"/>
        <v>1.0082590502263371</v>
      </c>
      <c r="BZ40" s="3">
        <f ca="1"/>
        <v>1.0082590502263371</v>
      </c>
      <c r="CA40">
        <f ca="1"/>
        <v>0</v>
      </c>
      <c r="CB40" s="4">
        <f ca="1"/>
        <v>69646.569282204888</v>
      </c>
      <c r="CC40" s="4">
        <f ca="1"/>
        <v>69646.569282204888</v>
      </c>
      <c r="CD40" s="4">
        <f ca="1"/>
        <v>259284.53313831703</v>
      </c>
      <c r="CE40" t="e">
        <f ca="1"/>
        <v>#N/A</v>
      </c>
      <c r="CF40" t="e">
        <f ca="1"/>
        <v>#N/A</v>
      </c>
      <c r="CG40" t="e">
        <f ca="1"/>
        <v>#N/A</v>
      </c>
      <c r="CH40" t="e">
        <f ca="1"/>
        <v>#N/A</v>
      </c>
      <c r="CI40" t="e">
        <f ca="1"/>
        <v>#N/A</v>
      </c>
      <c r="CJ40" t="e">
        <f ca="1"/>
        <v>#N/A</v>
      </c>
      <c r="CK40" t="e">
        <f ca="1"/>
        <v>#N/A</v>
      </c>
      <c r="CL40" t="e">
        <f ca="1"/>
        <v>#N/A</v>
      </c>
      <c r="CM40" t="e">
        <f ca="1"/>
        <v>#N/A</v>
      </c>
      <c r="CN40" t="e">
        <f ca="1"/>
        <v>#N/A</v>
      </c>
    </row>
    <row r="41" spans="2:92" x14ac:dyDescent="0.25">
      <c r="B41">
        <f ca="1"/>
        <v>34</v>
      </c>
      <c r="C41" s="37">
        <f ca="1"/>
        <v>3690232.0408686893</v>
      </c>
      <c r="D41" s="37">
        <f ca="1"/>
        <v>3594810.5341113159</v>
      </c>
      <c r="E41" s="35">
        <f ca="1"/>
        <v>25565.383739866156</v>
      </c>
      <c r="F41" s="35">
        <f ca="1"/>
        <v>0</v>
      </c>
      <c r="G41" s="35">
        <f ca="1"/>
        <v>41913.673810504406</v>
      </c>
      <c r="H41" s="35">
        <f ca="1"/>
        <v>0</v>
      </c>
      <c r="I41" s="35">
        <f ca="1"/>
        <v>69856.123017507314</v>
      </c>
      <c r="J41" s="35">
        <f ca="1"/>
        <v>153759.66836952881</v>
      </c>
      <c r="K41" s="35">
        <f ca="1"/>
        <v>3737689.3909452441</v>
      </c>
      <c r="L41" s="35">
        <f ca="1"/>
        <v>3737689.3909452441</v>
      </c>
      <c r="M41" s="35">
        <f ca="1"/>
        <v>2242613.6345671467</v>
      </c>
      <c r="N41" s="45">
        <f ca="1"/>
        <v>44880</v>
      </c>
      <c r="O41" s="45">
        <f ca="1"/>
        <v>44880</v>
      </c>
      <c r="P41" s="45">
        <f ca="1"/>
        <v>44910</v>
      </c>
      <c r="Q41" s="45">
        <f ca="1"/>
        <v>44910</v>
      </c>
      <c r="R41" s="37">
        <f ca="1"/>
        <v>0</v>
      </c>
      <c r="S41" s="37">
        <f ca="1"/>
        <v>0</v>
      </c>
      <c r="T41" s="41">
        <f ca="1"/>
        <v>0</v>
      </c>
      <c r="U41" s="42">
        <f ca="1"/>
        <v>0</v>
      </c>
      <c r="V41" s="42">
        <f ca="1"/>
        <v>0</v>
      </c>
      <c r="W41">
        <f ca="1"/>
        <v>0</v>
      </c>
      <c r="X41">
        <f ca="1"/>
        <v>0</v>
      </c>
      <c r="Y41" s="4">
        <f ca="1"/>
        <v>0</v>
      </c>
      <c r="Z41" s="3">
        <f ca="1"/>
        <v>5.031900362086543E-2</v>
      </c>
      <c r="AA41" t="str">
        <f ca="1"/>
        <v>SEQUENTIAL</v>
      </c>
      <c r="AB41" s="3">
        <f ca="1"/>
        <v>8.3333333333333329E-2</v>
      </c>
      <c r="AC41" s="3">
        <f ca="1"/>
        <v>3.190036208654252E-4</v>
      </c>
      <c r="AD41" s="45">
        <f ca="1"/>
        <v>44880</v>
      </c>
      <c r="AE41" s="3">
        <f ca="1"/>
        <v>1.008246582000119</v>
      </c>
      <c r="AF41" s="3">
        <f ca="1"/>
        <v>1.008246582000119</v>
      </c>
      <c r="AG41">
        <f ca="1"/>
        <v>0</v>
      </c>
      <c r="AH41" s="35">
        <f ca="1"/>
        <v>0</v>
      </c>
      <c r="AI41" s="35">
        <f ca="1"/>
        <v>0</v>
      </c>
      <c r="AJ41" s="35">
        <f ca="1"/>
        <v>0</v>
      </c>
      <c r="AK41" s="36">
        <f ca="1"/>
        <v>44880</v>
      </c>
      <c r="AL41" s="36">
        <f ca="1"/>
        <v>44880</v>
      </c>
      <c r="AM41" s="36">
        <f ca="1"/>
        <v>44910</v>
      </c>
      <c r="AN41" s="36">
        <f ca="1"/>
        <v>44910</v>
      </c>
      <c r="AO41" s="37">
        <f ca="1"/>
        <v>332166.7320722632</v>
      </c>
      <c r="AP41" s="37">
        <f ca="1"/>
        <v>262310.60905475589</v>
      </c>
      <c r="AQ41" s="41">
        <f ca="1"/>
        <v>69856.123017507314</v>
      </c>
      <c r="AR41" s="42">
        <f ca="1"/>
        <v>0</v>
      </c>
      <c r="AS41" s="42">
        <f ca="1"/>
        <v>0</v>
      </c>
      <c r="AT41">
        <f ca="1"/>
        <v>0</v>
      </c>
      <c r="AU41">
        <f ca="1"/>
        <v>7.2969244572329728E-2</v>
      </c>
      <c r="AV41" s="4">
        <f ca="1"/>
        <v>1392.8582494896041</v>
      </c>
      <c r="AW41" s="3">
        <f ca="1"/>
        <v>5.031900362086543E-2</v>
      </c>
      <c r="AX41" t="str">
        <f ca="1"/>
        <v>SEQUENTIAL</v>
      </c>
      <c r="AY41" s="3">
        <f ca="1"/>
        <v>8.3333333333333329E-2</v>
      </c>
      <c r="AZ41" s="3">
        <f ca="1"/>
        <v>3.190036208654252E-4</v>
      </c>
      <c r="BA41" s="45">
        <f ca="1"/>
        <v>44880</v>
      </c>
      <c r="BB41" s="3">
        <f ca="1"/>
        <v>1.008246582000119</v>
      </c>
      <c r="BC41" s="3">
        <f ca="1"/>
        <v>1.008246582000119</v>
      </c>
      <c r="BD41">
        <f ca="1"/>
        <v>0</v>
      </c>
      <c r="BE41" s="4">
        <f ca="1"/>
        <v>1404.3445692585622</v>
      </c>
      <c r="BF41" s="4">
        <f ca="1"/>
        <v>1404.3445692585622</v>
      </c>
      <c r="BG41" s="4">
        <f ca="1"/>
        <v>332166.7320722632</v>
      </c>
      <c r="BH41" s="45">
        <f ca="1"/>
        <v>44880</v>
      </c>
      <c r="BI41" s="45">
        <f ca="1"/>
        <v>44880</v>
      </c>
      <c r="BJ41" s="45">
        <f ca="1"/>
        <v>44910</v>
      </c>
      <c r="BK41" s="45">
        <f ca="1"/>
        <v>44910</v>
      </c>
      <c r="BL41" s="37">
        <f ca="1"/>
        <v>191256.17803978515</v>
      </c>
      <c r="BM41" s="37">
        <f ca="1"/>
        <v>123777.12048941459</v>
      </c>
      <c r="BN41" s="40">
        <f ca="1"/>
        <v>0</v>
      </c>
      <c r="BO41" s="42">
        <f ca="1"/>
        <v>67479.057550370562</v>
      </c>
      <c r="BP41" s="42">
        <f ca="1"/>
        <v>67479.057550370562</v>
      </c>
      <c r="BQ41">
        <f ca="1"/>
        <v>7.2969244572329728E-2</v>
      </c>
      <c r="BR41">
        <f ca="1"/>
        <v>0.10740141264207584</v>
      </c>
      <c r="BS41" s="4">
        <f ca="1"/>
        <v>801.98502627473601</v>
      </c>
      <c r="BT41" s="3">
        <f ca="1"/>
        <v>5.031900362086543E-2</v>
      </c>
      <c r="BU41" t="str">
        <f ca="1"/>
        <v>SEQUENTIAL</v>
      </c>
      <c r="BV41" s="3">
        <f ca="1"/>
        <v>8.3333333333333329E-2</v>
      </c>
      <c r="BW41" s="3">
        <f ca="1"/>
        <v>3.190036208654252E-4</v>
      </c>
      <c r="BX41" s="45">
        <f ca="1"/>
        <v>44880</v>
      </c>
      <c r="BY41" s="3">
        <f ca="1"/>
        <v>1.008246582000119</v>
      </c>
      <c r="BZ41" s="3">
        <f ca="1"/>
        <v>1.008246582000119</v>
      </c>
      <c r="CA41">
        <f ca="1"/>
        <v>0</v>
      </c>
      <c r="CB41" s="4">
        <f ca="1"/>
        <v>68844.127793307212</v>
      </c>
      <c r="CC41" s="4">
        <f ca="1"/>
        <v>68844.127793307212</v>
      </c>
      <c r="CD41" s="4">
        <f ca="1"/>
        <v>191256.17803978515</v>
      </c>
      <c r="CE41" t="e">
        <f ca="1"/>
        <v>#N/A</v>
      </c>
      <c r="CF41" t="e">
        <f ca="1"/>
        <v>#N/A</v>
      </c>
      <c r="CG41" t="e">
        <f ca="1"/>
        <v>#N/A</v>
      </c>
      <c r="CH41" t="e">
        <f ca="1"/>
        <v>#N/A</v>
      </c>
      <c r="CI41" t="e">
        <f ca="1"/>
        <v>#N/A</v>
      </c>
      <c r="CJ41" t="e">
        <f ca="1"/>
        <v>#N/A</v>
      </c>
      <c r="CK41" t="e">
        <f ca="1"/>
        <v>#N/A</v>
      </c>
      <c r="CL41" t="e">
        <f ca="1"/>
        <v>#N/A</v>
      </c>
      <c r="CM41" t="e">
        <f ca="1"/>
        <v>#N/A</v>
      </c>
      <c r="CN41" t="e">
        <f ca="1"/>
        <v>#N/A</v>
      </c>
    </row>
    <row r="42" spans="2:92" x14ac:dyDescent="0.25">
      <c r="B42">
        <f ca="1"/>
        <v>35</v>
      </c>
      <c r="C42" s="37">
        <f ca="1"/>
        <v>3594810.5341113159</v>
      </c>
      <c r="D42" s="37">
        <f ca="1"/>
        <v>3500634.2505732216</v>
      </c>
      <c r="E42" s="35">
        <f ca="1"/>
        <v>26126.490431752922</v>
      </c>
      <c r="F42" s="35">
        <f ca="1"/>
        <v>0</v>
      </c>
      <c r="G42" s="35">
        <f ca="1"/>
        <v>40829.875863805646</v>
      </c>
      <c r="H42" s="35">
        <f ca="1"/>
        <v>0</v>
      </c>
      <c r="I42" s="35">
        <f ca="1"/>
        <v>68049.793106342753</v>
      </c>
      <c r="J42" s="35">
        <f ca="1"/>
        <v>149783.77225463811</v>
      </c>
      <c r="K42" s="35">
        <f ca="1"/>
        <v>3805739.1840515868</v>
      </c>
      <c r="L42" s="35">
        <f ca="1"/>
        <v>3805739.1840515868</v>
      </c>
      <c r="M42" s="35">
        <f ca="1"/>
        <v>2283443.5104309525</v>
      </c>
      <c r="N42" s="45">
        <f ca="1"/>
        <v>44910</v>
      </c>
      <c r="O42" s="45">
        <f ca="1"/>
        <v>44910</v>
      </c>
      <c r="P42" s="45">
        <f ca="1"/>
        <v>44942</v>
      </c>
      <c r="Q42" s="45">
        <f ca="1"/>
        <v>44942</v>
      </c>
      <c r="R42" s="37">
        <f ca="1"/>
        <v>0</v>
      </c>
      <c r="S42" s="37">
        <f ca="1"/>
        <v>0</v>
      </c>
      <c r="T42" s="41">
        <f ca="1"/>
        <v>0</v>
      </c>
      <c r="U42" s="42">
        <f ca="1"/>
        <v>0</v>
      </c>
      <c r="V42" s="42">
        <f ca="1"/>
        <v>0</v>
      </c>
      <c r="W42">
        <f ca="1"/>
        <v>0</v>
      </c>
      <c r="X42">
        <f ca="1"/>
        <v>0</v>
      </c>
      <c r="Y42" s="4">
        <f ca="1"/>
        <v>0</v>
      </c>
      <c r="Z42" s="3">
        <f ca="1"/>
        <v>5.0483046443161671E-2</v>
      </c>
      <c r="AA42" t="str">
        <f ca="1"/>
        <v>SEQUENTIAL</v>
      </c>
      <c r="AB42" s="3">
        <f ca="1"/>
        <v>8.8888888888888892E-2</v>
      </c>
      <c r="AC42" s="3">
        <f ca="1"/>
        <v>4.8304644316167039E-4</v>
      </c>
      <c r="AD42" s="45">
        <f ca="1"/>
        <v>44910</v>
      </c>
      <c r="AE42" s="3">
        <f ca="1"/>
        <v>1.0082181068338696</v>
      </c>
      <c r="AF42" s="3">
        <f ca="1"/>
        <v>1.0082181068338696</v>
      </c>
      <c r="AG42">
        <f ca="1"/>
        <v>0</v>
      </c>
      <c r="AH42" s="35">
        <f ca="1"/>
        <v>0</v>
      </c>
      <c r="AI42" s="35">
        <f ca="1"/>
        <v>0</v>
      </c>
      <c r="AJ42" s="35">
        <f ca="1"/>
        <v>0</v>
      </c>
      <c r="AK42" s="36">
        <f ca="1"/>
        <v>44910</v>
      </c>
      <c r="AL42" s="36">
        <f ca="1"/>
        <v>44910</v>
      </c>
      <c r="AM42" s="36">
        <f ca="1"/>
        <v>44942</v>
      </c>
      <c r="AN42" s="36">
        <f ca="1"/>
        <v>44942</v>
      </c>
      <c r="AO42" s="37">
        <f ca="1"/>
        <v>262310.60905475589</v>
      </c>
      <c r="AP42" s="37">
        <f ca="1"/>
        <v>194260.81594841313</v>
      </c>
      <c r="AQ42" s="41">
        <f ca="1"/>
        <v>68049.793106342753</v>
      </c>
      <c r="AR42" s="42">
        <f ca="1"/>
        <v>0</v>
      </c>
      <c r="AS42" s="42">
        <f ca="1"/>
        <v>0</v>
      </c>
      <c r="AT42">
        <f ca="1"/>
        <v>0</v>
      </c>
      <c r="AU42">
        <f ca="1"/>
        <v>5.5493034131344432E-2</v>
      </c>
      <c r="AV42" s="4">
        <f ca="1"/>
        <v>1177.0878808395792</v>
      </c>
      <c r="AW42" s="3">
        <f ca="1"/>
        <v>5.0483046443161671E-2</v>
      </c>
      <c r="AX42" t="str">
        <f ca="1"/>
        <v>SEQUENTIAL</v>
      </c>
      <c r="AY42" s="3">
        <f ca="1"/>
        <v>8.8888888888888892E-2</v>
      </c>
      <c r="AZ42" s="3">
        <f ca="1"/>
        <v>4.8304644316167039E-4</v>
      </c>
      <c r="BA42" s="45">
        <f ca="1"/>
        <v>44910</v>
      </c>
      <c r="BB42" s="3">
        <f ca="1"/>
        <v>1.0082181068338696</v>
      </c>
      <c r="BC42" s="3">
        <f ca="1"/>
        <v>1.0082181068338696</v>
      </c>
      <c r="BD42">
        <f ca="1"/>
        <v>0</v>
      </c>
      <c r="BE42" s="4">
        <f ca="1"/>
        <v>1186.761314797172</v>
      </c>
      <c r="BF42" s="4">
        <f ca="1"/>
        <v>1186.761314797172</v>
      </c>
      <c r="BG42" s="4">
        <f ca="1"/>
        <v>262310.60905475589</v>
      </c>
      <c r="BH42" s="45">
        <f ca="1"/>
        <v>44910</v>
      </c>
      <c r="BI42" s="45">
        <f ca="1"/>
        <v>44910</v>
      </c>
      <c r="BJ42" s="45">
        <f ca="1"/>
        <v>44942</v>
      </c>
      <c r="BK42" s="45">
        <f ca="1"/>
        <v>44942</v>
      </c>
      <c r="BL42" s="37">
        <f ca="1"/>
        <v>123777.12048941459</v>
      </c>
      <c r="BM42" s="37">
        <f ca="1"/>
        <v>56820.754193856017</v>
      </c>
      <c r="BN42" s="40">
        <f ca="1"/>
        <v>0</v>
      </c>
      <c r="BO42" s="42">
        <f ca="1"/>
        <v>66956.366295558575</v>
      </c>
      <c r="BP42" s="42">
        <f ca="1"/>
        <v>66956.366295558575</v>
      </c>
      <c r="BQ42">
        <f ca="1"/>
        <v>5.5493034131344432E-2</v>
      </c>
      <c r="BR42">
        <f ca="1"/>
        <v>7.1724593936414532E-2</v>
      </c>
      <c r="BS42" s="4">
        <f ca="1"/>
        <v>555.43521086826081</v>
      </c>
      <c r="BT42" s="3">
        <f ca="1"/>
        <v>5.0483046443161671E-2</v>
      </c>
      <c r="BU42" t="str">
        <f ca="1"/>
        <v>SEQUENTIAL</v>
      </c>
      <c r="BV42" s="3">
        <f ca="1"/>
        <v>8.8888888888888892E-2</v>
      </c>
      <c r="BW42" s="3">
        <f ca="1"/>
        <v>4.8304644316167039E-4</v>
      </c>
      <c r="BX42" s="45">
        <f ca="1"/>
        <v>44910</v>
      </c>
      <c r="BY42" s="3">
        <f ca="1"/>
        <v>1.0082181068338696</v>
      </c>
      <c r="BZ42" s="3">
        <f ca="1"/>
        <v>1.0082181068338696</v>
      </c>
      <c r="CA42">
        <f ca="1"/>
        <v>0</v>
      </c>
      <c r="CB42" s="4">
        <f ca="1"/>
        <v>68066.620703753651</v>
      </c>
      <c r="CC42" s="4">
        <f ca="1"/>
        <v>68066.620703753651</v>
      </c>
      <c r="CD42" s="4">
        <f ca="1"/>
        <v>123777.12048941459</v>
      </c>
      <c r="CE42" t="e">
        <f ca="1"/>
        <v>#N/A</v>
      </c>
      <c r="CF42" t="e">
        <f ca="1"/>
        <v>#N/A</v>
      </c>
      <c r="CG42" t="e">
        <f ca="1"/>
        <v>#N/A</v>
      </c>
      <c r="CH42" t="e">
        <f ca="1"/>
        <v>#N/A</v>
      </c>
      <c r="CI42" t="e">
        <f ca="1"/>
        <v>#N/A</v>
      </c>
      <c r="CJ42" t="e">
        <f ca="1"/>
        <v>#N/A</v>
      </c>
      <c r="CK42" t="e">
        <f ca="1"/>
        <v>#N/A</v>
      </c>
      <c r="CL42" t="e">
        <f ca="1"/>
        <v>#N/A</v>
      </c>
      <c r="CM42" t="e">
        <f ca="1"/>
        <v>#N/A</v>
      </c>
      <c r="CN42" t="e">
        <f ca="1"/>
        <v>#N/A</v>
      </c>
    </row>
    <row r="43" spans="2:92" x14ac:dyDescent="0.25">
      <c r="B43">
        <f ca="1"/>
        <v>36</v>
      </c>
      <c r="C43" s="37">
        <f ca="1"/>
        <v>3500634.2505732216</v>
      </c>
      <c r="D43" s="37">
        <f ca="1"/>
        <v>3407667.3030504896</v>
      </c>
      <c r="E43" s="35">
        <f ca="1"/>
        <v>26699.91224172603</v>
      </c>
      <c r="F43" s="35">
        <f ca="1"/>
        <v>0</v>
      </c>
      <c r="G43" s="35">
        <f ca="1"/>
        <v>39760.221168603268</v>
      </c>
      <c r="H43" s="35">
        <f ca="1"/>
        <v>0</v>
      </c>
      <c r="I43" s="35">
        <f ca="1"/>
        <v>66267.035281005505</v>
      </c>
      <c r="J43" s="35">
        <f ca="1"/>
        <v>145859.76044055086</v>
      </c>
      <c r="K43" s="35">
        <f ca="1"/>
        <v>3872006.2193325921</v>
      </c>
      <c r="L43" s="35">
        <f ca="1"/>
        <v>3872006.2193325921</v>
      </c>
      <c r="M43" s="35">
        <f ca="1"/>
        <v>2323203.7315995558</v>
      </c>
      <c r="N43" s="45">
        <f ca="1"/>
        <v>44942</v>
      </c>
      <c r="O43" s="45">
        <f ca="1"/>
        <v>44942</v>
      </c>
      <c r="P43" s="45">
        <f ca="1"/>
        <v>44972</v>
      </c>
      <c r="Q43" s="45">
        <f ca="1"/>
        <v>44972</v>
      </c>
      <c r="R43" s="37">
        <f ca="1"/>
        <v>0</v>
      </c>
      <c r="S43" s="37">
        <f ca="1"/>
        <v>0</v>
      </c>
      <c r="T43" s="41">
        <f ca="1"/>
        <v>0</v>
      </c>
      <c r="U43" s="42">
        <f ca="1"/>
        <v>0</v>
      </c>
      <c r="V43" s="42">
        <f ca="1"/>
        <v>0</v>
      </c>
      <c r="W43">
        <f ca="1"/>
        <v>0</v>
      </c>
      <c r="X43">
        <f ca="1"/>
        <v>0</v>
      </c>
      <c r="Y43" s="4">
        <f ca="1"/>
        <v>0</v>
      </c>
      <c r="Z43" s="3">
        <f ca="1"/>
        <v>5.0660963744340558E-2</v>
      </c>
      <c r="AA43" t="str">
        <f ca="1"/>
        <v>SEQUENTIAL</v>
      </c>
      <c r="AB43" s="3">
        <f ca="1"/>
        <v>8.3333333333333329E-2</v>
      </c>
      <c r="AC43" s="3">
        <f ca="1"/>
        <v>6.6096374434055575E-4</v>
      </c>
      <c r="AD43" s="45">
        <f ca="1"/>
        <v>44942</v>
      </c>
      <c r="AE43" s="3">
        <f ca="1"/>
        <v>1.0081768971193279</v>
      </c>
      <c r="AF43" s="3">
        <f ca="1"/>
        <v>1.0081768971193279</v>
      </c>
      <c r="AG43">
        <f ca="1"/>
        <v>0</v>
      </c>
      <c r="AH43" s="35">
        <f ca="1"/>
        <v>0</v>
      </c>
      <c r="AI43" s="35">
        <f ca="1"/>
        <v>0</v>
      </c>
      <c r="AJ43" s="35">
        <f ca="1"/>
        <v>0</v>
      </c>
      <c r="AK43" s="36">
        <f ca="1"/>
        <v>44942</v>
      </c>
      <c r="AL43" s="36">
        <f ca="1"/>
        <v>44942</v>
      </c>
      <c r="AM43" s="36">
        <f ca="1"/>
        <v>44972</v>
      </c>
      <c r="AN43" s="36">
        <f ca="1"/>
        <v>44972</v>
      </c>
      <c r="AO43" s="37">
        <f ca="1"/>
        <v>194260.81594841313</v>
      </c>
      <c r="AP43" s="37">
        <f ca="1"/>
        <v>118354.40145093435</v>
      </c>
      <c r="AQ43" s="41">
        <f ca="1"/>
        <v>66267.035281005505</v>
      </c>
      <c r="AR43" s="42">
        <f ca="1"/>
        <v>9639.3792164732731</v>
      </c>
      <c r="AS43" s="42">
        <f ca="1"/>
        <v>9639.3792164732731</v>
      </c>
      <c r="AT43">
        <f ca="1"/>
        <v>0</v>
      </c>
      <c r="AU43">
        <f ca="1"/>
        <v>3.4731794780841832E-2</v>
      </c>
      <c r="AV43" s="4">
        <f ca="1"/>
        <v>820.12001280904769</v>
      </c>
      <c r="AW43" s="3">
        <f ca="1"/>
        <v>5.0660963744340558E-2</v>
      </c>
      <c r="AX43" t="str">
        <f ca="1"/>
        <v>SEQUENTIAL</v>
      </c>
      <c r="AY43" s="3">
        <f ca="1"/>
        <v>8.3333333333333329E-2</v>
      </c>
      <c r="AZ43" s="3">
        <f ca="1"/>
        <v>6.6096374434055575E-4</v>
      </c>
      <c r="BA43" s="45">
        <f ca="1"/>
        <v>44942</v>
      </c>
      <c r="BB43" s="3">
        <f ca="1"/>
        <v>1.0081768971193279</v>
      </c>
      <c r="BC43" s="3">
        <f ca="1"/>
        <v>1.0081768971193279</v>
      </c>
      <c r="BD43">
        <f ca="1"/>
        <v>0</v>
      </c>
      <c r="BE43" s="4">
        <f ca="1"/>
        <v>10545.025478399852</v>
      </c>
      <c r="BF43" s="4">
        <f ca="1"/>
        <v>10545.025478399852</v>
      </c>
      <c r="BG43" s="4">
        <f ca="1"/>
        <v>194260.81594841313</v>
      </c>
      <c r="BH43" s="45">
        <f ca="1"/>
        <v>44942</v>
      </c>
      <c r="BI43" s="45">
        <f ca="1"/>
        <v>44942</v>
      </c>
      <c r="BJ43" s="45">
        <f ca="1"/>
        <v>44972</v>
      </c>
      <c r="BK43" s="45">
        <f ca="1"/>
        <v>44972</v>
      </c>
      <c r="BL43" s="37">
        <f ca="1"/>
        <v>56820.754193856017</v>
      </c>
      <c r="BM43" s="37">
        <f ca="1"/>
        <v>0</v>
      </c>
      <c r="BN43" s="40">
        <f ca="1"/>
        <v>0</v>
      </c>
      <c r="BO43" s="42">
        <f ca="1"/>
        <v>56820.754193856017</v>
      </c>
      <c r="BP43" s="42">
        <f ca="1"/>
        <v>56820.754193856017</v>
      </c>
      <c r="BQ43">
        <f ca="1"/>
        <v>3.4731794780841832E-2</v>
      </c>
      <c r="BR43">
        <f ca="1"/>
        <v>3.4731794780841832E-2</v>
      </c>
      <c r="BS43" s="4">
        <f ca="1"/>
        <v>239.88284734508551</v>
      </c>
      <c r="BT43" s="3">
        <f ca="1"/>
        <v>5.0660963744340558E-2</v>
      </c>
      <c r="BU43" t="str">
        <f ca="1"/>
        <v>SEQUENTIAL</v>
      </c>
      <c r="BV43" s="3">
        <f ca="1"/>
        <v>8.3333333333333329E-2</v>
      </c>
      <c r="BW43" s="3">
        <f ca="1"/>
        <v>6.6096374434055575E-4</v>
      </c>
      <c r="BX43" s="45">
        <f ca="1"/>
        <v>44942</v>
      </c>
      <c r="BY43" s="3">
        <f ca="1"/>
        <v>1.0081768971193279</v>
      </c>
      <c r="BZ43" s="3">
        <f ca="1"/>
        <v>1.0081768971193279</v>
      </c>
      <c r="CA43">
        <f ca="1"/>
        <v>0</v>
      </c>
      <c r="CB43" s="4">
        <f ca="1"/>
        <v>57527.215999850312</v>
      </c>
      <c r="CC43" s="4">
        <f ca="1"/>
        <v>57527.215999850312</v>
      </c>
      <c r="CD43" s="4">
        <f ca="1"/>
        <v>56820.754193856017</v>
      </c>
      <c r="CE43" t="e">
        <f ca="1"/>
        <v>#N/A</v>
      </c>
      <c r="CF43" t="e">
        <f ca="1"/>
        <v>#N/A</v>
      </c>
      <c r="CG43" t="e">
        <f ca="1"/>
        <v>#N/A</v>
      </c>
      <c r="CH43" t="e">
        <f ca="1"/>
        <v>#N/A</v>
      </c>
      <c r="CI43" t="e">
        <f ca="1"/>
        <v>#N/A</v>
      </c>
      <c r="CJ43" t="e">
        <f ca="1"/>
        <v>#N/A</v>
      </c>
      <c r="CK43" t="e">
        <f ca="1"/>
        <v>#N/A</v>
      </c>
      <c r="CL43" t="e">
        <f ca="1"/>
        <v>#N/A</v>
      </c>
      <c r="CM43" t="e">
        <f ca="1"/>
        <v>#N/A</v>
      </c>
      <c r="CN43" t="e">
        <f ca="1"/>
        <v>#N/A</v>
      </c>
    </row>
    <row r="44" spans="2:92" x14ac:dyDescent="0.25">
      <c r="B44">
        <f ca="1"/>
        <v>37</v>
      </c>
      <c r="C44" s="37">
        <f ca="1"/>
        <v>3407667.3030504896</v>
      </c>
      <c r="D44" s="37">
        <f ca="1"/>
        <v>3315874.2133931969</v>
      </c>
      <c r="E44" s="35">
        <f ca="1"/>
        <v>27285.919460865072</v>
      </c>
      <c r="F44" s="35">
        <f ca="1"/>
        <v>0</v>
      </c>
      <c r="G44" s="35">
        <f ca="1"/>
        <v>38704.302117857442</v>
      </c>
      <c r="H44" s="35">
        <f ca="1"/>
        <v>0</v>
      </c>
      <c r="I44" s="35">
        <f ca="1"/>
        <v>64507.170196429033</v>
      </c>
      <c r="J44" s="35">
        <f ca="1"/>
        <v>141986.13762710372</v>
      </c>
      <c r="K44" s="35">
        <f ca="1"/>
        <v>3936513.389529021</v>
      </c>
      <c r="L44" s="35">
        <f ca="1"/>
        <v>3936513.389529021</v>
      </c>
      <c r="M44" s="35">
        <f ca="1"/>
        <v>2361908.0337174134</v>
      </c>
      <c r="N44" s="45">
        <f ca="1"/>
        <v>44972</v>
      </c>
      <c r="O44" s="45">
        <f ca="1"/>
        <v>44972</v>
      </c>
      <c r="P44" s="45">
        <f ca="1"/>
        <v>45000</v>
      </c>
      <c r="Q44" s="45">
        <f ca="1"/>
        <v>45000</v>
      </c>
      <c r="R44" s="37">
        <f ca="1"/>
        <v>0</v>
      </c>
      <c r="S44" s="37">
        <f ca="1"/>
        <v>0</v>
      </c>
      <c r="T44" s="41">
        <f ca="1"/>
        <v>0</v>
      </c>
      <c r="U44" s="42">
        <f ca="1"/>
        <v>0</v>
      </c>
      <c r="V44" s="42">
        <f ca="1"/>
        <v>0</v>
      </c>
      <c r="W44">
        <f ca="1"/>
        <v>0</v>
      </c>
      <c r="X44">
        <f ca="1"/>
        <v>0</v>
      </c>
      <c r="Y44" s="4">
        <f ca="1"/>
        <v>0</v>
      </c>
      <c r="Z44" s="3">
        <f ca="1"/>
        <v>5.0832981932683874E-2</v>
      </c>
      <c r="AA44" t="str">
        <f ca="1"/>
        <v>SEQUENTIAL</v>
      </c>
      <c r="AB44" s="3">
        <f ca="1"/>
        <v>7.7777777777777779E-2</v>
      </c>
      <c r="AC44" s="3">
        <f ca="1"/>
        <v>8.3298193268387197E-4</v>
      </c>
      <c r="AD44" s="45">
        <f ca="1"/>
        <v>44972</v>
      </c>
      <c r="AE44" s="3">
        <f ca="1"/>
        <v>1.0081255171456918</v>
      </c>
      <c r="AF44" s="3">
        <f ca="1"/>
        <v>1.0081255171456918</v>
      </c>
      <c r="AG44">
        <f ca="1"/>
        <v>0</v>
      </c>
      <c r="AH44" s="35">
        <f ca="1"/>
        <v>0</v>
      </c>
      <c r="AI44" s="35">
        <f ca="1"/>
        <v>0</v>
      </c>
      <c r="AJ44" s="35">
        <f ca="1"/>
        <v>0</v>
      </c>
      <c r="AK44" s="36">
        <f ca="1"/>
        <v>44972</v>
      </c>
      <c r="AL44" s="36">
        <f ca="1"/>
        <v>44972</v>
      </c>
      <c r="AM44" s="36">
        <f ca="1"/>
        <v>45000</v>
      </c>
      <c r="AN44" s="36">
        <f ca="1"/>
        <v>45000</v>
      </c>
      <c r="AO44" s="37">
        <f ca="1"/>
        <v>118354.40145093435</v>
      </c>
      <c r="AP44" s="37">
        <f ca="1"/>
        <v>0</v>
      </c>
      <c r="AQ44" s="41">
        <f ca="1"/>
        <v>64507.170196429033</v>
      </c>
      <c r="AR44" s="42">
        <f ca="1"/>
        <v>53847.231254505321</v>
      </c>
      <c r="AS44" s="42">
        <f ca="1"/>
        <v>53847.231254505321</v>
      </c>
      <c r="AT44">
        <f ca="1"/>
        <v>0</v>
      </c>
      <c r="AU44">
        <f ca="1"/>
        <v>0</v>
      </c>
      <c r="AV44" s="4">
        <f ca="1"/>
        <v>467.9350006029191</v>
      </c>
      <c r="AW44" s="3">
        <f ca="1"/>
        <v>5.0832981932683874E-2</v>
      </c>
      <c r="AX44" t="str">
        <f ca="1"/>
        <v>SEQUENTIAL</v>
      </c>
      <c r="AY44" s="3">
        <f ca="1"/>
        <v>7.7777777777777779E-2</v>
      </c>
      <c r="AZ44" s="3">
        <f ca="1"/>
        <v>8.3298193268387197E-4</v>
      </c>
      <c r="BA44" s="45">
        <f ca="1"/>
        <v>44972</v>
      </c>
      <c r="BB44" s="3">
        <f ca="1"/>
        <v>1.0081255171456918</v>
      </c>
      <c r="BC44" s="3">
        <f ca="1"/>
        <v>1.0081255171456918</v>
      </c>
      <c r="BD44">
        <f ca="1"/>
        <v>0</v>
      </c>
      <c r="BE44" s="4">
        <f ca="1"/>
        <v>54756.50506978522</v>
      </c>
      <c r="BF44" s="4">
        <f ca="1"/>
        <v>54756.50506978522</v>
      </c>
      <c r="BG44" s="4">
        <f ca="1"/>
        <v>118354.40145093435</v>
      </c>
      <c r="BH44" s="45">
        <f ca="1"/>
        <v>44972</v>
      </c>
      <c r="BI44" s="45">
        <f ca="1"/>
        <v>44972</v>
      </c>
      <c r="BJ44" s="45">
        <f ca="1"/>
        <v>45000</v>
      </c>
      <c r="BK44" s="45">
        <f ca="1"/>
        <v>45000</v>
      </c>
      <c r="BL44" s="37">
        <f ca="1"/>
        <v>0</v>
      </c>
      <c r="BM44" s="37">
        <f ca="1"/>
        <v>0</v>
      </c>
      <c r="BN44" s="40">
        <f ca="1"/>
        <v>0</v>
      </c>
      <c r="BO44" s="42">
        <f ca="1"/>
        <v>0</v>
      </c>
      <c r="BP44" s="42">
        <f ca="1"/>
        <v>0</v>
      </c>
      <c r="BQ44">
        <f ca="1"/>
        <v>0</v>
      </c>
      <c r="BR44">
        <f ca="1"/>
        <v>0</v>
      </c>
      <c r="BS44" s="4">
        <f ca="1"/>
        <v>0</v>
      </c>
      <c r="BT44" s="3">
        <f ca="1"/>
        <v>5.0832981932683874E-2</v>
      </c>
      <c r="BU44" t="str">
        <f ca="1"/>
        <v>SEQUENTIAL</v>
      </c>
      <c r="BV44" s="3">
        <f ca="1"/>
        <v>7.7777777777777779E-2</v>
      </c>
      <c r="BW44" s="3">
        <f ca="1"/>
        <v>8.3298193268387197E-4</v>
      </c>
      <c r="BX44" s="45">
        <f ca="1"/>
        <v>44972</v>
      </c>
      <c r="BY44" s="3">
        <f ca="1"/>
        <v>1.0081255171456918</v>
      </c>
      <c r="BZ44" s="3">
        <f ca="1"/>
        <v>1.0081255171456918</v>
      </c>
      <c r="CA44">
        <f ca="1"/>
        <v>0</v>
      </c>
      <c r="CB44" s="4">
        <f ca="1"/>
        <v>0</v>
      </c>
      <c r="CC44" s="4">
        <f ca="1"/>
        <v>0</v>
      </c>
      <c r="CD44" s="4">
        <f ca="1"/>
        <v>0</v>
      </c>
      <c r="CE44" t="e">
        <f ca="1"/>
        <v>#N/A</v>
      </c>
      <c r="CF44" t="e">
        <f ca="1"/>
        <v>#N/A</v>
      </c>
      <c r="CG44" t="e">
        <f ca="1"/>
        <v>#N/A</v>
      </c>
      <c r="CH44" t="e">
        <f ca="1"/>
        <v>#N/A</v>
      </c>
      <c r="CI44" t="e">
        <f ca="1"/>
        <v>#N/A</v>
      </c>
      <c r="CJ44" t="e">
        <f ca="1"/>
        <v>#N/A</v>
      </c>
      <c r="CK44" t="e">
        <f ca="1"/>
        <v>#N/A</v>
      </c>
      <c r="CL44" t="e">
        <f ca="1"/>
        <v>#N/A</v>
      </c>
      <c r="CM44" t="e">
        <f ca="1"/>
        <v>#N/A</v>
      </c>
      <c r="CN44" t="e">
        <f ca="1"/>
        <v>#N/A</v>
      </c>
    </row>
    <row r="45" spans="2:92" x14ac:dyDescent="0.25">
      <c r="B45">
        <f ca="1"/>
        <v>38</v>
      </c>
      <c r="C45" s="37">
        <f ca="1"/>
        <v>3315874.2133931969</v>
      </c>
      <c r="D45" s="37">
        <f ca="1"/>
        <v>3225219.8988296813</v>
      </c>
      <c r="E45" s="35">
        <f ca="1"/>
        <v>27884.788312573288</v>
      </c>
      <c r="F45" s="35">
        <f ca="1"/>
        <v>0</v>
      </c>
      <c r="G45" s="35">
        <f ca="1"/>
        <v>37661.715750565359</v>
      </c>
      <c r="H45" s="35">
        <f ca="1"/>
        <v>0</v>
      </c>
      <c r="I45" s="35">
        <f ca="1"/>
        <v>62769.526250942225</v>
      </c>
      <c r="J45" s="35">
        <f ca="1"/>
        <v>138161.42555804973</v>
      </c>
      <c r="K45" s="35">
        <f ca="1"/>
        <v>3999282.9157799631</v>
      </c>
      <c r="L45" s="35">
        <f ca="1"/>
        <v>3999282.9157799631</v>
      </c>
      <c r="M45" s="35">
        <f ca="1"/>
        <v>2399569.7494679787</v>
      </c>
      <c r="N45" s="45">
        <f ca="1"/>
        <v>45000</v>
      </c>
      <c r="O45" s="45">
        <f ca="1"/>
        <v>45000</v>
      </c>
      <c r="P45" s="45">
        <f ca="1"/>
        <v>45033</v>
      </c>
      <c r="Q45" s="45">
        <f ca="1"/>
        <v>45033</v>
      </c>
      <c r="R45" s="37">
        <f ca="1"/>
        <v>0</v>
      </c>
      <c r="S45" s="37">
        <f ca="1"/>
        <v>0</v>
      </c>
      <c r="T45" s="41">
        <f ca="1"/>
        <v>0</v>
      </c>
      <c r="U45" s="42">
        <f ca="1"/>
        <v>0</v>
      </c>
      <c r="V45" s="42">
        <f ca="1"/>
        <v>0</v>
      </c>
      <c r="W45">
        <f ca="1"/>
        <v>0</v>
      </c>
      <c r="X45">
        <f ca="1"/>
        <v>0</v>
      </c>
      <c r="Y45" s="4">
        <f ca="1"/>
        <v>0</v>
      </c>
      <c r="Z45" s="3">
        <f ca="1"/>
        <v>5.0999439138831218E-2</v>
      </c>
      <c r="AA45" t="str">
        <f ca="1"/>
        <v>SEQUENTIAL</v>
      </c>
      <c r="AB45" s="3">
        <f ca="1"/>
        <v>9.166666666666666E-2</v>
      </c>
      <c r="AC45" s="3">
        <f ca="1"/>
        <v>9.9943913883121321E-4</v>
      </c>
      <c r="AD45" s="45">
        <f ca="1"/>
        <v>45000</v>
      </c>
      <c r="AE45" s="3">
        <f ca="1"/>
        <v>1.0080486450225488</v>
      </c>
      <c r="AF45" s="3">
        <f ca="1"/>
        <v>1.0080486450225488</v>
      </c>
      <c r="AG45">
        <f ca="1"/>
        <v>0</v>
      </c>
      <c r="AH45" s="35">
        <f ca="1"/>
        <v>0</v>
      </c>
      <c r="AI45" s="35">
        <f ca="1"/>
        <v>0</v>
      </c>
      <c r="AJ45" s="35">
        <f ca="1"/>
        <v>0</v>
      </c>
      <c r="AK45" s="36">
        <f ca="1"/>
        <v>45000</v>
      </c>
      <c r="AL45" s="36">
        <f ca="1"/>
        <v>45000</v>
      </c>
      <c r="AM45" s="36">
        <f ca="1"/>
        <v>45033</v>
      </c>
      <c r="AN45" s="36">
        <f ca="1"/>
        <v>45033</v>
      </c>
      <c r="AO45" s="37">
        <f ca="1"/>
        <v>0</v>
      </c>
      <c r="AP45" s="37">
        <f ca="1"/>
        <v>0</v>
      </c>
      <c r="AQ45" s="41">
        <f ca="1"/>
        <v>0</v>
      </c>
      <c r="AR45" s="42">
        <f ca="1"/>
        <v>0</v>
      </c>
      <c r="AS45" s="42">
        <f ca="1"/>
        <v>0</v>
      </c>
      <c r="AT45">
        <f ca="1"/>
        <v>0</v>
      </c>
      <c r="AU45">
        <f ca="1"/>
        <v>0</v>
      </c>
      <c r="AV45" s="4">
        <f ca="1"/>
        <v>0</v>
      </c>
      <c r="AW45" s="3">
        <f ca="1"/>
        <v>5.0999439138831218E-2</v>
      </c>
      <c r="AX45" t="str">
        <f ca="1"/>
        <v>SEQUENTIAL</v>
      </c>
      <c r="AY45" s="3">
        <f ca="1"/>
        <v>9.166666666666666E-2</v>
      </c>
      <c r="AZ45" s="3">
        <f ca="1"/>
        <v>9.9943913883121321E-4</v>
      </c>
      <c r="BA45" s="45">
        <f ca="1"/>
        <v>45000</v>
      </c>
      <c r="BB45" s="3">
        <f ca="1"/>
        <v>1.0080486450225488</v>
      </c>
      <c r="BC45" s="3">
        <f ca="1"/>
        <v>1.0080486450225488</v>
      </c>
      <c r="BD45">
        <f ca="1"/>
        <v>0</v>
      </c>
      <c r="BE45" s="4">
        <f ca="1"/>
        <v>0</v>
      </c>
      <c r="BF45" s="4">
        <f ca="1"/>
        <v>0</v>
      </c>
      <c r="BG45" s="4">
        <f ca="1"/>
        <v>0</v>
      </c>
      <c r="BH45" s="45">
        <f ca="1"/>
        <v>45000</v>
      </c>
      <c r="BI45" s="45">
        <f ca="1"/>
        <v>45000</v>
      </c>
      <c r="BJ45" s="45">
        <f ca="1"/>
        <v>45033</v>
      </c>
      <c r="BK45" s="45">
        <f ca="1"/>
        <v>45033</v>
      </c>
      <c r="BL45" s="37">
        <f ca="1"/>
        <v>0</v>
      </c>
      <c r="BM45" s="37">
        <f ca="1"/>
        <v>0</v>
      </c>
      <c r="BN45" s="40">
        <f ca="1"/>
        <v>0</v>
      </c>
      <c r="BO45" s="42">
        <f ca="1"/>
        <v>0</v>
      </c>
      <c r="BP45" s="42">
        <f ca="1"/>
        <v>0</v>
      </c>
      <c r="BQ45">
        <f ca="1"/>
        <v>0</v>
      </c>
      <c r="BR45">
        <f ca="1"/>
        <v>0</v>
      </c>
      <c r="BS45" s="4">
        <f ca="1"/>
        <v>0</v>
      </c>
      <c r="BT45" s="3">
        <f ca="1"/>
        <v>5.0999439138831218E-2</v>
      </c>
      <c r="BU45" t="str">
        <f ca="1"/>
        <v>SEQUENTIAL</v>
      </c>
      <c r="BV45" s="3">
        <f ca="1"/>
        <v>9.166666666666666E-2</v>
      </c>
      <c r="BW45" s="3">
        <f ca="1"/>
        <v>9.9943913883121321E-4</v>
      </c>
      <c r="BX45" s="45">
        <f ca="1"/>
        <v>45000</v>
      </c>
      <c r="BY45" s="3">
        <f ca="1"/>
        <v>1.0080486450225488</v>
      </c>
      <c r="BZ45" s="3">
        <f ca="1"/>
        <v>1.0080486450225488</v>
      </c>
      <c r="CA45">
        <f ca="1"/>
        <v>0</v>
      </c>
      <c r="CB45" s="4">
        <f ca="1"/>
        <v>0</v>
      </c>
      <c r="CC45" s="4">
        <f ca="1"/>
        <v>0</v>
      </c>
      <c r="CD45" s="4">
        <f ca="1"/>
        <v>0</v>
      </c>
      <c r="CE45" t="e">
        <f ca="1"/>
        <v>#N/A</v>
      </c>
      <c r="CF45" t="e">
        <f ca="1"/>
        <v>#N/A</v>
      </c>
      <c r="CG45" t="e">
        <f ca="1"/>
        <v>#N/A</v>
      </c>
      <c r="CH45" t="e">
        <f ca="1"/>
        <v>#N/A</v>
      </c>
      <c r="CI45" t="e">
        <f ca="1"/>
        <v>#N/A</v>
      </c>
      <c r="CJ45" t="e">
        <f ca="1"/>
        <v>#N/A</v>
      </c>
      <c r="CK45" t="e">
        <f ca="1"/>
        <v>#N/A</v>
      </c>
      <c r="CL45" t="e">
        <f ca="1"/>
        <v>#N/A</v>
      </c>
      <c r="CM45" t="e">
        <f ca="1"/>
        <v>#N/A</v>
      </c>
      <c r="CN45" t="e">
        <f ca="1"/>
        <v>#N/A</v>
      </c>
    </row>
    <row r="46" spans="2:92" x14ac:dyDescent="0.25">
      <c r="B46">
        <f ca="1"/>
        <v>39</v>
      </c>
      <c r="C46" s="37">
        <f ca="1"/>
        <v>3225219.8988296813</v>
      </c>
      <c r="D46" s="37">
        <f ca="1"/>
        <v>3135669.6584195113</v>
      </c>
      <c r="E46" s="35">
        <f ca="1"/>
        <v>28496.801082779904</v>
      </c>
      <c r="F46" s="35">
        <f ca="1"/>
        <v>0</v>
      </c>
      <c r="G46" s="35">
        <f ca="1"/>
        <v>36632.063596432614</v>
      </c>
      <c r="H46" s="35">
        <f ca="1"/>
        <v>0</v>
      </c>
      <c r="I46" s="35">
        <f ca="1"/>
        <v>61053.439327387678</v>
      </c>
      <c r="J46" s="35">
        <f ca="1"/>
        <v>134384.16245123668</v>
      </c>
      <c r="K46" s="35">
        <f ca="1"/>
        <v>4060336.3551073507</v>
      </c>
      <c r="L46" s="35">
        <f ca="1"/>
        <v>4060336.3551073507</v>
      </c>
      <c r="M46" s="35">
        <f ca="1"/>
        <v>2436201.8130644113</v>
      </c>
      <c r="N46" s="45">
        <f ca="1"/>
        <v>45033</v>
      </c>
      <c r="O46" s="45">
        <f ca="1"/>
        <v>45033</v>
      </c>
      <c r="P46" s="45">
        <f ca="1"/>
        <v>45061</v>
      </c>
      <c r="Q46" s="45">
        <f ca="1"/>
        <v>45061</v>
      </c>
      <c r="R46" s="37">
        <f ca="1"/>
        <v>0</v>
      </c>
      <c r="S46" s="37">
        <f ca="1"/>
        <v>0</v>
      </c>
      <c r="T46" s="41">
        <f ca="1"/>
        <v>0</v>
      </c>
      <c r="U46" s="42">
        <f ca="1"/>
        <v>0</v>
      </c>
      <c r="V46" s="42">
        <f ca="1"/>
        <v>0</v>
      </c>
      <c r="W46">
        <f ca="1"/>
        <v>0</v>
      </c>
      <c r="X46">
        <f ca="1"/>
        <v>0</v>
      </c>
      <c r="Y46" s="4">
        <f ca="1"/>
        <v>0</v>
      </c>
      <c r="Z46" s="3">
        <f ca="1"/>
        <v>5.119931689783868E-2</v>
      </c>
      <c r="AA46" t="str">
        <f ca="1"/>
        <v>SEQUENTIAL</v>
      </c>
      <c r="AB46" s="3">
        <f ca="1"/>
        <v>7.7777777777777779E-2</v>
      </c>
      <c r="AC46" s="3">
        <f ca="1"/>
        <v>1.1993168978386771E-3</v>
      </c>
      <c r="AD46" s="45">
        <f ca="1"/>
        <v>45033</v>
      </c>
      <c r="AE46" s="3">
        <f ca="1"/>
        <v>1.0079693222888699</v>
      </c>
      <c r="AF46" s="3">
        <f ca="1"/>
        <v>1.0079693222888699</v>
      </c>
      <c r="AG46">
        <f ca="1"/>
        <v>0</v>
      </c>
      <c r="AH46" s="35">
        <f ca="1"/>
        <v>0</v>
      </c>
      <c r="AI46" s="35">
        <f ca="1"/>
        <v>0</v>
      </c>
      <c r="AJ46" s="35">
        <f ca="1"/>
        <v>0</v>
      </c>
      <c r="AK46" s="36">
        <f ca="1"/>
        <v>45033</v>
      </c>
      <c r="AL46" s="36">
        <f ca="1"/>
        <v>45033</v>
      </c>
      <c r="AM46" s="36">
        <f ca="1"/>
        <v>45061</v>
      </c>
      <c r="AN46" s="36">
        <f ca="1"/>
        <v>45061</v>
      </c>
      <c r="AO46" s="37">
        <f ca="1"/>
        <v>0</v>
      </c>
      <c r="AP46" s="37">
        <f ca="1"/>
        <v>0</v>
      </c>
      <c r="AQ46" s="41">
        <f ca="1"/>
        <v>0</v>
      </c>
      <c r="AR46" s="42">
        <f ca="1"/>
        <v>0</v>
      </c>
      <c r="AS46" s="42">
        <f ca="1"/>
        <v>0</v>
      </c>
      <c r="AT46">
        <f ca="1"/>
        <v>0</v>
      </c>
      <c r="AU46">
        <f ca="1"/>
        <v>0</v>
      </c>
      <c r="AV46" s="4">
        <f ca="1"/>
        <v>0</v>
      </c>
      <c r="AW46" s="3">
        <f ca="1"/>
        <v>5.119931689783868E-2</v>
      </c>
      <c r="AX46" t="str">
        <f ca="1"/>
        <v>SEQUENTIAL</v>
      </c>
      <c r="AY46" s="3">
        <f ca="1"/>
        <v>7.7777777777777779E-2</v>
      </c>
      <c r="AZ46" s="3">
        <f ca="1"/>
        <v>1.1993168978386771E-3</v>
      </c>
      <c r="BA46" s="45">
        <f ca="1"/>
        <v>45033</v>
      </c>
      <c r="BB46" s="3">
        <f ca="1"/>
        <v>1.0079693222888699</v>
      </c>
      <c r="BC46" s="3">
        <f ca="1"/>
        <v>1.0079693222888699</v>
      </c>
      <c r="BD46">
        <f ca="1"/>
        <v>0</v>
      </c>
      <c r="BE46" s="4">
        <f ca="1"/>
        <v>0</v>
      </c>
      <c r="BF46" s="4">
        <f ca="1"/>
        <v>0</v>
      </c>
      <c r="BG46" s="4">
        <f ca="1"/>
        <v>0</v>
      </c>
      <c r="BH46" s="45">
        <f ca="1"/>
        <v>45033</v>
      </c>
      <c r="BI46" s="45">
        <f ca="1"/>
        <v>45033</v>
      </c>
      <c r="BJ46" s="45">
        <f ca="1"/>
        <v>45061</v>
      </c>
      <c r="BK46" s="45">
        <f ca="1"/>
        <v>45061</v>
      </c>
      <c r="BL46" s="37">
        <f ca="1"/>
        <v>0</v>
      </c>
      <c r="BM46" s="37">
        <f ca="1"/>
        <v>0</v>
      </c>
      <c r="BN46" s="40">
        <f ca="1"/>
        <v>0</v>
      </c>
      <c r="BO46" s="42">
        <f ca="1"/>
        <v>0</v>
      </c>
      <c r="BP46" s="42">
        <f ca="1"/>
        <v>0</v>
      </c>
      <c r="BQ46">
        <f ca="1"/>
        <v>0</v>
      </c>
      <c r="BR46">
        <f ca="1"/>
        <v>0</v>
      </c>
      <c r="BS46" s="4">
        <f ca="1"/>
        <v>0</v>
      </c>
      <c r="BT46" s="3">
        <f ca="1"/>
        <v>5.119931689783868E-2</v>
      </c>
      <c r="BU46" t="str">
        <f ca="1"/>
        <v>SEQUENTIAL</v>
      </c>
      <c r="BV46" s="3">
        <f ca="1"/>
        <v>7.7777777777777779E-2</v>
      </c>
      <c r="BW46" s="3">
        <f ca="1"/>
        <v>1.1993168978386771E-3</v>
      </c>
      <c r="BX46" s="45">
        <f ca="1"/>
        <v>45033</v>
      </c>
      <c r="BY46" s="3">
        <f ca="1"/>
        <v>1.0079693222888699</v>
      </c>
      <c r="BZ46" s="3">
        <f ca="1"/>
        <v>1.0079693222888699</v>
      </c>
      <c r="CA46">
        <f ca="1"/>
        <v>0</v>
      </c>
      <c r="CB46" s="4">
        <f ca="1"/>
        <v>0</v>
      </c>
      <c r="CC46" s="4">
        <f ca="1"/>
        <v>0</v>
      </c>
      <c r="CD46" s="4">
        <f ca="1"/>
        <v>0</v>
      </c>
      <c r="CE46" t="e">
        <f ca="1"/>
        <v>#N/A</v>
      </c>
      <c r="CF46" t="e">
        <f ca="1"/>
        <v>#N/A</v>
      </c>
      <c r="CG46" t="e">
        <f ca="1"/>
        <v>#N/A</v>
      </c>
      <c r="CH46" t="e">
        <f ca="1"/>
        <v>#N/A</v>
      </c>
      <c r="CI46" t="e">
        <f ca="1"/>
        <v>#N/A</v>
      </c>
      <c r="CJ46" t="e">
        <f ca="1"/>
        <v>#N/A</v>
      </c>
      <c r="CK46" t="e">
        <f ca="1"/>
        <v>#N/A</v>
      </c>
      <c r="CL46" t="e">
        <f ca="1"/>
        <v>#N/A</v>
      </c>
      <c r="CM46" t="e">
        <f ca="1"/>
        <v>#N/A</v>
      </c>
      <c r="CN46" t="e">
        <f ca="1"/>
        <v>#N/A</v>
      </c>
    </row>
    <row r="47" spans="2:92" x14ac:dyDescent="0.25">
      <c r="B47">
        <f ca="1"/>
        <v>40</v>
      </c>
      <c r="C47" s="37">
        <f ca="1"/>
        <v>3135669.6584195113</v>
      </c>
      <c r="D47" s="37">
        <f ca="1"/>
        <v>3047189.1596298357</v>
      </c>
      <c r="E47" s="35">
        <f ca="1"/>
        <v>29122.24625299963</v>
      </c>
      <c r="F47" s="35">
        <f ca="1"/>
        <v>0</v>
      </c>
      <c r="G47" s="35">
        <f ca="1"/>
        <v>35614.951522005882</v>
      </c>
      <c r="H47" s="35">
        <f ca="1"/>
        <v>0</v>
      </c>
      <c r="I47" s="35">
        <f ca="1"/>
        <v>59358.25253667646</v>
      </c>
      <c r="J47" s="35">
        <f ca="1"/>
        <v>130652.90243414634</v>
      </c>
      <c r="K47" s="35">
        <f ca="1"/>
        <v>4119694.6076440271</v>
      </c>
      <c r="L47" s="35">
        <f ca="1"/>
        <v>4119694.6076440271</v>
      </c>
      <c r="M47" s="35">
        <f ca="1"/>
        <v>2471816.764586417</v>
      </c>
      <c r="N47" s="45">
        <f ca="1"/>
        <v>45061</v>
      </c>
      <c r="O47" s="45">
        <f ca="1"/>
        <v>45061</v>
      </c>
      <c r="P47" s="45">
        <f ca="1"/>
        <v>45092</v>
      </c>
      <c r="Q47" s="45">
        <f ca="1"/>
        <v>45092</v>
      </c>
      <c r="R47" s="37">
        <f ca="1"/>
        <v>0</v>
      </c>
      <c r="S47" s="37">
        <f ca="1"/>
        <v>0</v>
      </c>
      <c r="T47" s="41">
        <f ca="1"/>
        <v>0</v>
      </c>
      <c r="U47" s="42">
        <f ca="1"/>
        <v>0</v>
      </c>
      <c r="V47" s="42">
        <f ca="1"/>
        <v>0</v>
      </c>
      <c r="W47">
        <f ca="1"/>
        <v>0</v>
      </c>
      <c r="X47">
        <f ca="1"/>
        <v>0</v>
      </c>
      <c r="Y47" s="4">
        <f ca="1"/>
        <v>0</v>
      </c>
      <c r="Z47" s="3">
        <f ca="1"/>
        <v>5.1367682215131494E-2</v>
      </c>
      <c r="AA47" t="str">
        <f ca="1"/>
        <v>SEQUENTIAL</v>
      </c>
      <c r="AB47" s="3">
        <f ca="1"/>
        <v>8.611111111111111E-2</v>
      </c>
      <c r="AC47" s="3">
        <f ca="1"/>
        <v>1.3676822151314882E-3</v>
      </c>
      <c r="AD47" s="45">
        <f ca="1"/>
        <v>45061</v>
      </c>
      <c r="AE47" s="3">
        <f ca="1"/>
        <v>1.0078662025930794</v>
      </c>
      <c r="AF47" s="3">
        <f ca="1"/>
        <v>1.0078662025930794</v>
      </c>
      <c r="AG47">
        <f ca="1"/>
        <v>0</v>
      </c>
      <c r="AH47" s="35">
        <f ca="1"/>
        <v>0</v>
      </c>
      <c r="AI47" s="35">
        <f ca="1"/>
        <v>0</v>
      </c>
      <c r="AJ47" s="35">
        <f ca="1"/>
        <v>0</v>
      </c>
      <c r="AK47" s="36">
        <f ca="1"/>
        <v>45061</v>
      </c>
      <c r="AL47" s="36">
        <f ca="1"/>
        <v>45061</v>
      </c>
      <c r="AM47" s="36">
        <f ca="1"/>
        <v>45092</v>
      </c>
      <c r="AN47" s="36">
        <f ca="1"/>
        <v>45092</v>
      </c>
      <c r="AO47" s="37">
        <f ca="1"/>
        <v>0</v>
      </c>
      <c r="AP47" s="37">
        <f ca="1"/>
        <v>0</v>
      </c>
      <c r="AQ47" s="41">
        <f ca="1"/>
        <v>0</v>
      </c>
      <c r="AR47" s="42">
        <f ca="1"/>
        <v>0</v>
      </c>
      <c r="AS47" s="42">
        <f ca="1"/>
        <v>0</v>
      </c>
      <c r="AT47">
        <f ca="1"/>
        <v>0</v>
      </c>
      <c r="AU47">
        <f ca="1"/>
        <v>0</v>
      </c>
      <c r="AV47" s="4">
        <f ca="1"/>
        <v>0</v>
      </c>
      <c r="AW47" s="3">
        <f ca="1"/>
        <v>5.1367682215131494E-2</v>
      </c>
      <c r="AX47" t="str">
        <f ca="1"/>
        <v>SEQUENTIAL</v>
      </c>
      <c r="AY47" s="3">
        <f ca="1"/>
        <v>8.611111111111111E-2</v>
      </c>
      <c r="AZ47" s="3">
        <f ca="1"/>
        <v>1.3676822151314882E-3</v>
      </c>
      <c r="BA47" s="45">
        <f ca="1"/>
        <v>45061</v>
      </c>
      <c r="BB47" s="3">
        <f ca="1"/>
        <v>1.0078662025930794</v>
      </c>
      <c r="BC47" s="3">
        <f ca="1"/>
        <v>1.0078662025930794</v>
      </c>
      <c r="BD47">
        <f ca="1"/>
        <v>0</v>
      </c>
      <c r="BE47" s="4">
        <f ca="1"/>
        <v>0</v>
      </c>
      <c r="BF47" s="4">
        <f ca="1"/>
        <v>0</v>
      </c>
      <c r="BG47" s="4">
        <f ca="1"/>
        <v>0</v>
      </c>
      <c r="BH47" s="45">
        <f ca="1"/>
        <v>45061</v>
      </c>
      <c r="BI47" s="45">
        <f ca="1"/>
        <v>45061</v>
      </c>
      <c r="BJ47" s="45">
        <f ca="1"/>
        <v>45092</v>
      </c>
      <c r="BK47" s="45">
        <f ca="1"/>
        <v>45092</v>
      </c>
      <c r="BL47" s="37">
        <f ca="1"/>
        <v>0</v>
      </c>
      <c r="BM47" s="37">
        <f ca="1"/>
        <v>0</v>
      </c>
      <c r="BN47" s="40">
        <f ca="1"/>
        <v>0</v>
      </c>
      <c r="BO47" s="42">
        <f ca="1"/>
        <v>0</v>
      </c>
      <c r="BP47" s="42">
        <f ca="1"/>
        <v>0</v>
      </c>
      <c r="BQ47">
        <f ca="1"/>
        <v>0</v>
      </c>
      <c r="BR47">
        <f ca="1"/>
        <v>0</v>
      </c>
      <c r="BS47" s="4">
        <f ca="1"/>
        <v>0</v>
      </c>
      <c r="BT47" s="3">
        <f ca="1"/>
        <v>5.1367682215131494E-2</v>
      </c>
      <c r="BU47" t="str">
        <f ca="1"/>
        <v>SEQUENTIAL</v>
      </c>
      <c r="BV47" s="3">
        <f ca="1"/>
        <v>8.611111111111111E-2</v>
      </c>
      <c r="BW47" s="3">
        <f ca="1"/>
        <v>1.3676822151314882E-3</v>
      </c>
      <c r="BX47" s="45">
        <f ca="1"/>
        <v>45061</v>
      </c>
      <c r="BY47" s="3">
        <f ca="1"/>
        <v>1.0078662025930794</v>
      </c>
      <c r="BZ47" s="3">
        <f ca="1"/>
        <v>1.0078662025930794</v>
      </c>
      <c r="CA47">
        <f ca="1"/>
        <v>0</v>
      </c>
      <c r="CB47" s="4">
        <f ca="1"/>
        <v>0</v>
      </c>
      <c r="CC47" s="4">
        <f ca="1"/>
        <v>0</v>
      </c>
      <c r="CD47" s="4">
        <f ca="1"/>
        <v>0</v>
      </c>
      <c r="CE47" t="e">
        <f ca="1"/>
        <v>#N/A</v>
      </c>
      <c r="CF47" t="e">
        <f ca="1"/>
        <v>#N/A</v>
      </c>
      <c r="CG47" t="e">
        <f ca="1"/>
        <v>#N/A</v>
      </c>
      <c r="CH47" t="e">
        <f ca="1"/>
        <v>#N/A</v>
      </c>
      <c r="CI47" t="e">
        <f ca="1"/>
        <v>#N/A</v>
      </c>
      <c r="CJ47" t="e">
        <f ca="1"/>
        <v>#N/A</v>
      </c>
      <c r="CK47" t="e">
        <f ca="1"/>
        <v>#N/A</v>
      </c>
      <c r="CL47" t="e">
        <f ca="1"/>
        <v>#N/A</v>
      </c>
      <c r="CM47" t="e">
        <f ca="1"/>
        <v>#N/A</v>
      </c>
      <c r="CN47" t="e">
        <f ca="1"/>
        <v>#N/A</v>
      </c>
    </row>
    <row r="48" spans="2:92" x14ac:dyDescent="0.25">
      <c r="B48">
        <f ca="1"/>
        <v>41</v>
      </c>
      <c r="C48" s="37">
        <f ca="1"/>
        <v>3047189.1596298357</v>
      </c>
      <c r="D48" s="37">
        <f ca="1"/>
        <v>2959744.4250298478</v>
      </c>
      <c r="E48" s="35">
        <f ca="1"/>
        <v>29761.418636312996</v>
      </c>
      <c r="F48" s="35">
        <f ca="1"/>
        <v>0</v>
      </c>
      <c r="G48" s="35">
        <f ca="1"/>
        <v>34609.98957820674</v>
      </c>
      <c r="H48" s="35">
        <f ca="1"/>
        <v>0</v>
      </c>
      <c r="I48" s="35">
        <f ca="1"/>
        <v>57683.315963677858</v>
      </c>
      <c r="J48" s="35">
        <f ca="1"/>
        <v>126966.21498457651</v>
      </c>
      <c r="K48" s="35">
        <f ca="1"/>
        <v>4177377.9236077052</v>
      </c>
      <c r="L48" s="35">
        <f ca="1"/>
        <v>4177377.9236077052</v>
      </c>
      <c r="M48" s="35">
        <f ca="1"/>
        <v>2506426.7541646236</v>
      </c>
      <c r="N48" s="45">
        <f ca="1"/>
        <v>45092</v>
      </c>
      <c r="O48" s="45">
        <f ca="1"/>
        <v>45092</v>
      </c>
      <c r="P48" s="45">
        <f ca="1"/>
        <v>45124</v>
      </c>
      <c r="Q48" s="45">
        <f ca="1"/>
        <v>45124</v>
      </c>
      <c r="R48" s="37">
        <f ca="1"/>
        <v>0</v>
      </c>
      <c r="S48" s="37">
        <f ca="1"/>
        <v>0</v>
      </c>
      <c r="T48" s="41">
        <f ca="1"/>
        <v>0</v>
      </c>
      <c r="U48" s="42">
        <f ca="1"/>
        <v>0</v>
      </c>
      <c r="V48" s="42">
        <f ca="1"/>
        <v>0</v>
      </c>
      <c r="W48">
        <f ca="1"/>
        <v>0</v>
      </c>
      <c r="X48">
        <f ca="1"/>
        <v>0</v>
      </c>
      <c r="Y48" s="4">
        <f ca="1"/>
        <v>0</v>
      </c>
      <c r="Z48" s="3">
        <f ca="1"/>
        <v>5.154892845016161E-2</v>
      </c>
      <c r="AA48" t="str">
        <f ca="1"/>
        <v>SEQUENTIAL</v>
      </c>
      <c r="AB48" s="3">
        <f ca="1"/>
        <v>8.8888888888888892E-2</v>
      </c>
      <c r="AC48" s="3">
        <f ca="1"/>
        <v>1.5489284501616091E-3</v>
      </c>
      <c r="AD48" s="45">
        <f ca="1"/>
        <v>45092</v>
      </c>
      <c r="AE48" s="3">
        <f ca="1"/>
        <v>1.0077430742931661</v>
      </c>
      <c r="AF48" s="3">
        <f ca="1"/>
        <v>1.0077430742931661</v>
      </c>
      <c r="AG48">
        <f ca="1"/>
        <v>0</v>
      </c>
      <c r="AH48" s="35">
        <f ca="1"/>
        <v>0</v>
      </c>
      <c r="AI48" s="35">
        <f ca="1"/>
        <v>0</v>
      </c>
      <c r="AJ48" s="35">
        <f ca="1"/>
        <v>0</v>
      </c>
      <c r="AK48" s="36">
        <f ca="1"/>
        <v>45092</v>
      </c>
      <c r="AL48" s="36">
        <f ca="1"/>
        <v>45092</v>
      </c>
      <c r="AM48" s="36">
        <f ca="1"/>
        <v>45124</v>
      </c>
      <c r="AN48" s="36">
        <f ca="1"/>
        <v>45124</v>
      </c>
      <c r="AO48" s="37">
        <f ca="1"/>
        <v>0</v>
      </c>
      <c r="AP48" s="37">
        <f ca="1"/>
        <v>0</v>
      </c>
      <c r="AQ48" s="41">
        <f ca="1"/>
        <v>0</v>
      </c>
      <c r="AR48" s="42">
        <f ca="1"/>
        <v>0</v>
      </c>
      <c r="AS48" s="42">
        <f ca="1"/>
        <v>0</v>
      </c>
      <c r="AT48">
        <f ca="1"/>
        <v>0</v>
      </c>
      <c r="AU48">
        <f ca="1"/>
        <v>0</v>
      </c>
      <c r="AV48" s="4">
        <f ca="1"/>
        <v>0</v>
      </c>
      <c r="AW48" s="3">
        <f ca="1"/>
        <v>5.154892845016161E-2</v>
      </c>
      <c r="AX48" t="str">
        <f ca="1"/>
        <v>SEQUENTIAL</v>
      </c>
      <c r="AY48" s="3">
        <f ca="1"/>
        <v>8.8888888888888892E-2</v>
      </c>
      <c r="AZ48" s="3">
        <f ca="1"/>
        <v>1.5489284501616091E-3</v>
      </c>
      <c r="BA48" s="45">
        <f ca="1"/>
        <v>45092</v>
      </c>
      <c r="BB48" s="3">
        <f ca="1"/>
        <v>1.0077430742931661</v>
      </c>
      <c r="BC48" s="3">
        <f ca="1"/>
        <v>1.0077430742931661</v>
      </c>
      <c r="BD48">
        <f ca="1"/>
        <v>0</v>
      </c>
      <c r="BE48" s="4">
        <f ca="1"/>
        <v>0</v>
      </c>
      <c r="BF48" s="4">
        <f ca="1"/>
        <v>0</v>
      </c>
      <c r="BG48" s="4">
        <f ca="1"/>
        <v>0</v>
      </c>
      <c r="BH48" s="45">
        <f ca="1"/>
        <v>45092</v>
      </c>
      <c r="BI48" s="45">
        <f ca="1"/>
        <v>45092</v>
      </c>
      <c r="BJ48" s="45">
        <f ca="1"/>
        <v>45124</v>
      </c>
      <c r="BK48" s="45">
        <f ca="1"/>
        <v>45124</v>
      </c>
      <c r="BL48" s="37">
        <f ca="1"/>
        <v>0</v>
      </c>
      <c r="BM48" s="37">
        <f ca="1"/>
        <v>0</v>
      </c>
      <c r="BN48" s="40">
        <f ca="1"/>
        <v>0</v>
      </c>
      <c r="BO48" s="42">
        <f ca="1"/>
        <v>0</v>
      </c>
      <c r="BP48" s="42">
        <f ca="1"/>
        <v>0</v>
      </c>
      <c r="BQ48">
        <f ca="1"/>
        <v>0</v>
      </c>
      <c r="BR48">
        <f ca="1"/>
        <v>0</v>
      </c>
      <c r="BS48" s="4">
        <f ca="1"/>
        <v>0</v>
      </c>
      <c r="BT48" s="3">
        <f ca="1"/>
        <v>5.154892845016161E-2</v>
      </c>
      <c r="BU48" t="str">
        <f ca="1"/>
        <v>SEQUENTIAL</v>
      </c>
      <c r="BV48" s="3">
        <f ca="1"/>
        <v>8.8888888888888892E-2</v>
      </c>
      <c r="BW48" s="3">
        <f ca="1"/>
        <v>1.5489284501616091E-3</v>
      </c>
      <c r="BX48" s="45">
        <f ca="1"/>
        <v>45092</v>
      </c>
      <c r="BY48" s="3">
        <f ca="1"/>
        <v>1.0077430742931661</v>
      </c>
      <c r="BZ48" s="3">
        <f ca="1"/>
        <v>1.0077430742931661</v>
      </c>
      <c r="CA48">
        <f ca="1"/>
        <v>0</v>
      </c>
      <c r="CB48" s="4">
        <f ca="1"/>
        <v>0</v>
      </c>
      <c r="CC48" s="4">
        <f ca="1"/>
        <v>0</v>
      </c>
      <c r="CD48" s="4">
        <f ca="1"/>
        <v>0</v>
      </c>
      <c r="CE48" t="e">
        <f ca="1"/>
        <v>#N/A</v>
      </c>
      <c r="CF48" t="e">
        <f ca="1"/>
        <v>#N/A</v>
      </c>
      <c r="CG48" t="e">
        <f ca="1"/>
        <v>#N/A</v>
      </c>
      <c r="CH48" t="e">
        <f ca="1"/>
        <v>#N/A</v>
      </c>
      <c r="CI48" t="e">
        <f ca="1"/>
        <v>#N/A</v>
      </c>
      <c r="CJ48" t="e">
        <f ca="1"/>
        <v>#N/A</v>
      </c>
      <c r="CK48" t="e">
        <f ca="1"/>
        <v>#N/A</v>
      </c>
      <c r="CL48" t="e">
        <f ca="1"/>
        <v>#N/A</v>
      </c>
      <c r="CM48" t="e">
        <f ca="1"/>
        <v>#N/A</v>
      </c>
      <c r="CN48" t="e">
        <f ca="1"/>
        <v>#N/A</v>
      </c>
    </row>
    <row r="49" spans="2:92" x14ac:dyDescent="0.25">
      <c r="B49">
        <f ca="1"/>
        <v>42</v>
      </c>
      <c r="C49" s="37">
        <f ca="1"/>
        <v>2959744.4250298478</v>
      </c>
      <c r="D49" s="37">
        <f ca="1"/>
        <v>2873301.8190981676</v>
      </c>
      <c r="E49" s="35">
        <f ca="1"/>
        <v>30414.619516330993</v>
      </c>
      <c r="F49" s="35">
        <f ca="1"/>
        <v>0</v>
      </c>
      <c r="G49" s="35">
        <f ca="1"/>
        <v>33616.791849207708</v>
      </c>
      <c r="H49" s="35">
        <f ca="1"/>
        <v>0</v>
      </c>
      <c r="I49" s="35">
        <f ca="1"/>
        <v>56027.986415346233</v>
      </c>
      <c r="J49" s="35">
        <f ca="1"/>
        <v>123322.68437624359</v>
      </c>
      <c r="K49" s="35">
        <f ca="1"/>
        <v>4233405.9100230513</v>
      </c>
      <c r="L49" s="35">
        <f ca="1"/>
        <v>4233405.9100230513</v>
      </c>
      <c r="M49" s="35">
        <f ca="1"/>
        <v>2540043.5460138312</v>
      </c>
      <c r="N49" s="45">
        <f ca="1"/>
        <v>45124</v>
      </c>
      <c r="O49" s="45">
        <f ca="1"/>
        <v>45124</v>
      </c>
      <c r="P49" s="45">
        <f ca="1"/>
        <v>45153</v>
      </c>
      <c r="Q49" s="45">
        <f ca="1"/>
        <v>45153</v>
      </c>
      <c r="R49" s="37">
        <f ca="1"/>
        <v>0</v>
      </c>
      <c r="S49" s="37">
        <f ca="1"/>
        <v>0</v>
      </c>
      <c r="T49" s="41">
        <f ca="1"/>
        <v>0</v>
      </c>
      <c r="U49" s="42">
        <f ca="1"/>
        <v>0</v>
      </c>
      <c r="V49" s="42">
        <f ca="1"/>
        <v>0</v>
      </c>
      <c r="W49">
        <f ca="1"/>
        <v>0</v>
      </c>
      <c r="X49">
        <f ca="1"/>
        <v>0</v>
      </c>
      <c r="Y49" s="4">
        <f ca="1"/>
        <v>0</v>
      </c>
      <c r="Z49" s="3">
        <f ca="1"/>
        <v>5.1731165147667658E-2</v>
      </c>
      <c r="AA49" t="str">
        <f ca="1"/>
        <v>SEQUENTIAL</v>
      </c>
      <c r="AB49" s="3">
        <f ca="1"/>
        <v>8.0555555555555561E-2</v>
      </c>
      <c r="AC49" s="3">
        <f ca="1"/>
        <v>1.7311651476676524E-3</v>
      </c>
      <c r="AD49" s="45">
        <f ca="1"/>
        <v>45124</v>
      </c>
      <c r="AE49" s="3">
        <f ca="1"/>
        <v>1.0076171048785199</v>
      </c>
      <c r="AF49" s="3">
        <f ca="1"/>
        <v>1.0076171048785199</v>
      </c>
      <c r="AG49">
        <f ca="1"/>
        <v>0</v>
      </c>
      <c r="AH49" s="35">
        <f ca="1"/>
        <v>0</v>
      </c>
      <c r="AI49" s="35">
        <f ca="1"/>
        <v>0</v>
      </c>
      <c r="AJ49" s="35">
        <f ca="1"/>
        <v>0</v>
      </c>
      <c r="AK49" s="36">
        <f ca="1"/>
        <v>45124</v>
      </c>
      <c r="AL49" s="36">
        <f ca="1"/>
        <v>45124</v>
      </c>
      <c r="AM49" s="36">
        <f ca="1"/>
        <v>45153</v>
      </c>
      <c r="AN49" s="36">
        <f ca="1"/>
        <v>45153</v>
      </c>
      <c r="AO49" s="37">
        <f ca="1"/>
        <v>0</v>
      </c>
      <c r="AP49" s="37">
        <f ca="1"/>
        <v>0</v>
      </c>
      <c r="AQ49" s="41">
        <f ca="1"/>
        <v>0</v>
      </c>
      <c r="AR49" s="42">
        <f ca="1"/>
        <v>0</v>
      </c>
      <c r="AS49" s="42">
        <f ca="1"/>
        <v>0</v>
      </c>
      <c r="AT49">
        <f ca="1"/>
        <v>0</v>
      </c>
      <c r="AU49">
        <f ca="1"/>
        <v>0</v>
      </c>
      <c r="AV49" s="4">
        <f ca="1"/>
        <v>0</v>
      </c>
      <c r="AW49" s="3">
        <f ca="1"/>
        <v>5.1731165147667658E-2</v>
      </c>
      <c r="AX49" t="str">
        <f ca="1"/>
        <v>SEQUENTIAL</v>
      </c>
      <c r="AY49" s="3">
        <f ca="1"/>
        <v>8.0555555555555561E-2</v>
      </c>
      <c r="AZ49" s="3">
        <f ca="1"/>
        <v>1.7311651476676524E-3</v>
      </c>
      <c r="BA49" s="45">
        <f ca="1"/>
        <v>45124</v>
      </c>
      <c r="BB49" s="3">
        <f ca="1"/>
        <v>1.0076171048785199</v>
      </c>
      <c r="BC49" s="3">
        <f ca="1"/>
        <v>1.0076171048785199</v>
      </c>
      <c r="BD49">
        <f ca="1"/>
        <v>0</v>
      </c>
      <c r="BE49" s="4">
        <f ca="1"/>
        <v>0</v>
      </c>
      <c r="BF49" s="4">
        <f ca="1"/>
        <v>0</v>
      </c>
      <c r="BG49" s="4">
        <f ca="1"/>
        <v>0</v>
      </c>
      <c r="BH49" s="45">
        <f ca="1"/>
        <v>45124</v>
      </c>
      <c r="BI49" s="45">
        <f ca="1"/>
        <v>45124</v>
      </c>
      <c r="BJ49" s="45">
        <f ca="1"/>
        <v>45153</v>
      </c>
      <c r="BK49" s="45">
        <f ca="1"/>
        <v>45153</v>
      </c>
      <c r="BL49" s="37">
        <f ca="1"/>
        <v>0</v>
      </c>
      <c r="BM49" s="37">
        <f ca="1"/>
        <v>0</v>
      </c>
      <c r="BN49" s="40">
        <f ca="1"/>
        <v>0</v>
      </c>
      <c r="BO49" s="42">
        <f ca="1"/>
        <v>0</v>
      </c>
      <c r="BP49" s="42">
        <f ca="1"/>
        <v>0</v>
      </c>
      <c r="BQ49">
        <f ca="1"/>
        <v>0</v>
      </c>
      <c r="BR49">
        <f ca="1"/>
        <v>0</v>
      </c>
      <c r="BS49" s="4">
        <f ca="1"/>
        <v>0</v>
      </c>
      <c r="BT49" s="3">
        <f ca="1"/>
        <v>5.1731165147667658E-2</v>
      </c>
      <c r="BU49" t="str">
        <f ca="1"/>
        <v>SEQUENTIAL</v>
      </c>
      <c r="BV49" s="3">
        <f ca="1"/>
        <v>8.0555555555555561E-2</v>
      </c>
      <c r="BW49" s="3">
        <f ca="1"/>
        <v>1.7311651476676524E-3</v>
      </c>
      <c r="BX49" s="45">
        <f ca="1"/>
        <v>45124</v>
      </c>
      <c r="BY49" s="3">
        <f ca="1"/>
        <v>1.0076171048785199</v>
      </c>
      <c r="BZ49" s="3">
        <f ca="1"/>
        <v>1.0076171048785199</v>
      </c>
      <c r="CA49">
        <f ca="1"/>
        <v>0</v>
      </c>
      <c r="CB49" s="4">
        <f ca="1"/>
        <v>0</v>
      </c>
      <c r="CC49" s="4">
        <f ca="1"/>
        <v>0</v>
      </c>
      <c r="CD49" s="4">
        <f ca="1"/>
        <v>0</v>
      </c>
      <c r="CE49" t="e">
        <f ca="1"/>
        <v>#N/A</v>
      </c>
      <c r="CF49" t="e">
        <f ca="1"/>
        <v>#N/A</v>
      </c>
      <c r="CG49" t="e">
        <f ca="1"/>
        <v>#N/A</v>
      </c>
      <c r="CH49" t="e">
        <f ca="1"/>
        <v>#N/A</v>
      </c>
      <c r="CI49" t="e">
        <f ca="1"/>
        <v>#N/A</v>
      </c>
      <c r="CJ49" t="e">
        <f ca="1"/>
        <v>#N/A</v>
      </c>
      <c r="CK49" t="e">
        <f ca="1"/>
        <v>#N/A</v>
      </c>
      <c r="CL49" t="e">
        <f ca="1"/>
        <v>#N/A</v>
      </c>
      <c r="CM49" t="e">
        <f ca="1"/>
        <v>#N/A</v>
      </c>
      <c r="CN49" t="e">
        <f ca="1"/>
        <v>#N/A</v>
      </c>
    </row>
    <row r="50" spans="2:92" x14ac:dyDescent="0.25">
      <c r="B50">
        <f ca="1"/>
        <v>43</v>
      </c>
      <c r="C50" s="37">
        <f ca="1"/>
        <v>2873301.8190981676</v>
      </c>
      <c r="D50" s="37">
        <f ca="1"/>
        <v>2787828.0351379737</v>
      </c>
      <c r="E50" s="35">
        <f ca="1"/>
        <v>31082.156789209472</v>
      </c>
      <c r="F50" s="35">
        <f ca="1"/>
        <v>0</v>
      </c>
      <c r="G50" s="35">
        <f ca="1"/>
        <v>32634.97630259041</v>
      </c>
      <c r="H50" s="35">
        <f ca="1"/>
        <v>0</v>
      </c>
      <c r="I50" s="35">
        <f ca="1"/>
        <v>54391.627170984015</v>
      </c>
      <c r="J50" s="35">
        <f ca="1"/>
        <v>119720.90912909035</v>
      </c>
      <c r="K50" s="35">
        <f ca="1"/>
        <v>4287797.537194035</v>
      </c>
      <c r="L50" s="35">
        <f ca="1"/>
        <v>4287797.537194035</v>
      </c>
      <c r="M50" s="35">
        <f ca="1"/>
        <v>2572678.5223164214</v>
      </c>
      <c r="N50" s="45">
        <f ca="1"/>
        <v>45153</v>
      </c>
      <c r="O50" s="45">
        <f ca="1"/>
        <v>45153</v>
      </c>
      <c r="P50" s="45">
        <f ca="1"/>
        <v>45184</v>
      </c>
      <c r="Q50" s="45">
        <f ca="1"/>
        <v>45184</v>
      </c>
      <c r="R50" s="37">
        <f ca="1"/>
        <v>0</v>
      </c>
      <c r="S50" s="37">
        <f ca="1"/>
        <v>0</v>
      </c>
      <c r="T50" s="41">
        <f ca="1"/>
        <v>0</v>
      </c>
      <c r="U50" s="42">
        <f ca="1"/>
        <v>0</v>
      </c>
      <c r="V50" s="42">
        <f ca="1"/>
        <v>0</v>
      </c>
      <c r="W50">
        <f ca="1"/>
        <v>0</v>
      </c>
      <c r="X50">
        <f ca="1"/>
        <v>0</v>
      </c>
      <c r="Y50" s="4">
        <f ca="1"/>
        <v>0</v>
      </c>
      <c r="Z50" s="3">
        <f ca="1"/>
        <v>5.1893974274824867E-2</v>
      </c>
      <c r="AA50" t="str">
        <f ca="1"/>
        <v>SEQUENTIAL</v>
      </c>
      <c r="AB50" s="3">
        <f ca="1"/>
        <v>8.611111111111111E-2</v>
      </c>
      <c r="AC50" s="3">
        <f ca="1"/>
        <v>1.8939742748248626E-3</v>
      </c>
      <c r="AD50" s="45">
        <f ca="1"/>
        <v>45153</v>
      </c>
      <c r="AE50" s="3">
        <f ca="1"/>
        <v>1.0074675907447468</v>
      </c>
      <c r="AF50" s="3">
        <f ca="1"/>
        <v>1.0074675907447468</v>
      </c>
      <c r="AG50">
        <f ca="1"/>
        <v>0</v>
      </c>
      <c r="AH50" s="35">
        <f ca="1"/>
        <v>0</v>
      </c>
      <c r="AI50" s="35">
        <f ca="1"/>
        <v>0</v>
      </c>
      <c r="AJ50" s="35">
        <f ca="1"/>
        <v>0</v>
      </c>
      <c r="AK50" s="36">
        <f ca="1"/>
        <v>45153</v>
      </c>
      <c r="AL50" s="36">
        <f ca="1"/>
        <v>45153</v>
      </c>
      <c r="AM50" s="36">
        <f ca="1"/>
        <v>45184</v>
      </c>
      <c r="AN50" s="36">
        <f ca="1"/>
        <v>45184</v>
      </c>
      <c r="AO50" s="37">
        <f ca="1"/>
        <v>0</v>
      </c>
      <c r="AP50" s="37">
        <f ca="1"/>
        <v>0</v>
      </c>
      <c r="AQ50" s="41">
        <f ca="1"/>
        <v>0</v>
      </c>
      <c r="AR50" s="42">
        <f ca="1"/>
        <v>0</v>
      </c>
      <c r="AS50" s="42">
        <f ca="1"/>
        <v>0</v>
      </c>
      <c r="AT50">
        <f ca="1"/>
        <v>0</v>
      </c>
      <c r="AU50">
        <f ca="1"/>
        <v>0</v>
      </c>
      <c r="AV50" s="4">
        <f ca="1"/>
        <v>0</v>
      </c>
      <c r="AW50" s="3">
        <f ca="1"/>
        <v>5.1893974274824867E-2</v>
      </c>
      <c r="AX50" t="str">
        <f ca="1"/>
        <v>SEQUENTIAL</v>
      </c>
      <c r="AY50" s="3">
        <f ca="1"/>
        <v>8.611111111111111E-2</v>
      </c>
      <c r="AZ50" s="3">
        <f ca="1"/>
        <v>1.8939742748248626E-3</v>
      </c>
      <c r="BA50" s="45">
        <f ca="1"/>
        <v>45153</v>
      </c>
      <c r="BB50" s="3">
        <f ca="1"/>
        <v>1.0074675907447468</v>
      </c>
      <c r="BC50" s="3">
        <f ca="1"/>
        <v>1.0074675907447468</v>
      </c>
      <c r="BD50">
        <f ca="1"/>
        <v>0</v>
      </c>
      <c r="BE50" s="4">
        <f ca="1"/>
        <v>0</v>
      </c>
      <c r="BF50" s="4">
        <f ca="1"/>
        <v>0</v>
      </c>
      <c r="BG50" s="4">
        <f ca="1"/>
        <v>0</v>
      </c>
      <c r="BH50" s="45">
        <f ca="1"/>
        <v>45153</v>
      </c>
      <c r="BI50" s="45">
        <f ca="1"/>
        <v>45153</v>
      </c>
      <c r="BJ50" s="45">
        <f ca="1"/>
        <v>45184</v>
      </c>
      <c r="BK50" s="45">
        <f ca="1"/>
        <v>45184</v>
      </c>
      <c r="BL50" s="37">
        <f ca="1"/>
        <v>0</v>
      </c>
      <c r="BM50" s="37">
        <f ca="1"/>
        <v>0</v>
      </c>
      <c r="BN50" s="40">
        <f ca="1"/>
        <v>0</v>
      </c>
      <c r="BO50" s="42">
        <f ca="1"/>
        <v>0</v>
      </c>
      <c r="BP50" s="42">
        <f ca="1"/>
        <v>0</v>
      </c>
      <c r="BQ50">
        <f ca="1"/>
        <v>0</v>
      </c>
      <c r="BR50">
        <f ca="1"/>
        <v>0</v>
      </c>
      <c r="BS50" s="4">
        <f ca="1"/>
        <v>0</v>
      </c>
      <c r="BT50" s="3">
        <f ca="1"/>
        <v>5.1893974274824867E-2</v>
      </c>
      <c r="BU50" t="str">
        <f ca="1"/>
        <v>SEQUENTIAL</v>
      </c>
      <c r="BV50" s="3">
        <f ca="1"/>
        <v>8.611111111111111E-2</v>
      </c>
      <c r="BW50" s="3">
        <f ca="1"/>
        <v>1.8939742748248626E-3</v>
      </c>
      <c r="BX50" s="45">
        <f ca="1"/>
        <v>45153</v>
      </c>
      <c r="BY50" s="3">
        <f ca="1"/>
        <v>1.0074675907447468</v>
      </c>
      <c r="BZ50" s="3">
        <f ca="1"/>
        <v>1.0074675907447468</v>
      </c>
      <c r="CA50">
        <f ca="1"/>
        <v>0</v>
      </c>
      <c r="CB50" s="4">
        <f ca="1"/>
        <v>0</v>
      </c>
      <c r="CC50" s="4">
        <f ca="1"/>
        <v>0</v>
      </c>
      <c r="CD50" s="4">
        <f ca="1"/>
        <v>0</v>
      </c>
      <c r="CE50" t="e">
        <f ca="1"/>
        <v>#N/A</v>
      </c>
      <c r="CF50" t="e">
        <f ca="1"/>
        <v>#N/A</v>
      </c>
      <c r="CG50" t="e">
        <f ca="1"/>
        <v>#N/A</v>
      </c>
      <c r="CH50" t="e">
        <f ca="1"/>
        <v>#N/A</v>
      </c>
      <c r="CI50" t="e">
        <f ca="1"/>
        <v>#N/A</v>
      </c>
      <c r="CJ50" t="e">
        <f ca="1"/>
        <v>#N/A</v>
      </c>
      <c r="CK50" t="e">
        <f ca="1"/>
        <v>#N/A</v>
      </c>
      <c r="CL50" t="e">
        <f ca="1"/>
        <v>#N/A</v>
      </c>
      <c r="CM50" t="e">
        <f ca="1"/>
        <v>#N/A</v>
      </c>
      <c r="CN50" t="e">
        <f ca="1"/>
        <v>#N/A</v>
      </c>
    </row>
    <row r="51" spans="2:92" x14ac:dyDescent="0.25">
      <c r="B51">
        <f ca="1"/>
        <v>44</v>
      </c>
      <c r="C51" s="37">
        <f ca="1"/>
        <v>2787828.0351379737</v>
      </c>
      <c r="D51" s="37">
        <f ca="1"/>
        <v>2703290.0822946476</v>
      </c>
      <c r="E51" s="35">
        <f ca="1"/>
        <v>31764.345108780923</v>
      </c>
      <c r="F51" s="35">
        <f ca="1"/>
        <v>0</v>
      </c>
      <c r="G51" s="35">
        <f ca="1"/>
        <v>31664.164640727038</v>
      </c>
      <c r="H51" s="35">
        <f ca="1"/>
        <v>0</v>
      </c>
      <c r="I51" s="35">
        <f ca="1"/>
        <v>52773.607734545076</v>
      </c>
      <c r="J51" s="35">
        <f ca="1"/>
        <v>116159.50146408225</v>
      </c>
      <c r="K51" s="35">
        <f ca="1"/>
        <v>4340571.1449285802</v>
      </c>
      <c r="L51" s="35">
        <f ca="1"/>
        <v>4340571.1449285802</v>
      </c>
      <c r="M51" s="35">
        <f ca="1"/>
        <v>2604342.6869571484</v>
      </c>
      <c r="N51" s="45">
        <f ca="1"/>
        <v>45184</v>
      </c>
      <c r="O51" s="45">
        <f ca="1"/>
        <v>45184</v>
      </c>
      <c r="P51" s="45">
        <f ca="1"/>
        <v>45215</v>
      </c>
      <c r="Q51" s="45">
        <f ca="1"/>
        <v>45215</v>
      </c>
      <c r="R51" s="37">
        <f ca="1"/>
        <v>0</v>
      </c>
      <c r="S51" s="37">
        <f ca="1"/>
        <v>0</v>
      </c>
      <c r="T51" s="41">
        <f ca="1"/>
        <v>0</v>
      </c>
      <c r="U51" s="42">
        <f ca="1"/>
        <v>0</v>
      </c>
      <c r="V51" s="42">
        <f ca="1"/>
        <v>0</v>
      </c>
      <c r="W51">
        <f ca="1"/>
        <v>0</v>
      </c>
      <c r="X51">
        <f ca="1"/>
        <v>0</v>
      </c>
      <c r="Y51" s="4">
        <f ca="1"/>
        <v>0</v>
      </c>
      <c r="Z51" s="3">
        <f ca="1"/>
        <v>5.2066964617264448E-2</v>
      </c>
      <c r="AA51" t="str">
        <f ca="1"/>
        <v>SEQUENTIAL</v>
      </c>
      <c r="AB51" s="3">
        <f ca="1"/>
        <v>8.611111111111111E-2</v>
      </c>
      <c r="AC51" s="3">
        <f ca="1"/>
        <v>2.066964617264445E-3</v>
      </c>
      <c r="AD51" s="45">
        <f ca="1"/>
        <v>45184</v>
      </c>
      <c r="AE51" s="3">
        <f ca="1"/>
        <v>1.0073029983166302</v>
      </c>
      <c r="AF51" s="3">
        <f ca="1"/>
        <v>1.0073029983166302</v>
      </c>
      <c r="AG51">
        <f ca="1"/>
        <v>0</v>
      </c>
      <c r="AH51" s="35">
        <f ca="1"/>
        <v>0</v>
      </c>
      <c r="AI51" s="35">
        <f ca="1"/>
        <v>0</v>
      </c>
      <c r="AJ51" s="35">
        <f ca="1"/>
        <v>0</v>
      </c>
      <c r="AK51" s="36">
        <f ca="1"/>
        <v>45184</v>
      </c>
      <c r="AL51" s="36">
        <f ca="1"/>
        <v>45184</v>
      </c>
      <c r="AM51" s="36">
        <f ca="1"/>
        <v>45215</v>
      </c>
      <c r="AN51" s="36">
        <f ca="1"/>
        <v>45215</v>
      </c>
      <c r="AO51" s="37">
        <f ca="1"/>
        <v>0</v>
      </c>
      <c r="AP51" s="37">
        <f ca="1"/>
        <v>0</v>
      </c>
      <c r="AQ51" s="41">
        <f ca="1"/>
        <v>0</v>
      </c>
      <c r="AR51" s="42">
        <f ca="1"/>
        <v>0</v>
      </c>
      <c r="AS51" s="42">
        <f ca="1"/>
        <v>0</v>
      </c>
      <c r="AT51">
        <f ca="1"/>
        <v>0</v>
      </c>
      <c r="AU51">
        <f ca="1"/>
        <v>0</v>
      </c>
      <c r="AV51" s="4">
        <f ca="1"/>
        <v>0</v>
      </c>
      <c r="AW51" s="3">
        <f ca="1"/>
        <v>5.2066964617264448E-2</v>
      </c>
      <c r="AX51" t="str">
        <f ca="1"/>
        <v>SEQUENTIAL</v>
      </c>
      <c r="AY51" s="3">
        <f ca="1"/>
        <v>8.611111111111111E-2</v>
      </c>
      <c r="AZ51" s="3">
        <f ca="1"/>
        <v>2.066964617264445E-3</v>
      </c>
      <c r="BA51" s="45">
        <f ca="1"/>
        <v>45184</v>
      </c>
      <c r="BB51" s="3">
        <f ca="1"/>
        <v>1.0073029983166302</v>
      </c>
      <c r="BC51" s="3">
        <f ca="1"/>
        <v>1.0073029983166302</v>
      </c>
      <c r="BD51">
        <f ca="1"/>
        <v>0</v>
      </c>
      <c r="BE51" s="4">
        <f ca="1"/>
        <v>0</v>
      </c>
      <c r="BF51" s="4">
        <f ca="1"/>
        <v>0</v>
      </c>
      <c r="BG51" s="4">
        <f ca="1"/>
        <v>0</v>
      </c>
      <c r="BH51" s="45">
        <f ca="1"/>
        <v>45184</v>
      </c>
      <c r="BI51" s="45">
        <f ca="1"/>
        <v>45184</v>
      </c>
      <c r="BJ51" s="45">
        <f ca="1"/>
        <v>45215</v>
      </c>
      <c r="BK51" s="45">
        <f ca="1"/>
        <v>45215</v>
      </c>
      <c r="BL51" s="37">
        <f ca="1"/>
        <v>0</v>
      </c>
      <c r="BM51" s="37">
        <f ca="1"/>
        <v>0</v>
      </c>
      <c r="BN51" s="40">
        <f ca="1"/>
        <v>0</v>
      </c>
      <c r="BO51" s="42">
        <f ca="1"/>
        <v>0</v>
      </c>
      <c r="BP51" s="42">
        <f ca="1"/>
        <v>0</v>
      </c>
      <c r="BQ51">
        <f ca="1"/>
        <v>0</v>
      </c>
      <c r="BR51">
        <f ca="1"/>
        <v>0</v>
      </c>
      <c r="BS51" s="4">
        <f ca="1"/>
        <v>0</v>
      </c>
      <c r="BT51" s="3">
        <f ca="1"/>
        <v>5.2066964617264448E-2</v>
      </c>
      <c r="BU51" t="str">
        <f ca="1"/>
        <v>SEQUENTIAL</v>
      </c>
      <c r="BV51" s="3">
        <f ca="1"/>
        <v>8.611111111111111E-2</v>
      </c>
      <c r="BW51" s="3">
        <f ca="1"/>
        <v>2.066964617264445E-3</v>
      </c>
      <c r="BX51" s="45">
        <f ca="1"/>
        <v>45184</v>
      </c>
      <c r="BY51" s="3">
        <f ca="1"/>
        <v>1.0073029983166302</v>
      </c>
      <c r="BZ51" s="3">
        <f ca="1"/>
        <v>1.0073029983166302</v>
      </c>
      <c r="CA51">
        <f ca="1"/>
        <v>0</v>
      </c>
      <c r="CB51" s="4">
        <f ca="1"/>
        <v>0</v>
      </c>
      <c r="CC51" s="4">
        <f ca="1"/>
        <v>0</v>
      </c>
      <c r="CD51" s="4">
        <f ca="1"/>
        <v>0</v>
      </c>
      <c r="CE51" t="e">
        <f ca="1"/>
        <v>#N/A</v>
      </c>
      <c r="CF51" t="e">
        <f ca="1"/>
        <v>#N/A</v>
      </c>
      <c r="CG51" t="e">
        <f ca="1"/>
        <v>#N/A</v>
      </c>
      <c r="CH51" t="e">
        <f ca="1"/>
        <v>#N/A</v>
      </c>
      <c r="CI51" t="e">
        <f ca="1"/>
        <v>#N/A</v>
      </c>
      <c r="CJ51" t="e">
        <f ca="1"/>
        <v>#N/A</v>
      </c>
      <c r="CK51" t="e">
        <f ca="1"/>
        <v>#N/A</v>
      </c>
      <c r="CL51" t="e">
        <f ca="1"/>
        <v>#N/A</v>
      </c>
      <c r="CM51" t="e">
        <f ca="1"/>
        <v>#N/A</v>
      </c>
      <c r="CN51" t="e">
        <f ca="1"/>
        <v>#N/A</v>
      </c>
    </row>
    <row r="52" spans="2:92" x14ac:dyDescent="0.25">
      <c r="B52">
        <f ca="1"/>
        <v>45</v>
      </c>
      <c r="C52" s="37">
        <f ca="1"/>
        <v>2703290.0822946476</v>
      </c>
      <c r="D52" s="37">
        <f ca="1"/>
        <v>2619655.2726708986</v>
      </c>
      <c r="E52" s="35">
        <f ca="1"/>
        <v>32461.50603487113</v>
      </c>
      <c r="F52" s="35">
        <f ca="1"/>
        <v>0</v>
      </c>
      <c r="G52" s="35">
        <f ca="1"/>
        <v>30703.982153327473</v>
      </c>
      <c r="H52" s="35">
        <f ca="1"/>
        <v>0</v>
      </c>
      <c r="I52" s="35">
        <f ca="1"/>
        <v>51173.303588879135</v>
      </c>
      <c r="J52" s="35">
        <f ca="1"/>
        <v>112637.086762277</v>
      </c>
      <c r="K52" s="35">
        <f ca="1"/>
        <v>4391744.4485174594</v>
      </c>
      <c r="L52" s="35">
        <f ca="1"/>
        <v>4391744.4485174594</v>
      </c>
      <c r="M52" s="35">
        <f ca="1"/>
        <v>2635046.669110476</v>
      </c>
      <c r="N52" s="45">
        <f ca="1"/>
        <v>45215</v>
      </c>
      <c r="O52" s="45">
        <f ca="1"/>
        <v>45215</v>
      </c>
      <c r="P52" s="45">
        <f ca="1"/>
        <v>45245</v>
      </c>
      <c r="Q52" s="45">
        <f ca="1"/>
        <v>45245</v>
      </c>
      <c r="R52" s="37">
        <f ca="1"/>
        <v>0</v>
      </c>
      <c r="S52" s="37">
        <f ca="1"/>
        <v>0</v>
      </c>
      <c r="T52" s="41">
        <f ca="1"/>
        <v>0</v>
      </c>
      <c r="U52" s="42">
        <f ca="1"/>
        <v>0</v>
      </c>
      <c r="V52" s="42">
        <f ca="1"/>
        <v>0</v>
      </c>
      <c r="W52">
        <f ca="1"/>
        <v>0</v>
      </c>
      <c r="X52">
        <f ca="1"/>
        <v>0</v>
      </c>
      <c r="Y52" s="4">
        <f ca="1"/>
        <v>0</v>
      </c>
      <c r="Z52" s="3">
        <f ca="1"/>
        <v>5.2237435736644744E-2</v>
      </c>
      <c r="AA52" t="str">
        <f ca="1"/>
        <v>SEQUENTIAL</v>
      </c>
      <c r="AB52" s="3">
        <f ca="1"/>
        <v>8.3333333333333329E-2</v>
      </c>
      <c r="AC52" s="3">
        <f ca="1"/>
        <v>2.2374357366447416E-3</v>
      </c>
      <c r="AD52" s="45">
        <f ca="1"/>
        <v>45215</v>
      </c>
      <c r="AE52" s="3">
        <f ca="1"/>
        <v>1.0071296229228865</v>
      </c>
      <c r="AF52" s="3">
        <f ca="1"/>
        <v>1.0071296229228865</v>
      </c>
      <c r="AG52">
        <f ca="1"/>
        <v>0</v>
      </c>
      <c r="AH52" s="35">
        <f ca="1"/>
        <v>0</v>
      </c>
      <c r="AI52" s="35">
        <f ca="1"/>
        <v>0</v>
      </c>
      <c r="AJ52" s="35">
        <f ca="1"/>
        <v>0</v>
      </c>
      <c r="AK52" s="36">
        <f ca="1"/>
        <v>45215</v>
      </c>
      <c r="AL52" s="36">
        <f ca="1"/>
        <v>45215</v>
      </c>
      <c r="AM52" s="36">
        <f ca="1"/>
        <v>45245</v>
      </c>
      <c r="AN52" s="36">
        <f ca="1"/>
        <v>45245</v>
      </c>
      <c r="AO52" s="37">
        <f ca="1"/>
        <v>0</v>
      </c>
      <c r="AP52" s="37">
        <f ca="1"/>
        <v>0</v>
      </c>
      <c r="AQ52" s="41">
        <f ca="1"/>
        <v>0</v>
      </c>
      <c r="AR52" s="42">
        <f ca="1"/>
        <v>0</v>
      </c>
      <c r="AS52" s="42">
        <f ca="1"/>
        <v>0</v>
      </c>
      <c r="AT52">
        <f ca="1"/>
        <v>0</v>
      </c>
      <c r="AU52">
        <f ca="1"/>
        <v>0</v>
      </c>
      <c r="AV52" s="4">
        <f ca="1"/>
        <v>0</v>
      </c>
      <c r="AW52" s="3">
        <f ca="1"/>
        <v>5.2237435736644744E-2</v>
      </c>
      <c r="AX52" t="str">
        <f ca="1"/>
        <v>SEQUENTIAL</v>
      </c>
      <c r="AY52" s="3">
        <f ca="1"/>
        <v>8.3333333333333329E-2</v>
      </c>
      <c r="AZ52" s="3">
        <f ca="1"/>
        <v>2.2374357366447416E-3</v>
      </c>
      <c r="BA52" s="45">
        <f ca="1"/>
        <v>45215</v>
      </c>
      <c r="BB52" s="3">
        <f ca="1"/>
        <v>1.0071296229228865</v>
      </c>
      <c r="BC52" s="3">
        <f ca="1"/>
        <v>1.0071296229228865</v>
      </c>
      <c r="BD52">
        <f ca="1"/>
        <v>0</v>
      </c>
      <c r="BE52" s="4">
        <f ca="1"/>
        <v>0</v>
      </c>
      <c r="BF52" s="4">
        <f ca="1"/>
        <v>0</v>
      </c>
      <c r="BG52" s="4">
        <f ca="1"/>
        <v>0</v>
      </c>
      <c r="BH52" s="45">
        <f ca="1"/>
        <v>45215</v>
      </c>
      <c r="BI52" s="45">
        <f ca="1"/>
        <v>45215</v>
      </c>
      <c r="BJ52" s="45">
        <f ca="1"/>
        <v>45245</v>
      </c>
      <c r="BK52" s="45">
        <f ca="1"/>
        <v>45245</v>
      </c>
      <c r="BL52" s="37">
        <f ca="1"/>
        <v>0</v>
      </c>
      <c r="BM52" s="37">
        <f ca="1"/>
        <v>0</v>
      </c>
      <c r="BN52" s="40">
        <f ca="1"/>
        <v>0</v>
      </c>
      <c r="BO52" s="42">
        <f ca="1"/>
        <v>0</v>
      </c>
      <c r="BP52" s="42">
        <f ca="1"/>
        <v>0</v>
      </c>
      <c r="BQ52">
        <f ca="1"/>
        <v>0</v>
      </c>
      <c r="BR52">
        <f ca="1"/>
        <v>0</v>
      </c>
      <c r="BS52" s="4">
        <f ca="1"/>
        <v>0</v>
      </c>
      <c r="BT52" s="3">
        <f ca="1"/>
        <v>5.2237435736644744E-2</v>
      </c>
      <c r="BU52" t="str">
        <f ca="1"/>
        <v>SEQUENTIAL</v>
      </c>
      <c r="BV52" s="3">
        <f ca="1"/>
        <v>8.3333333333333329E-2</v>
      </c>
      <c r="BW52" s="3">
        <f ca="1"/>
        <v>2.2374357366447416E-3</v>
      </c>
      <c r="BX52" s="45">
        <f ca="1"/>
        <v>45215</v>
      </c>
      <c r="BY52" s="3">
        <f ca="1"/>
        <v>1.0071296229228865</v>
      </c>
      <c r="BZ52" s="3">
        <f ca="1"/>
        <v>1.0071296229228865</v>
      </c>
      <c r="CA52">
        <f ca="1"/>
        <v>0</v>
      </c>
      <c r="CB52" s="4">
        <f ca="1"/>
        <v>0</v>
      </c>
      <c r="CC52" s="4">
        <f ca="1"/>
        <v>0</v>
      </c>
      <c r="CD52" s="4">
        <f ca="1"/>
        <v>0</v>
      </c>
      <c r="CE52" t="e">
        <f ca="1"/>
        <v>#N/A</v>
      </c>
      <c r="CF52" t="e">
        <f ca="1"/>
        <v>#N/A</v>
      </c>
      <c r="CG52" t="e">
        <f ca="1"/>
        <v>#N/A</v>
      </c>
      <c r="CH52" t="e">
        <f ca="1"/>
        <v>#N/A</v>
      </c>
      <c r="CI52" t="e">
        <f ca="1"/>
        <v>#N/A</v>
      </c>
      <c r="CJ52" t="e">
        <f ca="1"/>
        <v>#N/A</v>
      </c>
      <c r="CK52" t="e">
        <f ca="1"/>
        <v>#N/A</v>
      </c>
      <c r="CL52" t="e">
        <f ca="1"/>
        <v>#N/A</v>
      </c>
      <c r="CM52" t="e">
        <f ca="1"/>
        <v>#N/A</v>
      </c>
      <c r="CN52" t="e">
        <f ca="1"/>
        <v>#N/A</v>
      </c>
    </row>
    <row r="53" spans="2:92" x14ac:dyDescent="0.25">
      <c r="B53">
        <f ca="1"/>
        <v>46</v>
      </c>
      <c r="C53" s="37">
        <f ca="1"/>
        <v>2619655.2726708986</v>
      </c>
      <c r="D53" s="37">
        <f ca="1"/>
        <v>2536891.2085342077</v>
      </c>
      <c r="E53" s="35">
        <f ca="1"/>
        <v>33173.968184871468</v>
      </c>
      <c r="F53" s="35">
        <f ca="1"/>
        <v>0</v>
      </c>
      <c r="G53" s="35">
        <f ca="1"/>
        <v>29754.05757109218</v>
      </c>
      <c r="H53" s="35">
        <f ca="1"/>
        <v>0</v>
      </c>
      <c r="I53" s="35">
        <f ca="1"/>
        <v>49590.095951820273</v>
      </c>
      <c r="J53" s="35">
        <f ca="1"/>
        <v>109152.30302795405</v>
      </c>
      <c r="K53" s="35">
        <f ca="1"/>
        <v>4441334.5444692802</v>
      </c>
      <c r="L53" s="35">
        <f ca="1"/>
        <v>4441334.5444692802</v>
      </c>
      <c r="M53" s="35">
        <f ca="1"/>
        <v>2664800.7266815682</v>
      </c>
      <c r="N53" s="45">
        <f ca="1"/>
        <v>45245</v>
      </c>
      <c r="O53" s="45">
        <f ca="1"/>
        <v>45245</v>
      </c>
      <c r="P53" s="45">
        <f ca="1"/>
        <v>45275</v>
      </c>
      <c r="Q53" s="45">
        <f ca="1"/>
        <v>45275</v>
      </c>
      <c r="R53" s="37">
        <f ca="1"/>
        <v>0</v>
      </c>
      <c r="S53" s="37">
        <f ca="1"/>
        <v>0</v>
      </c>
      <c r="T53" s="41">
        <f ca="1"/>
        <v>0</v>
      </c>
      <c r="U53" s="42">
        <f ca="1"/>
        <v>0</v>
      </c>
      <c r="V53" s="42">
        <f ca="1"/>
        <v>0</v>
      </c>
      <c r="W53">
        <f ca="1"/>
        <v>0</v>
      </c>
      <c r="X53">
        <f ca="1"/>
        <v>0</v>
      </c>
      <c r="Y53" s="4">
        <f ca="1"/>
        <v>0</v>
      </c>
      <c r="Z53" s="3">
        <f ca="1"/>
        <v>5.2397845903591027E-2</v>
      </c>
      <c r="AA53" t="str">
        <f ca="1"/>
        <v>SEQUENTIAL</v>
      </c>
      <c r="AB53" s="3">
        <f ca="1"/>
        <v>8.3333333333333329E-2</v>
      </c>
      <c r="AC53" s="3">
        <f ca="1"/>
        <v>2.3978459035910249E-3</v>
      </c>
      <c r="AD53" s="45">
        <f ca="1"/>
        <v>45245</v>
      </c>
      <c r="AE53" s="3">
        <f ca="1"/>
        <v>1.0069426433069224</v>
      </c>
      <c r="AF53" s="3">
        <f ca="1"/>
        <v>1.0069426433069224</v>
      </c>
      <c r="AG53">
        <f ca="1"/>
        <v>0</v>
      </c>
      <c r="AH53" s="35">
        <f ca="1"/>
        <v>0</v>
      </c>
      <c r="AI53" s="35">
        <f ca="1"/>
        <v>0</v>
      </c>
      <c r="AJ53" s="35">
        <f ca="1"/>
        <v>0</v>
      </c>
      <c r="AK53" s="36">
        <f ca="1"/>
        <v>45245</v>
      </c>
      <c r="AL53" s="36">
        <f ca="1"/>
        <v>45245</v>
      </c>
      <c r="AM53" s="36">
        <f ca="1"/>
        <v>45275</v>
      </c>
      <c r="AN53" s="36">
        <f ca="1"/>
        <v>45275</v>
      </c>
      <c r="AO53" s="37">
        <f ca="1"/>
        <v>0</v>
      </c>
      <c r="AP53" s="37">
        <f ca="1"/>
        <v>0</v>
      </c>
      <c r="AQ53" s="41">
        <f ca="1"/>
        <v>0</v>
      </c>
      <c r="AR53" s="42">
        <f ca="1"/>
        <v>0</v>
      </c>
      <c r="AS53" s="42">
        <f ca="1"/>
        <v>0</v>
      </c>
      <c r="AT53">
        <f ca="1"/>
        <v>0</v>
      </c>
      <c r="AU53">
        <f ca="1"/>
        <v>0</v>
      </c>
      <c r="AV53" s="4">
        <f ca="1"/>
        <v>0</v>
      </c>
      <c r="AW53" s="3">
        <f ca="1"/>
        <v>5.2397845903591027E-2</v>
      </c>
      <c r="AX53" t="str">
        <f ca="1"/>
        <v>SEQUENTIAL</v>
      </c>
      <c r="AY53" s="3">
        <f ca="1"/>
        <v>8.3333333333333329E-2</v>
      </c>
      <c r="AZ53" s="3">
        <f ca="1"/>
        <v>2.3978459035910249E-3</v>
      </c>
      <c r="BA53" s="45">
        <f ca="1"/>
        <v>45245</v>
      </c>
      <c r="BB53" s="3">
        <f ca="1"/>
        <v>1.0069426433069224</v>
      </c>
      <c r="BC53" s="3">
        <f ca="1"/>
        <v>1.0069426433069224</v>
      </c>
      <c r="BD53">
        <f ca="1"/>
        <v>0</v>
      </c>
      <c r="BE53" s="4">
        <f ca="1"/>
        <v>0</v>
      </c>
      <c r="BF53" s="4">
        <f ca="1"/>
        <v>0</v>
      </c>
      <c r="BG53" s="4">
        <f ca="1"/>
        <v>0</v>
      </c>
      <c r="BH53" s="45">
        <f ca="1"/>
        <v>45245</v>
      </c>
      <c r="BI53" s="45">
        <f ca="1"/>
        <v>45245</v>
      </c>
      <c r="BJ53" s="45">
        <f ca="1"/>
        <v>45275</v>
      </c>
      <c r="BK53" s="45">
        <f ca="1"/>
        <v>45275</v>
      </c>
      <c r="BL53" s="37">
        <f ca="1"/>
        <v>0</v>
      </c>
      <c r="BM53" s="37">
        <f ca="1"/>
        <v>0</v>
      </c>
      <c r="BN53" s="40">
        <f ca="1"/>
        <v>0</v>
      </c>
      <c r="BO53" s="42">
        <f ca="1"/>
        <v>0</v>
      </c>
      <c r="BP53" s="42">
        <f ca="1"/>
        <v>0</v>
      </c>
      <c r="BQ53">
        <f ca="1"/>
        <v>0</v>
      </c>
      <c r="BR53">
        <f ca="1"/>
        <v>0</v>
      </c>
      <c r="BS53" s="4">
        <f ca="1"/>
        <v>0</v>
      </c>
      <c r="BT53" s="3">
        <f ca="1"/>
        <v>5.2397845903591027E-2</v>
      </c>
      <c r="BU53" t="str">
        <f ca="1"/>
        <v>SEQUENTIAL</v>
      </c>
      <c r="BV53" s="3">
        <f ca="1"/>
        <v>8.3333333333333329E-2</v>
      </c>
      <c r="BW53" s="3">
        <f ca="1"/>
        <v>2.3978459035910249E-3</v>
      </c>
      <c r="BX53" s="45">
        <f ca="1"/>
        <v>45245</v>
      </c>
      <c r="BY53" s="3">
        <f ca="1"/>
        <v>1.0069426433069224</v>
      </c>
      <c r="BZ53" s="3">
        <f ca="1"/>
        <v>1.0069426433069224</v>
      </c>
      <c r="CA53">
        <f ca="1"/>
        <v>0</v>
      </c>
      <c r="CB53" s="4">
        <f ca="1"/>
        <v>0</v>
      </c>
      <c r="CC53" s="4">
        <f ca="1"/>
        <v>0</v>
      </c>
      <c r="CD53" s="4">
        <f ca="1"/>
        <v>0</v>
      </c>
      <c r="CE53" t="e">
        <f ca="1"/>
        <v>#N/A</v>
      </c>
      <c r="CF53" t="e">
        <f ca="1"/>
        <v>#N/A</v>
      </c>
      <c r="CG53" t="e">
        <f ca="1"/>
        <v>#N/A</v>
      </c>
      <c r="CH53" t="e">
        <f ca="1"/>
        <v>#N/A</v>
      </c>
      <c r="CI53" t="e">
        <f ca="1"/>
        <v>#N/A</v>
      </c>
      <c r="CJ53" t="e">
        <f ca="1"/>
        <v>#N/A</v>
      </c>
      <c r="CK53" t="e">
        <f ca="1"/>
        <v>#N/A</v>
      </c>
      <c r="CL53" t="e">
        <f ca="1"/>
        <v>#N/A</v>
      </c>
      <c r="CM53" t="e">
        <f ca="1"/>
        <v>#N/A</v>
      </c>
      <c r="CN53" t="e">
        <f ca="1"/>
        <v>#N/A</v>
      </c>
    </row>
    <row r="54" spans="2:92" x14ac:dyDescent="0.25">
      <c r="B54">
        <f ca="1"/>
        <v>47</v>
      </c>
      <c r="C54" s="37">
        <f ca="1"/>
        <v>2536891.2085342077</v>
      </c>
      <c r="D54" s="37">
        <f ca="1"/>
        <v>2454965.7696115463</v>
      </c>
      <c r="E54" s="35">
        <f ca="1"/>
        <v>33902.067388637486</v>
      </c>
      <c r="F54" s="35">
        <f ca="1"/>
        <v>0</v>
      </c>
      <c r="G54" s="35">
        <f ca="1"/>
        <v>28814.022920414678</v>
      </c>
      <c r="H54" s="35">
        <f ca="1"/>
        <v>0</v>
      </c>
      <c r="I54" s="35">
        <f ca="1"/>
        <v>48023.371534024438</v>
      </c>
      <c r="J54" s="35">
        <f ca="1"/>
        <v>105703.80035559193</v>
      </c>
      <c r="K54" s="35">
        <f ca="1"/>
        <v>4489357.9160033045</v>
      </c>
      <c r="L54" s="35">
        <f ca="1"/>
        <v>4489357.9160033045</v>
      </c>
      <c r="M54" s="35">
        <f ca="1"/>
        <v>2693614.749601983</v>
      </c>
      <c r="N54" s="45">
        <f ca="1"/>
        <v>45275</v>
      </c>
      <c r="O54" s="45">
        <f ca="1"/>
        <v>45275</v>
      </c>
      <c r="P54" s="45">
        <f ca="1"/>
        <v>45306</v>
      </c>
      <c r="Q54" s="45">
        <f ca="1"/>
        <v>45306</v>
      </c>
      <c r="R54" s="37">
        <f ca="1"/>
        <v>0</v>
      </c>
      <c r="S54" s="37">
        <f ca="1"/>
        <v>0</v>
      </c>
      <c r="T54" s="41">
        <f ca="1"/>
        <v>0</v>
      </c>
      <c r="U54" s="42">
        <f ca="1"/>
        <v>0</v>
      </c>
      <c r="V54" s="42">
        <f ca="1"/>
        <v>0</v>
      </c>
      <c r="W54">
        <f ca="1"/>
        <v>0</v>
      </c>
      <c r="X54">
        <f ca="1"/>
        <v>0</v>
      </c>
      <c r="Y54" s="4">
        <f ca="1"/>
        <v>0</v>
      </c>
      <c r="Z54" s="3">
        <f ca="1"/>
        <v>5.2552303869763471E-2</v>
      </c>
      <c r="AA54" t="str">
        <f ca="1"/>
        <v>SEQUENTIAL</v>
      </c>
      <c r="AB54" s="3">
        <f ca="1"/>
        <v>8.611111111111111E-2</v>
      </c>
      <c r="AC54" s="3">
        <f ca="1"/>
        <v>2.5523038697634701E-3</v>
      </c>
      <c r="AD54" s="45">
        <f ca="1"/>
        <v>45275</v>
      </c>
      <c r="AE54" s="3">
        <f ca="1"/>
        <v>1.0067354100466677</v>
      </c>
      <c r="AF54" s="3">
        <f ca="1"/>
        <v>1.0067354100466677</v>
      </c>
      <c r="AG54">
        <f ca="1"/>
        <v>0</v>
      </c>
      <c r="AH54" s="35">
        <f ca="1"/>
        <v>0</v>
      </c>
      <c r="AI54" s="35">
        <f ca="1"/>
        <v>0</v>
      </c>
      <c r="AJ54" s="35">
        <f ca="1"/>
        <v>0</v>
      </c>
      <c r="AK54" s="36">
        <f ca="1"/>
        <v>45275</v>
      </c>
      <c r="AL54" s="36">
        <f ca="1"/>
        <v>45275</v>
      </c>
      <c r="AM54" s="36">
        <f ca="1"/>
        <v>45306</v>
      </c>
      <c r="AN54" s="36">
        <f ca="1"/>
        <v>45306</v>
      </c>
      <c r="AO54" s="37">
        <f ca="1"/>
        <v>0</v>
      </c>
      <c r="AP54" s="37">
        <f ca="1"/>
        <v>0</v>
      </c>
      <c r="AQ54" s="41">
        <f ca="1"/>
        <v>0</v>
      </c>
      <c r="AR54" s="42">
        <f ca="1"/>
        <v>0</v>
      </c>
      <c r="AS54" s="42">
        <f ca="1"/>
        <v>0</v>
      </c>
      <c r="AT54">
        <f ca="1"/>
        <v>0</v>
      </c>
      <c r="AU54">
        <f ca="1"/>
        <v>0</v>
      </c>
      <c r="AV54" s="4">
        <f ca="1"/>
        <v>0</v>
      </c>
      <c r="AW54" s="3">
        <f ca="1"/>
        <v>5.2552303869763471E-2</v>
      </c>
      <c r="AX54" t="str">
        <f ca="1"/>
        <v>SEQUENTIAL</v>
      </c>
      <c r="AY54" s="3">
        <f ca="1"/>
        <v>8.611111111111111E-2</v>
      </c>
      <c r="AZ54" s="3">
        <f ca="1"/>
        <v>2.5523038697634701E-3</v>
      </c>
      <c r="BA54" s="45">
        <f ca="1"/>
        <v>45275</v>
      </c>
      <c r="BB54" s="3">
        <f ca="1"/>
        <v>1.0067354100466677</v>
      </c>
      <c r="BC54" s="3">
        <f ca="1"/>
        <v>1.0067354100466677</v>
      </c>
      <c r="BD54">
        <f ca="1"/>
        <v>0</v>
      </c>
      <c r="BE54" s="4">
        <f ca="1"/>
        <v>0</v>
      </c>
      <c r="BF54" s="4">
        <f ca="1"/>
        <v>0</v>
      </c>
      <c r="BG54" s="4">
        <f ca="1"/>
        <v>0</v>
      </c>
      <c r="BH54" s="45">
        <f ca="1"/>
        <v>45275</v>
      </c>
      <c r="BI54" s="45">
        <f ca="1"/>
        <v>45275</v>
      </c>
      <c r="BJ54" s="45">
        <f ca="1"/>
        <v>45306</v>
      </c>
      <c r="BK54" s="45">
        <f ca="1"/>
        <v>45306</v>
      </c>
      <c r="BL54" s="37">
        <f ca="1"/>
        <v>0</v>
      </c>
      <c r="BM54" s="37">
        <f ca="1"/>
        <v>0</v>
      </c>
      <c r="BN54" s="40">
        <f ca="1"/>
        <v>0</v>
      </c>
      <c r="BO54" s="42">
        <f ca="1"/>
        <v>0</v>
      </c>
      <c r="BP54" s="42">
        <f ca="1"/>
        <v>0</v>
      </c>
      <c r="BQ54">
        <f ca="1"/>
        <v>0</v>
      </c>
      <c r="BR54">
        <f ca="1"/>
        <v>0</v>
      </c>
      <c r="BS54" s="4">
        <f ca="1"/>
        <v>0</v>
      </c>
      <c r="BT54" s="3">
        <f ca="1"/>
        <v>5.2552303869763471E-2</v>
      </c>
      <c r="BU54" t="str">
        <f ca="1"/>
        <v>SEQUENTIAL</v>
      </c>
      <c r="BV54" s="3">
        <f ca="1"/>
        <v>8.611111111111111E-2</v>
      </c>
      <c r="BW54" s="3">
        <f ca="1"/>
        <v>2.5523038697634701E-3</v>
      </c>
      <c r="BX54" s="45">
        <f ca="1"/>
        <v>45275</v>
      </c>
      <c r="BY54" s="3">
        <f ca="1"/>
        <v>1.0067354100466677</v>
      </c>
      <c r="BZ54" s="3">
        <f ca="1"/>
        <v>1.0067354100466677</v>
      </c>
      <c r="CA54">
        <f ca="1"/>
        <v>0</v>
      </c>
      <c r="CB54" s="4">
        <f ca="1"/>
        <v>0</v>
      </c>
      <c r="CC54" s="4">
        <f ca="1"/>
        <v>0</v>
      </c>
      <c r="CD54" s="4">
        <f ca="1"/>
        <v>0</v>
      </c>
      <c r="CE54" t="e">
        <f ca="1"/>
        <v>#N/A</v>
      </c>
      <c r="CF54" t="e">
        <f ca="1"/>
        <v>#N/A</v>
      </c>
      <c r="CG54" t="e">
        <f ca="1"/>
        <v>#N/A</v>
      </c>
      <c r="CH54" t="e">
        <f ca="1"/>
        <v>#N/A</v>
      </c>
      <c r="CI54" t="e">
        <f ca="1"/>
        <v>#N/A</v>
      </c>
      <c r="CJ54" t="e">
        <f ca="1"/>
        <v>#N/A</v>
      </c>
      <c r="CK54" t="e">
        <f ca="1"/>
        <v>#N/A</v>
      </c>
      <c r="CL54" t="e">
        <f ca="1"/>
        <v>#N/A</v>
      </c>
      <c r="CM54" t="e">
        <f ca="1"/>
        <v>#N/A</v>
      </c>
      <c r="CN54" t="e">
        <f ca="1"/>
        <v>#N/A</v>
      </c>
    </row>
    <row r="55" spans="2:92" x14ac:dyDescent="0.25">
      <c r="B55">
        <f ca="1"/>
        <v>48</v>
      </c>
      <c r="C55" s="37">
        <f ca="1"/>
        <v>2454965.7696115463</v>
      </c>
      <c r="D55" s="37">
        <f ca="1"/>
        <v>2373847.1004663012</v>
      </c>
      <c r="E55" s="35">
        <f ca="1"/>
        <v>34646.146846787611</v>
      </c>
      <c r="F55" s="35">
        <f ca="1"/>
        <v>0</v>
      </c>
      <c r="G55" s="35">
        <f ca="1"/>
        <v>27883.513379074666</v>
      </c>
      <c r="H55" s="35">
        <f ca="1"/>
        <v>0</v>
      </c>
      <c r="I55" s="35">
        <f ca="1"/>
        <v>46472.522298457814</v>
      </c>
      <c r="J55" s="35">
        <f ca="1"/>
        <v>102290.24040048108</v>
      </c>
      <c r="K55" s="35">
        <f ca="1"/>
        <v>4535830.4383017626</v>
      </c>
      <c r="L55" s="35">
        <f ca="1"/>
        <v>4535830.4383017626</v>
      </c>
      <c r="M55" s="35">
        <f ca="1"/>
        <v>2721498.2629810576</v>
      </c>
      <c r="N55" s="45">
        <f ca="1"/>
        <v>45306</v>
      </c>
      <c r="O55" s="45">
        <f ca="1"/>
        <v>45306</v>
      </c>
      <c r="P55" s="45">
        <f ca="1"/>
        <v>45337</v>
      </c>
      <c r="Q55" s="45">
        <f ca="1"/>
        <v>45337</v>
      </c>
      <c r="R55" s="37">
        <f ca="1"/>
        <v>0</v>
      </c>
      <c r="S55" s="37">
        <f ca="1"/>
        <v>0</v>
      </c>
      <c r="T55" s="41">
        <f ca="1"/>
        <v>0</v>
      </c>
      <c r="U55" s="42">
        <f ca="1"/>
        <v>0</v>
      </c>
      <c r="V55" s="42">
        <f ca="1"/>
        <v>0</v>
      </c>
      <c r="W55">
        <f ca="1"/>
        <v>0</v>
      </c>
      <c r="X55">
        <f ca="1"/>
        <v>0</v>
      </c>
      <c r="Y55" s="4">
        <f ca="1"/>
        <v>0</v>
      </c>
      <c r="Z55" s="3">
        <f ca="1"/>
        <v>5.270745845940334E-2</v>
      </c>
      <c r="AA55" t="str">
        <f ca="1"/>
        <v>SEQUENTIAL</v>
      </c>
      <c r="AB55" s="3">
        <f ca="1"/>
        <v>8.611111111111111E-2</v>
      </c>
      <c r="AC55" s="3">
        <f ca="1"/>
        <v>2.7074584594033368E-3</v>
      </c>
      <c r="AD55" s="45">
        <f ca="1"/>
        <v>45306</v>
      </c>
      <c r="AE55" s="3">
        <f ca="1"/>
        <v>1.0065142046750095</v>
      </c>
      <c r="AF55" s="3">
        <f ca="1"/>
        <v>1.0065142046750095</v>
      </c>
      <c r="AG55">
        <f ca="1"/>
        <v>0</v>
      </c>
      <c r="AH55" s="35">
        <f ca="1"/>
        <v>0</v>
      </c>
      <c r="AI55" s="35">
        <f ca="1"/>
        <v>0</v>
      </c>
      <c r="AJ55" s="35">
        <f ca="1"/>
        <v>0</v>
      </c>
      <c r="AK55" s="36">
        <f ca="1"/>
        <v>45306</v>
      </c>
      <c r="AL55" s="36">
        <f ca="1"/>
        <v>45306</v>
      </c>
      <c r="AM55" s="36">
        <f ca="1"/>
        <v>45337</v>
      </c>
      <c r="AN55" s="36">
        <f ca="1"/>
        <v>45337</v>
      </c>
      <c r="AO55" s="37">
        <f ca="1"/>
        <v>0</v>
      </c>
      <c r="AP55" s="37">
        <f ca="1"/>
        <v>0</v>
      </c>
      <c r="AQ55" s="41">
        <f ca="1"/>
        <v>0</v>
      </c>
      <c r="AR55" s="42">
        <f ca="1"/>
        <v>0</v>
      </c>
      <c r="AS55" s="42">
        <f ca="1"/>
        <v>0</v>
      </c>
      <c r="AT55">
        <f ca="1"/>
        <v>0</v>
      </c>
      <c r="AU55">
        <f ca="1"/>
        <v>0</v>
      </c>
      <c r="AV55" s="4">
        <f ca="1"/>
        <v>0</v>
      </c>
      <c r="AW55" s="3">
        <f ca="1"/>
        <v>5.270745845940334E-2</v>
      </c>
      <c r="AX55" t="str">
        <f ca="1"/>
        <v>SEQUENTIAL</v>
      </c>
      <c r="AY55" s="3">
        <f ca="1"/>
        <v>8.611111111111111E-2</v>
      </c>
      <c r="AZ55" s="3">
        <f ca="1"/>
        <v>2.7074584594033368E-3</v>
      </c>
      <c r="BA55" s="45">
        <f ca="1"/>
        <v>45306</v>
      </c>
      <c r="BB55" s="3">
        <f ca="1"/>
        <v>1.0065142046750095</v>
      </c>
      <c r="BC55" s="3">
        <f ca="1"/>
        <v>1.0065142046750095</v>
      </c>
      <c r="BD55">
        <f ca="1"/>
        <v>0</v>
      </c>
      <c r="BE55" s="4">
        <f ca="1"/>
        <v>0</v>
      </c>
      <c r="BF55" s="4">
        <f ca="1"/>
        <v>0</v>
      </c>
      <c r="BG55" s="4">
        <f ca="1"/>
        <v>0</v>
      </c>
      <c r="BH55" s="45">
        <f ca="1"/>
        <v>45306</v>
      </c>
      <c r="BI55" s="45">
        <f ca="1"/>
        <v>45306</v>
      </c>
      <c r="BJ55" s="45">
        <f ca="1"/>
        <v>45337</v>
      </c>
      <c r="BK55" s="45">
        <f ca="1"/>
        <v>45337</v>
      </c>
      <c r="BL55" s="37">
        <f ca="1"/>
        <v>0</v>
      </c>
      <c r="BM55" s="37">
        <f ca="1"/>
        <v>0</v>
      </c>
      <c r="BN55" s="40">
        <f ca="1"/>
        <v>0</v>
      </c>
      <c r="BO55" s="42">
        <f ca="1"/>
        <v>0</v>
      </c>
      <c r="BP55" s="42">
        <f ca="1"/>
        <v>0</v>
      </c>
      <c r="BQ55">
        <f ca="1"/>
        <v>0</v>
      </c>
      <c r="BR55">
        <f ca="1"/>
        <v>0</v>
      </c>
      <c r="BS55" s="4">
        <f ca="1"/>
        <v>0</v>
      </c>
      <c r="BT55" s="3">
        <f ca="1"/>
        <v>5.270745845940334E-2</v>
      </c>
      <c r="BU55" t="str">
        <f ca="1"/>
        <v>SEQUENTIAL</v>
      </c>
      <c r="BV55" s="3">
        <f ca="1"/>
        <v>8.611111111111111E-2</v>
      </c>
      <c r="BW55" s="3">
        <f ca="1"/>
        <v>2.7074584594033368E-3</v>
      </c>
      <c r="BX55" s="45">
        <f ca="1"/>
        <v>45306</v>
      </c>
      <c r="BY55" s="3">
        <f ca="1"/>
        <v>1.0065142046750095</v>
      </c>
      <c r="BZ55" s="3">
        <f ca="1"/>
        <v>1.0065142046750095</v>
      </c>
      <c r="CA55">
        <f ca="1"/>
        <v>0</v>
      </c>
      <c r="CB55" s="4">
        <f ca="1"/>
        <v>0</v>
      </c>
      <c r="CC55" s="4">
        <f ca="1"/>
        <v>0</v>
      </c>
      <c r="CD55" s="4">
        <f ca="1"/>
        <v>0</v>
      </c>
      <c r="CE55" t="e">
        <f ca="1"/>
        <v>#N/A</v>
      </c>
      <c r="CF55" t="e">
        <f ca="1"/>
        <v>#N/A</v>
      </c>
      <c r="CG55" t="e">
        <f ca="1"/>
        <v>#N/A</v>
      </c>
      <c r="CH55" t="e">
        <f ca="1"/>
        <v>#N/A</v>
      </c>
      <c r="CI55" t="e">
        <f ca="1"/>
        <v>#N/A</v>
      </c>
      <c r="CJ55" t="e">
        <f ca="1"/>
        <v>#N/A</v>
      </c>
      <c r="CK55" t="e">
        <f ca="1"/>
        <v>#N/A</v>
      </c>
      <c r="CL55" t="e">
        <f ca="1"/>
        <v>#N/A</v>
      </c>
      <c r="CM55" t="e">
        <f ca="1"/>
        <v>#N/A</v>
      </c>
      <c r="CN55" t="e">
        <f ca="1"/>
        <v>#N/A</v>
      </c>
    </row>
    <row r="56" spans="2:92" x14ac:dyDescent="0.25">
      <c r="B56">
        <f ca="1"/>
        <v>49</v>
      </c>
      <c r="C56" s="37">
        <f ca="1"/>
        <v>2373847.1004663012</v>
      </c>
      <c r="D56" s="37">
        <f ca="1"/>
        <v>2293503.5979523822</v>
      </c>
      <c r="E56" s="35">
        <f ca="1"/>
        <v>35406.557292475838</v>
      </c>
      <c r="F56" s="35">
        <f ca="1"/>
        <v>0</v>
      </c>
      <c r="G56" s="35">
        <f ca="1"/>
        <v>26962.167132865263</v>
      </c>
      <c r="H56" s="35">
        <f ca="1"/>
        <v>0</v>
      </c>
      <c r="I56" s="35">
        <f ca="1"/>
        <v>44936.945221442096</v>
      </c>
      <c r="J56" s="35">
        <f ca="1"/>
        <v>98910.2958527624</v>
      </c>
      <c r="K56" s="35">
        <f ca="1"/>
        <v>4580767.3835232044</v>
      </c>
      <c r="L56" s="35">
        <f ca="1"/>
        <v>4580767.3835232044</v>
      </c>
      <c r="M56" s="35">
        <f ca="1"/>
        <v>2748460.4301139228</v>
      </c>
      <c r="N56" s="45">
        <f ca="1"/>
        <v>45337</v>
      </c>
      <c r="O56" s="45">
        <f ca="1"/>
        <v>45337</v>
      </c>
      <c r="P56" s="45">
        <f ca="1"/>
        <v>45366</v>
      </c>
      <c r="Q56" s="45">
        <f ca="1"/>
        <v>45366</v>
      </c>
      <c r="R56" s="37">
        <f ca="1"/>
        <v>0</v>
      </c>
      <c r="S56" s="37">
        <f ca="1"/>
        <v>0</v>
      </c>
      <c r="T56" s="41">
        <f ca="1"/>
        <v>0</v>
      </c>
      <c r="U56" s="42">
        <f ca="1"/>
        <v>0</v>
      </c>
      <c r="V56" s="42">
        <f ca="1"/>
        <v>0</v>
      </c>
      <c r="W56">
        <f ca="1"/>
        <v>0</v>
      </c>
      <c r="X56">
        <f ca="1"/>
        <v>0</v>
      </c>
      <c r="Y56" s="4">
        <f ca="1"/>
        <v>0</v>
      </c>
      <c r="Z56" s="3">
        <f ca="1"/>
        <v>5.2860968754157807E-2</v>
      </c>
      <c r="AA56" t="str">
        <f ca="1"/>
        <v>SEQUENTIAL</v>
      </c>
      <c r="AB56" s="3">
        <f ca="1"/>
        <v>8.0555555555555561E-2</v>
      </c>
      <c r="AC56" s="3">
        <f ca="1"/>
        <v>2.8609687541578058E-3</v>
      </c>
      <c r="AD56" s="45">
        <f ca="1"/>
        <v>45337</v>
      </c>
      <c r="AE56" s="3">
        <f ca="1"/>
        <v>1.0062948712282858</v>
      </c>
      <c r="AF56" s="3">
        <f ca="1"/>
        <v>1.0062948712282858</v>
      </c>
      <c r="AG56">
        <f ca="1"/>
        <v>0</v>
      </c>
      <c r="AH56" s="35">
        <f ca="1"/>
        <v>0</v>
      </c>
      <c r="AI56" s="35">
        <f ca="1"/>
        <v>0</v>
      </c>
      <c r="AJ56" s="35">
        <f ca="1"/>
        <v>0</v>
      </c>
      <c r="AK56" s="36">
        <f ca="1"/>
        <v>45337</v>
      </c>
      <c r="AL56" s="36">
        <f ca="1"/>
        <v>45337</v>
      </c>
      <c r="AM56" s="36">
        <f ca="1"/>
        <v>45366</v>
      </c>
      <c r="AN56" s="36">
        <f ca="1"/>
        <v>45366</v>
      </c>
      <c r="AO56" s="37">
        <f ca="1"/>
        <v>0</v>
      </c>
      <c r="AP56" s="37">
        <f ca="1"/>
        <v>0</v>
      </c>
      <c r="AQ56" s="41">
        <f ca="1"/>
        <v>0</v>
      </c>
      <c r="AR56" s="42">
        <f ca="1"/>
        <v>0</v>
      </c>
      <c r="AS56" s="42">
        <f ca="1"/>
        <v>0</v>
      </c>
      <c r="AT56">
        <f ca="1"/>
        <v>0</v>
      </c>
      <c r="AU56">
        <f ca="1"/>
        <v>0</v>
      </c>
      <c r="AV56" s="4">
        <f ca="1"/>
        <v>0</v>
      </c>
      <c r="AW56" s="3">
        <f ca="1"/>
        <v>5.2860968754157807E-2</v>
      </c>
      <c r="AX56" t="str">
        <f ca="1"/>
        <v>SEQUENTIAL</v>
      </c>
      <c r="AY56" s="3">
        <f ca="1"/>
        <v>8.0555555555555561E-2</v>
      </c>
      <c r="AZ56" s="3">
        <f ca="1"/>
        <v>2.8609687541578058E-3</v>
      </c>
      <c r="BA56" s="45">
        <f ca="1"/>
        <v>45337</v>
      </c>
      <c r="BB56" s="3">
        <f ca="1"/>
        <v>1.0062948712282858</v>
      </c>
      <c r="BC56" s="3">
        <f ca="1"/>
        <v>1.0062948712282858</v>
      </c>
      <c r="BD56">
        <f ca="1"/>
        <v>0</v>
      </c>
      <c r="BE56" s="4">
        <f ca="1"/>
        <v>0</v>
      </c>
      <c r="BF56" s="4">
        <f ca="1"/>
        <v>0</v>
      </c>
      <c r="BG56" s="4">
        <f ca="1"/>
        <v>0</v>
      </c>
      <c r="BH56" s="45">
        <f ca="1"/>
        <v>45337</v>
      </c>
      <c r="BI56" s="45">
        <f ca="1"/>
        <v>45337</v>
      </c>
      <c r="BJ56" s="45">
        <f ca="1"/>
        <v>45366</v>
      </c>
      <c r="BK56" s="45">
        <f ca="1"/>
        <v>45366</v>
      </c>
      <c r="BL56" s="37">
        <f ca="1"/>
        <v>0</v>
      </c>
      <c r="BM56" s="37">
        <f ca="1"/>
        <v>0</v>
      </c>
      <c r="BN56" s="40">
        <f ca="1"/>
        <v>0</v>
      </c>
      <c r="BO56" s="42">
        <f ca="1"/>
        <v>0</v>
      </c>
      <c r="BP56" s="42">
        <f ca="1"/>
        <v>0</v>
      </c>
      <c r="BQ56">
        <f ca="1"/>
        <v>0</v>
      </c>
      <c r="BR56">
        <f ca="1"/>
        <v>0</v>
      </c>
      <c r="BS56" s="4">
        <f ca="1"/>
        <v>0</v>
      </c>
      <c r="BT56" s="3">
        <f ca="1"/>
        <v>5.2860968754157807E-2</v>
      </c>
      <c r="BU56" t="str">
        <f ca="1"/>
        <v>SEQUENTIAL</v>
      </c>
      <c r="BV56" s="3">
        <f ca="1"/>
        <v>8.0555555555555561E-2</v>
      </c>
      <c r="BW56" s="3">
        <f ca="1"/>
        <v>2.8609687541578058E-3</v>
      </c>
      <c r="BX56" s="45">
        <f ca="1"/>
        <v>45337</v>
      </c>
      <c r="BY56" s="3">
        <f ca="1"/>
        <v>1.0062948712282858</v>
      </c>
      <c r="BZ56" s="3">
        <f ca="1"/>
        <v>1.0062948712282858</v>
      </c>
      <c r="CA56">
        <f ca="1"/>
        <v>0</v>
      </c>
      <c r="CB56" s="4">
        <f ca="1"/>
        <v>0</v>
      </c>
      <c r="CC56" s="4">
        <f ca="1"/>
        <v>0</v>
      </c>
      <c r="CD56" s="4">
        <f ca="1"/>
        <v>0</v>
      </c>
      <c r="CE56" t="e">
        <f ca="1"/>
        <v>#N/A</v>
      </c>
      <c r="CF56" t="e">
        <f ca="1"/>
        <v>#N/A</v>
      </c>
      <c r="CG56" t="e">
        <f ca="1"/>
        <v>#N/A</v>
      </c>
      <c r="CH56" t="e">
        <f ca="1"/>
        <v>#N/A</v>
      </c>
      <c r="CI56" t="e">
        <f ca="1"/>
        <v>#N/A</v>
      </c>
      <c r="CJ56" t="e">
        <f ca="1"/>
        <v>#N/A</v>
      </c>
      <c r="CK56" t="e">
        <f ca="1"/>
        <v>#N/A</v>
      </c>
      <c r="CL56" t="e">
        <f ca="1"/>
        <v>#N/A</v>
      </c>
      <c r="CM56" t="e">
        <f ca="1"/>
        <v>#N/A</v>
      </c>
      <c r="CN56" t="e">
        <f ca="1"/>
        <v>#N/A</v>
      </c>
    </row>
    <row r="57" spans="2:92" x14ac:dyDescent="0.25">
      <c r="B57">
        <f ca="1"/>
        <v>50</v>
      </c>
      <c r="C57" s="37">
        <f ca="1"/>
        <v>2293503.5979523822</v>
      </c>
      <c r="D57" s="37">
        <f ca="1"/>
        <v>2213903.8987405049</v>
      </c>
      <c r="E57" s="35">
        <f ca="1"/>
        <v>36183.657156715344</v>
      </c>
      <c r="F57" s="35">
        <f ca="1"/>
        <v>0</v>
      </c>
      <c r="G57" s="35">
        <f ca="1"/>
        <v>26049.625233096533</v>
      </c>
      <c r="H57" s="35">
        <f ca="1"/>
        <v>0</v>
      </c>
      <c r="I57" s="35">
        <f ca="1"/>
        <v>43416.042055160884</v>
      </c>
      <c r="J57" s="35">
        <f ca="1"/>
        <v>95562.649914682523</v>
      </c>
      <c r="K57" s="35">
        <f ca="1"/>
        <v>4624183.4255783651</v>
      </c>
      <c r="L57" s="35">
        <f ca="1"/>
        <v>4624183.4255783651</v>
      </c>
      <c r="M57" s="35">
        <f ca="1"/>
        <v>2774510.0553470193</v>
      </c>
      <c r="N57" s="45">
        <f ca="1"/>
        <v>45366</v>
      </c>
      <c r="O57" s="45">
        <f ca="1"/>
        <v>45366</v>
      </c>
      <c r="P57" s="45">
        <f ca="1"/>
        <v>45397</v>
      </c>
      <c r="Q57" s="45">
        <f ca="1"/>
        <v>45397</v>
      </c>
      <c r="R57" s="37">
        <f ca="1"/>
        <v>0</v>
      </c>
      <c r="S57" s="37">
        <f ca="1"/>
        <v>0</v>
      </c>
      <c r="T57" s="41">
        <f ca="1"/>
        <v>0</v>
      </c>
      <c r="U57" s="42">
        <f ca="1"/>
        <v>0</v>
      </c>
      <c r="V57" s="42">
        <f ca="1"/>
        <v>0</v>
      </c>
      <c r="W57">
        <f ca="1"/>
        <v>0</v>
      </c>
      <c r="X57">
        <f ca="1"/>
        <v>0</v>
      </c>
      <c r="Y57" s="4">
        <f ca="1"/>
        <v>0</v>
      </c>
      <c r="Z57" s="3">
        <f ca="1"/>
        <v>5.3005355644504724E-2</v>
      </c>
      <c r="AA57" t="str">
        <f ca="1"/>
        <v>SEQUENTIAL</v>
      </c>
      <c r="AB57" s="3">
        <f ca="1"/>
        <v>8.611111111111111E-2</v>
      </c>
      <c r="AC57" s="3">
        <f ca="1"/>
        <v>3.0053556445047221E-3</v>
      </c>
      <c r="AD57" s="45">
        <f ca="1"/>
        <v>45366</v>
      </c>
      <c r="AE57" s="3">
        <f ca="1"/>
        <v>1.0060474241587181</v>
      </c>
      <c r="AF57" s="3">
        <f ca="1"/>
        <v>1.0060474241587181</v>
      </c>
      <c r="AG57">
        <f ca="1"/>
        <v>0</v>
      </c>
      <c r="AH57" s="35">
        <f ca="1"/>
        <v>0</v>
      </c>
      <c r="AI57" s="35">
        <f ca="1"/>
        <v>0</v>
      </c>
      <c r="AJ57" s="35">
        <f ca="1"/>
        <v>0</v>
      </c>
      <c r="AK57" s="36">
        <f ca="1"/>
        <v>45366</v>
      </c>
      <c r="AL57" s="36">
        <f ca="1"/>
        <v>45366</v>
      </c>
      <c r="AM57" s="36">
        <f ca="1"/>
        <v>45397</v>
      </c>
      <c r="AN57" s="36">
        <f ca="1"/>
        <v>45397</v>
      </c>
      <c r="AO57" s="37">
        <f ca="1"/>
        <v>0</v>
      </c>
      <c r="AP57" s="37">
        <f ca="1"/>
        <v>0</v>
      </c>
      <c r="AQ57" s="41">
        <f ca="1"/>
        <v>0</v>
      </c>
      <c r="AR57" s="42">
        <f ca="1"/>
        <v>0</v>
      </c>
      <c r="AS57" s="42">
        <f ca="1"/>
        <v>0</v>
      </c>
      <c r="AT57">
        <f ca="1"/>
        <v>0</v>
      </c>
      <c r="AU57">
        <f ca="1"/>
        <v>0</v>
      </c>
      <c r="AV57" s="4">
        <f ca="1"/>
        <v>0</v>
      </c>
      <c r="AW57" s="3">
        <f ca="1"/>
        <v>5.3005355644504724E-2</v>
      </c>
      <c r="AX57" t="str">
        <f ca="1"/>
        <v>SEQUENTIAL</v>
      </c>
      <c r="AY57" s="3">
        <f ca="1"/>
        <v>8.611111111111111E-2</v>
      </c>
      <c r="AZ57" s="3">
        <f ca="1"/>
        <v>3.0053556445047221E-3</v>
      </c>
      <c r="BA57" s="45">
        <f ca="1"/>
        <v>45366</v>
      </c>
      <c r="BB57" s="3">
        <f ca="1"/>
        <v>1.0060474241587181</v>
      </c>
      <c r="BC57" s="3">
        <f ca="1"/>
        <v>1.0060474241587181</v>
      </c>
      <c r="BD57">
        <f ca="1"/>
        <v>0</v>
      </c>
      <c r="BE57" s="4">
        <f ca="1"/>
        <v>0</v>
      </c>
      <c r="BF57" s="4">
        <f ca="1"/>
        <v>0</v>
      </c>
      <c r="BG57" s="4">
        <f ca="1"/>
        <v>0</v>
      </c>
      <c r="BH57" s="45">
        <f ca="1"/>
        <v>45366</v>
      </c>
      <c r="BI57" s="45">
        <f ca="1"/>
        <v>45366</v>
      </c>
      <c r="BJ57" s="45">
        <f ca="1"/>
        <v>45397</v>
      </c>
      <c r="BK57" s="45">
        <f ca="1"/>
        <v>45397</v>
      </c>
      <c r="BL57" s="37">
        <f ca="1"/>
        <v>0</v>
      </c>
      <c r="BM57" s="37">
        <f ca="1"/>
        <v>0</v>
      </c>
      <c r="BN57" s="40">
        <f ca="1"/>
        <v>0</v>
      </c>
      <c r="BO57" s="42">
        <f ca="1"/>
        <v>0</v>
      </c>
      <c r="BP57" s="42">
        <f ca="1"/>
        <v>0</v>
      </c>
      <c r="BQ57">
        <f ca="1"/>
        <v>0</v>
      </c>
      <c r="BR57">
        <f ca="1"/>
        <v>0</v>
      </c>
      <c r="BS57" s="4">
        <f ca="1"/>
        <v>0</v>
      </c>
      <c r="BT57" s="3">
        <f ca="1"/>
        <v>5.3005355644504724E-2</v>
      </c>
      <c r="BU57" t="str">
        <f ca="1"/>
        <v>SEQUENTIAL</v>
      </c>
      <c r="BV57" s="3">
        <f ca="1"/>
        <v>8.611111111111111E-2</v>
      </c>
      <c r="BW57" s="3">
        <f ca="1"/>
        <v>3.0053556445047221E-3</v>
      </c>
      <c r="BX57" s="45">
        <f ca="1"/>
        <v>45366</v>
      </c>
      <c r="BY57" s="3">
        <f ca="1"/>
        <v>1.0060474241587181</v>
      </c>
      <c r="BZ57" s="3">
        <f ca="1"/>
        <v>1.0060474241587181</v>
      </c>
      <c r="CA57">
        <f ca="1"/>
        <v>0</v>
      </c>
      <c r="CB57" s="4">
        <f ca="1"/>
        <v>0</v>
      </c>
      <c r="CC57" s="4">
        <f ca="1"/>
        <v>0</v>
      </c>
      <c r="CD57" s="4">
        <f ca="1"/>
        <v>0</v>
      </c>
      <c r="CE57" t="e">
        <f ca="1"/>
        <v>#N/A</v>
      </c>
      <c r="CF57" t="e">
        <f ca="1"/>
        <v>#N/A</v>
      </c>
      <c r="CG57" t="e">
        <f ca="1"/>
        <v>#N/A</v>
      </c>
      <c r="CH57" t="e">
        <f ca="1"/>
        <v>#N/A</v>
      </c>
      <c r="CI57" t="e">
        <f ca="1"/>
        <v>#N/A</v>
      </c>
      <c r="CJ57" t="e">
        <f ca="1"/>
        <v>#N/A</v>
      </c>
      <c r="CK57" t="e">
        <f ca="1"/>
        <v>#N/A</v>
      </c>
      <c r="CL57" t="e">
        <f ca="1"/>
        <v>#N/A</v>
      </c>
      <c r="CM57" t="e">
        <f ca="1"/>
        <v>#N/A</v>
      </c>
      <c r="CN57" t="e">
        <f ca="1"/>
        <v>#N/A</v>
      </c>
    </row>
    <row r="58" spans="2:92" x14ac:dyDescent="0.25">
      <c r="B58">
        <f ca="1"/>
        <v>51</v>
      </c>
      <c r="C58" s="37">
        <f ca="1"/>
        <v>2213903.8987405049</v>
      </c>
      <c r="D58" s="37">
        <f ca="1"/>
        <v>2135016.8669116432</v>
      </c>
      <c r="E58" s="35">
        <f ca="1"/>
        <v>36977.812737329928</v>
      </c>
      <c r="F58" s="35">
        <f ca="1"/>
        <v>0</v>
      </c>
      <c r="G58" s="35">
        <f ca="1"/>
        <v>25145.531454918968</v>
      </c>
      <c r="H58" s="35">
        <f ca="1"/>
        <v>0</v>
      </c>
      <c r="I58" s="35">
        <f ca="1"/>
        <v>41909.219091531631</v>
      </c>
      <c r="J58" s="35">
        <f ca="1"/>
        <v>92245.995780854355</v>
      </c>
      <c r="K58" s="35">
        <f ca="1"/>
        <v>4666092.6446698969</v>
      </c>
      <c r="L58" s="35">
        <f ca="1"/>
        <v>4666092.6446698969</v>
      </c>
      <c r="M58" s="35">
        <f ca="1"/>
        <v>2799655.5868019382</v>
      </c>
      <c r="N58" s="45">
        <f ca="1"/>
        <v>45397</v>
      </c>
      <c r="O58" s="45">
        <f ca="1"/>
        <v>45397</v>
      </c>
      <c r="P58" s="45">
        <f ca="1"/>
        <v>45427</v>
      </c>
      <c r="Q58" s="45">
        <f ca="1"/>
        <v>45427</v>
      </c>
      <c r="R58" s="37">
        <f ca="1"/>
        <v>0</v>
      </c>
      <c r="S58" s="37">
        <f ca="1"/>
        <v>0</v>
      </c>
      <c r="T58" s="41">
        <f ca="1"/>
        <v>0</v>
      </c>
      <c r="U58" s="42">
        <f ca="1"/>
        <v>0</v>
      </c>
      <c r="V58" s="42">
        <f ca="1"/>
        <v>0</v>
      </c>
      <c r="W58">
        <f ca="1"/>
        <v>0</v>
      </c>
      <c r="X58">
        <f ca="1"/>
        <v>0</v>
      </c>
      <c r="Y58" s="4">
        <f ca="1"/>
        <v>0</v>
      </c>
      <c r="Z58" s="3">
        <f ca="1"/>
        <v>5.3160775260145926E-2</v>
      </c>
      <c r="AA58" t="str">
        <f ca="1"/>
        <v>SEQUENTIAL</v>
      </c>
      <c r="AB58" s="3">
        <f ca="1"/>
        <v>8.3333333333333329E-2</v>
      </c>
      <c r="AC58" s="3">
        <f ca="1"/>
        <v>3.1607752601459215E-3</v>
      </c>
      <c r="AD58" s="45">
        <f ca="1"/>
        <v>45397</v>
      </c>
      <c r="AE58" s="3">
        <f ca="1"/>
        <v>1.0057954418587591</v>
      </c>
      <c r="AF58" s="3">
        <f ca="1"/>
        <v>1.0057954418587591</v>
      </c>
      <c r="AG58">
        <f ca="1"/>
        <v>0</v>
      </c>
      <c r="AH58" s="35">
        <f ca="1"/>
        <v>0</v>
      </c>
      <c r="AI58" s="35">
        <f ca="1"/>
        <v>0</v>
      </c>
      <c r="AJ58" s="35">
        <f ca="1"/>
        <v>0</v>
      </c>
      <c r="AK58" s="36">
        <f ca="1"/>
        <v>45397</v>
      </c>
      <c r="AL58" s="36">
        <f ca="1"/>
        <v>45397</v>
      </c>
      <c r="AM58" s="36">
        <f ca="1"/>
        <v>45427</v>
      </c>
      <c r="AN58" s="36">
        <f ca="1"/>
        <v>45427</v>
      </c>
      <c r="AO58" s="37">
        <f ca="1"/>
        <v>0</v>
      </c>
      <c r="AP58" s="37">
        <f ca="1"/>
        <v>0</v>
      </c>
      <c r="AQ58" s="41">
        <f ca="1"/>
        <v>0</v>
      </c>
      <c r="AR58" s="42">
        <f ca="1"/>
        <v>0</v>
      </c>
      <c r="AS58" s="42">
        <f ca="1"/>
        <v>0</v>
      </c>
      <c r="AT58">
        <f ca="1"/>
        <v>0</v>
      </c>
      <c r="AU58">
        <f ca="1"/>
        <v>0</v>
      </c>
      <c r="AV58" s="4">
        <f ca="1"/>
        <v>0</v>
      </c>
      <c r="AW58" s="3">
        <f ca="1"/>
        <v>5.3160775260145926E-2</v>
      </c>
      <c r="AX58" t="str">
        <f ca="1"/>
        <v>SEQUENTIAL</v>
      </c>
      <c r="AY58" s="3">
        <f ca="1"/>
        <v>8.3333333333333329E-2</v>
      </c>
      <c r="AZ58" s="3">
        <f ca="1"/>
        <v>3.1607752601459215E-3</v>
      </c>
      <c r="BA58" s="45">
        <f ca="1"/>
        <v>45397</v>
      </c>
      <c r="BB58" s="3">
        <f ca="1"/>
        <v>1.0057954418587591</v>
      </c>
      <c r="BC58" s="3">
        <f ca="1"/>
        <v>1.0057954418587591</v>
      </c>
      <c r="BD58">
        <f ca="1"/>
        <v>0</v>
      </c>
      <c r="BE58" s="4">
        <f ca="1"/>
        <v>0</v>
      </c>
      <c r="BF58" s="4">
        <f ca="1"/>
        <v>0</v>
      </c>
      <c r="BG58" s="4">
        <f ca="1"/>
        <v>0</v>
      </c>
      <c r="BH58" s="45">
        <f ca="1"/>
        <v>45397</v>
      </c>
      <c r="BI58" s="45">
        <f ca="1"/>
        <v>45397</v>
      </c>
      <c r="BJ58" s="45">
        <f ca="1"/>
        <v>45427</v>
      </c>
      <c r="BK58" s="45">
        <f ca="1"/>
        <v>45427</v>
      </c>
      <c r="BL58" s="37">
        <f ca="1"/>
        <v>0</v>
      </c>
      <c r="BM58" s="37">
        <f ca="1"/>
        <v>0</v>
      </c>
      <c r="BN58" s="40">
        <f ca="1"/>
        <v>0</v>
      </c>
      <c r="BO58" s="42">
        <f ca="1"/>
        <v>0</v>
      </c>
      <c r="BP58" s="42">
        <f ca="1"/>
        <v>0</v>
      </c>
      <c r="BQ58">
        <f ca="1"/>
        <v>0</v>
      </c>
      <c r="BR58">
        <f ca="1"/>
        <v>0</v>
      </c>
      <c r="BS58" s="4">
        <f ca="1"/>
        <v>0</v>
      </c>
      <c r="BT58" s="3">
        <f ca="1"/>
        <v>5.3160775260145926E-2</v>
      </c>
      <c r="BU58" t="str">
        <f ca="1"/>
        <v>SEQUENTIAL</v>
      </c>
      <c r="BV58" s="3">
        <f ca="1"/>
        <v>8.3333333333333329E-2</v>
      </c>
      <c r="BW58" s="3">
        <f ca="1"/>
        <v>3.1607752601459215E-3</v>
      </c>
      <c r="BX58" s="45">
        <f ca="1"/>
        <v>45397</v>
      </c>
      <c r="BY58" s="3">
        <f ca="1"/>
        <v>1.0057954418587591</v>
      </c>
      <c r="BZ58" s="3">
        <f ca="1"/>
        <v>1.0057954418587591</v>
      </c>
      <c r="CA58">
        <f ca="1"/>
        <v>0</v>
      </c>
      <c r="CB58" s="4">
        <f ca="1"/>
        <v>0</v>
      </c>
      <c r="CC58" s="4">
        <f ca="1"/>
        <v>0</v>
      </c>
      <c r="CD58" s="4">
        <f ca="1"/>
        <v>0</v>
      </c>
      <c r="CE58" t="e">
        <f ca="1"/>
        <v>#N/A</v>
      </c>
      <c r="CF58" t="e">
        <f ca="1"/>
        <v>#N/A</v>
      </c>
      <c r="CG58" t="e">
        <f ca="1"/>
        <v>#N/A</v>
      </c>
      <c r="CH58" t="e">
        <f ca="1"/>
        <v>#N/A</v>
      </c>
      <c r="CI58" t="e">
        <f ca="1"/>
        <v>#N/A</v>
      </c>
      <c r="CJ58" t="e">
        <f ca="1"/>
        <v>#N/A</v>
      </c>
      <c r="CK58" t="e">
        <f ca="1"/>
        <v>#N/A</v>
      </c>
      <c r="CL58" t="e">
        <f ca="1"/>
        <v>#N/A</v>
      </c>
      <c r="CM58" t="e">
        <f ca="1"/>
        <v>#N/A</v>
      </c>
      <c r="CN58" t="e">
        <f ca="1"/>
        <v>#N/A</v>
      </c>
    </row>
    <row r="59" spans="2:92" x14ac:dyDescent="0.25">
      <c r="B59">
        <f ca="1"/>
        <v>52</v>
      </c>
      <c r="C59" s="37">
        <f ca="1"/>
        <v>2135016.8669116432</v>
      </c>
      <c r="D59" s="37">
        <f ca="1"/>
        <v>2056811.5816126794</v>
      </c>
      <c r="E59" s="35">
        <f ca="1"/>
        <v>37789.398371614625</v>
      </c>
      <c r="F59" s="35">
        <f ca="1"/>
        <v>0</v>
      </c>
      <c r="G59" s="35">
        <f ca="1"/>
        <v>24249.532156409976</v>
      </c>
      <c r="H59" s="35">
        <f ca="1"/>
        <v>0</v>
      </c>
      <c r="I59" s="35">
        <f ca="1"/>
        <v>40415.886927349966</v>
      </c>
      <c r="J59" s="35">
        <f ca="1"/>
        <v>88959.036121318553</v>
      </c>
      <c r="K59" s="35">
        <f ca="1"/>
        <v>4706508.5315972473</v>
      </c>
      <c r="L59" s="35">
        <f ca="1"/>
        <v>4706508.5315972473</v>
      </c>
      <c r="M59" s="35">
        <f ca="1"/>
        <v>2823905.1189583484</v>
      </c>
      <c r="N59" s="45">
        <f ca="1"/>
        <v>45427</v>
      </c>
      <c r="O59" s="45">
        <f ca="1"/>
        <v>45427</v>
      </c>
      <c r="P59" s="45">
        <f ca="1"/>
        <v>45460</v>
      </c>
      <c r="Q59" s="45">
        <f ca="1"/>
        <v>45460</v>
      </c>
      <c r="R59" s="37">
        <f ca="1"/>
        <v>0</v>
      </c>
      <c r="S59" s="37">
        <f ca="1"/>
        <v>0</v>
      </c>
      <c r="T59" s="41">
        <f ca="1"/>
        <v>0</v>
      </c>
      <c r="U59" s="42">
        <f ca="1"/>
        <v>0</v>
      </c>
      <c r="V59" s="42">
        <f ca="1"/>
        <v>0</v>
      </c>
      <c r="W59">
        <f ca="1"/>
        <v>0</v>
      </c>
      <c r="X59">
        <f ca="1"/>
        <v>0</v>
      </c>
      <c r="Y59" s="4">
        <f ca="1"/>
        <v>0</v>
      </c>
      <c r="Z59" s="3">
        <f ca="1"/>
        <v>5.331164890570772E-2</v>
      </c>
      <c r="AA59" t="str">
        <f ca="1"/>
        <v>SEQUENTIAL</v>
      </c>
      <c r="AB59" s="3">
        <f ca="1"/>
        <v>9.166666666666666E-2</v>
      </c>
      <c r="AC59" s="3">
        <f ca="1"/>
        <v>3.3116489057077193E-3</v>
      </c>
      <c r="AD59" s="45">
        <f ca="1"/>
        <v>45427</v>
      </c>
      <c r="AE59" s="3">
        <f ca="1"/>
        <v>1.0055042513023442</v>
      </c>
      <c r="AF59" s="3">
        <f ca="1"/>
        <v>1.0055042513023442</v>
      </c>
      <c r="AG59">
        <f ca="1"/>
        <v>0</v>
      </c>
      <c r="AH59" s="35">
        <f ca="1"/>
        <v>0</v>
      </c>
      <c r="AI59" s="35">
        <f ca="1"/>
        <v>0</v>
      </c>
      <c r="AJ59" s="35">
        <f ca="1"/>
        <v>0</v>
      </c>
      <c r="AK59" s="36">
        <f ca="1"/>
        <v>45427</v>
      </c>
      <c r="AL59" s="36">
        <f ca="1"/>
        <v>45427</v>
      </c>
      <c r="AM59" s="36">
        <f ca="1"/>
        <v>45460</v>
      </c>
      <c r="AN59" s="36">
        <f ca="1"/>
        <v>45460</v>
      </c>
      <c r="AO59" s="37">
        <f ca="1"/>
        <v>0</v>
      </c>
      <c r="AP59" s="37">
        <f ca="1"/>
        <v>0</v>
      </c>
      <c r="AQ59" s="41">
        <f ca="1"/>
        <v>0</v>
      </c>
      <c r="AR59" s="42">
        <f ca="1"/>
        <v>0</v>
      </c>
      <c r="AS59" s="42">
        <f ca="1"/>
        <v>0</v>
      </c>
      <c r="AT59">
        <f ca="1"/>
        <v>0</v>
      </c>
      <c r="AU59">
        <f ca="1"/>
        <v>0</v>
      </c>
      <c r="AV59" s="4">
        <f ca="1"/>
        <v>0</v>
      </c>
      <c r="AW59" s="3">
        <f ca="1"/>
        <v>5.331164890570772E-2</v>
      </c>
      <c r="AX59" t="str">
        <f ca="1"/>
        <v>SEQUENTIAL</v>
      </c>
      <c r="AY59" s="3">
        <f ca="1"/>
        <v>9.166666666666666E-2</v>
      </c>
      <c r="AZ59" s="3">
        <f ca="1"/>
        <v>3.3116489057077193E-3</v>
      </c>
      <c r="BA59" s="45">
        <f ca="1"/>
        <v>45427</v>
      </c>
      <c r="BB59" s="3">
        <f ca="1"/>
        <v>1.0055042513023442</v>
      </c>
      <c r="BC59" s="3">
        <f ca="1"/>
        <v>1.0055042513023442</v>
      </c>
      <c r="BD59">
        <f ca="1"/>
        <v>0</v>
      </c>
      <c r="BE59" s="4">
        <f ca="1"/>
        <v>0</v>
      </c>
      <c r="BF59" s="4">
        <f ca="1"/>
        <v>0</v>
      </c>
      <c r="BG59" s="4">
        <f ca="1"/>
        <v>0</v>
      </c>
      <c r="BH59" s="45">
        <f ca="1"/>
        <v>45427</v>
      </c>
      <c r="BI59" s="45">
        <f ca="1"/>
        <v>45427</v>
      </c>
      <c r="BJ59" s="45">
        <f ca="1"/>
        <v>45460</v>
      </c>
      <c r="BK59" s="45">
        <f ca="1"/>
        <v>45460</v>
      </c>
      <c r="BL59" s="37">
        <f ca="1"/>
        <v>0</v>
      </c>
      <c r="BM59" s="37">
        <f ca="1"/>
        <v>0</v>
      </c>
      <c r="BN59" s="40">
        <f ca="1"/>
        <v>0</v>
      </c>
      <c r="BO59" s="42">
        <f ca="1"/>
        <v>0</v>
      </c>
      <c r="BP59" s="42">
        <f ca="1"/>
        <v>0</v>
      </c>
      <c r="BQ59">
        <f ca="1"/>
        <v>0</v>
      </c>
      <c r="BR59">
        <f ca="1"/>
        <v>0</v>
      </c>
      <c r="BS59" s="4">
        <f ca="1"/>
        <v>0</v>
      </c>
      <c r="BT59" s="3">
        <f ca="1"/>
        <v>5.331164890570772E-2</v>
      </c>
      <c r="BU59" t="str">
        <f ca="1"/>
        <v>SEQUENTIAL</v>
      </c>
      <c r="BV59" s="3">
        <f ca="1"/>
        <v>9.166666666666666E-2</v>
      </c>
      <c r="BW59" s="3">
        <f ca="1"/>
        <v>3.3116489057077193E-3</v>
      </c>
      <c r="BX59" s="45">
        <f ca="1"/>
        <v>45427</v>
      </c>
      <c r="BY59" s="3">
        <f ca="1"/>
        <v>1.0055042513023442</v>
      </c>
      <c r="BZ59" s="3">
        <f ca="1"/>
        <v>1.0055042513023442</v>
      </c>
      <c r="CA59">
        <f ca="1"/>
        <v>0</v>
      </c>
      <c r="CB59" s="4">
        <f ca="1"/>
        <v>0</v>
      </c>
      <c r="CC59" s="4">
        <f ca="1"/>
        <v>0</v>
      </c>
      <c r="CD59" s="4">
        <f ca="1"/>
        <v>0</v>
      </c>
      <c r="CE59" t="e">
        <f ca="1"/>
        <v>#N/A</v>
      </c>
      <c r="CF59" t="e">
        <f ca="1"/>
        <v>#N/A</v>
      </c>
      <c r="CG59" t="e">
        <f ca="1"/>
        <v>#N/A</v>
      </c>
      <c r="CH59" t="e">
        <f ca="1"/>
        <v>#N/A</v>
      </c>
      <c r="CI59" t="e">
        <f ca="1"/>
        <v>#N/A</v>
      </c>
      <c r="CJ59" t="e">
        <f ca="1"/>
        <v>#N/A</v>
      </c>
      <c r="CK59" t="e">
        <f ca="1"/>
        <v>#N/A</v>
      </c>
      <c r="CL59" t="e">
        <f ca="1"/>
        <v>#N/A</v>
      </c>
      <c r="CM59" t="e">
        <f ca="1"/>
        <v>#N/A</v>
      </c>
      <c r="CN59" t="e">
        <f ca="1"/>
        <v>#N/A</v>
      </c>
    </row>
    <row r="60" spans="2:92" x14ac:dyDescent="0.25">
      <c r="B60">
        <f ca="1"/>
        <v>53</v>
      </c>
      <c r="C60" s="37">
        <f ca="1"/>
        <v>2056811.5816126794</v>
      </c>
      <c r="D60" s="37">
        <f ca="1"/>
        <v>1979257.3247692829</v>
      </c>
      <c r="E60" s="35">
        <f ca="1"/>
        <v>38618.796612784863</v>
      </c>
      <c r="F60" s="35">
        <f ca="1"/>
        <v>0</v>
      </c>
      <c r="G60" s="35">
        <f ca="1"/>
        <v>23361.276138366542</v>
      </c>
      <c r="H60" s="35">
        <f ca="1"/>
        <v>0</v>
      </c>
      <c r="I60" s="35">
        <f ca="1"/>
        <v>38935.460230610945</v>
      </c>
      <c r="J60" s="35">
        <f ca="1"/>
        <v>85700.482567194951</v>
      </c>
      <c r="K60" s="35">
        <f ca="1"/>
        <v>4745443.9918278586</v>
      </c>
      <c r="L60" s="35">
        <f ca="1"/>
        <v>4745443.9918278586</v>
      </c>
      <c r="M60" s="35">
        <f ca="1"/>
        <v>2847266.3950967151</v>
      </c>
      <c r="N60" s="45">
        <f ca="1"/>
        <v>45460</v>
      </c>
      <c r="O60" s="45">
        <f ca="1"/>
        <v>45460</v>
      </c>
      <c r="P60" s="45">
        <f ca="1"/>
        <v>45488</v>
      </c>
      <c r="Q60" s="45">
        <f ca="1"/>
        <v>45488</v>
      </c>
      <c r="R60" s="37">
        <f ca="1"/>
        <v>0</v>
      </c>
      <c r="S60" s="37">
        <f ca="1"/>
        <v>0</v>
      </c>
      <c r="T60" s="41">
        <f ca="1"/>
        <v>0</v>
      </c>
      <c r="U60" s="42">
        <f ca="1"/>
        <v>0</v>
      </c>
      <c r="V60" s="42">
        <f ca="1"/>
        <v>0</v>
      </c>
      <c r="W60">
        <f ca="1"/>
        <v>0</v>
      </c>
      <c r="X60">
        <f ca="1"/>
        <v>0</v>
      </c>
      <c r="Y60" s="4">
        <f ca="1"/>
        <v>0</v>
      </c>
      <c r="Z60" s="3">
        <f ca="1"/>
        <v>5.3477879977533255E-2</v>
      </c>
      <c r="AA60" t="str">
        <f ca="1"/>
        <v>SEQUENTIAL</v>
      </c>
      <c r="AB60" s="3">
        <f ca="1"/>
        <v>7.7777777777777779E-2</v>
      </c>
      <c r="AC60" s="3">
        <f ca="1"/>
        <v>3.4778799775332489E-3</v>
      </c>
      <c r="AD60" s="45">
        <f ca="1"/>
        <v>45460</v>
      </c>
      <c r="AE60" s="3">
        <f ca="1"/>
        <v>1.005245500950571</v>
      </c>
      <c r="AF60" s="3">
        <f ca="1"/>
        <v>1.005245500950571</v>
      </c>
      <c r="AG60">
        <f ca="1"/>
        <v>0</v>
      </c>
      <c r="AH60" s="35">
        <f ca="1"/>
        <v>0</v>
      </c>
      <c r="AI60" s="35">
        <f ca="1"/>
        <v>0</v>
      </c>
      <c r="AJ60" s="35">
        <f ca="1"/>
        <v>0</v>
      </c>
      <c r="AK60" s="36">
        <f ca="1"/>
        <v>45460</v>
      </c>
      <c r="AL60" s="36">
        <f ca="1"/>
        <v>45460</v>
      </c>
      <c r="AM60" s="36">
        <f ca="1"/>
        <v>45488</v>
      </c>
      <c r="AN60" s="36">
        <f ca="1"/>
        <v>45488</v>
      </c>
      <c r="AO60" s="37">
        <f ca="1"/>
        <v>0</v>
      </c>
      <c r="AP60" s="37">
        <f ca="1"/>
        <v>0</v>
      </c>
      <c r="AQ60" s="41">
        <f ca="1"/>
        <v>0</v>
      </c>
      <c r="AR60" s="42">
        <f ca="1"/>
        <v>0</v>
      </c>
      <c r="AS60" s="42">
        <f ca="1"/>
        <v>0</v>
      </c>
      <c r="AT60">
        <f ca="1"/>
        <v>0</v>
      </c>
      <c r="AU60">
        <f ca="1"/>
        <v>0</v>
      </c>
      <c r="AV60" s="4">
        <f ca="1"/>
        <v>0</v>
      </c>
      <c r="AW60" s="3">
        <f ca="1"/>
        <v>5.3477879977533255E-2</v>
      </c>
      <c r="AX60" t="str">
        <f ca="1"/>
        <v>SEQUENTIAL</v>
      </c>
      <c r="AY60" s="3">
        <f ca="1"/>
        <v>7.7777777777777779E-2</v>
      </c>
      <c r="AZ60" s="3">
        <f ca="1"/>
        <v>3.4778799775332489E-3</v>
      </c>
      <c r="BA60" s="45">
        <f ca="1"/>
        <v>45460</v>
      </c>
      <c r="BB60" s="3">
        <f ca="1"/>
        <v>1.005245500950571</v>
      </c>
      <c r="BC60" s="3">
        <f ca="1"/>
        <v>1.005245500950571</v>
      </c>
      <c r="BD60">
        <f ca="1"/>
        <v>0</v>
      </c>
      <c r="BE60" s="4">
        <f ca="1"/>
        <v>0</v>
      </c>
      <c r="BF60" s="4">
        <f ca="1"/>
        <v>0</v>
      </c>
      <c r="BG60" s="4">
        <f ca="1"/>
        <v>0</v>
      </c>
      <c r="BH60" s="45">
        <f ca="1"/>
        <v>45460</v>
      </c>
      <c r="BI60" s="45">
        <f ca="1"/>
        <v>45460</v>
      </c>
      <c r="BJ60" s="45">
        <f ca="1"/>
        <v>45488</v>
      </c>
      <c r="BK60" s="45">
        <f ca="1"/>
        <v>45488</v>
      </c>
      <c r="BL60" s="37">
        <f ca="1"/>
        <v>0</v>
      </c>
      <c r="BM60" s="37">
        <f ca="1"/>
        <v>0</v>
      </c>
      <c r="BN60" s="40">
        <f ca="1"/>
        <v>0</v>
      </c>
      <c r="BO60" s="42">
        <f ca="1"/>
        <v>0</v>
      </c>
      <c r="BP60" s="42">
        <f ca="1"/>
        <v>0</v>
      </c>
      <c r="BQ60">
        <f ca="1"/>
        <v>0</v>
      </c>
      <c r="BR60">
        <f ca="1"/>
        <v>0</v>
      </c>
      <c r="BS60" s="4">
        <f ca="1"/>
        <v>0</v>
      </c>
      <c r="BT60" s="3">
        <f ca="1"/>
        <v>5.3477879977533255E-2</v>
      </c>
      <c r="BU60" t="str">
        <f ca="1"/>
        <v>SEQUENTIAL</v>
      </c>
      <c r="BV60" s="3">
        <f ca="1"/>
        <v>7.7777777777777779E-2</v>
      </c>
      <c r="BW60" s="3">
        <f ca="1"/>
        <v>3.4778799775332489E-3</v>
      </c>
      <c r="BX60" s="45">
        <f ca="1"/>
        <v>45460</v>
      </c>
      <c r="BY60" s="3">
        <f ca="1"/>
        <v>1.005245500950571</v>
      </c>
      <c r="BZ60" s="3">
        <f ca="1"/>
        <v>1.005245500950571</v>
      </c>
      <c r="CA60">
        <f ca="1"/>
        <v>0</v>
      </c>
      <c r="CB60" s="4">
        <f ca="1"/>
        <v>0</v>
      </c>
      <c r="CC60" s="4">
        <f ca="1"/>
        <v>0</v>
      </c>
      <c r="CD60" s="4">
        <f ca="1"/>
        <v>0</v>
      </c>
      <c r="CE60" t="e">
        <f ca="1"/>
        <v>#N/A</v>
      </c>
      <c r="CF60" t="e">
        <f ca="1"/>
        <v>#N/A</v>
      </c>
      <c r="CG60" t="e">
        <f ca="1"/>
        <v>#N/A</v>
      </c>
      <c r="CH60" t="e">
        <f ca="1"/>
        <v>#N/A</v>
      </c>
      <c r="CI60" t="e">
        <f ca="1"/>
        <v>#N/A</v>
      </c>
      <c r="CJ60" t="e">
        <f ca="1"/>
        <v>#N/A</v>
      </c>
      <c r="CK60" t="e">
        <f ca="1"/>
        <v>#N/A</v>
      </c>
      <c r="CL60" t="e">
        <f ca="1"/>
        <v>#N/A</v>
      </c>
      <c r="CM60" t="e">
        <f ca="1"/>
        <v>#N/A</v>
      </c>
      <c r="CN60" t="e">
        <f ca="1"/>
        <v>#N/A</v>
      </c>
    </row>
    <row r="61" spans="2:92" x14ac:dyDescent="0.25">
      <c r="B61">
        <f ca="1"/>
        <v>54</v>
      </c>
      <c r="C61" s="37">
        <f ca="1"/>
        <v>1979257.3247692829</v>
      </c>
      <c r="D61" s="37">
        <f ca="1"/>
        <v>1902323.5688510707</v>
      </c>
      <c r="E61" s="35">
        <f ca="1"/>
        <v>39466.398410298869</v>
      </c>
      <c r="F61" s="35">
        <f ca="1"/>
        <v>0</v>
      </c>
      <c r="G61" s="35">
        <f ca="1"/>
        <v>22480.414504748253</v>
      </c>
      <c r="H61" s="35">
        <f ca="1"/>
        <v>0</v>
      </c>
      <c r="I61" s="35">
        <f ca="1"/>
        <v>37467.357507913803</v>
      </c>
      <c r="J61" s="35">
        <f ca="1"/>
        <v>82469.055198720132</v>
      </c>
      <c r="K61" s="35">
        <f ca="1"/>
        <v>4782911.349335772</v>
      </c>
      <c r="L61" s="35">
        <f ca="1"/>
        <v>4782911.349335772</v>
      </c>
      <c r="M61" s="35">
        <f ca="1"/>
        <v>2869746.8096014634</v>
      </c>
      <c r="N61" s="45">
        <f ca="1"/>
        <v>45488</v>
      </c>
      <c r="O61" s="45">
        <f ca="1"/>
        <v>45488</v>
      </c>
      <c r="P61" s="45">
        <f ca="1"/>
        <v>45519</v>
      </c>
      <c r="Q61" s="45">
        <f ca="1"/>
        <v>45519</v>
      </c>
      <c r="R61" s="37">
        <f ca="1"/>
        <v>0</v>
      </c>
      <c r="S61" s="37">
        <f ca="1"/>
        <v>0</v>
      </c>
      <c r="T61" s="41">
        <f ca="1"/>
        <v>0</v>
      </c>
      <c r="U61" s="42">
        <f ca="1"/>
        <v>0</v>
      </c>
      <c r="V61" s="42">
        <f ca="1"/>
        <v>0</v>
      </c>
      <c r="W61">
        <f ca="1"/>
        <v>0</v>
      </c>
      <c r="X61">
        <f ca="1"/>
        <v>0</v>
      </c>
      <c r="Y61" s="4">
        <f ca="1"/>
        <v>0</v>
      </c>
      <c r="Z61" s="3">
        <f ca="1"/>
        <v>5.3620449561540849E-2</v>
      </c>
      <c r="AA61" t="str">
        <f ca="1"/>
        <v>SEQUENTIAL</v>
      </c>
      <c r="AB61" s="3">
        <f ca="1"/>
        <v>8.611111111111111E-2</v>
      </c>
      <c r="AC61" s="3">
        <f ca="1"/>
        <v>3.6204495615408442E-3</v>
      </c>
      <c r="AD61" s="45">
        <f ca="1"/>
        <v>45488</v>
      </c>
      <c r="AE61" s="3">
        <f ca="1"/>
        <v>1.0049462309705277</v>
      </c>
      <c r="AF61" s="3">
        <f ca="1"/>
        <v>1.0049462309705277</v>
      </c>
      <c r="AG61">
        <f ca="1"/>
        <v>0</v>
      </c>
      <c r="AH61" s="35">
        <f ca="1"/>
        <v>0</v>
      </c>
      <c r="AI61" s="35">
        <f ca="1"/>
        <v>0</v>
      </c>
      <c r="AJ61" s="35">
        <f ca="1"/>
        <v>0</v>
      </c>
      <c r="AK61" s="36">
        <f ca="1"/>
        <v>45488</v>
      </c>
      <c r="AL61" s="36">
        <f ca="1"/>
        <v>45488</v>
      </c>
      <c r="AM61" s="36">
        <f ca="1"/>
        <v>45519</v>
      </c>
      <c r="AN61" s="36">
        <f ca="1"/>
        <v>45519</v>
      </c>
      <c r="AO61" s="37">
        <f ca="1"/>
        <v>0</v>
      </c>
      <c r="AP61" s="37">
        <f ca="1"/>
        <v>0</v>
      </c>
      <c r="AQ61" s="41">
        <f ca="1"/>
        <v>0</v>
      </c>
      <c r="AR61" s="42">
        <f ca="1"/>
        <v>0</v>
      </c>
      <c r="AS61" s="42">
        <f ca="1"/>
        <v>0</v>
      </c>
      <c r="AT61">
        <f ca="1"/>
        <v>0</v>
      </c>
      <c r="AU61">
        <f ca="1"/>
        <v>0</v>
      </c>
      <c r="AV61" s="4">
        <f ca="1"/>
        <v>0</v>
      </c>
      <c r="AW61" s="3">
        <f ca="1"/>
        <v>5.3620449561540849E-2</v>
      </c>
      <c r="AX61" t="str">
        <f ca="1"/>
        <v>SEQUENTIAL</v>
      </c>
      <c r="AY61" s="3">
        <f ca="1"/>
        <v>8.611111111111111E-2</v>
      </c>
      <c r="AZ61" s="3">
        <f ca="1"/>
        <v>3.6204495615408442E-3</v>
      </c>
      <c r="BA61" s="45">
        <f ca="1"/>
        <v>45488</v>
      </c>
      <c r="BB61" s="3">
        <f ca="1"/>
        <v>1.0049462309705277</v>
      </c>
      <c r="BC61" s="3">
        <f ca="1"/>
        <v>1.0049462309705277</v>
      </c>
      <c r="BD61">
        <f ca="1"/>
        <v>0</v>
      </c>
      <c r="BE61" s="4">
        <f ca="1"/>
        <v>0</v>
      </c>
      <c r="BF61" s="4">
        <f ca="1"/>
        <v>0</v>
      </c>
      <c r="BG61" s="4">
        <f ca="1"/>
        <v>0</v>
      </c>
      <c r="BH61" s="45">
        <f ca="1"/>
        <v>45488</v>
      </c>
      <c r="BI61" s="45">
        <f ca="1"/>
        <v>45488</v>
      </c>
      <c r="BJ61" s="45">
        <f ca="1"/>
        <v>45519</v>
      </c>
      <c r="BK61" s="45">
        <f ca="1"/>
        <v>45519</v>
      </c>
      <c r="BL61" s="37">
        <f ca="1"/>
        <v>0</v>
      </c>
      <c r="BM61" s="37">
        <f ca="1"/>
        <v>0</v>
      </c>
      <c r="BN61" s="40">
        <f ca="1"/>
        <v>0</v>
      </c>
      <c r="BO61" s="42">
        <f ca="1"/>
        <v>0</v>
      </c>
      <c r="BP61" s="42">
        <f ca="1"/>
        <v>0</v>
      </c>
      <c r="BQ61">
        <f ca="1"/>
        <v>0</v>
      </c>
      <c r="BR61">
        <f ca="1"/>
        <v>0</v>
      </c>
      <c r="BS61" s="4">
        <f ca="1"/>
        <v>0</v>
      </c>
      <c r="BT61" s="3">
        <f ca="1"/>
        <v>5.3620449561540849E-2</v>
      </c>
      <c r="BU61" t="str">
        <f ca="1"/>
        <v>SEQUENTIAL</v>
      </c>
      <c r="BV61" s="3">
        <f ca="1"/>
        <v>8.611111111111111E-2</v>
      </c>
      <c r="BW61" s="3">
        <f ca="1"/>
        <v>3.6204495615408442E-3</v>
      </c>
      <c r="BX61" s="45">
        <f ca="1"/>
        <v>45488</v>
      </c>
      <c r="BY61" s="3">
        <f ca="1"/>
        <v>1.0049462309705277</v>
      </c>
      <c r="BZ61" s="3">
        <f ca="1"/>
        <v>1.0049462309705277</v>
      </c>
      <c r="CA61">
        <f ca="1"/>
        <v>0</v>
      </c>
      <c r="CB61" s="4">
        <f ca="1"/>
        <v>0</v>
      </c>
      <c r="CC61" s="4">
        <f ca="1"/>
        <v>0</v>
      </c>
      <c r="CD61" s="4">
        <f ca="1"/>
        <v>0</v>
      </c>
      <c r="CE61" t="e">
        <f ca="1"/>
        <v>#N/A</v>
      </c>
      <c r="CF61" t="e">
        <f ca="1"/>
        <v>#N/A</v>
      </c>
      <c r="CG61" t="e">
        <f ca="1"/>
        <v>#N/A</v>
      </c>
      <c r="CH61" t="e">
        <f ca="1"/>
        <v>#N/A</v>
      </c>
      <c r="CI61" t="e">
        <f ca="1"/>
        <v>#N/A</v>
      </c>
      <c r="CJ61" t="e">
        <f ca="1"/>
        <v>#N/A</v>
      </c>
      <c r="CK61" t="e">
        <f ca="1"/>
        <v>#N/A</v>
      </c>
      <c r="CL61" t="e">
        <f ca="1"/>
        <v>#N/A</v>
      </c>
      <c r="CM61" t="e">
        <f ca="1"/>
        <v>#N/A</v>
      </c>
      <c r="CN61" t="e">
        <f ca="1"/>
        <v>#N/A</v>
      </c>
    </row>
    <row r="62" spans="2:92" x14ac:dyDescent="0.25">
      <c r="B62">
        <f ca="1"/>
        <v>55</v>
      </c>
      <c r="C62" s="37">
        <f ca="1"/>
        <v>1902323.5688510707</v>
      </c>
      <c r="D62" s="37">
        <f ca="1"/>
        <v>1825979.9646840778</v>
      </c>
      <c r="E62" s="35">
        <f ca="1"/>
        <v>40332.603294137756</v>
      </c>
      <c r="F62" s="35">
        <f ca="1"/>
        <v>0</v>
      </c>
      <c r="G62" s="35">
        <f ca="1"/>
        <v>21606.600523713645</v>
      </c>
      <c r="H62" s="35">
        <f ca="1"/>
        <v>0</v>
      </c>
      <c r="I62" s="35">
        <f ca="1"/>
        <v>36011.000872856086</v>
      </c>
      <c r="J62" s="35">
        <f ca="1"/>
        <v>79263.482035461318</v>
      </c>
      <c r="K62" s="35">
        <f ca="1"/>
        <v>4818922.350208628</v>
      </c>
      <c r="L62" s="35">
        <f ca="1"/>
        <v>4818922.350208628</v>
      </c>
      <c r="M62" s="35">
        <f ca="1"/>
        <v>2891353.4101251769</v>
      </c>
      <c r="N62" s="45">
        <f ca="1"/>
        <v>45519</v>
      </c>
      <c r="O62" s="45">
        <f ca="1"/>
        <v>45519</v>
      </c>
      <c r="P62" s="45">
        <f ca="1"/>
        <v>45551</v>
      </c>
      <c r="Q62" s="45">
        <f ca="1"/>
        <v>45551</v>
      </c>
      <c r="R62" s="37">
        <f ca="1"/>
        <v>0</v>
      </c>
      <c r="S62" s="37">
        <f ca="1"/>
        <v>0</v>
      </c>
      <c r="T62" s="41">
        <f ca="1"/>
        <v>0</v>
      </c>
      <c r="U62" s="42">
        <f ca="1"/>
        <v>0</v>
      </c>
      <c r="V62" s="42">
        <f ca="1"/>
        <v>0</v>
      </c>
      <c r="W62">
        <f ca="1"/>
        <v>0</v>
      </c>
      <c r="X62">
        <f ca="1"/>
        <v>0</v>
      </c>
      <c r="Y62" s="4">
        <f ca="1"/>
        <v>0</v>
      </c>
      <c r="Z62" s="3">
        <f ca="1"/>
        <v>5.3781812124376688E-2</v>
      </c>
      <c r="AA62" t="str">
        <f ca="1"/>
        <v>SEQUENTIAL</v>
      </c>
      <c r="AB62" s="3">
        <f ca="1"/>
        <v>8.8888888888888892E-2</v>
      </c>
      <c r="AC62" s="3">
        <f ca="1"/>
        <v>3.7818121243766867E-3</v>
      </c>
      <c r="AD62" s="45">
        <f ca="1"/>
        <v>45519</v>
      </c>
      <c r="AE62" s="3">
        <f ca="1"/>
        <v>1.0046228872599712</v>
      </c>
      <c r="AF62" s="3">
        <f ca="1"/>
        <v>1.0046228872599712</v>
      </c>
      <c r="AG62">
        <f ca="1"/>
        <v>0</v>
      </c>
      <c r="AH62" s="35">
        <f ca="1"/>
        <v>0</v>
      </c>
      <c r="AI62" s="35">
        <f ca="1"/>
        <v>0</v>
      </c>
      <c r="AJ62" s="35">
        <f ca="1"/>
        <v>0</v>
      </c>
      <c r="AK62" s="36">
        <f ca="1"/>
        <v>45519</v>
      </c>
      <c r="AL62" s="36">
        <f ca="1"/>
        <v>45519</v>
      </c>
      <c r="AM62" s="36">
        <f ca="1"/>
        <v>45551</v>
      </c>
      <c r="AN62" s="36">
        <f ca="1"/>
        <v>45551</v>
      </c>
      <c r="AO62" s="37">
        <f ca="1"/>
        <v>0</v>
      </c>
      <c r="AP62" s="37">
        <f ca="1"/>
        <v>0</v>
      </c>
      <c r="AQ62" s="41">
        <f ca="1"/>
        <v>0</v>
      </c>
      <c r="AR62" s="42">
        <f ca="1"/>
        <v>0</v>
      </c>
      <c r="AS62" s="42">
        <f ca="1"/>
        <v>0</v>
      </c>
      <c r="AT62">
        <f ca="1"/>
        <v>0</v>
      </c>
      <c r="AU62">
        <f ca="1"/>
        <v>0</v>
      </c>
      <c r="AV62" s="4">
        <f ca="1"/>
        <v>0</v>
      </c>
      <c r="AW62" s="3">
        <f ca="1"/>
        <v>5.3781812124376688E-2</v>
      </c>
      <c r="AX62" t="str">
        <f ca="1"/>
        <v>SEQUENTIAL</v>
      </c>
      <c r="AY62" s="3">
        <f ca="1"/>
        <v>8.8888888888888892E-2</v>
      </c>
      <c r="AZ62" s="3">
        <f ca="1"/>
        <v>3.7818121243766867E-3</v>
      </c>
      <c r="BA62" s="45">
        <f ca="1"/>
        <v>45519</v>
      </c>
      <c r="BB62" s="3">
        <f ca="1"/>
        <v>1.0046228872599712</v>
      </c>
      <c r="BC62" s="3">
        <f ca="1"/>
        <v>1.0046228872599712</v>
      </c>
      <c r="BD62">
        <f ca="1"/>
        <v>0</v>
      </c>
      <c r="BE62" s="4">
        <f ca="1"/>
        <v>0</v>
      </c>
      <c r="BF62" s="4">
        <f ca="1"/>
        <v>0</v>
      </c>
      <c r="BG62" s="4">
        <f ca="1"/>
        <v>0</v>
      </c>
      <c r="BH62" s="45">
        <f ca="1"/>
        <v>45519</v>
      </c>
      <c r="BI62" s="45">
        <f ca="1"/>
        <v>45519</v>
      </c>
      <c r="BJ62" s="45">
        <f ca="1"/>
        <v>45551</v>
      </c>
      <c r="BK62" s="45">
        <f ca="1"/>
        <v>45551</v>
      </c>
      <c r="BL62" s="37">
        <f ca="1"/>
        <v>0</v>
      </c>
      <c r="BM62" s="37">
        <f ca="1"/>
        <v>0</v>
      </c>
      <c r="BN62" s="40">
        <f ca="1"/>
        <v>0</v>
      </c>
      <c r="BO62" s="42">
        <f ca="1"/>
        <v>0</v>
      </c>
      <c r="BP62" s="42">
        <f ca="1"/>
        <v>0</v>
      </c>
      <c r="BQ62">
        <f ca="1"/>
        <v>0</v>
      </c>
      <c r="BR62">
        <f ca="1"/>
        <v>0</v>
      </c>
      <c r="BS62" s="4">
        <f ca="1"/>
        <v>0</v>
      </c>
      <c r="BT62" s="3">
        <f ca="1"/>
        <v>5.3781812124376688E-2</v>
      </c>
      <c r="BU62" t="str">
        <f ca="1"/>
        <v>SEQUENTIAL</v>
      </c>
      <c r="BV62" s="3">
        <f ca="1"/>
        <v>8.8888888888888892E-2</v>
      </c>
      <c r="BW62" s="3">
        <f ca="1"/>
        <v>3.7818121243766867E-3</v>
      </c>
      <c r="BX62" s="45">
        <f ca="1"/>
        <v>45519</v>
      </c>
      <c r="BY62" s="3">
        <f ca="1"/>
        <v>1.0046228872599712</v>
      </c>
      <c r="BZ62" s="3">
        <f ca="1"/>
        <v>1.0046228872599712</v>
      </c>
      <c r="CA62">
        <f ca="1"/>
        <v>0</v>
      </c>
      <c r="CB62" s="4">
        <f ca="1"/>
        <v>0</v>
      </c>
      <c r="CC62" s="4">
        <f ca="1"/>
        <v>0</v>
      </c>
      <c r="CD62" s="4">
        <f ca="1"/>
        <v>0</v>
      </c>
      <c r="CE62" t="e">
        <f ca="1"/>
        <v>#N/A</v>
      </c>
      <c r="CF62" t="e">
        <f ca="1"/>
        <v>#N/A</v>
      </c>
      <c r="CG62" t="e">
        <f ca="1"/>
        <v>#N/A</v>
      </c>
      <c r="CH62" t="e">
        <f ca="1"/>
        <v>#N/A</v>
      </c>
      <c r="CI62" t="e">
        <f ca="1"/>
        <v>#N/A</v>
      </c>
      <c r="CJ62" t="e">
        <f ca="1"/>
        <v>#N/A</v>
      </c>
      <c r="CK62" t="e">
        <f ca="1"/>
        <v>#N/A</v>
      </c>
      <c r="CL62" t="e">
        <f ca="1"/>
        <v>#N/A</v>
      </c>
      <c r="CM62" t="e">
        <f ca="1"/>
        <v>#N/A</v>
      </c>
      <c r="CN62" t="e">
        <f ca="1"/>
        <v>#N/A</v>
      </c>
    </row>
    <row r="63" spans="2:92" x14ac:dyDescent="0.25">
      <c r="B63">
        <f ca="1"/>
        <v>56</v>
      </c>
      <c r="C63" s="37">
        <f ca="1"/>
        <v>1825979.9646840778</v>
      </c>
      <c r="D63" s="37">
        <f ca="1"/>
        <v>1750196.3293056216</v>
      </c>
      <c r="E63" s="35">
        <f ca="1"/>
        <v>41217.8195631298</v>
      </c>
      <c r="F63" s="35">
        <f ca="1"/>
        <v>0</v>
      </c>
      <c r="G63" s="35">
        <f ca="1"/>
        <v>20739.489489194431</v>
      </c>
      <c r="H63" s="35">
        <f ca="1"/>
        <v>0</v>
      </c>
      <c r="I63" s="35">
        <f ca="1"/>
        <v>34565.815815324051</v>
      </c>
      <c r="J63" s="35">
        <f ca="1"/>
        <v>76082.498528503231</v>
      </c>
      <c r="K63" s="35">
        <f ca="1"/>
        <v>4853488.166023952</v>
      </c>
      <c r="L63" s="35">
        <f ca="1"/>
        <v>4853488.166023952</v>
      </c>
      <c r="M63" s="35">
        <f ca="1"/>
        <v>2912092.8996143714</v>
      </c>
      <c r="N63" s="45">
        <f ca="1"/>
        <v>45551</v>
      </c>
      <c r="O63" s="45">
        <f ca="1"/>
        <v>45551</v>
      </c>
      <c r="P63" s="45">
        <f ca="1"/>
        <v>45580</v>
      </c>
      <c r="Q63" s="45">
        <f ca="1"/>
        <v>45580</v>
      </c>
      <c r="R63" s="37">
        <f ca="1"/>
        <v>0</v>
      </c>
      <c r="S63" s="37">
        <f ca="1"/>
        <v>0</v>
      </c>
      <c r="T63" s="41">
        <f ca="1"/>
        <v>0</v>
      </c>
      <c r="U63" s="42">
        <f ca="1"/>
        <v>0</v>
      </c>
      <c r="V63" s="42">
        <f ca="1"/>
        <v>0</v>
      </c>
      <c r="W63">
        <f ca="1"/>
        <v>0</v>
      </c>
      <c r="X63">
        <f ca="1"/>
        <v>0</v>
      </c>
      <c r="Y63" s="4">
        <f ca="1"/>
        <v>0</v>
      </c>
      <c r="Z63" s="3">
        <f ca="1"/>
        <v>5.3953910766989334E-2</v>
      </c>
      <c r="AA63" t="str">
        <f ca="1"/>
        <v>SEQUENTIAL</v>
      </c>
      <c r="AB63" s="3">
        <f ca="1"/>
        <v>8.0555555555555561E-2</v>
      </c>
      <c r="AC63" s="3">
        <f ca="1"/>
        <v>3.9539107669893337E-3</v>
      </c>
      <c r="AD63" s="45">
        <f ca="1"/>
        <v>45551</v>
      </c>
      <c r="AE63" s="3">
        <f ca="1"/>
        <v>1.0043169260446283</v>
      </c>
      <c r="AF63" s="3">
        <f ca="1"/>
        <v>1.0043169260446283</v>
      </c>
      <c r="AG63">
        <f ca="1"/>
        <v>0</v>
      </c>
      <c r="AH63" s="35">
        <f ca="1"/>
        <v>0</v>
      </c>
      <c r="AI63" s="35">
        <f ca="1"/>
        <v>0</v>
      </c>
      <c r="AJ63" s="35">
        <f ca="1"/>
        <v>0</v>
      </c>
      <c r="AK63" s="36">
        <f ca="1"/>
        <v>45551</v>
      </c>
      <c r="AL63" s="36">
        <f ca="1"/>
        <v>45551</v>
      </c>
      <c r="AM63" s="36">
        <f ca="1"/>
        <v>45580</v>
      </c>
      <c r="AN63" s="36">
        <f ca="1"/>
        <v>45580</v>
      </c>
      <c r="AO63" s="37">
        <f ca="1"/>
        <v>0</v>
      </c>
      <c r="AP63" s="37">
        <f ca="1"/>
        <v>0</v>
      </c>
      <c r="AQ63" s="41">
        <f ca="1"/>
        <v>0</v>
      </c>
      <c r="AR63" s="42">
        <f ca="1"/>
        <v>0</v>
      </c>
      <c r="AS63" s="42">
        <f ca="1"/>
        <v>0</v>
      </c>
      <c r="AT63">
        <f ca="1"/>
        <v>0</v>
      </c>
      <c r="AU63">
        <f ca="1"/>
        <v>0</v>
      </c>
      <c r="AV63" s="4">
        <f ca="1"/>
        <v>0</v>
      </c>
      <c r="AW63" s="3">
        <f ca="1"/>
        <v>5.3953910766989334E-2</v>
      </c>
      <c r="AX63" t="str">
        <f ca="1"/>
        <v>SEQUENTIAL</v>
      </c>
      <c r="AY63" s="3">
        <f ca="1"/>
        <v>8.0555555555555561E-2</v>
      </c>
      <c r="AZ63" s="3">
        <f ca="1"/>
        <v>3.9539107669893337E-3</v>
      </c>
      <c r="BA63" s="45">
        <f ca="1"/>
        <v>45551</v>
      </c>
      <c r="BB63" s="3">
        <f ca="1"/>
        <v>1.0043169260446283</v>
      </c>
      <c r="BC63" s="3">
        <f ca="1"/>
        <v>1.0043169260446283</v>
      </c>
      <c r="BD63">
        <f ca="1"/>
        <v>0</v>
      </c>
      <c r="BE63" s="4">
        <f ca="1"/>
        <v>0</v>
      </c>
      <c r="BF63" s="4">
        <f ca="1"/>
        <v>0</v>
      </c>
      <c r="BG63" s="4">
        <f ca="1"/>
        <v>0</v>
      </c>
      <c r="BH63" s="45">
        <f ca="1"/>
        <v>45551</v>
      </c>
      <c r="BI63" s="45">
        <f ca="1"/>
        <v>45551</v>
      </c>
      <c r="BJ63" s="45">
        <f ca="1"/>
        <v>45580</v>
      </c>
      <c r="BK63" s="45">
        <f ca="1"/>
        <v>45580</v>
      </c>
      <c r="BL63" s="37">
        <f ca="1"/>
        <v>0</v>
      </c>
      <c r="BM63" s="37">
        <f ca="1"/>
        <v>0</v>
      </c>
      <c r="BN63" s="40">
        <f ca="1"/>
        <v>0</v>
      </c>
      <c r="BO63" s="42">
        <f ca="1"/>
        <v>0</v>
      </c>
      <c r="BP63" s="42">
        <f ca="1"/>
        <v>0</v>
      </c>
      <c r="BQ63">
        <f ca="1"/>
        <v>0</v>
      </c>
      <c r="BR63">
        <f ca="1"/>
        <v>0</v>
      </c>
      <c r="BS63" s="4">
        <f ca="1"/>
        <v>0</v>
      </c>
      <c r="BT63" s="3">
        <f ca="1"/>
        <v>5.3953910766989334E-2</v>
      </c>
      <c r="BU63" t="str">
        <f ca="1"/>
        <v>SEQUENTIAL</v>
      </c>
      <c r="BV63" s="3">
        <f ca="1"/>
        <v>8.0555555555555561E-2</v>
      </c>
      <c r="BW63" s="3">
        <f ca="1"/>
        <v>3.9539107669893337E-3</v>
      </c>
      <c r="BX63" s="45">
        <f ca="1"/>
        <v>45551</v>
      </c>
      <c r="BY63" s="3">
        <f ca="1"/>
        <v>1.0043169260446283</v>
      </c>
      <c r="BZ63" s="3">
        <f ca="1"/>
        <v>1.0043169260446283</v>
      </c>
      <c r="CA63">
        <f ca="1"/>
        <v>0</v>
      </c>
      <c r="CB63" s="4">
        <f ca="1"/>
        <v>0</v>
      </c>
      <c r="CC63" s="4">
        <f ca="1"/>
        <v>0</v>
      </c>
      <c r="CD63" s="4">
        <f ca="1"/>
        <v>0</v>
      </c>
      <c r="CE63" t="e">
        <f ca="1"/>
        <v>#N/A</v>
      </c>
      <c r="CF63" t="e">
        <f ca="1"/>
        <v>#N/A</v>
      </c>
      <c r="CG63" t="e">
        <f ca="1"/>
        <v>#N/A</v>
      </c>
      <c r="CH63" t="e">
        <f ca="1"/>
        <v>#N/A</v>
      </c>
      <c r="CI63" t="e">
        <f ca="1"/>
        <v>#N/A</v>
      </c>
      <c r="CJ63" t="e">
        <f ca="1"/>
        <v>#N/A</v>
      </c>
      <c r="CK63" t="e">
        <f ca="1"/>
        <v>#N/A</v>
      </c>
      <c r="CL63" t="e">
        <f ca="1"/>
        <v>#N/A</v>
      </c>
      <c r="CM63" t="e">
        <f ca="1"/>
        <v>#N/A</v>
      </c>
      <c r="CN63" t="e">
        <f ca="1"/>
        <v>#N/A</v>
      </c>
    </row>
    <row r="64" spans="2:92" x14ac:dyDescent="0.25">
      <c r="B64">
        <f ca="1"/>
        <v>57</v>
      </c>
      <c r="C64" s="37">
        <f ca="1"/>
        <v>1750196.3293056216</v>
      </c>
      <c r="D64" s="37">
        <f ca="1"/>
        <v>1674942.6338566304</v>
      </c>
      <c r="E64" s="35">
        <f ca="1"/>
        <v>42122.464477408445</v>
      </c>
      <c r="F64" s="35">
        <f ca="1"/>
        <v>0</v>
      </c>
      <c r="G64" s="35">
        <f ca="1"/>
        <v>19878.738582950886</v>
      </c>
      <c r="H64" s="35">
        <f ca="1"/>
        <v>0</v>
      </c>
      <c r="I64" s="35">
        <f ca="1"/>
        <v>33131.230971584824</v>
      </c>
      <c r="J64" s="35">
        <f ca="1"/>
        <v>72924.847054400976</v>
      </c>
      <c r="K64" s="35">
        <f ca="1"/>
        <v>4886619.396995537</v>
      </c>
      <c r="L64" s="35">
        <f ca="1"/>
        <v>4886619.396995537</v>
      </c>
      <c r="M64" s="35">
        <f ca="1"/>
        <v>2931971.6381973224</v>
      </c>
      <c r="N64" s="45">
        <f ca="1"/>
        <v>45580</v>
      </c>
      <c r="O64" s="45">
        <f ca="1"/>
        <v>45580</v>
      </c>
      <c r="P64" s="45">
        <f ca="1"/>
        <v>45611</v>
      </c>
      <c r="Q64" s="45">
        <f ca="1"/>
        <v>45611</v>
      </c>
      <c r="R64" s="37">
        <f ca="1"/>
        <v>0</v>
      </c>
      <c r="S64" s="37">
        <f ca="1"/>
        <v>0</v>
      </c>
      <c r="T64" s="41">
        <f ca="1"/>
        <v>0</v>
      </c>
      <c r="U64" s="42">
        <f ca="1"/>
        <v>0</v>
      </c>
      <c r="V64" s="42">
        <f ca="1"/>
        <v>0</v>
      </c>
      <c r="W64">
        <f ca="1"/>
        <v>0</v>
      </c>
      <c r="X64">
        <f ca="1"/>
        <v>0</v>
      </c>
      <c r="Y64" s="4">
        <f ca="1"/>
        <v>0</v>
      </c>
      <c r="Z64" s="3">
        <f ca="1"/>
        <v>5.4114282901086969E-2</v>
      </c>
      <c r="AA64" t="str">
        <f ca="1"/>
        <v>SEQUENTIAL</v>
      </c>
      <c r="AB64" s="3">
        <f ca="1"/>
        <v>8.611111111111111E-2</v>
      </c>
      <c r="AC64" s="3">
        <f ca="1"/>
        <v>4.1142829010869676E-3</v>
      </c>
      <c r="AD64" s="45">
        <f ca="1"/>
        <v>45580</v>
      </c>
      <c r="AE64" s="3">
        <f ca="1"/>
        <v>1.0039759764397167</v>
      </c>
      <c r="AF64" s="3">
        <f ca="1"/>
        <v>1.0039759764397167</v>
      </c>
      <c r="AG64">
        <f ca="1"/>
        <v>0</v>
      </c>
      <c r="AH64" s="35">
        <f ca="1"/>
        <v>0</v>
      </c>
      <c r="AI64" s="35">
        <f ca="1"/>
        <v>0</v>
      </c>
      <c r="AJ64" s="35">
        <f ca="1"/>
        <v>0</v>
      </c>
      <c r="AK64" s="36">
        <f ca="1"/>
        <v>45580</v>
      </c>
      <c r="AL64" s="36">
        <f ca="1"/>
        <v>45580</v>
      </c>
      <c r="AM64" s="36">
        <f ca="1"/>
        <v>45611</v>
      </c>
      <c r="AN64" s="36">
        <f ca="1"/>
        <v>45611</v>
      </c>
      <c r="AO64" s="37">
        <f ca="1"/>
        <v>0</v>
      </c>
      <c r="AP64" s="37">
        <f ca="1"/>
        <v>0</v>
      </c>
      <c r="AQ64" s="41">
        <f ca="1"/>
        <v>0</v>
      </c>
      <c r="AR64" s="42">
        <f ca="1"/>
        <v>0</v>
      </c>
      <c r="AS64" s="42">
        <f ca="1"/>
        <v>0</v>
      </c>
      <c r="AT64">
        <f ca="1"/>
        <v>0</v>
      </c>
      <c r="AU64">
        <f ca="1"/>
        <v>0</v>
      </c>
      <c r="AV64" s="4">
        <f ca="1"/>
        <v>0</v>
      </c>
      <c r="AW64" s="3">
        <f ca="1"/>
        <v>5.4114282901086969E-2</v>
      </c>
      <c r="AX64" t="str">
        <f ca="1"/>
        <v>SEQUENTIAL</v>
      </c>
      <c r="AY64" s="3">
        <f ca="1"/>
        <v>8.611111111111111E-2</v>
      </c>
      <c r="AZ64" s="3">
        <f ca="1"/>
        <v>4.1142829010869676E-3</v>
      </c>
      <c r="BA64" s="45">
        <f ca="1"/>
        <v>45580</v>
      </c>
      <c r="BB64" s="3">
        <f ca="1"/>
        <v>1.0039759764397167</v>
      </c>
      <c r="BC64" s="3">
        <f ca="1"/>
        <v>1.0039759764397167</v>
      </c>
      <c r="BD64">
        <f ca="1"/>
        <v>0</v>
      </c>
      <c r="BE64" s="4">
        <f ca="1"/>
        <v>0</v>
      </c>
      <c r="BF64" s="4">
        <f ca="1"/>
        <v>0</v>
      </c>
      <c r="BG64" s="4">
        <f ca="1"/>
        <v>0</v>
      </c>
      <c r="BH64" s="45">
        <f ca="1"/>
        <v>45580</v>
      </c>
      <c r="BI64" s="45">
        <f ca="1"/>
        <v>45580</v>
      </c>
      <c r="BJ64" s="45">
        <f ca="1"/>
        <v>45611</v>
      </c>
      <c r="BK64" s="45">
        <f ca="1"/>
        <v>45611</v>
      </c>
      <c r="BL64" s="37">
        <f ca="1"/>
        <v>0</v>
      </c>
      <c r="BM64" s="37">
        <f ca="1"/>
        <v>0</v>
      </c>
      <c r="BN64" s="40">
        <f ca="1"/>
        <v>0</v>
      </c>
      <c r="BO64" s="42">
        <f ca="1"/>
        <v>0</v>
      </c>
      <c r="BP64" s="42">
        <f ca="1"/>
        <v>0</v>
      </c>
      <c r="BQ64">
        <f ca="1"/>
        <v>0</v>
      </c>
      <c r="BR64">
        <f ca="1"/>
        <v>0</v>
      </c>
      <c r="BS64" s="4">
        <f ca="1"/>
        <v>0</v>
      </c>
      <c r="BT64" s="3">
        <f ca="1"/>
        <v>5.4114282901086969E-2</v>
      </c>
      <c r="BU64" t="str">
        <f ca="1"/>
        <v>SEQUENTIAL</v>
      </c>
      <c r="BV64" s="3">
        <f ca="1"/>
        <v>8.611111111111111E-2</v>
      </c>
      <c r="BW64" s="3">
        <f ca="1"/>
        <v>4.1142829010869676E-3</v>
      </c>
      <c r="BX64" s="45">
        <f ca="1"/>
        <v>45580</v>
      </c>
      <c r="BY64" s="3">
        <f ca="1"/>
        <v>1.0039759764397167</v>
      </c>
      <c r="BZ64" s="3">
        <f ca="1"/>
        <v>1.0039759764397167</v>
      </c>
      <c r="CA64">
        <f ca="1"/>
        <v>0</v>
      </c>
      <c r="CB64" s="4">
        <f ca="1"/>
        <v>0</v>
      </c>
      <c r="CC64" s="4">
        <f ca="1"/>
        <v>0</v>
      </c>
      <c r="CD64" s="4">
        <f ca="1"/>
        <v>0</v>
      </c>
      <c r="CE64" t="e">
        <f ca="1"/>
        <v>#N/A</v>
      </c>
      <c r="CF64" t="e">
        <f ca="1"/>
        <v>#N/A</v>
      </c>
      <c r="CG64" t="e">
        <f ca="1"/>
        <v>#N/A</v>
      </c>
      <c r="CH64" t="e">
        <f ca="1"/>
        <v>#N/A</v>
      </c>
      <c r="CI64" t="e">
        <f ca="1"/>
        <v>#N/A</v>
      </c>
      <c r="CJ64" t="e">
        <f ca="1"/>
        <v>#N/A</v>
      </c>
      <c r="CK64" t="e">
        <f ca="1"/>
        <v>#N/A</v>
      </c>
      <c r="CL64" t="e">
        <f ca="1"/>
        <v>#N/A</v>
      </c>
      <c r="CM64" t="e">
        <f ca="1"/>
        <v>#N/A</v>
      </c>
      <c r="CN64" t="e">
        <f ca="1"/>
        <v>#N/A</v>
      </c>
    </row>
    <row r="65" spans="2:92" x14ac:dyDescent="0.25">
      <c r="B65">
        <f ca="1"/>
        <v>58</v>
      </c>
      <c r="C65" s="37">
        <f ca="1"/>
        <v>1674942.6338566304</v>
      </c>
      <c r="D65" s="37">
        <f ca="1"/>
        <v>1600188.9915064475</v>
      </c>
      <c r="E65" s="35">
        <f ca="1"/>
        <v>43046.964455094268</v>
      </c>
      <c r="F65" s="35">
        <f ca="1"/>
        <v>0</v>
      </c>
      <c r="G65" s="35">
        <f ca="1"/>
        <v>19024.006737052736</v>
      </c>
      <c r="H65" s="35">
        <f ca="1"/>
        <v>0</v>
      </c>
      <c r="I65" s="35">
        <f ca="1"/>
        <v>31706.677895087909</v>
      </c>
      <c r="J65" s="35">
        <f ca="1"/>
        <v>69789.276410692939</v>
      </c>
      <c r="K65" s="35">
        <f ca="1"/>
        <v>4918326.0748906247</v>
      </c>
      <c r="L65" s="35">
        <f ca="1"/>
        <v>4918326.0748906247</v>
      </c>
      <c r="M65" s="35">
        <f ca="1"/>
        <v>2950995.6449343753</v>
      </c>
      <c r="N65" s="45">
        <f ca="1"/>
        <v>45611</v>
      </c>
      <c r="O65" s="45">
        <f ca="1"/>
        <v>45611</v>
      </c>
      <c r="P65" s="45">
        <f ca="1"/>
        <v>45642</v>
      </c>
      <c r="Q65" s="45">
        <f ca="1"/>
        <v>45642</v>
      </c>
      <c r="R65" s="37">
        <f ca="1"/>
        <v>0</v>
      </c>
      <c r="S65" s="37">
        <f ca="1"/>
        <v>0</v>
      </c>
      <c r="T65" s="41">
        <f ca="1"/>
        <v>0</v>
      </c>
      <c r="U65" s="42">
        <f ca="1"/>
        <v>0</v>
      </c>
      <c r="V65" s="42">
        <f ca="1"/>
        <v>0</v>
      </c>
      <c r="W65">
        <f ca="1"/>
        <v>0</v>
      </c>
      <c r="X65">
        <f ca="1"/>
        <v>0</v>
      </c>
      <c r="Y65" s="4">
        <f ca="1"/>
        <v>0</v>
      </c>
      <c r="Z65" s="3">
        <f ca="1"/>
        <v>5.4289139256682002E-2</v>
      </c>
      <c r="AA65" t="str">
        <f ca="1"/>
        <v>SEQUENTIAL</v>
      </c>
      <c r="AB65" s="3">
        <f ca="1"/>
        <v>8.611111111111111E-2</v>
      </c>
      <c r="AC65" s="3">
        <f ca="1"/>
        <v>4.2891392566820003E-3</v>
      </c>
      <c r="AD65" s="45">
        <f ca="1"/>
        <v>45611</v>
      </c>
      <c r="AE65" s="3">
        <f ca="1"/>
        <v>1.0036203787885529</v>
      </c>
      <c r="AF65" s="3">
        <f ca="1"/>
        <v>1.0036203787885529</v>
      </c>
      <c r="AG65">
        <f ca="1"/>
        <v>0</v>
      </c>
      <c r="AH65" s="35">
        <f ca="1"/>
        <v>0</v>
      </c>
      <c r="AI65" s="35">
        <f ca="1"/>
        <v>0</v>
      </c>
      <c r="AJ65" s="35">
        <f ca="1"/>
        <v>0</v>
      </c>
      <c r="AK65" s="36">
        <f ca="1"/>
        <v>45611</v>
      </c>
      <c r="AL65" s="36">
        <f ca="1"/>
        <v>45611</v>
      </c>
      <c r="AM65" s="36">
        <f ca="1"/>
        <v>45642</v>
      </c>
      <c r="AN65" s="36">
        <f ca="1"/>
        <v>45642</v>
      </c>
      <c r="AO65" s="37">
        <f ca="1"/>
        <v>0</v>
      </c>
      <c r="AP65" s="37">
        <f ca="1"/>
        <v>0</v>
      </c>
      <c r="AQ65" s="41">
        <f ca="1"/>
        <v>0</v>
      </c>
      <c r="AR65" s="42">
        <f ca="1"/>
        <v>0</v>
      </c>
      <c r="AS65" s="42">
        <f ca="1"/>
        <v>0</v>
      </c>
      <c r="AT65">
        <f ca="1"/>
        <v>0</v>
      </c>
      <c r="AU65">
        <f ca="1"/>
        <v>0</v>
      </c>
      <c r="AV65" s="4">
        <f ca="1"/>
        <v>0</v>
      </c>
      <c r="AW65" s="3">
        <f ca="1"/>
        <v>5.4289139256682002E-2</v>
      </c>
      <c r="AX65" t="str">
        <f ca="1"/>
        <v>SEQUENTIAL</v>
      </c>
      <c r="AY65" s="3">
        <f ca="1"/>
        <v>8.611111111111111E-2</v>
      </c>
      <c r="AZ65" s="3">
        <f ca="1"/>
        <v>4.2891392566820003E-3</v>
      </c>
      <c r="BA65" s="45">
        <f ca="1"/>
        <v>45611</v>
      </c>
      <c r="BB65" s="3">
        <f ca="1"/>
        <v>1.0036203787885529</v>
      </c>
      <c r="BC65" s="3">
        <f ca="1"/>
        <v>1.0036203787885529</v>
      </c>
      <c r="BD65">
        <f ca="1"/>
        <v>0</v>
      </c>
      <c r="BE65" s="4">
        <f ca="1"/>
        <v>0</v>
      </c>
      <c r="BF65" s="4">
        <f ca="1"/>
        <v>0</v>
      </c>
      <c r="BG65" s="4">
        <f ca="1"/>
        <v>0</v>
      </c>
      <c r="BH65" s="45">
        <f ca="1"/>
        <v>45611</v>
      </c>
      <c r="BI65" s="45">
        <f ca="1"/>
        <v>45611</v>
      </c>
      <c r="BJ65" s="45">
        <f ca="1"/>
        <v>45642</v>
      </c>
      <c r="BK65" s="45">
        <f ca="1"/>
        <v>45642</v>
      </c>
      <c r="BL65" s="37">
        <f ca="1"/>
        <v>0</v>
      </c>
      <c r="BM65" s="37">
        <f ca="1"/>
        <v>0</v>
      </c>
      <c r="BN65" s="40">
        <f ca="1"/>
        <v>0</v>
      </c>
      <c r="BO65" s="42">
        <f ca="1"/>
        <v>0</v>
      </c>
      <c r="BP65" s="42">
        <f ca="1"/>
        <v>0</v>
      </c>
      <c r="BQ65">
        <f ca="1"/>
        <v>0</v>
      </c>
      <c r="BR65">
        <f ca="1"/>
        <v>0</v>
      </c>
      <c r="BS65" s="4">
        <f ca="1"/>
        <v>0</v>
      </c>
      <c r="BT65" s="3">
        <f ca="1"/>
        <v>5.4289139256682002E-2</v>
      </c>
      <c r="BU65" t="str">
        <f ca="1"/>
        <v>SEQUENTIAL</v>
      </c>
      <c r="BV65" s="3">
        <f ca="1"/>
        <v>8.611111111111111E-2</v>
      </c>
      <c r="BW65" s="3">
        <f ca="1"/>
        <v>4.2891392566820003E-3</v>
      </c>
      <c r="BX65" s="45">
        <f ca="1"/>
        <v>45611</v>
      </c>
      <c r="BY65" s="3">
        <f ca="1"/>
        <v>1.0036203787885529</v>
      </c>
      <c r="BZ65" s="3">
        <f ca="1"/>
        <v>1.0036203787885529</v>
      </c>
      <c r="CA65">
        <f ca="1"/>
        <v>0</v>
      </c>
      <c r="CB65" s="4">
        <f ca="1"/>
        <v>0</v>
      </c>
      <c r="CC65" s="4">
        <f ca="1"/>
        <v>0</v>
      </c>
      <c r="CD65" s="4">
        <f ca="1"/>
        <v>0</v>
      </c>
      <c r="CE65" t="e">
        <f ca="1"/>
        <v>#N/A</v>
      </c>
      <c r="CF65" t="e">
        <f ca="1"/>
        <v>#N/A</v>
      </c>
      <c r="CG65" t="e">
        <f ca="1"/>
        <v>#N/A</v>
      </c>
      <c r="CH65" t="e">
        <f ca="1"/>
        <v>#N/A</v>
      </c>
      <c r="CI65" t="e">
        <f ca="1"/>
        <v>#N/A</v>
      </c>
      <c r="CJ65" t="e">
        <f ca="1"/>
        <v>#N/A</v>
      </c>
      <c r="CK65" t="e">
        <f ca="1"/>
        <v>#N/A</v>
      </c>
      <c r="CL65" t="e">
        <f ca="1"/>
        <v>#N/A</v>
      </c>
      <c r="CM65" t="e">
        <f ca="1"/>
        <v>#N/A</v>
      </c>
      <c r="CN65" t="e">
        <f ca="1"/>
        <v>#N/A</v>
      </c>
    </row>
    <row r="66" spans="2:92" x14ac:dyDescent="0.25">
      <c r="B66">
        <f ca="1"/>
        <v>59</v>
      </c>
      <c r="C66" s="37">
        <f ca="1"/>
        <v>1600188.9915064475</v>
      </c>
      <c r="D66" s="37">
        <f ca="1"/>
        <v>1525905.645405272</v>
      </c>
      <c r="E66" s="35">
        <f ca="1"/>
        <v>43991.755273293493</v>
      </c>
      <c r="F66" s="35">
        <f ca="1"/>
        <v>0</v>
      </c>
      <c r="G66" s="35">
        <f ca="1"/>
        <v>18174.954496729377</v>
      </c>
      <c r="H66" s="35">
        <f ca="1"/>
        <v>0</v>
      </c>
      <c r="I66" s="35">
        <f ca="1"/>
        <v>30291.590827882286</v>
      </c>
      <c r="J66" s="35">
        <f ca="1"/>
        <v>66674.541312768662</v>
      </c>
      <c r="K66" s="35">
        <f ca="1"/>
        <v>4948617.665718507</v>
      </c>
      <c r="L66" s="35">
        <f ca="1"/>
        <v>4948617.665718507</v>
      </c>
      <c r="M66" s="35">
        <f ca="1"/>
        <v>2969170.5994311045</v>
      </c>
      <c r="N66" s="45">
        <f ca="1"/>
        <v>45642</v>
      </c>
      <c r="O66" s="45">
        <f ca="1"/>
        <v>45642</v>
      </c>
      <c r="P66" s="45">
        <f ca="1"/>
        <v>45672</v>
      </c>
      <c r="Q66" s="45">
        <f ca="1"/>
        <v>45672</v>
      </c>
      <c r="R66" s="37">
        <f ca="1"/>
        <v>0</v>
      </c>
      <c r="S66" s="37">
        <f ca="1"/>
        <v>0</v>
      </c>
      <c r="T66" s="41">
        <f ca="1"/>
        <v>0</v>
      </c>
      <c r="U66" s="42">
        <f ca="1"/>
        <v>0</v>
      </c>
      <c r="V66" s="42">
        <f ca="1"/>
        <v>0</v>
      </c>
      <c r="W66">
        <f ca="1"/>
        <v>0</v>
      </c>
      <c r="X66">
        <f ca="1"/>
        <v>0</v>
      </c>
      <c r="Y66" s="4">
        <f ca="1"/>
        <v>0</v>
      </c>
      <c r="Z66" s="3">
        <f ca="1"/>
        <v>5.4466586336991231E-2</v>
      </c>
      <c r="AA66" t="str">
        <f ca="1"/>
        <v>SEQUENTIAL</v>
      </c>
      <c r="AB66" s="3">
        <f ca="1"/>
        <v>8.3333333333333329E-2</v>
      </c>
      <c r="AC66" s="3">
        <f ca="1"/>
        <v>4.4665863369912273E-3</v>
      </c>
      <c r="AD66" s="45">
        <f ca="1"/>
        <v>45642</v>
      </c>
      <c r="AE66" s="3">
        <f ca="1"/>
        <v>1.0032620206610954</v>
      </c>
      <c r="AF66" s="3">
        <f ca="1"/>
        <v>1.0032620206610954</v>
      </c>
      <c r="AG66">
        <f ca="1"/>
        <v>0</v>
      </c>
      <c r="AH66" s="35">
        <f ca="1"/>
        <v>0</v>
      </c>
      <c r="AI66" s="35">
        <f ca="1"/>
        <v>0</v>
      </c>
      <c r="AJ66" s="35">
        <f ca="1"/>
        <v>0</v>
      </c>
      <c r="AK66" s="36">
        <f ca="1"/>
        <v>45642</v>
      </c>
      <c r="AL66" s="36">
        <f ca="1"/>
        <v>45642</v>
      </c>
      <c r="AM66" s="36">
        <f ca="1"/>
        <v>45672</v>
      </c>
      <c r="AN66" s="36">
        <f ca="1"/>
        <v>45672</v>
      </c>
      <c r="AO66" s="37">
        <f ca="1"/>
        <v>0</v>
      </c>
      <c r="AP66" s="37">
        <f ca="1"/>
        <v>0</v>
      </c>
      <c r="AQ66" s="41">
        <f ca="1"/>
        <v>0</v>
      </c>
      <c r="AR66" s="42">
        <f ca="1"/>
        <v>0</v>
      </c>
      <c r="AS66" s="42">
        <f ca="1"/>
        <v>0</v>
      </c>
      <c r="AT66">
        <f ca="1"/>
        <v>0</v>
      </c>
      <c r="AU66">
        <f ca="1"/>
        <v>0</v>
      </c>
      <c r="AV66" s="4">
        <f ca="1"/>
        <v>0</v>
      </c>
      <c r="AW66" s="3">
        <f ca="1"/>
        <v>5.4466586336991231E-2</v>
      </c>
      <c r="AX66" t="str">
        <f ca="1"/>
        <v>SEQUENTIAL</v>
      </c>
      <c r="AY66" s="3">
        <f ca="1"/>
        <v>8.3333333333333329E-2</v>
      </c>
      <c r="AZ66" s="3">
        <f ca="1"/>
        <v>4.4665863369912273E-3</v>
      </c>
      <c r="BA66" s="45">
        <f ca="1"/>
        <v>45642</v>
      </c>
      <c r="BB66" s="3">
        <f ca="1"/>
        <v>1.0032620206610954</v>
      </c>
      <c r="BC66" s="3">
        <f ca="1"/>
        <v>1.0032620206610954</v>
      </c>
      <c r="BD66">
        <f ca="1"/>
        <v>0</v>
      </c>
      <c r="BE66" s="4">
        <f ca="1"/>
        <v>0</v>
      </c>
      <c r="BF66" s="4">
        <f ca="1"/>
        <v>0</v>
      </c>
      <c r="BG66" s="4">
        <f ca="1"/>
        <v>0</v>
      </c>
      <c r="BH66" s="45">
        <f ca="1"/>
        <v>45642</v>
      </c>
      <c r="BI66" s="45">
        <f ca="1"/>
        <v>45642</v>
      </c>
      <c r="BJ66" s="45">
        <f ca="1"/>
        <v>45672</v>
      </c>
      <c r="BK66" s="45">
        <f ca="1"/>
        <v>45672</v>
      </c>
      <c r="BL66" s="37">
        <f ca="1"/>
        <v>0</v>
      </c>
      <c r="BM66" s="37">
        <f ca="1"/>
        <v>0</v>
      </c>
      <c r="BN66" s="40">
        <f ca="1"/>
        <v>0</v>
      </c>
      <c r="BO66" s="42">
        <f ca="1"/>
        <v>0</v>
      </c>
      <c r="BP66" s="42">
        <f ca="1"/>
        <v>0</v>
      </c>
      <c r="BQ66">
        <f ca="1"/>
        <v>0</v>
      </c>
      <c r="BR66">
        <f ca="1"/>
        <v>0</v>
      </c>
      <c r="BS66" s="4">
        <f ca="1"/>
        <v>0</v>
      </c>
      <c r="BT66" s="3">
        <f ca="1"/>
        <v>5.4466586336991231E-2</v>
      </c>
      <c r="BU66" t="str">
        <f ca="1"/>
        <v>SEQUENTIAL</v>
      </c>
      <c r="BV66" s="3">
        <f ca="1"/>
        <v>8.3333333333333329E-2</v>
      </c>
      <c r="BW66" s="3">
        <f ca="1"/>
        <v>4.4665863369912273E-3</v>
      </c>
      <c r="BX66" s="45">
        <f ca="1"/>
        <v>45642</v>
      </c>
      <c r="BY66" s="3">
        <f ca="1"/>
        <v>1.0032620206610954</v>
      </c>
      <c r="BZ66" s="3">
        <f ca="1"/>
        <v>1.0032620206610954</v>
      </c>
      <c r="CA66">
        <f ca="1"/>
        <v>0</v>
      </c>
      <c r="CB66" s="4">
        <f ca="1"/>
        <v>0</v>
      </c>
      <c r="CC66" s="4">
        <f ca="1"/>
        <v>0</v>
      </c>
      <c r="CD66" s="4">
        <f ca="1"/>
        <v>0</v>
      </c>
      <c r="CE66" t="e">
        <f ca="1"/>
        <v>#N/A</v>
      </c>
      <c r="CF66" t="e">
        <f ca="1"/>
        <v>#N/A</v>
      </c>
      <c r="CG66" t="e">
        <f ca="1"/>
        <v>#N/A</v>
      </c>
      <c r="CH66" t="e">
        <f ca="1"/>
        <v>#N/A</v>
      </c>
      <c r="CI66" t="e">
        <f ca="1"/>
        <v>#N/A</v>
      </c>
      <c r="CJ66" t="e">
        <f ca="1"/>
        <v>#N/A</v>
      </c>
      <c r="CK66" t="e">
        <f ca="1"/>
        <v>#N/A</v>
      </c>
      <c r="CL66" t="e">
        <f ca="1"/>
        <v>#N/A</v>
      </c>
      <c r="CM66" t="e">
        <f ca="1"/>
        <v>#N/A</v>
      </c>
      <c r="CN66" t="e">
        <f ca="1"/>
        <v>#N/A</v>
      </c>
    </row>
    <row r="67" spans="2:92" x14ac:dyDescent="0.25">
      <c r="B67">
        <f ca="1"/>
        <v>60</v>
      </c>
      <c r="C67" s="37">
        <f ca="1"/>
        <v>1525905.645405272</v>
      </c>
      <c r="D67" s="37">
        <f ca="1"/>
        <v>1455813.9205272342</v>
      </c>
      <c r="E67" s="35">
        <f ca="1"/>
        <v>41206.318405482671</v>
      </c>
      <c r="F67" s="35">
        <f ca="1"/>
        <v>0</v>
      </c>
      <c r="G67" s="35">
        <f ca="1"/>
        <v>17331.2438835332</v>
      </c>
      <c r="H67" s="35">
        <f ca="1"/>
        <v>0</v>
      </c>
      <c r="I67" s="35">
        <f ca="1"/>
        <v>28885.406472555351</v>
      </c>
      <c r="J67" s="35">
        <f ca="1"/>
        <v>63579.401891886337</v>
      </c>
      <c r="K67" s="35">
        <f ca="1"/>
        <v>4977503.0721910624</v>
      </c>
      <c r="L67" s="35">
        <f ca="1"/>
        <v>4977503.0721910624</v>
      </c>
      <c r="M67" s="35">
        <f ca="1"/>
        <v>2986501.8433146379</v>
      </c>
      <c r="N67" s="45">
        <f ca="1"/>
        <v>45672</v>
      </c>
      <c r="O67" s="45">
        <f ca="1"/>
        <v>45672</v>
      </c>
      <c r="P67" s="45">
        <f ca="1"/>
        <v>45705</v>
      </c>
      <c r="Q67" s="45">
        <f ca="1"/>
        <v>45705</v>
      </c>
      <c r="R67" s="37">
        <f ca="1"/>
        <v>0</v>
      </c>
      <c r="S67" s="37">
        <f ca="1"/>
        <v>0</v>
      </c>
      <c r="T67" s="41">
        <f ca="1"/>
        <v>0</v>
      </c>
      <c r="U67" s="42">
        <f ca="1"/>
        <v>0</v>
      </c>
      <c r="V67" s="42">
        <f ca="1"/>
        <v>0</v>
      </c>
      <c r="W67">
        <f ca="1"/>
        <v>0</v>
      </c>
      <c r="X67">
        <f ca="1"/>
        <v>0</v>
      </c>
      <c r="Y67" s="4">
        <f ca="1"/>
        <v>0</v>
      </c>
      <c r="Z67" s="3">
        <f ca="1"/>
        <v>5.464131968638735E-2</v>
      </c>
      <c r="AA67" t="str">
        <f ca="1"/>
        <v>SEQUENTIAL</v>
      </c>
      <c r="AB67" s="3">
        <f ca="1"/>
        <v>9.166666666666666E-2</v>
      </c>
      <c r="AC67" s="3">
        <f ca="1"/>
        <v>4.6413196863873477E-3</v>
      </c>
      <c r="AD67" s="45">
        <f ca="1"/>
        <v>45672</v>
      </c>
      <c r="AE67" s="3">
        <f ca="1"/>
        <v>1.0028513294936112</v>
      </c>
      <c r="AF67" s="3">
        <f ca="1"/>
        <v>1.0028513294936112</v>
      </c>
      <c r="AG67">
        <f ca="1"/>
        <v>0</v>
      </c>
      <c r="AH67" s="35">
        <f ca="1"/>
        <v>0</v>
      </c>
      <c r="AI67" s="35">
        <f ca="1"/>
        <v>0</v>
      </c>
      <c r="AJ67" s="35">
        <f ca="1"/>
        <v>0</v>
      </c>
      <c r="AK67" s="36">
        <f ca="1"/>
        <v>45672</v>
      </c>
      <c r="AL67" s="36">
        <f ca="1"/>
        <v>45672</v>
      </c>
      <c r="AM67" s="36">
        <f ca="1"/>
        <v>45705</v>
      </c>
      <c r="AN67" s="36">
        <f ca="1"/>
        <v>45705</v>
      </c>
      <c r="AO67" s="37">
        <f ca="1"/>
        <v>0</v>
      </c>
      <c r="AP67" s="37">
        <f ca="1"/>
        <v>0</v>
      </c>
      <c r="AQ67" s="41">
        <f ca="1"/>
        <v>0</v>
      </c>
      <c r="AR67" s="42">
        <f ca="1"/>
        <v>0</v>
      </c>
      <c r="AS67" s="42">
        <f ca="1"/>
        <v>0</v>
      </c>
      <c r="AT67">
        <f ca="1"/>
        <v>0</v>
      </c>
      <c r="AU67">
        <f ca="1"/>
        <v>0</v>
      </c>
      <c r="AV67" s="4">
        <f ca="1"/>
        <v>0</v>
      </c>
      <c r="AW67" s="3">
        <f ca="1"/>
        <v>5.464131968638735E-2</v>
      </c>
      <c r="AX67" t="str">
        <f ca="1"/>
        <v>SEQUENTIAL</v>
      </c>
      <c r="AY67" s="3">
        <f ca="1"/>
        <v>9.166666666666666E-2</v>
      </c>
      <c r="AZ67" s="3">
        <f ca="1"/>
        <v>4.6413196863873477E-3</v>
      </c>
      <c r="BA67" s="45">
        <f ca="1"/>
        <v>45672</v>
      </c>
      <c r="BB67" s="3">
        <f ca="1"/>
        <v>1.0028513294936112</v>
      </c>
      <c r="BC67" s="3">
        <f ca="1"/>
        <v>1.0028513294936112</v>
      </c>
      <c r="BD67">
        <f ca="1"/>
        <v>0</v>
      </c>
      <c r="BE67" s="4">
        <f ca="1"/>
        <v>0</v>
      </c>
      <c r="BF67" s="4">
        <f ca="1"/>
        <v>0</v>
      </c>
      <c r="BG67" s="4">
        <f ca="1"/>
        <v>0</v>
      </c>
      <c r="BH67" s="45">
        <f ca="1"/>
        <v>45672</v>
      </c>
      <c r="BI67" s="45">
        <f ca="1"/>
        <v>45672</v>
      </c>
      <c r="BJ67" s="45">
        <f ca="1"/>
        <v>45705</v>
      </c>
      <c r="BK67" s="45">
        <f ca="1"/>
        <v>45705</v>
      </c>
      <c r="BL67" s="37">
        <f ca="1"/>
        <v>0</v>
      </c>
      <c r="BM67" s="37">
        <f ca="1"/>
        <v>0</v>
      </c>
      <c r="BN67" s="40">
        <f ca="1"/>
        <v>0</v>
      </c>
      <c r="BO67" s="42">
        <f ca="1"/>
        <v>0</v>
      </c>
      <c r="BP67" s="42">
        <f ca="1"/>
        <v>0</v>
      </c>
      <c r="BQ67">
        <f ca="1"/>
        <v>0</v>
      </c>
      <c r="BR67">
        <f ca="1"/>
        <v>0</v>
      </c>
      <c r="BS67" s="4">
        <f ca="1"/>
        <v>0</v>
      </c>
      <c r="BT67" s="3">
        <f ca="1"/>
        <v>5.464131968638735E-2</v>
      </c>
      <c r="BU67" t="str">
        <f ca="1"/>
        <v>SEQUENTIAL</v>
      </c>
      <c r="BV67" s="3">
        <f ca="1"/>
        <v>9.166666666666666E-2</v>
      </c>
      <c r="BW67" s="3">
        <f ca="1"/>
        <v>4.6413196863873477E-3</v>
      </c>
      <c r="BX67" s="45">
        <f ca="1"/>
        <v>45672</v>
      </c>
      <c r="BY67" s="3">
        <f ca="1"/>
        <v>1.0028513294936112</v>
      </c>
      <c r="BZ67" s="3">
        <f ca="1"/>
        <v>1.0028513294936112</v>
      </c>
      <c r="CA67">
        <f ca="1"/>
        <v>0</v>
      </c>
      <c r="CB67" s="4">
        <f ca="1"/>
        <v>0</v>
      </c>
      <c r="CC67" s="4">
        <f ca="1"/>
        <v>0</v>
      </c>
      <c r="CD67" s="4">
        <f ca="1"/>
        <v>0</v>
      </c>
      <c r="CE67" t="e">
        <f ca="1"/>
        <v>#N/A</v>
      </c>
      <c r="CF67" t="e">
        <f ca="1"/>
        <v>#N/A</v>
      </c>
      <c r="CG67" t="e">
        <f ca="1"/>
        <v>#N/A</v>
      </c>
      <c r="CH67" t="e">
        <f ca="1"/>
        <v>#N/A</v>
      </c>
      <c r="CI67" t="e">
        <f ca="1"/>
        <v>#N/A</v>
      </c>
      <c r="CJ67" t="e">
        <f ca="1"/>
        <v>#N/A</v>
      </c>
      <c r="CK67" t="e">
        <f ca="1"/>
        <v>#N/A</v>
      </c>
      <c r="CL67" t="e">
        <f ca="1"/>
        <v>#N/A</v>
      </c>
      <c r="CM67" t="e">
        <f ca="1"/>
        <v>#N/A</v>
      </c>
      <c r="CN67" t="e">
        <f ca="1"/>
        <v>#N/A</v>
      </c>
    </row>
    <row r="68" spans="2:92" x14ac:dyDescent="0.25">
      <c r="B68">
        <f ca="1"/>
        <v>61</v>
      </c>
      <c r="C68" s="37">
        <f ca="1"/>
        <v>1455813.9205272342</v>
      </c>
      <c r="D68" s="37">
        <f ca="1"/>
        <v>1386766.8447686846</v>
      </c>
      <c r="E68" s="35">
        <f ca="1"/>
        <v>41488.506216940543</v>
      </c>
      <c r="F68" s="35">
        <f ca="1"/>
        <v>0</v>
      </c>
      <c r="G68" s="35">
        <f ca="1"/>
        <v>16535.141724964837</v>
      </c>
      <c r="H68" s="35">
        <f ca="1"/>
        <v>0</v>
      </c>
      <c r="I68" s="35">
        <f ca="1"/>
        <v>27558.569541608071</v>
      </c>
      <c r="J68" s="35">
        <f ca="1"/>
        <v>60658.91335530144</v>
      </c>
      <c r="K68" s="35">
        <f ca="1"/>
        <v>5005061.6417326704</v>
      </c>
      <c r="L68" s="35">
        <f ca="1"/>
        <v>5005061.6417326704</v>
      </c>
      <c r="M68" s="35">
        <f ca="1"/>
        <v>3003036.985039603</v>
      </c>
      <c r="N68" s="45">
        <f ca="1"/>
        <v>45705</v>
      </c>
      <c r="O68" s="45">
        <f ca="1"/>
        <v>45705</v>
      </c>
      <c r="P68" s="45">
        <f ca="1"/>
        <v>45733</v>
      </c>
      <c r="Q68" s="45">
        <f ca="1"/>
        <v>45733</v>
      </c>
      <c r="R68" s="37">
        <f ca="1"/>
        <v>0</v>
      </c>
      <c r="S68" s="37">
        <f ca="1"/>
        <v>0</v>
      </c>
      <c r="T68" s="41">
        <f ca="1"/>
        <v>0</v>
      </c>
      <c r="U68" s="42">
        <f ca="1"/>
        <v>0</v>
      </c>
      <c r="V68" s="42">
        <f ca="1"/>
        <v>0</v>
      </c>
      <c r="W68">
        <f ca="1"/>
        <v>0</v>
      </c>
      <c r="X68">
        <f ca="1"/>
        <v>0</v>
      </c>
      <c r="Y68" s="4">
        <f ca="1"/>
        <v>0</v>
      </c>
      <c r="Z68" s="3">
        <f ca="1"/>
        <v>5.4838151273640751E-2</v>
      </c>
      <c r="AA68" t="str">
        <f ca="1"/>
        <v>SEQUENTIAL</v>
      </c>
      <c r="AB68" s="3">
        <f ca="1"/>
        <v>7.7777777777777779E-2</v>
      </c>
      <c r="AC68" s="3">
        <f ca="1"/>
        <v>4.8381512736407452E-3</v>
      </c>
      <c r="AD68" s="45">
        <f ca="1"/>
        <v>45705</v>
      </c>
      <c r="AE68" s="3">
        <f ca="1"/>
        <v>1.0024890494189487</v>
      </c>
      <c r="AF68" s="3">
        <f ca="1"/>
        <v>1.0024890494189487</v>
      </c>
      <c r="AG68">
        <f ca="1"/>
        <v>0</v>
      </c>
      <c r="AH68" s="35">
        <f ca="1"/>
        <v>0</v>
      </c>
      <c r="AI68" s="35">
        <f ca="1"/>
        <v>0</v>
      </c>
      <c r="AJ68" s="35">
        <f ca="1"/>
        <v>0</v>
      </c>
      <c r="AK68" s="36">
        <f ca="1"/>
        <v>45705</v>
      </c>
      <c r="AL68" s="36">
        <f ca="1"/>
        <v>45705</v>
      </c>
      <c r="AM68" s="36">
        <f ca="1"/>
        <v>45733</v>
      </c>
      <c r="AN68" s="36">
        <f ca="1"/>
        <v>45733</v>
      </c>
      <c r="AO68" s="37">
        <f ca="1"/>
        <v>0</v>
      </c>
      <c r="AP68" s="37">
        <f ca="1"/>
        <v>0</v>
      </c>
      <c r="AQ68" s="41">
        <f ca="1"/>
        <v>0</v>
      </c>
      <c r="AR68" s="42">
        <f ca="1"/>
        <v>0</v>
      </c>
      <c r="AS68" s="42">
        <f ca="1"/>
        <v>0</v>
      </c>
      <c r="AT68">
        <f ca="1"/>
        <v>0</v>
      </c>
      <c r="AU68">
        <f ca="1"/>
        <v>0</v>
      </c>
      <c r="AV68" s="4">
        <f ca="1"/>
        <v>0</v>
      </c>
      <c r="AW68" s="3">
        <f ca="1"/>
        <v>5.4838151273640751E-2</v>
      </c>
      <c r="AX68" t="str">
        <f ca="1"/>
        <v>SEQUENTIAL</v>
      </c>
      <c r="AY68" s="3">
        <f ca="1"/>
        <v>7.7777777777777779E-2</v>
      </c>
      <c r="AZ68" s="3">
        <f ca="1"/>
        <v>4.8381512736407452E-3</v>
      </c>
      <c r="BA68" s="45">
        <f ca="1"/>
        <v>45705</v>
      </c>
      <c r="BB68" s="3">
        <f ca="1"/>
        <v>1.0024890494189487</v>
      </c>
      <c r="BC68" s="3">
        <f ca="1"/>
        <v>1.0024890494189487</v>
      </c>
      <c r="BD68">
        <f ca="1"/>
        <v>0</v>
      </c>
      <c r="BE68" s="4">
        <f ca="1"/>
        <v>0</v>
      </c>
      <c r="BF68" s="4">
        <f ca="1"/>
        <v>0</v>
      </c>
      <c r="BG68" s="4">
        <f ca="1"/>
        <v>0</v>
      </c>
      <c r="BH68" s="45">
        <f ca="1"/>
        <v>45705</v>
      </c>
      <c r="BI68" s="45">
        <f ca="1"/>
        <v>45705</v>
      </c>
      <c r="BJ68" s="45">
        <f ca="1"/>
        <v>45733</v>
      </c>
      <c r="BK68" s="45">
        <f ca="1"/>
        <v>45733</v>
      </c>
      <c r="BL68" s="37">
        <f ca="1"/>
        <v>0</v>
      </c>
      <c r="BM68" s="37">
        <f ca="1"/>
        <v>0</v>
      </c>
      <c r="BN68" s="40">
        <f ca="1"/>
        <v>0</v>
      </c>
      <c r="BO68" s="42">
        <f ca="1"/>
        <v>0</v>
      </c>
      <c r="BP68" s="42">
        <f ca="1"/>
        <v>0</v>
      </c>
      <c r="BQ68">
        <f ca="1"/>
        <v>0</v>
      </c>
      <c r="BR68">
        <f ca="1"/>
        <v>0</v>
      </c>
      <c r="BS68" s="4">
        <f ca="1"/>
        <v>0</v>
      </c>
      <c r="BT68" s="3">
        <f ca="1"/>
        <v>5.4838151273640751E-2</v>
      </c>
      <c r="BU68" t="str">
        <f ca="1"/>
        <v>SEQUENTIAL</v>
      </c>
      <c r="BV68" s="3">
        <f ca="1"/>
        <v>7.7777777777777779E-2</v>
      </c>
      <c r="BW68" s="3">
        <f ca="1"/>
        <v>4.8381512736407452E-3</v>
      </c>
      <c r="BX68" s="45">
        <f ca="1"/>
        <v>45705</v>
      </c>
      <c r="BY68" s="3">
        <f ca="1"/>
        <v>1.0024890494189487</v>
      </c>
      <c r="BZ68" s="3">
        <f ca="1"/>
        <v>1.0024890494189487</v>
      </c>
      <c r="CA68">
        <f ca="1"/>
        <v>0</v>
      </c>
      <c r="CB68" s="4">
        <f ca="1"/>
        <v>0</v>
      </c>
      <c r="CC68" s="4">
        <f ca="1"/>
        <v>0</v>
      </c>
      <c r="CD68" s="4">
        <f ca="1"/>
        <v>0</v>
      </c>
      <c r="CE68" t="e">
        <f ca="1"/>
        <v>#N/A</v>
      </c>
      <c r="CF68" t="e">
        <f ca="1"/>
        <v>#N/A</v>
      </c>
      <c r="CG68" t="e">
        <f ca="1"/>
        <v>#N/A</v>
      </c>
      <c r="CH68" t="e">
        <f ca="1"/>
        <v>#N/A</v>
      </c>
      <c r="CI68" t="e">
        <f ca="1"/>
        <v>#N/A</v>
      </c>
      <c r="CJ68" t="e">
        <f ca="1"/>
        <v>#N/A</v>
      </c>
      <c r="CK68" t="e">
        <f ca="1"/>
        <v>#N/A</v>
      </c>
      <c r="CL68" t="e">
        <f ca="1"/>
        <v>#N/A</v>
      </c>
      <c r="CM68" t="e">
        <f ca="1"/>
        <v>#N/A</v>
      </c>
      <c r="CN68" t="e">
        <f ca="1"/>
        <v>#N/A</v>
      </c>
    </row>
    <row r="69" spans="2:92" x14ac:dyDescent="0.25">
      <c r="B69">
        <f ca="1"/>
        <v>62</v>
      </c>
      <c r="C69" s="37">
        <f ca="1"/>
        <v>1386766.8447686846</v>
      </c>
      <c r="D69" s="37">
        <f ca="1"/>
        <v>1321293.8986319795</v>
      </c>
      <c r="E69" s="35">
        <f ca="1"/>
        <v>39221.438309583929</v>
      </c>
      <c r="F69" s="35">
        <f ca="1"/>
        <v>0</v>
      </c>
      <c r="G69" s="35">
        <f ca="1"/>
        <v>15750.904696273346</v>
      </c>
      <c r="H69" s="35">
        <f ca="1"/>
        <v>0</v>
      </c>
      <c r="I69" s="35">
        <f ca="1"/>
        <v>26251.507827122248</v>
      </c>
      <c r="J69" s="35">
        <f ca="1"/>
        <v>57781.951865361872</v>
      </c>
      <c r="K69" s="35">
        <f ca="1"/>
        <v>5031313.1495597931</v>
      </c>
      <c r="L69" s="35">
        <f ca="1"/>
        <v>5031313.1495597931</v>
      </c>
      <c r="M69" s="35">
        <f ca="1"/>
        <v>3018787.8897358761</v>
      </c>
      <c r="N69" s="45">
        <f ca="1"/>
        <v>45733</v>
      </c>
      <c r="O69" s="45">
        <f ca="1"/>
        <v>45733</v>
      </c>
      <c r="P69" s="45">
        <f ca="1"/>
        <v>45762</v>
      </c>
      <c r="Q69" s="45">
        <f ca="1"/>
        <v>45762</v>
      </c>
      <c r="R69" s="37">
        <f ca="1"/>
        <v>0</v>
      </c>
      <c r="S69" s="37">
        <f ca="1"/>
        <v>0</v>
      </c>
      <c r="T69" s="41">
        <f ca="1"/>
        <v>0</v>
      </c>
      <c r="U69" s="42">
        <f ca="1"/>
        <v>0</v>
      </c>
      <c r="V69" s="42">
        <f ca="1"/>
        <v>0</v>
      </c>
      <c r="W69">
        <f ca="1"/>
        <v>0</v>
      </c>
      <c r="X69">
        <f ca="1"/>
        <v>0</v>
      </c>
      <c r="Y69" s="4">
        <f ca="1"/>
        <v>0</v>
      </c>
      <c r="Z69" s="3">
        <f ca="1"/>
        <v>5.5009428293344008E-2</v>
      </c>
      <c r="AA69" t="str">
        <f ca="1"/>
        <v>SEQUENTIAL</v>
      </c>
      <c r="AB69" s="3">
        <f ca="1"/>
        <v>8.0555555555555561E-2</v>
      </c>
      <c r="AC69" s="3">
        <f ca="1"/>
        <v>5.0094282933440077E-3</v>
      </c>
      <c r="AD69" s="45">
        <f ca="1"/>
        <v>45733</v>
      </c>
      <c r="AE69" s="3">
        <f ca="1"/>
        <v>1.0021002125053</v>
      </c>
      <c r="AF69" s="3">
        <f ca="1"/>
        <v>1.0021002125053</v>
      </c>
      <c r="AG69">
        <f ca="1"/>
        <v>0</v>
      </c>
      <c r="AH69" s="35">
        <f ca="1"/>
        <v>0</v>
      </c>
      <c r="AI69" s="35">
        <f ca="1"/>
        <v>0</v>
      </c>
      <c r="AJ69" s="35">
        <f ca="1"/>
        <v>0</v>
      </c>
      <c r="AK69" s="36">
        <f ca="1"/>
        <v>45733</v>
      </c>
      <c r="AL69" s="36">
        <f ca="1"/>
        <v>45733</v>
      </c>
      <c r="AM69" s="36">
        <f ca="1"/>
        <v>45762</v>
      </c>
      <c r="AN69" s="36">
        <f ca="1"/>
        <v>45762</v>
      </c>
      <c r="AO69" s="37">
        <f ca="1"/>
        <v>0</v>
      </c>
      <c r="AP69" s="37">
        <f ca="1"/>
        <v>0</v>
      </c>
      <c r="AQ69" s="41">
        <f ca="1"/>
        <v>0</v>
      </c>
      <c r="AR69" s="42">
        <f ca="1"/>
        <v>0</v>
      </c>
      <c r="AS69" s="42">
        <f ca="1"/>
        <v>0</v>
      </c>
      <c r="AT69">
        <f ca="1"/>
        <v>0</v>
      </c>
      <c r="AU69">
        <f ca="1"/>
        <v>0</v>
      </c>
      <c r="AV69" s="4">
        <f ca="1"/>
        <v>0</v>
      </c>
      <c r="AW69" s="3">
        <f ca="1"/>
        <v>5.5009428293344008E-2</v>
      </c>
      <c r="AX69" t="str">
        <f ca="1"/>
        <v>SEQUENTIAL</v>
      </c>
      <c r="AY69" s="3">
        <f ca="1"/>
        <v>8.0555555555555561E-2</v>
      </c>
      <c r="AZ69" s="3">
        <f ca="1"/>
        <v>5.0094282933440077E-3</v>
      </c>
      <c r="BA69" s="45">
        <f ca="1"/>
        <v>45733</v>
      </c>
      <c r="BB69" s="3">
        <f ca="1"/>
        <v>1.0021002125053</v>
      </c>
      <c r="BC69" s="3">
        <f ca="1"/>
        <v>1.0021002125053</v>
      </c>
      <c r="BD69">
        <f ca="1"/>
        <v>0</v>
      </c>
      <c r="BE69" s="4">
        <f ca="1"/>
        <v>0</v>
      </c>
      <c r="BF69" s="4">
        <f ca="1"/>
        <v>0</v>
      </c>
      <c r="BG69" s="4">
        <f ca="1"/>
        <v>0</v>
      </c>
      <c r="BH69" s="45">
        <f ca="1"/>
        <v>45733</v>
      </c>
      <c r="BI69" s="45">
        <f ca="1"/>
        <v>45733</v>
      </c>
      <c r="BJ69" s="45">
        <f ca="1"/>
        <v>45762</v>
      </c>
      <c r="BK69" s="45">
        <f ca="1"/>
        <v>45762</v>
      </c>
      <c r="BL69" s="37">
        <f ca="1"/>
        <v>0</v>
      </c>
      <c r="BM69" s="37">
        <f ca="1"/>
        <v>0</v>
      </c>
      <c r="BN69" s="40">
        <f ca="1"/>
        <v>0</v>
      </c>
      <c r="BO69" s="42">
        <f ca="1"/>
        <v>0</v>
      </c>
      <c r="BP69" s="42">
        <f ca="1"/>
        <v>0</v>
      </c>
      <c r="BQ69">
        <f ca="1"/>
        <v>0</v>
      </c>
      <c r="BR69">
        <f ca="1"/>
        <v>0</v>
      </c>
      <c r="BS69" s="4">
        <f ca="1"/>
        <v>0</v>
      </c>
      <c r="BT69" s="3">
        <f ca="1"/>
        <v>5.5009428293344008E-2</v>
      </c>
      <c r="BU69" t="str">
        <f ca="1"/>
        <v>SEQUENTIAL</v>
      </c>
      <c r="BV69" s="3">
        <f ca="1"/>
        <v>8.0555555555555561E-2</v>
      </c>
      <c r="BW69" s="3">
        <f ca="1"/>
        <v>5.0094282933440077E-3</v>
      </c>
      <c r="BX69" s="45">
        <f ca="1"/>
        <v>45733</v>
      </c>
      <c r="BY69" s="3">
        <f ca="1"/>
        <v>1.0021002125053</v>
      </c>
      <c r="BZ69" s="3">
        <f ca="1"/>
        <v>1.0021002125053</v>
      </c>
      <c r="CA69">
        <f ca="1"/>
        <v>0</v>
      </c>
      <c r="CB69" s="4">
        <f ca="1"/>
        <v>0</v>
      </c>
      <c r="CC69" s="4">
        <f ca="1"/>
        <v>0</v>
      </c>
      <c r="CD69" s="4">
        <f ca="1"/>
        <v>0</v>
      </c>
      <c r="CE69" t="e">
        <f ca="1"/>
        <v>#N/A</v>
      </c>
      <c r="CF69" t="e">
        <f ca="1"/>
        <v>#N/A</v>
      </c>
      <c r="CG69" t="e">
        <f ca="1"/>
        <v>#N/A</v>
      </c>
      <c r="CH69" t="e">
        <f ca="1"/>
        <v>#N/A</v>
      </c>
      <c r="CI69" t="e">
        <f ca="1"/>
        <v>#N/A</v>
      </c>
      <c r="CJ69" t="e">
        <f ca="1"/>
        <v>#N/A</v>
      </c>
      <c r="CK69" t="e">
        <f ca="1"/>
        <v>#N/A</v>
      </c>
      <c r="CL69" t="e">
        <f ca="1"/>
        <v>#N/A</v>
      </c>
      <c r="CM69" t="e">
        <f ca="1"/>
        <v>#N/A</v>
      </c>
      <c r="CN69" t="e">
        <f ca="1"/>
        <v>#N/A</v>
      </c>
    </row>
    <row r="70" spans="2:92" x14ac:dyDescent="0.25">
      <c r="B70">
        <f ca="1"/>
        <v>63</v>
      </c>
      <c r="C70" s="37">
        <f ca="1"/>
        <v>1321293.8986319795</v>
      </c>
      <c r="D70" s="37">
        <f ca="1"/>
        <v>1257602.4241786082</v>
      </c>
      <c r="E70" s="35">
        <f ca="1"/>
        <v>38679.370037467386</v>
      </c>
      <c r="F70" s="35">
        <f ca="1"/>
        <v>0</v>
      </c>
      <c r="G70" s="35">
        <f ca="1"/>
        <v>15007.262649541615</v>
      </c>
      <c r="H70" s="35">
        <f ca="1"/>
        <v>0</v>
      </c>
      <c r="I70" s="35">
        <f ca="1"/>
        <v>25012.104415902704</v>
      </c>
      <c r="J70" s="35">
        <f ca="1"/>
        <v>55053.912442999121</v>
      </c>
      <c r="K70" s="35">
        <f ca="1"/>
        <v>5056325.2539756959</v>
      </c>
      <c r="L70" s="35">
        <f ca="1"/>
        <v>5056325.2539756959</v>
      </c>
      <c r="M70" s="35">
        <f ca="1"/>
        <v>3033795.1523854178</v>
      </c>
      <c r="N70" s="45">
        <f ca="1"/>
        <v>45762</v>
      </c>
      <c r="O70" s="45">
        <f ca="1"/>
        <v>45762</v>
      </c>
      <c r="P70" s="45">
        <f ca="1"/>
        <v>45792</v>
      </c>
      <c r="Q70" s="45">
        <f ca="1"/>
        <v>45792</v>
      </c>
      <c r="R70" s="37">
        <f ca="1"/>
        <v>0</v>
      </c>
      <c r="S70" s="37">
        <f ca="1"/>
        <v>0</v>
      </c>
      <c r="T70" s="41">
        <f ca="1"/>
        <v>0</v>
      </c>
      <c r="U70" s="42">
        <f ca="1"/>
        <v>0</v>
      </c>
      <c r="V70" s="42">
        <f ca="1"/>
        <v>0</v>
      </c>
      <c r="W70">
        <f ca="1"/>
        <v>0</v>
      </c>
      <c r="X70">
        <f ca="1"/>
        <v>0</v>
      </c>
      <c r="Y70" s="4">
        <f ca="1"/>
        <v>0</v>
      </c>
      <c r="Z70" s="3">
        <f ca="1"/>
        <v>5.5189209846380531E-2</v>
      </c>
      <c r="AA70" t="str">
        <f ca="1"/>
        <v>SEQUENTIAL</v>
      </c>
      <c r="AB70" s="3">
        <f ca="1"/>
        <v>8.3333333333333329E-2</v>
      </c>
      <c r="AC70" s="3">
        <f ca="1"/>
        <v>5.1892098463805292E-3</v>
      </c>
      <c r="AD70" s="45">
        <f ca="1"/>
        <v>45762</v>
      </c>
      <c r="AE70" s="3">
        <f ca="1"/>
        <v>1.0016831289052921</v>
      </c>
      <c r="AF70" s="3">
        <f ca="1"/>
        <v>1.0016831289052921</v>
      </c>
      <c r="AG70">
        <f ca="1"/>
        <v>0</v>
      </c>
      <c r="AH70" s="35">
        <f ca="1"/>
        <v>0</v>
      </c>
      <c r="AI70" s="35">
        <f ca="1"/>
        <v>0</v>
      </c>
      <c r="AJ70" s="35">
        <f ca="1"/>
        <v>0</v>
      </c>
      <c r="AK70" s="36">
        <f ca="1"/>
        <v>45762</v>
      </c>
      <c r="AL70" s="36">
        <f ca="1"/>
        <v>45762</v>
      </c>
      <c r="AM70" s="36">
        <f ca="1"/>
        <v>45792</v>
      </c>
      <c r="AN70" s="36">
        <f ca="1"/>
        <v>45792</v>
      </c>
      <c r="AO70" s="37">
        <f ca="1"/>
        <v>0</v>
      </c>
      <c r="AP70" s="37">
        <f ca="1"/>
        <v>0</v>
      </c>
      <c r="AQ70" s="41">
        <f ca="1"/>
        <v>0</v>
      </c>
      <c r="AR70" s="42">
        <f ca="1"/>
        <v>0</v>
      </c>
      <c r="AS70" s="42">
        <f ca="1"/>
        <v>0</v>
      </c>
      <c r="AT70">
        <f ca="1"/>
        <v>0</v>
      </c>
      <c r="AU70">
        <f ca="1"/>
        <v>0</v>
      </c>
      <c r="AV70" s="4">
        <f ca="1"/>
        <v>0</v>
      </c>
      <c r="AW70" s="3">
        <f ca="1"/>
        <v>5.5189209846380531E-2</v>
      </c>
      <c r="AX70" t="str">
        <f ca="1"/>
        <v>SEQUENTIAL</v>
      </c>
      <c r="AY70" s="3">
        <f ca="1"/>
        <v>8.3333333333333329E-2</v>
      </c>
      <c r="AZ70" s="3">
        <f ca="1"/>
        <v>5.1892098463805292E-3</v>
      </c>
      <c r="BA70" s="45">
        <f ca="1"/>
        <v>45762</v>
      </c>
      <c r="BB70" s="3">
        <f ca="1"/>
        <v>1.0016831289052921</v>
      </c>
      <c r="BC70" s="3">
        <f ca="1"/>
        <v>1.0016831289052921</v>
      </c>
      <c r="BD70">
        <f ca="1"/>
        <v>0</v>
      </c>
      <c r="BE70" s="4">
        <f ca="1"/>
        <v>0</v>
      </c>
      <c r="BF70" s="4">
        <f ca="1"/>
        <v>0</v>
      </c>
      <c r="BG70" s="4">
        <f ca="1"/>
        <v>0</v>
      </c>
      <c r="BH70" s="45">
        <f ca="1"/>
        <v>45762</v>
      </c>
      <c r="BI70" s="45">
        <f ca="1"/>
        <v>45762</v>
      </c>
      <c r="BJ70" s="45">
        <f ca="1"/>
        <v>45792</v>
      </c>
      <c r="BK70" s="45">
        <f ca="1"/>
        <v>45792</v>
      </c>
      <c r="BL70" s="37">
        <f ca="1"/>
        <v>0</v>
      </c>
      <c r="BM70" s="37">
        <f ca="1"/>
        <v>0</v>
      </c>
      <c r="BN70" s="40">
        <f ca="1"/>
        <v>0</v>
      </c>
      <c r="BO70" s="42">
        <f ca="1"/>
        <v>0</v>
      </c>
      <c r="BP70" s="42">
        <f ca="1"/>
        <v>0</v>
      </c>
      <c r="BQ70">
        <f ca="1"/>
        <v>0</v>
      </c>
      <c r="BR70">
        <f ca="1"/>
        <v>0</v>
      </c>
      <c r="BS70" s="4">
        <f ca="1"/>
        <v>0</v>
      </c>
      <c r="BT70" s="3">
        <f ca="1"/>
        <v>5.5189209846380531E-2</v>
      </c>
      <c r="BU70" t="str">
        <f ca="1"/>
        <v>SEQUENTIAL</v>
      </c>
      <c r="BV70" s="3">
        <f ca="1"/>
        <v>8.3333333333333329E-2</v>
      </c>
      <c r="BW70" s="3">
        <f ca="1"/>
        <v>5.1892098463805292E-3</v>
      </c>
      <c r="BX70" s="45">
        <f ca="1"/>
        <v>45762</v>
      </c>
      <c r="BY70" s="3">
        <f ca="1"/>
        <v>1.0016831289052921</v>
      </c>
      <c r="BZ70" s="3">
        <f ca="1"/>
        <v>1.0016831289052921</v>
      </c>
      <c r="CA70">
        <f ca="1"/>
        <v>0</v>
      </c>
      <c r="CB70" s="4">
        <f ca="1"/>
        <v>0</v>
      </c>
      <c r="CC70" s="4">
        <f ca="1"/>
        <v>0</v>
      </c>
      <c r="CD70" s="4">
        <f ca="1"/>
        <v>0</v>
      </c>
      <c r="CE70" t="e">
        <f ca="1"/>
        <v>#N/A</v>
      </c>
      <c r="CF70" t="e">
        <f ca="1"/>
        <v>#N/A</v>
      </c>
      <c r="CG70" t="e">
        <f ca="1"/>
        <v>#N/A</v>
      </c>
      <c r="CH70" t="e">
        <f ca="1"/>
        <v>#N/A</v>
      </c>
      <c r="CI70" t="e">
        <f ca="1"/>
        <v>#N/A</v>
      </c>
      <c r="CJ70" t="e">
        <f ca="1"/>
        <v>#N/A</v>
      </c>
      <c r="CK70" t="e">
        <f ca="1"/>
        <v>#N/A</v>
      </c>
      <c r="CL70" t="e">
        <f ca="1"/>
        <v>#N/A</v>
      </c>
      <c r="CM70" t="e">
        <f ca="1"/>
        <v>#N/A</v>
      </c>
      <c r="CN70" t="e">
        <f ca="1"/>
        <v>#N/A</v>
      </c>
    </row>
    <row r="71" spans="2:92" x14ac:dyDescent="0.25">
      <c r="B71">
        <f ca="1"/>
        <v>64</v>
      </c>
      <c r="C71" s="37">
        <f ca="1"/>
        <v>1257602.4241786082</v>
      </c>
      <c r="D71" s="37">
        <f ca="1"/>
        <v>1194267.6986053067</v>
      </c>
      <c r="E71" s="35">
        <f ca="1"/>
        <v>39528.301294937432</v>
      </c>
      <c r="F71" s="35">
        <f ca="1"/>
        <v>0</v>
      </c>
      <c r="G71" s="35">
        <f ca="1"/>
        <v>14283.854567018918</v>
      </c>
      <c r="H71" s="35">
        <f ca="1"/>
        <v>0</v>
      </c>
      <c r="I71" s="35">
        <f ca="1"/>
        <v>23806.42427836487</v>
      </c>
      <c r="J71" s="35">
        <f ca="1"/>
        <v>52400.101007442056</v>
      </c>
      <c r="K71" s="35">
        <f ca="1"/>
        <v>5080131.6782540604</v>
      </c>
      <c r="L71" s="35">
        <f ca="1"/>
        <v>5080131.6782540604</v>
      </c>
      <c r="M71" s="35">
        <f ca="1"/>
        <v>3048079.0069524366</v>
      </c>
      <c r="N71" s="45">
        <f ca="1"/>
        <v>45792</v>
      </c>
      <c r="O71" s="45">
        <f ca="1"/>
        <v>45792</v>
      </c>
      <c r="P71" s="45">
        <f ca="1"/>
        <v>45824</v>
      </c>
      <c r="Q71" s="45">
        <f ca="1"/>
        <v>45824</v>
      </c>
      <c r="R71" s="37">
        <f ca="1"/>
        <v>0</v>
      </c>
      <c r="S71" s="37">
        <f ca="1"/>
        <v>0</v>
      </c>
      <c r="T71" s="41">
        <f ca="1"/>
        <v>0</v>
      </c>
      <c r="U71" s="42">
        <f ca="1"/>
        <v>0</v>
      </c>
      <c r="V71" s="42">
        <f ca="1"/>
        <v>0</v>
      </c>
      <c r="W71">
        <f ca="1"/>
        <v>0</v>
      </c>
      <c r="X71">
        <f ca="1"/>
        <v>0</v>
      </c>
      <c r="Y71" s="4">
        <f ca="1"/>
        <v>0</v>
      </c>
      <c r="Z71" s="3">
        <f ca="1"/>
        <v>5.5375261063933728E-2</v>
      </c>
      <c r="AA71" t="str">
        <f ca="1"/>
        <v>SEQUENTIAL</v>
      </c>
      <c r="AB71" s="3">
        <f ca="1"/>
        <v>8.8888888888888892E-2</v>
      </c>
      <c r="AC71" s="3">
        <f ca="1"/>
        <v>5.3752610639337291E-3</v>
      </c>
      <c r="AD71" s="45">
        <f ca="1"/>
        <v>45792</v>
      </c>
      <c r="AE71" s="3">
        <f ca="1"/>
        <v>1.0012213659738072</v>
      </c>
      <c r="AF71" s="3">
        <f ca="1"/>
        <v>1.0012213659738072</v>
      </c>
      <c r="AG71">
        <f ca="1"/>
        <v>0</v>
      </c>
      <c r="AH71" s="35">
        <f ca="1"/>
        <v>0</v>
      </c>
      <c r="AI71" s="35">
        <f ca="1"/>
        <v>0</v>
      </c>
      <c r="AJ71" s="35">
        <f ca="1"/>
        <v>0</v>
      </c>
      <c r="AK71" s="36">
        <f ca="1"/>
        <v>45792</v>
      </c>
      <c r="AL71" s="36">
        <f ca="1"/>
        <v>45792</v>
      </c>
      <c r="AM71" s="36">
        <f ca="1"/>
        <v>45824</v>
      </c>
      <c r="AN71" s="36">
        <f ca="1"/>
        <v>45824</v>
      </c>
      <c r="AO71" s="37">
        <f ca="1"/>
        <v>0</v>
      </c>
      <c r="AP71" s="37">
        <f ca="1"/>
        <v>0</v>
      </c>
      <c r="AQ71" s="41">
        <f ca="1"/>
        <v>0</v>
      </c>
      <c r="AR71" s="42">
        <f ca="1"/>
        <v>0</v>
      </c>
      <c r="AS71" s="42">
        <f ca="1"/>
        <v>0</v>
      </c>
      <c r="AT71">
        <f ca="1"/>
        <v>0</v>
      </c>
      <c r="AU71">
        <f ca="1"/>
        <v>0</v>
      </c>
      <c r="AV71" s="4">
        <f ca="1"/>
        <v>0</v>
      </c>
      <c r="AW71" s="3">
        <f ca="1"/>
        <v>5.5375261063933728E-2</v>
      </c>
      <c r="AX71" t="str">
        <f ca="1"/>
        <v>SEQUENTIAL</v>
      </c>
      <c r="AY71" s="3">
        <f ca="1"/>
        <v>8.8888888888888892E-2</v>
      </c>
      <c r="AZ71" s="3">
        <f ca="1"/>
        <v>5.3752610639337291E-3</v>
      </c>
      <c r="BA71" s="45">
        <f ca="1"/>
        <v>45792</v>
      </c>
      <c r="BB71" s="3">
        <f ca="1"/>
        <v>1.0012213659738072</v>
      </c>
      <c r="BC71" s="3">
        <f ca="1"/>
        <v>1.0012213659738072</v>
      </c>
      <c r="BD71">
        <f ca="1"/>
        <v>0</v>
      </c>
      <c r="BE71" s="4">
        <f ca="1"/>
        <v>0</v>
      </c>
      <c r="BF71" s="4">
        <f ca="1"/>
        <v>0</v>
      </c>
      <c r="BG71" s="4">
        <f ca="1"/>
        <v>0</v>
      </c>
      <c r="BH71" s="45">
        <f ca="1"/>
        <v>45792</v>
      </c>
      <c r="BI71" s="45">
        <f ca="1"/>
        <v>45792</v>
      </c>
      <c r="BJ71" s="45">
        <f ca="1"/>
        <v>45824</v>
      </c>
      <c r="BK71" s="45">
        <f ca="1"/>
        <v>45824</v>
      </c>
      <c r="BL71" s="37">
        <f ca="1"/>
        <v>0</v>
      </c>
      <c r="BM71" s="37">
        <f ca="1"/>
        <v>0</v>
      </c>
      <c r="BN71" s="40">
        <f ca="1"/>
        <v>0</v>
      </c>
      <c r="BO71" s="42">
        <f ca="1"/>
        <v>0</v>
      </c>
      <c r="BP71" s="42">
        <f ca="1"/>
        <v>0</v>
      </c>
      <c r="BQ71">
        <f ca="1"/>
        <v>0</v>
      </c>
      <c r="BR71">
        <f ca="1"/>
        <v>0</v>
      </c>
      <c r="BS71" s="4">
        <f ca="1"/>
        <v>0</v>
      </c>
      <c r="BT71" s="3">
        <f ca="1"/>
        <v>5.5375261063933728E-2</v>
      </c>
      <c r="BU71" t="str">
        <f ca="1"/>
        <v>SEQUENTIAL</v>
      </c>
      <c r="BV71" s="3">
        <f ca="1"/>
        <v>8.8888888888888892E-2</v>
      </c>
      <c r="BW71" s="3">
        <f ca="1"/>
        <v>5.3752610639337291E-3</v>
      </c>
      <c r="BX71" s="45">
        <f ca="1"/>
        <v>45792</v>
      </c>
      <c r="BY71" s="3">
        <f ca="1"/>
        <v>1.0012213659738072</v>
      </c>
      <c r="BZ71" s="3">
        <f ca="1"/>
        <v>1.0012213659738072</v>
      </c>
      <c r="CA71">
        <f ca="1"/>
        <v>0</v>
      </c>
      <c r="CB71" s="4">
        <f ca="1"/>
        <v>0</v>
      </c>
      <c r="CC71" s="4">
        <f ca="1"/>
        <v>0</v>
      </c>
      <c r="CD71" s="4">
        <f ca="1"/>
        <v>0</v>
      </c>
      <c r="CE71" t="e">
        <f ca="1"/>
        <v>#N/A</v>
      </c>
      <c r="CF71" t="e">
        <f ca="1"/>
        <v>#N/A</v>
      </c>
      <c r="CG71" t="e">
        <f ca="1"/>
        <v>#N/A</v>
      </c>
      <c r="CH71" t="e">
        <f ca="1"/>
        <v>#N/A</v>
      </c>
      <c r="CI71" t="e">
        <f ca="1"/>
        <v>#N/A</v>
      </c>
      <c r="CJ71" t="e">
        <f ca="1"/>
        <v>#N/A</v>
      </c>
      <c r="CK71" t="e">
        <f ca="1"/>
        <v>#N/A</v>
      </c>
      <c r="CL71" t="e">
        <f ca="1"/>
        <v>#N/A</v>
      </c>
      <c r="CM71" t="e">
        <f ca="1"/>
        <v>#N/A</v>
      </c>
      <c r="CN71" t="e">
        <f ca="1"/>
        <v>#N/A</v>
      </c>
    </row>
    <row r="72" spans="2:92" x14ac:dyDescent="0.25">
      <c r="B72">
        <f ca="1"/>
        <v>65</v>
      </c>
      <c r="C72" s="37">
        <f ca="1"/>
        <v>1194267.6986053067</v>
      </c>
      <c r="D72" s="37">
        <f ca="1"/>
        <v>1133834.1387663865</v>
      </c>
      <c r="E72" s="35">
        <f ca="1"/>
        <v>37826.062438846115</v>
      </c>
      <c r="F72" s="35">
        <f ca="1"/>
        <v>0</v>
      </c>
      <c r="G72" s="35">
        <f ca="1"/>
        <v>13564.498440044234</v>
      </c>
      <c r="H72" s="35">
        <f ca="1"/>
        <v>0</v>
      </c>
      <c r="I72" s="35">
        <f ca="1"/>
        <v>22607.497400073709</v>
      </c>
      <c r="J72" s="35">
        <f ca="1"/>
        <v>49761.154108554452</v>
      </c>
      <c r="K72" s="35">
        <f ca="1"/>
        <v>5102739.1756541338</v>
      </c>
      <c r="L72" s="35">
        <f ca="1"/>
        <v>5102739.1756541338</v>
      </c>
      <c r="M72" s="35">
        <f ca="1"/>
        <v>3061643.5053924806</v>
      </c>
      <c r="N72" s="45">
        <f ca="1"/>
        <v>45824</v>
      </c>
      <c r="O72" s="45">
        <f ca="1"/>
        <v>45824</v>
      </c>
      <c r="P72" s="45">
        <f ca="1"/>
        <v>45853</v>
      </c>
      <c r="Q72" s="45">
        <f ca="1"/>
        <v>45853</v>
      </c>
      <c r="R72" s="37">
        <f ca="1"/>
        <v>0</v>
      </c>
      <c r="S72" s="37">
        <f ca="1"/>
        <v>0</v>
      </c>
      <c r="T72" s="41">
        <f ca="1"/>
        <v>0</v>
      </c>
      <c r="U72" s="42">
        <f ca="1"/>
        <v>0</v>
      </c>
      <c r="V72" s="42">
        <f ca="1"/>
        <v>0</v>
      </c>
      <c r="W72">
        <f ca="1"/>
        <v>0</v>
      </c>
      <c r="X72">
        <f ca="1"/>
        <v>0</v>
      </c>
      <c r="Y72" s="4">
        <f ca="1"/>
        <v>0</v>
      </c>
      <c r="Z72" s="3">
        <f ca="1"/>
        <v>5.5571315561817908E-2</v>
      </c>
      <c r="AA72" t="str">
        <f ca="1"/>
        <v>SEQUENTIAL</v>
      </c>
      <c r="AB72" s="3">
        <f ca="1"/>
        <v>8.0555555555555561E-2</v>
      </c>
      <c r="AC72" s="3">
        <f ca="1"/>
        <v>5.571315561817905E-3</v>
      </c>
      <c r="AD72" s="45">
        <f ca="1"/>
        <v>45824</v>
      </c>
      <c r="AE72" s="3">
        <f ca="1"/>
        <v>1.0007879147415648</v>
      </c>
      <c r="AF72" s="3">
        <f ca="1"/>
        <v>1.0007879147415648</v>
      </c>
      <c r="AG72">
        <f ca="1"/>
        <v>0</v>
      </c>
      <c r="AH72" s="35">
        <f ca="1"/>
        <v>0</v>
      </c>
      <c r="AI72" s="35">
        <f ca="1"/>
        <v>0</v>
      </c>
      <c r="AJ72" s="35">
        <f ca="1"/>
        <v>0</v>
      </c>
      <c r="AK72" s="36">
        <f ca="1"/>
        <v>45824</v>
      </c>
      <c r="AL72" s="36">
        <f ca="1"/>
        <v>45824</v>
      </c>
      <c r="AM72" s="36">
        <f ca="1"/>
        <v>45853</v>
      </c>
      <c r="AN72" s="36">
        <f ca="1"/>
        <v>45853</v>
      </c>
      <c r="AO72" s="37">
        <f ca="1"/>
        <v>0</v>
      </c>
      <c r="AP72" s="37">
        <f ca="1"/>
        <v>0</v>
      </c>
      <c r="AQ72" s="41">
        <f ca="1"/>
        <v>0</v>
      </c>
      <c r="AR72" s="42">
        <f ca="1"/>
        <v>0</v>
      </c>
      <c r="AS72" s="42">
        <f ca="1"/>
        <v>0</v>
      </c>
      <c r="AT72">
        <f ca="1"/>
        <v>0</v>
      </c>
      <c r="AU72">
        <f ca="1"/>
        <v>0</v>
      </c>
      <c r="AV72" s="4">
        <f ca="1"/>
        <v>0</v>
      </c>
      <c r="AW72" s="3">
        <f ca="1"/>
        <v>5.5571315561817908E-2</v>
      </c>
      <c r="AX72" t="str">
        <f ca="1"/>
        <v>SEQUENTIAL</v>
      </c>
      <c r="AY72" s="3">
        <f ca="1"/>
        <v>8.0555555555555561E-2</v>
      </c>
      <c r="AZ72" s="3">
        <f ca="1"/>
        <v>5.571315561817905E-3</v>
      </c>
      <c r="BA72" s="45">
        <f ca="1"/>
        <v>45824</v>
      </c>
      <c r="BB72" s="3">
        <f ca="1"/>
        <v>1.0007879147415648</v>
      </c>
      <c r="BC72" s="3">
        <f ca="1"/>
        <v>1.0007879147415648</v>
      </c>
      <c r="BD72">
        <f ca="1"/>
        <v>0</v>
      </c>
      <c r="BE72" s="4">
        <f ca="1"/>
        <v>0</v>
      </c>
      <c r="BF72" s="4">
        <f ca="1"/>
        <v>0</v>
      </c>
      <c r="BG72" s="4">
        <f ca="1"/>
        <v>0</v>
      </c>
      <c r="BH72" s="45">
        <f ca="1"/>
        <v>45824</v>
      </c>
      <c r="BI72" s="45">
        <f ca="1"/>
        <v>45824</v>
      </c>
      <c r="BJ72" s="45">
        <f ca="1"/>
        <v>45853</v>
      </c>
      <c r="BK72" s="45">
        <f ca="1"/>
        <v>45853</v>
      </c>
      <c r="BL72" s="37">
        <f ca="1"/>
        <v>0</v>
      </c>
      <c r="BM72" s="37">
        <f ca="1"/>
        <v>0</v>
      </c>
      <c r="BN72" s="40">
        <f ca="1"/>
        <v>0</v>
      </c>
      <c r="BO72" s="42">
        <f ca="1"/>
        <v>0</v>
      </c>
      <c r="BP72" s="42">
        <f ca="1"/>
        <v>0</v>
      </c>
      <c r="BQ72">
        <f ca="1"/>
        <v>0</v>
      </c>
      <c r="BR72">
        <f ca="1"/>
        <v>0</v>
      </c>
      <c r="BS72" s="4">
        <f ca="1"/>
        <v>0</v>
      </c>
      <c r="BT72" s="3">
        <f ca="1"/>
        <v>5.5571315561817908E-2</v>
      </c>
      <c r="BU72" t="str">
        <f ca="1"/>
        <v>SEQUENTIAL</v>
      </c>
      <c r="BV72" s="3">
        <f ca="1"/>
        <v>8.0555555555555561E-2</v>
      </c>
      <c r="BW72" s="3">
        <f ca="1"/>
        <v>5.571315561817905E-3</v>
      </c>
      <c r="BX72" s="45">
        <f ca="1"/>
        <v>45824</v>
      </c>
      <c r="BY72" s="3">
        <f ca="1"/>
        <v>1.0007879147415648</v>
      </c>
      <c r="BZ72" s="3">
        <f ca="1"/>
        <v>1.0007879147415648</v>
      </c>
      <c r="CA72">
        <f ca="1"/>
        <v>0</v>
      </c>
      <c r="CB72" s="4">
        <f ca="1"/>
        <v>0</v>
      </c>
      <c r="CC72" s="4">
        <f ca="1"/>
        <v>0</v>
      </c>
      <c r="CD72" s="4">
        <f ca="1"/>
        <v>0</v>
      </c>
      <c r="CE72" t="e">
        <f ca="1"/>
        <v>#N/A</v>
      </c>
      <c r="CF72" t="e">
        <f ca="1"/>
        <v>#N/A</v>
      </c>
      <c r="CG72" t="e">
        <f ca="1"/>
        <v>#N/A</v>
      </c>
      <c r="CH72" t="e">
        <f ca="1"/>
        <v>#N/A</v>
      </c>
      <c r="CI72" t="e">
        <f ca="1"/>
        <v>#N/A</v>
      </c>
      <c r="CJ72" t="e">
        <f ca="1"/>
        <v>#N/A</v>
      </c>
      <c r="CK72" t="e">
        <f ca="1"/>
        <v>#N/A</v>
      </c>
      <c r="CL72" t="e">
        <f ca="1"/>
        <v>#N/A</v>
      </c>
      <c r="CM72" t="e">
        <f ca="1"/>
        <v>#N/A</v>
      </c>
      <c r="CN72" t="e">
        <f ca="1"/>
        <v>#N/A</v>
      </c>
    </row>
    <row r="73" spans="2:92" x14ac:dyDescent="0.25">
      <c r="B73">
        <f ca="1"/>
        <v>66</v>
      </c>
      <c r="C73" s="37">
        <f ca="1"/>
        <v>1133834.1387663865</v>
      </c>
      <c r="D73" s="37">
        <f ca="1"/>
        <v>1074608.0627759132</v>
      </c>
      <c r="E73" s="35">
        <f ca="1"/>
        <v>37762.586377374093</v>
      </c>
      <c r="F73" s="35">
        <f ca="1"/>
        <v>0</v>
      </c>
      <c r="G73" s="35">
        <f ca="1"/>
        <v>12878.093767860038</v>
      </c>
      <c r="H73" s="35">
        <f ca="1"/>
        <v>0</v>
      </c>
      <c r="I73" s="35">
        <f ca="1"/>
        <v>21463.489613100061</v>
      </c>
      <c r="J73" s="35">
        <f ca="1"/>
        <v>47243.089115266077</v>
      </c>
      <c r="K73" s="35">
        <f ca="1"/>
        <v>5124202.6652672337</v>
      </c>
      <c r="L73" s="35">
        <f ca="1"/>
        <v>5124202.6652672337</v>
      </c>
      <c r="M73" s="35">
        <f ca="1"/>
        <v>3074521.5991603406</v>
      </c>
      <c r="N73" s="45">
        <f ca="1"/>
        <v>45853</v>
      </c>
      <c r="O73" s="45">
        <f ca="1"/>
        <v>45853</v>
      </c>
      <c r="P73" s="45">
        <f ca="1"/>
        <v>45884</v>
      </c>
      <c r="Q73" s="45">
        <f ca="1"/>
        <v>45884</v>
      </c>
      <c r="R73" s="37">
        <f ca="1"/>
        <v>0</v>
      </c>
      <c r="S73" s="37">
        <f ca="1"/>
        <v>0</v>
      </c>
      <c r="T73" s="41">
        <f ca="1"/>
        <v>0</v>
      </c>
      <c r="U73" s="42">
        <f ca="1"/>
        <v>0</v>
      </c>
      <c r="V73" s="42">
        <f ca="1"/>
        <v>0</v>
      </c>
      <c r="W73">
        <f ca="1"/>
        <v>0</v>
      </c>
      <c r="X73">
        <f ca="1"/>
        <v>0</v>
      </c>
      <c r="Y73" s="4">
        <f ca="1"/>
        <v>0</v>
      </c>
      <c r="Z73" s="3">
        <f ca="1"/>
        <v>5.5746709039285011E-2</v>
      </c>
      <c r="AA73" t="str">
        <f ca="1"/>
        <v>SEQUENTIAL</v>
      </c>
      <c r="AB73" s="3">
        <f ca="1"/>
        <v>8.611111111111111E-2</v>
      </c>
      <c r="AC73" s="3">
        <f ca="1"/>
        <v>5.7467090392850102E-3</v>
      </c>
      <c r="AD73" s="45">
        <f ca="1"/>
        <v>45853</v>
      </c>
      <c r="AE73" s="3">
        <f ca="1"/>
        <v>1.0003089987973011</v>
      </c>
      <c r="AF73" s="3">
        <f ca="1"/>
        <v>1.0003089987973011</v>
      </c>
      <c r="AG73">
        <f ca="1"/>
        <v>0</v>
      </c>
      <c r="AH73" s="35">
        <f ca="1"/>
        <v>0</v>
      </c>
      <c r="AI73" s="35">
        <f ca="1"/>
        <v>0</v>
      </c>
      <c r="AJ73" s="35">
        <f ca="1"/>
        <v>0</v>
      </c>
      <c r="AK73" s="36">
        <f ca="1"/>
        <v>45853</v>
      </c>
      <c r="AL73" s="36">
        <f ca="1"/>
        <v>45853</v>
      </c>
      <c r="AM73" s="36">
        <f ca="1"/>
        <v>45884</v>
      </c>
      <c r="AN73" s="36">
        <f ca="1"/>
        <v>45884</v>
      </c>
      <c r="AO73" s="37">
        <f ca="1"/>
        <v>0</v>
      </c>
      <c r="AP73" s="37">
        <f ca="1"/>
        <v>0</v>
      </c>
      <c r="AQ73" s="41">
        <f ca="1"/>
        <v>0</v>
      </c>
      <c r="AR73" s="42">
        <f ca="1"/>
        <v>0</v>
      </c>
      <c r="AS73" s="42">
        <f ca="1"/>
        <v>0</v>
      </c>
      <c r="AT73">
        <f ca="1"/>
        <v>0</v>
      </c>
      <c r="AU73">
        <f ca="1"/>
        <v>0</v>
      </c>
      <c r="AV73" s="4">
        <f ca="1"/>
        <v>0</v>
      </c>
      <c r="AW73" s="3">
        <f ca="1"/>
        <v>5.5746709039285011E-2</v>
      </c>
      <c r="AX73" t="str">
        <f ca="1"/>
        <v>SEQUENTIAL</v>
      </c>
      <c r="AY73" s="3">
        <f ca="1"/>
        <v>8.611111111111111E-2</v>
      </c>
      <c r="AZ73" s="3">
        <f ca="1"/>
        <v>5.7467090392850102E-3</v>
      </c>
      <c r="BA73" s="45">
        <f ca="1"/>
        <v>45853</v>
      </c>
      <c r="BB73" s="3">
        <f ca="1"/>
        <v>1.0003089987973011</v>
      </c>
      <c r="BC73" s="3">
        <f ca="1"/>
        <v>1.0003089987973011</v>
      </c>
      <c r="BD73">
        <f ca="1"/>
        <v>0</v>
      </c>
      <c r="BE73" s="4">
        <f ca="1"/>
        <v>0</v>
      </c>
      <c r="BF73" s="4">
        <f ca="1"/>
        <v>0</v>
      </c>
      <c r="BG73" s="4">
        <f ca="1"/>
        <v>0</v>
      </c>
      <c r="BH73" s="45">
        <f ca="1"/>
        <v>45853</v>
      </c>
      <c r="BI73" s="45">
        <f ca="1"/>
        <v>45853</v>
      </c>
      <c r="BJ73" s="45">
        <f ca="1"/>
        <v>45884</v>
      </c>
      <c r="BK73" s="45">
        <f ca="1"/>
        <v>45884</v>
      </c>
      <c r="BL73" s="37">
        <f ca="1"/>
        <v>0</v>
      </c>
      <c r="BM73" s="37">
        <f ca="1"/>
        <v>0</v>
      </c>
      <c r="BN73" s="40">
        <f ca="1"/>
        <v>0</v>
      </c>
      <c r="BO73" s="42">
        <f ca="1"/>
        <v>0</v>
      </c>
      <c r="BP73" s="42">
        <f ca="1"/>
        <v>0</v>
      </c>
      <c r="BQ73">
        <f ca="1"/>
        <v>0</v>
      </c>
      <c r="BR73">
        <f ca="1"/>
        <v>0</v>
      </c>
      <c r="BS73" s="4">
        <f ca="1"/>
        <v>0</v>
      </c>
      <c r="BT73" s="3">
        <f ca="1"/>
        <v>5.5746709039285011E-2</v>
      </c>
      <c r="BU73" t="str">
        <f ca="1"/>
        <v>SEQUENTIAL</v>
      </c>
      <c r="BV73" s="3">
        <f ca="1"/>
        <v>8.611111111111111E-2</v>
      </c>
      <c r="BW73" s="3">
        <f ca="1"/>
        <v>5.7467090392850102E-3</v>
      </c>
      <c r="BX73" s="45">
        <f ca="1"/>
        <v>45853</v>
      </c>
      <c r="BY73" s="3">
        <f ca="1"/>
        <v>1.0003089987973011</v>
      </c>
      <c r="BZ73" s="3">
        <f ca="1"/>
        <v>1.0003089987973011</v>
      </c>
      <c r="CA73">
        <f ca="1"/>
        <v>0</v>
      </c>
      <c r="CB73" s="4">
        <f ca="1"/>
        <v>0</v>
      </c>
      <c r="CC73" s="4">
        <f ca="1"/>
        <v>0</v>
      </c>
      <c r="CD73" s="4">
        <f ca="1"/>
        <v>0</v>
      </c>
      <c r="CE73" t="e">
        <f ca="1"/>
        <v>#N/A</v>
      </c>
      <c r="CF73" t="e">
        <f ca="1"/>
        <v>#N/A</v>
      </c>
      <c r="CG73" t="e">
        <f ca="1"/>
        <v>#N/A</v>
      </c>
      <c r="CH73" t="e">
        <f ca="1"/>
        <v>#N/A</v>
      </c>
      <c r="CI73" t="e">
        <f ca="1"/>
        <v>#N/A</v>
      </c>
      <c r="CJ73" t="e">
        <f ca="1"/>
        <v>#N/A</v>
      </c>
      <c r="CK73" t="e">
        <f ca="1"/>
        <v>#N/A</v>
      </c>
      <c r="CL73" t="e">
        <f ca="1"/>
        <v>#N/A</v>
      </c>
      <c r="CM73" t="e">
        <f ca="1"/>
        <v>#N/A</v>
      </c>
      <c r="CN73" t="e">
        <f ca="1"/>
        <v>#N/A</v>
      </c>
    </row>
    <row r="74" spans="2:92" x14ac:dyDescent="0.25">
      <c r="B74">
        <f ca="1"/>
        <v>67</v>
      </c>
      <c r="C74" s="37">
        <f ca="1"/>
        <v>1074608.0627759132</v>
      </c>
      <c r="D74" s="37">
        <f ca="1"/>
        <v>1016283.8025268061</v>
      </c>
      <c r="E74" s="35">
        <f ca="1"/>
        <v>37981.920743753806</v>
      </c>
      <c r="F74" s="35">
        <f ca="1"/>
        <v>0</v>
      </c>
      <c r="G74" s="35">
        <f ca="1"/>
        <v>12205.403703211281</v>
      </c>
      <c r="H74" s="35">
        <f ca="1"/>
        <v>0</v>
      </c>
      <c r="I74" s="35">
        <f ca="1"/>
        <v>20342.339505352131</v>
      </c>
      <c r="J74" s="35">
        <f ca="1"/>
        <v>44775.335948996319</v>
      </c>
      <c r="K74" s="35">
        <f ca="1"/>
        <v>5144545.0047725858</v>
      </c>
      <c r="L74" s="35">
        <f ca="1"/>
        <v>5144545.0047725858</v>
      </c>
      <c r="M74" s="35">
        <f ca="1"/>
        <v>3086727.002863552</v>
      </c>
      <c r="N74" s="45">
        <f ca="1"/>
        <v>45884</v>
      </c>
      <c r="O74" s="45">
        <f ca="1"/>
        <v>45884</v>
      </c>
      <c r="P74" s="45">
        <f ca="1"/>
        <v>45915</v>
      </c>
      <c r="Q74" s="45">
        <f ca="1"/>
        <v>45915</v>
      </c>
      <c r="R74" s="37">
        <f ca="1"/>
        <v>0</v>
      </c>
      <c r="S74" s="37">
        <f ca="1"/>
        <v>0</v>
      </c>
      <c r="T74" s="41">
        <f ca="1"/>
        <v>0</v>
      </c>
      <c r="U74" s="42">
        <f ca="1"/>
        <v>0</v>
      </c>
      <c r="V74" s="42">
        <f ca="1"/>
        <v>0</v>
      </c>
      <c r="W74">
        <f ca="1"/>
        <v>0</v>
      </c>
      <c r="X74">
        <f ca="1"/>
        <v>0</v>
      </c>
      <c r="Y74" s="4">
        <f ca="1"/>
        <v>0</v>
      </c>
      <c r="Z74" s="3">
        <f ca="1"/>
        <v>5.5932434857590856E-2</v>
      </c>
      <c r="AA74" t="str">
        <f ca="1"/>
        <v>SEQUENTIAL</v>
      </c>
      <c r="AB74" s="3">
        <f ca="1"/>
        <v>8.611111111111111E-2</v>
      </c>
      <c r="AC74" s="3">
        <f ca="1"/>
        <v>5.9324348575908511E-3</v>
      </c>
      <c r="AD74" s="45">
        <f ca="1"/>
        <v>45884</v>
      </c>
      <c r="AE74" s="3">
        <f ca="1"/>
        <v>0.99981417408279905</v>
      </c>
      <c r="AF74" s="3">
        <f ca="1"/>
        <v>0.99981417408279905</v>
      </c>
      <c r="AG74">
        <f ca="1"/>
        <v>0</v>
      </c>
      <c r="AH74" s="35">
        <f ca="1"/>
        <v>0</v>
      </c>
      <c r="AI74" s="35">
        <f ca="1"/>
        <v>0</v>
      </c>
      <c r="AJ74" s="35">
        <f ca="1"/>
        <v>0</v>
      </c>
      <c r="AK74" s="36">
        <f ca="1"/>
        <v>45884</v>
      </c>
      <c r="AL74" s="36">
        <f ca="1"/>
        <v>45884</v>
      </c>
      <c r="AM74" s="36">
        <f ca="1"/>
        <v>45915</v>
      </c>
      <c r="AN74" s="36">
        <f ca="1"/>
        <v>45915</v>
      </c>
      <c r="AO74" s="37">
        <f ca="1"/>
        <v>0</v>
      </c>
      <c r="AP74" s="37">
        <f ca="1"/>
        <v>0</v>
      </c>
      <c r="AQ74" s="41">
        <f ca="1"/>
        <v>0</v>
      </c>
      <c r="AR74" s="42">
        <f ca="1"/>
        <v>0</v>
      </c>
      <c r="AS74" s="42">
        <f ca="1"/>
        <v>0</v>
      </c>
      <c r="AT74">
        <f ca="1"/>
        <v>0</v>
      </c>
      <c r="AU74">
        <f ca="1"/>
        <v>0</v>
      </c>
      <c r="AV74" s="4">
        <f ca="1"/>
        <v>0</v>
      </c>
      <c r="AW74" s="3">
        <f ca="1"/>
        <v>5.5932434857590856E-2</v>
      </c>
      <c r="AX74" t="str">
        <f ca="1"/>
        <v>SEQUENTIAL</v>
      </c>
      <c r="AY74" s="3">
        <f ca="1"/>
        <v>8.611111111111111E-2</v>
      </c>
      <c r="AZ74" s="3">
        <f ca="1"/>
        <v>5.9324348575908511E-3</v>
      </c>
      <c r="BA74" s="45">
        <f ca="1"/>
        <v>45884</v>
      </c>
      <c r="BB74" s="3">
        <f ca="1"/>
        <v>0.99981417408279905</v>
      </c>
      <c r="BC74" s="3">
        <f ca="1"/>
        <v>0.99981417408279905</v>
      </c>
      <c r="BD74">
        <f ca="1"/>
        <v>0</v>
      </c>
      <c r="BE74" s="4">
        <f ca="1"/>
        <v>0</v>
      </c>
      <c r="BF74" s="4">
        <f ca="1"/>
        <v>0</v>
      </c>
      <c r="BG74" s="4">
        <f ca="1"/>
        <v>0</v>
      </c>
      <c r="BH74" s="45">
        <f ca="1"/>
        <v>45884</v>
      </c>
      <c r="BI74" s="45">
        <f ca="1"/>
        <v>45884</v>
      </c>
      <c r="BJ74" s="45">
        <f ca="1"/>
        <v>45915</v>
      </c>
      <c r="BK74" s="45">
        <f ca="1"/>
        <v>45915</v>
      </c>
      <c r="BL74" s="37">
        <f ca="1"/>
        <v>0</v>
      </c>
      <c r="BM74" s="37">
        <f ca="1"/>
        <v>0</v>
      </c>
      <c r="BN74" s="40">
        <f ca="1"/>
        <v>0</v>
      </c>
      <c r="BO74" s="42">
        <f ca="1"/>
        <v>0</v>
      </c>
      <c r="BP74" s="42">
        <f ca="1"/>
        <v>0</v>
      </c>
      <c r="BQ74">
        <f ca="1"/>
        <v>0</v>
      </c>
      <c r="BR74">
        <f ca="1"/>
        <v>0</v>
      </c>
      <c r="BS74" s="4">
        <f ca="1"/>
        <v>0</v>
      </c>
      <c r="BT74" s="3">
        <f ca="1"/>
        <v>5.5932434857590856E-2</v>
      </c>
      <c r="BU74" t="str">
        <f ca="1"/>
        <v>SEQUENTIAL</v>
      </c>
      <c r="BV74" s="3">
        <f ca="1"/>
        <v>8.611111111111111E-2</v>
      </c>
      <c r="BW74" s="3">
        <f ca="1"/>
        <v>5.9324348575908511E-3</v>
      </c>
      <c r="BX74" s="45">
        <f ca="1"/>
        <v>45884</v>
      </c>
      <c r="BY74" s="3">
        <f ca="1"/>
        <v>0.99981417408279905</v>
      </c>
      <c r="BZ74" s="3">
        <f ca="1"/>
        <v>0.99981417408279905</v>
      </c>
      <c r="CA74">
        <f ca="1"/>
        <v>0</v>
      </c>
      <c r="CB74" s="4">
        <f ca="1"/>
        <v>0</v>
      </c>
      <c r="CC74" s="4">
        <f ca="1"/>
        <v>0</v>
      </c>
      <c r="CD74" s="4">
        <f ca="1"/>
        <v>0</v>
      </c>
      <c r="CE74" t="e">
        <f ca="1"/>
        <v>#N/A</v>
      </c>
      <c r="CF74" t="e">
        <f ca="1"/>
        <v>#N/A</v>
      </c>
      <c r="CG74" t="e">
        <f ca="1"/>
        <v>#N/A</v>
      </c>
      <c r="CH74" t="e">
        <f ca="1"/>
        <v>#N/A</v>
      </c>
      <c r="CI74" t="e">
        <f ca="1"/>
        <v>#N/A</v>
      </c>
      <c r="CJ74" t="e">
        <f ca="1"/>
        <v>#N/A</v>
      </c>
      <c r="CK74" t="e">
        <f ca="1"/>
        <v>#N/A</v>
      </c>
      <c r="CL74" t="e">
        <f ca="1"/>
        <v>#N/A</v>
      </c>
      <c r="CM74" t="e">
        <f ca="1"/>
        <v>#N/A</v>
      </c>
      <c r="CN74" t="e">
        <f ca="1"/>
        <v>#N/A</v>
      </c>
    </row>
    <row r="75" spans="2:92" x14ac:dyDescent="0.25">
      <c r="B75">
        <f ca="1"/>
        <v>68</v>
      </c>
      <c r="C75" s="37">
        <f ca="1"/>
        <v>1016283.8025268061</v>
      </c>
      <c r="D75" s="37">
        <f ca="1"/>
        <v>961511.2672081748</v>
      </c>
      <c r="E75" s="35">
        <f ca="1"/>
        <v>35534.274541594059</v>
      </c>
      <c r="F75" s="35">
        <f ca="1"/>
        <v>0</v>
      </c>
      <c r="G75" s="35">
        <f ca="1"/>
        <v>11542.956466222753</v>
      </c>
      <c r="H75" s="35">
        <f ca="1"/>
        <v>0</v>
      </c>
      <c r="I75" s="35">
        <f ca="1"/>
        <v>19238.260777037925</v>
      </c>
      <c r="J75" s="35">
        <f ca="1"/>
        <v>42345.15843861692</v>
      </c>
      <c r="K75" s="35">
        <f ca="1"/>
        <v>5163783.2655496234</v>
      </c>
      <c r="L75" s="35">
        <f ca="1"/>
        <v>5163783.2655496234</v>
      </c>
      <c r="M75" s="35">
        <f ca="1"/>
        <v>3098269.9593297746</v>
      </c>
      <c r="N75" s="45">
        <f ca="1"/>
        <v>45915</v>
      </c>
      <c r="O75" s="45">
        <f ca="1"/>
        <v>45915</v>
      </c>
      <c r="P75" s="45">
        <f ca="1"/>
        <v>45945</v>
      </c>
      <c r="Q75" s="45">
        <f ca="1"/>
        <v>45945</v>
      </c>
      <c r="R75" s="37">
        <f ca="1"/>
        <v>0</v>
      </c>
      <c r="S75" s="37">
        <f ca="1"/>
        <v>0</v>
      </c>
      <c r="T75" s="41">
        <f ca="1"/>
        <v>0</v>
      </c>
      <c r="U75" s="42">
        <f ca="1"/>
        <v>0</v>
      </c>
      <c r="V75" s="42">
        <f ca="1"/>
        <v>0</v>
      </c>
      <c r="W75">
        <f ca="1"/>
        <v>0</v>
      </c>
      <c r="X75">
        <f ca="1"/>
        <v>0</v>
      </c>
      <c r="Y75" s="4">
        <f ca="1"/>
        <v>0</v>
      </c>
      <c r="Z75" s="3">
        <f ca="1"/>
        <v>5.6116793477698587E-2</v>
      </c>
      <c r="AA75" t="str">
        <f ca="1"/>
        <v>SEQUENTIAL</v>
      </c>
      <c r="AB75" s="3">
        <f ca="1"/>
        <v>8.3333333333333329E-2</v>
      </c>
      <c r="AC75" s="3">
        <f ca="1"/>
        <v>6.1167934776985879E-3</v>
      </c>
      <c r="AD75" s="45">
        <f ca="1"/>
        <v>45915</v>
      </c>
      <c r="AE75" s="3">
        <f ca="1"/>
        <v>0.99932033988616853</v>
      </c>
      <c r="AF75" s="3">
        <f ca="1"/>
        <v>0.99932033988616853</v>
      </c>
      <c r="AG75">
        <f ca="1"/>
        <v>0</v>
      </c>
      <c r="AH75" s="35">
        <f ca="1"/>
        <v>0</v>
      </c>
      <c r="AI75" s="35">
        <f ca="1"/>
        <v>0</v>
      </c>
      <c r="AJ75" s="35">
        <f ca="1"/>
        <v>0</v>
      </c>
      <c r="AK75" s="36">
        <f ca="1"/>
        <v>45915</v>
      </c>
      <c r="AL75" s="36">
        <f ca="1"/>
        <v>45915</v>
      </c>
      <c r="AM75" s="36">
        <f ca="1"/>
        <v>45945</v>
      </c>
      <c r="AN75" s="36">
        <f ca="1"/>
        <v>45945</v>
      </c>
      <c r="AO75" s="37">
        <f ca="1"/>
        <v>0</v>
      </c>
      <c r="AP75" s="37">
        <f ca="1"/>
        <v>0</v>
      </c>
      <c r="AQ75" s="41">
        <f ca="1"/>
        <v>0</v>
      </c>
      <c r="AR75" s="42">
        <f ca="1"/>
        <v>0</v>
      </c>
      <c r="AS75" s="42">
        <f ca="1"/>
        <v>0</v>
      </c>
      <c r="AT75">
        <f ca="1"/>
        <v>0</v>
      </c>
      <c r="AU75">
        <f ca="1"/>
        <v>0</v>
      </c>
      <c r="AV75" s="4">
        <f ca="1"/>
        <v>0</v>
      </c>
      <c r="AW75" s="3">
        <f ca="1"/>
        <v>5.6116793477698587E-2</v>
      </c>
      <c r="AX75" t="str">
        <f ca="1"/>
        <v>SEQUENTIAL</v>
      </c>
      <c r="AY75" s="3">
        <f ca="1"/>
        <v>8.3333333333333329E-2</v>
      </c>
      <c r="AZ75" s="3">
        <f ca="1"/>
        <v>6.1167934776985879E-3</v>
      </c>
      <c r="BA75" s="45">
        <f ca="1"/>
        <v>45915</v>
      </c>
      <c r="BB75" s="3">
        <f ca="1"/>
        <v>0.99932033988616853</v>
      </c>
      <c r="BC75" s="3">
        <f ca="1"/>
        <v>0.99932033988616853</v>
      </c>
      <c r="BD75">
        <f ca="1"/>
        <v>0</v>
      </c>
      <c r="BE75" s="4">
        <f ca="1"/>
        <v>0</v>
      </c>
      <c r="BF75" s="4">
        <f ca="1"/>
        <v>0</v>
      </c>
      <c r="BG75" s="4">
        <f ca="1"/>
        <v>0</v>
      </c>
      <c r="BH75" s="45">
        <f ca="1"/>
        <v>45915</v>
      </c>
      <c r="BI75" s="45">
        <f ca="1"/>
        <v>45915</v>
      </c>
      <c r="BJ75" s="45">
        <f ca="1"/>
        <v>45945</v>
      </c>
      <c r="BK75" s="45">
        <f ca="1"/>
        <v>45945</v>
      </c>
      <c r="BL75" s="37">
        <f ca="1"/>
        <v>0</v>
      </c>
      <c r="BM75" s="37">
        <f ca="1"/>
        <v>0</v>
      </c>
      <c r="BN75" s="40">
        <f ca="1"/>
        <v>0</v>
      </c>
      <c r="BO75" s="42">
        <f ca="1"/>
        <v>0</v>
      </c>
      <c r="BP75" s="42">
        <f ca="1"/>
        <v>0</v>
      </c>
      <c r="BQ75">
        <f ca="1"/>
        <v>0</v>
      </c>
      <c r="BR75">
        <f ca="1"/>
        <v>0</v>
      </c>
      <c r="BS75" s="4">
        <f ca="1"/>
        <v>0</v>
      </c>
      <c r="BT75" s="3">
        <f ca="1"/>
        <v>5.6116793477698587E-2</v>
      </c>
      <c r="BU75" t="str">
        <f ca="1"/>
        <v>SEQUENTIAL</v>
      </c>
      <c r="BV75" s="3">
        <f ca="1"/>
        <v>8.3333333333333329E-2</v>
      </c>
      <c r="BW75" s="3">
        <f ca="1"/>
        <v>6.1167934776985879E-3</v>
      </c>
      <c r="BX75" s="45">
        <f ca="1"/>
        <v>45915</v>
      </c>
      <c r="BY75" s="3">
        <f ca="1"/>
        <v>0.99932033988616853</v>
      </c>
      <c r="BZ75" s="3">
        <f ca="1"/>
        <v>0.99932033988616853</v>
      </c>
      <c r="CA75">
        <f ca="1"/>
        <v>0</v>
      </c>
      <c r="CB75" s="4">
        <f ca="1"/>
        <v>0</v>
      </c>
      <c r="CC75" s="4">
        <f ca="1"/>
        <v>0</v>
      </c>
      <c r="CD75" s="4">
        <f ca="1"/>
        <v>0</v>
      </c>
      <c r="CE75" t="e">
        <f ca="1"/>
        <v>#N/A</v>
      </c>
      <c r="CF75" t="e">
        <f ca="1"/>
        <v>#N/A</v>
      </c>
      <c r="CG75" t="e">
        <f ca="1"/>
        <v>#N/A</v>
      </c>
      <c r="CH75" t="e">
        <f ca="1"/>
        <v>#N/A</v>
      </c>
      <c r="CI75" t="e">
        <f ca="1"/>
        <v>#N/A</v>
      </c>
      <c r="CJ75" t="e">
        <f ca="1"/>
        <v>#N/A</v>
      </c>
      <c r="CK75" t="e">
        <f ca="1"/>
        <v>#N/A</v>
      </c>
      <c r="CL75" t="e">
        <f ca="1"/>
        <v>#N/A</v>
      </c>
      <c r="CM75" t="e">
        <f ca="1"/>
        <v>#N/A</v>
      </c>
      <c r="CN75" t="e">
        <f ca="1"/>
        <v>#N/A</v>
      </c>
    </row>
    <row r="76" spans="2:92" x14ac:dyDescent="0.25">
      <c r="B76">
        <f ca="1"/>
        <v>69</v>
      </c>
      <c r="C76" s="37">
        <f ca="1"/>
        <v>961511.2672081748</v>
      </c>
      <c r="D76" s="37">
        <f ca="1"/>
        <v>911520.09334765736</v>
      </c>
      <c r="E76" s="35">
        <f ca="1"/>
        <v>31789.75762952026</v>
      </c>
      <c r="F76" s="35">
        <f ca="1"/>
        <v>0</v>
      </c>
      <c r="G76" s="35">
        <f ca="1"/>
        <v>10920.849738598366</v>
      </c>
      <c r="H76" s="35">
        <f ca="1"/>
        <v>0</v>
      </c>
      <c r="I76" s="35">
        <f ca="1"/>
        <v>18201.416230997285</v>
      </c>
      <c r="J76" s="35">
        <f ca="1"/>
        <v>40062.969467007264</v>
      </c>
      <c r="K76" s="35">
        <f ca="1"/>
        <v>5181984.6817806205</v>
      </c>
      <c r="L76" s="35">
        <f ca="1"/>
        <v>5181984.6817806205</v>
      </c>
      <c r="M76" s="35">
        <f ca="1"/>
        <v>3109190.8090683729</v>
      </c>
      <c r="N76" s="45">
        <f ca="1"/>
        <v>45945</v>
      </c>
      <c r="O76" s="45">
        <f ca="1"/>
        <v>45945</v>
      </c>
      <c r="P76" s="45">
        <f ca="1"/>
        <v>45978</v>
      </c>
      <c r="Q76" s="45">
        <f ca="1"/>
        <v>45978</v>
      </c>
      <c r="R76" s="37">
        <f ca="1"/>
        <v>0</v>
      </c>
      <c r="S76" s="37">
        <f ca="1"/>
        <v>0</v>
      </c>
      <c r="T76" s="41">
        <f ca="1"/>
        <v>0</v>
      </c>
      <c r="U76" s="42">
        <f ca="1"/>
        <v>0</v>
      </c>
      <c r="V76" s="42">
        <f ca="1"/>
        <v>0</v>
      </c>
      <c r="W76">
        <f ca="1"/>
        <v>0</v>
      </c>
      <c r="X76">
        <f ca="1"/>
        <v>0</v>
      </c>
      <c r="Y76" s="4">
        <f ca="1"/>
        <v>0</v>
      </c>
      <c r="Z76" s="3">
        <f ca="1"/>
        <v>5.6293368567282905E-2</v>
      </c>
      <c r="AA76" t="str">
        <f ca="1"/>
        <v>SEQUENTIAL</v>
      </c>
      <c r="AB76" s="3">
        <f ca="1"/>
        <v>9.166666666666666E-2</v>
      </c>
      <c r="AC76" s="3">
        <f ca="1"/>
        <v>6.2933685672829026E-3</v>
      </c>
      <c r="AD76" s="45">
        <f ca="1"/>
        <v>45945</v>
      </c>
      <c r="AE76" s="3">
        <f ca="1"/>
        <v>0.99876031780307506</v>
      </c>
      <c r="AF76" s="3">
        <f ca="1"/>
        <v>0.99876031780307506</v>
      </c>
      <c r="AG76">
        <f ca="1"/>
        <v>0</v>
      </c>
      <c r="AH76" s="35">
        <f ca="1"/>
        <v>0</v>
      </c>
      <c r="AI76" s="35">
        <f ca="1"/>
        <v>0</v>
      </c>
      <c r="AJ76" s="35">
        <f ca="1"/>
        <v>0</v>
      </c>
      <c r="AK76" s="36">
        <f ca="1"/>
        <v>45945</v>
      </c>
      <c r="AL76" s="36">
        <f ca="1"/>
        <v>45945</v>
      </c>
      <c r="AM76" s="36">
        <f ca="1"/>
        <v>45978</v>
      </c>
      <c r="AN76" s="36">
        <f ca="1"/>
        <v>45978</v>
      </c>
      <c r="AO76" s="37">
        <f ca="1"/>
        <v>0</v>
      </c>
      <c r="AP76" s="37">
        <f ca="1"/>
        <v>0</v>
      </c>
      <c r="AQ76" s="41">
        <f ca="1"/>
        <v>0</v>
      </c>
      <c r="AR76" s="42">
        <f ca="1"/>
        <v>0</v>
      </c>
      <c r="AS76" s="42">
        <f ca="1"/>
        <v>0</v>
      </c>
      <c r="AT76">
        <f ca="1"/>
        <v>0</v>
      </c>
      <c r="AU76">
        <f ca="1"/>
        <v>0</v>
      </c>
      <c r="AV76" s="4">
        <f ca="1"/>
        <v>0</v>
      </c>
      <c r="AW76" s="3">
        <f ca="1"/>
        <v>5.6293368567282905E-2</v>
      </c>
      <c r="AX76" t="str">
        <f ca="1"/>
        <v>SEQUENTIAL</v>
      </c>
      <c r="AY76" s="3">
        <f ca="1"/>
        <v>9.166666666666666E-2</v>
      </c>
      <c r="AZ76" s="3">
        <f ca="1"/>
        <v>6.2933685672829026E-3</v>
      </c>
      <c r="BA76" s="45">
        <f ca="1"/>
        <v>45945</v>
      </c>
      <c r="BB76" s="3">
        <f ca="1"/>
        <v>0.99876031780307506</v>
      </c>
      <c r="BC76" s="3">
        <f ca="1"/>
        <v>0.99876031780307506</v>
      </c>
      <c r="BD76">
        <f ca="1"/>
        <v>0</v>
      </c>
      <c r="BE76" s="4">
        <f ca="1"/>
        <v>0</v>
      </c>
      <c r="BF76" s="4">
        <f ca="1"/>
        <v>0</v>
      </c>
      <c r="BG76" s="4">
        <f ca="1"/>
        <v>0</v>
      </c>
      <c r="BH76" s="45">
        <f ca="1"/>
        <v>45945</v>
      </c>
      <c r="BI76" s="45">
        <f ca="1"/>
        <v>45945</v>
      </c>
      <c r="BJ76" s="45">
        <f ca="1"/>
        <v>45978</v>
      </c>
      <c r="BK76" s="45">
        <f ca="1"/>
        <v>45978</v>
      </c>
      <c r="BL76" s="37">
        <f ca="1"/>
        <v>0</v>
      </c>
      <c r="BM76" s="37">
        <f ca="1"/>
        <v>0</v>
      </c>
      <c r="BN76" s="40">
        <f ca="1"/>
        <v>0</v>
      </c>
      <c r="BO76" s="42">
        <f ca="1"/>
        <v>0</v>
      </c>
      <c r="BP76" s="42">
        <f ca="1"/>
        <v>0</v>
      </c>
      <c r="BQ76">
        <f ca="1"/>
        <v>0</v>
      </c>
      <c r="BR76">
        <f ca="1"/>
        <v>0</v>
      </c>
      <c r="BS76" s="4">
        <f ca="1"/>
        <v>0</v>
      </c>
      <c r="BT76" s="3">
        <f ca="1"/>
        <v>5.6293368567282905E-2</v>
      </c>
      <c r="BU76" t="str">
        <f ca="1"/>
        <v>SEQUENTIAL</v>
      </c>
      <c r="BV76" s="3">
        <f ca="1"/>
        <v>9.166666666666666E-2</v>
      </c>
      <c r="BW76" s="3">
        <f ca="1"/>
        <v>6.2933685672829026E-3</v>
      </c>
      <c r="BX76" s="45">
        <f ca="1"/>
        <v>45945</v>
      </c>
      <c r="BY76" s="3">
        <f ca="1"/>
        <v>0.99876031780307506</v>
      </c>
      <c r="BZ76" s="3">
        <f ca="1"/>
        <v>0.99876031780307506</v>
      </c>
      <c r="CA76">
        <f ca="1"/>
        <v>0</v>
      </c>
      <c r="CB76" s="4">
        <f ca="1"/>
        <v>0</v>
      </c>
      <c r="CC76" s="4">
        <f ca="1"/>
        <v>0</v>
      </c>
      <c r="CD76" s="4">
        <f ca="1"/>
        <v>0</v>
      </c>
      <c r="CE76" t="e">
        <f ca="1"/>
        <v>#N/A</v>
      </c>
      <c r="CF76" t="e">
        <f ca="1"/>
        <v>#N/A</v>
      </c>
      <c r="CG76" t="e">
        <f ca="1"/>
        <v>#N/A</v>
      </c>
      <c r="CH76" t="e">
        <f ca="1"/>
        <v>#N/A</v>
      </c>
      <c r="CI76" t="e">
        <f ca="1"/>
        <v>#N/A</v>
      </c>
      <c r="CJ76" t="e">
        <f ca="1"/>
        <v>#N/A</v>
      </c>
      <c r="CK76" t="e">
        <f ca="1"/>
        <v>#N/A</v>
      </c>
      <c r="CL76" t="e">
        <f ca="1"/>
        <v>#N/A</v>
      </c>
      <c r="CM76" t="e">
        <f ca="1"/>
        <v>#N/A</v>
      </c>
      <c r="CN76" t="e">
        <f ca="1"/>
        <v>#N/A</v>
      </c>
    </row>
    <row r="77" spans="2:92" x14ac:dyDescent="0.25">
      <c r="B77">
        <f ca="1"/>
        <v>70</v>
      </c>
      <c r="C77" s="37">
        <f ca="1"/>
        <v>911520.09334765736</v>
      </c>
      <c r="D77" s="37">
        <f ca="1"/>
        <v>862752.84240966593</v>
      </c>
      <c r="E77" s="35">
        <f ca="1"/>
        <v>31512.168041134737</v>
      </c>
      <c r="F77" s="35">
        <f ca="1"/>
        <v>0</v>
      </c>
      <c r="G77" s="35">
        <f ca="1"/>
        <v>10353.049738113654</v>
      </c>
      <c r="H77" s="35">
        <f ca="1"/>
        <v>0</v>
      </c>
      <c r="I77" s="35">
        <f ca="1"/>
        <v>17255.082896856085</v>
      </c>
      <c r="J77" s="35">
        <f ca="1"/>
        <v>37980.003889485706</v>
      </c>
      <c r="K77" s="35">
        <f ca="1"/>
        <v>5199239.7646774761</v>
      </c>
      <c r="L77" s="35">
        <f ca="1"/>
        <v>5199239.7646774761</v>
      </c>
      <c r="M77" s="35">
        <f ca="1"/>
        <v>3119543.8588064867</v>
      </c>
      <c r="N77" s="45">
        <f ca="1"/>
        <v>45978</v>
      </c>
      <c r="O77" s="45">
        <f ca="1"/>
        <v>45978</v>
      </c>
      <c r="P77" s="45">
        <f ca="1"/>
        <v>46006</v>
      </c>
      <c r="Q77" s="45">
        <f ca="1"/>
        <v>46006</v>
      </c>
      <c r="R77" s="37">
        <f ca="1"/>
        <v>0</v>
      </c>
      <c r="S77" s="37">
        <f ca="1"/>
        <v>0</v>
      </c>
      <c r="T77" s="41">
        <f ca="1"/>
        <v>0</v>
      </c>
      <c r="U77" s="42">
        <f ca="1"/>
        <v>0</v>
      </c>
      <c r="V77" s="42">
        <f ca="1"/>
        <v>0</v>
      </c>
      <c r="W77">
        <f ca="1"/>
        <v>0</v>
      </c>
      <c r="X77">
        <f ca="1"/>
        <v>0</v>
      </c>
      <c r="Y77" s="4">
        <f ca="1"/>
        <v>0</v>
      </c>
      <c r="Z77" s="3">
        <f ca="1"/>
        <v>5.648451051900652E-2</v>
      </c>
      <c r="AA77" t="str">
        <f ca="1"/>
        <v>SEQUENTIAL</v>
      </c>
      <c r="AB77" s="3">
        <f ca="1"/>
        <v>7.7777777777777779E-2</v>
      </c>
      <c r="AC77" s="3">
        <f ca="1"/>
        <v>6.4845105190065207E-3</v>
      </c>
      <c r="AD77" s="45">
        <f ca="1"/>
        <v>45978</v>
      </c>
      <c r="AE77" s="3">
        <f ca="1"/>
        <v>0.99827150441861989</v>
      </c>
      <c r="AF77" s="3">
        <f ca="1"/>
        <v>0.99827150441861989</v>
      </c>
      <c r="AG77">
        <f ca="1"/>
        <v>0</v>
      </c>
      <c r="AH77" s="35">
        <f ca="1"/>
        <v>0</v>
      </c>
      <c r="AI77" s="35">
        <f ca="1"/>
        <v>0</v>
      </c>
      <c r="AJ77" s="35">
        <f ca="1"/>
        <v>0</v>
      </c>
      <c r="AK77" s="36">
        <f ca="1"/>
        <v>45978</v>
      </c>
      <c r="AL77" s="36">
        <f ca="1"/>
        <v>45978</v>
      </c>
      <c r="AM77" s="36">
        <f ca="1"/>
        <v>46006</v>
      </c>
      <c r="AN77" s="36">
        <f ca="1"/>
        <v>46006</v>
      </c>
      <c r="AO77" s="37">
        <f ca="1"/>
        <v>0</v>
      </c>
      <c r="AP77" s="37">
        <f ca="1"/>
        <v>0</v>
      </c>
      <c r="AQ77" s="41">
        <f ca="1"/>
        <v>0</v>
      </c>
      <c r="AR77" s="42">
        <f ca="1"/>
        <v>0</v>
      </c>
      <c r="AS77" s="42">
        <f ca="1"/>
        <v>0</v>
      </c>
      <c r="AT77">
        <f ca="1"/>
        <v>0</v>
      </c>
      <c r="AU77">
        <f ca="1"/>
        <v>0</v>
      </c>
      <c r="AV77" s="4">
        <f ca="1"/>
        <v>0</v>
      </c>
      <c r="AW77" s="3">
        <f ca="1"/>
        <v>5.648451051900652E-2</v>
      </c>
      <c r="AX77" t="str">
        <f ca="1"/>
        <v>SEQUENTIAL</v>
      </c>
      <c r="AY77" s="3">
        <f ca="1"/>
        <v>7.7777777777777779E-2</v>
      </c>
      <c r="AZ77" s="3">
        <f ca="1"/>
        <v>6.4845105190065207E-3</v>
      </c>
      <c r="BA77" s="45">
        <f ca="1"/>
        <v>45978</v>
      </c>
      <c r="BB77" s="3">
        <f ca="1"/>
        <v>0.99827150441861989</v>
      </c>
      <c r="BC77" s="3">
        <f ca="1"/>
        <v>0.99827150441861989</v>
      </c>
      <c r="BD77">
        <f ca="1"/>
        <v>0</v>
      </c>
      <c r="BE77" s="4">
        <f ca="1"/>
        <v>0</v>
      </c>
      <c r="BF77" s="4">
        <f ca="1"/>
        <v>0</v>
      </c>
      <c r="BG77" s="4">
        <f ca="1"/>
        <v>0</v>
      </c>
      <c r="BH77" s="45">
        <f ca="1"/>
        <v>45978</v>
      </c>
      <c r="BI77" s="45">
        <f ca="1"/>
        <v>45978</v>
      </c>
      <c r="BJ77" s="45">
        <f ca="1"/>
        <v>46006</v>
      </c>
      <c r="BK77" s="45">
        <f ca="1"/>
        <v>46006</v>
      </c>
      <c r="BL77" s="37">
        <f ca="1"/>
        <v>0</v>
      </c>
      <c r="BM77" s="37">
        <f ca="1"/>
        <v>0</v>
      </c>
      <c r="BN77" s="40">
        <f ca="1"/>
        <v>0</v>
      </c>
      <c r="BO77" s="42">
        <f ca="1"/>
        <v>0</v>
      </c>
      <c r="BP77" s="42">
        <f ca="1"/>
        <v>0</v>
      </c>
      <c r="BQ77">
        <f ca="1"/>
        <v>0</v>
      </c>
      <c r="BR77">
        <f ca="1"/>
        <v>0</v>
      </c>
      <c r="BS77" s="4">
        <f ca="1"/>
        <v>0</v>
      </c>
      <c r="BT77" s="3">
        <f ca="1"/>
        <v>5.648451051900652E-2</v>
      </c>
      <c r="BU77" t="str">
        <f ca="1"/>
        <v>SEQUENTIAL</v>
      </c>
      <c r="BV77" s="3">
        <f ca="1"/>
        <v>7.7777777777777779E-2</v>
      </c>
      <c r="BW77" s="3">
        <f ca="1"/>
        <v>6.4845105190065207E-3</v>
      </c>
      <c r="BX77" s="45">
        <f ca="1"/>
        <v>45978</v>
      </c>
      <c r="BY77" s="3">
        <f ca="1"/>
        <v>0.99827150441861989</v>
      </c>
      <c r="BZ77" s="3">
        <f ca="1"/>
        <v>0.99827150441861989</v>
      </c>
      <c r="CA77">
        <f ca="1"/>
        <v>0</v>
      </c>
      <c r="CB77" s="4">
        <f ca="1"/>
        <v>0</v>
      </c>
      <c r="CC77" s="4">
        <f ca="1"/>
        <v>0</v>
      </c>
      <c r="CD77" s="4">
        <f ca="1"/>
        <v>0</v>
      </c>
      <c r="CE77" t="e">
        <f ca="1"/>
        <v>#N/A</v>
      </c>
      <c r="CF77" t="e">
        <f ca="1"/>
        <v>#N/A</v>
      </c>
      <c r="CG77" t="e">
        <f ca="1"/>
        <v>#N/A</v>
      </c>
      <c r="CH77" t="e">
        <f ca="1"/>
        <v>#N/A</v>
      </c>
      <c r="CI77" t="e">
        <f ca="1"/>
        <v>#N/A</v>
      </c>
      <c r="CJ77" t="e">
        <f ca="1"/>
        <v>#N/A</v>
      </c>
      <c r="CK77" t="e">
        <f ca="1"/>
        <v>#N/A</v>
      </c>
      <c r="CL77" t="e">
        <f ca="1"/>
        <v>#N/A</v>
      </c>
      <c r="CM77" t="e">
        <f ca="1"/>
        <v>#N/A</v>
      </c>
      <c r="CN77" t="e">
        <f ca="1"/>
        <v>#N/A</v>
      </c>
    </row>
    <row r="78" spans="2:92" x14ac:dyDescent="0.25">
      <c r="B78">
        <f ca="1"/>
        <v>71</v>
      </c>
      <c r="C78" s="37">
        <f ca="1"/>
        <v>862752.84240966593</v>
      </c>
      <c r="D78" s="37">
        <f ca="1"/>
        <v>815036.88167203369</v>
      </c>
      <c r="E78" s="35">
        <f ca="1"/>
        <v>31384.042303883711</v>
      </c>
      <c r="F78" s="35">
        <f ca="1"/>
        <v>0</v>
      </c>
      <c r="G78" s="35">
        <f ca="1"/>
        <v>9799.1510602492726</v>
      </c>
      <c r="H78" s="35">
        <f ca="1"/>
        <v>0</v>
      </c>
      <c r="I78" s="35">
        <f ca="1"/>
        <v>16331.918433748784</v>
      </c>
      <c r="J78" s="35">
        <f ca="1"/>
        <v>35948.035100402769</v>
      </c>
      <c r="K78" s="35">
        <f ca="1"/>
        <v>5215571.6831112253</v>
      </c>
      <c r="L78" s="35">
        <f ca="1"/>
        <v>5215571.6831112253</v>
      </c>
      <c r="M78" s="35">
        <f ca="1"/>
        <v>3129343.0098667359</v>
      </c>
      <c r="N78" s="45">
        <f ca="1"/>
        <v>46006</v>
      </c>
      <c r="O78" s="45">
        <f ca="1"/>
        <v>46006</v>
      </c>
      <c r="P78" s="45">
        <f ca="1"/>
        <v>46037</v>
      </c>
      <c r="Q78" s="45">
        <f ca="1"/>
        <v>46037</v>
      </c>
      <c r="R78" s="37">
        <f ca="1"/>
        <v>0</v>
      </c>
      <c r="S78" s="37">
        <f ca="1"/>
        <v>0</v>
      </c>
      <c r="T78" s="41">
        <f ca="1"/>
        <v>0</v>
      </c>
      <c r="U78" s="42">
        <f ca="1"/>
        <v>0</v>
      </c>
      <c r="V78" s="42">
        <f ca="1"/>
        <v>0</v>
      </c>
      <c r="W78">
        <f ca="1"/>
        <v>0</v>
      </c>
      <c r="X78">
        <f ca="1"/>
        <v>0</v>
      </c>
      <c r="Y78" s="4">
        <f ca="1"/>
        <v>0</v>
      </c>
      <c r="Z78" s="3">
        <f ca="1"/>
        <v>5.6643669654710807E-2</v>
      </c>
      <c r="AA78" t="str">
        <f ca="1"/>
        <v>SEQUENTIAL</v>
      </c>
      <c r="AB78" s="3">
        <f ca="1"/>
        <v>8.611111111111111E-2</v>
      </c>
      <c r="AC78" s="3">
        <f ca="1"/>
        <v>6.6436696547108069E-3</v>
      </c>
      <c r="AD78" s="45">
        <f ca="1"/>
        <v>46006</v>
      </c>
      <c r="AE78" s="3">
        <f ca="1"/>
        <v>0.99771588520250543</v>
      </c>
      <c r="AF78" s="3">
        <f ca="1"/>
        <v>0.99771588520250543</v>
      </c>
      <c r="AG78">
        <f ca="1"/>
        <v>0</v>
      </c>
      <c r="AH78" s="35">
        <f ca="1"/>
        <v>0</v>
      </c>
      <c r="AI78" s="35">
        <f ca="1"/>
        <v>0</v>
      </c>
      <c r="AJ78" s="35">
        <f ca="1"/>
        <v>0</v>
      </c>
      <c r="AK78" s="36">
        <f ca="1"/>
        <v>46006</v>
      </c>
      <c r="AL78" s="36">
        <f ca="1"/>
        <v>46006</v>
      </c>
      <c r="AM78" s="36">
        <f ca="1"/>
        <v>46037</v>
      </c>
      <c r="AN78" s="36">
        <f ca="1"/>
        <v>46037</v>
      </c>
      <c r="AO78" s="37">
        <f ca="1"/>
        <v>0</v>
      </c>
      <c r="AP78" s="37">
        <f ca="1"/>
        <v>0</v>
      </c>
      <c r="AQ78" s="41">
        <f ca="1"/>
        <v>0</v>
      </c>
      <c r="AR78" s="42">
        <f ca="1"/>
        <v>0</v>
      </c>
      <c r="AS78" s="42">
        <f ca="1"/>
        <v>0</v>
      </c>
      <c r="AT78">
        <f ca="1"/>
        <v>0</v>
      </c>
      <c r="AU78">
        <f ca="1"/>
        <v>0</v>
      </c>
      <c r="AV78" s="4">
        <f ca="1"/>
        <v>0</v>
      </c>
      <c r="AW78" s="3">
        <f ca="1"/>
        <v>5.6643669654710807E-2</v>
      </c>
      <c r="AX78" t="str">
        <f ca="1"/>
        <v>SEQUENTIAL</v>
      </c>
      <c r="AY78" s="3">
        <f ca="1"/>
        <v>8.611111111111111E-2</v>
      </c>
      <c r="AZ78" s="3">
        <f ca="1"/>
        <v>6.6436696547108069E-3</v>
      </c>
      <c r="BA78" s="45">
        <f ca="1"/>
        <v>46006</v>
      </c>
      <c r="BB78" s="3">
        <f ca="1"/>
        <v>0.99771588520250543</v>
      </c>
      <c r="BC78" s="3">
        <f ca="1"/>
        <v>0.99771588520250543</v>
      </c>
      <c r="BD78">
        <f ca="1"/>
        <v>0</v>
      </c>
      <c r="BE78" s="4">
        <f ca="1"/>
        <v>0</v>
      </c>
      <c r="BF78" s="4">
        <f ca="1"/>
        <v>0</v>
      </c>
      <c r="BG78" s="4">
        <f ca="1"/>
        <v>0</v>
      </c>
      <c r="BH78" s="45">
        <f ca="1"/>
        <v>46006</v>
      </c>
      <c r="BI78" s="45">
        <f ca="1"/>
        <v>46006</v>
      </c>
      <c r="BJ78" s="45">
        <f ca="1"/>
        <v>46037</v>
      </c>
      <c r="BK78" s="45">
        <f ca="1"/>
        <v>46037</v>
      </c>
      <c r="BL78" s="37">
        <f ca="1"/>
        <v>0</v>
      </c>
      <c r="BM78" s="37">
        <f ca="1"/>
        <v>0</v>
      </c>
      <c r="BN78" s="40">
        <f ca="1"/>
        <v>0</v>
      </c>
      <c r="BO78" s="42">
        <f ca="1"/>
        <v>0</v>
      </c>
      <c r="BP78" s="42">
        <f ca="1"/>
        <v>0</v>
      </c>
      <c r="BQ78">
        <f ca="1"/>
        <v>0</v>
      </c>
      <c r="BR78">
        <f ca="1"/>
        <v>0</v>
      </c>
      <c r="BS78" s="4">
        <f ca="1"/>
        <v>0</v>
      </c>
      <c r="BT78" s="3">
        <f ca="1"/>
        <v>5.6643669654710807E-2</v>
      </c>
      <c r="BU78" t="str">
        <f ca="1"/>
        <v>SEQUENTIAL</v>
      </c>
      <c r="BV78" s="3">
        <f ca="1"/>
        <v>8.611111111111111E-2</v>
      </c>
      <c r="BW78" s="3">
        <f ca="1"/>
        <v>6.6436696547108069E-3</v>
      </c>
      <c r="BX78" s="45">
        <f ca="1"/>
        <v>46006</v>
      </c>
      <c r="BY78" s="3">
        <f ca="1"/>
        <v>0.99771588520250543</v>
      </c>
      <c r="BZ78" s="3">
        <f ca="1"/>
        <v>0.99771588520250543</v>
      </c>
      <c r="CA78">
        <f ca="1"/>
        <v>0</v>
      </c>
      <c r="CB78" s="4">
        <f ca="1"/>
        <v>0</v>
      </c>
      <c r="CC78" s="4">
        <f ca="1"/>
        <v>0</v>
      </c>
      <c r="CD78" s="4">
        <f ca="1"/>
        <v>0</v>
      </c>
      <c r="CE78" t="e">
        <f ca="1"/>
        <v>#N/A</v>
      </c>
      <c r="CF78" t="e">
        <f ca="1"/>
        <v>#N/A</v>
      </c>
      <c r="CG78" t="e">
        <f ca="1"/>
        <v>#N/A</v>
      </c>
      <c r="CH78" t="e">
        <f ca="1"/>
        <v>#N/A</v>
      </c>
      <c r="CI78" t="e">
        <f ca="1"/>
        <v>#N/A</v>
      </c>
      <c r="CJ78" t="e">
        <f ca="1"/>
        <v>#N/A</v>
      </c>
      <c r="CK78" t="e">
        <f ca="1"/>
        <v>#N/A</v>
      </c>
      <c r="CL78" t="e">
        <f ca="1"/>
        <v>#N/A</v>
      </c>
      <c r="CM78" t="e">
        <f ca="1"/>
        <v>#N/A</v>
      </c>
      <c r="CN78" t="e">
        <f ca="1"/>
        <v>#N/A</v>
      </c>
    </row>
    <row r="79" spans="2:92" x14ac:dyDescent="0.25">
      <c r="B79">
        <f ca="1"/>
        <v>72</v>
      </c>
      <c r="C79" s="37">
        <f ca="1"/>
        <v>815036.88167203369</v>
      </c>
      <c r="D79" s="37">
        <f ca="1"/>
        <v>770669.2005899332</v>
      </c>
      <c r="E79" s="35">
        <f ca="1"/>
        <v>28939.026179281733</v>
      </c>
      <c r="F79" s="35">
        <f ca="1"/>
        <v>0</v>
      </c>
      <c r="G79" s="35">
        <f ca="1"/>
        <v>9257.1929416911807</v>
      </c>
      <c r="H79" s="35">
        <f ca="1"/>
        <v>0</v>
      </c>
      <c r="I79" s="35">
        <f ca="1"/>
        <v>15428.654902818633</v>
      </c>
      <c r="J79" s="35">
        <f ca="1"/>
        <v>33959.870069668061</v>
      </c>
      <c r="K79" s="35">
        <f ca="1"/>
        <v>5231000.3380140439</v>
      </c>
      <c r="L79" s="35">
        <f ca="1"/>
        <v>5231000.3380140439</v>
      </c>
      <c r="M79" s="35">
        <f ca="1"/>
        <v>3138600.2028084272</v>
      </c>
      <c r="N79" s="45">
        <f ca="1"/>
        <v>46037</v>
      </c>
      <c r="O79" s="45">
        <f ca="1"/>
        <v>46037</v>
      </c>
      <c r="P79" s="45">
        <f ca="1"/>
        <v>46069</v>
      </c>
      <c r="Q79" s="45">
        <f ca="1"/>
        <v>46069</v>
      </c>
      <c r="R79" s="37">
        <f ca="1"/>
        <v>0</v>
      </c>
      <c r="S79" s="37">
        <f ca="1"/>
        <v>0</v>
      </c>
      <c r="T79" s="41">
        <f ca="1"/>
        <v>0</v>
      </c>
      <c r="U79" s="42">
        <f ca="1"/>
        <v>0</v>
      </c>
      <c r="V79" s="42">
        <f ca="1"/>
        <v>0</v>
      </c>
      <c r="W79">
        <f ca="1"/>
        <v>0</v>
      </c>
      <c r="X79">
        <f ca="1"/>
        <v>0</v>
      </c>
      <c r="Y79" s="4">
        <f ca="1"/>
        <v>0</v>
      </c>
      <c r="Z79" s="3">
        <f ca="1"/>
        <v>5.6817733737848382E-2</v>
      </c>
      <c r="AA79" t="str">
        <f ca="1"/>
        <v>SEQUENTIAL</v>
      </c>
      <c r="AB79" s="3">
        <f ca="1"/>
        <v>8.8888888888888892E-2</v>
      </c>
      <c r="AC79" s="3">
        <f ca="1"/>
        <v>6.8177337378483764E-3</v>
      </c>
      <c r="AD79" s="45">
        <f ca="1"/>
        <v>46037</v>
      </c>
      <c r="AE79" s="3">
        <f ca="1"/>
        <v>0.99712662702069543</v>
      </c>
      <c r="AF79" s="3">
        <f ca="1"/>
        <v>0.99712662702069543</v>
      </c>
      <c r="AG79">
        <f ca="1"/>
        <v>0</v>
      </c>
      <c r="AH79" s="35">
        <f ca="1"/>
        <v>0</v>
      </c>
      <c r="AI79" s="35">
        <f ca="1"/>
        <v>0</v>
      </c>
      <c r="AJ79" s="35">
        <f ca="1"/>
        <v>0</v>
      </c>
      <c r="AK79" s="36">
        <f ca="1"/>
        <v>46037</v>
      </c>
      <c r="AL79" s="36">
        <f ca="1"/>
        <v>46037</v>
      </c>
      <c r="AM79" s="36">
        <f ca="1"/>
        <v>46069</v>
      </c>
      <c r="AN79" s="36">
        <f ca="1"/>
        <v>46069</v>
      </c>
      <c r="AO79" s="37">
        <f ca="1"/>
        <v>0</v>
      </c>
      <c r="AP79" s="37">
        <f ca="1"/>
        <v>0</v>
      </c>
      <c r="AQ79" s="41">
        <f ca="1"/>
        <v>0</v>
      </c>
      <c r="AR79" s="42">
        <f ca="1"/>
        <v>0</v>
      </c>
      <c r="AS79" s="42">
        <f ca="1"/>
        <v>0</v>
      </c>
      <c r="AT79">
        <f ca="1"/>
        <v>0</v>
      </c>
      <c r="AU79">
        <f ca="1"/>
        <v>0</v>
      </c>
      <c r="AV79" s="4">
        <f ca="1"/>
        <v>0</v>
      </c>
      <c r="AW79" s="3">
        <f ca="1"/>
        <v>5.6817733737848382E-2</v>
      </c>
      <c r="AX79" t="str">
        <f ca="1"/>
        <v>SEQUENTIAL</v>
      </c>
      <c r="AY79" s="3">
        <f ca="1"/>
        <v>8.8888888888888892E-2</v>
      </c>
      <c r="AZ79" s="3">
        <f ca="1"/>
        <v>6.8177337378483764E-3</v>
      </c>
      <c r="BA79" s="45">
        <f ca="1"/>
        <v>46037</v>
      </c>
      <c r="BB79" s="3">
        <f ca="1"/>
        <v>0.99712662702069543</v>
      </c>
      <c r="BC79" s="3">
        <f ca="1"/>
        <v>0.99712662702069543</v>
      </c>
      <c r="BD79">
        <f ca="1"/>
        <v>0</v>
      </c>
      <c r="BE79" s="4">
        <f ca="1"/>
        <v>0</v>
      </c>
      <c r="BF79" s="4">
        <f ca="1"/>
        <v>0</v>
      </c>
      <c r="BG79" s="4">
        <f ca="1"/>
        <v>0</v>
      </c>
      <c r="BH79" s="45">
        <f ca="1"/>
        <v>46037</v>
      </c>
      <c r="BI79" s="45">
        <f ca="1"/>
        <v>46037</v>
      </c>
      <c r="BJ79" s="45">
        <f ca="1"/>
        <v>46069</v>
      </c>
      <c r="BK79" s="45">
        <f ca="1"/>
        <v>46069</v>
      </c>
      <c r="BL79" s="37">
        <f ca="1"/>
        <v>0</v>
      </c>
      <c r="BM79" s="37">
        <f ca="1"/>
        <v>0</v>
      </c>
      <c r="BN79" s="40">
        <f ca="1"/>
        <v>0</v>
      </c>
      <c r="BO79" s="42">
        <f ca="1"/>
        <v>0</v>
      </c>
      <c r="BP79" s="42">
        <f ca="1"/>
        <v>0</v>
      </c>
      <c r="BQ79">
        <f ca="1"/>
        <v>0</v>
      </c>
      <c r="BR79">
        <f ca="1"/>
        <v>0</v>
      </c>
      <c r="BS79" s="4">
        <f ca="1"/>
        <v>0</v>
      </c>
      <c r="BT79" s="3">
        <f ca="1"/>
        <v>5.6817733737848382E-2</v>
      </c>
      <c r="BU79" t="str">
        <f ca="1"/>
        <v>SEQUENTIAL</v>
      </c>
      <c r="BV79" s="3">
        <f ca="1"/>
        <v>8.8888888888888892E-2</v>
      </c>
      <c r="BW79" s="3">
        <f ca="1"/>
        <v>6.8177337378483764E-3</v>
      </c>
      <c r="BX79" s="45">
        <f ca="1"/>
        <v>46037</v>
      </c>
      <c r="BY79" s="3">
        <f ca="1"/>
        <v>0.99712662702069543</v>
      </c>
      <c r="BZ79" s="3">
        <f ca="1"/>
        <v>0.99712662702069543</v>
      </c>
      <c r="CA79">
        <f ca="1"/>
        <v>0</v>
      </c>
      <c r="CB79" s="4">
        <f ca="1"/>
        <v>0</v>
      </c>
      <c r="CC79" s="4">
        <f ca="1"/>
        <v>0</v>
      </c>
      <c r="CD79" s="4">
        <f ca="1"/>
        <v>0</v>
      </c>
      <c r="CE79" t="e">
        <f ca="1"/>
        <v>#N/A</v>
      </c>
      <c r="CF79" t="e">
        <f ca="1"/>
        <v>#N/A</v>
      </c>
      <c r="CG79" t="e">
        <f ca="1"/>
        <v>#N/A</v>
      </c>
      <c r="CH79" t="e">
        <f ca="1"/>
        <v>#N/A</v>
      </c>
      <c r="CI79" t="e">
        <f ca="1"/>
        <v>#N/A</v>
      </c>
      <c r="CJ79" t="e">
        <f ca="1"/>
        <v>#N/A</v>
      </c>
      <c r="CK79" t="e">
        <f ca="1"/>
        <v>#N/A</v>
      </c>
      <c r="CL79" t="e">
        <f ca="1"/>
        <v>#N/A</v>
      </c>
      <c r="CM79" t="e">
        <f ca="1"/>
        <v>#N/A</v>
      </c>
      <c r="CN79" t="e">
        <f ca="1"/>
        <v>#N/A</v>
      </c>
    </row>
    <row r="80" spans="2:92" x14ac:dyDescent="0.25">
      <c r="B80">
        <f ca="1"/>
        <v>73</v>
      </c>
      <c r="C80" s="37">
        <f ca="1"/>
        <v>770669.2005899332</v>
      </c>
      <c r="D80" s="37">
        <f ca="1"/>
        <v>730619.09786808386</v>
      </c>
      <c r="E80" s="35">
        <f ca="1"/>
        <v>25461.328388423186</v>
      </c>
      <c r="F80" s="35">
        <f ca="1"/>
        <v>0</v>
      </c>
      <c r="G80" s="35">
        <f ca="1"/>
        <v>8753.2646000560908</v>
      </c>
      <c r="H80" s="35">
        <f ca="1"/>
        <v>0</v>
      </c>
      <c r="I80" s="35">
        <f ca="1"/>
        <v>14588.77433342682</v>
      </c>
      <c r="J80" s="35">
        <f ca="1"/>
        <v>32111.21669124722</v>
      </c>
      <c r="K80" s="35">
        <f ca="1"/>
        <v>5245589.1123474706</v>
      </c>
      <c r="L80" s="35">
        <f ca="1"/>
        <v>5245589.1123474706</v>
      </c>
      <c r="M80" s="35">
        <f ca="1"/>
        <v>3147353.4674084834</v>
      </c>
      <c r="N80" s="45">
        <f ca="1"/>
        <v>46069</v>
      </c>
      <c r="O80" s="45">
        <f ca="1"/>
        <v>46069</v>
      </c>
      <c r="P80" s="45">
        <f ca="1"/>
        <v>46097</v>
      </c>
      <c r="Q80" s="45">
        <f ca="1"/>
        <v>46097</v>
      </c>
      <c r="R80" s="37">
        <f ca="1"/>
        <v>0</v>
      </c>
      <c r="S80" s="37">
        <f ca="1"/>
        <v>0</v>
      </c>
      <c r="T80" s="41">
        <f ca="1"/>
        <v>0</v>
      </c>
      <c r="U80" s="42">
        <f ca="1"/>
        <v>0</v>
      </c>
      <c r="V80" s="42">
        <f ca="1"/>
        <v>0</v>
      </c>
      <c r="W80">
        <f ca="1"/>
        <v>0</v>
      </c>
      <c r="X80">
        <f ca="1"/>
        <v>0</v>
      </c>
      <c r="Y80" s="4">
        <f ca="1"/>
        <v>0</v>
      </c>
      <c r="Z80" s="3">
        <f ca="1"/>
        <v>5.699674447565125E-2</v>
      </c>
      <c r="AA80" t="str">
        <f ca="1"/>
        <v>SEQUENTIAL</v>
      </c>
      <c r="AB80" s="3">
        <f ca="1"/>
        <v>7.7777777777777779E-2</v>
      </c>
      <c r="AC80" s="3">
        <f ca="1"/>
        <v>6.9967444756512459E-3</v>
      </c>
      <c r="AD80" s="45">
        <f ca="1"/>
        <v>46069</v>
      </c>
      <c r="AE80" s="3">
        <f ca="1"/>
        <v>0.99659809043757386</v>
      </c>
      <c r="AF80" s="3">
        <f ca="1"/>
        <v>0.99659809043757386</v>
      </c>
      <c r="AG80">
        <f ca="1"/>
        <v>0</v>
      </c>
      <c r="AH80" s="35">
        <f ca="1"/>
        <v>0</v>
      </c>
      <c r="AI80" s="35">
        <f ca="1"/>
        <v>0</v>
      </c>
      <c r="AJ80" s="35">
        <f ca="1"/>
        <v>0</v>
      </c>
      <c r="AK80" s="36">
        <f ca="1"/>
        <v>46069</v>
      </c>
      <c r="AL80" s="36">
        <f ca="1"/>
        <v>46069</v>
      </c>
      <c r="AM80" s="36">
        <f ca="1"/>
        <v>46097</v>
      </c>
      <c r="AN80" s="36">
        <f ca="1"/>
        <v>46097</v>
      </c>
      <c r="AO80" s="37">
        <f ca="1"/>
        <v>0</v>
      </c>
      <c r="AP80" s="37">
        <f ca="1"/>
        <v>0</v>
      </c>
      <c r="AQ80" s="41">
        <f ca="1"/>
        <v>0</v>
      </c>
      <c r="AR80" s="42">
        <f ca="1"/>
        <v>0</v>
      </c>
      <c r="AS80" s="42">
        <f ca="1"/>
        <v>0</v>
      </c>
      <c r="AT80">
        <f ca="1"/>
        <v>0</v>
      </c>
      <c r="AU80">
        <f ca="1"/>
        <v>0</v>
      </c>
      <c r="AV80" s="4">
        <f ca="1"/>
        <v>0</v>
      </c>
      <c r="AW80" s="3">
        <f ca="1"/>
        <v>5.699674447565125E-2</v>
      </c>
      <c r="AX80" t="str">
        <f ca="1"/>
        <v>SEQUENTIAL</v>
      </c>
      <c r="AY80" s="3">
        <f ca="1"/>
        <v>7.7777777777777779E-2</v>
      </c>
      <c r="AZ80" s="3">
        <f ca="1"/>
        <v>6.9967444756512459E-3</v>
      </c>
      <c r="BA80" s="45">
        <f ca="1"/>
        <v>46069</v>
      </c>
      <c r="BB80" s="3">
        <f ca="1"/>
        <v>0.99659809043757386</v>
      </c>
      <c r="BC80" s="3">
        <f ca="1"/>
        <v>0.99659809043757386</v>
      </c>
      <c r="BD80">
        <f ca="1"/>
        <v>0</v>
      </c>
      <c r="BE80" s="4">
        <f ca="1"/>
        <v>0</v>
      </c>
      <c r="BF80" s="4">
        <f ca="1"/>
        <v>0</v>
      </c>
      <c r="BG80" s="4">
        <f ca="1"/>
        <v>0</v>
      </c>
      <c r="BH80" s="45">
        <f ca="1"/>
        <v>46069</v>
      </c>
      <c r="BI80" s="45">
        <f ca="1"/>
        <v>46069</v>
      </c>
      <c r="BJ80" s="45">
        <f ca="1"/>
        <v>46097</v>
      </c>
      <c r="BK80" s="45">
        <f ca="1"/>
        <v>46097</v>
      </c>
      <c r="BL80" s="37">
        <f ca="1"/>
        <v>0</v>
      </c>
      <c r="BM80" s="37">
        <f ca="1"/>
        <v>0</v>
      </c>
      <c r="BN80" s="40">
        <f ca="1"/>
        <v>0</v>
      </c>
      <c r="BO80" s="42">
        <f ca="1"/>
        <v>0</v>
      </c>
      <c r="BP80" s="42">
        <f ca="1"/>
        <v>0</v>
      </c>
      <c r="BQ80">
        <f ca="1"/>
        <v>0</v>
      </c>
      <c r="BR80">
        <f ca="1"/>
        <v>0</v>
      </c>
      <c r="BS80" s="4">
        <f ca="1"/>
        <v>0</v>
      </c>
      <c r="BT80" s="3">
        <f ca="1"/>
        <v>5.699674447565125E-2</v>
      </c>
      <c r="BU80" t="str">
        <f ca="1"/>
        <v>SEQUENTIAL</v>
      </c>
      <c r="BV80" s="3">
        <f ca="1"/>
        <v>7.7777777777777779E-2</v>
      </c>
      <c r="BW80" s="3">
        <f ca="1"/>
        <v>6.9967444756512459E-3</v>
      </c>
      <c r="BX80" s="45">
        <f ca="1"/>
        <v>46069</v>
      </c>
      <c r="BY80" s="3">
        <f ca="1"/>
        <v>0.99659809043757386</v>
      </c>
      <c r="BZ80" s="3">
        <f ca="1"/>
        <v>0.99659809043757386</v>
      </c>
      <c r="CA80">
        <f ca="1"/>
        <v>0</v>
      </c>
      <c r="CB80" s="4">
        <f ca="1"/>
        <v>0</v>
      </c>
      <c r="CC80" s="4">
        <f ca="1"/>
        <v>0</v>
      </c>
      <c r="CD80" s="4">
        <f ca="1"/>
        <v>0</v>
      </c>
      <c r="CE80" t="e">
        <f ca="1"/>
        <v>#N/A</v>
      </c>
      <c r="CF80" t="e">
        <f ca="1"/>
        <v>#N/A</v>
      </c>
      <c r="CG80" t="e">
        <f ca="1"/>
        <v>#N/A</v>
      </c>
      <c r="CH80" t="e">
        <f ca="1"/>
        <v>#N/A</v>
      </c>
      <c r="CI80" t="e">
        <f ca="1"/>
        <v>#N/A</v>
      </c>
      <c r="CJ80" t="e">
        <f ca="1"/>
        <v>#N/A</v>
      </c>
      <c r="CK80" t="e">
        <f ca="1"/>
        <v>#N/A</v>
      </c>
      <c r="CL80" t="e">
        <f ca="1"/>
        <v>#N/A</v>
      </c>
      <c r="CM80" t="e">
        <f ca="1"/>
        <v>#N/A</v>
      </c>
      <c r="CN80" t="e">
        <f ca="1"/>
        <v>#N/A</v>
      </c>
    </row>
    <row r="81" spans="2:92" x14ac:dyDescent="0.25">
      <c r="B81">
        <f ca="1"/>
        <v>74</v>
      </c>
      <c r="C81" s="37">
        <f ca="1"/>
        <v>730619.09786808386</v>
      </c>
      <c r="D81" s="37">
        <f ca="1"/>
        <v>691733.04951574281</v>
      </c>
      <c r="E81" s="35">
        <f ca="1"/>
        <v>25055.422794280097</v>
      </c>
      <c r="F81" s="35">
        <f ca="1"/>
        <v>0</v>
      </c>
      <c r="G81" s="35">
        <f ca="1"/>
        <v>8298.3753348364298</v>
      </c>
      <c r="H81" s="35">
        <f ca="1"/>
        <v>0</v>
      </c>
      <c r="I81" s="35">
        <f ca="1"/>
        <v>13830.625558060712</v>
      </c>
      <c r="J81" s="35">
        <f ca="1"/>
        <v>30442.462411170156</v>
      </c>
      <c r="K81" s="35">
        <f ca="1"/>
        <v>5259419.7379055312</v>
      </c>
      <c r="L81" s="35">
        <f ca="1"/>
        <v>5259419.7379055312</v>
      </c>
      <c r="M81" s="35">
        <f ca="1"/>
        <v>3155651.8427433199</v>
      </c>
      <c r="N81" s="45">
        <f ca="1"/>
        <v>46097</v>
      </c>
      <c r="O81" s="45">
        <f ca="1"/>
        <v>46097</v>
      </c>
      <c r="P81" s="45">
        <f ca="1"/>
        <v>46127</v>
      </c>
      <c r="Q81" s="45">
        <f ca="1"/>
        <v>46127</v>
      </c>
      <c r="R81" s="37">
        <f ca="1"/>
        <v>0</v>
      </c>
      <c r="S81" s="37">
        <f ca="1"/>
        <v>0</v>
      </c>
      <c r="T81" s="41">
        <f ca="1"/>
        <v>0</v>
      </c>
      <c r="U81" s="42">
        <f ca="1"/>
        <v>0</v>
      </c>
      <c r="V81" s="42">
        <f ca="1"/>
        <v>0</v>
      </c>
      <c r="W81">
        <f ca="1"/>
        <v>0</v>
      </c>
      <c r="X81">
        <f ca="1"/>
        <v>0</v>
      </c>
      <c r="Y81" s="4">
        <f ca="1"/>
        <v>0</v>
      </c>
      <c r="Z81" s="3">
        <f ca="1"/>
        <v>5.7153905162476204E-2</v>
      </c>
      <c r="AA81" t="str">
        <f ca="1"/>
        <v>SEQUENTIAL</v>
      </c>
      <c r="AB81" s="3">
        <f ca="1"/>
        <v>8.3333333333333329E-2</v>
      </c>
      <c r="AC81" s="3">
        <f ca="1"/>
        <v>7.1539051624761995E-3</v>
      </c>
      <c r="AD81" s="45">
        <f ca="1"/>
        <v>46097</v>
      </c>
      <c r="AE81" s="3">
        <f ca="1"/>
        <v>0.99601856873591121</v>
      </c>
      <c r="AF81" s="3">
        <f ca="1"/>
        <v>0.99601856873591121</v>
      </c>
      <c r="AG81">
        <f ca="1"/>
        <v>0</v>
      </c>
      <c r="AH81" s="35">
        <f ca="1"/>
        <v>0</v>
      </c>
      <c r="AI81" s="35">
        <f ca="1"/>
        <v>0</v>
      </c>
      <c r="AJ81" s="35">
        <f ca="1"/>
        <v>0</v>
      </c>
      <c r="AK81" s="36">
        <f ca="1"/>
        <v>46097</v>
      </c>
      <c r="AL81" s="36">
        <f ca="1"/>
        <v>46097</v>
      </c>
      <c r="AM81" s="36">
        <f ca="1"/>
        <v>46127</v>
      </c>
      <c r="AN81" s="36">
        <f ca="1"/>
        <v>46127</v>
      </c>
      <c r="AO81" s="37">
        <f ca="1"/>
        <v>0</v>
      </c>
      <c r="AP81" s="37">
        <f ca="1"/>
        <v>0</v>
      </c>
      <c r="AQ81" s="41">
        <f ca="1"/>
        <v>0</v>
      </c>
      <c r="AR81" s="42">
        <f ca="1"/>
        <v>0</v>
      </c>
      <c r="AS81" s="42">
        <f ca="1"/>
        <v>0</v>
      </c>
      <c r="AT81">
        <f ca="1"/>
        <v>0</v>
      </c>
      <c r="AU81">
        <f ca="1"/>
        <v>0</v>
      </c>
      <c r="AV81" s="4">
        <f ca="1"/>
        <v>0</v>
      </c>
      <c r="AW81" s="3">
        <f ca="1"/>
        <v>5.7153905162476204E-2</v>
      </c>
      <c r="AX81" t="str">
        <f ca="1"/>
        <v>SEQUENTIAL</v>
      </c>
      <c r="AY81" s="3">
        <f ca="1"/>
        <v>8.3333333333333329E-2</v>
      </c>
      <c r="AZ81" s="3">
        <f ca="1"/>
        <v>7.1539051624761995E-3</v>
      </c>
      <c r="BA81" s="45">
        <f ca="1"/>
        <v>46097</v>
      </c>
      <c r="BB81" s="3">
        <f ca="1"/>
        <v>0.99601856873591121</v>
      </c>
      <c r="BC81" s="3">
        <f ca="1"/>
        <v>0.99601856873591121</v>
      </c>
      <c r="BD81">
        <f ca="1"/>
        <v>0</v>
      </c>
      <c r="BE81" s="4">
        <f ca="1"/>
        <v>0</v>
      </c>
      <c r="BF81" s="4">
        <f ca="1"/>
        <v>0</v>
      </c>
      <c r="BG81" s="4">
        <f ca="1"/>
        <v>0</v>
      </c>
      <c r="BH81" s="45">
        <f ca="1"/>
        <v>46097</v>
      </c>
      <c r="BI81" s="45">
        <f ca="1"/>
        <v>46097</v>
      </c>
      <c r="BJ81" s="45">
        <f ca="1"/>
        <v>46127</v>
      </c>
      <c r="BK81" s="45">
        <f ca="1"/>
        <v>46127</v>
      </c>
      <c r="BL81" s="37">
        <f ca="1"/>
        <v>0</v>
      </c>
      <c r="BM81" s="37">
        <f ca="1"/>
        <v>0</v>
      </c>
      <c r="BN81" s="40">
        <f ca="1"/>
        <v>0</v>
      </c>
      <c r="BO81" s="42">
        <f ca="1"/>
        <v>0</v>
      </c>
      <c r="BP81" s="42">
        <f ca="1"/>
        <v>0</v>
      </c>
      <c r="BQ81">
        <f ca="1"/>
        <v>0</v>
      </c>
      <c r="BR81">
        <f ca="1"/>
        <v>0</v>
      </c>
      <c r="BS81" s="4">
        <f ca="1"/>
        <v>0</v>
      </c>
      <c r="BT81" s="3">
        <f ca="1"/>
        <v>5.7153905162476204E-2</v>
      </c>
      <c r="BU81" t="str">
        <f ca="1"/>
        <v>SEQUENTIAL</v>
      </c>
      <c r="BV81" s="3">
        <f ca="1"/>
        <v>8.3333333333333329E-2</v>
      </c>
      <c r="BW81" s="3">
        <f ca="1"/>
        <v>7.1539051624761995E-3</v>
      </c>
      <c r="BX81" s="45">
        <f ca="1"/>
        <v>46097</v>
      </c>
      <c r="BY81" s="3">
        <f ca="1"/>
        <v>0.99601856873591121</v>
      </c>
      <c r="BZ81" s="3">
        <f ca="1"/>
        <v>0.99601856873591121</v>
      </c>
      <c r="CA81">
        <f ca="1"/>
        <v>0</v>
      </c>
      <c r="CB81" s="4">
        <f ca="1"/>
        <v>0</v>
      </c>
      <c r="CC81" s="4">
        <f ca="1"/>
        <v>0</v>
      </c>
      <c r="CD81" s="4">
        <f ca="1"/>
        <v>0</v>
      </c>
      <c r="CE81" t="e">
        <f ca="1"/>
        <v>#N/A</v>
      </c>
      <c r="CF81" t="e">
        <f ca="1"/>
        <v>#N/A</v>
      </c>
      <c r="CG81" t="e">
        <f ca="1"/>
        <v>#N/A</v>
      </c>
      <c r="CH81" t="e">
        <f ca="1"/>
        <v>#N/A</v>
      </c>
      <c r="CI81" t="e">
        <f ca="1"/>
        <v>#N/A</v>
      </c>
      <c r="CJ81" t="e">
        <f ca="1"/>
        <v>#N/A</v>
      </c>
      <c r="CK81" t="e">
        <f ca="1"/>
        <v>#N/A</v>
      </c>
      <c r="CL81" t="e">
        <f ca="1"/>
        <v>#N/A</v>
      </c>
      <c r="CM81" t="e">
        <f ca="1"/>
        <v>#N/A</v>
      </c>
      <c r="CN81" t="e">
        <f ca="1"/>
        <v>#N/A</v>
      </c>
    </row>
    <row r="82" spans="2:92" x14ac:dyDescent="0.25">
      <c r="B82">
        <f ca="1"/>
        <v>75</v>
      </c>
      <c r="C82" s="37">
        <f ca="1"/>
        <v>691733.04951574281</v>
      </c>
      <c r="D82" s="37">
        <f ca="1"/>
        <v>655282.00030332664</v>
      </c>
      <c r="E82" s="35">
        <f ca="1"/>
        <v>23356.536870890766</v>
      </c>
      <c r="F82" s="35">
        <f ca="1"/>
        <v>0</v>
      </c>
      <c r="G82" s="35">
        <f ca="1"/>
        <v>7856.7074049151843</v>
      </c>
      <c r="H82" s="35">
        <f ca="1"/>
        <v>0</v>
      </c>
      <c r="I82" s="35">
        <f ca="1"/>
        <v>13094.512341525311</v>
      </c>
      <c r="J82" s="35">
        <f ca="1"/>
        <v>28822.21039648927</v>
      </c>
      <c r="K82" s="35">
        <f ca="1"/>
        <v>5272514.2502470566</v>
      </c>
      <c r="L82" s="35">
        <f ca="1"/>
        <v>5272514.2502470566</v>
      </c>
      <c r="M82" s="35">
        <f ca="1"/>
        <v>3163508.5501482352</v>
      </c>
      <c r="N82" s="45">
        <f ca="1"/>
        <v>46127</v>
      </c>
      <c r="O82" s="45">
        <f ca="1"/>
        <v>46127</v>
      </c>
      <c r="P82" s="45">
        <f ca="1"/>
        <v>46157</v>
      </c>
      <c r="Q82" s="45">
        <f ca="1"/>
        <v>46157</v>
      </c>
      <c r="R82" s="37">
        <f ca="1"/>
        <v>0</v>
      </c>
      <c r="S82" s="37">
        <f ca="1"/>
        <v>0</v>
      </c>
      <c r="T82" s="41">
        <f ca="1"/>
        <v>0</v>
      </c>
      <c r="U82" s="42">
        <f ca="1"/>
        <v>0</v>
      </c>
      <c r="V82" s="42">
        <f ca="1"/>
        <v>0</v>
      </c>
      <c r="W82">
        <f ca="1"/>
        <v>0</v>
      </c>
      <c r="X82">
        <f ca="1"/>
        <v>0</v>
      </c>
      <c r="Y82" s="4">
        <f ca="1"/>
        <v>0</v>
      </c>
      <c r="Z82" s="3">
        <f ca="1"/>
        <v>5.7322190553054875E-2</v>
      </c>
      <c r="AA82" t="str">
        <f ca="1"/>
        <v>SEQUENTIAL</v>
      </c>
      <c r="AB82" s="3">
        <f ca="1"/>
        <v>8.3333333333333329E-2</v>
      </c>
      <c r="AC82" s="3">
        <f ca="1"/>
        <v>7.3221905530548694E-3</v>
      </c>
      <c r="AD82" s="45">
        <f ca="1"/>
        <v>46127</v>
      </c>
      <c r="AE82" s="3">
        <f ca="1"/>
        <v>0.9954255254326414</v>
      </c>
      <c r="AF82" s="3">
        <f ca="1"/>
        <v>0.9954255254326414</v>
      </c>
      <c r="AG82">
        <f ca="1"/>
        <v>0</v>
      </c>
      <c r="AH82" s="35">
        <f ca="1"/>
        <v>0</v>
      </c>
      <c r="AI82" s="35">
        <f ca="1"/>
        <v>0</v>
      </c>
      <c r="AJ82" s="35">
        <f ca="1"/>
        <v>0</v>
      </c>
      <c r="AK82" s="36">
        <f ca="1"/>
        <v>46127</v>
      </c>
      <c r="AL82" s="36">
        <f ca="1"/>
        <v>46127</v>
      </c>
      <c r="AM82" s="36">
        <f ca="1"/>
        <v>46157</v>
      </c>
      <c r="AN82" s="36">
        <f ca="1"/>
        <v>46157</v>
      </c>
      <c r="AO82" s="37">
        <f ca="1"/>
        <v>0</v>
      </c>
      <c r="AP82" s="37">
        <f ca="1"/>
        <v>0</v>
      </c>
      <c r="AQ82" s="41">
        <f ca="1"/>
        <v>0</v>
      </c>
      <c r="AR82" s="42">
        <f ca="1"/>
        <v>0</v>
      </c>
      <c r="AS82" s="42">
        <f ca="1"/>
        <v>0</v>
      </c>
      <c r="AT82">
        <f ca="1"/>
        <v>0</v>
      </c>
      <c r="AU82">
        <f ca="1"/>
        <v>0</v>
      </c>
      <c r="AV82" s="4">
        <f ca="1"/>
        <v>0</v>
      </c>
      <c r="AW82" s="3">
        <f ca="1"/>
        <v>5.7322190553054875E-2</v>
      </c>
      <c r="AX82" t="str">
        <f ca="1"/>
        <v>SEQUENTIAL</v>
      </c>
      <c r="AY82" s="3">
        <f ca="1"/>
        <v>8.3333333333333329E-2</v>
      </c>
      <c r="AZ82" s="3">
        <f ca="1"/>
        <v>7.3221905530548694E-3</v>
      </c>
      <c r="BA82" s="45">
        <f ca="1"/>
        <v>46127</v>
      </c>
      <c r="BB82" s="3">
        <f ca="1"/>
        <v>0.9954255254326414</v>
      </c>
      <c r="BC82" s="3">
        <f ca="1"/>
        <v>0.9954255254326414</v>
      </c>
      <c r="BD82">
        <f ca="1"/>
        <v>0</v>
      </c>
      <c r="BE82" s="4">
        <f ca="1"/>
        <v>0</v>
      </c>
      <c r="BF82" s="4">
        <f ca="1"/>
        <v>0</v>
      </c>
      <c r="BG82" s="4">
        <f ca="1"/>
        <v>0</v>
      </c>
      <c r="BH82" s="45">
        <f ca="1"/>
        <v>46127</v>
      </c>
      <c r="BI82" s="45">
        <f ca="1"/>
        <v>46127</v>
      </c>
      <c r="BJ82" s="45">
        <f ca="1"/>
        <v>46157</v>
      </c>
      <c r="BK82" s="45">
        <f ca="1"/>
        <v>46157</v>
      </c>
      <c r="BL82" s="37">
        <f ca="1"/>
        <v>0</v>
      </c>
      <c r="BM82" s="37">
        <f ca="1"/>
        <v>0</v>
      </c>
      <c r="BN82" s="40">
        <f ca="1"/>
        <v>0</v>
      </c>
      <c r="BO82" s="42">
        <f ca="1"/>
        <v>0</v>
      </c>
      <c r="BP82" s="42">
        <f ca="1"/>
        <v>0</v>
      </c>
      <c r="BQ82">
        <f ca="1"/>
        <v>0</v>
      </c>
      <c r="BR82">
        <f ca="1"/>
        <v>0</v>
      </c>
      <c r="BS82" s="4">
        <f ca="1"/>
        <v>0</v>
      </c>
      <c r="BT82" s="3">
        <f ca="1"/>
        <v>5.7322190553054875E-2</v>
      </c>
      <c r="BU82" t="str">
        <f ca="1"/>
        <v>SEQUENTIAL</v>
      </c>
      <c r="BV82" s="3">
        <f ca="1"/>
        <v>8.3333333333333329E-2</v>
      </c>
      <c r="BW82" s="3">
        <f ca="1"/>
        <v>7.3221905530548694E-3</v>
      </c>
      <c r="BX82" s="45">
        <f ca="1"/>
        <v>46127</v>
      </c>
      <c r="BY82" s="3">
        <f ca="1"/>
        <v>0.9954255254326414</v>
      </c>
      <c r="BZ82" s="3">
        <f ca="1"/>
        <v>0.9954255254326414</v>
      </c>
      <c r="CA82">
        <f ca="1"/>
        <v>0</v>
      </c>
      <c r="CB82" s="4">
        <f ca="1"/>
        <v>0</v>
      </c>
      <c r="CC82" s="4">
        <f ca="1"/>
        <v>0</v>
      </c>
      <c r="CD82" s="4">
        <f ca="1"/>
        <v>0</v>
      </c>
      <c r="CE82" t="e">
        <f ca="1"/>
        <v>#N/A</v>
      </c>
      <c r="CF82" t="e">
        <f ca="1"/>
        <v>#N/A</v>
      </c>
      <c r="CG82" t="e">
        <f ca="1"/>
        <v>#N/A</v>
      </c>
      <c r="CH82" t="e">
        <f ca="1"/>
        <v>#N/A</v>
      </c>
      <c r="CI82" t="e">
        <f ca="1"/>
        <v>#N/A</v>
      </c>
      <c r="CJ82" t="e">
        <f ca="1"/>
        <v>#N/A</v>
      </c>
      <c r="CK82" t="e">
        <f ca="1"/>
        <v>#N/A</v>
      </c>
      <c r="CL82" t="e">
        <f ca="1"/>
        <v>#N/A</v>
      </c>
      <c r="CM82" t="e">
        <f ca="1"/>
        <v>#N/A</v>
      </c>
      <c r="CN82" t="e">
        <f ca="1"/>
        <v>#N/A</v>
      </c>
    </row>
    <row r="83" spans="2:92" x14ac:dyDescent="0.25">
      <c r="B83">
        <f ca="1"/>
        <v>76</v>
      </c>
      <c r="C83" s="37">
        <f ca="1"/>
        <v>655282.00030332664</v>
      </c>
      <c r="D83" s="37">
        <f ca="1"/>
        <v>619950.21580193052</v>
      </c>
      <c r="E83" s="35">
        <f ca="1"/>
        <v>22927.290822572413</v>
      </c>
      <c r="F83" s="35">
        <f ca="1"/>
        <v>0</v>
      </c>
      <c r="G83" s="35">
        <f ca="1"/>
        <v>7442.6962072940714</v>
      </c>
      <c r="H83" s="35">
        <f ca="1"/>
        <v>0</v>
      </c>
      <c r="I83" s="35">
        <f ca="1"/>
        <v>12404.493678823452</v>
      </c>
      <c r="J83" s="35">
        <f ca="1"/>
        <v>27303.416679305275</v>
      </c>
      <c r="K83" s="35">
        <f ca="1"/>
        <v>5284918.7439258797</v>
      </c>
      <c r="L83" s="35">
        <f ca="1"/>
        <v>5284918.7439258797</v>
      </c>
      <c r="M83" s="35">
        <f ca="1"/>
        <v>3170951.2463555294</v>
      </c>
      <c r="N83" s="45">
        <f ca="1"/>
        <v>46157</v>
      </c>
      <c r="O83" s="45">
        <f ca="1"/>
        <v>46157</v>
      </c>
      <c r="P83" s="45">
        <f ca="1"/>
        <v>46188</v>
      </c>
      <c r="Q83" s="45">
        <f ca="1"/>
        <v>46188</v>
      </c>
      <c r="R83" s="37">
        <f ca="1"/>
        <v>0</v>
      </c>
      <c r="S83" s="37">
        <f ca="1"/>
        <v>0</v>
      </c>
      <c r="T83" s="41">
        <f ca="1"/>
        <v>0</v>
      </c>
      <c r="U83" s="42">
        <f ca="1"/>
        <v>0</v>
      </c>
      <c r="V83" s="42">
        <f ca="1"/>
        <v>0</v>
      </c>
      <c r="W83">
        <f ca="1"/>
        <v>0</v>
      </c>
      <c r="X83">
        <f ca="1"/>
        <v>0</v>
      </c>
      <c r="Y83" s="4">
        <f ca="1"/>
        <v>0</v>
      </c>
      <c r="Z83" s="3">
        <f ca="1"/>
        <v>5.7489161086111129E-2</v>
      </c>
      <c r="AA83" t="str">
        <f ca="1"/>
        <v>SEQUENTIAL</v>
      </c>
      <c r="AB83" s="3">
        <f ca="1"/>
        <v>8.611111111111111E-2</v>
      </c>
      <c r="AC83" s="3">
        <f ca="1"/>
        <v>7.4891610861111254E-3</v>
      </c>
      <c r="AD83" s="45">
        <f ca="1"/>
        <v>46157</v>
      </c>
      <c r="AE83" s="3">
        <f ca="1"/>
        <v>0.99479867926863397</v>
      </c>
      <c r="AF83" s="3">
        <f ca="1"/>
        <v>0.99479867926863397</v>
      </c>
      <c r="AG83">
        <f ca="1"/>
        <v>0</v>
      </c>
      <c r="AH83" s="35">
        <f ca="1"/>
        <v>0</v>
      </c>
      <c r="AI83" s="35">
        <f ca="1"/>
        <v>0</v>
      </c>
      <c r="AJ83" s="35">
        <f ca="1"/>
        <v>0</v>
      </c>
      <c r="AK83" s="36">
        <f ca="1"/>
        <v>46157</v>
      </c>
      <c r="AL83" s="36">
        <f ca="1"/>
        <v>46157</v>
      </c>
      <c r="AM83" s="36">
        <f ca="1"/>
        <v>46188</v>
      </c>
      <c r="AN83" s="36">
        <f ca="1"/>
        <v>46188</v>
      </c>
      <c r="AO83" s="37">
        <f ca="1"/>
        <v>0</v>
      </c>
      <c r="AP83" s="37">
        <f ca="1"/>
        <v>0</v>
      </c>
      <c r="AQ83" s="41">
        <f ca="1"/>
        <v>0</v>
      </c>
      <c r="AR83" s="42">
        <f ca="1"/>
        <v>0</v>
      </c>
      <c r="AS83" s="42">
        <f ca="1"/>
        <v>0</v>
      </c>
      <c r="AT83">
        <f ca="1"/>
        <v>0</v>
      </c>
      <c r="AU83">
        <f ca="1"/>
        <v>0</v>
      </c>
      <c r="AV83" s="4">
        <f ca="1"/>
        <v>0</v>
      </c>
      <c r="AW83" s="3">
        <f ca="1"/>
        <v>5.7489161086111129E-2</v>
      </c>
      <c r="AX83" t="str">
        <f ca="1"/>
        <v>SEQUENTIAL</v>
      </c>
      <c r="AY83" s="3">
        <f ca="1"/>
        <v>8.611111111111111E-2</v>
      </c>
      <c r="AZ83" s="3">
        <f ca="1"/>
        <v>7.4891610861111254E-3</v>
      </c>
      <c r="BA83" s="45">
        <f ca="1"/>
        <v>46157</v>
      </c>
      <c r="BB83" s="3">
        <f ca="1"/>
        <v>0.99479867926863397</v>
      </c>
      <c r="BC83" s="3">
        <f ca="1"/>
        <v>0.99479867926863397</v>
      </c>
      <c r="BD83">
        <f ca="1"/>
        <v>0</v>
      </c>
      <c r="BE83" s="4">
        <f ca="1"/>
        <v>0</v>
      </c>
      <c r="BF83" s="4">
        <f ca="1"/>
        <v>0</v>
      </c>
      <c r="BG83" s="4">
        <f ca="1"/>
        <v>0</v>
      </c>
      <c r="BH83" s="45">
        <f ca="1"/>
        <v>46157</v>
      </c>
      <c r="BI83" s="45">
        <f ca="1"/>
        <v>46157</v>
      </c>
      <c r="BJ83" s="45">
        <f ca="1"/>
        <v>46188</v>
      </c>
      <c r="BK83" s="45">
        <f ca="1"/>
        <v>46188</v>
      </c>
      <c r="BL83" s="37">
        <f ca="1"/>
        <v>0</v>
      </c>
      <c r="BM83" s="37">
        <f ca="1"/>
        <v>0</v>
      </c>
      <c r="BN83" s="40">
        <f ca="1"/>
        <v>0</v>
      </c>
      <c r="BO83" s="42">
        <f ca="1"/>
        <v>0</v>
      </c>
      <c r="BP83" s="42">
        <f ca="1"/>
        <v>0</v>
      </c>
      <c r="BQ83">
        <f ca="1"/>
        <v>0</v>
      </c>
      <c r="BR83">
        <f ca="1"/>
        <v>0</v>
      </c>
      <c r="BS83" s="4">
        <f ca="1"/>
        <v>0</v>
      </c>
      <c r="BT83" s="3">
        <f ca="1"/>
        <v>5.7489161086111129E-2</v>
      </c>
      <c r="BU83" t="str">
        <f ca="1"/>
        <v>SEQUENTIAL</v>
      </c>
      <c r="BV83" s="3">
        <f ca="1"/>
        <v>8.611111111111111E-2</v>
      </c>
      <c r="BW83" s="3">
        <f ca="1"/>
        <v>7.4891610861111254E-3</v>
      </c>
      <c r="BX83" s="45">
        <f ca="1"/>
        <v>46157</v>
      </c>
      <c r="BY83" s="3">
        <f ca="1"/>
        <v>0.99479867926863397</v>
      </c>
      <c r="BZ83" s="3">
        <f ca="1"/>
        <v>0.99479867926863397</v>
      </c>
      <c r="CA83">
        <f ca="1"/>
        <v>0</v>
      </c>
      <c r="CB83" s="4">
        <f ca="1"/>
        <v>0</v>
      </c>
      <c r="CC83" s="4">
        <f ca="1"/>
        <v>0</v>
      </c>
      <c r="CD83" s="4">
        <f ca="1"/>
        <v>0</v>
      </c>
      <c r="CE83" t="e">
        <f ca="1"/>
        <v>#N/A</v>
      </c>
      <c r="CF83" t="e">
        <f ca="1"/>
        <v>#N/A</v>
      </c>
      <c r="CG83" t="e">
        <f ca="1"/>
        <v>#N/A</v>
      </c>
      <c r="CH83" t="e">
        <f ca="1"/>
        <v>#N/A</v>
      </c>
      <c r="CI83" t="e">
        <f ca="1"/>
        <v>#N/A</v>
      </c>
      <c r="CJ83" t="e">
        <f ca="1"/>
        <v>#N/A</v>
      </c>
      <c r="CK83" t="e">
        <f ca="1"/>
        <v>#N/A</v>
      </c>
      <c r="CL83" t="e">
        <f ca="1"/>
        <v>#N/A</v>
      </c>
      <c r="CM83" t="e">
        <f ca="1"/>
        <v>#N/A</v>
      </c>
      <c r="CN83" t="e">
        <f ca="1"/>
        <v>#N/A</v>
      </c>
    </row>
    <row r="84" spans="2:92" x14ac:dyDescent="0.25">
      <c r="B84">
        <f ca="1"/>
        <v>77</v>
      </c>
      <c r="C84" s="37">
        <f ca="1"/>
        <v>619950.21580193052</v>
      </c>
      <c r="D84" s="37">
        <f ca="1"/>
        <v>586556.9655893126</v>
      </c>
      <c r="E84" s="35">
        <f ca="1"/>
        <v>21657.587506270971</v>
      </c>
      <c r="F84" s="35">
        <f ca="1"/>
        <v>0</v>
      </c>
      <c r="G84" s="35">
        <f ca="1"/>
        <v>7041.3976238082651</v>
      </c>
      <c r="H84" s="35">
        <f ca="1"/>
        <v>0</v>
      </c>
      <c r="I84" s="35">
        <f ca="1"/>
        <v>11735.662706347104</v>
      </c>
      <c r="J84" s="35">
        <f ca="1"/>
        <v>25831.258991747109</v>
      </c>
      <c r="K84" s="35">
        <f ca="1"/>
        <v>5296654.4066322269</v>
      </c>
      <c r="L84" s="35">
        <f ca="1"/>
        <v>5296654.4066322269</v>
      </c>
      <c r="M84" s="35">
        <f ca="1"/>
        <v>3177992.6439793375</v>
      </c>
      <c r="N84" s="45">
        <f ca="1"/>
        <v>46188</v>
      </c>
      <c r="O84" s="45">
        <f ca="1"/>
        <v>46188</v>
      </c>
      <c r="P84" s="45">
        <f ca="1"/>
        <v>46218</v>
      </c>
      <c r="Q84" s="45">
        <f ca="1"/>
        <v>46218</v>
      </c>
      <c r="R84" s="37">
        <f ca="1"/>
        <v>0</v>
      </c>
      <c r="S84" s="37">
        <f ca="1"/>
        <v>0</v>
      </c>
      <c r="T84" s="41">
        <f ca="1"/>
        <v>0</v>
      </c>
      <c r="U84" s="42">
        <f ca="1"/>
        <v>0</v>
      </c>
      <c r="V84" s="42">
        <f ca="1"/>
        <v>0</v>
      </c>
      <c r="W84">
        <f ca="1"/>
        <v>0</v>
      </c>
      <c r="X84">
        <f ca="1"/>
        <v>0</v>
      </c>
      <c r="Y84" s="4">
        <f ca="1"/>
        <v>0</v>
      </c>
      <c r="Z84" s="3">
        <f ca="1"/>
        <v>5.7659304703776511E-2</v>
      </c>
      <c r="AA84" t="str">
        <f ca="1"/>
        <v>SEQUENTIAL</v>
      </c>
      <c r="AB84" s="3">
        <f ca="1"/>
        <v>8.3333333333333329E-2</v>
      </c>
      <c r="AC84" s="3">
        <f ca="1"/>
        <v>7.6593047037765098E-3</v>
      </c>
      <c r="AD84" s="45">
        <f ca="1"/>
        <v>46188</v>
      </c>
      <c r="AE84" s="3">
        <f ca="1"/>
        <v>0.99417858107139501</v>
      </c>
      <c r="AF84" s="3">
        <f ca="1"/>
        <v>0.99417858107139501</v>
      </c>
      <c r="AG84">
        <f ca="1"/>
        <v>0</v>
      </c>
      <c r="AH84" s="35">
        <f ca="1"/>
        <v>0</v>
      </c>
      <c r="AI84" s="35">
        <f ca="1"/>
        <v>0</v>
      </c>
      <c r="AJ84" s="35">
        <f ca="1"/>
        <v>0</v>
      </c>
      <c r="AK84" s="36">
        <f ca="1"/>
        <v>46188</v>
      </c>
      <c r="AL84" s="36">
        <f ca="1"/>
        <v>46188</v>
      </c>
      <c r="AM84" s="36">
        <f ca="1"/>
        <v>46218</v>
      </c>
      <c r="AN84" s="36">
        <f ca="1"/>
        <v>46218</v>
      </c>
      <c r="AO84" s="37">
        <f ca="1"/>
        <v>0</v>
      </c>
      <c r="AP84" s="37">
        <f ca="1"/>
        <v>0</v>
      </c>
      <c r="AQ84" s="41">
        <f ca="1"/>
        <v>0</v>
      </c>
      <c r="AR84" s="42">
        <f ca="1"/>
        <v>0</v>
      </c>
      <c r="AS84" s="42">
        <f ca="1"/>
        <v>0</v>
      </c>
      <c r="AT84">
        <f ca="1"/>
        <v>0</v>
      </c>
      <c r="AU84">
        <f ca="1"/>
        <v>0</v>
      </c>
      <c r="AV84" s="4">
        <f ca="1"/>
        <v>0</v>
      </c>
      <c r="AW84" s="3">
        <f ca="1"/>
        <v>5.7659304703776511E-2</v>
      </c>
      <c r="AX84" t="str">
        <f ca="1"/>
        <v>SEQUENTIAL</v>
      </c>
      <c r="AY84" s="3">
        <f ca="1"/>
        <v>8.3333333333333329E-2</v>
      </c>
      <c r="AZ84" s="3">
        <f ca="1"/>
        <v>7.6593047037765098E-3</v>
      </c>
      <c r="BA84" s="45">
        <f ca="1"/>
        <v>46188</v>
      </c>
      <c r="BB84" s="3">
        <f ca="1"/>
        <v>0.99417858107139501</v>
      </c>
      <c r="BC84" s="3">
        <f ca="1"/>
        <v>0.99417858107139501</v>
      </c>
      <c r="BD84">
        <f ca="1"/>
        <v>0</v>
      </c>
      <c r="BE84" s="4">
        <f ca="1"/>
        <v>0</v>
      </c>
      <c r="BF84" s="4">
        <f ca="1"/>
        <v>0</v>
      </c>
      <c r="BG84" s="4">
        <f ca="1"/>
        <v>0</v>
      </c>
      <c r="BH84" s="45">
        <f ca="1"/>
        <v>46188</v>
      </c>
      <c r="BI84" s="45">
        <f ca="1"/>
        <v>46188</v>
      </c>
      <c r="BJ84" s="45">
        <f ca="1"/>
        <v>46218</v>
      </c>
      <c r="BK84" s="45">
        <f ca="1"/>
        <v>46218</v>
      </c>
      <c r="BL84" s="37">
        <f ca="1"/>
        <v>0</v>
      </c>
      <c r="BM84" s="37">
        <f ca="1"/>
        <v>0</v>
      </c>
      <c r="BN84" s="40">
        <f ca="1"/>
        <v>0</v>
      </c>
      <c r="BO84" s="42">
        <f ca="1"/>
        <v>0</v>
      </c>
      <c r="BP84" s="42">
        <f ca="1"/>
        <v>0</v>
      </c>
      <c r="BQ84">
        <f ca="1"/>
        <v>0</v>
      </c>
      <c r="BR84">
        <f ca="1"/>
        <v>0</v>
      </c>
      <c r="BS84" s="4">
        <f ca="1"/>
        <v>0</v>
      </c>
      <c r="BT84" s="3">
        <f ca="1"/>
        <v>5.7659304703776511E-2</v>
      </c>
      <c r="BU84" t="str">
        <f ca="1"/>
        <v>SEQUENTIAL</v>
      </c>
      <c r="BV84" s="3">
        <f ca="1"/>
        <v>8.3333333333333329E-2</v>
      </c>
      <c r="BW84" s="3">
        <f ca="1"/>
        <v>7.6593047037765098E-3</v>
      </c>
      <c r="BX84" s="45">
        <f ca="1"/>
        <v>46188</v>
      </c>
      <c r="BY84" s="3">
        <f ca="1"/>
        <v>0.99417858107139501</v>
      </c>
      <c r="BZ84" s="3">
        <f ca="1"/>
        <v>0.99417858107139501</v>
      </c>
      <c r="CA84">
        <f ca="1"/>
        <v>0</v>
      </c>
      <c r="CB84" s="4">
        <f ca="1"/>
        <v>0</v>
      </c>
      <c r="CC84" s="4">
        <f ca="1"/>
        <v>0</v>
      </c>
      <c r="CD84" s="4">
        <f ca="1"/>
        <v>0</v>
      </c>
      <c r="CE84" t="e">
        <f ca="1"/>
        <v>#N/A</v>
      </c>
      <c r="CF84" t="e">
        <f ca="1"/>
        <v>#N/A</v>
      </c>
      <c r="CG84" t="e">
        <f ca="1"/>
        <v>#N/A</v>
      </c>
      <c r="CH84" t="e">
        <f ca="1"/>
        <v>#N/A</v>
      </c>
      <c r="CI84" t="e">
        <f ca="1"/>
        <v>#N/A</v>
      </c>
      <c r="CJ84" t="e">
        <f ca="1"/>
        <v>#N/A</v>
      </c>
      <c r="CK84" t="e">
        <f ca="1"/>
        <v>#N/A</v>
      </c>
      <c r="CL84" t="e">
        <f ca="1"/>
        <v>#N/A</v>
      </c>
      <c r="CM84" t="e">
        <f ca="1"/>
        <v>#N/A</v>
      </c>
      <c r="CN84" t="e">
        <f ca="1"/>
        <v>#N/A</v>
      </c>
    </row>
    <row r="85" spans="2:92" x14ac:dyDescent="0.25">
      <c r="B85">
        <f ca="1"/>
        <v>78</v>
      </c>
      <c r="C85" s="37">
        <f ca="1"/>
        <v>586556.9655893126</v>
      </c>
      <c r="D85" s="37">
        <f ca="1"/>
        <v>553871.39876845898</v>
      </c>
      <c r="E85" s="35">
        <f ca="1"/>
        <v>21582.038616882593</v>
      </c>
      <c r="F85" s="35">
        <f ca="1"/>
        <v>0</v>
      </c>
      <c r="G85" s="35">
        <f ca="1"/>
        <v>6662.1169223825773</v>
      </c>
      <c r="H85" s="35">
        <f ca="1"/>
        <v>0</v>
      </c>
      <c r="I85" s="35">
        <f ca="1"/>
        <v>11103.528203970956</v>
      </c>
      <c r="J85" s="35">
        <f ca="1"/>
        <v>24439.873566221366</v>
      </c>
      <c r="K85" s="35">
        <f ca="1"/>
        <v>5307757.9348361976</v>
      </c>
      <c r="L85" s="35">
        <f ca="1"/>
        <v>5307757.9348361976</v>
      </c>
      <c r="M85" s="35">
        <f ca="1"/>
        <v>3184654.7609017203</v>
      </c>
      <c r="N85" s="45">
        <f ca="1"/>
        <v>46218</v>
      </c>
      <c r="O85" s="45">
        <f ca="1"/>
        <v>46218</v>
      </c>
      <c r="P85" s="45">
        <f ca="1"/>
        <v>46251</v>
      </c>
      <c r="Q85" s="45">
        <f ca="1"/>
        <v>46251</v>
      </c>
      <c r="R85" s="37">
        <f ca="1"/>
        <v>0</v>
      </c>
      <c r="S85" s="37">
        <f ca="1"/>
        <v>0</v>
      </c>
      <c r="T85" s="41">
        <f ca="1"/>
        <v>0</v>
      </c>
      <c r="U85" s="42">
        <f ca="1"/>
        <v>0</v>
      </c>
      <c r="V85" s="42">
        <f ca="1"/>
        <v>0</v>
      </c>
      <c r="W85">
        <f ca="1"/>
        <v>0</v>
      </c>
      <c r="X85">
        <f ca="1"/>
        <v>0</v>
      </c>
      <c r="Y85" s="4">
        <f ca="1"/>
        <v>0</v>
      </c>
      <c r="Z85" s="3">
        <f ca="1"/>
        <v>5.7822179160846386E-2</v>
      </c>
      <c r="AA85" t="str">
        <f ca="1"/>
        <v>SEQUENTIAL</v>
      </c>
      <c r="AB85" s="3">
        <f ca="1"/>
        <v>9.166666666666666E-2</v>
      </c>
      <c r="AC85" s="3">
        <f ca="1"/>
        <v>7.8221791608463834E-3</v>
      </c>
      <c r="AD85" s="45">
        <f ca="1"/>
        <v>46218</v>
      </c>
      <c r="AE85" s="3">
        <f ca="1"/>
        <v>0.99348127361530658</v>
      </c>
      <c r="AF85" s="3">
        <f ca="1"/>
        <v>0.99348127361530658</v>
      </c>
      <c r="AG85">
        <f ca="1"/>
        <v>0</v>
      </c>
      <c r="AH85" s="35">
        <f ca="1"/>
        <v>0</v>
      </c>
      <c r="AI85" s="35">
        <f ca="1"/>
        <v>0</v>
      </c>
      <c r="AJ85" s="35">
        <f ca="1"/>
        <v>0</v>
      </c>
      <c r="AK85" s="36">
        <f ca="1"/>
        <v>46218</v>
      </c>
      <c r="AL85" s="36">
        <f ca="1"/>
        <v>46218</v>
      </c>
      <c r="AM85" s="36">
        <f ca="1"/>
        <v>46251</v>
      </c>
      <c r="AN85" s="36">
        <f ca="1"/>
        <v>46251</v>
      </c>
      <c r="AO85" s="37">
        <f ca="1"/>
        <v>0</v>
      </c>
      <c r="AP85" s="37">
        <f ca="1"/>
        <v>0</v>
      </c>
      <c r="AQ85" s="41">
        <f ca="1"/>
        <v>0</v>
      </c>
      <c r="AR85" s="42">
        <f ca="1"/>
        <v>0</v>
      </c>
      <c r="AS85" s="42">
        <f ca="1"/>
        <v>0</v>
      </c>
      <c r="AT85">
        <f ca="1"/>
        <v>0</v>
      </c>
      <c r="AU85">
        <f ca="1"/>
        <v>0</v>
      </c>
      <c r="AV85" s="4">
        <f ca="1"/>
        <v>0</v>
      </c>
      <c r="AW85" s="3">
        <f ca="1"/>
        <v>5.7822179160846386E-2</v>
      </c>
      <c r="AX85" t="str">
        <f ca="1"/>
        <v>SEQUENTIAL</v>
      </c>
      <c r="AY85" s="3">
        <f ca="1"/>
        <v>9.166666666666666E-2</v>
      </c>
      <c r="AZ85" s="3">
        <f ca="1"/>
        <v>7.8221791608463834E-3</v>
      </c>
      <c r="BA85" s="45">
        <f ca="1"/>
        <v>46218</v>
      </c>
      <c r="BB85" s="3">
        <f ca="1"/>
        <v>0.99348127361530658</v>
      </c>
      <c r="BC85" s="3">
        <f ca="1"/>
        <v>0.99348127361530658</v>
      </c>
      <c r="BD85">
        <f ca="1"/>
        <v>0</v>
      </c>
      <c r="BE85" s="4">
        <f ca="1"/>
        <v>0</v>
      </c>
      <c r="BF85" s="4">
        <f ca="1"/>
        <v>0</v>
      </c>
      <c r="BG85" s="4">
        <f ca="1"/>
        <v>0</v>
      </c>
      <c r="BH85" s="45">
        <f ca="1"/>
        <v>46218</v>
      </c>
      <c r="BI85" s="45">
        <f ca="1"/>
        <v>46218</v>
      </c>
      <c r="BJ85" s="45">
        <f ca="1"/>
        <v>46251</v>
      </c>
      <c r="BK85" s="45">
        <f ca="1"/>
        <v>46251</v>
      </c>
      <c r="BL85" s="37">
        <f ca="1"/>
        <v>0</v>
      </c>
      <c r="BM85" s="37">
        <f ca="1"/>
        <v>0</v>
      </c>
      <c r="BN85" s="40">
        <f ca="1"/>
        <v>0</v>
      </c>
      <c r="BO85" s="42">
        <f ca="1"/>
        <v>0</v>
      </c>
      <c r="BP85" s="42">
        <f ca="1"/>
        <v>0</v>
      </c>
      <c r="BQ85">
        <f ca="1"/>
        <v>0</v>
      </c>
      <c r="BR85">
        <f ca="1"/>
        <v>0</v>
      </c>
      <c r="BS85" s="4">
        <f ca="1"/>
        <v>0</v>
      </c>
      <c r="BT85" s="3">
        <f ca="1"/>
        <v>5.7822179160846386E-2</v>
      </c>
      <c r="BU85" t="str">
        <f ca="1"/>
        <v>SEQUENTIAL</v>
      </c>
      <c r="BV85" s="3">
        <f ca="1"/>
        <v>9.166666666666666E-2</v>
      </c>
      <c r="BW85" s="3">
        <f ca="1"/>
        <v>7.8221791608463834E-3</v>
      </c>
      <c r="BX85" s="45">
        <f ca="1"/>
        <v>46218</v>
      </c>
      <c r="BY85" s="3">
        <f ca="1"/>
        <v>0.99348127361530658</v>
      </c>
      <c r="BZ85" s="3">
        <f ca="1"/>
        <v>0.99348127361530658</v>
      </c>
      <c r="CA85">
        <f ca="1"/>
        <v>0</v>
      </c>
      <c r="CB85" s="4">
        <f ca="1"/>
        <v>0</v>
      </c>
      <c r="CC85" s="4">
        <f ca="1"/>
        <v>0</v>
      </c>
      <c r="CD85" s="4">
        <f ca="1"/>
        <v>0</v>
      </c>
      <c r="CE85" t="e">
        <f ca="1"/>
        <v>#N/A</v>
      </c>
      <c r="CF85" t="e">
        <f ca="1"/>
        <v>#N/A</v>
      </c>
      <c r="CG85" t="e">
        <f ca="1"/>
        <v>#N/A</v>
      </c>
      <c r="CH85" t="e">
        <f ca="1"/>
        <v>#N/A</v>
      </c>
      <c r="CI85" t="e">
        <f ca="1"/>
        <v>#N/A</v>
      </c>
      <c r="CJ85" t="e">
        <f ca="1"/>
        <v>#N/A</v>
      </c>
      <c r="CK85" t="e">
        <f ca="1"/>
        <v>#N/A</v>
      </c>
      <c r="CL85" t="e">
        <f ca="1"/>
        <v>#N/A</v>
      </c>
      <c r="CM85" t="e">
        <f ca="1"/>
        <v>#N/A</v>
      </c>
      <c r="CN85" t="e">
        <f ca="1"/>
        <v>#N/A</v>
      </c>
    </row>
    <row r="86" spans="2:92" x14ac:dyDescent="0.25">
      <c r="B86">
        <f ca="1"/>
        <v>79</v>
      </c>
      <c r="C86" s="37">
        <f ca="1"/>
        <v>553871.39876845898</v>
      </c>
      <c r="D86" s="37">
        <f ca="1"/>
        <v>522318.41198900359</v>
      </c>
      <c r="E86" s="35">
        <f ca="1"/>
        <v>21068.196625408789</v>
      </c>
      <c r="F86" s="35">
        <f ca="1"/>
        <v>0</v>
      </c>
      <c r="G86" s="35">
        <f ca="1"/>
        <v>6290.874092428121</v>
      </c>
      <c r="H86" s="35">
        <f ca="1"/>
        <v>0</v>
      </c>
      <c r="I86" s="35">
        <f ca="1"/>
        <v>10484.790154046868</v>
      </c>
      <c r="J86" s="35">
        <f ca="1"/>
        <v>23077.974948685795</v>
      </c>
      <c r="K86" s="35">
        <f ca="1"/>
        <v>5318242.724990245</v>
      </c>
      <c r="L86" s="35">
        <f ca="1"/>
        <v>5318242.724990245</v>
      </c>
      <c r="M86" s="35">
        <f ca="1"/>
        <v>3190945.6349941483</v>
      </c>
      <c r="N86" s="45">
        <f ca="1"/>
        <v>46251</v>
      </c>
      <c r="O86" s="45">
        <f ca="1"/>
        <v>46251</v>
      </c>
      <c r="P86" s="45">
        <f ca="1"/>
        <v>46280</v>
      </c>
      <c r="Q86" s="45">
        <f ca="1"/>
        <v>46280</v>
      </c>
      <c r="R86" s="37">
        <f ca="1"/>
        <v>0</v>
      </c>
      <c r="S86" s="37">
        <f ca="1"/>
        <v>0</v>
      </c>
      <c r="T86" s="41">
        <f ca="1"/>
        <v>0</v>
      </c>
      <c r="U86" s="42">
        <f ca="1"/>
        <v>0</v>
      </c>
      <c r="V86" s="42">
        <f ca="1"/>
        <v>0</v>
      </c>
      <c r="W86">
        <f ca="1"/>
        <v>0</v>
      </c>
      <c r="X86">
        <f ca="1"/>
        <v>0</v>
      </c>
      <c r="Y86" s="4">
        <f ca="1"/>
        <v>0</v>
      </c>
      <c r="Z86" s="3">
        <f ca="1"/>
        <v>5.8000527231936647E-2</v>
      </c>
      <c r="AA86" t="str">
        <f ca="1"/>
        <v>SEQUENTIAL</v>
      </c>
      <c r="AB86" s="3">
        <f ca="1"/>
        <v>8.0555555555555561E-2</v>
      </c>
      <c r="AC86" s="3">
        <f ca="1"/>
        <v>8.0005272319366473E-3</v>
      </c>
      <c r="AD86" s="45">
        <f ca="1"/>
        <v>46251</v>
      </c>
      <c r="AE86" s="3">
        <f ca="1"/>
        <v>0.99285543362470374</v>
      </c>
      <c r="AF86" s="3">
        <f ca="1"/>
        <v>0.99285543362470374</v>
      </c>
      <c r="AG86">
        <f ca="1"/>
        <v>0</v>
      </c>
      <c r="AH86" s="35">
        <f ca="1"/>
        <v>0</v>
      </c>
      <c r="AI86" s="35">
        <f ca="1"/>
        <v>0</v>
      </c>
      <c r="AJ86" s="35">
        <f ca="1"/>
        <v>0</v>
      </c>
      <c r="AK86" s="36">
        <f ca="1"/>
        <v>46251</v>
      </c>
      <c r="AL86" s="36">
        <f ca="1"/>
        <v>46251</v>
      </c>
      <c r="AM86" s="36">
        <f ca="1"/>
        <v>46280</v>
      </c>
      <c r="AN86" s="36">
        <f ca="1"/>
        <v>46280</v>
      </c>
      <c r="AO86" s="37">
        <f ca="1"/>
        <v>0</v>
      </c>
      <c r="AP86" s="37">
        <f ca="1"/>
        <v>0</v>
      </c>
      <c r="AQ86" s="41">
        <f ca="1"/>
        <v>0</v>
      </c>
      <c r="AR86" s="42">
        <f ca="1"/>
        <v>0</v>
      </c>
      <c r="AS86" s="42">
        <f ca="1"/>
        <v>0</v>
      </c>
      <c r="AT86">
        <f ca="1"/>
        <v>0</v>
      </c>
      <c r="AU86">
        <f ca="1"/>
        <v>0</v>
      </c>
      <c r="AV86" s="4">
        <f ca="1"/>
        <v>0</v>
      </c>
      <c r="AW86" s="3">
        <f ca="1"/>
        <v>5.8000527231936647E-2</v>
      </c>
      <c r="AX86" t="str">
        <f ca="1"/>
        <v>SEQUENTIAL</v>
      </c>
      <c r="AY86" s="3">
        <f ca="1"/>
        <v>8.0555555555555561E-2</v>
      </c>
      <c r="AZ86" s="3">
        <f ca="1"/>
        <v>8.0005272319366473E-3</v>
      </c>
      <c r="BA86" s="45">
        <f ca="1"/>
        <v>46251</v>
      </c>
      <c r="BB86" s="3">
        <f ca="1"/>
        <v>0.99285543362470374</v>
      </c>
      <c r="BC86" s="3">
        <f ca="1"/>
        <v>0.99285543362470374</v>
      </c>
      <c r="BD86">
        <f ca="1"/>
        <v>0</v>
      </c>
      <c r="BE86" s="4">
        <f ca="1"/>
        <v>0</v>
      </c>
      <c r="BF86" s="4">
        <f ca="1"/>
        <v>0</v>
      </c>
      <c r="BG86" s="4">
        <f ca="1"/>
        <v>0</v>
      </c>
      <c r="BH86" s="45">
        <f ca="1"/>
        <v>46251</v>
      </c>
      <c r="BI86" s="45">
        <f ca="1"/>
        <v>46251</v>
      </c>
      <c r="BJ86" s="45">
        <f ca="1"/>
        <v>46280</v>
      </c>
      <c r="BK86" s="45">
        <f ca="1"/>
        <v>46280</v>
      </c>
      <c r="BL86" s="37">
        <f ca="1"/>
        <v>0</v>
      </c>
      <c r="BM86" s="37">
        <f ca="1"/>
        <v>0</v>
      </c>
      <c r="BN86" s="40">
        <f ca="1"/>
        <v>0</v>
      </c>
      <c r="BO86" s="42">
        <f ca="1"/>
        <v>0</v>
      </c>
      <c r="BP86" s="42">
        <f ca="1"/>
        <v>0</v>
      </c>
      <c r="BQ86">
        <f ca="1"/>
        <v>0</v>
      </c>
      <c r="BR86">
        <f ca="1"/>
        <v>0</v>
      </c>
      <c r="BS86" s="4">
        <f ca="1"/>
        <v>0</v>
      </c>
      <c r="BT86" s="3">
        <f ca="1"/>
        <v>5.8000527231936647E-2</v>
      </c>
      <c r="BU86" t="str">
        <f ca="1"/>
        <v>SEQUENTIAL</v>
      </c>
      <c r="BV86" s="3">
        <f ca="1"/>
        <v>8.0555555555555561E-2</v>
      </c>
      <c r="BW86" s="3">
        <f ca="1"/>
        <v>8.0005272319366473E-3</v>
      </c>
      <c r="BX86" s="45">
        <f ca="1"/>
        <v>46251</v>
      </c>
      <c r="BY86" s="3">
        <f ca="1"/>
        <v>0.99285543362470374</v>
      </c>
      <c r="BZ86" s="3">
        <f ca="1"/>
        <v>0.99285543362470374</v>
      </c>
      <c r="CA86">
        <f ca="1"/>
        <v>0</v>
      </c>
      <c r="CB86" s="4">
        <f ca="1"/>
        <v>0</v>
      </c>
      <c r="CC86" s="4">
        <f ca="1"/>
        <v>0</v>
      </c>
      <c r="CD86" s="4">
        <f ca="1"/>
        <v>0</v>
      </c>
      <c r="CE86" t="e">
        <f ca="1"/>
        <v>#N/A</v>
      </c>
      <c r="CF86" t="e">
        <f ca="1"/>
        <v>#N/A</v>
      </c>
      <c r="CG86" t="e">
        <f ca="1"/>
        <v>#N/A</v>
      </c>
      <c r="CH86" t="e">
        <f ca="1"/>
        <v>#N/A</v>
      </c>
      <c r="CI86" t="e">
        <f ca="1"/>
        <v>#N/A</v>
      </c>
      <c r="CJ86" t="e">
        <f ca="1"/>
        <v>#N/A</v>
      </c>
      <c r="CK86" t="e">
        <f ca="1"/>
        <v>#N/A</v>
      </c>
      <c r="CL86" t="e">
        <f ca="1"/>
        <v>#N/A</v>
      </c>
      <c r="CM86" t="e">
        <f ca="1"/>
        <v>#N/A</v>
      </c>
      <c r="CN86" t="e">
        <f ca="1"/>
        <v>#N/A</v>
      </c>
    </row>
    <row r="87" spans="2:92" x14ac:dyDescent="0.25">
      <c r="B87">
        <f ca="1"/>
        <v>80</v>
      </c>
      <c r="C87" s="37">
        <f ca="1"/>
        <v>522318.41198900359</v>
      </c>
      <c r="D87" s="37">
        <f ca="1"/>
        <v>491608.74129409675</v>
      </c>
      <c r="E87" s="35">
        <f ca="1"/>
        <v>20822.178841244433</v>
      </c>
      <c r="F87" s="35">
        <f ca="1"/>
        <v>0</v>
      </c>
      <c r="G87" s="35">
        <f ca="1"/>
        <v>5932.4951121973982</v>
      </c>
      <c r="H87" s="35">
        <f ca="1"/>
        <v>0</v>
      </c>
      <c r="I87" s="35">
        <f ca="1"/>
        <v>9887.4918536623336</v>
      </c>
      <c r="J87" s="35">
        <f ca="1"/>
        <v>21763.267166208476</v>
      </c>
      <c r="K87" s="35">
        <f ca="1"/>
        <v>5328130.2168439077</v>
      </c>
      <c r="L87" s="35">
        <f ca="1"/>
        <v>5328130.2168439077</v>
      </c>
      <c r="M87" s="35">
        <f ca="1"/>
        <v>3196878.1301063458</v>
      </c>
      <c r="N87" s="45">
        <f ca="1"/>
        <v>46280</v>
      </c>
      <c r="O87" s="45">
        <f ca="1"/>
        <v>46280</v>
      </c>
      <c r="P87" s="45">
        <f ca="1"/>
        <v>46310</v>
      </c>
      <c r="Q87" s="45">
        <f ca="1"/>
        <v>46310</v>
      </c>
      <c r="R87" s="37">
        <f ca="1"/>
        <v>0</v>
      </c>
      <c r="S87" s="37">
        <f ca="1"/>
        <v>0</v>
      </c>
      <c r="T87" s="41">
        <f ca="1"/>
        <v>0</v>
      </c>
      <c r="U87" s="42">
        <f ca="1"/>
        <v>0</v>
      </c>
      <c r="V87" s="42">
        <f ca="1"/>
        <v>0</v>
      </c>
      <c r="W87">
        <f ca="1"/>
        <v>0</v>
      </c>
      <c r="X87">
        <f ca="1"/>
        <v>0</v>
      </c>
      <c r="Y87" s="4">
        <f ca="1"/>
        <v>0</v>
      </c>
      <c r="Z87" s="3">
        <f ca="1"/>
        <v>5.8157245265574344E-2</v>
      </c>
      <c r="AA87" t="str">
        <f ca="1"/>
        <v>SEQUENTIAL</v>
      </c>
      <c r="AB87" s="3">
        <f ca="1"/>
        <v>8.3333333333333329E-2</v>
      </c>
      <c r="AC87" s="3">
        <f ca="1"/>
        <v>8.1572452655743425E-3</v>
      </c>
      <c r="AD87" s="45">
        <f ca="1"/>
        <v>46280</v>
      </c>
      <c r="AE87" s="3">
        <f ca="1"/>
        <v>0.99219525135069342</v>
      </c>
      <c r="AF87" s="3">
        <f ca="1"/>
        <v>0.99219525135069342</v>
      </c>
      <c r="AG87">
        <f ca="1"/>
        <v>0</v>
      </c>
      <c r="AH87" s="35">
        <f ca="1"/>
        <v>0</v>
      </c>
      <c r="AI87" s="35">
        <f ca="1"/>
        <v>0</v>
      </c>
      <c r="AJ87" s="35">
        <f ca="1"/>
        <v>0</v>
      </c>
      <c r="AK87" s="36">
        <f ca="1"/>
        <v>46280</v>
      </c>
      <c r="AL87" s="36">
        <f ca="1"/>
        <v>46280</v>
      </c>
      <c r="AM87" s="36">
        <f ca="1"/>
        <v>46310</v>
      </c>
      <c r="AN87" s="36">
        <f ca="1"/>
        <v>46310</v>
      </c>
      <c r="AO87" s="37">
        <f ca="1"/>
        <v>0</v>
      </c>
      <c r="AP87" s="37">
        <f ca="1"/>
        <v>0</v>
      </c>
      <c r="AQ87" s="41">
        <f ca="1"/>
        <v>0</v>
      </c>
      <c r="AR87" s="42">
        <f ca="1"/>
        <v>0</v>
      </c>
      <c r="AS87" s="42">
        <f ca="1"/>
        <v>0</v>
      </c>
      <c r="AT87">
        <f ca="1"/>
        <v>0</v>
      </c>
      <c r="AU87">
        <f ca="1"/>
        <v>0</v>
      </c>
      <c r="AV87" s="4">
        <f ca="1"/>
        <v>0</v>
      </c>
      <c r="AW87" s="3">
        <f ca="1"/>
        <v>5.8157245265574344E-2</v>
      </c>
      <c r="AX87" t="str">
        <f ca="1"/>
        <v>SEQUENTIAL</v>
      </c>
      <c r="AY87" s="3">
        <f ca="1"/>
        <v>8.3333333333333329E-2</v>
      </c>
      <c r="AZ87" s="3">
        <f ca="1"/>
        <v>8.1572452655743425E-3</v>
      </c>
      <c r="BA87" s="45">
        <f ca="1"/>
        <v>46280</v>
      </c>
      <c r="BB87" s="3">
        <f ca="1"/>
        <v>0.99219525135069342</v>
      </c>
      <c r="BC87" s="3">
        <f ca="1"/>
        <v>0.99219525135069342</v>
      </c>
      <c r="BD87">
        <f ca="1"/>
        <v>0</v>
      </c>
      <c r="BE87" s="4">
        <f ca="1"/>
        <v>0</v>
      </c>
      <c r="BF87" s="4">
        <f ca="1"/>
        <v>0</v>
      </c>
      <c r="BG87" s="4">
        <f ca="1"/>
        <v>0</v>
      </c>
      <c r="BH87" s="45">
        <f ca="1"/>
        <v>46280</v>
      </c>
      <c r="BI87" s="45">
        <f ca="1"/>
        <v>46280</v>
      </c>
      <c r="BJ87" s="45">
        <f ca="1"/>
        <v>46310</v>
      </c>
      <c r="BK87" s="45">
        <f ca="1"/>
        <v>46310</v>
      </c>
      <c r="BL87" s="37">
        <f ca="1"/>
        <v>0</v>
      </c>
      <c r="BM87" s="37">
        <f ca="1"/>
        <v>0</v>
      </c>
      <c r="BN87" s="40">
        <f ca="1"/>
        <v>0</v>
      </c>
      <c r="BO87" s="42">
        <f ca="1"/>
        <v>0</v>
      </c>
      <c r="BP87" s="42">
        <f ca="1"/>
        <v>0</v>
      </c>
      <c r="BQ87">
        <f ca="1"/>
        <v>0</v>
      </c>
      <c r="BR87">
        <f ca="1"/>
        <v>0</v>
      </c>
      <c r="BS87" s="4">
        <f ca="1"/>
        <v>0</v>
      </c>
      <c r="BT87" s="3">
        <f ca="1"/>
        <v>5.8157245265574344E-2</v>
      </c>
      <c r="BU87" t="str">
        <f ca="1"/>
        <v>SEQUENTIAL</v>
      </c>
      <c r="BV87" s="3">
        <f ca="1"/>
        <v>8.3333333333333329E-2</v>
      </c>
      <c r="BW87" s="3">
        <f ca="1"/>
        <v>8.1572452655743425E-3</v>
      </c>
      <c r="BX87" s="45">
        <f ca="1"/>
        <v>46280</v>
      </c>
      <c r="BY87" s="3">
        <f ca="1"/>
        <v>0.99219525135069342</v>
      </c>
      <c r="BZ87" s="3">
        <f ca="1"/>
        <v>0.99219525135069342</v>
      </c>
      <c r="CA87">
        <f ca="1"/>
        <v>0</v>
      </c>
      <c r="CB87" s="4">
        <f ca="1"/>
        <v>0</v>
      </c>
      <c r="CC87" s="4">
        <f ca="1"/>
        <v>0</v>
      </c>
      <c r="CD87" s="4">
        <f ca="1"/>
        <v>0</v>
      </c>
      <c r="CE87" t="e">
        <f ca="1"/>
        <v>#N/A</v>
      </c>
      <c r="CF87" t="e">
        <f ca="1"/>
        <v>#N/A</v>
      </c>
      <c r="CG87" t="e">
        <f ca="1"/>
        <v>#N/A</v>
      </c>
      <c r="CH87" t="e">
        <f ca="1"/>
        <v>#N/A</v>
      </c>
      <c r="CI87" t="e">
        <f ca="1"/>
        <v>#N/A</v>
      </c>
      <c r="CJ87" t="e">
        <f ca="1"/>
        <v>#N/A</v>
      </c>
      <c r="CK87" t="e">
        <f ca="1"/>
        <v>#N/A</v>
      </c>
      <c r="CL87" t="e">
        <f ca="1"/>
        <v>#N/A</v>
      </c>
      <c r="CM87" t="e">
        <f ca="1"/>
        <v>#N/A</v>
      </c>
      <c r="CN87" t="e">
        <f ca="1"/>
        <v>#N/A</v>
      </c>
    </row>
    <row r="88" spans="2:92" x14ac:dyDescent="0.25">
      <c r="B88">
        <f ca="1"/>
        <v>81</v>
      </c>
      <c r="C88" s="37">
        <f ca="1"/>
        <v>491608.74129409675</v>
      </c>
      <c r="D88" s="37">
        <f ca="1"/>
        <v>463098.26440124371</v>
      </c>
      <c r="E88" s="35">
        <f ca="1"/>
        <v>19204.319359128251</v>
      </c>
      <c r="F88" s="35">
        <f ca="1"/>
        <v>0</v>
      </c>
      <c r="G88" s="35">
        <f ca="1"/>
        <v>5583.6945202348061</v>
      </c>
      <c r="H88" s="35">
        <f ca="1"/>
        <v>0</v>
      </c>
      <c r="I88" s="35">
        <f ca="1"/>
        <v>9306.1575337246722</v>
      </c>
      <c r="J88" s="35">
        <f ca="1"/>
        <v>20483.697553920691</v>
      </c>
      <c r="K88" s="35">
        <f ca="1"/>
        <v>5337436.3743776325</v>
      </c>
      <c r="L88" s="35">
        <f ca="1"/>
        <v>5337436.3743776325</v>
      </c>
      <c r="M88" s="35">
        <f ca="1"/>
        <v>3202461.8246265803</v>
      </c>
      <c r="N88" s="45">
        <f ca="1"/>
        <v>46310</v>
      </c>
      <c r="O88" s="45">
        <f ca="1"/>
        <v>46310</v>
      </c>
      <c r="P88" s="45">
        <f ca="1"/>
        <v>46342</v>
      </c>
      <c r="Q88" s="45">
        <f ca="1"/>
        <v>46342</v>
      </c>
      <c r="R88" s="37">
        <f ca="1"/>
        <v>0</v>
      </c>
      <c r="S88" s="37">
        <f ca="1"/>
        <v>0</v>
      </c>
      <c r="T88" s="41">
        <f ca="1"/>
        <v>0</v>
      </c>
      <c r="U88" s="42">
        <f ca="1"/>
        <v>0</v>
      </c>
      <c r="V88" s="42">
        <f ca="1"/>
        <v>0</v>
      </c>
      <c r="W88">
        <f ca="1"/>
        <v>0</v>
      </c>
      <c r="X88">
        <f ca="1"/>
        <v>0</v>
      </c>
      <c r="Y88" s="4">
        <f ca="1"/>
        <v>0</v>
      </c>
      <c r="Z88" s="3">
        <f ca="1"/>
        <v>5.8318569603136035E-2</v>
      </c>
      <c r="AA88" t="str">
        <f ca="1"/>
        <v>SEQUENTIAL</v>
      </c>
      <c r="AB88" s="3">
        <f ca="1"/>
        <v>8.8888888888888892E-2</v>
      </c>
      <c r="AC88" s="3">
        <f ca="1"/>
        <v>8.3185696031360303E-3</v>
      </c>
      <c r="AD88" s="45">
        <f ca="1"/>
        <v>46310</v>
      </c>
      <c r="AE88" s="3">
        <f ca="1"/>
        <v>0.99147685216064951</v>
      </c>
      <c r="AF88" s="3">
        <f ca="1"/>
        <v>0.99147685216064951</v>
      </c>
      <c r="AG88">
        <f ca="1"/>
        <v>0</v>
      </c>
      <c r="AH88" s="35">
        <f ca="1"/>
        <v>0</v>
      </c>
      <c r="AI88" s="35">
        <f ca="1"/>
        <v>0</v>
      </c>
      <c r="AJ88" s="35">
        <f ca="1"/>
        <v>0</v>
      </c>
      <c r="AK88" s="36">
        <f ca="1"/>
        <v>46310</v>
      </c>
      <c r="AL88" s="36">
        <f ca="1"/>
        <v>46310</v>
      </c>
      <c r="AM88" s="36">
        <f ca="1"/>
        <v>46342</v>
      </c>
      <c r="AN88" s="36">
        <f ca="1"/>
        <v>46342</v>
      </c>
      <c r="AO88" s="37">
        <f ca="1"/>
        <v>0</v>
      </c>
      <c r="AP88" s="37">
        <f ca="1"/>
        <v>0</v>
      </c>
      <c r="AQ88" s="41">
        <f ca="1"/>
        <v>0</v>
      </c>
      <c r="AR88" s="42">
        <f ca="1"/>
        <v>0</v>
      </c>
      <c r="AS88" s="42">
        <f ca="1"/>
        <v>0</v>
      </c>
      <c r="AT88">
        <f ca="1"/>
        <v>0</v>
      </c>
      <c r="AU88">
        <f ca="1"/>
        <v>0</v>
      </c>
      <c r="AV88" s="4">
        <f ca="1"/>
        <v>0</v>
      </c>
      <c r="AW88" s="3">
        <f ca="1"/>
        <v>5.8318569603136035E-2</v>
      </c>
      <c r="AX88" t="str">
        <f ca="1"/>
        <v>SEQUENTIAL</v>
      </c>
      <c r="AY88" s="3">
        <f ca="1"/>
        <v>8.8888888888888892E-2</v>
      </c>
      <c r="AZ88" s="3">
        <f ca="1"/>
        <v>8.3185696031360303E-3</v>
      </c>
      <c r="BA88" s="45">
        <f ca="1"/>
        <v>46310</v>
      </c>
      <c r="BB88" s="3">
        <f ca="1"/>
        <v>0.99147685216064951</v>
      </c>
      <c r="BC88" s="3">
        <f ca="1"/>
        <v>0.99147685216064951</v>
      </c>
      <c r="BD88">
        <f ca="1"/>
        <v>0</v>
      </c>
      <c r="BE88" s="4">
        <f ca="1"/>
        <v>0</v>
      </c>
      <c r="BF88" s="4">
        <f ca="1"/>
        <v>0</v>
      </c>
      <c r="BG88" s="4">
        <f ca="1"/>
        <v>0</v>
      </c>
      <c r="BH88" s="45">
        <f ca="1"/>
        <v>46310</v>
      </c>
      <c r="BI88" s="45">
        <f ca="1"/>
        <v>46310</v>
      </c>
      <c r="BJ88" s="45">
        <f ca="1"/>
        <v>46342</v>
      </c>
      <c r="BK88" s="45">
        <f ca="1"/>
        <v>46342</v>
      </c>
      <c r="BL88" s="37">
        <f ca="1"/>
        <v>0</v>
      </c>
      <c r="BM88" s="37">
        <f ca="1"/>
        <v>0</v>
      </c>
      <c r="BN88" s="40">
        <f ca="1"/>
        <v>0</v>
      </c>
      <c r="BO88" s="42">
        <f ca="1"/>
        <v>0</v>
      </c>
      <c r="BP88" s="42">
        <f ca="1"/>
        <v>0</v>
      </c>
      <c r="BQ88">
        <f ca="1"/>
        <v>0</v>
      </c>
      <c r="BR88">
        <f ca="1"/>
        <v>0</v>
      </c>
      <c r="BS88" s="4">
        <f ca="1"/>
        <v>0</v>
      </c>
      <c r="BT88" s="3">
        <f ca="1"/>
        <v>5.8318569603136035E-2</v>
      </c>
      <c r="BU88" t="str">
        <f ca="1"/>
        <v>SEQUENTIAL</v>
      </c>
      <c r="BV88" s="3">
        <f ca="1"/>
        <v>8.8888888888888892E-2</v>
      </c>
      <c r="BW88" s="3">
        <f ca="1"/>
        <v>8.3185696031360303E-3</v>
      </c>
      <c r="BX88" s="45">
        <f ca="1"/>
        <v>46310</v>
      </c>
      <c r="BY88" s="3">
        <f ca="1"/>
        <v>0.99147685216064951</v>
      </c>
      <c r="BZ88" s="3">
        <f ca="1"/>
        <v>0.99147685216064951</v>
      </c>
      <c r="CA88">
        <f ca="1"/>
        <v>0</v>
      </c>
      <c r="CB88" s="4">
        <f ca="1"/>
        <v>0</v>
      </c>
      <c r="CC88" s="4">
        <f ca="1"/>
        <v>0</v>
      </c>
      <c r="CD88" s="4">
        <f ca="1"/>
        <v>0</v>
      </c>
      <c r="CE88" t="e">
        <f ca="1"/>
        <v>#N/A</v>
      </c>
      <c r="CF88" t="e">
        <f ca="1"/>
        <v>#N/A</v>
      </c>
      <c r="CG88" t="e">
        <f ca="1"/>
        <v>#N/A</v>
      </c>
      <c r="CH88" t="e">
        <f ca="1"/>
        <v>#N/A</v>
      </c>
      <c r="CI88" t="e">
        <f ca="1"/>
        <v>#N/A</v>
      </c>
      <c r="CJ88" t="e">
        <f ca="1"/>
        <v>#N/A</v>
      </c>
      <c r="CK88" t="e">
        <f ca="1"/>
        <v>#N/A</v>
      </c>
      <c r="CL88" t="e">
        <f ca="1"/>
        <v>#N/A</v>
      </c>
      <c r="CM88" t="e">
        <f ca="1"/>
        <v>#N/A</v>
      </c>
      <c r="CN88" t="e">
        <f ca="1"/>
        <v>#N/A</v>
      </c>
    </row>
    <row r="89" spans="2:92" x14ac:dyDescent="0.25">
      <c r="B89">
        <f ca="1"/>
        <v>82</v>
      </c>
      <c r="C89" s="37">
        <f ca="1"/>
        <v>463098.26440124371</v>
      </c>
      <c r="D89" s="37">
        <f ca="1"/>
        <v>434960.14674586669</v>
      </c>
      <c r="E89" s="35">
        <f ca="1"/>
        <v>19371.663684750361</v>
      </c>
      <c r="F89" s="35">
        <f ca="1"/>
        <v>0</v>
      </c>
      <c r="G89" s="35">
        <f ca="1"/>
        <v>5259.8723823760556</v>
      </c>
      <c r="H89" s="35">
        <f ca="1"/>
        <v>0</v>
      </c>
      <c r="I89" s="35">
        <f ca="1"/>
        <v>8766.4539706267551</v>
      </c>
      <c r="J89" s="35">
        <f ca="1"/>
        <v>19295.761016718487</v>
      </c>
      <c r="K89" s="35">
        <f ca="1"/>
        <v>5346202.8283482594</v>
      </c>
      <c r="L89" s="35">
        <f ca="1"/>
        <v>5346202.8283482594</v>
      </c>
      <c r="M89" s="35">
        <f ca="1"/>
        <v>3207721.6970089562</v>
      </c>
      <c r="N89" s="45">
        <f ca="1"/>
        <v>46342</v>
      </c>
      <c r="O89" s="45">
        <f ca="1"/>
        <v>46342</v>
      </c>
      <c r="P89" s="45">
        <f ca="1"/>
        <v>46371</v>
      </c>
      <c r="Q89" s="45">
        <f ca="1"/>
        <v>46371</v>
      </c>
      <c r="R89" s="37">
        <f ca="1"/>
        <v>0</v>
      </c>
      <c r="S89" s="37">
        <f ca="1"/>
        <v>0</v>
      </c>
      <c r="T89" s="41">
        <f ca="1"/>
        <v>0</v>
      </c>
      <c r="U89" s="42">
        <f ca="1"/>
        <v>0</v>
      </c>
      <c r="V89" s="42">
        <f ca="1"/>
        <v>0</v>
      </c>
      <c r="W89">
        <f ca="1"/>
        <v>0</v>
      </c>
      <c r="X89">
        <f ca="1"/>
        <v>0</v>
      </c>
      <c r="Y89" s="4">
        <f ca="1"/>
        <v>0</v>
      </c>
      <c r="Z89" s="3">
        <f ca="1"/>
        <v>5.8488414095404659E-2</v>
      </c>
      <c r="AA89" t="str">
        <f ca="1"/>
        <v>SEQUENTIAL</v>
      </c>
      <c r="AB89" s="3">
        <f ca="1"/>
        <v>8.0555555555555561E-2</v>
      </c>
      <c r="AC89" s="3">
        <f ca="1"/>
        <v>8.4884140954046595E-3</v>
      </c>
      <c r="AD89" s="45">
        <f ca="1"/>
        <v>46342</v>
      </c>
      <c r="AE89" s="3">
        <f ca="1"/>
        <v>0.99081322652828718</v>
      </c>
      <c r="AF89" s="3">
        <f ca="1"/>
        <v>0.99081322652828718</v>
      </c>
      <c r="AG89">
        <f ca="1"/>
        <v>0</v>
      </c>
      <c r="AH89" s="35">
        <f ca="1"/>
        <v>0</v>
      </c>
      <c r="AI89" s="35">
        <f ca="1"/>
        <v>0</v>
      </c>
      <c r="AJ89" s="35">
        <f ca="1"/>
        <v>0</v>
      </c>
      <c r="AK89" s="36">
        <f ca="1"/>
        <v>46342</v>
      </c>
      <c r="AL89" s="36">
        <f ca="1"/>
        <v>46342</v>
      </c>
      <c r="AM89" s="36">
        <f ca="1"/>
        <v>46371</v>
      </c>
      <c r="AN89" s="36">
        <f ca="1"/>
        <v>46371</v>
      </c>
      <c r="AO89" s="37">
        <f ca="1"/>
        <v>0</v>
      </c>
      <c r="AP89" s="37">
        <f ca="1"/>
        <v>0</v>
      </c>
      <c r="AQ89" s="41">
        <f ca="1"/>
        <v>0</v>
      </c>
      <c r="AR89" s="42">
        <f ca="1"/>
        <v>0</v>
      </c>
      <c r="AS89" s="42">
        <f ca="1"/>
        <v>0</v>
      </c>
      <c r="AT89">
        <f ca="1"/>
        <v>0</v>
      </c>
      <c r="AU89">
        <f ca="1"/>
        <v>0</v>
      </c>
      <c r="AV89" s="4">
        <f ca="1"/>
        <v>0</v>
      </c>
      <c r="AW89" s="3">
        <f ca="1"/>
        <v>5.8488414095404659E-2</v>
      </c>
      <c r="AX89" t="str">
        <f ca="1"/>
        <v>SEQUENTIAL</v>
      </c>
      <c r="AY89" s="3">
        <f ca="1"/>
        <v>8.0555555555555561E-2</v>
      </c>
      <c r="AZ89" s="3">
        <f ca="1"/>
        <v>8.4884140954046595E-3</v>
      </c>
      <c r="BA89" s="45">
        <f ca="1"/>
        <v>46342</v>
      </c>
      <c r="BB89" s="3">
        <f ca="1"/>
        <v>0.99081322652828718</v>
      </c>
      <c r="BC89" s="3">
        <f ca="1"/>
        <v>0.99081322652828718</v>
      </c>
      <c r="BD89">
        <f ca="1"/>
        <v>0</v>
      </c>
      <c r="BE89" s="4">
        <f ca="1"/>
        <v>0</v>
      </c>
      <c r="BF89" s="4">
        <f ca="1"/>
        <v>0</v>
      </c>
      <c r="BG89" s="4">
        <f ca="1"/>
        <v>0</v>
      </c>
      <c r="BH89" s="45">
        <f ca="1"/>
        <v>46342</v>
      </c>
      <c r="BI89" s="45">
        <f ca="1"/>
        <v>46342</v>
      </c>
      <c r="BJ89" s="45">
        <f ca="1"/>
        <v>46371</v>
      </c>
      <c r="BK89" s="45">
        <f ca="1"/>
        <v>46371</v>
      </c>
      <c r="BL89" s="37">
        <f ca="1"/>
        <v>0</v>
      </c>
      <c r="BM89" s="37">
        <f ca="1"/>
        <v>0</v>
      </c>
      <c r="BN89" s="40">
        <f ca="1"/>
        <v>0</v>
      </c>
      <c r="BO89" s="42">
        <f ca="1"/>
        <v>0</v>
      </c>
      <c r="BP89" s="42">
        <f ca="1"/>
        <v>0</v>
      </c>
      <c r="BQ89">
        <f ca="1"/>
        <v>0</v>
      </c>
      <c r="BR89">
        <f ca="1"/>
        <v>0</v>
      </c>
      <c r="BS89" s="4">
        <f ca="1"/>
        <v>0</v>
      </c>
      <c r="BT89" s="3">
        <f ca="1"/>
        <v>5.8488414095404659E-2</v>
      </c>
      <c r="BU89" t="str">
        <f ca="1"/>
        <v>SEQUENTIAL</v>
      </c>
      <c r="BV89" s="3">
        <f ca="1"/>
        <v>8.0555555555555561E-2</v>
      </c>
      <c r="BW89" s="3">
        <f ca="1"/>
        <v>8.4884140954046595E-3</v>
      </c>
      <c r="BX89" s="45">
        <f ca="1"/>
        <v>46342</v>
      </c>
      <c r="BY89" s="3">
        <f ca="1"/>
        <v>0.99081322652828718</v>
      </c>
      <c r="BZ89" s="3">
        <f ca="1"/>
        <v>0.99081322652828718</v>
      </c>
      <c r="CA89">
        <f ca="1"/>
        <v>0</v>
      </c>
      <c r="CB89" s="4">
        <f ca="1"/>
        <v>0</v>
      </c>
      <c r="CC89" s="4">
        <f ca="1"/>
        <v>0</v>
      </c>
      <c r="CD89" s="4">
        <f ca="1"/>
        <v>0</v>
      </c>
      <c r="CE89" t="e">
        <f ca="1"/>
        <v>#N/A</v>
      </c>
      <c r="CF89" t="e">
        <f ca="1"/>
        <v>#N/A</v>
      </c>
      <c r="CG89" t="e">
        <f ca="1"/>
        <v>#N/A</v>
      </c>
      <c r="CH89" t="e">
        <f ca="1"/>
        <v>#N/A</v>
      </c>
      <c r="CI89" t="e">
        <f ca="1"/>
        <v>#N/A</v>
      </c>
      <c r="CJ89" t="e">
        <f ca="1"/>
        <v>#N/A</v>
      </c>
      <c r="CK89" t="e">
        <f ca="1"/>
        <v>#N/A</v>
      </c>
      <c r="CL89" t="e">
        <f ca="1"/>
        <v>#N/A</v>
      </c>
      <c r="CM89" t="e">
        <f ca="1"/>
        <v>#N/A</v>
      </c>
      <c r="CN89" t="e">
        <f ca="1"/>
        <v>#N/A</v>
      </c>
    </row>
    <row r="90" spans="2:92" x14ac:dyDescent="0.25">
      <c r="B90">
        <f ca="1"/>
        <v>83</v>
      </c>
      <c r="C90" s="37">
        <f ca="1"/>
        <v>434960.14674586669</v>
      </c>
      <c r="D90" s="37">
        <f ca="1"/>
        <v>407731.52912546607</v>
      </c>
      <c r="E90" s="35">
        <f ca="1"/>
        <v>18994.818449430393</v>
      </c>
      <c r="F90" s="35">
        <f ca="1"/>
        <v>0</v>
      </c>
      <c r="G90" s="35">
        <f ca="1"/>
        <v>4940.2795025821215</v>
      </c>
      <c r="H90" s="35">
        <f ca="1"/>
        <v>0</v>
      </c>
      <c r="I90" s="35">
        <f ca="1"/>
        <v>8233.7991709702001</v>
      </c>
      <c r="J90" s="35">
        <f ca="1"/>
        <v>18123.339447744431</v>
      </c>
      <c r="K90" s="35">
        <f ca="1"/>
        <v>5354436.6275192294</v>
      </c>
      <c r="L90" s="35">
        <f ca="1"/>
        <v>5354436.6275192294</v>
      </c>
      <c r="M90" s="35">
        <f ca="1"/>
        <v>3212661.9765115385</v>
      </c>
      <c r="N90" s="45">
        <f ca="1"/>
        <v>46371</v>
      </c>
      <c r="O90" s="45">
        <f ca="1"/>
        <v>46371</v>
      </c>
      <c r="P90" s="45">
        <f ca="1"/>
        <v>46402</v>
      </c>
      <c r="Q90" s="45">
        <f ca="1"/>
        <v>46402</v>
      </c>
      <c r="R90" s="37">
        <f ca="1"/>
        <v>0</v>
      </c>
      <c r="S90" s="37">
        <f ca="1"/>
        <v>0</v>
      </c>
      <c r="T90" s="41">
        <f ca="1"/>
        <v>0</v>
      </c>
      <c r="U90" s="42">
        <f ca="1"/>
        <v>0</v>
      </c>
      <c r="V90" s="42">
        <f ca="1"/>
        <v>0</v>
      </c>
      <c r="W90">
        <f ca="1"/>
        <v>0</v>
      </c>
      <c r="X90">
        <f ca="1"/>
        <v>0</v>
      </c>
      <c r="Y90" s="4">
        <f ca="1"/>
        <v>0</v>
      </c>
      <c r="Z90" s="3">
        <f ca="1"/>
        <v>5.8639597425896646E-2</v>
      </c>
      <c r="AA90" t="str">
        <f ca="1"/>
        <v>SEQUENTIAL</v>
      </c>
      <c r="AB90" s="3">
        <f ca="1"/>
        <v>8.611111111111111E-2</v>
      </c>
      <c r="AC90" s="3">
        <f ca="1"/>
        <v>8.6395974258966449E-3</v>
      </c>
      <c r="AD90" s="45">
        <f ca="1"/>
        <v>46371</v>
      </c>
      <c r="AE90" s="3">
        <f ca="1"/>
        <v>0.99009070562519352</v>
      </c>
      <c r="AF90" s="3">
        <f ca="1"/>
        <v>0.99009070562519352</v>
      </c>
      <c r="AG90">
        <f ca="1"/>
        <v>0</v>
      </c>
      <c r="AH90" s="35">
        <f ca="1"/>
        <v>0</v>
      </c>
      <c r="AI90" s="35">
        <f ca="1"/>
        <v>0</v>
      </c>
      <c r="AJ90" s="35">
        <f ca="1"/>
        <v>0</v>
      </c>
      <c r="AK90" s="36">
        <f ca="1"/>
        <v>46371</v>
      </c>
      <c r="AL90" s="36">
        <f ca="1"/>
        <v>46371</v>
      </c>
      <c r="AM90" s="36">
        <f ca="1"/>
        <v>46402</v>
      </c>
      <c r="AN90" s="36">
        <f ca="1"/>
        <v>46402</v>
      </c>
      <c r="AO90" s="37">
        <f ca="1"/>
        <v>0</v>
      </c>
      <c r="AP90" s="37">
        <f ca="1"/>
        <v>0</v>
      </c>
      <c r="AQ90" s="41">
        <f ca="1"/>
        <v>0</v>
      </c>
      <c r="AR90" s="42">
        <f ca="1"/>
        <v>0</v>
      </c>
      <c r="AS90" s="42">
        <f ca="1"/>
        <v>0</v>
      </c>
      <c r="AT90">
        <f ca="1"/>
        <v>0</v>
      </c>
      <c r="AU90">
        <f ca="1"/>
        <v>0</v>
      </c>
      <c r="AV90" s="4">
        <f ca="1"/>
        <v>0</v>
      </c>
      <c r="AW90" s="3">
        <f ca="1"/>
        <v>5.8639597425896646E-2</v>
      </c>
      <c r="AX90" t="str">
        <f ca="1"/>
        <v>SEQUENTIAL</v>
      </c>
      <c r="AY90" s="3">
        <f ca="1"/>
        <v>8.611111111111111E-2</v>
      </c>
      <c r="AZ90" s="3">
        <f ca="1"/>
        <v>8.6395974258966449E-3</v>
      </c>
      <c r="BA90" s="45">
        <f ca="1"/>
        <v>46371</v>
      </c>
      <c r="BB90" s="3">
        <f ca="1"/>
        <v>0.99009070562519352</v>
      </c>
      <c r="BC90" s="3">
        <f ca="1"/>
        <v>0.99009070562519352</v>
      </c>
      <c r="BD90">
        <f ca="1"/>
        <v>0</v>
      </c>
      <c r="BE90" s="4">
        <f ca="1"/>
        <v>0</v>
      </c>
      <c r="BF90" s="4">
        <f ca="1"/>
        <v>0</v>
      </c>
      <c r="BG90" s="4">
        <f ca="1"/>
        <v>0</v>
      </c>
      <c r="BH90" s="45">
        <f ca="1"/>
        <v>46371</v>
      </c>
      <c r="BI90" s="45">
        <f ca="1"/>
        <v>46371</v>
      </c>
      <c r="BJ90" s="45">
        <f ca="1"/>
        <v>46402</v>
      </c>
      <c r="BK90" s="45">
        <f ca="1"/>
        <v>46402</v>
      </c>
      <c r="BL90" s="37">
        <f ca="1"/>
        <v>0</v>
      </c>
      <c r="BM90" s="37">
        <f ca="1"/>
        <v>0</v>
      </c>
      <c r="BN90" s="40">
        <f ca="1"/>
        <v>0</v>
      </c>
      <c r="BO90" s="42">
        <f ca="1"/>
        <v>0</v>
      </c>
      <c r="BP90" s="42">
        <f ca="1"/>
        <v>0</v>
      </c>
      <c r="BQ90">
        <f ca="1"/>
        <v>0</v>
      </c>
      <c r="BR90">
        <f ca="1"/>
        <v>0</v>
      </c>
      <c r="BS90" s="4">
        <f ca="1"/>
        <v>0</v>
      </c>
      <c r="BT90" s="3">
        <f ca="1"/>
        <v>5.8639597425896646E-2</v>
      </c>
      <c r="BU90" t="str">
        <f ca="1"/>
        <v>SEQUENTIAL</v>
      </c>
      <c r="BV90" s="3">
        <f ca="1"/>
        <v>8.611111111111111E-2</v>
      </c>
      <c r="BW90" s="3">
        <f ca="1"/>
        <v>8.6395974258966449E-3</v>
      </c>
      <c r="BX90" s="45">
        <f ca="1"/>
        <v>46371</v>
      </c>
      <c r="BY90" s="3">
        <f ca="1"/>
        <v>0.99009070562519352</v>
      </c>
      <c r="BZ90" s="3">
        <f ca="1"/>
        <v>0.99009070562519352</v>
      </c>
      <c r="CA90">
        <f ca="1"/>
        <v>0</v>
      </c>
      <c r="CB90" s="4">
        <f ca="1"/>
        <v>0</v>
      </c>
      <c r="CC90" s="4">
        <f ca="1"/>
        <v>0</v>
      </c>
      <c r="CD90" s="4">
        <f ca="1"/>
        <v>0</v>
      </c>
      <c r="CE90" t="e">
        <f ca="1"/>
        <v>#N/A</v>
      </c>
      <c r="CF90" t="e">
        <f ca="1"/>
        <v>#N/A</v>
      </c>
      <c r="CG90" t="e">
        <f ca="1"/>
        <v>#N/A</v>
      </c>
      <c r="CH90" t="e">
        <f ca="1"/>
        <v>#N/A</v>
      </c>
      <c r="CI90" t="e">
        <f ca="1"/>
        <v>#N/A</v>
      </c>
      <c r="CJ90" t="e">
        <f ca="1"/>
        <v>#N/A</v>
      </c>
      <c r="CK90" t="e">
        <f ca="1"/>
        <v>#N/A</v>
      </c>
      <c r="CL90" t="e">
        <f ca="1"/>
        <v>#N/A</v>
      </c>
      <c r="CM90" t="e">
        <f ca="1"/>
        <v>#N/A</v>
      </c>
      <c r="CN90" t="e">
        <f ca="1"/>
        <v>#N/A</v>
      </c>
    </row>
    <row r="91" spans="2:92" x14ac:dyDescent="0.25">
      <c r="B91">
        <f ca="1"/>
        <v>84</v>
      </c>
      <c r="C91" s="37">
        <f ca="1"/>
        <v>407731.52912546607</v>
      </c>
      <c r="D91" s="37">
        <f ca="1"/>
        <v>381049.22908237425</v>
      </c>
      <c r="E91" s="35">
        <f ca="1"/>
        <v>18963.938828602928</v>
      </c>
      <c r="F91" s="35">
        <f ca="1"/>
        <v>0</v>
      </c>
      <c r="G91" s="35">
        <f ca="1"/>
        <v>4631.0167286933111</v>
      </c>
      <c r="H91" s="35">
        <f ca="1"/>
        <v>0</v>
      </c>
      <c r="I91" s="35">
        <f ca="1"/>
        <v>7718.3612144888484</v>
      </c>
      <c r="J91" s="35">
        <f ca="1"/>
        <v>16988.813713561096</v>
      </c>
      <c r="K91" s="35">
        <f ca="1"/>
        <v>5362154.9887337182</v>
      </c>
      <c r="L91" s="35">
        <f ca="1"/>
        <v>5362154.9887337182</v>
      </c>
      <c r="M91" s="35">
        <f ca="1"/>
        <v>3217292.9932402316</v>
      </c>
      <c r="N91" s="45">
        <f ca="1"/>
        <v>46402</v>
      </c>
      <c r="O91" s="45">
        <f ca="1"/>
        <v>46402</v>
      </c>
      <c r="P91" s="45">
        <f ca="1"/>
        <v>46433</v>
      </c>
      <c r="Q91" s="45">
        <f ca="1"/>
        <v>46433</v>
      </c>
      <c r="R91" s="37">
        <f ca="1"/>
        <v>0</v>
      </c>
      <c r="S91" s="37">
        <f ca="1"/>
        <v>0</v>
      </c>
      <c r="T91" s="41">
        <f ca="1"/>
        <v>0</v>
      </c>
      <c r="U91" s="42">
        <f ca="1"/>
        <v>0</v>
      </c>
      <c r="V91" s="42">
        <f ca="1"/>
        <v>0</v>
      </c>
      <c r="W91">
        <f ca="1"/>
        <v>0</v>
      </c>
      <c r="X91">
        <f ca="1"/>
        <v>0</v>
      </c>
      <c r="Y91" s="4">
        <f ca="1"/>
        <v>0</v>
      </c>
      <c r="Z91" s="3">
        <f ca="1"/>
        <v>5.8799861484490651E-2</v>
      </c>
      <c r="AA91" t="str">
        <f ca="1"/>
        <v>SEQUENTIAL</v>
      </c>
      <c r="AB91" s="3">
        <f ca="1"/>
        <v>8.611111111111111E-2</v>
      </c>
      <c r="AC91" s="3">
        <f ca="1"/>
        <v>8.7998614844906446E-3</v>
      </c>
      <c r="AD91" s="45">
        <f ca="1"/>
        <v>46402</v>
      </c>
      <c r="AE91" s="3">
        <f ca="1"/>
        <v>0.98935471677031128</v>
      </c>
      <c r="AF91" s="3">
        <f ca="1"/>
        <v>0.98935471677031128</v>
      </c>
      <c r="AG91">
        <f ca="1"/>
        <v>0</v>
      </c>
      <c r="AH91" s="35">
        <f ca="1"/>
        <v>0</v>
      </c>
      <c r="AI91" s="35">
        <f ca="1"/>
        <v>0</v>
      </c>
      <c r="AJ91" s="35">
        <f ca="1"/>
        <v>0</v>
      </c>
      <c r="AK91" s="36">
        <f ca="1"/>
        <v>46402</v>
      </c>
      <c r="AL91" s="36">
        <f ca="1"/>
        <v>46402</v>
      </c>
      <c r="AM91" s="36">
        <f ca="1"/>
        <v>46433</v>
      </c>
      <c r="AN91" s="36">
        <f ca="1"/>
        <v>46433</v>
      </c>
      <c r="AO91" s="37">
        <f ca="1"/>
        <v>0</v>
      </c>
      <c r="AP91" s="37">
        <f ca="1"/>
        <v>0</v>
      </c>
      <c r="AQ91" s="41">
        <f ca="1"/>
        <v>0</v>
      </c>
      <c r="AR91" s="42">
        <f ca="1"/>
        <v>0</v>
      </c>
      <c r="AS91" s="42">
        <f ca="1"/>
        <v>0</v>
      </c>
      <c r="AT91">
        <f ca="1"/>
        <v>0</v>
      </c>
      <c r="AU91">
        <f ca="1"/>
        <v>0</v>
      </c>
      <c r="AV91" s="4">
        <f ca="1"/>
        <v>0</v>
      </c>
      <c r="AW91" s="3">
        <f ca="1"/>
        <v>5.8799861484490651E-2</v>
      </c>
      <c r="AX91" t="str">
        <f ca="1"/>
        <v>SEQUENTIAL</v>
      </c>
      <c r="AY91" s="3">
        <f ca="1"/>
        <v>8.611111111111111E-2</v>
      </c>
      <c r="AZ91" s="3">
        <f ca="1"/>
        <v>8.7998614844906446E-3</v>
      </c>
      <c r="BA91" s="45">
        <f ca="1"/>
        <v>46402</v>
      </c>
      <c r="BB91" s="3">
        <f ca="1"/>
        <v>0.98935471677031128</v>
      </c>
      <c r="BC91" s="3">
        <f ca="1"/>
        <v>0.98935471677031128</v>
      </c>
      <c r="BD91">
        <f ca="1"/>
        <v>0</v>
      </c>
      <c r="BE91" s="4">
        <f ca="1"/>
        <v>0</v>
      </c>
      <c r="BF91" s="4">
        <f ca="1"/>
        <v>0</v>
      </c>
      <c r="BG91" s="4">
        <f ca="1"/>
        <v>0</v>
      </c>
      <c r="BH91" s="45">
        <f ca="1"/>
        <v>46402</v>
      </c>
      <c r="BI91" s="45">
        <f ca="1"/>
        <v>46402</v>
      </c>
      <c r="BJ91" s="45">
        <f ca="1"/>
        <v>46433</v>
      </c>
      <c r="BK91" s="45">
        <f ca="1"/>
        <v>46433</v>
      </c>
      <c r="BL91" s="37">
        <f ca="1"/>
        <v>0</v>
      </c>
      <c r="BM91" s="37">
        <f ca="1"/>
        <v>0</v>
      </c>
      <c r="BN91" s="40">
        <f ca="1"/>
        <v>0</v>
      </c>
      <c r="BO91" s="42">
        <f ca="1"/>
        <v>0</v>
      </c>
      <c r="BP91" s="42">
        <f ca="1"/>
        <v>0</v>
      </c>
      <c r="BQ91">
        <f ca="1"/>
        <v>0</v>
      </c>
      <c r="BR91">
        <f ca="1"/>
        <v>0</v>
      </c>
      <c r="BS91" s="4">
        <f ca="1"/>
        <v>0</v>
      </c>
      <c r="BT91" s="3">
        <f ca="1"/>
        <v>5.8799861484490651E-2</v>
      </c>
      <c r="BU91" t="str">
        <f ca="1"/>
        <v>SEQUENTIAL</v>
      </c>
      <c r="BV91" s="3">
        <f ca="1"/>
        <v>8.611111111111111E-2</v>
      </c>
      <c r="BW91" s="3">
        <f ca="1"/>
        <v>8.7998614844906446E-3</v>
      </c>
      <c r="BX91" s="45">
        <f ca="1"/>
        <v>46402</v>
      </c>
      <c r="BY91" s="3">
        <f ca="1"/>
        <v>0.98935471677031128</v>
      </c>
      <c r="BZ91" s="3">
        <f ca="1"/>
        <v>0.98935471677031128</v>
      </c>
      <c r="CA91">
        <f ca="1"/>
        <v>0</v>
      </c>
      <c r="CB91" s="4">
        <f ca="1"/>
        <v>0</v>
      </c>
      <c r="CC91" s="4">
        <f ca="1"/>
        <v>0</v>
      </c>
      <c r="CD91" s="4">
        <f ca="1"/>
        <v>0</v>
      </c>
      <c r="CE91" t="e">
        <f ca="1"/>
        <v>#N/A</v>
      </c>
      <c r="CF91" t="e">
        <f ca="1"/>
        <v>#N/A</v>
      </c>
      <c r="CG91" t="e">
        <f ca="1"/>
        <v>#N/A</v>
      </c>
      <c r="CH91" t="e">
        <f ca="1"/>
        <v>#N/A</v>
      </c>
      <c r="CI91" t="e">
        <f ca="1"/>
        <v>#N/A</v>
      </c>
      <c r="CJ91" t="e">
        <f ca="1"/>
        <v>#N/A</v>
      </c>
      <c r="CK91" t="e">
        <f ca="1"/>
        <v>#N/A</v>
      </c>
      <c r="CL91" t="e">
        <f ca="1"/>
        <v>#N/A</v>
      </c>
      <c r="CM91" t="e">
        <f ca="1"/>
        <v>#N/A</v>
      </c>
      <c r="CN91" t="e">
        <f ca="1"/>
        <v>#N/A</v>
      </c>
    </row>
    <row r="92" spans="2:92" x14ac:dyDescent="0.25">
      <c r="B92">
        <f ca="1"/>
        <v>85</v>
      </c>
      <c r="C92" s="37">
        <f ca="1"/>
        <v>381049.22908237425</v>
      </c>
      <c r="D92" s="37">
        <f ca="1"/>
        <v>355556.31824051135</v>
      </c>
      <c r="E92" s="35">
        <f ca="1"/>
        <v>18279.645787604113</v>
      </c>
      <c r="F92" s="35">
        <f ca="1"/>
        <v>0</v>
      </c>
      <c r="G92" s="35">
        <f ca="1"/>
        <v>4327.9590325553463</v>
      </c>
      <c r="H92" s="35">
        <f ca="1"/>
        <v>0</v>
      </c>
      <c r="I92" s="35">
        <f ca="1"/>
        <v>7213.265054258909</v>
      </c>
      <c r="J92" s="35">
        <f ca="1"/>
        <v>15877.051211765591</v>
      </c>
      <c r="K92" s="35">
        <f ca="1"/>
        <v>5369368.2537879767</v>
      </c>
      <c r="L92" s="35">
        <f ca="1"/>
        <v>5369368.2537879767</v>
      </c>
      <c r="M92" s="35">
        <f ca="1"/>
        <v>3221620.9522727872</v>
      </c>
      <c r="N92" s="45">
        <f ca="1"/>
        <v>46433</v>
      </c>
      <c r="O92" s="45">
        <f ca="1"/>
        <v>46433</v>
      </c>
      <c r="P92" s="45">
        <f ca="1"/>
        <v>46461</v>
      </c>
      <c r="Q92" s="45">
        <f ca="1"/>
        <v>46461</v>
      </c>
      <c r="R92" s="37">
        <f ca="1"/>
        <v>0</v>
      </c>
      <c r="S92" s="37">
        <f ca="1"/>
        <v>0</v>
      </c>
      <c r="T92" s="41">
        <f ca="1"/>
        <v>0</v>
      </c>
      <c r="U92" s="42">
        <f ca="1"/>
        <v>0</v>
      </c>
      <c r="V92" s="42">
        <f ca="1"/>
        <v>0</v>
      </c>
      <c r="W92">
        <f ca="1"/>
        <v>0</v>
      </c>
      <c r="X92">
        <f ca="1"/>
        <v>0</v>
      </c>
      <c r="Y92" s="4">
        <f ca="1"/>
        <v>0</v>
      </c>
      <c r="Z92" s="3">
        <f ca="1"/>
        <v>5.8961019152389153E-2</v>
      </c>
      <c r="AA92" t="str">
        <f ca="1"/>
        <v>SEQUENTIAL</v>
      </c>
      <c r="AB92" s="3">
        <f ca="1"/>
        <v>7.7777777777777779E-2</v>
      </c>
      <c r="AC92" s="3">
        <f ca="1"/>
        <v>8.9610191523891488E-3</v>
      </c>
      <c r="AD92" s="45">
        <f ca="1"/>
        <v>46433</v>
      </c>
      <c r="AE92" s="3">
        <f ca="1"/>
        <v>0.98867845976825308</v>
      </c>
      <c r="AF92" s="3">
        <f ca="1"/>
        <v>0.98867845976825308</v>
      </c>
      <c r="AG92">
        <f ca="1"/>
        <v>0</v>
      </c>
      <c r="AH92" s="35">
        <f ca="1"/>
        <v>0</v>
      </c>
      <c r="AI92" s="35">
        <f ca="1"/>
        <v>0</v>
      </c>
      <c r="AJ92" s="35">
        <f ca="1"/>
        <v>0</v>
      </c>
      <c r="AK92" s="36">
        <f ca="1"/>
        <v>46433</v>
      </c>
      <c r="AL92" s="36">
        <f ca="1"/>
        <v>46433</v>
      </c>
      <c r="AM92" s="36">
        <f ca="1"/>
        <v>46461</v>
      </c>
      <c r="AN92" s="36">
        <f ca="1"/>
        <v>46461</v>
      </c>
      <c r="AO92" s="37">
        <f ca="1"/>
        <v>0</v>
      </c>
      <c r="AP92" s="37">
        <f ca="1"/>
        <v>0</v>
      </c>
      <c r="AQ92" s="41">
        <f ca="1"/>
        <v>0</v>
      </c>
      <c r="AR92" s="42">
        <f ca="1"/>
        <v>0</v>
      </c>
      <c r="AS92" s="42">
        <f ca="1"/>
        <v>0</v>
      </c>
      <c r="AT92">
        <f ca="1"/>
        <v>0</v>
      </c>
      <c r="AU92">
        <f ca="1"/>
        <v>0</v>
      </c>
      <c r="AV92" s="4">
        <f ca="1"/>
        <v>0</v>
      </c>
      <c r="AW92" s="3">
        <f ca="1"/>
        <v>5.8961019152389153E-2</v>
      </c>
      <c r="AX92" t="str">
        <f ca="1"/>
        <v>SEQUENTIAL</v>
      </c>
      <c r="AY92" s="3">
        <f ca="1"/>
        <v>7.7777777777777779E-2</v>
      </c>
      <c r="AZ92" s="3">
        <f ca="1"/>
        <v>8.9610191523891488E-3</v>
      </c>
      <c r="BA92" s="45">
        <f ca="1"/>
        <v>46433</v>
      </c>
      <c r="BB92" s="3">
        <f ca="1"/>
        <v>0.98867845976825308</v>
      </c>
      <c r="BC92" s="3">
        <f ca="1"/>
        <v>0.98867845976825308</v>
      </c>
      <c r="BD92">
        <f ca="1"/>
        <v>0</v>
      </c>
      <c r="BE92" s="4">
        <f ca="1"/>
        <v>0</v>
      </c>
      <c r="BF92" s="4">
        <f ca="1"/>
        <v>0</v>
      </c>
      <c r="BG92" s="4">
        <f ca="1"/>
        <v>0</v>
      </c>
      <c r="BH92" s="45">
        <f ca="1"/>
        <v>46433</v>
      </c>
      <c r="BI92" s="45">
        <f ca="1"/>
        <v>46433</v>
      </c>
      <c r="BJ92" s="45">
        <f ca="1"/>
        <v>46461</v>
      </c>
      <c r="BK92" s="45">
        <f ca="1"/>
        <v>46461</v>
      </c>
      <c r="BL92" s="37">
        <f ca="1"/>
        <v>0</v>
      </c>
      <c r="BM92" s="37">
        <f ca="1"/>
        <v>0</v>
      </c>
      <c r="BN92" s="40">
        <f ca="1"/>
        <v>0</v>
      </c>
      <c r="BO92" s="42">
        <f ca="1"/>
        <v>0</v>
      </c>
      <c r="BP92" s="42">
        <f ca="1"/>
        <v>0</v>
      </c>
      <c r="BQ92">
        <f ca="1"/>
        <v>0</v>
      </c>
      <c r="BR92">
        <f ca="1"/>
        <v>0</v>
      </c>
      <c r="BS92" s="4">
        <f ca="1"/>
        <v>0</v>
      </c>
      <c r="BT92" s="3">
        <f ca="1"/>
        <v>5.8961019152389153E-2</v>
      </c>
      <c r="BU92" t="str">
        <f ca="1"/>
        <v>SEQUENTIAL</v>
      </c>
      <c r="BV92" s="3">
        <f ca="1"/>
        <v>7.7777777777777779E-2</v>
      </c>
      <c r="BW92" s="3">
        <f ca="1"/>
        <v>8.9610191523891488E-3</v>
      </c>
      <c r="BX92" s="45">
        <f ca="1"/>
        <v>46433</v>
      </c>
      <c r="BY92" s="3">
        <f ca="1"/>
        <v>0.98867845976825308</v>
      </c>
      <c r="BZ92" s="3">
        <f ca="1"/>
        <v>0.98867845976825308</v>
      </c>
      <c r="CA92">
        <f ca="1"/>
        <v>0</v>
      </c>
      <c r="CB92" s="4">
        <f ca="1"/>
        <v>0</v>
      </c>
      <c r="CC92" s="4">
        <f ca="1"/>
        <v>0</v>
      </c>
      <c r="CD92" s="4">
        <f ca="1"/>
        <v>0</v>
      </c>
      <c r="CE92" t="e">
        <f ca="1"/>
        <v>#N/A</v>
      </c>
      <c r="CF92" t="e">
        <f ca="1"/>
        <v>#N/A</v>
      </c>
      <c r="CG92" t="e">
        <f ca="1"/>
        <v>#N/A</v>
      </c>
      <c r="CH92" t="e">
        <f ca="1"/>
        <v>#N/A</v>
      </c>
      <c r="CI92" t="e">
        <f ca="1"/>
        <v>#N/A</v>
      </c>
      <c r="CJ92" t="e">
        <f ca="1"/>
        <v>#N/A</v>
      </c>
      <c r="CK92" t="e">
        <f ca="1"/>
        <v>#N/A</v>
      </c>
      <c r="CL92" t="e">
        <f ca="1"/>
        <v>#N/A</v>
      </c>
      <c r="CM92" t="e">
        <f ca="1"/>
        <v>#N/A</v>
      </c>
      <c r="CN92" t="e">
        <f ca="1"/>
        <v>#N/A</v>
      </c>
    </row>
    <row r="93" spans="2:92" x14ac:dyDescent="0.25">
      <c r="B93">
        <f ca="1"/>
        <v>86</v>
      </c>
      <c r="C93" s="37">
        <f ca="1"/>
        <v>355556.31824051135</v>
      </c>
      <c r="D93" s="37">
        <f ca="1"/>
        <v>330614.69809912116</v>
      </c>
      <c r="E93" s="35">
        <f ca="1"/>
        <v>18210.936099956765</v>
      </c>
      <c r="F93" s="35">
        <f ca="1"/>
        <v>0</v>
      </c>
      <c r="G93" s="35">
        <f ca="1"/>
        <v>4038.4104248600456</v>
      </c>
      <c r="H93" s="35">
        <f ca="1"/>
        <v>0</v>
      </c>
      <c r="I93" s="35">
        <f ca="1"/>
        <v>6730.6840414334083</v>
      </c>
      <c r="J93" s="35">
        <f ca="1"/>
        <v>14814.846593354636</v>
      </c>
      <c r="K93" s="35">
        <f ca="1"/>
        <v>5376098.9378294097</v>
      </c>
      <c r="L93" s="35">
        <f ca="1"/>
        <v>5376098.9378294097</v>
      </c>
      <c r="M93" s="35">
        <f ca="1"/>
        <v>3225659.3626976474</v>
      </c>
      <c r="N93" s="45">
        <f ca="1"/>
        <v>46461</v>
      </c>
      <c r="O93" s="45">
        <f ca="1"/>
        <v>46461</v>
      </c>
      <c r="P93" s="45">
        <f ca="1"/>
        <v>46492</v>
      </c>
      <c r="Q93" s="45">
        <f ca="1"/>
        <v>46492</v>
      </c>
      <c r="R93" s="37">
        <f ca="1"/>
        <v>0</v>
      </c>
      <c r="S93" s="37">
        <f ca="1"/>
        <v>0</v>
      </c>
      <c r="T93" s="41">
        <f ca="1"/>
        <v>0</v>
      </c>
      <c r="U93" s="42">
        <f ca="1"/>
        <v>0</v>
      </c>
      <c r="V93" s="42">
        <f ca="1"/>
        <v>0</v>
      </c>
      <c r="W93">
        <f ca="1"/>
        <v>0</v>
      </c>
      <c r="X93">
        <f ca="1"/>
        <v>0</v>
      </c>
      <c r="Y93" s="4">
        <f ca="1"/>
        <v>0</v>
      </c>
      <c r="Z93" s="3">
        <f ca="1"/>
        <v>5.9108664084621808E-2</v>
      </c>
      <c r="AA93" t="str">
        <f ca="1"/>
        <v>SEQUENTIAL</v>
      </c>
      <c r="AB93" s="3">
        <f ca="1"/>
        <v>8.611111111111111E-2</v>
      </c>
      <c r="AC93" s="3">
        <f ca="1"/>
        <v>9.108664084621805E-3</v>
      </c>
      <c r="AD93" s="45">
        <f ca="1"/>
        <v>46461</v>
      </c>
      <c r="AE93" s="3">
        <f ca="1"/>
        <v>0.98791711517792202</v>
      </c>
      <c r="AF93" s="3">
        <f ca="1"/>
        <v>0.98791711517792202</v>
      </c>
      <c r="AG93">
        <f ca="1"/>
        <v>0</v>
      </c>
      <c r="AH93" s="35">
        <f ca="1"/>
        <v>0</v>
      </c>
      <c r="AI93" s="35">
        <f ca="1"/>
        <v>0</v>
      </c>
      <c r="AJ93" s="35">
        <f ca="1"/>
        <v>0</v>
      </c>
      <c r="AK93" s="36">
        <f ca="1"/>
        <v>46461</v>
      </c>
      <c r="AL93" s="36">
        <f ca="1"/>
        <v>46461</v>
      </c>
      <c r="AM93" s="36">
        <f ca="1"/>
        <v>46492</v>
      </c>
      <c r="AN93" s="36">
        <f ca="1"/>
        <v>46492</v>
      </c>
      <c r="AO93" s="37">
        <f ca="1"/>
        <v>0</v>
      </c>
      <c r="AP93" s="37">
        <f ca="1"/>
        <v>0</v>
      </c>
      <c r="AQ93" s="41">
        <f ca="1"/>
        <v>0</v>
      </c>
      <c r="AR93" s="42">
        <f ca="1"/>
        <v>0</v>
      </c>
      <c r="AS93" s="42">
        <f ca="1"/>
        <v>0</v>
      </c>
      <c r="AT93">
        <f ca="1"/>
        <v>0</v>
      </c>
      <c r="AU93">
        <f ca="1"/>
        <v>0</v>
      </c>
      <c r="AV93" s="4">
        <f ca="1"/>
        <v>0</v>
      </c>
      <c r="AW93" s="3">
        <f ca="1"/>
        <v>5.9108664084621808E-2</v>
      </c>
      <c r="AX93" t="str">
        <f ca="1"/>
        <v>SEQUENTIAL</v>
      </c>
      <c r="AY93" s="3">
        <f ca="1"/>
        <v>8.611111111111111E-2</v>
      </c>
      <c r="AZ93" s="3">
        <f ca="1"/>
        <v>9.108664084621805E-3</v>
      </c>
      <c r="BA93" s="45">
        <f ca="1"/>
        <v>46461</v>
      </c>
      <c r="BB93" s="3">
        <f ca="1"/>
        <v>0.98791711517792202</v>
      </c>
      <c r="BC93" s="3">
        <f ca="1"/>
        <v>0.98791711517792202</v>
      </c>
      <c r="BD93">
        <f ca="1"/>
        <v>0</v>
      </c>
      <c r="BE93" s="4">
        <f ca="1"/>
        <v>0</v>
      </c>
      <c r="BF93" s="4">
        <f ca="1"/>
        <v>0</v>
      </c>
      <c r="BG93" s="4">
        <f ca="1"/>
        <v>0</v>
      </c>
      <c r="BH93" s="45">
        <f ca="1"/>
        <v>46461</v>
      </c>
      <c r="BI93" s="45">
        <f ca="1"/>
        <v>46461</v>
      </c>
      <c r="BJ93" s="45">
        <f ca="1"/>
        <v>46492</v>
      </c>
      <c r="BK93" s="45">
        <f ca="1"/>
        <v>46492</v>
      </c>
      <c r="BL93" s="37">
        <f ca="1"/>
        <v>0</v>
      </c>
      <c r="BM93" s="37">
        <f ca="1"/>
        <v>0</v>
      </c>
      <c r="BN93" s="40">
        <f ca="1"/>
        <v>0</v>
      </c>
      <c r="BO93" s="42">
        <f ca="1"/>
        <v>0</v>
      </c>
      <c r="BP93" s="42">
        <f ca="1"/>
        <v>0</v>
      </c>
      <c r="BQ93">
        <f ca="1"/>
        <v>0</v>
      </c>
      <c r="BR93">
        <f ca="1"/>
        <v>0</v>
      </c>
      <c r="BS93" s="4">
        <f ca="1"/>
        <v>0</v>
      </c>
      <c r="BT93" s="3">
        <f ca="1"/>
        <v>5.9108664084621808E-2</v>
      </c>
      <c r="BU93" t="str">
        <f ca="1"/>
        <v>SEQUENTIAL</v>
      </c>
      <c r="BV93" s="3">
        <f ca="1"/>
        <v>8.611111111111111E-2</v>
      </c>
      <c r="BW93" s="3">
        <f ca="1"/>
        <v>9.108664084621805E-3</v>
      </c>
      <c r="BX93" s="45">
        <f ca="1"/>
        <v>46461</v>
      </c>
      <c r="BY93" s="3">
        <f ca="1"/>
        <v>0.98791711517792202</v>
      </c>
      <c r="BZ93" s="3">
        <f ca="1"/>
        <v>0.98791711517792202</v>
      </c>
      <c r="CA93">
        <f ca="1"/>
        <v>0</v>
      </c>
      <c r="CB93" s="4">
        <f ca="1"/>
        <v>0</v>
      </c>
      <c r="CC93" s="4">
        <f ca="1"/>
        <v>0</v>
      </c>
      <c r="CD93" s="4">
        <f ca="1"/>
        <v>0</v>
      </c>
      <c r="CE93" t="e">
        <f ca="1"/>
        <v>#N/A</v>
      </c>
      <c r="CF93" t="e">
        <f ca="1"/>
        <v>#N/A</v>
      </c>
      <c r="CG93" t="e">
        <f ca="1"/>
        <v>#N/A</v>
      </c>
      <c r="CH93" t="e">
        <f ca="1"/>
        <v>#N/A</v>
      </c>
      <c r="CI93" t="e">
        <f ca="1"/>
        <v>#N/A</v>
      </c>
      <c r="CJ93" t="e">
        <f ca="1"/>
        <v>#N/A</v>
      </c>
      <c r="CK93" t="e">
        <f ca="1"/>
        <v>#N/A</v>
      </c>
      <c r="CL93" t="e">
        <f ca="1"/>
        <v>#N/A</v>
      </c>
      <c r="CM93" t="e">
        <f ca="1"/>
        <v>#N/A</v>
      </c>
      <c r="CN93" t="e">
        <f ca="1"/>
        <v>#N/A</v>
      </c>
    </row>
    <row r="94" spans="2:92" x14ac:dyDescent="0.25">
      <c r="B94">
        <f ca="1"/>
        <v>87</v>
      </c>
      <c r="C94" s="37">
        <f ca="1"/>
        <v>330614.69809912116</v>
      </c>
      <c r="D94" s="37">
        <f ca="1"/>
        <v>307021.09522827604</v>
      </c>
      <c r="E94" s="35">
        <f ca="1"/>
        <v>17335.063904723163</v>
      </c>
      <c r="F94" s="35">
        <f ca="1"/>
        <v>0</v>
      </c>
      <c r="G94" s="35">
        <f ca="1"/>
        <v>3755.123379673139</v>
      </c>
      <c r="H94" s="35">
        <f ca="1"/>
        <v>0</v>
      </c>
      <c r="I94" s="35">
        <f ca="1"/>
        <v>6258.5389661219024</v>
      </c>
      <c r="J94" s="35">
        <f ca="1"/>
        <v>13775.612420796708</v>
      </c>
      <c r="K94" s="35">
        <f ca="1"/>
        <v>5382357.4767955318</v>
      </c>
      <c r="L94" s="35">
        <f ca="1"/>
        <v>5382357.4767955318</v>
      </c>
      <c r="M94" s="35">
        <f ca="1"/>
        <v>3229414.4860773208</v>
      </c>
      <c r="N94" s="45">
        <f ca="1"/>
        <v>46492</v>
      </c>
      <c r="O94" s="45">
        <f ca="1"/>
        <v>46492</v>
      </c>
      <c r="P94" s="45">
        <f ca="1"/>
        <v>46524</v>
      </c>
      <c r="Q94" s="45">
        <f ca="1"/>
        <v>46524</v>
      </c>
      <c r="R94" s="37">
        <f ca="1"/>
        <v>0</v>
      </c>
      <c r="S94" s="37">
        <f ca="1"/>
        <v>0</v>
      </c>
      <c r="T94" s="41">
        <f ca="1"/>
        <v>0</v>
      </c>
      <c r="U94" s="42">
        <f ca="1"/>
        <v>0</v>
      </c>
      <c r="V94" s="42">
        <f ca="1"/>
        <v>0</v>
      </c>
      <c r="W94">
        <f ca="1"/>
        <v>0</v>
      </c>
      <c r="X94">
        <f ca="1"/>
        <v>0</v>
      </c>
      <c r="Y94" s="4">
        <f ca="1"/>
        <v>0</v>
      </c>
      <c r="Z94" s="3">
        <f ca="1"/>
        <v>5.9271995676349214E-2</v>
      </c>
      <c r="AA94" t="str">
        <f ca="1"/>
        <v>SEQUENTIAL</v>
      </c>
      <c r="AB94" s="3">
        <f ca="1"/>
        <v>8.8888888888888892E-2</v>
      </c>
      <c r="AC94" s="3">
        <f ca="1"/>
        <v>9.2719956763492126E-3</v>
      </c>
      <c r="AD94" s="45">
        <f ca="1"/>
        <v>46492</v>
      </c>
      <c r="AE94" s="3">
        <f ca="1"/>
        <v>0.98711739181058744</v>
      </c>
      <c r="AF94" s="3">
        <f ca="1"/>
        <v>0.98711739181058744</v>
      </c>
      <c r="AG94">
        <f ca="1"/>
        <v>0</v>
      </c>
      <c r="AH94" s="35">
        <f ca="1"/>
        <v>0</v>
      </c>
      <c r="AI94" s="35">
        <f ca="1"/>
        <v>0</v>
      </c>
      <c r="AJ94" s="35">
        <f ca="1"/>
        <v>0</v>
      </c>
      <c r="AK94" s="36">
        <f ca="1"/>
        <v>46492</v>
      </c>
      <c r="AL94" s="36">
        <f ca="1"/>
        <v>46492</v>
      </c>
      <c r="AM94" s="36">
        <f ca="1"/>
        <v>46524</v>
      </c>
      <c r="AN94" s="36">
        <f ca="1"/>
        <v>46524</v>
      </c>
      <c r="AO94" s="37">
        <f ca="1"/>
        <v>0</v>
      </c>
      <c r="AP94" s="37">
        <f ca="1"/>
        <v>0</v>
      </c>
      <c r="AQ94" s="41">
        <f ca="1"/>
        <v>0</v>
      </c>
      <c r="AR94" s="42">
        <f ca="1"/>
        <v>0</v>
      </c>
      <c r="AS94" s="42">
        <f ca="1"/>
        <v>0</v>
      </c>
      <c r="AT94">
        <f ca="1"/>
        <v>0</v>
      </c>
      <c r="AU94">
        <f ca="1"/>
        <v>0</v>
      </c>
      <c r="AV94" s="4">
        <f ca="1"/>
        <v>0</v>
      </c>
      <c r="AW94" s="3">
        <f ca="1"/>
        <v>5.9271995676349214E-2</v>
      </c>
      <c r="AX94" t="str">
        <f ca="1"/>
        <v>SEQUENTIAL</v>
      </c>
      <c r="AY94" s="3">
        <f ca="1"/>
        <v>8.8888888888888892E-2</v>
      </c>
      <c r="AZ94" s="3">
        <f ca="1"/>
        <v>9.2719956763492126E-3</v>
      </c>
      <c r="BA94" s="45">
        <f ca="1"/>
        <v>46492</v>
      </c>
      <c r="BB94" s="3">
        <f ca="1"/>
        <v>0.98711739181058744</v>
      </c>
      <c r="BC94" s="3">
        <f ca="1"/>
        <v>0.98711739181058744</v>
      </c>
      <c r="BD94">
        <f ca="1"/>
        <v>0</v>
      </c>
      <c r="BE94" s="4">
        <f ca="1"/>
        <v>0</v>
      </c>
      <c r="BF94" s="4">
        <f ca="1"/>
        <v>0</v>
      </c>
      <c r="BG94" s="4">
        <f ca="1"/>
        <v>0</v>
      </c>
      <c r="BH94" s="45">
        <f ca="1"/>
        <v>46492</v>
      </c>
      <c r="BI94" s="45">
        <f ca="1"/>
        <v>46492</v>
      </c>
      <c r="BJ94" s="45">
        <f ca="1"/>
        <v>46524</v>
      </c>
      <c r="BK94" s="45">
        <f ca="1"/>
        <v>46524</v>
      </c>
      <c r="BL94" s="37">
        <f ca="1"/>
        <v>0</v>
      </c>
      <c r="BM94" s="37">
        <f ca="1"/>
        <v>0</v>
      </c>
      <c r="BN94" s="40">
        <f ca="1"/>
        <v>0</v>
      </c>
      <c r="BO94" s="42">
        <f ca="1"/>
        <v>0</v>
      </c>
      <c r="BP94" s="42">
        <f ca="1"/>
        <v>0</v>
      </c>
      <c r="BQ94">
        <f ca="1"/>
        <v>0</v>
      </c>
      <c r="BR94">
        <f ca="1"/>
        <v>0</v>
      </c>
      <c r="BS94" s="4">
        <f ca="1"/>
        <v>0</v>
      </c>
      <c r="BT94" s="3">
        <f ca="1"/>
        <v>5.9271995676349214E-2</v>
      </c>
      <c r="BU94" t="str">
        <f ca="1"/>
        <v>SEQUENTIAL</v>
      </c>
      <c r="BV94" s="3">
        <f ca="1"/>
        <v>8.8888888888888892E-2</v>
      </c>
      <c r="BW94" s="3">
        <f ca="1"/>
        <v>9.2719956763492126E-3</v>
      </c>
      <c r="BX94" s="45">
        <f ca="1"/>
        <v>46492</v>
      </c>
      <c r="BY94" s="3">
        <f ca="1"/>
        <v>0.98711739181058744</v>
      </c>
      <c r="BZ94" s="3">
        <f ca="1"/>
        <v>0.98711739181058744</v>
      </c>
      <c r="CA94">
        <f ca="1"/>
        <v>0</v>
      </c>
      <c r="CB94" s="4">
        <f ca="1"/>
        <v>0</v>
      </c>
      <c r="CC94" s="4">
        <f ca="1"/>
        <v>0</v>
      </c>
      <c r="CD94" s="4">
        <f ca="1"/>
        <v>0</v>
      </c>
      <c r="CE94" t="e">
        <f ca="1"/>
        <v>#N/A</v>
      </c>
      <c r="CF94" t="e">
        <f ca="1"/>
        <v>#N/A</v>
      </c>
      <c r="CG94" t="e">
        <f ca="1"/>
        <v>#N/A</v>
      </c>
      <c r="CH94" t="e">
        <f ca="1"/>
        <v>#N/A</v>
      </c>
      <c r="CI94" t="e">
        <f ca="1"/>
        <v>#N/A</v>
      </c>
      <c r="CJ94" t="e">
        <f ca="1"/>
        <v>#N/A</v>
      </c>
      <c r="CK94" t="e">
        <f ca="1"/>
        <v>#N/A</v>
      </c>
      <c r="CL94" t="e">
        <f ca="1"/>
        <v>#N/A</v>
      </c>
      <c r="CM94" t="e">
        <f ca="1"/>
        <v>#N/A</v>
      </c>
      <c r="CN94" t="e">
        <f ca="1"/>
        <v>#N/A</v>
      </c>
    </row>
    <row r="95" spans="2:92" x14ac:dyDescent="0.25">
      <c r="B95">
        <f ca="1"/>
        <v>88</v>
      </c>
      <c r="C95" s="37">
        <f ca="1"/>
        <v>307021.09522827604</v>
      </c>
      <c r="D95" s="37">
        <f ca="1"/>
        <v>283734.9480862997</v>
      </c>
      <c r="E95" s="35">
        <f ca="1"/>
        <v>17474.235273098875</v>
      </c>
      <c r="F95" s="35">
        <f ca="1"/>
        <v>0</v>
      </c>
      <c r="G95" s="35">
        <f ca="1"/>
        <v>3487.1471213264167</v>
      </c>
      <c r="H95" s="35">
        <f ca="1"/>
        <v>0</v>
      </c>
      <c r="I95" s="35">
        <f ca="1"/>
        <v>5811.9118688773642</v>
      </c>
      <c r="J95" s="35">
        <f ca="1"/>
        <v>12792.5456345115</v>
      </c>
      <c r="K95" s="35">
        <f ca="1"/>
        <v>5388169.3886644095</v>
      </c>
      <c r="L95" s="35">
        <f ca="1"/>
        <v>5388169.3886644095</v>
      </c>
      <c r="M95" s="35">
        <f ca="1"/>
        <v>3232901.6331986473</v>
      </c>
      <c r="N95" s="45">
        <f ca="1"/>
        <v>46524</v>
      </c>
      <c r="O95" s="45">
        <f ca="1"/>
        <v>46524</v>
      </c>
      <c r="P95" s="45">
        <f ca="1"/>
        <v>46553</v>
      </c>
      <c r="Q95" s="45">
        <f ca="1"/>
        <v>46553</v>
      </c>
      <c r="R95" s="37">
        <f ca="1"/>
        <v>0</v>
      </c>
      <c r="S95" s="37">
        <f ca="1"/>
        <v>0</v>
      </c>
      <c r="T95" s="41">
        <f ca="1"/>
        <v>0</v>
      </c>
      <c r="U95" s="42">
        <f ca="1"/>
        <v>0</v>
      </c>
      <c r="V95" s="42">
        <f ca="1"/>
        <v>0</v>
      </c>
      <c r="W95">
        <f ca="1"/>
        <v>0</v>
      </c>
      <c r="X95">
        <f ca="1"/>
        <v>0</v>
      </c>
      <c r="Y95" s="4">
        <f ca="1"/>
        <v>0</v>
      </c>
      <c r="Z95" s="3">
        <f ca="1"/>
        <v>5.9436305415843112E-2</v>
      </c>
      <c r="AA95" t="str">
        <f ca="1"/>
        <v>SEQUENTIAL</v>
      </c>
      <c r="AB95" s="3">
        <f ca="1"/>
        <v>8.0555555555555561E-2</v>
      </c>
      <c r="AC95" s="3">
        <f ca="1"/>
        <v>9.4363054158431089E-3</v>
      </c>
      <c r="AD95" s="45">
        <f ca="1"/>
        <v>46524</v>
      </c>
      <c r="AE95" s="3">
        <f ca="1"/>
        <v>0.98638066151298598</v>
      </c>
      <c r="AF95" s="3">
        <f ca="1"/>
        <v>0.98638066151298598</v>
      </c>
      <c r="AG95">
        <f ca="1"/>
        <v>0</v>
      </c>
      <c r="AH95" s="35">
        <f ca="1"/>
        <v>0</v>
      </c>
      <c r="AI95" s="35">
        <f ca="1"/>
        <v>0</v>
      </c>
      <c r="AJ95" s="35">
        <f ca="1"/>
        <v>0</v>
      </c>
      <c r="AK95" s="36">
        <f ca="1"/>
        <v>46524</v>
      </c>
      <c r="AL95" s="36">
        <f ca="1"/>
        <v>46524</v>
      </c>
      <c r="AM95" s="36">
        <f ca="1"/>
        <v>46553</v>
      </c>
      <c r="AN95" s="36">
        <f ca="1"/>
        <v>46553</v>
      </c>
      <c r="AO95" s="37">
        <f ca="1"/>
        <v>0</v>
      </c>
      <c r="AP95" s="37">
        <f ca="1"/>
        <v>0</v>
      </c>
      <c r="AQ95" s="41">
        <f ca="1"/>
        <v>0</v>
      </c>
      <c r="AR95" s="42">
        <f ca="1"/>
        <v>0</v>
      </c>
      <c r="AS95" s="42">
        <f ca="1"/>
        <v>0</v>
      </c>
      <c r="AT95">
        <f ca="1"/>
        <v>0</v>
      </c>
      <c r="AU95">
        <f ca="1"/>
        <v>0</v>
      </c>
      <c r="AV95" s="4">
        <f ca="1"/>
        <v>0</v>
      </c>
      <c r="AW95" s="3">
        <f ca="1"/>
        <v>5.9436305415843112E-2</v>
      </c>
      <c r="AX95" t="str">
        <f ca="1"/>
        <v>SEQUENTIAL</v>
      </c>
      <c r="AY95" s="3">
        <f ca="1"/>
        <v>8.0555555555555561E-2</v>
      </c>
      <c r="AZ95" s="3">
        <f ca="1"/>
        <v>9.4363054158431089E-3</v>
      </c>
      <c r="BA95" s="45">
        <f ca="1"/>
        <v>46524</v>
      </c>
      <c r="BB95" s="3">
        <f ca="1"/>
        <v>0.98638066151298598</v>
      </c>
      <c r="BC95" s="3">
        <f ca="1"/>
        <v>0.98638066151298598</v>
      </c>
      <c r="BD95">
        <f ca="1"/>
        <v>0</v>
      </c>
      <c r="BE95" s="4">
        <f ca="1"/>
        <v>0</v>
      </c>
      <c r="BF95" s="4">
        <f ca="1"/>
        <v>0</v>
      </c>
      <c r="BG95" s="4">
        <f ca="1"/>
        <v>0</v>
      </c>
      <c r="BH95" s="45">
        <f ca="1"/>
        <v>46524</v>
      </c>
      <c r="BI95" s="45">
        <f ca="1"/>
        <v>46524</v>
      </c>
      <c r="BJ95" s="45">
        <f ca="1"/>
        <v>46553</v>
      </c>
      <c r="BK95" s="45">
        <f ca="1"/>
        <v>46553</v>
      </c>
      <c r="BL95" s="37">
        <f ca="1"/>
        <v>0</v>
      </c>
      <c r="BM95" s="37">
        <f ca="1"/>
        <v>0</v>
      </c>
      <c r="BN95" s="40">
        <f ca="1"/>
        <v>0</v>
      </c>
      <c r="BO95" s="42">
        <f ca="1"/>
        <v>0</v>
      </c>
      <c r="BP95" s="42">
        <f ca="1"/>
        <v>0</v>
      </c>
      <c r="BQ95">
        <f ca="1"/>
        <v>0</v>
      </c>
      <c r="BR95">
        <f ca="1"/>
        <v>0</v>
      </c>
      <c r="BS95" s="4">
        <f ca="1"/>
        <v>0</v>
      </c>
      <c r="BT95" s="3">
        <f ca="1"/>
        <v>5.9436305415843112E-2</v>
      </c>
      <c r="BU95" t="str">
        <f ca="1"/>
        <v>SEQUENTIAL</v>
      </c>
      <c r="BV95" s="3">
        <f ca="1"/>
        <v>8.0555555555555561E-2</v>
      </c>
      <c r="BW95" s="3">
        <f ca="1"/>
        <v>9.4363054158431089E-3</v>
      </c>
      <c r="BX95" s="45">
        <f ca="1"/>
        <v>46524</v>
      </c>
      <c r="BY95" s="3">
        <f ca="1"/>
        <v>0.98638066151298598</v>
      </c>
      <c r="BZ95" s="3">
        <f ca="1"/>
        <v>0.98638066151298598</v>
      </c>
      <c r="CA95">
        <f ca="1"/>
        <v>0</v>
      </c>
      <c r="CB95" s="4">
        <f ca="1"/>
        <v>0</v>
      </c>
      <c r="CC95" s="4">
        <f ca="1"/>
        <v>0</v>
      </c>
      <c r="CD95" s="4">
        <f ca="1"/>
        <v>0</v>
      </c>
      <c r="CE95" t="e">
        <f ca="1"/>
        <v>#N/A</v>
      </c>
      <c r="CF95" t="e">
        <f ca="1"/>
        <v>#N/A</v>
      </c>
      <c r="CG95" t="e">
        <f ca="1"/>
        <v>#N/A</v>
      </c>
      <c r="CH95" t="e">
        <f ca="1"/>
        <v>#N/A</v>
      </c>
      <c r="CI95" t="e">
        <f ca="1"/>
        <v>#N/A</v>
      </c>
      <c r="CJ95" t="e">
        <f ca="1"/>
        <v>#N/A</v>
      </c>
      <c r="CK95" t="e">
        <f ca="1"/>
        <v>#N/A</v>
      </c>
      <c r="CL95" t="e">
        <f ca="1"/>
        <v>#N/A</v>
      </c>
      <c r="CM95" t="e">
        <f ca="1"/>
        <v>#N/A</v>
      </c>
      <c r="CN95" t="e">
        <f ca="1"/>
        <v>#N/A</v>
      </c>
    </row>
    <row r="96" spans="2:92" x14ac:dyDescent="0.25">
      <c r="B96">
        <f ca="1"/>
        <v>89</v>
      </c>
      <c r="C96" s="37">
        <f ca="1"/>
        <v>283734.9480862997</v>
      </c>
      <c r="D96" s="37">
        <f ca="1"/>
        <v>261479.13196436159</v>
      </c>
      <c r="E96" s="35">
        <f ca="1"/>
        <v>16884.711210817961</v>
      </c>
      <c r="F96" s="35">
        <f ca="1"/>
        <v>0</v>
      </c>
      <c r="G96" s="35">
        <f ca="1"/>
        <v>3222.6629466720642</v>
      </c>
      <c r="H96" s="35">
        <f ca="1"/>
        <v>0</v>
      </c>
      <c r="I96" s="35">
        <f ca="1"/>
        <v>5371.1049111201082</v>
      </c>
      <c r="J96" s="35">
        <f ca="1"/>
        <v>11822.289503595819</v>
      </c>
      <c r="K96" s="35">
        <f ca="1"/>
        <v>5393540.4935755292</v>
      </c>
      <c r="L96" s="35">
        <f ca="1"/>
        <v>5393540.4935755292</v>
      </c>
      <c r="M96" s="35">
        <f ca="1"/>
        <v>3236124.2961453195</v>
      </c>
      <c r="N96" s="45">
        <f ca="1"/>
        <v>46553</v>
      </c>
      <c r="O96" s="45">
        <f ca="1"/>
        <v>46553</v>
      </c>
      <c r="P96" s="45">
        <f ca="1"/>
        <v>46583</v>
      </c>
      <c r="Q96" s="45">
        <f ca="1"/>
        <v>46583</v>
      </c>
      <c r="R96" s="37">
        <f ca="1"/>
        <v>0</v>
      </c>
      <c r="S96" s="37">
        <f ca="1"/>
        <v>0</v>
      </c>
      <c r="T96" s="41">
        <f ca="1"/>
        <v>0</v>
      </c>
      <c r="U96" s="42">
        <f ca="1"/>
        <v>0</v>
      </c>
      <c r="V96" s="42">
        <f ca="1"/>
        <v>0</v>
      </c>
      <c r="W96">
        <f ca="1"/>
        <v>0</v>
      </c>
      <c r="X96">
        <f ca="1"/>
        <v>0</v>
      </c>
      <c r="Y96" s="4">
        <f ca="1"/>
        <v>0</v>
      </c>
      <c r="Z96" s="3">
        <f ca="1"/>
        <v>5.9578496982701505E-2</v>
      </c>
      <c r="AA96" t="str">
        <f ca="1"/>
        <v>SEQUENTIAL</v>
      </c>
      <c r="AB96" s="3">
        <f ca="1"/>
        <v>8.3333333333333329E-2</v>
      </c>
      <c r="AC96" s="3">
        <f ca="1"/>
        <v>9.5784969827015006E-3</v>
      </c>
      <c r="AD96" s="45">
        <f ca="1"/>
        <v>46553</v>
      </c>
      <c r="AE96" s="3">
        <f ca="1"/>
        <v>0.98560691636703079</v>
      </c>
      <c r="AF96" s="3">
        <f ca="1"/>
        <v>0.98560691636703079</v>
      </c>
      <c r="AG96">
        <f ca="1"/>
        <v>0</v>
      </c>
      <c r="AH96" s="35">
        <f ca="1"/>
        <v>0</v>
      </c>
      <c r="AI96" s="35">
        <f ca="1"/>
        <v>0</v>
      </c>
      <c r="AJ96" s="35">
        <f ca="1"/>
        <v>0</v>
      </c>
      <c r="AK96" s="36">
        <f ca="1"/>
        <v>46553</v>
      </c>
      <c r="AL96" s="36">
        <f ca="1"/>
        <v>46553</v>
      </c>
      <c r="AM96" s="36">
        <f ca="1"/>
        <v>46583</v>
      </c>
      <c r="AN96" s="36">
        <f ca="1"/>
        <v>46583</v>
      </c>
      <c r="AO96" s="37">
        <f ca="1"/>
        <v>0</v>
      </c>
      <c r="AP96" s="37">
        <f ca="1"/>
        <v>0</v>
      </c>
      <c r="AQ96" s="41">
        <f ca="1"/>
        <v>0</v>
      </c>
      <c r="AR96" s="42">
        <f ca="1"/>
        <v>0</v>
      </c>
      <c r="AS96" s="42">
        <f ca="1"/>
        <v>0</v>
      </c>
      <c r="AT96">
        <f ca="1"/>
        <v>0</v>
      </c>
      <c r="AU96">
        <f ca="1"/>
        <v>0</v>
      </c>
      <c r="AV96" s="4">
        <f ca="1"/>
        <v>0</v>
      </c>
      <c r="AW96" s="3">
        <f ca="1"/>
        <v>5.9578496982701505E-2</v>
      </c>
      <c r="AX96" t="str">
        <f ca="1"/>
        <v>SEQUENTIAL</v>
      </c>
      <c r="AY96" s="3">
        <f ca="1"/>
        <v>8.3333333333333329E-2</v>
      </c>
      <c r="AZ96" s="3">
        <f ca="1"/>
        <v>9.5784969827015006E-3</v>
      </c>
      <c r="BA96" s="45">
        <f ca="1"/>
        <v>46553</v>
      </c>
      <c r="BB96" s="3">
        <f ca="1"/>
        <v>0.98560691636703079</v>
      </c>
      <c r="BC96" s="3">
        <f ca="1"/>
        <v>0.98560691636703079</v>
      </c>
      <c r="BD96">
        <f ca="1"/>
        <v>0</v>
      </c>
      <c r="BE96" s="4">
        <f ca="1"/>
        <v>0</v>
      </c>
      <c r="BF96" s="4">
        <f ca="1"/>
        <v>0</v>
      </c>
      <c r="BG96" s="4">
        <f ca="1"/>
        <v>0</v>
      </c>
      <c r="BH96" s="45">
        <f ca="1"/>
        <v>46553</v>
      </c>
      <c r="BI96" s="45">
        <f ca="1"/>
        <v>46553</v>
      </c>
      <c r="BJ96" s="45">
        <f ca="1"/>
        <v>46583</v>
      </c>
      <c r="BK96" s="45">
        <f ca="1"/>
        <v>46583</v>
      </c>
      <c r="BL96" s="37">
        <f ca="1"/>
        <v>0</v>
      </c>
      <c r="BM96" s="37">
        <f ca="1"/>
        <v>0</v>
      </c>
      <c r="BN96" s="40">
        <f ca="1"/>
        <v>0</v>
      </c>
      <c r="BO96" s="42">
        <f ca="1"/>
        <v>0</v>
      </c>
      <c r="BP96" s="42">
        <f ca="1"/>
        <v>0</v>
      </c>
      <c r="BQ96">
        <f ca="1"/>
        <v>0</v>
      </c>
      <c r="BR96">
        <f ca="1"/>
        <v>0</v>
      </c>
      <c r="BS96" s="4">
        <f ca="1"/>
        <v>0</v>
      </c>
      <c r="BT96" s="3">
        <f ca="1"/>
        <v>5.9578496982701505E-2</v>
      </c>
      <c r="BU96" t="str">
        <f ca="1"/>
        <v>SEQUENTIAL</v>
      </c>
      <c r="BV96" s="3">
        <f ca="1"/>
        <v>8.3333333333333329E-2</v>
      </c>
      <c r="BW96" s="3">
        <f ca="1"/>
        <v>9.5784969827015006E-3</v>
      </c>
      <c r="BX96" s="45">
        <f ca="1"/>
        <v>46553</v>
      </c>
      <c r="BY96" s="3">
        <f ca="1"/>
        <v>0.98560691636703079</v>
      </c>
      <c r="BZ96" s="3">
        <f ca="1"/>
        <v>0.98560691636703079</v>
      </c>
      <c r="CA96">
        <f ca="1"/>
        <v>0</v>
      </c>
      <c r="CB96" s="4">
        <f ca="1"/>
        <v>0</v>
      </c>
      <c r="CC96" s="4">
        <f ca="1"/>
        <v>0</v>
      </c>
      <c r="CD96" s="4">
        <f ca="1"/>
        <v>0</v>
      </c>
      <c r="CE96" t="e">
        <f ca="1"/>
        <v>#N/A</v>
      </c>
      <c r="CF96" t="e">
        <f ca="1"/>
        <v>#N/A</v>
      </c>
      <c r="CG96" t="e">
        <f ca="1"/>
        <v>#N/A</v>
      </c>
      <c r="CH96" t="e">
        <f ca="1"/>
        <v>#N/A</v>
      </c>
      <c r="CI96" t="e">
        <f ca="1"/>
        <v>#N/A</v>
      </c>
      <c r="CJ96" t="e">
        <f ca="1"/>
        <v>#N/A</v>
      </c>
      <c r="CK96" t="e">
        <f ca="1"/>
        <v>#N/A</v>
      </c>
      <c r="CL96" t="e">
        <f ca="1"/>
        <v>#N/A</v>
      </c>
      <c r="CM96" t="e">
        <f ca="1"/>
        <v>#N/A</v>
      </c>
      <c r="CN96" t="e">
        <f ca="1"/>
        <v>#N/A</v>
      </c>
    </row>
    <row r="97" spans="2:92" x14ac:dyDescent="0.25">
      <c r="B97">
        <f ca="1"/>
        <v>90</v>
      </c>
      <c r="C97" s="37">
        <f ca="1"/>
        <v>261479.13196436159</v>
      </c>
      <c r="D97" s="37">
        <f ca="1"/>
        <v>239387.60482490328</v>
      </c>
      <c r="E97" s="35">
        <f ca="1"/>
        <v>17141.725011375067</v>
      </c>
      <c r="F97" s="35">
        <f ca="1"/>
        <v>0</v>
      </c>
      <c r="G97" s="35">
        <f ca="1"/>
        <v>2969.8812768500538</v>
      </c>
      <c r="H97" s="35">
        <f ca="1"/>
        <v>0</v>
      </c>
      <c r="I97" s="35">
        <f ca="1"/>
        <v>4949.8021280834218</v>
      </c>
      <c r="J97" s="35">
        <f ca="1"/>
        <v>10894.963831848403</v>
      </c>
      <c r="K97" s="35">
        <f ca="1"/>
        <v>5398490.2957036123</v>
      </c>
      <c r="L97" s="35">
        <f ca="1"/>
        <v>5398490.2957036123</v>
      </c>
      <c r="M97" s="35">
        <f ca="1"/>
        <v>3239094.1774221696</v>
      </c>
      <c r="N97" s="45">
        <f ca="1"/>
        <v>46583</v>
      </c>
      <c r="O97" s="45">
        <f ca="1"/>
        <v>46583</v>
      </c>
      <c r="P97" s="45">
        <f ca="1"/>
        <v>46615</v>
      </c>
      <c r="Q97" s="45">
        <f ca="1"/>
        <v>46615</v>
      </c>
      <c r="R97" s="37">
        <f ca="1"/>
        <v>0</v>
      </c>
      <c r="S97" s="37">
        <f ca="1"/>
        <v>0</v>
      </c>
      <c r="T97" s="41">
        <f ca="1"/>
        <v>0</v>
      </c>
      <c r="U97" s="42">
        <f ca="1"/>
        <v>0</v>
      </c>
      <c r="V97" s="42">
        <f ca="1"/>
        <v>0</v>
      </c>
      <c r="W97">
        <f ca="1"/>
        <v>0</v>
      </c>
      <c r="X97">
        <f ca="1"/>
        <v>0</v>
      </c>
      <c r="Y97" s="4">
        <f ca="1"/>
        <v>0</v>
      </c>
      <c r="Z97" s="3">
        <f ca="1"/>
        <v>5.9719154993221966E-2</v>
      </c>
      <c r="AA97" t="str">
        <f ca="1"/>
        <v>SEQUENTIAL</v>
      </c>
      <c r="AB97" s="3">
        <f ca="1"/>
        <v>8.8888888888888892E-2</v>
      </c>
      <c r="AC97" s="3">
        <f ca="1"/>
        <v>9.7191549932219637E-3</v>
      </c>
      <c r="AD97" s="45">
        <f ca="1"/>
        <v>46583</v>
      </c>
      <c r="AE97" s="3">
        <f ca="1"/>
        <v>0.98476906977629841</v>
      </c>
      <c r="AF97" s="3">
        <f ca="1"/>
        <v>0.98476906977629841</v>
      </c>
      <c r="AG97">
        <f ca="1"/>
        <v>0</v>
      </c>
      <c r="AH97" s="35">
        <f ca="1"/>
        <v>0</v>
      </c>
      <c r="AI97" s="35">
        <f ca="1"/>
        <v>0</v>
      </c>
      <c r="AJ97" s="35">
        <f ca="1"/>
        <v>0</v>
      </c>
      <c r="AK97" s="36">
        <f ca="1"/>
        <v>46583</v>
      </c>
      <c r="AL97" s="36">
        <f ca="1"/>
        <v>46583</v>
      </c>
      <c r="AM97" s="36">
        <f ca="1"/>
        <v>46615</v>
      </c>
      <c r="AN97" s="36">
        <f ca="1"/>
        <v>46615</v>
      </c>
      <c r="AO97" s="37">
        <f ca="1"/>
        <v>0</v>
      </c>
      <c r="AP97" s="37">
        <f ca="1"/>
        <v>0</v>
      </c>
      <c r="AQ97" s="41">
        <f ca="1"/>
        <v>0</v>
      </c>
      <c r="AR97" s="42">
        <f ca="1"/>
        <v>0</v>
      </c>
      <c r="AS97" s="42">
        <f ca="1"/>
        <v>0</v>
      </c>
      <c r="AT97">
        <f ca="1"/>
        <v>0</v>
      </c>
      <c r="AU97">
        <f ca="1"/>
        <v>0</v>
      </c>
      <c r="AV97" s="4">
        <f ca="1"/>
        <v>0</v>
      </c>
      <c r="AW97" s="3">
        <f ca="1"/>
        <v>5.9719154993221966E-2</v>
      </c>
      <c r="AX97" t="str">
        <f ca="1"/>
        <v>SEQUENTIAL</v>
      </c>
      <c r="AY97" s="3">
        <f ca="1"/>
        <v>8.8888888888888892E-2</v>
      </c>
      <c r="AZ97" s="3">
        <f ca="1"/>
        <v>9.7191549932219637E-3</v>
      </c>
      <c r="BA97" s="45">
        <f ca="1"/>
        <v>46583</v>
      </c>
      <c r="BB97" s="3">
        <f ca="1"/>
        <v>0.98476906977629841</v>
      </c>
      <c r="BC97" s="3">
        <f ca="1"/>
        <v>0.98476906977629841</v>
      </c>
      <c r="BD97">
        <f ca="1"/>
        <v>0</v>
      </c>
      <c r="BE97" s="4">
        <f ca="1"/>
        <v>0</v>
      </c>
      <c r="BF97" s="4">
        <f ca="1"/>
        <v>0</v>
      </c>
      <c r="BG97" s="4">
        <f ca="1"/>
        <v>0</v>
      </c>
      <c r="BH97" s="45">
        <f ca="1"/>
        <v>46583</v>
      </c>
      <c r="BI97" s="45">
        <f ca="1"/>
        <v>46583</v>
      </c>
      <c r="BJ97" s="45">
        <f ca="1"/>
        <v>46615</v>
      </c>
      <c r="BK97" s="45">
        <f ca="1"/>
        <v>46615</v>
      </c>
      <c r="BL97" s="37">
        <f ca="1"/>
        <v>0</v>
      </c>
      <c r="BM97" s="37">
        <f ca="1"/>
        <v>0</v>
      </c>
      <c r="BN97" s="40">
        <f ca="1"/>
        <v>0</v>
      </c>
      <c r="BO97" s="42">
        <f ca="1"/>
        <v>0</v>
      </c>
      <c r="BP97" s="42">
        <f ca="1"/>
        <v>0</v>
      </c>
      <c r="BQ97">
        <f ca="1"/>
        <v>0</v>
      </c>
      <c r="BR97">
        <f ca="1"/>
        <v>0</v>
      </c>
      <c r="BS97" s="4">
        <f ca="1"/>
        <v>0</v>
      </c>
      <c r="BT97" s="3">
        <f ca="1"/>
        <v>5.9719154993221966E-2</v>
      </c>
      <c r="BU97" t="str">
        <f ca="1"/>
        <v>SEQUENTIAL</v>
      </c>
      <c r="BV97" s="3">
        <f ca="1"/>
        <v>8.8888888888888892E-2</v>
      </c>
      <c r="BW97" s="3">
        <f ca="1"/>
        <v>9.7191549932219637E-3</v>
      </c>
      <c r="BX97" s="45">
        <f ca="1"/>
        <v>46583</v>
      </c>
      <c r="BY97" s="3">
        <f ca="1"/>
        <v>0.98476906977629841</v>
      </c>
      <c r="BZ97" s="3">
        <f ca="1"/>
        <v>0.98476906977629841</v>
      </c>
      <c r="CA97">
        <f ca="1"/>
        <v>0</v>
      </c>
      <c r="CB97" s="4">
        <f ca="1"/>
        <v>0</v>
      </c>
      <c r="CC97" s="4">
        <f ca="1"/>
        <v>0</v>
      </c>
      <c r="CD97" s="4">
        <f ca="1"/>
        <v>0</v>
      </c>
      <c r="CE97" t="e">
        <f ca="1"/>
        <v>#N/A</v>
      </c>
      <c r="CF97" t="e">
        <f ca="1"/>
        <v>#N/A</v>
      </c>
      <c r="CG97" t="e">
        <f ca="1"/>
        <v>#N/A</v>
      </c>
      <c r="CH97" t="e">
        <f ca="1"/>
        <v>#N/A</v>
      </c>
      <c r="CI97" t="e">
        <f ca="1"/>
        <v>#N/A</v>
      </c>
      <c r="CJ97" t="e">
        <f ca="1"/>
        <v>#N/A</v>
      </c>
      <c r="CK97" t="e">
        <f ca="1"/>
        <v>#N/A</v>
      </c>
      <c r="CL97" t="e">
        <f ca="1"/>
        <v>#N/A</v>
      </c>
      <c r="CM97" t="e">
        <f ca="1"/>
        <v>#N/A</v>
      </c>
      <c r="CN97" t="e">
        <f ca="1"/>
        <v>#N/A</v>
      </c>
    </row>
    <row r="98" spans="2:92" x14ac:dyDescent="0.25">
      <c r="B98">
        <f ca="1"/>
        <v>91</v>
      </c>
      <c r="C98" s="37">
        <f ca="1"/>
        <v>239387.60482490328</v>
      </c>
      <c r="D98" s="37">
        <f ca="1"/>
        <v>219474.20250721878</v>
      </c>
      <c r="E98" s="35">
        <f ca="1"/>
        <v>15381.792980842138</v>
      </c>
      <c r="F98" s="35">
        <f ca="1"/>
        <v>0</v>
      </c>
      <c r="G98" s="35">
        <f ca="1"/>
        <v>2718.9656021053302</v>
      </c>
      <c r="H98" s="35">
        <f ca="1"/>
        <v>0</v>
      </c>
      <c r="I98" s="35">
        <f ca="1"/>
        <v>4531.6093368422171</v>
      </c>
      <c r="J98" s="35">
        <f ca="1"/>
        <v>9974.4835343709674</v>
      </c>
      <c r="K98" s="35">
        <f ca="1"/>
        <v>5403021.9050404541</v>
      </c>
      <c r="L98" s="35">
        <f ca="1"/>
        <v>5403021.9050404541</v>
      </c>
      <c r="M98" s="35">
        <f ca="1"/>
        <v>3241813.1430242751</v>
      </c>
      <c r="N98" s="45">
        <f ca="1"/>
        <v>46615</v>
      </c>
      <c r="O98" s="45">
        <f ca="1"/>
        <v>46615</v>
      </c>
      <c r="P98" s="45">
        <f ca="1"/>
        <v>46645</v>
      </c>
      <c r="Q98" s="45">
        <f ca="1"/>
        <v>46645</v>
      </c>
      <c r="R98" s="37">
        <f ca="1"/>
        <v>0</v>
      </c>
      <c r="S98" s="37">
        <f ca="1"/>
        <v>0</v>
      </c>
      <c r="T98" s="41">
        <f ca="1"/>
        <v>0</v>
      </c>
      <c r="U98" s="42">
        <f ca="1"/>
        <v>0</v>
      </c>
      <c r="V98" s="42">
        <f ca="1"/>
        <v>0</v>
      </c>
      <c r="W98">
        <f ca="1"/>
        <v>0</v>
      </c>
      <c r="X98">
        <f ca="1"/>
        <v>0</v>
      </c>
      <c r="Y98" s="4">
        <f ca="1"/>
        <v>0</v>
      </c>
      <c r="Z98" s="3">
        <f ca="1"/>
        <v>5.9863284489582919E-2</v>
      </c>
      <c r="AA98" t="str">
        <f ca="1"/>
        <v>SEQUENTIAL</v>
      </c>
      <c r="AB98" s="3">
        <f ca="1"/>
        <v>8.3333333333333329E-2</v>
      </c>
      <c r="AC98" s="3">
        <f ca="1"/>
        <v>9.8632844895829141E-3</v>
      </c>
      <c r="AD98" s="45">
        <f ca="1"/>
        <v>46615</v>
      </c>
      <c r="AE98" s="3">
        <f ca="1"/>
        <v>0.98397232186303951</v>
      </c>
      <c r="AF98" s="3">
        <f ca="1"/>
        <v>0.98397232186303951</v>
      </c>
      <c r="AG98">
        <f ca="1"/>
        <v>0</v>
      </c>
      <c r="AH98" s="35">
        <f ca="1"/>
        <v>0</v>
      </c>
      <c r="AI98" s="35">
        <f ca="1"/>
        <v>0</v>
      </c>
      <c r="AJ98" s="35">
        <f ca="1"/>
        <v>0</v>
      </c>
      <c r="AK98" s="36">
        <f ca="1"/>
        <v>46615</v>
      </c>
      <c r="AL98" s="36">
        <f ca="1"/>
        <v>46615</v>
      </c>
      <c r="AM98" s="36">
        <f ca="1"/>
        <v>46645</v>
      </c>
      <c r="AN98" s="36">
        <f ca="1"/>
        <v>46645</v>
      </c>
      <c r="AO98" s="37">
        <f ca="1"/>
        <v>0</v>
      </c>
      <c r="AP98" s="37">
        <f ca="1"/>
        <v>0</v>
      </c>
      <c r="AQ98" s="41">
        <f ca="1"/>
        <v>0</v>
      </c>
      <c r="AR98" s="42">
        <f ca="1"/>
        <v>0</v>
      </c>
      <c r="AS98" s="42">
        <f ca="1"/>
        <v>0</v>
      </c>
      <c r="AT98">
        <f ca="1"/>
        <v>0</v>
      </c>
      <c r="AU98">
        <f ca="1"/>
        <v>0</v>
      </c>
      <c r="AV98" s="4">
        <f ca="1"/>
        <v>0</v>
      </c>
      <c r="AW98" s="3">
        <f ca="1"/>
        <v>5.9863284489582919E-2</v>
      </c>
      <c r="AX98" t="str">
        <f ca="1"/>
        <v>SEQUENTIAL</v>
      </c>
      <c r="AY98" s="3">
        <f ca="1"/>
        <v>8.3333333333333329E-2</v>
      </c>
      <c r="AZ98" s="3">
        <f ca="1"/>
        <v>9.8632844895829141E-3</v>
      </c>
      <c r="BA98" s="45">
        <f ca="1"/>
        <v>46615</v>
      </c>
      <c r="BB98" s="3">
        <f ca="1"/>
        <v>0.98397232186303951</v>
      </c>
      <c r="BC98" s="3">
        <f ca="1"/>
        <v>0.98397232186303951</v>
      </c>
      <c r="BD98">
        <f ca="1"/>
        <v>0</v>
      </c>
      <c r="BE98" s="4">
        <f ca="1"/>
        <v>0</v>
      </c>
      <c r="BF98" s="4">
        <f ca="1"/>
        <v>0</v>
      </c>
      <c r="BG98" s="4">
        <f ca="1"/>
        <v>0</v>
      </c>
      <c r="BH98" s="45">
        <f ca="1"/>
        <v>46615</v>
      </c>
      <c r="BI98" s="45">
        <f ca="1"/>
        <v>46615</v>
      </c>
      <c r="BJ98" s="45">
        <f ca="1"/>
        <v>46645</v>
      </c>
      <c r="BK98" s="45">
        <f ca="1"/>
        <v>46645</v>
      </c>
      <c r="BL98" s="37">
        <f ca="1"/>
        <v>0</v>
      </c>
      <c r="BM98" s="37">
        <f ca="1"/>
        <v>0</v>
      </c>
      <c r="BN98" s="40">
        <f ca="1"/>
        <v>0</v>
      </c>
      <c r="BO98" s="42">
        <f ca="1"/>
        <v>0</v>
      </c>
      <c r="BP98" s="42">
        <f ca="1"/>
        <v>0</v>
      </c>
      <c r="BQ98">
        <f ca="1"/>
        <v>0</v>
      </c>
      <c r="BR98">
        <f ca="1"/>
        <v>0</v>
      </c>
      <c r="BS98" s="4">
        <f ca="1"/>
        <v>0</v>
      </c>
      <c r="BT98" s="3">
        <f ca="1"/>
        <v>5.9863284489582919E-2</v>
      </c>
      <c r="BU98" t="str">
        <f ca="1"/>
        <v>SEQUENTIAL</v>
      </c>
      <c r="BV98" s="3">
        <f ca="1"/>
        <v>8.3333333333333329E-2</v>
      </c>
      <c r="BW98" s="3">
        <f ca="1"/>
        <v>9.8632844895829141E-3</v>
      </c>
      <c r="BX98" s="45">
        <f ca="1"/>
        <v>46615</v>
      </c>
      <c r="BY98" s="3">
        <f ca="1"/>
        <v>0.98397232186303951</v>
      </c>
      <c r="BZ98" s="3">
        <f ca="1"/>
        <v>0.98397232186303951</v>
      </c>
      <c r="CA98">
        <f ca="1"/>
        <v>0</v>
      </c>
      <c r="CB98" s="4">
        <f ca="1"/>
        <v>0</v>
      </c>
      <c r="CC98" s="4">
        <f ca="1"/>
        <v>0</v>
      </c>
      <c r="CD98" s="4">
        <f ca="1"/>
        <v>0</v>
      </c>
      <c r="CE98" t="e">
        <f ca="1"/>
        <v>#N/A</v>
      </c>
      <c r="CF98" t="e">
        <f ca="1"/>
        <v>#N/A</v>
      </c>
      <c r="CG98" t="e">
        <f ca="1"/>
        <v>#N/A</v>
      </c>
      <c r="CH98" t="e">
        <f ca="1"/>
        <v>#N/A</v>
      </c>
      <c r="CI98" t="e">
        <f ca="1"/>
        <v>#N/A</v>
      </c>
      <c r="CJ98" t="e">
        <f ca="1"/>
        <v>#N/A</v>
      </c>
      <c r="CK98" t="e">
        <f ca="1"/>
        <v>#N/A</v>
      </c>
      <c r="CL98" t="e">
        <f ca="1"/>
        <v>#N/A</v>
      </c>
      <c r="CM98" t="e">
        <f ca="1"/>
        <v>#N/A</v>
      </c>
      <c r="CN98" t="e">
        <f ca="1"/>
        <v>#N/A</v>
      </c>
    </row>
    <row r="99" spans="2:92" x14ac:dyDescent="0.25">
      <c r="B99">
        <f ca="1"/>
        <v>92</v>
      </c>
      <c r="C99" s="37">
        <f ca="1"/>
        <v>219474.20250721878</v>
      </c>
      <c r="D99" s="37">
        <f ca="1"/>
        <v>200818.58917837875</v>
      </c>
      <c r="E99" s="35">
        <f ca="1"/>
        <v>14500.964862370089</v>
      </c>
      <c r="F99" s="35">
        <f ca="1"/>
        <v>0</v>
      </c>
      <c r="G99" s="35">
        <f ca="1"/>
        <v>2492.7890798820054</v>
      </c>
      <c r="H99" s="35">
        <f ca="1"/>
        <v>0</v>
      </c>
      <c r="I99" s="35">
        <f ca="1"/>
        <v>4154.6484664700092</v>
      </c>
      <c r="J99" s="35">
        <f ca="1"/>
        <v>9144.758437800785</v>
      </c>
      <c r="K99" s="35">
        <f ca="1"/>
        <v>5407176.5535069238</v>
      </c>
      <c r="L99" s="35">
        <f ca="1"/>
        <v>5407176.5535069238</v>
      </c>
      <c r="M99" s="35">
        <f ca="1"/>
        <v>3244305.9321041573</v>
      </c>
      <c r="N99" s="45">
        <f ca="1"/>
        <v>46645</v>
      </c>
      <c r="O99" s="45">
        <f ca="1"/>
        <v>46645</v>
      </c>
      <c r="P99" s="45">
        <f ca="1"/>
        <v>46675</v>
      </c>
      <c r="Q99" s="45">
        <f ca="1"/>
        <v>46675</v>
      </c>
      <c r="R99" s="37">
        <f ca="1"/>
        <v>0</v>
      </c>
      <c r="S99" s="37">
        <f ca="1"/>
        <v>0</v>
      </c>
      <c r="T99" s="41">
        <f ca="1"/>
        <v>0</v>
      </c>
      <c r="U99" s="42">
        <f ca="1"/>
        <v>0</v>
      </c>
      <c r="V99" s="42">
        <f ca="1"/>
        <v>0</v>
      </c>
      <c r="W99">
        <f ca="1"/>
        <v>0</v>
      </c>
      <c r="X99">
        <f ca="1"/>
        <v>0</v>
      </c>
      <c r="Y99" s="4">
        <f ca="1"/>
        <v>0</v>
      </c>
      <c r="Z99" s="3">
        <f ca="1"/>
        <v>5.9993820355775329E-2</v>
      </c>
      <c r="AA99" t="str">
        <f ca="1"/>
        <v>SEQUENTIAL</v>
      </c>
      <c r="AB99" s="3">
        <f ca="1"/>
        <v>8.3333333333333329E-2</v>
      </c>
      <c r="AC99" s="3">
        <f ca="1"/>
        <v>9.9938203557753281E-3</v>
      </c>
      <c r="AD99" s="45">
        <f ca="1"/>
        <v>46645</v>
      </c>
      <c r="AE99" s="3">
        <f ca="1"/>
        <v>0.98316512263151001</v>
      </c>
      <c r="AF99" s="3">
        <f ca="1"/>
        <v>0.98316512263151001</v>
      </c>
      <c r="AG99">
        <f ca="1"/>
        <v>0</v>
      </c>
      <c r="AH99" s="35">
        <f ca="1"/>
        <v>0</v>
      </c>
      <c r="AI99" s="35">
        <f ca="1"/>
        <v>0</v>
      </c>
      <c r="AJ99" s="35">
        <f ca="1"/>
        <v>0</v>
      </c>
      <c r="AK99" s="36">
        <f ca="1"/>
        <v>46645</v>
      </c>
      <c r="AL99" s="36">
        <f ca="1"/>
        <v>46645</v>
      </c>
      <c r="AM99" s="36">
        <f ca="1"/>
        <v>46675</v>
      </c>
      <c r="AN99" s="36">
        <f ca="1"/>
        <v>46675</v>
      </c>
      <c r="AO99" s="37">
        <f ca="1"/>
        <v>0</v>
      </c>
      <c r="AP99" s="37">
        <f ca="1"/>
        <v>0</v>
      </c>
      <c r="AQ99" s="41">
        <f ca="1"/>
        <v>0</v>
      </c>
      <c r="AR99" s="42">
        <f ca="1"/>
        <v>0</v>
      </c>
      <c r="AS99" s="42">
        <f ca="1"/>
        <v>0</v>
      </c>
      <c r="AT99">
        <f ca="1"/>
        <v>0</v>
      </c>
      <c r="AU99">
        <f ca="1"/>
        <v>0</v>
      </c>
      <c r="AV99" s="4">
        <f ca="1"/>
        <v>0</v>
      </c>
      <c r="AW99" s="3">
        <f ca="1"/>
        <v>5.9993820355775329E-2</v>
      </c>
      <c r="AX99" t="str">
        <f ca="1"/>
        <v>SEQUENTIAL</v>
      </c>
      <c r="AY99" s="3">
        <f ca="1"/>
        <v>8.3333333333333329E-2</v>
      </c>
      <c r="AZ99" s="3">
        <f ca="1"/>
        <v>9.9938203557753281E-3</v>
      </c>
      <c r="BA99" s="45">
        <f ca="1"/>
        <v>46645</v>
      </c>
      <c r="BB99" s="3">
        <f ca="1"/>
        <v>0.98316512263151001</v>
      </c>
      <c r="BC99" s="3">
        <f ca="1"/>
        <v>0.98316512263151001</v>
      </c>
      <c r="BD99">
        <f ca="1"/>
        <v>0</v>
      </c>
      <c r="BE99" s="4">
        <f ca="1"/>
        <v>0</v>
      </c>
      <c r="BF99" s="4">
        <f ca="1"/>
        <v>0</v>
      </c>
      <c r="BG99" s="4">
        <f ca="1"/>
        <v>0</v>
      </c>
      <c r="BH99" s="45">
        <f ca="1"/>
        <v>46645</v>
      </c>
      <c r="BI99" s="45">
        <f ca="1"/>
        <v>46645</v>
      </c>
      <c r="BJ99" s="45">
        <f ca="1"/>
        <v>46675</v>
      </c>
      <c r="BK99" s="45">
        <f ca="1"/>
        <v>46675</v>
      </c>
      <c r="BL99" s="37">
        <f ca="1"/>
        <v>0</v>
      </c>
      <c r="BM99" s="37">
        <f ca="1"/>
        <v>0</v>
      </c>
      <c r="BN99" s="40">
        <f ca="1"/>
        <v>0</v>
      </c>
      <c r="BO99" s="42">
        <f ca="1"/>
        <v>0</v>
      </c>
      <c r="BP99" s="42">
        <f ca="1"/>
        <v>0</v>
      </c>
      <c r="BQ99">
        <f ca="1"/>
        <v>0</v>
      </c>
      <c r="BR99">
        <f ca="1"/>
        <v>0</v>
      </c>
      <c r="BS99" s="4">
        <f ca="1"/>
        <v>0</v>
      </c>
      <c r="BT99" s="3">
        <f ca="1"/>
        <v>5.9993820355775329E-2</v>
      </c>
      <c r="BU99" t="str">
        <f ca="1"/>
        <v>SEQUENTIAL</v>
      </c>
      <c r="BV99" s="3">
        <f ca="1"/>
        <v>8.3333333333333329E-2</v>
      </c>
      <c r="BW99" s="3">
        <f ca="1"/>
        <v>9.9938203557753281E-3</v>
      </c>
      <c r="BX99" s="45">
        <f ca="1"/>
        <v>46645</v>
      </c>
      <c r="BY99" s="3">
        <f ca="1"/>
        <v>0.98316512263151001</v>
      </c>
      <c r="BZ99" s="3">
        <f ca="1"/>
        <v>0.98316512263151001</v>
      </c>
      <c r="CA99">
        <f ca="1"/>
        <v>0</v>
      </c>
      <c r="CB99" s="4">
        <f ca="1"/>
        <v>0</v>
      </c>
      <c r="CC99" s="4">
        <f ca="1"/>
        <v>0</v>
      </c>
      <c r="CD99" s="4">
        <f ca="1"/>
        <v>0</v>
      </c>
      <c r="CE99" t="e">
        <f ca="1"/>
        <v>#N/A</v>
      </c>
      <c r="CF99" t="e">
        <f ca="1"/>
        <v>#N/A</v>
      </c>
      <c r="CG99" t="e">
        <f ca="1"/>
        <v>#N/A</v>
      </c>
      <c r="CH99" t="e">
        <f ca="1"/>
        <v>#N/A</v>
      </c>
      <c r="CI99" t="e">
        <f ca="1"/>
        <v>#N/A</v>
      </c>
      <c r="CJ99" t="e">
        <f ca="1"/>
        <v>#N/A</v>
      </c>
      <c r="CK99" t="e">
        <f ca="1"/>
        <v>#N/A</v>
      </c>
      <c r="CL99" t="e">
        <f ca="1"/>
        <v>#N/A</v>
      </c>
      <c r="CM99" t="e">
        <f ca="1"/>
        <v>#N/A</v>
      </c>
      <c r="CN99" t="e">
        <f ca="1"/>
        <v>#N/A</v>
      </c>
    </row>
    <row r="100" spans="2:92" x14ac:dyDescent="0.25">
      <c r="B100">
        <f ca="1"/>
        <v>93</v>
      </c>
      <c r="C100" s="37">
        <f ca="1"/>
        <v>200818.58917837875</v>
      </c>
      <c r="D100" s="37">
        <f ca="1"/>
        <v>182444.40350869633</v>
      </c>
      <c r="E100" s="35">
        <f ca="1"/>
        <v>14572.68811763562</v>
      </c>
      <c r="F100" s="35">
        <f ca="1"/>
        <v>0</v>
      </c>
      <c r="G100" s="35">
        <f ca="1"/>
        <v>2280.8985312280943</v>
      </c>
      <c r="H100" s="35">
        <f ca="1"/>
        <v>0</v>
      </c>
      <c r="I100" s="35">
        <f ca="1"/>
        <v>3801.4975520468265</v>
      </c>
      <c r="J100" s="35">
        <f ca="1"/>
        <v>8367.4412157657789</v>
      </c>
      <c r="K100" s="35">
        <f ca="1"/>
        <v>5410978.0510589704</v>
      </c>
      <c r="L100" s="35">
        <f ca="1"/>
        <v>5410978.0510589704</v>
      </c>
      <c r="M100" s="35">
        <f ca="1"/>
        <v>3246586.8306353856</v>
      </c>
      <c r="N100" s="45">
        <f ca="1"/>
        <v>46675</v>
      </c>
      <c r="O100" s="45">
        <f ca="1"/>
        <v>46675</v>
      </c>
      <c r="P100" s="45">
        <f ca="1"/>
        <v>46706</v>
      </c>
      <c r="Q100" s="45">
        <f ca="1"/>
        <v>46706</v>
      </c>
      <c r="R100" s="37">
        <f ca="1"/>
        <v>0</v>
      </c>
      <c r="S100" s="37">
        <f ca="1"/>
        <v>0</v>
      </c>
      <c r="T100" s="41">
        <f ca="1"/>
        <v>0</v>
      </c>
      <c r="U100" s="42">
        <f ca="1"/>
        <v>0</v>
      </c>
      <c r="V100" s="42">
        <f ca="1"/>
        <v>0</v>
      </c>
      <c r="W100">
        <f ca="1"/>
        <v>0</v>
      </c>
      <c r="X100">
        <f ca="1"/>
        <v>0</v>
      </c>
      <c r="Y100" s="4">
        <f ca="1"/>
        <v>0</v>
      </c>
      <c r="Z100" s="3">
        <f ca="1"/>
        <v>6.0119539043165922E-2</v>
      </c>
      <c r="AA100" t="str">
        <f ca="1"/>
        <v>SEQUENTIAL</v>
      </c>
      <c r="AB100" s="3">
        <f ca="1"/>
        <v>8.611111111111111E-2</v>
      </c>
      <c r="AC100" s="3">
        <f ca="1"/>
        <v>1.0119539043165919E-2</v>
      </c>
      <c r="AD100" s="45">
        <f ca="1"/>
        <v>46675</v>
      </c>
      <c r="AE100" s="3">
        <f ca="1"/>
        <v>0.9823205060531065</v>
      </c>
      <c r="AF100" s="3">
        <f ca="1"/>
        <v>0.9823205060531065</v>
      </c>
      <c r="AG100">
        <f ca="1"/>
        <v>0</v>
      </c>
      <c r="AH100" s="35">
        <f ca="1"/>
        <v>0</v>
      </c>
      <c r="AI100" s="35">
        <f ca="1"/>
        <v>0</v>
      </c>
      <c r="AJ100" s="35">
        <f ca="1"/>
        <v>0</v>
      </c>
      <c r="AK100" s="36">
        <f ca="1"/>
        <v>46675</v>
      </c>
      <c r="AL100" s="36">
        <f ca="1"/>
        <v>46675</v>
      </c>
      <c r="AM100" s="36">
        <f ca="1"/>
        <v>46706</v>
      </c>
      <c r="AN100" s="36">
        <f ca="1"/>
        <v>46706</v>
      </c>
      <c r="AO100" s="37">
        <f ca="1"/>
        <v>0</v>
      </c>
      <c r="AP100" s="37">
        <f ca="1"/>
        <v>0</v>
      </c>
      <c r="AQ100" s="41">
        <f ca="1"/>
        <v>0</v>
      </c>
      <c r="AR100" s="42">
        <f ca="1"/>
        <v>0</v>
      </c>
      <c r="AS100" s="42">
        <f ca="1"/>
        <v>0</v>
      </c>
      <c r="AT100">
        <f ca="1"/>
        <v>0</v>
      </c>
      <c r="AU100">
        <f ca="1"/>
        <v>0</v>
      </c>
      <c r="AV100" s="4">
        <f ca="1"/>
        <v>0</v>
      </c>
      <c r="AW100" s="3">
        <f ca="1"/>
        <v>6.0119539043165922E-2</v>
      </c>
      <c r="AX100" t="str">
        <f ca="1"/>
        <v>SEQUENTIAL</v>
      </c>
      <c r="AY100" s="3">
        <f ca="1"/>
        <v>8.611111111111111E-2</v>
      </c>
      <c r="AZ100" s="3">
        <f ca="1"/>
        <v>1.0119539043165919E-2</v>
      </c>
      <c r="BA100" s="45">
        <f ca="1"/>
        <v>46675</v>
      </c>
      <c r="BB100" s="3">
        <f ca="1"/>
        <v>0.9823205060531065</v>
      </c>
      <c r="BC100" s="3">
        <f ca="1"/>
        <v>0.9823205060531065</v>
      </c>
      <c r="BD100">
        <f ca="1"/>
        <v>0</v>
      </c>
      <c r="BE100" s="4">
        <f ca="1"/>
        <v>0</v>
      </c>
      <c r="BF100" s="4">
        <f ca="1"/>
        <v>0</v>
      </c>
      <c r="BG100" s="4">
        <f ca="1"/>
        <v>0</v>
      </c>
      <c r="BH100" s="45">
        <f ca="1"/>
        <v>46675</v>
      </c>
      <c r="BI100" s="45">
        <f ca="1"/>
        <v>46675</v>
      </c>
      <c r="BJ100" s="45">
        <f ca="1"/>
        <v>46706</v>
      </c>
      <c r="BK100" s="45">
        <f ca="1"/>
        <v>46706</v>
      </c>
      <c r="BL100" s="37">
        <f ca="1"/>
        <v>0</v>
      </c>
      <c r="BM100" s="37">
        <f ca="1"/>
        <v>0</v>
      </c>
      <c r="BN100" s="40">
        <f ca="1"/>
        <v>0</v>
      </c>
      <c r="BO100" s="42">
        <f ca="1"/>
        <v>0</v>
      </c>
      <c r="BP100" s="42">
        <f ca="1"/>
        <v>0</v>
      </c>
      <c r="BQ100">
        <f ca="1"/>
        <v>0</v>
      </c>
      <c r="BR100">
        <f ca="1"/>
        <v>0</v>
      </c>
      <c r="BS100" s="4">
        <f ca="1"/>
        <v>0</v>
      </c>
      <c r="BT100" s="3">
        <f ca="1"/>
        <v>6.0119539043165922E-2</v>
      </c>
      <c r="BU100" t="str">
        <f ca="1"/>
        <v>SEQUENTIAL</v>
      </c>
      <c r="BV100" s="3">
        <f ca="1"/>
        <v>8.611111111111111E-2</v>
      </c>
      <c r="BW100" s="3">
        <f ca="1"/>
        <v>1.0119539043165919E-2</v>
      </c>
      <c r="BX100" s="45">
        <f ca="1"/>
        <v>46675</v>
      </c>
      <c r="BY100" s="3">
        <f ca="1"/>
        <v>0.9823205060531065</v>
      </c>
      <c r="BZ100" s="3">
        <f ca="1"/>
        <v>0.9823205060531065</v>
      </c>
      <c r="CA100">
        <f ca="1"/>
        <v>0</v>
      </c>
      <c r="CB100" s="4">
        <f ca="1"/>
        <v>0</v>
      </c>
      <c r="CC100" s="4">
        <f ca="1"/>
        <v>0</v>
      </c>
      <c r="CD100" s="4">
        <f ca="1"/>
        <v>0</v>
      </c>
      <c r="CE100" t="e">
        <f ca="1"/>
        <v>#N/A</v>
      </c>
      <c r="CF100" t="e">
        <f ca="1"/>
        <v>#N/A</v>
      </c>
      <c r="CG100" t="e">
        <f ca="1"/>
        <v>#N/A</v>
      </c>
      <c r="CH100" t="e">
        <f ca="1"/>
        <v>#N/A</v>
      </c>
      <c r="CI100" t="e">
        <f ca="1"/>
        <v>#N/A</v>
      </c>
      <c r="CJ100" t="e">
        <f ca="1"/>
        <v>#N/A</v>
      </c>
      <c r="CK100" t="e">
        <f ca="1"/>
        <v>#N/A</v>
      </c>
      <c r="CL100" t="e">
        <f ca="1"/>
        <v>#N/A</v>
      </c>
      <c r="CM100" t="e">
        <f ca="1"/>
        <v>#N/A</v>
      </c>
      <c r="CN100" t="e">
        <f ca="1"/>
        <v>#N/A</v>
      </c>
    </row>
    <row r="101" spans="2:92" x14ac:dyDescent="0.25">
      <c r="B101">
        <f ca="1"/>
        <v>94</v>
      </c>
      <c r="C101" s="37">
        <f ca="1"/>
        <v>182444.40350869633</v>
      </c>
      <c r="D101" s="37">
        <f ca="1"/>
        <v>165197.16576831453</v>
      </c>
      <c r="E101" s="35">
        <f ca="1"/>
        <v>13793.563674845385</v>
      </c>
      <c r="F101" s="35">
        <f ca="1"/>
        <v>0</v>
      </c>
      <c r="G101" s="35">
        <f ca="1"/>
        <v>2072.2044393217702</v>
      </c>
      <c r="H101" s="35">
        <f ca="1"/>
        <v>0</v>
      </c>
      <c r="I101" s="35">
        <f ca="1"/>
        <v>3453.6740655362842</v>
      </c>
      <c r="J101" s="35">
        <f ca="1"/>
        <v>7601.8501461956803</v>
      </c>
      <c r="K101" s="35">
        <f ca="1"/>
        <v>5414431.7251245063</v>
      </c>
      <c r="L101" s="35">
        <f ca="1"/>
        <v>5414431.7251245063</v>
      </c>
      <c r="M101" s="35">
        <f ca="1"/>
        <v>3248659.0350747076</v>
      </c>
      <c r="N101" s="45">
        <f ca="1"/>
        <v>46706</v>
      </c>
      <c r="O101" s="45">
        <f ca="1"/>
        <v>46706</v>
      </c>
      <c r="P101" s="45">
        <f ca="1"/>
        <v>46736</v>
      </c>
      <c r="Q101" s="45">
        <f ca="1"/>
        <v>46736</v>
      </c>
      <c r="R101" s="37">
        <f ca="1"/>
        <v>0</v>
      </c>
      <c r="S101" s="37">
        <f ca="1"/>
        <v>0</v>
      </c>
      <c r="T101" s="41">
        <f ca="1"/>
        <v>0</v>
      </c>
      <c r="U101" s="42">
        <f ca="1"/>
        <v>0</v>
      </c>
      <c r="V101" s="42">
        <f ca="1"/>
        <v>0</v>
      </c>
      <c r="W101">
        <f ca="1"/>
        <v>0</v>
      </c>
      <c r="X101">
        <f ca="1"/>
        <v>0</v>
      </c>
      <c r="Y101" s="4">
        <f ca="1"/>
        <v>0</v>
      </c>
      <c r="Z101" s="3">
        <f ca="1"/>
        <v>6.0243590673676593E-2</v>
      </c>
      <c r="AA101" t="str">
        <f ca="1"/>
        <v>SEQUENTIAL</v>
      </c>
      <c r="AB101" s="3">
        <f ca="1"/>
        <v>8.3333333333333329E-2</v>
      </c>
      <c r="AC101" s="3">
        <f ca="1"/>
        <v>1.0243590673676591E-2</v>
      </c>
      <c r="AD101" s="45">
        <f ca="1"/>
        <v>46706</v>
      </c>
      <c r="AE101" s="3">
        <f ca="1"/>
        <v>0.98149341693663994</v>
      </c>
      <c r="AF101" s="3">
        <f ca="1"/>
        <v>0.98149341693663994</v>
      </c>
      <c r="AG101">
        <f ca="1"/>
        <v>0</v>
      </c>
      <c r="AH101" s="35">
        <f ca="1"/>
        <v>0</v>
      </c>
      <c r="AI101" s="35">
        <f ca="1"/>
        <v>0</v>
      </c>
      <c r="AJ101" s="35">
        <f ca="1"/>
        <v>0</v>
      </c>
      <c r="AK101" s="36">
        <f ca="1"/>
        <v>46706</v>
      </c>
      <c r="AL101" s="36">
        <f ca="1"/>
        <v>46706</v>
      </c>
      <c r="AM101" s="36">
        <f ca="1"/>
        <v>46736</v>
      </c>
      <c r="AN101" s="36">
        <f ca="1"/>
        <v>46736</v>
      </c>
      <c r="AO101" s="37">
        <f ca="1"/>
        <v>0</v>
      </c>
      <c r="AP101" s="37">
        <f ca="1"/>
        <v>0</v>
      </c>
      <c r="AQ101" s="41">
        <f ca="1"/>
        <v>0</v>
      </c>
      <c r="AR101" s="42">
        <f ca="1"/>
        <v>0</v>
      </c>
      <c r="AS101" s="42">
        <f ca="1"/>
        <v>0</v>
      </c>
      <c r="AT101">
        <f ca="1"/>
        <v>0</v>
      </c>
      <c r="AU101">
        <f ca="1"/>
        <v>0</v>
      </c>
      <c r="AV101" s="4">
        <f ca="1"/>
        <v>0</v>
      </c>
      <c r="AW101" s="3">
        <f ca="1"/>
        <v>6.0243590673676593E-2</v>
      </c>
      <c r="AX101" t="str">
        <f ca="1"/>
        <v>SEQUENTIAL</v>
      </c>
      <c r="AY101" s="3">
        <f ca="1"/>
        <v>8.3333333333333329E-2</v>
      </c>
      <c r="AZ101" s="3">
        <f ca="1"/>
        <v>1.0243590673676591E-2</v>
      </c>
      <c r="BA101" s="45">
        <f ca="1"/>
        <v>46706</v>
      </c>
      <c r="BB101" s="3">
        <f ca="1"/>
        <v>0.98149341693663994</v>
      </c>
      <c r="BC101" s="3">
        <f ca="1"/>
        <v>0.98149341693663994</v>
      </c>
      <c r="BD101">
        <f ca="1"/>
        <v>0</v>
      </c>
      <c r="BE101" s="4">
        <f ca="1"/>
        <v>0</v>
      </c>
      <c r="BF101" s="4">
        <f ca="1"/>
        <v>0</v>
      </c>
      <c r="BG101" s="4">
        <f ca="1"/>
        <v>0</v>
      </c>
      <c r="BH101" s="45">
        <f ca="1"/>
        <v>46706</v>
      </c>
      <c r="BI101" s="45">
        <f ca="1"/>
        <v>46706</v>
      </c>
      <c r="BJ101" s="45">
        <f ca="1"/>
        <v>46736</v>
      </c>
      <c r="BK101" s="45">
        <f ca="1"/>
        <v>46736</v>
      </c>
      <c r="BL101" s="37">
        <f ca="1"/>
        <v>0</v>
      </c>
      <c r="BM101" s="37">
        <f ca="1"/>
        <v>0</v>
      </c>
      <c r="BN101" s="40">
        <f ca="1"/>
        <v>0</v>
      </c>
      <c r="BO101" s="42">
        <f ca="1"/>
        <v>0</v>
      </c>
      <c r="BP101" s="42">
        <f ca="1"/>
        <v>0</v>
      </c>
      <c r="BQ101">
        <f ca="1"/>
        <v>0</v>
      </c>
      <c r="BR101">
        <f ca="1"/>
        <v>0</v>
      </c>
      <c r="BS101" s="4">
        <f ca="1"/>
        <v>0</v>
      </c>
      <c r="BT101" s="3">
        <f ca="1"/>
        <v>6.0243590673676593E-2</v>
      </c>
      <c r="BU101" t="str">
        <f ca="1"/>
        <v>SEQUENTIAL</v>
      </c>
      <c r="BV101" s="3">
        <f ca="1"/>
        <v>8.3333333333333329E-2</v>
      </c>
      <c r="BW101" s="3">
        <f ca="1"/>
        <v>1.0243590673676591E-2</v>
      </c>
      <c r="BX101" s="45">
        <f ca="1"/>
        <v>46706</v>
      </c>
      <c r="BY101" s="3">
        <f ca="1"/>
        <v>0.98149341693663994</v>
      </c>
      <c r="BZ101" s="3">
        <f ca="1"/>
        <v>0.98149341693663994</v>
      </c>
      <c r="CA101">
        <f ca="1"/>
        <v>0</v>
      </c>
      <c r="CB101" s="4">
        <f ca="1"/>
        <v>0</v>
      </c>
      <c r="CC101" s="4">
        <f ca="1"/>
        <v>0</v>
      </c>
      <c r="CD101" s="4">
        <f ca="1"/>
        <v>0</v>
      </c>
      <c r="CE101" t="e">
        <f ca="1"/>
        <v>#N/A</v>
      </c>
      <c r="CF101" t="e">
        <f ca="1"/>
        <v>#N/A</v>
      </c>
      <c r="CG101" t="e">
        <f ca="1"/>
        <v>#N/A</v>
      </c>
      <c r="CH101" t="e">
        <f ca="1"/>
        <v>#N/A</v>
      </c>
      <c r="CI101" t="e">
        <f ca="1"/>
        <v>#N/A</v>
      </c>
      <c r="CJ101" t="e">
        <f ca="1"/>
        <v>#N/A</v>
      </c>
      <c r="CK101" t="e">
        <f ca="1"/>
        <v>#N/A</v>
      </c>
      <c r="CL101" t="e">
        <f ca="1"/>
        <v>#N/A</v>
      </c>
      <c r="CM101" t="e">
        <f ca="1"/>
        <v>#N/A</v>
      </c>
      <c r="CN101" t="e">
        <f ca="1"/>
        <v>#N/A</v>
      </c>
    </row>
    <row r="102" spans="2:92" x14ac:dyDescent="0.25">
      <c r="B102">
        <f ca="1"/>
        <v>95</v>
      </c>
      <c r="C102" s="37">
        <f ca="1"/>
        <v>165197.16576831453</v>
      </c>
      <c r="D102" s="37">
        <f ca="1"/>
        <v>149723.12031382188</v>
      </c>
      <c r="E102" s="35">
        <f ca="1"/>
        <v>12346.861741855926</v>
      </c>
      <c r="F102" s="35">
        <f ca="1"/>
        <v>0</v>
      </c>
      <c r="G102" s="35">
        <f ca="1"/>
        <v>1876.310227582065</v>
      </c>
      <c r="H102" s="35">
        <f ca="1"/>
        <v>0</v>
      </c>
      <c r="I102" s="35">
        <f ca="1"/>
        <v>3127.1837126367741</v>
      </c>
      <c r="J102" s="35">
        <f ca="1"/>
        <v>6883.2152403464443</v>
      </c>
      <c r="K102" s="35">
        <f ca="1"/>
        <v>5417558.9088371433</v>
      </c>
      <c r="L102" s="35">
        <f ca="1"/>
        <v>5417558.9088371433</v>
      </c>
      <c r="M102" s="35">
        <f ca="1"/>
        <v>3250535.3453022898</v>
      </c>
      <c r="N102" s="45">
        <f ca="1"/>
        <v>46736</v>
      </c>
      <c r="O102" s="45">
        <f ca="1"/>
        <v>46736</v>
      </c>
      <c r="P102" s="45">
        <f ca="1"/>
        <v>46769</v>
      </c>
      <c r="Q102" s="45">
        <f ca="1"/>
        <v>46769</v>
      </c>
      <c r="R102" s="37">
        <f ca="1"/>
        <v>0</v>
      </c>
      <c r="S102" s="37">
        <f ca="1"/>
        <v>0</v>
      </c>
      <c r="T102" s="41">
        <f ca="1"/>
        <v>0</v>
      </c>
      <c r="U102" s="42">
        <f ca="1"/>
        <v>0</v>
      </c>
      <c r="V102" s="42">
        <f ca="1"/>
        <v>0</v>
      </c>
      <c r="W102">
        <f ca="1"/>
        <v>0</v>
      </c>
      <c r="X102">
        <f ca="1"/>
        <v>0</v>
      </c>
      <c r="Y102" s="4">
        <f ca="1"/>
        <v>0</v>
      </c>
      <c r="Z102" s="3">
        <f ca="1"/>
        <v>6.035744736460541E-2</v>
      </c>
      <c r="AA102" t="str">
        <f ca="1"/>
        <v>SEQUENTIAL</v>
      </c>
      <c r="AB102" s="3">
        <f ca="1"/>
        <v>9.166666666666666E-2</v>
      </c>
      <c r="AC102" s="3">
        <f ca="1"/>
        <v>1.0357447364605409E-2</v>
      </c>
      <c r="AD102" s="45">
        <f ca="1"/>
        <v>46736</v>
      </c>
      <c r="AE102" s="3">
        <f ca="1"/>
        <v>0.98057310784403706</v>
      </c>
      <c r="AF102" s="3">
        <f ca="1"/>
        <v>0.98057310784403706</v>
      </c>
      <c r="AG102">
        <f ca="1"/>
        <v>0</v>
      </c>
      <c r="AH102" s="35">
        <f ca="1"/>
        <v>0</v>
      </c>
      <c r="AI102" s="35">
        <f ca="1"/>
        <v>0</v>
      </c>
      <c r="AJ102" s="35">
        <f ca="1"/>
        <v>0</v>
      </c>
      <c r="AK102" s="36">
        <f ca="1"/>
        <v>46736</v>
      </c>
      <c r="AL102" s="36">
        <f ca="1"/>
        <v>46736</v>
      </c>
      <c r="AM102" s="36">
        <f ca="1"/>
        <v>46769</v>
      </c>
      <c r="AN102" s="36">
        <f ca="1"/>
        <v>46769</v>
      </c>
      <c r="AO102" s="37">
        <f ca="1"/>
        <v>0</v>
      </c>
      <c r="AP102" s="37">
        <f ca="1"/>
        <v>0</v>
      </c>
      <c r="AQ102" s="41">
        <f ca="1"/>
        <v>0</v>
      </c>
      <c r="AR102" s="42">
        <f ca="1"/>
        <v>0</v>
      </c>
      <c r="AS102" s="42">
        <f ca="1"/>
        <v>0</v>
      </c>
      <c r="AT102">
        <f ca="1"/>
        <v>0</v>
      </c>
      <c r="AU102">
        <f ca="1"/>
        <v>0</v>
      </c>
      <c r="AV102" s="4">
        <f ca="1"/>
        <v>0</v>
      </c>
      <c r="AW102" s="3">
        <f ca="1"/>
        <v>6.035744736460541E-2</v>
      </c>
      <c r="AX102" t="str">
        <f ca="1"/>
        <v>SEQUENTIAL</v>
      </c>
      <c r="AY102" s="3">
        <f ca="1"/>
        <v>9.166666666666666E-2</v>
      </c>
      <c r="AZ102" s="3">
        <f ca="1"/>
        <v>1.0357447364605409E-2</v>
      </c>
      <c r="BA102" s="45">
        <f ca="1"/>
        <v>46736</v>
      </c>
      <c r="BB102" s="3">
        <f ca="1"/>
        <v>0.98057310784403706</v>
      </c>
      <c r="BC102" s="3">
        <f ca="1"/>
        <v>0.98057310784403706</v>
      </c>
      <c r="BD102">
        <f ca="1"/>
        <v>0</v>
      </c>
      <c r="BE102" s="4">
        <f ca="1"/>
        <v>0</v>
      </c>
      <c r="BF102" s="4">
        <f ca="1"/>
        <v>0</v>
      </c>
      <c r="BG102" s="4">
        <f ca="1"/>
        <v>0</v>
      </c>
      <c r="BH102" s="45">
        <f ca="1"/>
        <v>46736</v>
      </c>
      <c r="BI102" s="45">
        <f ca="1"/>
        <v>46736</v>
      </c>
      <c r="BJ102" s="45">
        <f ca="1"/>
        <v>46769</v>
      </c>
      <c r="BK102" s="45">
        <f ca="1"/>
        <v>46769</v>
      </c>
      <c r="BL102" s="37">
        <f ca="1"/>
        <v>0</v>
      </c>
      <c r="BM102" s="37">
        <f ca="1"/>
        <v>0</v>
      </c>
      <c r="BN102" s="40">
        <f ca="1"/>
        <v>0</v>
      </c>
      <c r="BO102" s="42">
        <f ca="1"/>
        <v>0</v>
      </c>
      <c r="BP102" s="42">
        <f ca="1"/>
        <v>0</v>
      </c>
      <c r="BQ102">
        <f ca="1"/>
        <v>0</v>
      </c>
      <c r="BR102">
        <f ca="1"/>
        <v>0</v>
      </c>
      <c r="BS102" s="4">
        <f ca="1"/>
        <v>0</v>
      </c>
      <c r="BT102" s="3">
        <f ca="1"/>
        <v>6.035744736460541E-2</v>
      </c>
      <c r="BU102" t="str">
        <f ca="1"/>
        <v>SEQUENTIAL</v>
      </c>
      <c r="BV102" s="3">
        <f ca="1"/>
        <v>9.166666666666666E-2</v>
      </c>
      <c r="BW102" s="3">
        <f ca="1"/>
        <v>1.0357447364605409E-2</v>
      </c>
      <c r="BX102" s="45">
        <f ca="1"/>
        <v>46736</v>
      </c>
      <c r="BY102" s="3">
        <f ca="1"/>
        <v>0.98057310784403706</v>
      </c>
      <c r="BZ102" s="3">
        <f ca="1"/>
        <v>0.98057310784403706</v>
      </c>
      <c r="CA102">
        <f ca="1"/>
        <v>0</v>
      </c>
      <c r="CB102" s="4">
        <f ca="1"/>
        <v>0</v>
      </c>
      <c r="CC102" s="4">
        <f ca="1"/>
        <v>0</v>
      </c>
      <c r="CD102" s="4">
        <f ca="1"/>
        <v>0</v>
      </c>
      <c r="CE102" t="e">
        <f ca="1"/>
        <v>#N/A</v>
      </c>
      <c r="CF102" t="e">
        <f ca="1"/>
        <v>#N/A</v>
      </c>
      <c r="CG102" t="e">
        <f ca="1"/>
        <v>#N/A</v>
      </c>
      <c r="CH102" t="e">
        <f ca="1"/>
        <v>#N/A</v>
      </c>
      <c r="CI102" t="e">
        <f ca="1"/>
        <v>#N/A</v>
      </c>
      <c r="CJ102" t="e">
        <f ca="1"/>
        <v>#N/A</v>
      </c>
      <c r="CK102" t="e">
        <f ca="1"/>
        <v>#N/A</v>
      </c>
      <c r="CL102" t="e">
        <f ca="1"/>
        <v>#N/A</v>
      </c>
      <c r="CM102" t="e">
        <f ca="1"/>
        <v>#N/A</v>
      </c>
      <c r="CN102" t="e">
        <f ca="1"/>
        <v>#N/A</v>
      </c>
    </row>
    <row r="103" spans="2:92" x14ac:dyDescent="0.25">
      <c r="B103">
        <f ca="1"/>
        <v>96</v>
      </c>
      <c r="C103" s="37">
        <f ca="1"/>
        <v>149723.12031382188</v>
      </c>
      <c r="D103" s="37">
        <f ca="1"/>
        <v>134537.74343379366</v>
      </c>
      <c r="E103" s="35">
        <f ca="1"/>
        <v>12351.116975671262</v>
      </c>
      <c r="F103" s="35">
        <f ca="1"/>
        <v>0</v>
      </c>
      <c r="G103" s="35">
        <f ca="1"/>
        <v>1700.5559426141599</v>
      </c>
      <c r="H103" s="35">
        <f ca="1"/>
        <v>0</v>
      </c>
      <c r="I103" s="35">
        <f ca="1"/>
        <v>2834.2599043569344</v>
      </c>
      <c r="J103" s="35">
        <f ca="1"/>
        <v>6238.463346409244</v>
      </c>
      <c r="K103" s="35">
        <f ca="1"/>
        <v>5420393.1687415</v>
      </c>
      <c r="L103" s="35">
        <f ca="1"/>
        <v>5420393.1687415</v>
      </c>
      <c r="M103" s="35">
        <f ca="1"/>
        <v>3252235.9012449039</v>
      </c>
      <c r="N103" s="45">
        <f ca="1"/>
        <v>46769</v>
      </c>
      <c r="O103" s="45">
        <f ca="1"/>
        <v>46769</v>
      </c>
      <c r="P103" s="45">
        <f ca="1"/>
        <v>46798</v>
      </c>
      <c r="Q103" s="45">
        <f ca="1"/>
        <v>46798</v>
      </c>
      <c r="R103" s="37">
        <f ca="1"/>
        <v>0</v>
      </c>
      <c r="S103" s="37">
        <f ca="1"/>
        <v>0</v>
      </c>
      <c r="T103" s="41">
        <f ca="1"/>
        <v>0</v>
      </c>
      <c r="U103" s="42">
        <f ca="1"/>
        <v>0</v>
      </c>
      <c r="V103" s="42">
        <f ca="1"/>
        <v>0</v>
      </c>
      <c r="W103">
        <f ca="1"/>
        <v>0</v>
      </c>
      <c r="X103">
        <f ca="1"/>
        <v>0</v>
      </c>
      <c r="Y103" s="4">
        <f ca="1"/>
        <v>0</v>
      </c>
      <c r="Z103" s="3">
        <f ca="1"/>
        <v>6.0476501296324217E-2</v>
      </c>
      <c r="AA103" t="str">
        <f ca="1"/>
        <v>SEQUENTIAL</v>
      </c>
      <c r="AB103" s="3">
        <f ca="1"/>
        <v>8.0555555555555561E-2</v>
      </c>
      <c r="AC103" s="3">
        <f ca="1"/>
        <v>1.0476501296324214E-2</v>
      </c>
      <c r="AD103" s="45">
        <f ca="1"/>
        <v>46769</v>
      </c>
      <c r="AE103" s="3">
        <f ca="1"/>
        <v>0.97975570850051796</v>
      </c>
      <c r="AF103" s="3">
        <f ca="1"/>
        <v>0.97975570850051796</v>
      </c>
      <c r="AG103">
        <f ca="1"/>
        <v>0</v>
      </c>
      <c r="AH103" s="35">
        <f ca="1"/>
        <v>0</v>
      </c>
      <c r="AI103" s="35">
        <f ca="1"/>
        <v>0</v>
      </c>
      <c r="AJ103" s="35">
        <f ca="1"/>
        <v>0</v>
      </c>
      <c r="AK103" s="36">
        <f ca="1"/>
        <v>46769</v>
      </c>
      <c r="AL103" s="36">
        <f ca="1"/>
        <v>46769</v>
      </c>
      <c r="AM103" s="36">
        <f ca="1"/>
        <v>46798</v>
      </c>
      <c r="AN103" s="36">
        <f ca="1"/>
        <v>46798</v>
      </c>
      <c r="AO103" s="37">
        <f ca="1"/>
        <v>0</v>
      </c>
      <c r="AP103" s="37">
        <f ca="1"/>
        <v>0</v>
      </c>
      <c r="AQ103" s="41">
        <f ca="1"/>
        <v>0</v>
      </c>
      <c r="AR103" s="42">
        <f ca="1"/>
        <v>0</v>
      </c>
      <c r="AS103" s="42">
        <f ca="1"/>
        <v>0</v>
      </c>
      <c r="AT103">
        <f ca="1"/>
        <v>0</v>
      </c>
      <c r="AU103">
        <f ca="1"/>
        <v>0</v>
      </c>
      <c r="AV103" s="4">
        <f ca="1"/>
        <v>0</v>
      </c>
      <c r="AW103" s="3">
        <f ca="1"/>
        <v>6.0476501296324217E-2</v>
      </c>
      <c r="AX103" t="str">
        <f ca="1"/>
        <v>SEQUENTIAL</v>
      </c>
      <c r="AY103" s="3">
        <f ca="1"/>
        <v>8.0555555555555561E-2</v>
      </c>
      <c r="AZ103" s="3">
        <f ca="1"/>
        <v>1.0476501296324214E-2</v>
      </c>
      <c r="BA103" s="45">
        <f ca="1"/>
        <v>46769</v>
      </c>
      <c r="BB103" s="3">
        <f ca="1"/>
        <v>0.97975570850051796</v>
      </c>
      <c r="BC103" s="3">
        <f ca="1"/>
        <v>0.97975570850051796</v>
      </c>
      <c r="BD103">
        <f ca="1"/>
        <v>0</v>
      </c>
      <c r="BE103" s="4">
        <f ca="1"/>
        <v>0</v>
      </c>
      <c r="BF103" s="4">
        <f ca="1"/>
        <v>0</v>
      </c>
      <c r="BG103" s="4">
        <f ca="1"/>
        <v>0</v>
      </c>
      <c r="BH103" s="45">
        <f ca="1"/>
        <v>46769</v>
      </c>
      <c r="BI103" s="45">
        <f ca="1"/>
        <v>46769</v>
      </c>
      <c r="BJ103" s="45">
        <f ca="1"/>
        <v>46798</v>
      </c>
      <c r="BK103" s="45">
        <f ca="1"/>
        <v>46798</v>
      </c>
      <c r="BL103" s="37">
        <f ca="1"/>
        <v>0</v>
      </c>
      <c r="BM103" s="37">
        <f ca="1"/>
        <v>0</v>
      </c>
      <c r="BN103" s="40">
        <f ca="1"/>
        <v>0</v>
      </c>
      <c r="BO103" s="42">
        <f ca="1"/>
        <v>0</v>
      </c>
      <c r="BP103" s="42">
        <f ca="1"/>
        <v>0</v>
      </c>
      <c r="BQ103">
        <f ca="1"/>
        <v>0</v>
      </c>
      <c r="BR103">
        <f ca="1"/>
        <v>0</v>
      </c>
      <c r="BS103" s="4">
        <f ca="1"/>
        <v>0</v>
      </c>
      <c r="BT103" s="3">
        <f ca="1"/>
        <v>6.0476501296324217E-2</v>
      </c>
      <c r="BU103" t="str">
        <f ca="1"/>
        <v>SEQUENTIAL</v>
      </c>
      <c r="BV103" s="3">
        <f ca="1"/>
        <v>8.0555555555555561E-2</v>
      </c>
      <c r="BW103" s="3">
        <f ca="1"/>
        <v>1.0476501296324214E-2</v>
      </c>
      <c r="BX103" s="45">
        <f ca="1"/>
        <v>46769</v>
      </c>
      <c r="BY103" s="3">
        <f ca="1"/>
        <v>0.97975570850051796</v>
      </c>
      <c r="BZ103" s="3">
        <f ca="1"/>
        <v>0.97975570850051796</v>
      </c>
      <c r="CA103">
        <f ca="1"/>
        <v>0</v>
      </c>
      <c r="CB103" s="4">
        <f ca="1"/>
        <v>0</v>
      </c>
      <c r="CC103" s="4">
        <f ca="1"/>
        <v>0</v>
      </c>
      <c r="CD103" s="4">
        <f ca="1"/>
        <v>0</v>
      </c>
      <c r="CE103" t="e">
        <f ca="1"/>
        <v>#N/A</v>
      </c>
      <c r="CF103" t="e">
        <f ca="1"/>
        <v>#N/A</v>
      </c>
      <c r="CG103" t="e">
        <f ca="1"/>
        <v>#N/A</v>
      </c>
      <c r="CH103" t="e">
        <f ca="1"/>
        <v>#N/A</v>
      </c>
      <c r="CI103" t="e">
        <f ca="1"/>
        <v>#N/A</v>
      </c>
      <c r="CJ103" t="e">
        <f ca="1"/>
        <v>#N/A</v>
      </c>
      <c r="CK103" t="e">
        <f ca="1"/>
        <v>#N/A</v>
      </c>
      <c r="CL103" t="e">
        <f ca="1"/>
        <v>#N/A</v>
      </c>
      <c r="CM103" t="e">
        <f ca="1"/>
        <v>#N/A</v>
      </c>
      <c r="CN103" t="e">
        <f ca="1"/>
        <v>#N/A</v>
      </c>
    </row>
    <row r="104" spans="2:92" x14ac:dyDescent="0.25">
      <c r="B104">
        <f ca="1"/>
        <v>97</v>
      </c>
      <c r="C104" s="37">
        <f ca="1"/>
        <v>134537.74343379366</v>
      </c>
      <c r="D104" s="37">
        <f ca="1"/>
        <v>121254.03496919706</v>
      </c>
      <c r="E104" s="35">
        <f ca="1"/>
        <v>10736.907870020315</v>
      </c>
      <c r="F104" s="35">
        <f ca="1"/>
        <v>0</v>
      </c>
      <c r="G104" s="35">
        <f ca="1"/>
        <v>1528.0803567457854</v>
      </c>
      <c r="H104" s="35">
        <f ca="1"/>
        <v>0</v>
      </c>
      <c r="I104" s="35">
        <f ca="1"/>
        <v>2546.8005945763098</v>
      </c>
      <c r="J104" s="35">
        <f ca="1"/>
        <v>5605.7393097414042</v>
      </c>
      <c r="K104" s="35">
        <f ca="1"/>
        <v>5422939.9693360766</v>
      </c>
      <c r="L104" s="35">
        <f ca="1"/>
        <v>5422939.9693360766</v>
      </c>
      <c r="M104" s="35">
        <f ca="1"/>
        <v>3253763.9816016499</v>
      </c>
      <c r="N104" s="45">
        <f ca="1"/>
        <v>46798</v>
      </c>
      <c r="O104" s="45">
        <f ca="1"/>
        <v>46798</v>
      </c>
      <c r="P104" s="45">
        <f ca="1"/>
        <v>46827</v>
      </c>
      <c r="Q104" s="45">
        <f ca="1"/>
        <v>46827</v>
      </c>
      <c r="R104" s="37">
        <f ca="1"/>
        <v>0</v>
      </c>
      <c r="S104" s="37">
        <f ca="1"/>
        <v>0</v>
      </c>
      <c r="T104" s="41">
        <f ca="1"/>
        <v>0</v>
      </c>
      <c r="U104" s="42">
        <f ca="1"/>
        <v>0</v>
      </c>
      <c r="V104" s="42">
        <f ca="1"/>
        <v>0</v>
      </c>
      <c r="W104">
        <f ca="1"/>
        <v>0</v>
      </c>
      <c r="X104">
        <f ca="1"/>
        <v>0</v>
      </c>
      <c r="Y104" s="4">
        <f ca="1"/>
        <v>0</v>
      </c>
      <c r="Z104" s="3">
        <f ca="1"/>
        <v>6.0576865363415104E-2</v>
      </c>
      <c r="AA104" t="str">
        <f ca="1"/>
        <v>SEQUENTIAL</v>
      </c>
      <c r="AB104" s="3">
        <f ca="1"/>
        <v>8.0555555555555561E-2</v>
      </c>
      <c r="AC104" s="3">
        <f ca="1"/>
        <v>1.05768653634151E-2</v>
      </c>
      <c r="AD104" s="45">
        <f ca="1"/>
        <v>46798</v>
      </c>
      <c r="AE104" s="3">
        <f ca="1"/>
        <v>0.97893063746428111</v>
      </c>
      <c r="AF104" s="3">
        <f ca="1"/>
        <v>0.97893063746428111</v>
      </c>
      <c r="AG104">
        <f ca="1"/>
        <v>0</v>
      </c>
      <c r="AH104" s="35">
        <f ca="1"/>
        <v>0</v>
      </c>
      <c r="AI104" s="35">
        <f ca="1"/>
        <v>0</v>
      </c>
      <c r="AJ104" s="35">
        <f ca="1"/>
        <v>0</v>
      </c>
      <c r="AK104" s="36">
        <f ca="1"/>
        <v>46798</v>
      </c>
      <c r="AL104" s="36">
        <f ca="1"/>
        <v>46798</v>
      </c>
      <c r="AM104" s="36">
        <f ca="1"/>
        <v>46827</v>
      </c>
      <c r="AN104" s="36">
        <f ca="1"/>
        <v>46827</v>
      </c>
      <c r="AO104" s="37">
        <f ca="1"/>
        <v>0</v>
      </c>
      <c r="AP104" s="37">
        <f ca="1"/>
        <v>0</v>
      </c>
      <c r="AQ104" s="41">
        <f ca="1"/>
        <v>0</v>
      </c>
      <c r="AR104" s="42">
        <f ca="1"/>
        <v>0</v>
      </c>
      <c r="AS104" s="42">
        <f ca="1"/>
        <v>0</v>
      </c>
      <c r="AT104">
        <f ca="1"/>
        <v>0</v>
      </c>
      <c r="AU104">
        <f ca="1"/>
        <v>0</v>
      </c>
      <c r="AV104" s="4">
        <f ca="1"/>
        <v>0</v>
      </c>
      <c r="AW104" s="3">
        <f ca="1"/>
        <v>6.0576865363415104E-2</v>
      </c>
      <c r="AX104" t="str">
        <f ca="1"/>
        <v>SEQUENTIAL</v>
      </c>
      <c r="AY104" s="3">
        <f ca="1"/>
        <v>8.0555555555555561E-2</v>
      </c>
      <c r="AZ104" s="3">
        <f ca="1"/>
        <v>1.05768653634151E-2</v>
      </c>
      <c r="BA104" s="45">
        <f ca="1"/>
        <v>46798</v>
      </c>
      <c r="BB104" s="3">
        <f ca="1"/>
        <v>0.97893063746428111</v>
      </c>
      <c r="BC104" s="3">
        <f ca="1"/>
        <v>0.97893063746428111</v>
      </c>
      <c r="BD104">
        <f ca="1"/>
        <v>0</v>
      </c>
      <c r="BE104" s="4">
        <f ca="1"/>
        <v>0</v>
      </c>
      <c r="BF104" s="4">
        <f ca="1"/>
        <v>0</v>
      </c>
      <c r="BG104" s="4">
        <f ca="1"/>
        <v>0</v>
      </c>
      <c r="BH104" s="45">
        <f ca="1"/>
        <v>46798</v>
      </c>
      <c r="BI104" s="45">
        <f ca="1"/>
        <v>46798</v>
      </c>
      <c r="BJ104" s="45">
        <f ca="1"/>
        <v>46827</v>
      </c>
      <c r="BK104" s="45">
        <f ca="1"/>
        <v>46827</v>
      </c>
      <c r="BL104" s="37">
        <f ca="1"/>
        <v>0</v>
      </c>
      <c r="BM104" s="37">
        <f ca="1"/>
        <v>0</v>
      </c>
      <c r="BN104" s="40">
        <f ca="1"/>
        <v>0</v>
      </c>
      <c r="BO104" s="42">
        <f ca="1"/>
        <v>0</v>
      </c>
      <c r="BP104" s="42">
        <f ca="1"/>
        <v>0</v>
      </c>
      <c r="BQ104">
        <f ca="1"/>
        <v>0</v>
      </c>
      <c r="BR104">
        <f ca="1"/>
        <v>0</v>
      </c>
      <c r="BS104" s="4">
        <f ca="1"/>
        <v>0</v>
      </c>
      <c r="BT104" s="3">
        <f ca="1"/>
        <v>6.0576865363415104E-2</v>
      </c>
      <c r="BU104" t="str">
        <f ca="1"/>
        <v>SEQUENTIAL</v>
      </c>
      <c r="BV104" s="3">
        <f ca="1"/>
        <v>8.0555555555555561E-2</v>
      </c>
      <c r="BW104" s="3">
        <f ca="1"/>
        <v>1.05768653634151E-2</v>
      </c>
      <c r="BX104" s="45">
        <f ca="1"/>
        <v>46798</v>
      </c>
      <c r="BY104" s="3">
        <f ca="1"/>
        <v>0.97893063746428111</v>
      </c>
      <c r="BZ104" s="3">
        <f ca="1"/>
        <v>0.97893063746428111</v>
      </c>
      <c r="CA104">
        <f ca="1"/>
        <v>0</v>
      </c>
      <c r="CB104" s="4">
        <f ca="1"/>
        <v>0</v>
      </c>
      <c r="CC104" s="4">
        <f ca="1"/>
        <v>0</v>
      </c>
      <c r="CD104" s="4">
        <f ca="1"/>
        <v>0</v>
      </c>
      <c r="CE104" t="e">
        <f ca="1"/>
        <v>#N/A</v>
      </c>
      <c r="CF104" t="e">
        <f ca="1"/>
        <v>#N/A</v>
      </c>
      <c r="CG104" t="e">
        <f ca="1"/>
        <v>#N/A</v>
      </c>
      <c r="CH104" t="e">
        <f ca="1"/>
        <v>#N/A</v>
      </c>
      <c r="CI104" t="e">
        <f ca="1"/>
        <v>#N/A</v>
      </c>
      <c r="CJ104" t="e">
        <f ca="1"/>
        <v>#N/A</v>
      </c>
      <c r="CK104" t="e">
        <f ca="1"/>
        <v>#N/A</v>
      </c>
      <c r="CL104" t="e">
        <f ca="1"/>
        <v>#N/A</v>
      </c>
      <c r="CM104" t="e">
        <f ca="1"/>
        <v>#N/A</v>
      </c>
      <c r="CN104" t="e">
        <f ca="1"/>
        <v>#N/A</v>
      </c>
    </row>
    <row r="105" spans="2:92" x14ac:dyDescent="0.25">
      <c r="B105">
        <f ca="1"/>
        <v>98</v>
      </c>
      <c r="C105" s="37">
        <f ca="1"/>
        <v>121254.03496919706</v>
      </c>
      <c r="D105" s="37">
        <f ca="1"/>
        <v>109323.04801234855</v>
      </c>
      <c r="E105" s="35">
        <f ca="1"/>
        <v>9635.6470732396228</v>
      </c>
      <c r="F105" s="35">
        <f ca="1"/>
        <v>0</v>
      </c>
      <c r="G105" s="35">
        <f ca="1"/>
        <v>1377.2039301653381</v>
      </c>
      <c r="H105" s="35">
        <f ca="1"/>
        <v>0</v>
      </c>
      <c r="I105" s="35">
        <f ca="1"/>
        <v>2295.3398836088973</v>
      </c>
      <c r="J105" s="35">
        <f ca="1"/>
        <v>5052.251457049877</v>
      </c>
      <c r="K105" s="35">
        <f ca="1"/>
        <v>5425235.3092196854</v>
      </c>
      <c r="L105" s="35">
        <f ca="1"/>
        <v>5425235.3092196854</v>
      </c>
      <c r="M105" s="35">
        <f ca="1"/>
        <v>3255141.185531815</v>
      </c>
      <c r="N105" s="45">
        <f ca="1"/>
        <v>46827</v>
      </c>
      <c r="O105" s="45">
        <f ca="1"/>
        <v>46827</v>
      </c>
      <c r="P105" s="45">
        <f ca="1"/>
        <v>46861</v>
      </c>
      <c r="Q105" s="45">
        <f ca="1"/>
        <v>46861</v>
      </c>
      <c r="R105" s="37">
        <f ca="1"/>
        <v>0</v>
      </c>
      <c r="S105" s="37">
        <f ca="1"/>
        <v>0</v>
      </c>
      <c r="T105" s="41">
        <f ca="1"/>
        <v>0</v>
      </c>
      <c r="U105" s="42">
        <f ca="1"/>
        <v>0</v>
      </c>
      <c r="V105" s="42">
        <f ca="1"/>
        <v>0</v>
      </c>
      <c r="W105">
        <f ca="1"/>
        <v>0</v>
      </c>
      <c r="X105">
        <f ca="1"/>
        <v>0</v>
      </c>
      <c r="Y105" s="4">
        <f ca="1"/>
        <v>0</v>
      </c>
      <c r="Z105" s="3">
        <f ca="1"/>
        <v>6.0674318829511478E-2</v>
      </c>
      <c r="AA105" t="str">
        <f ca="1"/>
        <v>SEQUENTIAL</v>
      </c>
      <c r="AB105" s="3">
        <f ca="1"/>
        <v>9.4444444444444442E-2</v>
      </c>
      <c r="AC105" s="3">
        <f ca="1"/>
        <v>1.0674318829511472E-2</v>
      </c>
      <c r="AD105" s="45">
        <f ca="1"/>
        <v>46827</v>
      </c>
      <c r="AE105" s="3">
        <f ca="1"/>
        <v>0.9779540719813441</v>
      </c>
      <c r="AF105" s="3">
        <f ca="1"/>
        <v>0.9779540719813441</v>
      </c>
      <c r="AG105">
        <f ca="1"/>
        <v>0</v>
      </c>
      <c r="AH105" s="35">
        <f ca="1"/>
        <v>0</v>
      </c>
      <c r="AI105" s="35">
        <f ca="1"/>
        <v>0</v>
      </c>
      <c r="AJ105" s="35">
        <f ca="1"/>
        <v>0</v>
      </c>
      <c r="AK105" s="36">
        <f ca="1"/>
        <v>46827</v>
      </c>
      <c r="AL105" s="36">
        <f ca="1"/>
        <v>46827</v>
      </c>
      <c r="AM105" s="36">
        <f ca="1"/>
        <v>46861</v>
      </c>
      <c r="AN105" s="36">
        <f ca="1"/>
        <v>46861</v>
      </c>
      <c r="AO105" s="37">
        <f ca="1"/>
        <v>0</v>
      </c>
      <c r="AP105" s="37">
        <f ca="1"/>
        <v>0</v>
      </c>
      <c r="AQ105" s="41">
        <f ca="1"/>
        <v>0</v>
      </c>
      <c r="AR105" s="42">
        <f ca="1"/>
        <v>0</v>
      </c>
      <c r="AS105" s="42">
        <f ca="1"/>
        <v>0</v>
      </c>
      <c r="AT105">
        <f ca="1"/>
        <v>0</v>
      </c>
      <c r="AU105">
        <f ca="1"/>
        <v>0</v>
      </c>
      <c r="AV105" s="4">
        <f ca="1"/>
        <v>0</v>
      </c>
      <c r="AW105" s="3">
        <f ca="1"/>
        <v>6.0674318829511478E-2</v>
      </c>
      <c r="AX105" t="str">
        <f ca="1"/>
        <v>SEQUENTIAL</v>
      </c>
      <c r="AY105" s="3">
        <f ca="1"/>
        <v>9.4444444444444442E-2</v>
      </c>
      <c r="AZ105" s="3">
        <f ca="1"/>
        <v>1.0674318829511472E-2</v>
      </c>
      <c r="BA105" s="45">
        <f ca="1"/>
        <v>46827</v>
      </c>
      <c r="BB105" s="3">
        <f ca="1"/>
        <v>0.9779540719813441</v>
      </c>
      <c r="BC105" s="3">
        <f ca="1"/>
        <v>0.9779540719813441</v>
      </c>
      <c r="BD105">
        <f ca="1"/>
        <v>0</v>
      </c>
      <c r="BE105" s="4">
        <f ca="1"/>
        <v>0</v>
      </c>
      <c r="BF105" s="4">
        <f ca="1"/>
        <v>0</v>
      </c>
      <c r="BG105" s="4">
        <f ca="1"/>
        <v>0</v>
      </c>
      <c r="BH105" s="45">
        <f ca="1"/>
        <v>46827</v>
      </c>
      <c r="BI105" s="45">
        <f ca="1"/>
        <v>46827</v>
      </c>
      <c r="BJ105" s="45">
        <f ca="1"/>
        <v>46861</v>
      </c>
      <c r="BK105" s="45">
        <f ca="1"/>
        <v>46861</v>
      </c>
      <c r="BL105" s="37">
        <f ca="1"/>
        <v>0</v>
      </c>
      <c r="BM105" s="37">
        <f ca="1"/>
        <v>0</v>
      </c>
      <c r="BN105" s="40">
        <f ca="1"/>
        <v>0</v>
      </c>
      <c r="BO105" s="42">
        <f ca="1"/>
        <v>0</v>
      </c>
      <c r="BP105" s="42">
        <f ca="1"/>
        <v>0</v>
      </c>
      <c r="BQ105">
        <f ca="1"/>
        <v>0</v>
      </c>
      <c r="BR105">
        <f ca="1"/>
        <v>0</v>
      </c>
      <c r="BS105" s="4">
        <f ca="1"/>
        <v>0</v>
      </c>
      <c r="BT105" s="3">
        <f ca="1"/>
        <v>6.0674318829511478E-2</v>
      </c>
      <c r="BU105" t="str">
        <f ca="1"/>
        <v>SEQUENTIAL</v>
      </c>
      <c r="BV105" s="3">
        <f ca="1"/>
        <v>9.4444444444444442E-2</v>
      </c>
      <c r="BW105" s="3">
        <f ca="1"/>
        <v>1.0674318829511472E-2</v>
      </c>
      <c r="BX105" s="45">
        <f ca="1"/>
        <v>46827</v>
      </c>
      <c r="BY105" s="3">
        <f ca="1"/>
        <v>0.9779540719813441</v>
      </c>
      <c r="BZ105" s="3">
        <f ca="1"/>
        <v>0.9779540719813441</v>
      </c>
      <c r="CA105">
        <f ca="1"/>
        <v>0</v>
      </c>
      <c r="CB105" s="4">
        <f ca="1"/>
        <v>0</v>
      </c>
      <c r="CC105" s="4">
        <f ca="1"/>
        <v>0</v>
      </c>
      <c r="CD105" s="4">
        <f ca="1"/>
        <v>0</v>
      </c>
      <c r="CE105" t="e">
        <f ca="1"/>
        <v>#N/A</v>
      </c>
      <c r="CF105" t="e">
        <f ca="1"/>
        <v>#N/A</v>
      </c>
      <c r="CG105" t="e">
        <f ca="1"/>
        <v>#N/A</v>
      </c>
      <c r="CH105" t="e">
        <f ca="1"/>
        <v>#N/A</v>
      </c>
      <c r="CI105" t="e">
        <f ca="1"/>
        <v>#N/A</v>
      </c>
      <c r="CJ105" t="e">
        <f ca="1"/>
        <v>#N/A</v>
      </c>
      <c r="CK105" t="e">
        <f ca="1"/>
        <v>#N/A</v>
      </c>
      <c r="CL105" t="e">
        <f ca="1"/>
        <v>#N/A</v>
      </c>
      <c r="CM105" t="e">
        <f ca="1"/>
        <v>#N/A</v>
      </c>
      <c r="CN105" t="e">
        <f ca="1"/>
        <v>#N/A</v>
      </c>
    </row>
    <row r="106" spans="2:92" x14ac:dyDescent="0.25">
      <c r="B106" t="e">
        <f ca="1"/>
        <v>#N/A</v>
      </c>
      <c r="C106" s="37" t="e">
        <f ca="1"/>
        <v>#N/A</v>
      </c>
      <c r="D106" s="37" t="e">
        <f ca="1"/>
        <v>#N/A</v>
      </c>
      <c r="E106" s="35" t="e">
        <f ca="1"/>
        <v>#N/A</v>
      </c>
      <c r="F106" s="35" t="e">
        <f ca="1"/>
        <v>#N/A</v>
      </c>
      <c r="G106" s="35" t="e">
        <f ca="1"/>
        <v>#N/A</v>
      </c>
      <c r="H106" s="35" t="e">
        <f ca="1"/>
        <v>#N/A</v>
      </c>
      <c r="I106" s="35" t="e">
        <f ca="1"/>
        <v>#N/A</v>
      </c>
      <c r="J106" s="35" t="e">
        <f ca="1"/>
        <v>#N/A</v>
      </c>
      <c r="K106" s="35" t="e">
        <f ca="1"/>
        <v>#N/A</v>
      </c>
      <c r="L106" s="35" t="e">
        <f ca="1"/>
        <v>#N/A</v>
      </c>
      <c r="M106" s="35" t="e">
        <f ca="1"/>
        <v>#N/A</v>
      </c>
      <c r="N106" s="3" t="e">
        <f ca="1"/>
        <v>#N/A</v>
      </c>
      <c r="O106" s="3" t="e">
        <f ca="1"/>
        <v>#N/A</v>
      </c>
      <c r="P106" s="3" t="e">
        <f ca="1"/>
        <v>#N/A</v>
      </c>
      <c r="Q106" s="3" t="e">
        <f ca="1"/>
        <v>#N/A</v>
      </c>
      <c r="R106" s="38" t="e">
        <f ca="1"/>
        <v>#N/A</v>
      </c>
      <c r="S106" s="38" t="e">
        <f ca="1"/>
        <v>#N/A</v>
      </c>
      <c r="T106" s="41" t="e">
        <f ca="1"/>
        <v>#N/A</v>
      </c>
      <c r="U106" s="42" t="e">
        <f ca="1"/>
        <v>#N/A</v>
      </c>
      <c r="V106" s="42" t="e">
        <f ca="1"/>
        <v>#N/A</v>
      </c>
      <c r="W106" t="e">
        <f ca="1"/>
        <v>#N/A</v>
      </c>
      <c r="X106" t="e">
        <f ca="1"/>
        <v>#N/A</v>
      </c>
      <c r="Y106" s="4" t="e">
        <f ca="1"/>
        <v>#N/A</v>
      </c>
      <c r="Z106" s="3" t="e">
        <f ca="1"/>
        <v>#N/A</v>
      </c>
      <c r="AA106" t="e">
        <f ca="1"/>
        <v>#N/A</v>
      </c>
      <c r="AB106" s="3" t="e">
        <f ca="1"/>
        <v>#N/A</v>
      </c>
      <c r="AC106" s="3" t="e">
        <f ca="1"/>
        <v>#N/A</v>
      </c>
      <c r="AD106" s="45" t="e">
        <f ca="1"/>
        <v>#N/A</v>
      </c>
      <c r="AE106" s="3" t="e">
        <f ca="1"/>
        <v>#N/A</v>
      </c>
      <c r="AF106" s="3" t="e">
        <f ca="1"/>
        <v>#N/A</v>
      </c>
      <c r="AG106" t="e">
        <f ca="1"/>
        <v>#N/A</v>
      </c>
      <c r="AH106" s="35" t="e">
        <f ca="1"/>
        <v>#N/A</v>
      </c>
      <c r="AI106" s="35" t="e">
        <f ca="1"/>
        <v>#N/A</v>
      </c>
      <c r="AJ106" s="35" t="e">
        <f ca="1"/>
        <v>#N/A</v>
      </c>
      <c r="AK106" s="36" t="e">
        <f ca="1"/>
        <v>#N/A</v>
      </c>
      <c r="AL106" s="36" t="e">
        <f ca="1"/>
        <v>#N/A</v>
      </c>
      <c r="AM106" s="36" t="e">
        <f ca="1"/>
        <v>#N/A</v>
      </c>
      <c r="AN106" s="36" t="e">
        <f ca="1"/>
        <v>#N/A</v>
      </c>
      <c r="AO106" s="37" t="e">
        <f ca="1"/>
        <v>#N/A</v>
      </c>
      <c r="AP106" s="37" t="e">
        <f ca="1"/>
        <v>#N/A</v>
      </c>
      <c r="AQ106" s="41" t="e">
        <f ca="1"/>
        <v>#N/A</v>
      </c>
      <c r="AR106" s="42" t="e">
        <f ca="1"/>
        <v>#N/A</v>
      </c>
      <c r="AS106" s="42" t="e">
        <f ca="1"/>
        <v>#N/A</v>
      </c>
      <c r="AT106" t="e">
        <f ca="1"/>
        <v>#N/A</v>
      </c>
      <c r="AU106" t="e">
        <f ca="1"/>
        <v>#N/A</v>
      </c>
      <c r="AV106" s="4" t="e">
        <f ca="1"/>
        <v>#N/A</v>
      </c>
      <c r="AW106" s="3" t="e">
        <f ca="1"/>
        <v>#N/A</v>
      </c>
      <c r="AX106" t="e">
        <f ca="1"/>
        <v>#N/A</v>
      </c>
      <c r="AY106" s="3" t="e">
        <f ca="1"/>
        <v>#N/A</v>
      </c>
      <c r="AZ106" s="3" t="e">
        <f ca="1"/>
        <v>#N/A</v>
      </c>
      <c r="BA106" s="45" t="e">
        <f ca="1"/>
        <v>#N/A</v>
      </c>
      <c r="BB106" s="3" t="e">
        <f ca="1"/>
        <v>#N/A</v>
      </c>
      <c r="BC106" s="3" t="e">
        <f ca="1"/>
        <v>#N/A</v>
      </c>
      <c r="BD106" t="e">
        <f ca="1"/>
        <v>#N/A</v>
      </c>
      <c r="BE106" s="4" t="e">
        <f ca="1"/>
        <v>#N/A</v>
      </c>
      <c r="BF106" s="4" t="e">
        <f ca="1"/>
        <v>#N/A</v>
      </c>
      <c r="BG106" s="4" t="e">
        <f ca="1"/>
        <v>#N/A</v>
      </c>
      <c r="BH106" s="45" t="e">
        <f ca="1"/>
        <v>#N/A</v>
      </c>
      <c r="BI106" s="45" t="e">
        <f ca="1"/>
        <v>#N/A</v>
      </c>
      <c r="BJ106" s="45" t="e">
        <f ca="1"/>
        <v>#N/A</v>
      </c>
      <c r="BK106" s="45" t="e">
        <f ca="1"/>
        <v>#N/A</v>
      </c>
      <c r="BL106" s="37" t="e">
        <f ca="1"/>
        <v>#N/A</v>
      </c>
      <c r="BM106" s="37" t="e">
        <f ca="1"/>
        <v>#N/A</v>
      </c>
      <c r="BN106" s="40" t="e">
        <f ca="1"/>
        <v>#N/A</v>
      </c>
      <c r="BO106" s="42" t="e">
        <f ca="1"/>
        <v>#N/A</v>
      </c>
      <c r="BP106" s="42" t="e">
        <f ca="1"/>
        <v>#N/A</v>
      </c>
      <c r="BQ106" t="e">
        <f ca="1"/>
        <v>#N/A</v>
      </c>
      <c r="BR106" t="e">
        <f ca="1"/>
        <v>#N/A</v>
      </c>
      <c r="BS106" s="4" t="e">
        <f ca="1"/>
        <v>#N/A</v>
      </c>
      <c r="BT106" s="3" t="e">
        <f ca="1"/>
        <v>#N/A</v>
      </c>
      <c r="BU106" t="e">
        <f ca="1"/>
        <v>#N/A</v>
      </c>
      <c r="BV106" s="3" t="e">
        <f ca="1"/>
        <v>#N/A</v>
      </c>
      <c r="BW106" s="3" t="e">
        <f ca="1"/>
        <v>#N/A</v>
      </c>
      <c r="BX106" s="45" t="e">
        <f ca="1"/>
        <v>#N/A</v>
      </c>
      <c r="BY106" s="3" t="e">
        <f ca="1"/>
        <v>#N/A</v>
      </c>
      <c r="BZ106" s="3" t="e">
        <f ca="1"/>
        <v>#N/A</v>
      </c>
      <c r="CA106" t="e">
        <f ca="1"/>
        <v>#N/A</v>
      </c>
      <c r="CB106" s="4" t="e">
        <f ca="1"/>
        <v>#N/A</v>
      </c>
      <c r="CC106" s="4" t="e">
        <f ca="1"/>
        <v>#N/A</v>
      </c>
      <c r="CD106" s="4" t="e">
        <f ca="1"/>
        <v>#N/A</v>
      </c>
      <c r="CE106" t="e">
        <f ca="1"/>
        <v>#N/A</v>
      </c>
      <c r="CF106" t="e">
        <f ca="1"/>
        <v>#N/A</v>
      </c>
      <c r="CG106" t="e">
        <f ca="1"/>
        <v>#N/A</v>
      </c>
      <c r="CH106" t="e">
        <f ca="1"/>
        <v>#N/A</v>
      </c>
      <c r="CI106" t="e">
        <f ca="1"/>
        <v>#N/A</v>
      </c>
      <c r="CJ106" t="e">
        <f ca="1"/>
        <v>#N/A</v>
      </c>
      <c r="CK106" t="e">
        <f ca="1"/>
        <v>#N/A</v>
      </c>
      <c r="CL106" t="e">
        <f ca="1"/>
        <v>#N/A</v>
      </c>
      <c r="CM106" t="e">
        <f ca="1"/>
        <v>#N/A</v>
      </c>
      <c r="CN106" t="e">
        <f ca="1"/>
        <v>#N/A</v>
      </c>
    </row>
    <row r="107" spans="2:92" x14ac:dyDescent="0.25">
      <c r="B107" t="e">
        <f ca="1"/>
        <v>#N/A</v>
      </c>
      <c r="C107" s="37" t="e">
        <f ca="1"/>
        <v>#N/A</v>
      </c>
      <c r="D107" s="37" t="e">
        <f ca="1"/>
        <v>#N/A</v>
      </c>
      <c r="E107" s="35" t="e">
        <f ca="1"/>
        <v>#N/A</v>
      </c>
      <c r="F107" s="35" t="e">
        <f ca="1"/>
        <v>#N/A</v>
      </c>
      <c r="G107" s="35" t="e">
        <f ca="1"/>
        <v>#N/A</v>
      </c>
      <c r="H107" s="35" t="e">
        <f ca="1"/>
        <v>#N/A</v>
      </c>
      <c r="I107" s="35" t="e">
        <f ca="1"/>
        <v>#N/A</v>
      </c>
      <c r="J107" s="35" t="e">
        <f ca="1"/>
        <v>#N/A</v>
      </c>
      <c r="K107" s="35" t="e">
        <f ca="1"/>
        <v>#N/A</v>
      </c>
      <c r="L107" s="35" t="e">
        <f ca="1"/>
        <v>#N/A</v>
      </c>
      <c r="M107" s="35" t="e">
        <f ca="1"/>
        <v>#N/A</v>
      </c>
      <c r="N107" s="3" t="e">
        <f ca="1"/>
        <v>#N/A</v>
      </c>
      <c r="O107" s="3" t="e">
        <f ca="1"/>
        <v>#N/A</v>
      </c>
      <c r="P107" s="3" t="e">
        <f ca="1"/>
        <v>#N/A</v>
      </c>
      <c r="Q107" s="3" t="e">
        <f ca="1"/>
        <v>#N/A</v>
      </c>
      <c r="R107" s="38" t="e">
        <f ca="1"/>
        <v>#N/A</v>
      </c>
      <c r="S107" s="38" t="e">
        <f ca="1"/>
        <v>#N/A</v>
      </c>
      <c r="T107" s="41" t="e">
        <f ca="1"/>
        <v>#N/A</v>
      </c>
      <c r="U107" s="42" t="e">
        <f ca="1"/>
        <v>#N/A</v>
      </c>
      <c r="V107" s="42" t="e">
        <f ca="1"/>
        <v>#N/A</v>
      </c>
      <c r="W107" t="e">
        <f ca="1"/>
        <v>#N/A</v>
      </c>
      <c r="X107" t="e">
        <f ca="1"/>
        <v>#N/A</v>
      </c>
      <c r="Y107" s="4" t="e">
        <f ca="1"/>
        <v>#N/A</v>
      </c>
      <c r="Z107" s="3" t="e">
        <f ca="1"/>
        <v>#N/A</v>
      </c>
      <c r="AA107" t="e">
        <f ca="1"/>
        <v>#N/A</v>
      </c>
      <c r="AB107" s="3" t="e">
        <f ca="1"/>
        <v>#N/A</v>
      </c>
      <c r="AC107" s="3" t="e">
        <f ca="1"/>
        <v>#N/A</v>
      </c>
      <c r="AD107" s="45" t="e">
        <f ca="1"/>
        <v>#N/A</v>
      </c>
      <c r="AE107" s="3" t="e">
        <f ca="1"/>
        <v>#N/A</v>
      </c>
      <c r="AF107" s="3" t="e">
        <f ca="1"/>
        <v>#N/A</v>
      </c>
      <c r="AG107" t="e">
        <f ca="1"/>
        <v>#N/A</v>
      </c>
      <c r="AH107" s="35" t="e">
        <f ca="1"/>
        <v>#N/A</v>
      </c>
      <c r="AI107" s="35" t="e">
        <f ca="1"/>
        <v>#N/A</v>
      </c>
      <c r="AJ107" s="35" t="e">
        <f ca="1"/>
        <v>#N/A</v>
      </c>
      <c r="AK107" s="36" t="e">
        <f ca="1"/>
        <v>#N/A</v>
      </c>
      <c r="AL107" s="36" t="e">
        <f ca="1"/>
        <v>#N/A</v>
      </c>
      <c r="AM107" s="36" t="e">
        <f ca="1"/>
        <v>#N/A</v>
      </c>
      <c r="AN107" s="36" t="e">
        <f ca="1"/>
        <v>#N/A</v>
      </c>
      <c r="AO107" s="37" t="e">
        <f ca="1"/>
        <v>#N/A</v>
      </c>
      <c r="AP107" s="37" t="e">
        <f ca="1"/>
        <v>#N/A</v>
      </c>
      <c r="AQ107" s="41" t="e">
        <f ca="1"/>
        <v>#N/A</v>
      </c>
      <c r="AR107" s="42" t="e">
        <f ca="1"/>
        <v>#N/A</v>
      </c>
      <c r="AS107" s="42" t="e">
        <f ca="1"/>
        <v>#N/A</v>
      </c>
      <c r="AT107" t="e">
        <f ca="1"/>
        <v>#N/A</v>
      </c>
      <c r="AU107" t="e">
        <f ca="1"/>
        <v>#N/A</v>
      </c>
      <c r="AV107" s="4" t="e">
        <f ca="1"/>
        <v>#N/A</v>
      </c>
      <c r="AW107" s="3" t="e">
        <f ca="1"/>
        <v>#N/A</v>
      </c>
      <c r="AX107" t="e">
        <f ca="1"/>
        <v>#N/A</v>
      </c>
      <c r="AY107" s="3" t="e">
        <f ca="1"/>
        <v>#N/A</v>
      </c>
      <c r="AZ107" s="3" t="e">
        <f ca="1"/>
        <v>#N/A</v>
      </c>
      <c r="BA107" s="45" t="e">
        <f ca="1"/>
        <v>#N/A</v>
      </c>
      <c r="BB107" s="3" t="e">
        <f ca="1"/>
        <v>#N/A</v>
      </c>
      <c r="BC107" s="3" t="e">
        <f ca="1"/>
        <v>#N/A</v>
      </c>
      <c r="BD107" t="e">
        <f ca="1"/>
        <v>#N/A</v>
      </c>
      <c r="BE107" s="4" t="e">
        <f ca="1"/>
        <v>#N/A</v>
      </c>
      <c r="BF107" s="4" t="e">
        <f ca="1"/>
        <v>#N/A</v>
      </c>
      <c r="BG107" s="4" t="e">
        <f ca="1"/>
        <v>#N/A</v>
      </c>
      <c r="BH107" s="45" t="e">
        <f ca="1"/>
        <v>#N/A</v>
      </c>
      <c r="BI107" s="45" t="e">
        <f ca="1"/>
        <v>#N/A</v>
      </c>
      <c r="BJ107" s="45" t="e">
        <f ca="1"/>
        <v>#N/A</v>
      </c>
      <c r="BK107" s="45" t="e">
        <f ca="1"/>
        <v>#N/A</v>
      </c>
      <c r="BL107" s="37" t="e">
        <f ca="1"/>
        <v>#N/A</v>
      </c>
      <c r="BM107" s="37" t="e">
        <f ca="1"/>
        <v>#N/A</v>
      </c>
      <c r="BN107" s="40" t="e">
        <f ca="1"/>
        <v>#N/A</v>
      </c>
      <c r="BO107" s="42" t="e">
        <f ca="1"/>
        <v>#N/A</v>
      </c>
      <c r="BP107" s="42" t="e">
        <f ca="1"/>
        <v>#N/A</v>
      </c>
      <c r="BQ107" t="e">
        <f ca="1"/>
        <v>#N/A</v>
      </c>
      <c r="BR107" t="e">
        <f ca="1"/>
        <v>#N/A</v>
      </c>
      <c r="BS107" s="4" t="e">
        <f ca="1"/>
        <v>#N/A</v>
      </c>
      <c r="BT107" s="3" t="e">
        <f ca="1"/>
        <v>#N/A</v>
      </c>
      <c r="BU107" t="e">
        <f ca="1"/>
        <v>#N/A</v>
      </c>
      <c r="BV107" s="3" t="e">
        <f ca="1"/>
        <v>#N/A</v>
      </c>
      <c r="BW107" s="3" t="e">
        <f ca="1"/>
        <v>#N/A</v>
      </c>
      <c r="BX107" s="45" t="e">
        <f ca="1"/>
        <v>#N/A</v>
      </c>
      <c r="BY107" s="3" t="e">
        <f ca="1"/>
        <v>#N/A</v>
      </c>
      <c r="BZ107" s="3" t="e">
        <f ca="1"/>
        <v>#N/A</v>
      </c>
      <c r="CA107" t="e">
        <f ca="1"/>
        <v>#N/A</v>
      </c>
      <c r="CB107" s="4" t="e">
        <f ca="1"/>
        <v>#N/A</v>
      </c>
      <c r="CC107" s="4" t="e">
        <f ca="1"/>
        <v>#N/A</v>
      </c>
      <c r="CD107" s="4" t="e">
        <f ca="1"/>
        <v>#N/A</v>
      </c>
      <c r="CE107" t="e">
        <f ca="1"/>
        <v>#N/A</v>
      </c>
      <c r="CF107" t="e">
        <f ca="1"/>
        <v>#N/A</v>
      </c>
      <c r="CG107" t="e">
        <f ca="1"/>
        <v>#N/A</v>
      </c>
      <c r="CH107" t="e">
        <f ca="1"/>
        <v>#N/A</v>
      </c>
      <c r="CI107" t="e">
        <f ca="1"/>
        <v>#N/A</v>
      </c>
      <c r="CJ107" t="e">
        <f ca="1"/>
        <v>#N/A</v>
      </c>
      <c r="CK107" t="e">
        <f ca="1"/>
        <v>#N/A</v>
      </c>
      <c r="CL107" t="e">
        <f ca="1"/>
        <v>#N/A</v>
      </c>
      <c r="CM107" t="e">
        <f ca="1"/>
        <v>#N/A</v>
      </c>
      <c r="CN107" t="e">
        <f ca="1"/>
        <v>#N/A</v>
      </c>
    </row>
    <row r="108" spans="2:92" x14ac:dyDescent="0.25">
      <c r="B108" t="e">
        <f ca="1"/>
        <v>#N/A</v>
      </c>
      <c r="C108" s="37" t="e">
        <f ca="1"/>
        <v>#N/A</v>
      </c>
      <c r="D108" s="37" t="e">
        <f ca="1"/>
        <v>#N/A</v>
      </c>
      <c r="E108" s="35" t="e">
        <f ca="1"/>
        <v>#N/A</v>
      </c>
      <c r="F108" s="35" t="e">
        <f ca="1"/>
        <v>#N/A</v>
      </c>
      <c r="G108" s="35" t="e">
        <f ca="1"/>
        <v>#N/A</v>
      </c>
      <c r="H108" s="35" t="e">
        <f ca="1"/>
        <v>#N/A</v>
      </c>
      <c r="I108" s="35" t="e">
        <f ca="1"/>
        <v>#N/A</v>
      </c>
      <c r="J108" s="35" t="e">
        <f ca="1"/>
        <v>#N/A</v>
      </c>
      <c r="K108" s="35" t="e">
        <f ca="1"/>
        <v>#N/A</v>
      </c>
      <c r="L108" s="35" t="e">
        <f ca="1"/>
        <v>#N/A</v>
      </c>
      <c r="M108" s="35" t="e">
        <f ca="1"/>
        <v>#N/A</v>
      </c>
      <c r="N108" s="3" t="e">
        <f ca="1"/>
        <v>#N/A</v>
      </c>
      <c r="O108" s="3" t="e">
        <f ca="1"/>
        <v>#N/A</v>
      </c>
      <c r="P108" s="3" t="e">
        <f ca="1"/>
        <v>#N/A</v>
      </c>
      <c r="Q108" s="3" t="e">
        <f ca="1"/>
        <v>#N/A</v>
      </c>
      <c r="R108" s="38" t="e">
        <f ca="1"/>
        <v>#N/A</v>
      </c>
      <c r="S108" s="38" t="e">
        <f ca="1"/>
        <v>#N/A</v>
      </c>
      <c r="T108" s="41" t="e">
        <f ca="1"/>
        <v>#N/A</v>
      </c>
      <c r="U108" s="42" t="e">
        <f ca="1"/>
        <v>#N/A</v>
      </c>
      <c r="V108" s="42" t="e">
        <f ca="1"/>
        <v>#N/A</v>
      </c>
      <c r="W108" t="e">
        <f ca="1"/>
        <v>#N/A</v>
      </c>
      <c r="X108" t="e">
        <f ca="1"/>
        <v>#N/A</v>
      </c>
      <c r="Y108" s="4" t="e">
        <f ca="1"/>
        <v>#N/A</v>
      </c>
      <c r="Z108" s="3" t="e">
        <f ca="1"/>
        <v>#N/A</v>
      </c>
      <c r="AA108" t="e">
        <f ca="1"/>
        <v>#N/A</v>
      </c>
      <c r="AB108" s="3" t="e">
        <f ca="1"/>
        <v>#N/A</v>
      </c>
      <c r="AC108" s="3" t="e">
        <f ca="1"/>
        <v>#N/A</v>
      </c>
      <c r="AD108" s="45" t="e">
        <f ca="1"/>
        <v>#N/A</v>
      </c>
      <c r="AE108" s="3" t="e">
        <f ca="1"/>
        <v>#N/A</v>
      </c>
      <c r="AF108" s="3" t="e">
        <f ca="1"/>
        <v>#N/A</v>
      </c>
      <c r="AG108" t="e">
        <f ca="1"/>
        <v>#N/A</v>
      </c>
      <c r="AH108" s="35" t="e">
        <f ca="1"/>
        <v>#N/A</v>
      </c>
      <c r="AI108" s="35" t="e">
        <f ca="1"/>
        <v>#N/A</v>
      </c>
      <c r="AJ108" s="35" t="e">
        <f ca="1"/>
        <v>#N/A</v>
      </c>
      <c r="AK108" s="36" t="e">
        <f ca="1"/>
        <v>#N/A</v>
      </c>
      <c r="AL108" s="36" t="e">
        <f ca="1"/>
        <v>#N/A</v>
      </c>
      <c r="AM108" s="36" t="e">
        <f ca="1"/>
        <v>#N/A</v>
      </c>
      <c r="AN108" s="36" t="e">
        <f ca="1"/>
        <v>#N/A</v>
      </c>
      <c r="AO108" s="37" t="e">
        <f ca="1"/>
        <v>#N/A</v>
      </c>
      <c r="AP108" s="37" t="e">
        <f ca="1"/>
        <v>#N/A</v>
      </c>
      <c r="AQ108" s="41" t="e">
        <f ca="1"/>
        <v>#N/A</v>
      </c>
      <c r="AR108" s="42" t="e">
        <f ca="1"/>
        <v>#N/A</v>
      </c>
      <c r="AS108" s="42" t="e">
        <f ca="1"/>
        <v>#N/A</v>
      </c>
      <c r="AT108" t="e">
        <f ca="1"/>
        <v>#N/A</v>
      </c>
      <c r="AU108" t="e">
        <f ca="1"/>
        <v>#N/A</v>
      </c>
      <c r="AV108" s="4" t="e">
        <f ca="1"/>
        <v>#N/A</v>
      </c>
      <c r="AW108" s="3" t="e">
        <f ca="1"/>
        <v>#N/A</v>
      </c>
      <c r="AX108" t="e">
        <f ca="1"/>
        <v>#N/A</v>
      </c>
      <c r="AY108" s="3" t="e">
        <f ca="1"/>
        <v>#N/A</v>
      </c>
      <c r="AZ108" s="3" t="e">
        <f ca="1"/>
        <v>#N/A</v>
      </c>
      <c r="BA108" s="45" t="e">
        <f ca="1"/>
        <v>#N/A</v>
      </c>
      <c r="BB108" s="3" t="e">
        <f ca="1"/>
        <v>#N/A</v>
      </c>
      <c r="BC108" s="3" t="e">
        <f ca="1"/>
        <v>#N/A</v>
      </c>
      <c r="BD108" t="e">
        <f ca="1"/>
        <v>#N/A</v>
      </c>
      <c r="BE108" s="4" t="e">
        <f ca="1"/>
        <v>#N/A</v>
      </c>
      <c r="BF108" s="4" t="e">
        <f ca="1"/>
        <v>#N/A</v>
      </c>
      <c r="BG108" s="4" t="e">
        <f ca="1"/>
        <v>#N/A</v>
      </c>
      <c r="BH108" s="45" t="e">
        <f ca="1"/>
        <v>#N/A</v>
      </c>
      <c r="BI108" s="45" t="e">
        <f ca="1"/>
        <v>#N/A</v>
      </c>
      <c r="BJ108" s="45" t="e">
        <f ca="1"/>
        <v>#N/A</v>
      </c>
      <c r="BK108" s="45" t="e">
        <f ca="1"/>
        <v>#N/A</v>
      </c>
      <c r="BL108" s="37" t="e">
        <f ca="1"/>
        <v>#N/A</v>
      </c>
      <c r="BM108" s="37" t="e">
        <f ca="1"/>
        <v>#N/A</v>
      </c>
      <c r="BN108" s="40" t="e">
        <f ca="1"/>
        <v>#N/A</v>
      </c>
      <c r="BO108" s="42" t="e">
        <f ca="1"/>
        <v>#N/A</v>
      </c>
      <c r="BP108" s="42" t="e">
        <f ca="1"/>
        <v>#N/A</v>
      </c>
      <c r="BQ108" t="e">
        <f ca="1"/>
        <v>#N/A</v>
      </c>
      <c r="BR108" t="e">
        <f ca="1"/>
        <v>#N/A</v>
      </c>
      <c r="BS108" s="4" t="e">
        <f ca="1"/>
        <v>#N/A</v>
      </c>
      <c r="BT108" s="3" t="e">
        <f ca="1"/>
        <v>#N/A</v>
      </c>
      <c r="BU108" t="e">
        <f ca="1"/>
        <v>#N/A</v>
      </c>
      <c r="BV108" s="3" t="e">
        <f ca="1"/>
        <v>#N/A</v>
      </c>
      <c r="BW108" s="3" t="e">
        <f ca="1"/>
        <v>#N/A</v>
      </c>
      <c r="BX108" s="45" t="e">
        <f ca="1"/>
        <v>#N/A</v>
      </c>
      <c r="BY108" s="3" t="e">
        <f ca="1"/>
        <v>#N/A</v>
      </c>
      <c r="BZ108" s="3" t="e">
        <f ca="1"/>
        <v>#N/A</v>
      </c>
      <c r="CA108" t="e">
        <f ca="1"/>
        <v>#N/A</v>
      </c>
      <c r="CB108" s="4" t="e">
        <f ca="1"/>
        <v>#N/A</v>
      </c>
      <c r="CC108" s="4" t="e">
        <f ca="1"/>
        <v>#N/A</v>
      </c>
      <c r="CD108" s="4" t="e">
        <f ca="1"/>
        <v>#N/A</v>
      </c>
      <c r="CE108" t="e">
        <f ca="1"/>
        <v>#N/A</v>
      </c>
      <c r="CF108" t="e">
        <f ca="1"/>
        <v>#N/A</v>
      </c>
      <c r="CG108" t="e">
        <f ca="1"/>
        <v>#N/A</v>
      </c>
      <c r="CH108" t="e">
        <f ca="1"/>
        <v>#N/A</v>
      </c>
      <c r="CI108" t="e">
        <f ca="1"/>
        <v>#N/A</v>
      </c>
      <c r="CJ108" t="e">
        <f ca="1"/>
        <v>#N/A</v>
      </c>
      <c r="CK108" t="e">
        <f ca="1"/>
        <v>#N/A</v>
      </c>
      <c r="CL108" t="e">
        <f ca="1"/>
        <v>#N/A</v>
      </c>
      <c r="CM108" t="e">
        <f ca="1"/>
        <v>#N/A</v>
      </c>
      <c r="CN108" t="e">
        <f ca="1"/>
        <v>#N/A</v>
      </c>
    </row>
    <row r="109" spans="2:92" x14ac:dyDescent="0.25">
      <c r="B109" t="e">
        <f ca="1"/>
        <v>#N/A</v>
      </c>
      <c r="C109" s="37" t="e">
        <f ca="1"/>
        <v>#N/A</v>
      </c>
      <c r="D109" s="37" t="e">
        <f ca="1"/>
        <v>#N/A</v>
      </c>
      <c r="E109" s="35" t="e">
        <f ca="1"/>
        <v>#N/A</v>
      </c>
      <c r="F109" s="35" t="e">
        <f ca="1"/>
        <v>#N/A</v>
      </c>
      <c r="G109" s="35" t="e">
        <f ca="1"/>
        <v>#N/A</v>
      </c>
      <c r="H109" s="35" t="e">
        <f ca="1"/>
        <v>#N/A</v>
      </c>
      <c r="I109" s="35" t="e">
        <f ca="1"/>
        <v>#N/A</v>
      </c>
      <c r="J109" s="35" t="e">
        <f ca="1"/>
        <v>#N/A</v>
      </c>
      <c r="K109" s="35" t="e">
        <f ca="1"/>
        <v>#N/A</v>
      </c>
      <c r="L109" s="35" t="e">
        <f ca="1"/>
        <v>#N/A</v>
      </c>
      <c r="M109" s="35" t="e">
        <f ca="1"/>
        <v>#N/A</v>
      </c>
      <c r="N109" s="3" t="e">
        <f ca="1"/>
        <v>#N/A</v>
      </c>
      <c r="O109" s="3" t="e">
        <f ca="1"/>
        <v>#N/A</v>
      </c>
      <c r="P109" s="3" t="e">
        <f ca="1"/>
        <v>#N/A</v>
      </c>
      <c r="Q109" s="3" t="e">
        <f ca="1"/>
        <v>#N/A</v>
      </c>
      <c r="R109" s="38" t="e">
        <f ca="1"/>
        <v>#N/A</v>
      </c>
      <c r="S109" s="38" t="e">
        <f ca="1"/>
        <v>#N/A</v>
      </c>
      <c r="T109" s="41" t="e">
        <f ca="1"/>
        <v>#N/A</v>
      </c>
      <c r="U109" s="42" t="e">
        <f ca="1"/>
        <v>#N/A</v>
      </c>
      <c r="V109" s="42" t="e">
        <f ca="1"/>
        <v>#N/A</v>
      </c>
      <c r="W109" t="e">
        <f ca="1"/>
        <v>#N/A</v>
      </c>
      <c r="X109" t="e">
        <f ca="1"/>
        <v>#N/A</v>
      </c>
      <c r="Y109" s="4" t="e">
        <f ca="1"/>
        <v>#N/A</v>
      </c>
      <c r="Z109" s="3" t="e">
        <f ca="1"/>
        <v>#N/A</v>
      </c>
      <c r="AA109" t="e">
        <f ca="1"/>
        <v>#N/A</v>
      </c>
      <c r="AB109" s="3" t="e">
        <f ca="1"/>
        <v>#N/A</v>
      </c>
      <c r="AC109" s="3" t="e">
        <f ca="1"/>
        <v>#N/A</v>
      </c>
      <c r="AD109" s="45" t="e">
        <f ca="1"/>
        <v>#N/A</v>
      </c>
      <c r="AE109" s="3" t="e">
        <f ca="1"/>
        <v>#N/A</v>
      </c>
      <c r="AF109" s="3" t="e">
        <f ca="1"/>
        <v>#N/A</v>
      </c>
      <c r="AG109" t="e">
        <f ca="1"/>
        <v>#N/A</v>
      </c>
      <c r="AH109" s="35" t="e">
        <f ca="1"/>
        <v>#N/A</v>
      </c>
      <c r="AI109" s="35" t="e">
        <f ca="1"/>
        <v>#N/A</v>
      </c>
      <c r="AJ109" s="35" t="e">
        <f ca="1"/>
        <v>#N/A</v>
      </c>
      <c r="AK109" s="36" t="e">
        <f ca="1"/>
        <v>#N/A</v>
      </c>
      <c r="AL109" s="36" t="e">
        <f ca="1"/>
        <v>#N/A</v>
      </c>
      <c r="AM109" s="36" t="e">
        <f ca="1"/>
        <v>#N/A</v>
      </c>
      <c r="AN109" s="36" t="e">
        <f ca="1"/>
        <v>#N/A</v>
      </c>
      <c r="AO109" s="37" t="e">
        <f ca="1"/>
        <v>#N/A</v>
      </c>
      <c r="AP109" s="37" t="e">
        <f ca="1"/>
        <v>#N/A</v>
      </c>
      <c r="AQ109" s="41" t="e">
        <f ca="1"/>
        <v>#N/A</v>
      </c>
      <c r="AR109" s="42" t="e">
        <f ca="1"/>
        <v>#N/A</v>
      </c>
      <c r="AS109" s="42" t="e">
        <f ca="1"/>
        <v>#N/A</v>
      </c>
      <c r="AT109" t="e">
        <f ca="1"/>
        <v>#N/A</v>
      </c>
      <c r="AU109" t="e">
        <f ca="1"/>
        <v>#N/A</v>
      </c>
      <c r="AV109" s="4" t="e">
        <f ca="1"/>
        <v>#N/A</v>
      </c>
      <c r="AW109" s="3" t="e">
        <f ca="1"/>
        <v>#N/A</v>
      </c>
      <c r="AX109" t="e">
        <f ca="1"/>
        <v>#N/A</v>
      </c>
      <c r="AY109" s="3" t="e">
        <f ca="1"/>
        <v>#N/A</v>
      </c>
      <c r="AZ109" s="3" t="e">
        <f ca="1"/>
        <v>#N/A</v>
      </c>
      <c r="BA109" s="45" t="e">
        <f ca="1"/>
        <v>#N/A</v>
      </c>
      <c r="BB109" s="3" t="e">
        <f ca="1"/>
        <v>#N/A</v>
      </c>
      <c r="BC109" s="3" t="e">
        <f ca="1"/>
        <v>#N/A</v>
      </c>
      <c r="BD109" t="e">
        <f ca="1"/>
        <v>#N/A</v>
      </c>
      <c r="BE109" s="4" t="e">
        <f ca="1"/>
        <v>#N/A</v>
      </c>
      <c r="BF109" s="4" t="e">
        <f ca="1"/>
        <v>#N/A</v>
      </c>
      <c r="BG109" s="4" t="e">
        <f ca="1"/>
        <v>#N/A</v>
      </c>
      <c r="BH109" s="45" t="e">
        <f ca="1"/>
        <v>#N/A</v>
      </c>
      <c r="BI109" s="45" t="e">
        <f ca="1"/>
        <v>#N/A</v>
      </c>
      <c r="BJ109" s="45" t="e">
        <f ca="1"/>
        <v>#N/A</v>
      </c>
      <c r="BK109" s="45" t="e">
        <f ca="1"/>
        <v>#N/A</v>
      </c>
      <c r="BL109" s="37" t="e">
        <f ca="1"/>
        <v>#N/A</v>
      </c>
      <c r="BM109" s="37" t="e">
        <f ca="1"/>
        <v>#N/A</v>
      </c>
      <c r="BN109" s="40" t="e">
        <f ca="1"/>
        <v>#N/A</v>
      </c>
      <c r="BO109" s="42" t="e">
        <f ca="1"/>
        <v>#N/A</v>
      </c>
      <c r="BP109" s="42" t="e">
        <f ca="1"/>
        <v>#N/A</v>
      </c>
      <c r="BQ109" t="e">
        <f ca="1"/>
        <v>#N/A</v>
      </c>
      <c r="BR109" t="e">
        <f ca="1"/>
        <v>#N/A</v>
      </c>
      <c r="BS109" s="4" t="e">
        <f ca="1"/>
        <v>#N/A</v>
      </c>
      <c r="BT109" s="3" t="e">
        <f ca="1"/>
        <v>#N/A</v>
      </c>
      <c r="BU109" t="e">
        <f ca="1"/>
        <v>#N/A</v>
      </c>
      <c r="BV109" s="3" t="e">
        <f ca="1"/>
        <v>#N/A</v>
      </c>
      <c r="BW109" s="3" t="e">
        <f ca="1"/>
        <v>#N/A</v>
      </c>
      <c r="BX109" s="45" t="e">
        <f ca="1"/>
        <v>#N/A</v>
      </c>
      <c r="BY109" s="3" t="e">
        <f ca="1"/>
        <v>#N/A</v>
      </c>
      <c r="BZ109" s="3" t="e">
        <f ca="1"/>
        <v>#N/A</v>
      </c>
      <c r="CA109" t="e">
        <f ca="1"/>
        <v>#N/A</v>
      </c>
      <c r="CB109" s="4" t="e">
        <f ca="1"/>
        <v>#N/A</v>
      </c>
      <c r="CC109" s="4" t="e">
        <f ca="1"/>
        <v>#N/A</v>
      </c>
      <c r="CD109" s="4" t="e">
        <f ca="1"/>
        <v>#N/A</v>
      </c>
      <c r="CE109" t="e">
        <f ca="1"/>
        <v>#N/A</v>
      </c>
      <c r="CF109" t="e">
        <f ca="1"/>
        <v>#N/A</v>
      </c>
      <c r="CG109" t="e">
        <f ca="1"/>
        <v>#N/A</v>
      </c>
      <c r="CH109" t="e">
        <f ca="1"/>
        <v>#N/A</v>
      </c>
      <c r="CI109" t="e">
        <f ca="1"/>
        <v>#N/A</v>
      </c>
      <c r="CJ109" t="e">
        <f ca="1"/>
        <v>#N/A</v>
      </c>
      <c r="CK109" t="e">
        <f ca="1"/>
        <v>#N/A</v>
      </c>
      <c r="CL109" t="e">
        <f ca="1"/>
        <v>#N/A</v>
      </c>
      <c r="CM109" t="e">
        <f ca="1"/>
        <v>#N/A</v>
      </c>
      <c r="CN109" t="e">
        <f ca="1"/>
        <v>#N/A</v>
      </c>
    </row>
    <row r="110" spans="2:92" x14ac:dyDescent="0.25">
      <c r="B110" t="e">
        <f ca="1"/>
        <v>#N/A</v>
      </c>
      <c r="C110" s="37" t="e">
        <f ca="1"/>
        <v>#N/A</v>
      </c>
      <c r="D110" s="37" t="e">
        <f ca="1"/>
        <v>#N/A</v>
      </c>
      <c r="E110" s="35" t="e">
        <f ca="1"/>
        <v>#N/A</v>
      </c>
      <c r="F110" s="35" t="e">
        <f ca="1"/>
        <v>#N/A</v>
      </c>
      <c r="G110" s="35" t="e">
        <f ca="1"/>
        <v>#N/A</v>
      </c>
      <c r="H110" s="35" t="e">
        <f ca="1"/>
        <v>#N/A</v>
      </c>
      <c r="I110" s="35" t="e">
        <f ca="1"/>
        <v>#N/A</v>
      </c>
      <c r="J110" s="35" t="e">
        <f ca="1"/>
        <v>#N/A</v>
      </c>
      <c r="K110" s="35" t="e">
        <f ca="1"/>
        <v>#N/A</v>
      </c>
      <c r="L110" s="35" t="e">
        <f ca="1"/>
        <v>#N/A</v>
      </c>
      <c r="M110" s="35" t="e">
        <f ca="1"/>
        <v>#N/A</v>
      </c>
      <c r="N110" s="3" t="e">
        <f ca="1"/>
        <v>#N/A</v>
      </c>
      <c r="O110" s="3" t="e">
        <f ca="1"/>
        <v>#N/A</v>
      </c>
      <c r="P110" s="3" t="e">
        <f ca="1"/>
        <v>#N/A</v>
      </c>
      <c r="Q110" s="3" t="e">
        <f ca="1"/>
        <v>#N/A</v>
      </c>
      <c r="R110" s="38" t="e">
        <f ca="1"/>
        <v>#N/A</v>
      </c>
      <c r="S110" s="38" t="e">
        <f ca="1"/>
        <v>#N/A</v>
      </c>
      <c r="T110" s="41" t="e">
        <f ca="1"/>
        <v>#N/A</v>
      </c>
      <c r="U110" s="42" t="e">
        <f ca="1"/>
        <v>#N/A</v>
      </c>
      <c r="V110" s="42" t="e">
        <f ca="1"/>
        <v>#N/A</v>
      </c>
      <c r="W110" t="e">
        <f ca="1"/>
        <v>#N/A</v>
      </c>
      <c r="X110" t="e">
        <f ca="1"/>
        <v>#N/A</v>
      </c>
      <c r="Y110" s="4" t="e">
        <f ca="1"/>
        <v>#N/A</v>
      </c>
      <c r="Z110" s="3" t="e">
        <f ca="1"/>
        <v>#N/A</v>
      </c>
      <c r="AA110" t="e">
        <f ca="1"/>
        <v>#N/A</v>
      </c>
      <c r="AB110" s="3" t="e">
        <f ca="1"/>
        <v>#N/A</v>
      </c>
      <c r="AC110" s="3" t="e">
        <f ca="1"/>
        <v>#N/A</v>
      </c>
      <c r="AD110" s="45" t="e">
        <f ca="1"/>
        <v>#N/A</v>
      </c>
      <c r="AE110" s="3" t="e">
        <f ca="1"/>
        <v>#N/A</v>
      </c>
      <c r="AF110" s="3" t="e">
        <f ca="1"/>
        <v>#N/A</v>
      </c>
      <c r="AG110" t="e">
        <f ca="1"/>
        <v>#N/A</v>
      </c>
      <c r="AH110" s="35" t="e">
        <f ca="1"/>
        <v>#N/A</v>
      </c>
      <c r="AI110" s="35" t="e">
        <f ca="1"/>
        <v>#N/A</v>
      </c>
      <c r="AJ110" s="35" t="e">
        <f ca="1"/>
        <v>#N/A</v>
      </c>
      <c r="AK110" s="36" t="e">
        <f ca="1"/>
        <v>#N/A</v>
      </c>
      <c r="AL110" s="36" t="e">
        <f ca="1"/>
        <v>#N/A</v>
      </c>
      <c r="AM110" s="36" t="e">
        <f ca="1"/>
        <v>#N/A</v>
      </c>
      <c r="AN110" s="36" t="e">
        <f ca="1"/>
        <v>#N/A</v>
      </c>
      <c r="AO110" s="37" t="e">
        <f ca="1"/>
        <v>#N/A</v>
      </c>
      <c r="AP110" s="37" t="e">
        <f ca="1"/>
        <v>#N/A</v>
      </c>
      <c r="AQ110" s="41" t="e">
        <f ca="1"/>
        <v>#N/A</v>
      </c>
      <c r="AR110" s="42" t="e">
        <f ca="1"/>
        <v>#N/A</v>
      </c>
      <c r="AS110" s="42" t="e">
        <f ca="1"/>
        <v>#N/A</v>
      </c>
      <c r="AT110" t="e">
        <f ca="1"/>
        <v>#N/A</v>
      </c>
      <c r="AU110" t="e">
        <f ca="1"/>
        <v>#N/A</v>
      </c>
      <c r="AV110" s="4" t="e">
        <f ca="1"/>
        <v>#N/A</v>
      </c>
      <c r="AW110" s="3" t="e">
        <f ca="1"/>
        <v>#N/A</v>
      </c>
      <c r="AX110" t="e">
        <f ca="1"/>
        <v>#N/A</v>
      </c>
      <c r="AY110" s="3" t="e">
        <f ca="1"/>
        <v>#N/A</v>
      </c>
      <c r="AZ110" s="3" t="e">
        <f ca="1"/>
        <v>#N/A</v>
      </c>
      <c r="BA110" s="45" t="e">
        <f ca="1"/>
        <v>#N/A</v>
      </c>
      <c r="BB110" s="3" t="e">
        <f ca="1"/>
        <v>#N/A</v>
      </c>
      <c r="BC110" s="3" t="e">
        <f ca="1"/>
        <v>#N/A</v>
      </c>
      <c r="BD110" t="e">
        <f ca="1"/>
        <v>#N/A</v>
      </c>
      <c r="BE110" s="4" t="e">
        <f ca="1"/>
        <v>#N/A</v>
      </c>
      <c r="BF110" s="4" t="e">
        <f ca="1"/>
        <v>#N/A</v>
      </c>
      <c r="BG110" s="4" t="e">
        <f ca="1"/>
        <v>#N/A</v>
      </c>
      <c r="BH110" s="45" t="e">
        <f ca="1"/>
        <v>#N/A</v>
      </c>
      <c r="BI110" s="45" t="e">
        <f ca="1"/>
        <v>#N/A</v>
      </c>
      <c r="BJ110" s="45" t="e">
        <f ca="1"/>
        <v>#N/A</v>
      </c>
      <c r="BK110" s="45" t="e">
        <f ca="1"/>
        <v>#N/A</v>
      </c>
      <c r="BL110" s="37" t="e">
        <f ca="1"/>
        <v>#N/A</v>
      </c>
      <c r="BM110" s="37" t="e">
        <f ca="1"/>
        <v>#N/A</v>
      </c>
      <c r="BN110" s="40" t="e">
        <f ca="1"/>
        <v>#N/A</v>
      </c>
      <c r="BO110" s="42" t="e">
        <f ca="1"/>
        <v>#N/A</v>
      </c>
      <c r="BP110" s="42" t="e">
        <f ca="1"/>
        <v>#N/A</v>
      </c>
      <c r="BQ110" t="e">
        <f ca="1"/>
        <v>#N/A</v>
      </c>
      <c r="BR110" t="e">
        <f ca="1"/>
        <v>#N/A</v>
      </c>
      <c r="BS110" s="4" t="e">
        <f ca="1"/>
        <v>#N/A</v>
      </c>
      <c r="BT110" s="3" t="e">
        <f ca="1"/>
        <v>#N/A</v>
      </c>
      <c r="BU110" t="e">
        <f ca="1"/>
        <v>#N/A</v>
      </c>
      <c r="BV110" s="3" t="e">
        <f ca="1"/>
        <v>#N/A</v>
      </c>
      <c r="BW110" s="3" t="e">
        <f ca="1"/>
        <v>#N/A</v>
      </c>
      <c r="BX110" s="45" t="e">
        <f ca="1"/>
        <v>#N/A</v>
      </c>
      <c r="BY110" s="3" t="e">
        <f ca="1"/>
        <v>#N/A</v>
      </c>
      <c r="BZ110" s="3" t="e">
        <f ca="1"/>
        <v>#N/A</v>
      </c>
      <c r="CA110" t="e">
        <f ca="1"/>
        <v>#N/A</v>
      </c>
      <c r="CB110" s="4" t="e">
        <f ca="1"/>
        <v>#N/A</v>
      </c>
      <c r="CC110" s="4" t="e">
        <f ca="1"/>
        <v>#N/A</v>
      </c>
      <c r="CD110" s="4" t="e">
        <f ca="1"/>
        <v>#N/A</v>
      </c>
      <c r="CE110" t="e">
        <f ca="1"/>
        <v>#N/A</v>
      </c>
      <c r="CF110" t="e">
        <f ca="1"/>
        <v>#N/A</v>
      </c>
      <c r="CG110" t="e">
        <f ca="1"/>
        <v>#N/A</v>
      </c>
      <c r="CH110" t="e">
        <f ca="1"/>
        <v>#N/A</v>
      </c>
      <c r="CI110" t="e">
        <f ca="1"/>
        <v>#N/A</v>
      </c>
      <c r="CJ110" t="e">
        <f ca="1"/>
        <v>#N/A</v>
      </c>
      <c r="CK110" t="e">
        <f ca="1"/>
        <v>#N/A</v>
      </c>
      <c r="CL110" t="e">
        <f ca="1"/>
        <v>#N/A</v>
      </c>
      <c r="CM110" t="e">
        <f ca="1"/>
        <v>#N/A</v>
      </c>
      <c r="CN110" t="e">
        <f ca="1"/>
        <v>#N/A</v>
      </c>
    </row>
    <row r="111" spans="2:92" x14ac:dyDescent="0.25">
      <c r="B111" t="e">
        <f ca="1"/>
        <v>#N/A</v>
      </c>
      <c r="C111" s="37" t="e">
        <f ca="1"/>
        <v>#N/A</v>
      </c>
      <c r="D111" s="37" t="e">
        <f ca="1"/>
        <v>#N/A</v>
      </c>
      <c r="E111" s="35" t="e">
        <f ca="1"/>
        <v>#N/A</v>
      </c>
      <c r="F111" s="35" t="e">
        <f ca="1"/>
        <v>#N/A</v>
      </c>
      <c r="G111" s="35" t="e">
        <f ca="1"/>
        <v>#N/A</v>
      </c>
      <c r="H111" s="35" t="e">
        <f ca="1"/>
        <v>#N/A</v>
      </c>
      <c r="I111" s="35" t="e">
        <f ca="1"/>
        <v>#N/A</v>
      </c>
      <c r="J111" s="35" t="e">
        <f ca="1"/>
        <v>#N/A</v>
      </c>
      <c r="K111" s="35" t="e">
        <f ca="1"/>
        <v>#N/A</v>
      </c>
      <c r="L111" s="35" t="e">
        <f ca="1"/>
        <v>#N/A</v>
      </c>
      <c r="M111" s="35" t="e">
        <f ca="1"/>
        <v>#N/A</v>
      </c>
      <c r="N111" s="3" t="e">
        <f ca="1"/>
        <v>#N/A</v>
      </c>
      <c r="O111" s="3" t="e">
        <f ca="1"/>
        <v>#N/A</v>
      </c>
      <c r="P111" s="3" t="e">
        <f ca="1"/>
        <v>#N/A</v>
      </c>
      <c r="Q111" s="3" t="e">
        <f ca="1"/>
        <v>#N/A</v>
      </c>
      <c r="R111" s="38" t="e">
        <f ca="1"/>
        <v>#N/A</v>
      </c>
      <c r="S111" s="38" t="e">
        <f ca="1"/>
        <v>#N/A</v>
      </c>
      <c r="T111" s="41" t="e">
        <f ca="1"/>
        <v>#N/A</v>
      </c>
      <c r="U111" s="42" t="e">
        <f ca="1"/>
        <v>#N/A</v>
      </c>
      <c r="V111" s="42" t="e">
        <f ca="1"/>
        <v>#N/A</v>
      </c>
      <c r="W111" t="e">
        <f ca="1"/>
        <v>#N/A</v>
      </c>
      <c r="X111" t="e">
        <f ca="1"/>
        <v>#N/A</v>
      </c>
      <c r="Y111" s="4" t="e">
        <f ca="1"/>
        <v>#N/A</v>
      </c>
      <c r="Z111" s="3" t="e">
        <f ca="1"/>
        <v>#N/A</v>
      </c>
      <c r="AA111" t="e">
        <f ca="1"/>
        <v>#N/A</v>
      </c>
      <c r="AB111" s="3" t="e">
        <f ca="1"/>
        <v>#N/A</v>
      </c>
      <c r="AC111" s="3" t="e">
        <f ca="1"/>
        <v>#N/A</v>
      </c>
      <c r="AD111" s="45" t="e">
        <f ca="1"/>
        <v>#N/A</v>
      </c>
      <c r="AE111" s="3" t="e">
        <f ca="1"/>
        <v>#N/A</v>
      </c>
      <c r="AF111" s="3" t="e">
        <f ca="1"/>
        <v>#N/A</v>
      </c>
      <c r="AG111" t="e">
        <f ca="1"/>
        <v>#N/A</v>
      </c>
      <c r="AH111" s="35" t="e">
        <f ca="1"/>
        <v>#N/A</v>
      </c>
      <c r="AI111" s="35" t="e">
        <f ca="1"/>
        <v>#N/A</v>
      </c>
      <c r="AJ111" s="35" t="e">
        <f ca="1"/>
        <v>#N/A</v>
      </c>
      <c r="AK111" s="36" t="e">
        <f ca="1"/>
        <v>#N/A</v>
      </c>
      <c r="AL111" s="36" t="e">
        <f ca="1"/>
        <v>#N/A</v>
      </c>
      <c r="AM111" s="36" t="e">
        <f ca="1"/>
        <v>#N/A</v>
      </c>
      <c r="AN111" s="36" t="e">
        <f ca="1"/>
        <v>#N/A</v>
      </c>
      <c r="AO111" s="37" t="e">
        <f ca="1"/>
        <v>#N/A</v>
      </c>
      <c r="AP111" s="37" t="e">
        <f ca="1"/>
        <v>#N/A</v>
      </c>
      <c r="AQ111" s="41" t="e">
        <f ca="1"/>
        <v>#N/A</v>
      </c>
      <c r="AR111" s="42" t="e">
        <f ca="1"/>
        <v>#N/A</v>
      </c>
      <c r="AS111" s="42" t="e">
        <f ca="1"/>
        <v>#N/A</v>
      </c>
      <c r="AT111" t="e">
        <f ca="1"/>
        <v>#N/A</v>
      </c>
      <c r="AU111" t="e">
        <f ca="1"/>
        <v>#N/A</v>
      </c>
      <c r="AV111" s="4" t="e">
        <f ca="1"/>
        <v>#N/A</v>
      </c>
      <c r="AW111" s="3" t="e">
        <f ca="1"/>
        <v>#N/A</v>
      </c>
      <c r="AX111" t="e">
        <f ca="1"/>
        <v>#N/A</v>
      </c>
      <c r="AY111" s="3" t="e">
        <f ca="1"/>
        <v>#N/A</v>
      </c>
      <c r="AZ111" s="3" t="e">
        <f ca="1"/>
        <v>#N/A</v>
      </c>
      <c r="BA111" s="45" t="e">
        <f ca="1"/>
        <v>#N/A</v>
      </c>
      <c r="BB111" s="3" t="e">
        <f ca="1"/>
        <v>#N/A</v>
      </c>
      <c r="BC111" s="3" t="e">
        <f ca="1"/>
        <v>#N/A</v>
      </c>
      <c r="BD111" t="e">
        <f ca="1"/>
        <v>#N/A</v>
      </c>
      <c r="BE111" s="4" t="e">
        <f ca="1"/>
        <v>#N/A</v>
      </c>
      <c r="BF111" s="4" t="e">
        <f ca="1"/>
        <v>#N/A</v>
      </c>
      <c r="BG111" s="4" t="e">
        <f ca="1"/>
        <v>#N/A</v>
      </c>
      <c r="BH111" s="45" t="e">
        <f ca="1"/>
        <v>#N/A</v>
      </c>
      <c r="BI111" s="45" t="e">
        <f ca="1"/>
        <v>#N/A</v>
      </c>
      <c r="BJ111" s="45" t="e">
        <f ca="1"/>
        <v>#N/A</v>
      </c>
      <c r="BK111" s="45" t="e">
        <f ca="1"/>
        <v>#N/A</v>
      </c>
      <c r="BL111" s="37" t="e">
        <f ca="1"/>
        <v>#N/A</v>
      </c>
      <c r="BM111" s="37" t="e">
        <f ca="1"/>
        <v>#N/A</v>
      </c>
      <c r="BN111" s="40" t="e">
        <f ca="1"/>
        <v>#N/A</v>
      </c>
      <c r="BO111" s="42" t="e">
        <f ca="1"/>
        <v>#N/A</v>
      </c>
      <c r="BP111" s="42" t="e">
        <f ca="1"/>
        <v>#N/A</v>
      </c>
      <c r="BQ111" t="e">
        <f ca="1"/>
        <v>#N/A</v>
      </c>
      <c r="BR111" t="e">
        <f ca="1"/>
        <v>#N/A</v>
      </c>
      <c r="BS111" s="4" t="e">
        <f ca="1"/>
        <v>#N/A</v>
      </c>
      <c r="BT111" s="3" t="e">
        <f ca="1"/>
        <v>#N/A</v>
      </c>
      <c r="BU111" t="e">
        <f ca="1"/>
        <v>#N/A</v>
      </c>
      <c r="BV111" s="3" t="e">
        <f ca="1"/>
        <v>#N/A</v>
      </c>
      <c r="BW111" s="3" t="e">
        <f ca="1"/>
        <v>#N/A</v>
      </c>
      <c r="BX111" s="45" t="e">
        <f ca="1"/>
        <v>#N/A</v>
      </c>
      <c r="BY111" s="3" t="e">
        <f ca="1"/>
        <v>#N/A</v>
      </c>
      <c r="BZ111" s="3" t="e">
        <f ca="1"/>
        <v>#N/A</v>
      </c>
      <c r="CA111" t="e">
        <f ca="1"/>
        <v>#N/A</v>
      </c>
      <c r="CB111" s="4" t="e">
        <f ca="1"/>
        <v>#N/A</v>
      </c>
      <c r="CC111" s="4" t="e">
        <f ca="1"/>
        <v>#N/A</v>
      </c>
      <c r="CD111" s="4" t="e">
        <f ca="1"/>
        <v>#N/A</v>
      </c>
      <c r="CE111" t="e">
        <f ca="1"/>
        <v>#N/A</v>
      </c>
      <c r="CF111" t="e">
        <f ca="1"/>
        <v>#N/A</v>
      </c>
      <c r="CG111" t="e">
        <f ca="1"/>
        <v>#N/A</v>
      </c>
      <c r="CH111" t="e">
        <f ca="1"/>
        <v>#N/A</v>
      </c>
      <c r="CI111" t="e">
        <f ca="1"/>
        <v>#N/A</v>
      </c>
      <c r="CJ111" t="e">
        <f ca="1"/>
        <v>#N/A</v>
      </c>
      <c r="CK111" t="e">
        <f ca="1"/>
        <v>#N/A</v>
      </c>
      <c r="CL111" t="e">
        <f ca="1"/>
        <v>#N/A</v>
      </c>
      <c r="CM111" t="e">
        <f ca="1"/>
        <v>#N/A</v>
      </c>
      <c r="CN111" t="e">
        <f ca="1"/>
        <v>#N/A</v>
      </c>
    </row>
    <row r="112" spans="2:92" x14ac:dyDescent="0.25">
      <c r="B112" t="e">
        <f ca="1"/>
        <v>#N/A</v>
      </c>
      <c r="C112" s="37" t="e">
        <f ca="1"/>
        <v>#N/A</v>
      </c>
      <c r="D112" s="37" t="e">
        <f ca="1"/>
        <v>#N/A</v>
      </c>
      <c r="E112" s="35" t="e">
        <f ca="1"/>
        <v>#N/A</v>
      </c>
      <c r="F112" s="35" t="e">
        <f ca="1"/>
        <v>#N/A</v>
      </c>
      <c r="G112" s="35" t="e">
        <f ca="1"/>
        <v>#N/A</v>
      </c>
      <c r="H112" s="35" t="e">
        <f ca="1"/>
        <v>#N/A</v>
      </c>
      <c r="I112" s="35" t="e">
        <f ca="1"/>
        <v>#N/A</v>
      </c>
      <c r="J112" s="35" t="e">
        <f ca="1"/>
        <v>#N/A</v>
      </c>
      <c r="K112" s="35" t="e">
        <f ca="1"/>
        <v>#N/A</v>
      </c>
      <c r="L112" s="35" t="e">
        <f ca="1"/>
        <v>#N/A</v>
      </c>
      <c r="M112" s="35" t="e">
        <f ca="1"/>
        <v>#N/A</v>
      </c>
      <c r="N112" s="3" t="e">
        <f ca="1"/>
        <v>#N/A</v>
      </c>
      <c r="O112" s="3" t="e">
        <f ca="1"/>
        <v>#N/A</v>
      </c>
      <c r="P112" s="3" t="e">
        <f ca="1"/>
        <v>#N/A</v>
      </c>
      <c r="Q112" s="3" t="e">
        <f ca="1"/>
        <v>#N/A</v>
      </c>
      <c r="R112" s="38" t="e">
        <f ca="1"/>
        <v>#N/A</v>
      </c>
      <c r="S112" s="38" t="e">
        <f ca="1"/>
        <v>#N/A</v>
      </c>
      <c r="T112" s="41" t="e">
        <f ca="1"/>
        <v>#N/A</v>
      </c>
      <c r="U112" s="42" t="e">
        <f ca="1"/>
        <v>#N/A</v>
      </c>
      <c r="V112" s="42" t="e">
        <f ca="1"/>
        <v>#N/A</v>
      </c>
      <c r="W112" t="e">
        <f ca="1"/>
        <v>#N/A</v>
      </c>
      <c r="X112" t="e">
        <f ca="1"/>
        <v>#N/A</v>
      </c>
      <c r="Y112" s="4" t="e">
        <f ca="1"/>
        <v>#N/A</v>
      </c>
      <c r="Z112" s="3" t="e">
        <f ca="1"/>
        <v>#N/A</v>
      </c>
      <c r="AA112" t="e">
        <f ca="1"/>
        <v>#N/A</v>
      </c>
      <c r="AB112" s="3" t="e">
        <f ca="1"/>
        <v>#N/A</v>
      </c>
      <c r="AC112" s="3" t="e">
        <f ca="1"/>
        <v>#N/A</v>
      </c>
      <c r="AD112" s="45" t="e">
        <f ca="1"/>
        <v>#N/A</v>
      </c>
      <c r="AE112" s="3" t="e">
        <f ca="1"/>
        <v>#N/A</v>
      </c>
      <c r="AF112" s="3" t="e">
        <f ca="1"/>
        <v>#N/A</v>
      </c>
      <c r="AG112" t="e">
        <f ca="1"/>
        <v>#N/A</v>
      </c>
      <c r="AH112" s="35" t="e">
        <f ca="1"/>
        <v>#N/A</v>
      </c>
      <c r="AI112" s="35" t="e">
        <f ca="1"/>
        <v>#N/A</v>
      </c>
      <c r="AJ112" s="35" t="e">
        <f ca="1"/>
        <v>#N/A</v>
      </c>
      <c r="AK112" s="36" t="e">
        <f ca="1"/>
        <v>#N/A</v>
      </c>
      <c r="AL112" s="36" t="e">
        <f ca="1"/>
        <v>#N/A</v>
      </c>
      <c r="AM112" s="36" t="e">
        <f ca="1"/>
        <v>#N/A</v>
      </c>
      <c r="AN112" s="36" t="e">
        <f ca="1"/>
        <v>#N/A</v>
      </c>
      <c r="AO112" s="37" t="e">
        <f ca="1"/>
        <v>#N/A</v>
      </c>
      <c r="AP112" s="37" t="e">
        <f ca="1"/>
        <v>#N/A</v>
      </c>
      <c r="AQ112" s="41" t="e">
        <f ca="1"/>
        <v>#N/A</v>
      </c>
      <c r="AR112" s="42" t="e">
        <f ca="1"/>
        <v>#N/A</v>
      </c>
      <c r="AS112" s="42" t="e">
        <f ca="1"/>
        <v>#N/A</v>
      </c>
      <c r="AT112" t="e">
        <f ca="1"/>
        <v>#N/A</v>
      </c>
      <c r="AU112" t="e">
        <f ca="1"/>
        <v>#N/A</v>
      </c>
      <c r="AV112" s="4" t="e">
        <f ca="1"/>
        <v>#N/A</v>
      </c>
      <c r="AW112" s="3" t="e">
        <f ca="1"/>
        <v>#N/A</v>
      </c>
      <c r="AX112" t="e">
        <f ca="1"/>
        <v>#N/A</v>
      </c>
      <c r="AY112" s="3" t="e">
        <f ca="1"/>
        <v>#N/A</v>
      </c>
      <c r="AZ112" s="3" t="e">
        <f ca="1"/>
        <v>#N/A</v>
      </c>
      <c r="BA112" s="45" t="e">
        <f ca="1"/>
        <v>#N/A</v>
      </c>
      <c r="BB112" s="3" t="e">
        <f ca="1"/>
        <v>#N/A</v>
      </c>
      <c r="BC112" s="3" t="e">
        <f ca="1"/>
        <v>#N/A</v>
      </c>
      <c r="BD112" t="e">
        <f ca="1"/>
        <v>#N/A</v>
      </c>
      <c r="BE112" s="4" t="e">
        <f ca="1"/>
        <v>#N/A</v>
      </c>
      <c r="BF112" s="4" t="e">
        <f ca="1"/>
        <v>#N/A</v>
      </c>
      <c r="BG112" s="4" t="e">
        <f ca="1"/>
        <v>#N/A</v>
      </c>
      <c r="BH112" s="45" t="e">
        <f ca="1"/>
        <v>#N/A</v>
      </c>
      <c r="BI112" s="45" t="e">
        <f ca="1"/>
        <v>#N/A</v>
      </c>
      <c r="BJ112" s="45" t="e">
        <f ca="1"/>
        <v>#N/A</v>
      </c>
      <c r="BK112" s="45" t="e">
        <f ca="1"/>
        <v>#N/A</v>
      </c>
      <c r="BL112" s="37" t="e">
        <f ca="1"/>
        <v>#N/A</v>
      </c>
      <c r="BM112" s="37" t="e">
        <f ca="1"/>
        <v>#N/A</v>
      </c>
      <c r="BN112" s="40" t="e">
        <f ca="1"/>
        <v>#N/A</v>
      </c>
      <c r="BO112" s="42" t="e">
        <f ca="1"/>
        <v>#N/A</v>
      </c>
      <c r="BP112" s="42" t="e">
        <f ca="1"/>
        <v>#N/A</v>
      </c>
      <c r="BQ112" t="e">
        <f ca="1"/>
        <v>#N/A</v>
      </c>
      <c r="BR112" t="e">
        <f ca="1"/>
        <v>#N/A</v>
      </c>
      <c r="BS112" s="4" t="e">
        <f ca="1"/>
        <v>#N/A</v>
      </c>
      <c r="BT112" s="3" t="e">
        <f ca="1"/>
        <v>#N/A</v>
      </c>
      <c r="BU112" t="e">
        <f ca="1"/>
        <v>#N/A</v>
      </c>
      <c r="BV112" s="3" t="e">
        <f ca="1"/>
        <v>#N/A</v>
      </c>
      <c r="BW112" s="3" t="e">
        <f ca="1"/>
        <v>#N/A</v>
      </c>
      <c r="BX112" s="45" t="e">
        <f ca="1"/>
        <v>#N/A</v>
      </c>
      <c r="BY112" s="3" t="e">
        <f ca="1"/>
        <v>#N/A</v>
      </c>
      <c r="BZ112" s="3" t="e">
        <f ca="1"/>
        <v>#N/A</v>
      </c>
      <c r="CA112" t="e">
        <f ca="1"/>
        <v>#N/A</v>
      </c>
      <c r="CB112" s="4" t="e">
        <f ca="1"/>
        <v>#N/A</v>
      </c>
      <c r="CC112" s="4" t="e">
        <f ca="1"/>
        <v>#N/A</v>
      </c>
      <c r="CD112" s="4" t="e">
        <f ca="1"/>
        <v>#N/A</v>
      </c>
      <c r="CE112" t="e">
        <f ca="1"/>
        <v>#N/A</v>
      </c>
      <c r="CF112" t="e">
        <f ca="1"/>
        <v>#N/A</v>
      </c>
      <c r="CG112" t="e">
        <f ca="1"/>
        <v>#N/A</v>
      </c>
      <c r="CH112" t="e">
        <f ca="1"/>
        <v>#N/A</v>
      </c>
      <c r="CI112" t="e">
        <f ca="1"/>
        <v>#N/A</v>
      </c>
      <c r="CJ112" t="e">
        <f ca="1"/>
        <v>#N/A</v>
      </c>
      <c r="CK112" t="e">
        <f ca="1"/>
        <v>#N/A</v>
      </c>
      <c r="CL112" t="e">
        <f ca="1"/>
        <v>#N/A</v>
      </c>
      <c r="CM112" t="e">
        <f ca="1"/>
        <v>#N/A</v>
      </c>
      <c r="CN112" t="e">
        <f ca="1"/>
        <v>#N/A</v>
      </c>
    </row>
    <row r="113" spans="2:92" x14ac:dyDescent="0.25">
      <c r="B113" t="e">
        <f ca="1"/>
        <v>#N/A</v>
      </c>
      <c r="C113" s="37" t="e">
        <f ca="1"/>
        <v>#N/A</v>
      </c>
      <c r="D113" s="37" t="e">
        <f ca="1"/>
        <v>#N/A</v>
      </c>
      <c r="E113" s="35" t="e">
        <f ca="1"/>
        <v>#N/A</v>
      </c>
      <c r="F113" s="35" t="e">
        <f ca="1"/>
        <v>#N/A</v>
      </c>
      <c r="G113" s="35" t="e">
        <f ca="1"/>
        <v>#N/A</v>
      </c>
      <c r="H113" s="35" t="e">
        <f ca="1"/>
        <v>#N/A</v>
      </c>
      <c r="I113" s="35" t="e">
        <f ca="1"/>
        <v>#N/A</v>
      </c>
      <c r="J113" s="35" t="e">
        <f ca="1"/>
        <v>#N/A</v>
      </c>
      <c r="K113" s="35" t="e">
        <f ca="1"/>
        <v>#N/A</v>
      </c>
      <c r="L113" s="35" t="e">
        <f ca="1"/>
        <v>#N/A</v>
      </c>
      <c r="M113" s="35" t="e">
        <f ca="1"/>
        <v>#N/A</v>
      </c>
      <c r="N113" s="3" t="e">
        <f ca="1"/>
        <v>#N/A</v>
      </c>
      <c r="O113" s="3" t="e">
        <f ca="1"/>
        <v>#N/A</v>
      </c>
      <c r="P113" s="3" t="e">
        <f ca="1"/>
        <v>#N/A</v>
      </c>
      <c r="Q113" s="3" t="e">
        <f ca="1"/>
        <v>#N/A</v>
      </c>
      <c r="R113" s="38" t="e">
        <f ca="1"/>
        <v>#N/A</v>
      </c>
      <c r="S113" s="38" t="e">
        <f ca="1"/>
        <v>#N/A</v>
      </c>
      <c r="T113" s="41" t="e">
        <f ca="1"/>
        <v>#N/A</v>
      </c>
      <c r="U113" s="42" t="e">
        <f ca="1"/>
        <v>#N/A</v>
      </c>
      <c r="V113" s="42" t="e">
        <f ca="1"/>
        <v>#N/A</v>
      </c>
      <c r="W113" t="e">
        <f ca="1"/>
        <v>#N/A</v>
      </c>
      <c r="X113" t="e">
        <f ca="1"/>
        <v>#N/A</v>
      </c>
      <c r="Y113" s="4" t="e">
        <f ca="1"/>
        <v>#N/A</v>
      </c>
      <c r="Z113" s="3" t="e">
        <f ca="1"/>
        <v>#N/A</v>
      </c>
      <c r="AA113" t="e">
        <f ca="1"/>
        <v>#N/A</v>
      </c>
      <c r="AB113" s="3" t="e">
        <f ca="1"/>
        <v>#N/A</v>
      </c>
      <c r="AC113" s="3" t="e">
        <f ca="1"/>
        <v>#N/A</v>
      </c>
      <c r="AD113" s="45" t="e">
        <f ca="1"/>
        <v>#N/A</v>
      </c>
      <c r="AE113" s="3" t="e">
        <f ca="1"/>
        <v>#N/A</v>
      </c>
      <c r="AF113" s="3" t="e">
        <f ca="1"/>
        <v>#N/A</v>
      </c>
      <c r="AG113" t="e">
        <f ca="1"/>
        <v>#N/A</v>
      </c>
      <c r="AH113" s="35" t="e">
        <f ca="1"/>
        <v>#N/A</v>
      </c>
      <c r="AI113" s="35" t="e">
        <f ca="1"/>
        <v>#N/A</v>
      </c>
      <c r="AJ113" s="35" t="e">
        <f ca="1"/>
        <v>#N/A</v>
      </c>
      <c r="AK113" s="36" t="e">
        <f ca="1"/>
        <v>#N/A</v>
      </c>
      <c r="AL113" s="36" t="e">
        <f ca="1"/>
        <v>#N/A</v>
      </c>
      <c r="AM113" s="36" t="e">
        <f ca="1"/>
        <v>#N/A</v>
      </c>
      <c r="AN113" s="36" t="e">
        <f ca="1"/>
        <v>#N/A</v>
      </c>
      <c r="AO113" s="37" t="e">
        <f ca="1"/>
        <v>#N/A</v>
      </c>
      <c r="AP113" s="37" t="e">
        <f ca="1"/>
        <v>#N/A</v>
      </c>
      <c r="AQ113" s="41" t="e">
        <f ca="1"/>
        <v>#N/A</v>
      </c>
      <c r="AR113" s="42" t="e">
        <f ca="1"/>
        <v>#N/A</v>
      </c>
      <c r="AS113" s="42" t="e">
        <f ca="1"/>
        <v>#N/A</v>
      </c>
      <c r="AT113" t="e">
        <f ca="1"/>
        <v>#N/A</v>
      </c>
      <c r="AU113" t="e">
        <f ca="1"/>
        <v>#N/A</v>
      </c>
      <c r="AV113" s="4" t="e">
        <f ca="1"/>
        <v>#N/A</v>
      </c>
      <c r="AW113" s="3" t="e">
        <f ca="1"/>
        <v>#N/A</v>
      </c>
      <c r="AX113" t="e">
        <f ca="1"/>
        <v>#N/A</v>
      </c>
      <c r="AY113" s="3" t="e">
        <f ca="1"/>
        <v>#N/A</v>
      </c>
      <c r="AZ113" s="3" t="e">
        <f ca="1"/>
        <v>#N/A</v>
      </c>
      <c r="BA113" s="45" t="e">
        <f ca="1"/>
        <v>#N/A</v>
      </c>
      <c r="BB113" s="3" t="e">
        <f ca="1"/>
        <v>#N/A</v>
      </c>
      <c r="BC113" s="3" t="e">
        <f ca="1"/>
        <v>#N/A</v>
      </c>
      <c r="BD113" t="e">
        <f ca="1"/>
        <v>#N/A</v>
      </c>
      <c r="BE113" s="4" t="e">
        <f ca="1"/>
        <v>#N/A</v>
      </c>
      <c r="BF113" s="4" t="e">
        <f ca="1"/>
        <v>#N/A</v>
      </c>
      <c r="BG113" s="4" t="e">
        <f ca="1"/>
        <v>#N/A</v>
      </c>
      <c r="BH113" s="45" t="e">
        <f ca="1"/>
        <v>#N/A</v>
      </c>
      <c r="BI113" s="45" t="e">
        <f ca="1"/>
        <v>#N/A</v>
      </c>
      <c r="BJ113" s="45" t="e">
        <f ca="1"/>
        <v>#N/A</v>
      </c>
      <c r="BK113" s="45" t="e">
        <f ca="1"/>
        <v>#N/A</v>
      </c>
      <c r="BL113" s="37" t="e">
        <f ca="1"/>
        <v>#N/A</v>
      </c>
      <c r="BM113" s="37" t="e">
        <f ca="1"/>
        <v>#N/A</v>
      </c>
      <c r="BN113" s="40" t="e">
        <f ca="1"/>
        <v>#N/A</v>
      </c>
      <c r="BO113" s="42" t="e">
        <f ca="1"/>
        <v>#N/A</v>
      </c>
      <c r="BP113" s="42" t="e">
        <f ca="1"/>
        <v>#N/A</v>
      </c>
      <c r="BQ113" t="e">
        <f ca="1"/>
        <v>#N/A</v>
      </c>
      <c r="BR113" t="e">
        <f ca="1"/>
        <v>#N/A</v>
      </c>
      <c r="BS113" s="4" t="e">
        <f ca="1"/>
        <v>#N/A</v>
      </c>
      <c r="BT113" s="3" t="e">
        <f ca="1"/>
        <v>#N/A</v>
      </c>
      <c r="BU113" t="e">
        <f ca="1"/>
        <v>#N/A</v>
      </c>
      <c r="BV113" s="3" t="e">
        <f ca="1"/>
        <v>#N/A</v>
      </c>
      <c r="BW113" s="3" t="e">
        <f ca="1"/>
        <v>#N/A</v>
      </c>
      <c r="BX113" s="45" t="e">
        <f ca="1"/>
        <v>#N/A</v>
      </c>
      <c r="BY113" s="3" t="e">
        <f ca="1"/>
        <v>#N/A</v>
      </c>
      <c r="BZ113" s="3" t="e">
        <f ca="1"/>
        <v>#N/A</v>
      </c>
      <c r="CA113" t="e">
        <f ca="1"/>
        <v>#N/A</v>
      </c>
      <c r="CB113" s="4" t="e">
        <f ca="1"/>
        <v>#N/A</v>
      </c>
      <c r="CC113" s="4" t="e">
        <f ca="1"/>
        <v>#N/A</v>
      </c>
      <c r="CD113" s="4" t="e">
        <f ca="1"/>
        <v>#N/A</v>
      </c>
      <c r="CE113" t="e">
        <f ca="1"/>
        <v>#N/A</v>
      </c>
      <c r="CF113" t="e">
        <f ca="1"/>
        <v>#N/A</v>
      </c>
      <c r="CG113" t="e">
        <f ca="1"/>
        <v>#N/A</v>
      </c>
      <c r="CH113" t="e">
        <f ca="1"/>
        <v>#N/A</v>
      </c>
      <c r="CI113" t="e">
        <f ca="1"/>
        <v>#N/A</v>
      </c>
      <c r="CJ113" t="e">
        <f ca="1"/>
        <v>#N/A</v>
      </c>
      <c r="CK113" t="e">
        <f ca="1"/>
        <v>#N/A</v>
      </c>
      <c r="CL113" t="e">
        <f ca="1"/>
        <v>#N/A</v>
      </c>
      <c r="CM113" t="e">
        <f ca="1"/>
        <v>#N/A</v>
      </c>
      <c r="CN113" t="e">
        <f ca="1"/>
        <v>#N/A</v>
      </c>
    </row>
    <row r="114" spans="2:92" x14ac:dyDescent="0.25">
      <c r="B114" t="e">
        <f ca="1"/>
        <v>#N/A</v>
      </c>
      <c r="C114" s="37" t="e">
        <f ca="1"/>
        <v>#N/A</v>
      </c>
      <c r="D114" s="37" t="e">
        <f ca="1"/>
        <v>#N/A</v>
      </c>
      <c r="E114" s="35" t="e">
        <f ca="1"/>
        <v>#N/A</v>
      </c>
      <c r="F114" s="35" t="e">
        <f ca="1"/>
        <v>#N/A</v>
      </c>
      <c r="G114" s="35" t="e">
        <f ca="1"/>
        <v>#N/A</v>
      </c>
      <c r="H114" s="35" t="e">
        <f ca="1"/>
        <v>#N/A</v>
      </c>
      <c r="I114" s="35" t="e">
        <f ca="1"/>
        <v>#N/A</v>
      </c>
      <c r="J114" s="35" t="e">
        <f ca="1"/>
        <v>#N/A</v>
      </c>
      <c r="K114" s="35" t="e">
        <f ca="1"/>
        <v>#N/A</v>
      </c>
      <c r="L114" s="35" t="e">
        <f ca="1"/>
        <v>#N/A</v>
      </c>
      <c r="M114" s="35" t="e">
        <f ca="1"/>
        <v>#N/A</v>
      </c>
      <c r="N114" s="3" t="e">
        <f ca="1"/>
        <v>#N/A</v>
      </c>
      <c r="O114" s="3" t="e">
        <f ca="1"/>
        <v>#N/A</v>
      </c>
      <c r="P114" s="3" t="e">
        <f ca="1"/>
        <v>#N/A</v>
      </c>
      <c r="Q114" s="3" t="e">
        <f ca="1"/>
        <v>#N/A</v>
      </c>
      <c r="R114" s="38" t="e">
        <f ca="1"/>
        <v>#N/A</v>
      </c>
      <c r="S114" s="38" t="e">
        <f ca="1"/>
        <v>#N/A</v>
      </c>
      <c r="T114" s="41" t="e">
        <f ca="1"/>
        <v>#N/A</v>
      </c>
      <c r="U114" s="42" t="e">
        <f ca="1"/>
        <v>#N/A</v>
      </c>
      <c r="V114" s="42" t="e">
        <f ca="1"/>
        <v>#N/A</v>
      </c>
      <c r="W114" t="e">
        <f ca="1"/>
        <v>#N/A</v>
      </c>
      <c r="X114" t="e">
        <f ca="1"/>
        <v>#N/A</v>
      </c>
      <c r="Y114" s="4" t="e">
        <f ca="1"/>
        <v>#N/A</v>
      </c>
      <c r="Z114" s="3" t="e">
        <f ca="1"/>
        <v>#N/A</v>
      </c>
      <c r="AA114" t="e">
        <f ca="1"/>
        <v>#N/A</v>
      </c>
      <c r="AB114" s="3" t="e">
        <f ca="1"/>
        <v>#N/A</v>
      </c>
      <c r="AC114" s="3" t="e">
        <f ca="1"/>
        <v>#N/A</v>
      </c>
      <c r="AD114" s="45" t="e">
        <f ca="1"/>
        <v>#N/A</v>
      </c>
      <c r="AE114" s="3" t="e">
        <f ca="1"/>
        <v>#N/A</v>
      </c>
      <c r="AF114" s="3" t="e">
        <f ca="1"/>
        <v>#N/A</v>
      </c>
      <c r="AG114" t="e">
        <f ca="1"/>
        <v>#N/A</v>
      </c>
      <c r="AH114" s="35" t="e">
        <f ca="1"/>
        <v>#N/A</v>
      </c>
      <c r="AI114" s="35" t="e">
        <f ca="1"/>
        <v>#N/A</v>
      </c>
      <c r="AJ114" s="35" t="e">
        <f ca="1"/>
        <v>#N/A</v>
      </c>
      <c r="AK114" s="36" t="e">
        <f ca="1"/>
        <v>#N/A</v>
      </c>
      <c r="AL114" s="36" t="e">
        <f ca="1"/>
        <v>#N/A</v>
      </c>
      <c r="AM114" s="36" t="e">
        <f ca="1"/>
        <v>#N/A</v>
      </c>
      <c r="AN114" s="36" t="e">
        <f ca="1"/>
        <v>#N/A</v>
      </c>
      <c r="AO114" s="37" t="e">
        <f ca="1"/>
        <v>#N/A</v>
      </c>
      <c r="AP114" s="37" t="e">
        <f ca="1"/>
        <v>#N/A</v>
      </c>
      <c r="AQ114" s="41" t="e">
        <f ca="1"/>
        <v>#N/A</v>
      </c>
      <c r="AR114" s="42" t="e">
        <f ca="1"/>
        <v>#N/A</v>
      </c>
      <c r="AS114" s="42" t="e">
        <f ca="1"/>
        <v>#N/A</v>
      </c>
      <c r="AT114" t="e">
        <f ca="1"/>
        <v>#N/A</v>
      </c>
      <c r="AU114" t="e">
        <f ca="1"/>
        <v>#N/A</v>
      </c>
      <c r="AV114" s="4" t="e">
        <f ca="1"/>
        <v>#N/A</v>
      </c>
      <c r="AW114" s="3" t="e">
        <f ca="1"/>
        <v>#N/A</v>
      </c>
      <c r="AX114" t="e">
        <f ca="1"/>
        <v>#N/A</v>
      </c>
      <c r="AY114" s="3" t="e">
        <f ca="1"/>
        <v>#N/A</v>
      </c>
      <c r="AZ114" s="3" t="e">
        <f ca="1"/>
        <v>#N/A</v>
      </c>
      <c r="BA114" s="45" t="e">
        <f ca="1"/>
        <v>#N/A</v>
      </c>
      <c r="BB114" s="3" t="e">
        <f ca="1"/>
        <v>#N/A</v>
      </c>
      <c r="BC114" s="3" t="e">
        <f ca="1"/>
        <v>#N/A</v>
      </c>
      <c r="BD114" t="e">
        <f ca="1"/>
        <v>#N/A</v>
      </c>
      <c r="BE114" s="4" t="e">
        <f ca="1"/>
        <v>#N/A</v>
      </c>
      <c r="BF114" s="4" t="e">
        <f ca="1"/>
        <v>#N/A</v>
      </c>
      <c r="BG114" s="4" t="e">
        <f ca="1"/>
        <v>#N/A</v>
      </c>
      <c r="BH114" s="45" t="e">
        <f ca="1"/>
        <v>#N/A</v>
      </c>
      <c r="BI114" s="45" t="e">
        <f ca="1"/>
        <v>#N/A</v>
      </c>
      <c r="BJ114" s="45" t="e">
        <f ca="1"/>
        <v>#N/A</v>
      </c>
      <c r="BK114" s="45" t="e">
        <f ca="1"/>
        <v>#N/A</v>
      </c>
      <c r="BL114" s="37" t="e">
        <f ca="1"/>
        <v>#N/A</v>
      </c>
      <c r="BM114" s="37" t="e">
        <f ca="1"/>
        <v>#N/A</v>
      </c>
      <c r="BN114" s="40" t="e">
        <f ca="1"/>
        <v>#N/A</v>
      </c>
      <c r="BO114" s="42" t="e">
        <f ca="1"/>
        <v>#N/A</v>
      </c>
      <c r="BP114" s="42" t="e">
        <f ca="1"/>
        <v>#N/A</v>
      </c>
      <c r="BQ114" t="e">
        <f ca="1"/>
        <v>#N/A</v>
      </c>
      <c r="BR114" t="e">
        <f ca="1"/>
        <v>#N/A</v>
      </c>
      <c r="BS114" s="4" t="e">
        <f ca="1"/>
        <v>#N/A</v>
      </c>
      <c r="BT114" s="3" t="e">
        <f ca="1"/>
        <v>#N/A</v>
      </c>
      <c r="BU114" t="e">
        <f ca="1"/>
        <v>#N/A</v>
      </c>
      <c r="BV114" s="3" t="e">
        <f ca="1"/>
        <v>#N/A</v>
      </c>
      <c r="BW114" s="3" t="e">
        <f ca="1"/>
        <v>#N/A</v>
      </c>
      <c r="BX114" s="45" t="e">
        <f ca="1"/>
        <v>#N/A</v>
      </c>
      <c r="BY114" s="3" t="e">
        <f ca="1"/>
        <v>#N/A</v>
      </c>
      <c r="BZ114" s="3" t="e">
        <f ca="1"/>
        <v>#N/A</v>
      </c>
      <c r="CA114" t="e">
        <f ca="1"/>
        <v>#N/A</v>
      </c>
      <c r="CB114" s="4" t="e">
        <f ca="1"/>
        <v>#N/A</v>
      </c>
      <c r="CC114" s="4" t="e">
        <f ca="1"/>
        <v>#N/A</v>
      </c>
      <c r="CD114" s="4" t="e">
        <f ca="1"/>
        <v>#N/A</v>
      </c>
      <c r="CE114" t="e">
        <f ca="1"/>
        <v>#N/A</v>
      </c>
      <c r="CF114" t="e">
        <f ca="1"/>
        <v>#N/A</v>
      </c>
      <c r="CG114" t="e">
        <f ca="1"/>
        <v>#N/A</v>
      </c>
      <c r="CH114" t="e">
        <f ca="1"/>
        <v>#N/A</v>
      </c>
      <c r="CI114" t="e">
        <f ca="1"/>
        <v>#N/A</v>
      </c>
      <c r="CJ114" t="e">
        <f ca="1"/>
        <v>#N/A</v>
      </c>
      <c r="CK114" t="e">
        <f ca="1"/>
        <v>#N/A</v>
      </c>
      <c r="CL114" t="e">
        <f ca="1"/>
        <v>#N/A</v>
      </c>
      <c r="CM114" t="e">
        <f ca="1"/>
        <v>#N/A</v>
      </c>
      <c r="CN114" t="e">
        <f ca="1"/>
        <v>#N/A</v>
      </c>
    </row>
    <row r="115" spans="2:92" x14ac:dyDescent="0.25">
      <c r="B115" t="e">
        <f ca="1"/>
        <v>#N/A</v>
      </c>
      <c r="C115" s="37" t="e">
        <f ca="1"/>
        <v>#N/A</v>
      </c>
      <c r="D115" s="37" t="e">
        <f ca="1"/>
        <v>#N/A</v>
      </c>
      <c r="E115" s="35" t="e">
        <f ca="1"/>
        <v>#N/A</v>
      </c>
      <c r="F115" s="35" t="e">
        <f ca="1"/>
        <v>#N/A</v>
      </c>
      <c r="G115" s="35" t="e">
        <f ca="1"/>
        <v>#N/A</v>
      </c>
      <c r="H115" s="35" t="e">
        <f ca="1"/>
        <v>#N/A</v>
      </c>
      <c r="I115" s="35" t="e">
        <f ca="1"/>
        <v>#N/A</v>
      </c>
      <c r="J115" s="35" t="e">
        <f ca="1"/>
        <v>#N/A</v>
      </c>
      <c r="K115" s="35" t="e">
        <f ca="1"/>
        <v>#N/A</v>
      </c>
      <c r="L115" s="35" t="e">
        <f ca="1"/>
        <v>#N/A</v>
      </c>
      <c r="M115" s="35" t="e">
        <f ca="1"/>
        <v>#N/A</v>
      </c>
      <c r="N115" s="3" t="e">
        <f ca="1"/>
        <v>#N/A</v>
      </c>
      <c r="O115" s="3" t="e">
        <f ca="1"/>
        <v>#N/A</v>
      </c>
      <c r="P115" s="3" t="e">
        <f ca="1"/>
        <v>#N/A</v>
      </c>
      <c r="Q115" s="3" t="e">
        <f ca="1"/>
        <v>#N/A</v>
      </c>
      <c r="R115" s="38" t="e">
        <f ca="1"/>
        <v>#N/A</v>
      </c>
      <c r="S115" s="38" t="e">
        <f ca="1"/>
        <v>#N/A</v>
      </c>
      <c r="T115" s="41" t="e">
        <f ca="1"/>
        <v>#N/A</v>
      </c>
      <c r="U115" s="42" t="e">
        <f ca="1"/>
        <v>#N/A</v>
      </c>
      <c r="V115" s="42" t="e">
        <f ca="1"/>
        <v>#N/A</v>
      </c>
      <c r="W115" t="e">
        <f ca="1"/>
        <v>#N/A</v>
      </c>
      <c r="X115" t="e">
        <f ca="1"/>
        <v>#N/A</v>
      </c>
      <c r="Y115" s="4" t="e">
        <f ca="1"/>
        <v>#N/A</v>
      </c>
      <c r="Z115" s="3" t="e">
        <f ca="1"/>
        <v>#N/A</v>
      </c>
      <c r="AA115" t="e">
        <f ca="1"/>
        <v>#N/A</v>
      </c>
      <c r="AB115" s="3" t="e">
        <f ca="1"/>
        <v>#N/A</v>
      </c>
      <c r="AC115" s="3" t="e">
        <f ca="1"/>
        <v>#N/A</v>
      </c>
      <c r="AD115" s="45" t="e">
        <f ca="1"/>
        <v>#N/A</v>
      </c>
      <c r="AE115" s="3" t="e">
        <f ca="1"/>
        <v>#N/A</v>
      </c>
      <c r="AF115" s="3" t="e">
        <f ca="1"/>
        <v>#N/A</v>
      </c>
      <c r="AG115" t="e">
        <f ca="1"/>
        <v>#N/A</v>
      </c>
      <c r="AH115" s="35" t="e">
        <f ca="1"/>
        <v>#N/A</v>
      </c>
      <c r="AI115" s="35" t="e">
        <f ca="1"/>
        <v>#N/A</v>
      </c>
      <c r="AJ115" s="35" t="e">
        <f ca="1"/>
        <v>#N/A</v>
      </c>
      <c r="AK115" s="36" t="e">
        <f ca="1"/>
        <v>#N/A</v>
      </c>
      <c r="AL115" s="36" t="e">
        <f ca="1"/>
        <v>#N/A</v>
      </c>
      <c r="AM115" s="36" t="e">
        <f ca="1"/>
        <v>#N/A</v>
      </c>
      <c r="AN115" s="36" t="e">
        <f ca="1"/>
        <v>#N/A</v>
      </c>
      <c r="AO115" s="37" t="e">
        <f ca="1"/>
        <v>#N/A</v>
      </c>
      <c r="AP115" s="37" t="e">
        <f ca="1"/>
        <v>#N/A</v>
      </c>
      <c r="AQ115" s="41" t="e">
        <f ca="1"/>
        <v>#N/A</v>
      </c>
      <c r="AR115" s="42" t="e">
        <f ca="1"/>
        <v>#N/A</v>
      </c>
      <c r="AS115" s="42" t="e">
        <f ca="1"/>
        <v>#N/A</v>
      </c>
      <c r="AT115" t="e">
        <f ca="1"/>
        <v>#N/A</v>
      </c>
      <c r="AU115" t="e">
        <f ca="1"/>
        <v>#N/A</v>
      </c>
      <c r="AV115" s="4" t="e">
        <f ca="1"/>
        <v>#N/A</v>
      </c>
      <c r="AW115" s="3" t="e">
        <f ca="1"/>
        <v>#N/A</v>
      </c>
      <c r="AX115" t="e">
        <f ca="1"/>
        <v>#N/A</v>
      </c>
      <c r="AY115" s="3" t="e">
        <f ca="1"/>
        <v>#N/A</v>
      </c>
      <c r="AZ115" s="3" t="e">
        <f ca="1"/>
        <v>#N/A</v>
      </c>
      <c r="BA115" s="45" t="e">
        <f ca="1"/>
        <v>#N/A</v>
      </c>
      <c r="BB115" s="3" t="e">
        <f ca="1"/>
        <v>#N/A</v>
      </c>
      <c r="BC115" s="3" t="e">
        <f ca="1"/>
        <v>#N/A</v>
      </c>
      <c r="BD115" t="e">
        <f ca="1"/>
        <v>#N/A</v>
      </c>
      <c r="BE115" s="4" t="e">
        <f ca="1"/>
        <v>#N/A</v>
      </c>
      <c r="BF115" s="4" t="e">
        <f ca="1"/>
        <v>#N/A</v>
      </c>
      <c r="BG115" s="4" t="e">
        <f ca="1"/>
        <v>#N/A</v>
      </c>
      <c r="BH115" s="45" t="e">
        <f ca="1"/>
        <v>#N/A</v>
      </c>
      <c r="BI115" s="45" t="e">
        <f ca="1"/>
        <v>#N/A</v>
      </c>
      <c r="BJ115" s="45" t="e">
        <f ca="1"/>
        <v>#N/A</v>
      </c>
      <c r="BK115" s="45" t="e">
        <f ca="1"/>
        <v>#N/A</v>
      </c>
      <c r="BL115" s="37" t="e">
        <f ca="1"/>
        <v>#N/A</v>
      </c>
      <c r="BM115" s="37" t="e">
        <f ca="1"/>
        <v>#N/A</v>
      </c>
      <c r="BN115" s="40" t="e">
        <f ca="1"/>
        <v>#N/A</v>
      </c>
      <c r="BO115" s="42" t="e">
        <f ca="1"/>
        <v>#N/A</v>
      </c>
      <c r="BP115" s="42" t="e">
        <f ca="1"/>
        <v>#N/A</v>
      </c>
      <c r="BQ115" t="e">
        <f ca="1"/>
        <v>#N/A</v>
      </c>
      <c r="BR115" t="e">
        <f ca="1"/>
        <v>#N/A</v>
      </c>
      <c r="BS115" s="4" t="e">
        <f ca="1"/>
        <v>#N/A</v>
      </c>
      <c r="BT115" s="3" t="e">
        <f ca="1"/>
        <v>#N/A</v>
      </c>
      <c r="BU115" t="e">
        <f ca="1"/>
        <v>#N/A</v>
      </c>
      <c r="BV115" s="3" t="e">
        <f ca="1"/>
        <v>#N/A</v>
      </c>
      <c r="BW115" s="3" t="e">
        <f ca="1"/>
        <v>#N/A</v>
      </c>
      <c r="BX115" s="45" t="e">
        <f ca="1"/>
        <v>#N/A</v>
      </c>
      <c r="BY115" s="3" t="e">
        <f ca="1"/>
        <v>#N/A</v>
      </c>
      <c r="BZ115" s="3" t="e">
        <f ca="1"/>
        <v>#N/A</v>
      </c>
      <c r="CA115" t="e">
        <f ca="1"/>
        <v>#N/A</v>
      </c>
      <c r="CB115" s="4" t="e">
        <f ca="1"/>
        <v>#N/A</v>
      </c>
      <c r="CC115" s="4" t="e">
        <f ca="1"/>
        <v>#N/A</v>
      </c>
      <c r="CD115" s="4" t="e">
        <f ca="1"/>
        <v>#N/A</v>
      </c>
      <c r="CE115" t="e">
        <f ca="1"/>
        <v>#N/A</v>
      </c>
      <c r="CF115" t="e">
        <f ca="1"/>
        <v>#N/A</v>
      </c>
      <c r="CG115" t="e">
        <f ca="1"/>
        <v>#N/A</v>
      </c>
      <c r="CH115" t="e">
        <f ca="1"/>
        <v>#N/A</v>
      </c>
      <c r="CI115" t="e">
        <f ca="1"/>
        <v>#N/A</v>
      </c>
      <c r="CJ115" t="e">
        <f ca="1"/>
        <v>#N/A</v>
      </c>
      <c r="CK115" t="e">
        <f ca="1"/>
        <v>#N/A</v>
      </c>
      <c r="CL115" t="e">
        <f ca="1"/>
        <v>#N/A</v>
      </c>
      <c r="CM115" t="e">
        <f ca="1"/>
        <v>#N/A</v>
      </c>
      <c r="CN115" t="e">
        <f ca="1"/>
        <v>#N/A</v>
      </c>
    </row>
    <row r="116" spans="2:92" x14ac:dyDescent="0.25">
      <c r="B116" t="e">
        <f ca="1"/>
        <v>#N/A</v>
      </c>
      <c r="C116" s="37" t="e">
        <f ca="1"/>
        <v>#N/A</v>
      </c>
      <c r="D116" s="37" t="e">
        <f ca="1"/>
        <v>#N/A</v>
      </c>
      <c r="E116" s="35" t="e">
        <f ca="1"/>
        <v>#N/A</v>
      </c>
      <c r="F116" s="35" t="e">
        <f ca="1"/>
        <v>#N/A</v>
      </c>
      <c r="G116" s="35" t="e">
        <f ca="1"/>
        <v>#N/A</v>
      </c>
      <c r="H116" s="35" t="e">
        <f ca="1"/>
        <v>#N/A</v>
      </c>
      <c r="I116" s="35" t="e">
        <f ca="1"/>
        <v>#N/A</v>
      </c>
      <c r="J116" s="35" t="e">
        <f ca="1"/>
        <v>#N/A</v>
      </c>
      <c r="K116" s="35" t="e">
        <f ca="1"/>
        <v>#N/A</v>
      </c>
      <c r="L116" s="35" t="e">
        <f ca="1"/>
        <v>#N/A</v>
      </c>
      <c r="M116" s="35" t="e">
        <f ca="1"/>
        <v>#N/A</v>
      </c>
      <c r="N116" s="3" t="e">
        <f ca="1"/>
        <v>#N/A</v>
      </c>
      <c r="O116" s="3" t="e">
        <f ca="1"/>
        <v>#N/A</v>
      </c>
      <c r="P116" s="3" t="e">
        <f ca="1"/>
        <v>#N/A</v>
      </c>
      <c r="Q116" s="3" t="e">
        <f ca="1"/>
        <v>#N/A</v>
      </c>
      <c r="R116" s="38" t="e">
        <f ca="1"/>
        <v>#N/A</v>
      </c>
      <c r="S116" s="38" t="e">
        <f ca="1"/>
        <v>#N/A</v>
      </c>
      <c r="T116" s="41" t="e">
        <f ca="1"/>
        <v>#N/A</v>
      </c>
      <c r="U116" s="42" t="e">
        <f ca="1"/>
        <v>#N/A</v>
      </c>
      <c r="V116" s="42" t="e">
        <f ca="1"/>
        <v>#N/A</v>
      </c>
      <c r="W116" t="e">
        <f ca="1"/>
        <v>#N/A</v>
      </c>
      <c r="X116" t="e">
        <f ca="1"/>
        <v>#N/A</v>
      </c>
      <c r="Y116" s="4" t="e">
        <f ca="1"/>
        <v>#N/A</v>
      </c>
      <c r="Z116" s="3" t="e">
        <f ca="1"/>
        <v>#N/A</v>
      </c>
      <c r="AA116" t="e">
        <f ca="1"/>
        <v>#N/A</v>
      </c>
      <c r="AB116" s="3" t="e">
        <f ca="1"/>
        <v>#N/A</v>
      </c>
      <c r="AC116" s="3" t="e">
        <f ca="1"/>
        <v>#N/A</v>
      </c>
      <c r="AD116" s="45" t="e">
        <f ca="1"/>
        <v>#N/A</v>
      </c>
      <c r="AE116" s="3" t="e">
        <f ca="1"/>
        <v>#N/A</v>
      </c>
      <c r="AF116" s="3" t="e">
        <f ca="1"/>
        <v>#N/A</v>
      </c>
      <c r="AG116" t="e">
        <f ca="1"/>
        <v>#N/A</v>
      </c>
      <c r="AH116" s="35" t="e">
        <f ca="1"/>
        <v>#N/A</v>
      </c>
      <c r="AI116" s="35" t="e">
        <f ca="1"/>
        <v>#N/A</v>
      </c>
      <c r="AJ116" s="35" t="e">
        <f ca="1"/>
        <v>#N/A</v>
      </c>
      <c r="AK116" s="36" t="e">
        <f ca="1"/>
        <v>#N/A</v>
      </c>
      <c r="AL116" s="36" t="e">
        <f ca="1"/>
        <v>#N/A</v>
      </c>
      <c r="AM116" s="36" t="e">
        <f ca="1"/>
        <v>#N/A</v>
      </c>
      <c r="AN116" s="36" t="e">
        <f ca="1"/>
        <v>#N/A</v>
      </c>
      <c r="AO116" s="37" t="e">
        <f ca="1"/>
        <v>#N/A</v>
      </c>
      <c r="AP116" s="37" t="e">
        <f ca="1"/>
        <v>#N/A</v>
      </c>
      <c r="AQ116" s="41" t="e">
        <f ca="1"/>
        <v>#N/A</v>
      </c>
      <c r="AR116" s="42" t="e">
        <f ca="1"/>
        <v>#N/A</v>
      </c>
      <c r="AS116" s="42" t="e">
        <f ca="1"/>
        <v>#N/A</v>
      </c>
      <c r="AT116" t="e">
        <f ca="1"/>
        <v>#N/A</v>
      </c>
      <c r="AU116" t="e">
        <f ca="1"/>
        <v>#N/A</v>
      </c>
      <c r="AV116" s="4" t="e">
        <f ca="1"/>
        <v>#N/A</v>
      </c>
      <c r="AW116" s="3" t="e">
        <f ca="1"/>
        <v>#N/A</v>
      </c>
      <c r="AX116" t="e">
        <f ca="1"/>
        <v>#N/A</v>
      </c>
      <c r="AY116" s="3" t="e">
        <f ca="1"/>
        <v>#N/A</v>
      </c>
      <c r="AZ116" s="3" t="e">
        <f ca="1"/>
        <v>#N/A</v>
      </c>
      <c r="BA116" s="45" t="e">
        <f ca="1"/>
        <v>#N/A</v>
      </c>
      <c r="BB116" s="3" t="e">
        <f ca="1"/>
        <v>#N/A</v>
      </c>
      <c r="BC116" s="3" t="e">
        <f ca="1"/>
        <v>#N/A</v>
      </c>
      <c r="BD116" t="e">
        <f ca="1"/>
        <v>#N/A</v>
      </c>
      <c r="BE116" s="4" t="e">
        <f ca="1"/>
        <v>#N/A</v>
      </c>
      <c r="BF116" s="4" t="e">
        <f ca="1"/>
        <v>#N/A</v>
      </c>
      <c r="BG116" s="4" t="e">
        <f ca="1"/>
        <v>#N/A</v>
      </c>
      <c r="BH116" s="45" t="e">
        <f ca="1"/>
        <v>#N/A</v>
      </c>
      <c r="BI116" s="45" t="e">
        <f ca="1"/>
        <v>#N/A</v>
      </c>
      <c r="BJ116" s="45" t="e">
        <f ca="1"/>
        <v>#N/A</v>
      </c>
      <c r="BK116" s="45" t="e">
        <f ca="1"/>
        <v>#N/A</v>
      </c>
      <c r="BL116" s="37" t="e">
        <f ca="1"/>
        <v>#N/A</v>
      </c>
      <c r="BM116" s="37" t="e">
        <f ca="1"/>
        <v>#N/A</v>
      </c>
      <c r="BN116" s="40" t="e">
        <f ca="1"/>
        <v>#N/A</v>
      </c>
      <c r="BO116" s="42" t="e">
        <f ca="1"/>
        <v>#N/A</v>
      </c>
      <c r="BP116" s="42" t="e">
        <f ca="1"/>
        <v>#N/A</v>
      </c>
      <c r="BQ116" t="e">
        <f ca="1"/>
        <v>#N/A</v>
      </c>
      <c r="BR116" t="e">
        <f ca="1"/>
        <v>#N/A</v>
      </c>
      <c r="BS116" s="4" t="e">
        <f ca="1"/>
        <v>#N/A</v>
      </c>
      <c r="BT116" s="3" t="e">
        <f ca="1"/>
        <v>#N/A</v>
      </c>
      <c r="BU116" t="e">
        <f ca="1"/>
        <v>#N/A</v>
      </c>
      <c r="BV116" s="3" t="e">
        <f ca="1"/>
        <v>#N/A</v>
      </c>
      <c r="BW116" s="3" t="e">
        <f ca="1"/>
        <v>#N/A</v>
      </c>
      <c r="BX116" s="45" t="e">
        <f ca="1"/>
        <v>#N/A</v>
      </c>
      <c r="BY116" s="3" t="e">
        <f ca="1"/>
        <v>#N/A</v>
      </c>
      <c r="BZ116" s="3" t="e">
        <f ca="1"/>
        <v>#N/A</v>
      </c>
      <c r="CA116" t="e">
        <f ca="1"/>
        <v>#N/A</v>
      </c>
      <c r="CB116" s="4" t="e">
        <f ca="1"/>
        <v>#N/A</v>
      </c>
      <c r="CC116" s="4" t="e">
        <f ca="1"/>
        <v>#N/A</v>
      </c>
      <c r="CD116" s="4" t="e">
        <f ca="1"/>
        <v>#N/A</v>
      </c>
      <c r="CE116" t="e">
        <f ca="1"/>
        <v>#N/A</v>
      </c>
      <c r="CF116" t="e">
        <f ca="1"/>
        <v>#N/A</v>
      </c>
      <c r="CG116" t="e">
        <f ca="1"/>
        <v>#N/A</v>
      </c>
      <c r="CH116" t="e">
        <f ca="1"/>
        <v>#N/A</v>
      </c>
      <c r="CI116" t="e">
        <f ca="1"/>
        <v>#N/A</v>
      </c>
      <c r="CJ116" t="e">
        <f ca="1"/>
        <v>#N/A</v>
      </c>
      <c r="CK116" t="e">
        <f ca="1"/>
        <v>#N/A</v>
      </c>
      <c r="CL116" t="e">
        <f ca="1"/>
        <v>#N/A</v>
      </c>
      <c r="CM116" t="e">
        <f ca="1"/>
        <v>#N/A</v>
      </c>
      <c r="CN116" t="e">
        <f ca="1"/>
        <v>#N/A</v>
      </c>
    </row>
    <row r="117" spans="2:92" x14ac:dyDescent="0.25">
      <c r="B117" t="e">
        <f ca="1"/>
        <v>#N/A</v>
      </c>
      <c r="C117" s="37" t="e">
        <f ca="1"/>
        <v>#N/A</v>
      </c>
      <c r="D117" s="37" t="e">
        <f ca="1"/>
        <v>#N/A</v>
      </c>
      <c r="E117" s="35" t="e">
        <f ca="1"/>
        <v>#N/A</v>
      </c>
      <c r="F117" s="35" t="e">
        <f ca="1"/>
        <v>#N/A</v>
      </c>
      <c r="G117" s="35" t="e">
        <f ca="1"/>
        <v>#N/A</v>
      </c>
      <c r="H117" s="35" t="e">
        <f ca="1"/>
        <v>#N/A</v>
      </c>
      <c r="I117" s="35" t="e">
        <f ca="1"/>
        <v>#N/A</v>
      </c>
      <c r="J117" s="35" t="e">
        <f ca="1"/>
        <v>#N/A</v>
      </c>
      <c r="K117" s="35" t="e">
        <f ca="1"/>
        <v>#N/A</v>
      </c>
      <c r="L117" s="35" t="e">
        <f ca="1"/>
        <v>#N/A</v>
      </c>
      <c r="M117" s="35" t="e">
        <f ca="1"/>
        <v>#N/A</v>
      </c>
      <c r="N117" s="3" t="e">
        <f ca="1"/>
        <v>#N/A</v>
      </c>
      <c r="O117" s="3" t="e">
        <f ca="1"/>
        <v>#N/A</v>
      </c>
      <c r="P117" s="3" t="e">
        <f ca="1"/>
        <v>#N/A</v>
      </c>
      <c r="Q117" s="3" t="e">
        <f ca="1"/>
        <v>#N/A</v>
      </c>
      <c r="R117" s="38" t="e">
        <f ca="1"/>
        <v>#N/A</v>
      </c>
      <c r="S117" s="38" t="e">
        <f ca="1"/>
        <v>#N/A</v>
      </c>
      <c r="T117" s="41" t="e">
        <f ca="1"/>
        <v>#N/A</v>
      </c>
      <c r="U117" s="42" t="e">
        <f ca="1"/>
        <v>#N/A</v>
      </c>
      <c r="V117" s="42" t="e">
        <f ca="1"/>
        <v>#N/A</v>
      </c>
      <c r="W117" t="e">
        <f ca="1"/>
        <v>#N/A</v>
      </c>
      <c r="X117" t="e">
        <f ca="1"/>
        <v>#N/A</v>
      </c>
      <c r="Y117" s="4" t="e">
        <f ca="1"/>
        <v>#N/A</v>
      </c>
      <c r="Z117" s="3" t="e">
        <f ca="1"/>
        <v>#N/A</v>
      </c>
      <c r="AA117" t="e">
        <f ca="1"/>
        <v>#N/A</v>
      </c>
      <c r="AB117" s="3" t="e">
        <f ca="1"/>
        <v>#N/A</v>
      </c>
      <c r="AC117" s="3" t="e">
        <f ca="1"/>
        <v>#N/A</v>
      </c>
      <c r="AD117" s="45" t="e">
        <f ca="1"/>
        <v>#N/A</v>
      </c>
      <c r="AE117" s="3" t="e">
        <f ca="1"/>
        <v>#N/A</v>
      </c>
      <c r="AF117" s="3" t="e">
        <f ca="1"/>
        <v>#N/A</v>
      </c>
      <c r="AG117" t="e">
        <f ca="1"/>
        <v>#N/A</v>
      </c>
      <c r="AH117" s="35" t="e">
        <f ca="1"/>
        <v>#N/A</v>
      </c>
      <c r="AI117" s="35" t="e">
        <f ca="1"/>
        <v>#N/A</v>
      </c>
      <c r="AJ117" s="35" t="e">
        <f ca="1"/>
        <v>#N/A</v>
      </c>
      <c r="AK117" s="36" t="e">
        <f ca="1"/>
        <v>#N/A</v>
      </c>
      <c r="AL117" s="36" t="e">
        <f ca="1"/>
        <v>#N/A</v>
      </c>
      <c r="AM117" s="36" t="e">
        <f ca="1"/>
        <v>#N/A</v>
      </c>
      <c r="AN117" s="36" t="e">
        <f ca="1"/>
        <v>#N/A</v>
      </c>
      <c r="AO117" s="37" t="e">
        <f ca="1"/>
        <v>#N/A</v>
      </c>
      <c r="AP117" s="37" t="e">
        <f ca="1"/>
        <v>#N/A</v>
      </c>
      <c r="AQ117" s="41" t="e">
        <f ca="1"/>
        <v>#N/A</v>
      </c>
      <c r="AR117" s="42" t="e">
        <f ca="1"/>
        <v>#N/A</v>
      </c>
      <c r="AS117" s="42" t="e">
        <f ca="1"/>
        <v>#N/A</v>
      </c>
      <c r="AT117" t="e">
        <f ca="1"/>
        <v>#N/A</v>
      </c>
      <c r="AU117" t="e">
        <f ca="1"/>
        <v>#N/A</v>
      </c>
      <c r="AV117" s="4" t="e">
        <f ca="1"/>
        <v>#N/A</v>
      </c>
      <c r="AW117" s="3" t="e">
        <f ca="1"/>
        <v>#N/A</v>
      </c>
      <c r="AX117" t="e">
        <f ca="1"/>
        <v>#N/A</v>
      </c>
      <c r="AY117" s="3" t="e">
        <f ca="1"/>
        <v>#N/A</v>
      </c>
      <c r="AZ117" s="3" t="e">
        <f ca="1"/>
        <v>#N/A</v>
      </c>
      <c r="BA117" s="45" t="e">
        <f ca="1"/>
        <v>#N/A</v>
      </c>
      <c r="BB117" s="3" t="e">
        <f ca="1"/>
        <v>#N/A</v>
      </c>
      <c r="BC117" s="3" t="e">
        <f ca="1"/>
        <v>#N/A</v>
      </c>
      <c r="BD117" t="e">
        <f ca="1"/>
        <v>#N/A</v>
      </c>
      <c r="BE117" s="4" t="e">
        <f ca="1"/>
        <v>#N/A</v>
      </c>
      <c r="BF117" s="4" t="e">
        <f ca="1"/>
        <v>#N/A</v>
      </c>
      <c r="BG117" s="4" t="e">
        <f ca="1"/>
        <v>#N/A</v>
      </c>
      <c r="BH117" s="45" t="e">
        <f ca="1"/>
        <v>#N/A</v>
      </c>
      <c r="BI117" s="45" t="e">
        <f ca="1"/>
        <v>#N/A</v>
      </c>
      <c r="BJ117" s="45" t="e">
        <f ca="1"/>
        <v>#N/A</v>
      </c>
      <c r="BK117" s="45" t="e">
        <f ca="1"/>
        <v>#N/A</v>
      </c>
      <c r="BL117" s="37" t="e">
        <f ca="1"/>
        <v>#N/A</v>
      </c>
      <c r="BM117" s="37" t="e">
        <f ca="1"/>
        <v>#N/A</v>
      </c>
      <c r="BN117" s="40" t="e">
        <f ca="1"/>
        <v>#N/A</v>
      </c>
      <c r="BO117" s="42" t="e">
        <f ca="1"/>
        <v>#N/A</v>
      </c>
      <c r="BP117" s="42" t="e">
        <f ca="1"/>
        <v>#N/A</v>
      </c>
      <c r="BQ117" t="e">
        <f ca="1"/>
        <v>#N/A</v>
      </c>
      <c r="BR117" t="e">
        <f ca="1"/>
        <v>#N/A</v>
      </c>
      <c r="BS117" s="4" t="e">
        <f ca="1"/>
        <v>#N/A</v>
      </c>
      <c r="BT117" s="3" t="e">
        <f ca="1"/>
        <v>#N/A</v>
      </c>
      <c r="BU117" t="e">
        <f ca="1"/>
        <v>#N/A</v>
      </c>
      <c r="BV117" s="3" t="e">
        <f ca="1"/>
        <v>#N/A</v>
      </c>
      <c r="BW117" s="3" t="e">
        <f ca="1"/>
        <v>#N/A</v>
      </c>
      <c r="BX117" s="45" t="e">
        <f ca="1"/>
        <v>#N/A</v>
      </c>
      <c r="BY117" s="3" t="e">
        <f ca="1"/>
        <v>#N/A</v>
      </c>
      <c r="BZ117" s="3" t="e">
        <f ca="1"/>
        <v>#N/A</v>
      </c>
      <c r="CA117" t="e">
        <f ca="1"/>
        <v>#N/A</v>
      </c>
      <c r="CB117" s="4" t="e">
        <f ca="1"/>
        <v>#N/A</v>
      </c>
      <c r="CC117" s="4" t="e">
        <f ca="1"/>
        <v>#N/A</v>
      </c>
      <c r="CD117" s="4" t="e">
        <f ca="1"/>
        <v>#N/A</v>
      </c>
      <c r="CE117" t="e">
        <f ca="1"/>
        <v>#N/A</v>
      </c>
      <c r="CF117" t="e">
        <f ca="1"/>
        <v>#N/A</v>
      </c>
      <c r="CG117" t="e">
        <f ca="1"/>
        <v>#N/A</v>
      </c>
      <c r="CH117" t="e">
        <f ca="1"/>
        <v>#N/A</v>
      </c>
      <c r="CI117" t="e">
        <f ca="1"/>
        <v>#N/A</v>
      </c>
      <c r="CJ117" t="e">
        <f ca="1"/>
        <v>#N/A</v>
      </c>
      <c r="CK117" t="e">
        <f ca="1"/>
        <v>#N/A</v>
      </c>
      <c r="CL117" t="e">
        <f ca="1"/>
        <v>#N/A</v>
      </c>
      <c r="CM117" t="e">
        <f ca="1"/>
        <v>#N/A</v>
      </c>
      <c r="CN117" t="e">
        <f ca="1"/>
        <v>#N/A</v>
      </c>
    </row>
    <row r="118" spans="2:92" x14ac:dyDescent="0.25">
      <c r="B118" t="e">
        <f ca="1"/>
        <v>#N/A</v>
      </c>
      <c r="C118" s="37" t="e">
        <f ca="1"/>
        <v>#N/A</v>
      </c>
      <c r="D118" s="37" t="e">
        <f ca="1"/>
        <v>#N/A</v>
      </c>
      <c r="E118" s="35" t="e">
        <f ca="1"/>
        <v>#N/A</v>
      </c>
      <c r="F118" s="35" t="e">
        <f ca="1"/>
        <v>#N/A</v>
      </c>
      <c r="G118" s="35" t="e">
        <f ca="1"/>
        <v>#N/A</v>
      </c>
      <c r="H118" s="35" t="e">
        <f ca="1"/>
        <v>#N/A</v>
      </c>
      <c r="I118" s="35" t="e">
        <f ca="1"/>
        <v>#N/A</v>
      </c>
      <c r="J118" s="35" t="e">
        <f ca="1"/>
        <v>#N/A</v>
      </c>
      <c r="K118" s="35" t="e">
        <f ca="1"/>
        <v>#N/A</v>
      </c>
      <c r="L118" s="35" t="e">
        <f ca="1"/>
        <v>#N/A</v>
      </c>
      <c r="M118" s="35" t="e">
        <f ca="1"/>
        <v>#N/A</v>
      </c>
      <c r="N118" s="3" t="e">
        <f ca="1"/>
        <v>#N/A</v>
      </c>
      <c r="O118" s="3" t="e">
        <f ca="1"/>
        <v>#N/A</v>
      </c>
      <c r="P118" s="3" t="e">
        <f ca="1"/>
        <v>#N/A</v>
      </c>
      <c r="Q118" s="3" t="e">
        <f ca="1"/>
        <v>#N/A</v>
      </c>
      <c r="R118" s="38" t="e">
        <f ca="1"/>
        <v>#N/A</v>
      </c>
      <c r="S118" s="38" t="e">
        <f ca="1"/>
        <v>#N/A</v>
      </c>
      <c r="T118" s="41" t="e">
        <f ca="1"/>
        <v>#N/A</v>
      </c>
      <c r="U118" s="42" t="e">
        <f ca="1"/>
        <v>#N/A</v>
      </c>
      <c r="V118" s="42" t="e">
        <f ca="1"/>
        <v>#N/A</v>
      </c>
      <c r="W118" t="e">
        <f ca="1"/>
        <v>#N/A</v>
      </c>
      <c r="X118" t="e">
        <f ca="1"/>
        <v>#N/A</v>
      </c>
      <c r="Y118" s="4" t="e">
        <f ca="1"/>
        <v>#N/A</v>
      </c>
      <c r="Z118" s="3" t="e">
        <f ca="1"/>
        <v>#N/A</v>
      </c>
      <c r="AA118" t="e">
        <f ca="1"/>
        <v>#N/A</v>
      </c>
      <c r="AB118" s="3" t="e">
        <f ca="1"/>
        <v>#N/A</v>
      </c>
      <c r="AC118" s="3" t="e">
        <f ca="1"/>
        <v>#N/A</v>
      </c>
      <c r="AD118" s="45" t="e">
        <f ca="1"/>
        <v>#N/A</v>
      </c>
      <c r="AE118" s="3" t="e">
        <f ca="1"/>
        <v>#N/A</v>
      </c>
      <c r="AF118" s="3" t="e">
        <f ca="1"/>
        <v>#N/A</v>
      </c>
      <c r="AG118" t="e">
        <f ca="1"/>
        <v>#N/A</v>
      </c>
      <c r="AH118" s="35" t="e">
        <f ca="1"/>
        <v>#N/A</v>
      </c>
      <c r="AI118" s="35" t="e">
        <f ca="1"/>
        <v>#N/A</v>
      </c>
      <c r="AJ118" s="35" t="e">
        <f ca="1"/>
        <v>#N/A</v>
      </c>
      <c r="AK118" s="36" t="e">
        <f ca="1"/>
        <v>#N/A</v>
      </c>
      <c r="AL118" s="36" t="e">
        <f ca="1"/>
        <v>#N/A</v>
      </c>
      <c r="AM118" s="36" t="e">
        <f ca="1"/>
        <v>#N/A</v>
      </c>
      <c r="AN118" s="36" t="e">
        <f ca="1"/>
        <v>#N/A</v>
      </c>
      <c r="AO118" s="37" t="e">
        <f ca="1"/>
        <v>#N/A</v>
      </c>
      <c r="AP118" s="37" t="e">
        <f ca="1"/>
        <v>#N/A</v>
      </c>
      <c r="AQ118" s="41" t="e">
        <f ca="1"/>
        <v>#N/A</v>
      </c>
      <c r="AR118" s="42" t="e">
        <f ca="1"/>
        <v>#N/A</v>
      </c>
      <c r="AS118" s="42" t="e">
        <f ca="1"/>
        <v>#N/A</v>
      </c>
      <c r="AT118" t="e">
        <f ca="1"/>
        <v>#N/A</v>
      </c>
      <c r="AU118" t="e">
        <f ca="1"/>
        <v>#N/A</v>
      </c>
      <c r="AV118" s="4" t="e">
        <f ca="1"/>
        <v>#N/A</v>
      </c>
      <c r="AW118" s="3" t="e">
        <f ca="1"/>
        <v>#N/A</v>
      </c>
      <c r="AX118" t="e">
        <f ca="1"/>
        <v>#N/A</v>
      </c>
      <c r="AY118" s="3" t="e">
        <f ca="1"/>
        <v>#N/A</v>
      </c>
      <c r="AZ118" s="3" t="e">
        <f ca="1"/>
        <v>#N/A</v>
      </c>
      <c r="BA118" s="45" t="e">
        <f ca="1"/>
        <v>#N/A</v>
      </c>
      <c r="BB118" s="3" t="e">
        <f ca="1"/>
        <v>#N/A</v>
      </c>
      <c r="BC118" s="3" t="e">
        <f ca="1"/>
        <v>#N/A</v>
      </c>
      <c r="BD118" t="e">
        <f ca="1"/>
        <v>#N/A</v>
      </c>
      <c r="BE118" s="4" t="e">
        <f ca="1"/>
        <v>#N/A</v>
      </c>
      <c r="BF118" s="4" t="e">
        <f ca="1"/>
        <v>#N/A</v>
      </c>
      <c r="BG118" s="4" t="e">
        <f ca="1"/>
        <v>#N/A</v>
      </c>
      <c r="BH118" s="45" t="e">
        <f ca="1"/>
        <v>#N/A</v>
      </c>
      <c r="BI118" s="45" t="e">
        <f ca="1"/>
        <v>#N/A</v>
      </c>
      <c r="BJ118" s="45" t="e">
        <f ca="1"/>
        <v>#N/A</v>
      </c>
      <c r="BK118" s="45" t="e">
        <f ca="1"/>
        <v>#N/A</v>
      </c>
      <c r="BL118" s="37" t="e">
        <f ca="1"/>
        <v>#N/A</v>
      </c>
      <c r="BM118" s="37" t="e">
        <f ca="1"/>
        <v>#N/A</v>
      </c>
      <c r="BN118" s="40" t="e">
        <f ca="1"/>
        <v>#N/A</v>
      </c>
      <c r="BO118" s="42" t="e">
        <f ca="1"/>
        <v>#N/A</v>
      </c>
      <c r="BP118" s="42" t="e">
        <f ca="1"/>
        <v>#N/A</v>
      </c>
      <c r="BQ118" t="e">
        <f ca="1"/>
        <v>#N/A</v>
      </c>
      <c r="BR118" t="e">
        <f ca="1"/>
        <v>#N/A</v>
      </c>
      <c r="BS118" s="4" t="e">
        <f ca="1"/>
        <v>#N/A</v>
      </c>
      <c r="BT118" s="3" t="e">
        <f ca="1"/>
        <v>#N/A</v>
      </c>
      <c r="BU118" t="e">
        <f ca="1"/>
        <v>#N/A</v>
      </c>
      <c r="BV118" s="3" t="e">
        <f ca="1"/>
        <v>#N/A</v>
      </c>
      <c r="BW118" s="3" t="e">
        <f ca="1"/>
        <v>#N/A</v>
      </c>
      <c r="BX118" s="45" t="e">
        <f ca="1"/>
        <v>#N/A</v>
      </c>
      <c r="BY118" s="3" t="e">
        <f ca="1"/>
        <v>#N/A</v>
      </c>
      <c r="BZ118" s="3" t="e">
        <f ca="1"/>
        <v>#N/A</v>
      </c>
      <c r="CA118" t="e">
        <f ca="1"/>
        <v>#N/A</v>
      </c>
      <c r="CB118" s="4" t="e">
        <f ca="1"/>
        <v>#N/A</v>
      </c>
      <c r="CC118" s="4" t="e">
        <f ca="1"/>
        <v>#N/A</v>
      </c>
      <c r="CD118" s="4" t="e">
        <f ca="1"/>
        <v>#N/A</v>
      </c>
      <c r="CE118" t="e">
        <f ca="1"/>
        <v>#N/A</v>
      </c>
      <c r="CF118" t="e">
        <f ca="1"/>
        <v>#N/A</v>
      </c>
      <c r="CG118" t="e">
        <f ca="1"/>
        <v>#N/A</v>
      </c>
      <c r="CH118" t="e">
        <f ca="1"/>
        <v>#N/A</v>
      </c>
      <c r="CI118" t="e">
        <f ca="1"/>
        <v>#N/A</v>
      </c>
      <c r="CJ118" t="e">
        <f ca="1"/>
        <v>#N/A</v>
      </c>
      <c r="CK118" t="e">
        <f ca="1"/>
        <v>#N/A</v>
      </c>
      <c r="CL118" t="e">
        <f ca="1"/>
        <v>#N/A</v>
      </c>
      <c r="CM118" t="e">
        <f ca="1"/>
        <v>#N/A</v>
      </c>
      <c r="CN118" t="e">
        <f ca="1"/>
        <v>#N/A</v>
      </c>
    </row>
    <row r="119" spans="2:92" x14ac:dyDescent="0.25">
      <c r="B119" t="e">
        <f ca="1"/>
        <v>#N/A</v>
      </c>
      <c r="C119" s="37" t="e">
        <f ca="1"/>
        <v>#N/A</v>
      </c>
      <c r="D119" s="37" t="e">
        <f ca="1"/>
        <v>#N/A</v>
      </c>
      <c r="E119" s="35" t="e">
        <f ca="1"/>
        <v>#N/A</v>
      </c>
      <c r="F119" s="35" t="e">
        <f ca="1"/>
        <v>#N/A</v>
      </c>
      <c r="G119" s="35" t="e">
        <f ca="1"/>
        <v>#N/A</v>
      </c>
      <c r="H119" s="35" t="e">
        <f ca="1"/>
        <v>#N/A</v>
      </c>
      <c r="I119" s="35" t="e">
        <f ca="1"/>
        <v>#N/A</v>
      </c>
      <c r="J119" s="35" t="e">
        <f ca="1"/>
        <v>#N/A</v>
      </c>
      <c r="K119" s="35" t="e">
        <f ca="1"/>
        <v>#N/A</v>
      </c>
      <c r="L119" s="35" t="e">
        <f ca="1"/>
        <v>#N/A</v>
      </c>
      <c r="M119" s="35" t="e">
        <f ca="1"/>
        <v>#N/A</v>
      </c>
      <c r="N119" s="3" t="e">
        <f ca="1"/>
        <v>#N/A</v>
      </c>
      <c r="O119" s="3" t="e">
        <f ca="1"/>
        <v>#N/A</v>
      </c>
      <c r="P119" s="3" t="e">
        <f ca="1"/>
        <v>#N/A</v>
      </c>
      <c r="Q119" s="3" t="e">
        <f ca="1"/>
        <v>#N/A</v>
      </c>
      <c r="R119" s="38" t="e">
        <f ca="1"/>
        <v>#N/A</v>
      </c>
      <c r="S119" s="38" t="e">
        <f ca="1"/>
        <v>#N/A</v>
      </c>
      <c r="T119" s="41" t="e">
        <f ca="1"/>
        <v>#N/A</v>
      </c>
      <c r="U119" s="42" t="e">
        <f ca="1"/>
        <v>#N/A</v>
      </c>
      <c r="V119" s="42" t="e">
        <f ca="1"/>
        <v>#N/A</v>
      </c>
      <c r="W119" t="e">
        <f ca="1"/>
        <v>#N/A</v>
      </c>
      <c r="X119" t="e">
        <f ca="1"/>
        <v>#N/A</v>
      </c>
      <c r="Y119" s="4" t="e">
        <f ca="1"/>
        <v>#N/A</v>
      </c>
      <c r="Z119" s="3" t="e">
        <f ca="1"/>
        <v>#N/A</v>
      </c>
      <c r="AA119" t="e">
        <f ca="1"/>
        <v>#N/A</v>
      </c>
      <c r="AB119" s="3" t="e">
        <f ca="1"/>
        <v>#N/A</v>
      </c>
      <c r="AC119" s="3" t="e">
        <f ca="1"/>
        <v>#N/A</v>
      </c>
      <c r="AD119" s="45" t="e">
        <f ca="1"/>
        <v>#N/A</v>
      </c>
      <c r="AE119" s="3" t="e">
        <f ca="1"/>
        <v>#N/A</v>
      </c>
      <c r="AF119" s="3" t="e">
        <f ca="1"/>
        <v>#N/A</v>
      </c>
      <c r="AG119" t="e">
        <f ca="1"/>
        <v>#N/A</v>
      </c>
      <c r="AH119" s="35" t="e">
        <f ca="1"/>
        <v>#N/A</v>
      </c>
      <c r="AI119" s="35" t="e">
        <f ca="1"/>
        <v>#N/A</v>
      </c>
      <c r="AJ119" s="35" t="e">
        <f ca="1"/>
        <v>#N/A</v>
      </c>
      <c r="AK119" s="36" t="e">
        <f ca="1"/>
        <v>#N/A</v>
      </c>
      <c r="AL119" s="36" t="e">
        <f ca="1"/>
        <v>#N/A</v>
      </c>
      <c r="AM119" s="36" t="e">
        <f ca="1"/>
        <v>#N/A</v>
      </c>
      <c r="AN119" s="36" t="e">
        <f ca="1"/>
        <v>#N/A</v>
      </c>
      <c r="AO119" s="37" t="e">
        <f ca="1"/>
        <v>#N/A</v>
      </c>
      <c r="AP119" s="37" t="e">
        <f ca="1"/>
        <v>#N/A</v>
      </c>
      <c r="AQ119" s="41" t="e">
        <f ca="1"/>
        <v>#N/A</v>
      </c>
      <c r="AR119" s="42" t="e">
        <f ca="1"/>
        <v>#N/A</v>
      </c>
      <c r="AS119" s="42" t="e">
        <f ca="1"/>
        <v>#N/A</v>
      </c>
      <c r="AT119" t="e">
        <f ca="1"/>
        <v>#N/A</v>
      </c>
      <c r="AU119" t="e">
        <f ca="1"/>
        <v>#N/A</v>
      </c>
      <c r="AV119" s="4" t="e">
        <f ca="1"/>
        <v>#N/A</v>
      </c>
      <c r="AW119" s="3" t="e">
        <f ca="1"/>
        <v>#N/A</v>
      </c>
      <c r="AX119" t="e">
        <f ca="1"/>
        <v>#N/A</v>
      </c>
      <c r="AY119" s="3" t="e">
        <f ca="1"/>
        <v>#N/A</v>
      </c>
      <c r="AZ119" s="3" t="e">
        <f ca="1"/>
        <v>#N/A</v>
      </c>
      <c r="BA119" s="45" t="e">
        <f ca="1"/>
        <v>#N/A</v>
      </c>
      <c r="BB119" s="3" t="e">
        <f ca="1"/>
        <v>#N/A</v>
      </c>
      <c r="BC119" s="3" t="e">
        <f ca="1"/>
        <v>#N/A</v>
      </c>
      <c r="BD119" t="e">
        <f ca="1"/>
        <v>#N/A</v>
      </c>
      <c r="BE119" s="4" t="e">
        <f ca="1"/>
        <v>#N/A</v>
      </c>
      <c r="BF119" s="4" t="e">
        <f ca="1"/>
        <v>#N/A</v>
      </c>
      <c r="BG119" s="4" t="e">
        <f ca="1"/>
        <v>#N/A</v>
      </c>
      <c r="BH119" s="45" t="e">
        <f ca="1"/>
        <v>#N/A</v>
      </c>
      <c r="BI119" s="45" t="e">
        <f ca="1"/>
        <v>#N/A</v>
      </c>
      <c r="BJ119" s="45" t="e">
        <f ca="1"/>
        <v>#N/A</v>
      </c>
      <c r="BK119" s="45" t="e">
        <f ca="1"/>
        <v>#N/A</v>
      </c>
      <c r="BL119" s="37" t="e">
        <f ca="1"/>
        <v>#N/A</v>
      </c>
      <c r="BM119" s="37" t="e">
        <f ca="1"/>
        <v>#N/A</v>
      </c>
      <c r="BN119" s="40" t="e">
        <f ca="1"/>
        <v>#N/A</v>
      </c>
      <c r="BO119" s="42" t="e">
        <f ca="1"/>
        <v>#N/A</v>
      </c>
      <c r="BP119" s="42" t="e">
        <f ca="1"/>
        <v>#N/A</v>
      </c>
      <c r="BQ119" t="e">
        <f ca="1"/>
        <v>#N/A</v>
      </c>
      <c r="BR119" t="e">
        <f ca="1"/>
        <v>#N/A</v>
      </c>
      <c r="BS119" s="4" t="e">
        <f ca="1"/>
        <v>#N/A</v>
      </c>
      <c r="BT119" s="3" t="e">
        <f ca="1"/>
        <v>#N/A</v>
      </c>
      <c r="BU119" t="e">
        <f ca="1"/>
        <v>#N/A</v>
      </c>
      <c r="BV119" s="3" t="e">
        <f ca="1"/>
        <v>#N/A</v>
      </c>
      <c r="BW119" s="3" t="e">
        <f ca="1"/>
        <v>#N/A</v>
      </c>
      <c r="BX119" s="45" t="e">
        <f ca="1"/>
        <v>#N/A</v>
      </c>
      <c r="BY119" s="3" t="e">
        <f ca="1"/>
        <v>#N/A</v>
      </c>
      <c r="BZ119" s="3" t="e">
        <f ca="1"/>
        <v>#N/A</v>
      </c>
      <c r="CA119" t="e">
        <f ca="1"/>
        <v>#N/A</v>
      </c>
      <c r="CB119" s="4" t="e">
        <f ca="1"/>
        <v>#N/A</v>
      </c>
      <c r="CC119" s="4" t="e">
        <f ca="1"/>
        <v>#N/A</v>
      </c>
      <c r="CD119" s="4" t="e">
        <f ca="1"/>
        <v>#N/A</v>
      </c>
      <c r="CE119" t="e">
        <f ca="1"/>
        <v>#N/A</v>
      </c>
      <c r="CF119" t="e">
        <f ca="1"/>
        <v>#N/A</v>
      </c>
      <c r="CG119" t="e">
        <f ca="1"/>
        <v>#N/A</v>
      </c>
      <c r="CH119" t="e">
        <f ca="1"/>
        <v>#N/A</v>
      </c>
      <c r="CI119" t="e">
        <f ca="1"/>
        <v>#N/A</v>
      </c>
      <c r="CJ119" t="e">
        <f ca="1"/>
        <v>#N/A</v>
      </c>
      <c r="CK119" t="e">
        <f ca="1"/>
        <v>#N/A</v>
      </c>
      <c r="CL119" t="e">
        <f ca="1"/>
        <v>#N/A</v>
      </c>
      <c r="CM119" t="e">
        <f ca="1"/>
        <v>#N/A</v>
      </c>
      <c r="CN119" t="e">
        <f ca="1"/>
        <v>#N/A</v>
      </c>
    </row>
    <row r="120" spans="2:92" x14ac:dyDescent="0.25">
      <c r="B120" t="e">
        <f ca="1"/>
        <v>#N/A</v>
      </c>
      <c r="C120" s="37" t="e">
        <f ca="1"/>
        <v>#N/A</v>
      </c>
      <c r="D120" s="37" t="e">
        <f ca="1"/>
        <v>#N/A</v>
      </c>
      <c r="E120" s="35" t="e">
        <f ca="1"/>
        <v>#N/A</v>
      </c>
      <c r="F120" s="35" t="e">
        <f ca="1"/>
        <v>#N/A</v>
      </c>
      <c r="G120" s="35" t="e">
        <f ca="1"/>
        <v>#N/A</v>
      </c>
      <c r="H120" s="35" t="e">
        <f ca="1"/>
        <v>#N/A</v>
      </c>
      <c r="I120" s="35" t="e">
        <f ca="1"/>
        <v>#N/A</v>
      </c>
      <c r="J120" s="35" t="e">
        <f ca="1"/>
        <v>#N/A</v>
      </c>
      <c r="K120" s="35" t="e">
        <f ca="1"/>
        <v>#N/A</v>
      </c>
      <c r="L120" s="35" t="e">
        <f ca="1"/>
        <v>#N/A</v>
      </c>
      <c r="M120" s="35" t="e">
        <f ca="1"/>
        <v>#N/A</v>
      </c>
      <c r="N120" s="3" t="e">
        <f ca="1"/>
        <v>#N/A</v>
      </c>
      <c r="O120" s="3" t="e">
        <f ca="1"/>
        <v>#N/A</v>
      </c>
      <c r="P120" s="3" t="e">
        <f ca="1"/>
        <v>#N/A</v>
      </c>
      <c r="Q120" s="3" t="e">
        <f ca="1"/>
        <v>#N/A</v>
      </c>
      <c r="R120" s="38" t="e">
        <f ca="1"/>
        <v>#N/A</v>
      </c>
      <c r="S120" s="38" t="e">
        <f ca="1"/>
        <v>#N/A</v>
      </c>
      <c r="T120" s="41" t="e">
        <f ca="1"/>
        <v>#N/A</v>
      </c>
      <c r="U120" s="42" t="e">
        <f ca="1"/>
        <v>#N/A</v>
      </c>
      <c r="V120" s="42" t="e">
        <f ca="1"/>
        <v>#N/A</v>
      </c>
      <c r="W120" t="e">
        <f ca="1"/>
        <v>#N/A</v>
      </c>
      <c r="X120" t="e">
        <f ca="1"/>
        <v>#N/A</v>
      </c>
      <c r="Y120" s="4" t="e">
        <f ca="1"/>
        <v>#N/A</v>
      </c>
      <c r="Z120" s="3" t="e">
        <f ca="1"/>
        <v>#N/A</v>
      </c>
      <c r="AA120" t="e">
        <f ca="1"/>
        <v>#N/A</v>
      </c>
      <c r="AB120" s="3" t="e">
        <f ca="1"/>
        <v>#N/A</v>
      </c>
      <c r="AC120" s="3" t="e">
        <f ca="1"/>
        <v>#N/A</v>
      </c>
      <c r="AD120" s="45" t="e">
        <f ca="1"/>
        <v>#N/A</v>
      </c>
      <c r="AE120" s="3" t="e">
        <f ca="1"/>
        <v>#N/A</v>
      </c>
      <c r="AF120" s="3" t="e">
        <f ca="1"/>
        <v>#N/A</v>
      </c>
      <c r="AG120" t="e">
        <f ca="1"/>
        <v>#N/A</v>
      </c>
      <c r="AH120" s="35" t="e">
        <f ca="1"/>
        <v>#N/A</v>
      </c>
      <c r="AI120" s="35" t="e">
        <f ca="1"/>
        <v>#N/A</v>
      </c>
      <c r="AJ120" s="35" t="e">
        <f ca="1"/>
        <v>#N/A</v>
      </c>
      <c r="AK120" s="36" t="e">
        <f ca="1"/>
        <v>#N/A</v>
      </c>
      <c r="AL120" s="36" t="e">
        <f ca="1"/>
        <v>#N/A</v>
      </c>
      <c r="AM120" s="36" t="e">
        <f ca="1"/>
        <v>#N/A</v>
      </c>
      <c r="AN120" s="36" t="e">
        <f ca="1"/>
        <v>#N/A</v>
      </c>
      <c r="AO120" s="37" t="e">
        <f ca="1"/>
        <v>#N/A</v>
      </c>
      <c r="AP120" s="37" t="e">
        <f ca="1"/>
        <v>#N/A</v>
      </c>
      <c r="AQ120" s="41" t="e">
        <f ca="1"/>
        <v>#N/A</v>
      </c>
      <c r="AR120" s="42" t="e">
        <f ca="1"/>
        <v>#N/A</v>
      </c>
      <c r="AS120" s="42" t="e">
        <f ca="1"/>
        <v>#N/A</v>
      </c>
      <c r="AT120" t="e">
        <f ca="1"/>
        <v>#N/A</v>
      </c>
      <c r="AU120" t="e">
        <f ca="1"/>
        <v>#N/A</v>
      </c>
      <c r="AV120" s="4" t="e">
        <f ca="1"/>
        <v>#N/A</v>
      </c>
      <c r="AW120" s="3" t="e">
        <f ca="1"/>
        <v>#N/A</v>
      </c>
      <c r="AX120" t="e">
        <f ca="1"/>
        <v>#N/A</v>
      </c>
      <c r="AY120" s="3" t="e">
        <f ca="1"/>
        <v>#N/A</v>
      </c>
      <c r="AZ120" s="3" t="e">
        <f ca="1"/>
        <v>#N/A</v>
      </c>
      <c r="BA120" s="45" t="e">
        <f ca="1"/>
        <v>#N/A</v>
      </c>
      <c r="BB120" s="3" t="e">
        <f ca="1"/>
        <v>#N/A</v>
      </c>
      <c r="BC120" s="3" t="e">
        <f ca="1"/>
        <v>#N/A</v>
      </c>
      <c r="BD120" t="e">
        <f ca="1"/>
        <v>#N/A</v>
      </c>
      <c r="BE120" s="4" t="e">
        <f ca="1"/>
        <v>#N/A</v>
      </c>
      <c r="BF120" s="4" t="e">
        <f ca="1"/>
        <v>#N/A</v>
      </c>
      <c r="BG120" s="4" t="e">
        <f ca="1"/>
        <v>#N/A</v>
      </c>
      <c r="BH120" s="45" t="e">
        <f ca="1"/>
        <v>#N/A</v>
      </c>
      <c r="BI120" s="45" t="e">
        <f ca="1"/>
        <v>#N/A</v>
      </c>
      <c r="BJ120" s="45" t="e">
        <f ca="1"/>
        <v>#N/A</v>
      </c>
      <c r="BK120" s="45" t="e">
        <f ca="1"/>
        <v>#N/A</v>
      </c>
      <c r="BL120" s="37" t="e">
        <f ca="1"/>
        <v>#N/A</v>
      </c>
      <c r="BM120" s="37" t="e">
        <f ca="1"/>
        <v>#N/A</v>
      </c>
      <c r="BN120" s="40" t="e">
        <f ca="1"/>
        <v>#N/A</v>
      </c>
      <c r="BO120" s="42" t="e">
        <f ca="1"/>
        <v>#N/A</v>
      </c>
      <c r="BP120" s="42" t="e">
        <f ca="1"/>
        <v>#N/A</v>
      </c>
      <c r="BQ120" t="e">
        <f ca="1"/>
        <v>#N/A</v>
      </c>
      <c r="BR120" t="e">
        <f ca="1"/>
        <v>#N/A</v>
      </c>
      <c r="BS120" s="4" t="e">
        <f ca="1"/>
        <v>#N/A</v>
      </c>
      <c r="BT120" s="3" t="e">
        <f ca="1"/>
        <v>#N/A</v>
      </c>
      <c r="BU120" t="e">
        <f ca="1"/>
        <v>#N/A</v>
      </c>
      <c r="BV120" s="3" t="e">
        <f ca="1"/>
        <v>#N/A</v>
      </c>
      <c r="BW120" s="3" t="e">
        <f ca="1"/>
        <v>#N/A</v>
      </c>
      <c r="BX120" s="45" t="e">
        <f ca="1"/>
        <v>#N/A</v>
      </c>
      <c r="BY120" s="3" t="e">
        <f ca="1"/>
        <v>#N/A</v>
      </c>
      <c r="BZ120" s="3" t="e">
        <f ca="1"/>
        <v>#N/A</v>
      </c>
      <c r="CA120" t="e">
        <f ca="1"/>
        <v>#N/A</v>
      </c>
      <c r="CB120" s="4" t="e">
        <f ca="1"/>
        <v>#N/A</v>
      </c>
      <c r="CC120" s="4" t="e">
        <f ca="1"/>
        <v>#N/A</v>
      </c>
      <c r="CD120" s="4" t="e">
        <f ca="1"/>
        <v>#N/A</v>
      </c>
      <c r="CE120" t="e">
        <f ca="1"/>
        <v>#N/A</v>
      </c>
      <c r="CF120" t="e">
        <f ca="1"/>
        <v>#N/A</v>
      </c>
      <c r="CG120" t="e">
        <f ca="1"/>
        <v>#N/A</v>
      </c>
      <c r="CH120" t="e">
        <f ca="1"/>
        <v>#N/A</v>
      </c>
      <c r="CI120" t="e">
        <f ca="1"/>
        <v>#N/A</v>
      </c>
      <c r="CJ120" t="e">
        <f ca="1"/>
        <v>#N/A</v>
      </c>
      <c r="CK120" t="e">
        <f ca="1"/>
        <v>#N/A</v>
      </c>
      <c r="CL120" t="e">
        <f ca="1"/>
        <v>#N/A</v>
      </c>
      <c r="CM120" t="e">
        <f ca="1"/>
        <v>#N/A</v>
      </c>
      <c r="CN120" t="e">
        <f ca="1"/>
        <v>#N/A</v>
      </c>
    </row>
    <row r="121" spans="2:92" x14ac:dyDescent="0.25">
      <c r="B121" t="e">
        <f ca="1"/>
        <v>#N/A</v>
      </c>
      <c r="C121" s="37" t="e">
        <f ca="1"/>
        <v>#N/A</v>
      </c>
      <c r="D121" s="37" t="e">
        <f ca="1"/>
        <v>#N/A</v>
      </c>
      <c r="E121" s="35" t="e">
        <f ca="1"/>
        <v>#N/A</v>
      </c>
      <c r="F121" s="35" t="e">
        <f ca="1"/>
        <v>#N/A</v>
      </c>
      <c r="G121" s="35" t="e">
        <f ca="1"/>
        <v>#N/A</v>
      </c>
      <c r="H121" s="35" t="e">
        <f ca="1"/>
        <v>#N/A</v>
      </c>
      <c r="I121" s="35" t="e">
        <f ca="1"/>
        <v>#N/A</v>
      </c>
      <c r="J121" s="35" t="e">
        <f ca="1"/>
        <v>#N/A</v>
      </c>
      <c r="K121" s="35" t="e">
        <f ca="1"/>
        <v>#N/A</v>
      </c>
      <c r="L121" s="35" t="e">
        <f ca="1"/>
        <v>#N/A</v>
      </c>
      <c r="M121" s="35" t="e">
        <f ca="1"/>
        <v>#N/A</v>
      </c>
      <c r="N121" s="3" t="e">
        <f ca="1"/>
        <v>#N/A</v>
      </c>
      <c r="O121" s="3" t="e">
        <f ca="1"/>
        <v>#N/A</v>
      </c>
      <c r="P121" s="3" t="e">
        <f ca="1"/>
        <v>#N/A</v>
      </c>
      <c r="Q121" s="3" t="e">
        <f ca="1"/>
        <v>#N/A</v>
      </c>
      <c r="R121" s="38" t="e">
        <f ca="1"/>
        <v>#N/A</v>
      </c>
      <c r="S121" s="38" t="e">
        <f ca="1"/>
        <v>#N/A</v>
      </c>
      <c r="T121" s="41" t="e">
        <f ca="1"/>
        <v>#N/A</v>
      </c>
      <c r="U121" s="42" t="e">
        <f ca="1"/>
        <v>#N/A</v>
      </c>
      <c r="V121" s="42" t="e">
        <f ca="1"/>
        <v>#N/A</v>
      </c>
      <c r="W121" t="e">
        <f ca="1"/>
        <v>#N/A</v>
      </c>
      <c r="X121" t="e">
        <f ca="1"/>
        <v>#N/A</v>
      </c>
      <c r="Y121" s="4" t="e">
        <f ca="1"/>
        <v>#N/A</v>
      </c>
      <c r="Z121" s="3" t="e">
        <f ca="1"/>
        <v>#N/A</v>
      </c>
      <c r="AA121" t="e">
        <f ca="1"/>
        <v>#N/A</v>
      </c>
      <c r="AB121" s="3" t="e">
        <f ca="1"/>
        <v>#N/A</v>
      </c>
      <c r="AC121" s="3" t="e">
        <f ca="1"/>
        <v>#N/A</v>
      </c>
      <c r="AD121" s="45" t="e">
        <f ca="1"/>
        <v>#N/A</v>
      </c>
      <c r="AE121" s="3" t="e">
        <f ca="1"/>
        <v>#N/A</v>
      </c>
      <c r="AF121" s="3" t="e">
        <f ca="1"/>
        <v>#N/A</v>
      </c>
      <c r="AG121" t="e">
        <f ca="1"/>
        <v>#N/A</v>
      </c>
      <c r="AH121" s="35" t="e">
        <f ca="1"/>
        <v>#N/A</v>
      </c>
      <c r="AI121" s="35" t="e">
        <f ca="1"/>
        <v>#N/A</v>
      </c>
      <c r="AJ121" s="35" t="e">
        <f ca="1"/>
        <v>#N/A</v>
      </c>
      <c r="AK121" s="36" t="e">
        <f ca="1"/>
        <v>#N/A</v>
      </c>
      <c r="AL121" s="36" t="e">
        <f ca="1"/>
        <v>#N/A</v>
      </c>
      <c r="AM121" s="36" t="e">
        <f ca="1"/>
        <v>#N/A</v>
      </c>
      <c r="AN121" s="36" t="e">
        <f ca="1"/>
        <v>#N/A</v>
      </c>
      <c r="AO121" s="37" t="e">
        <f ca="1"/>
        <v>#N/A</v>
      </c>
      <c r="AP121" s="37" t="e">
        <f ca="1"/>
        <v>#N/A</v>
      </c>
      <c r="AQ121" s="41" t="e">
        <f ca="1"/>
        <v>#N/A</v>
      </c>
      <c r="AR121" s="42" t="e">
        <f ca="1"/>
        <v>#N/A</v>
      </c>
      <c r="AS121" s="42" t="e">
        <f ca="1"/>
        <v>#N/A</v>
      </c>
      <c r="AT121" t="e">
        <f ca="1"/>
        <v>#N/A</v>
      </c>
      <c r="AU121" t="e">
        <f ca="1"/>
        <v>#N/A</v>
      </c>
      <c r="AV121" s="4" t="e">
        <f ca="1"/>
        <v>#N/A</v>
      </c>
      <c r="AW121" s="3" t="e">
        <f ca="1"/>
        <v>#N/A</v>
      </c>
      <c r="AX121" t="e">
        <f ca="1"/>
        <v>#N/A</v>
      </c>
      <c r="AY121" s="3" t="e">
        <f ca="1"/>
        <v>#N/A</v>
      </c>
      <c r="AZ121" s="3" t="e">
        <f ca="1"/>
        <v>#N/A</v>
      </c>
      <c r="BA121" s="45" t="e">
        <f ca="1"/>
        <v>#N/A</v>
      </c>
      <c r="BB121" s="3" t="e">
        <f ca="1"/>
        <v>#N/A</v>
      </c>
      <c r="BC121" s="3" t="e">
        <f ca="1"/>
        <v>#N/A</v>
      </c>
      <c r="BD121" t="e">
        <f ca="1"/>
        <v>#N/A</v>
      </c>
      <c r="BE121" s="4" t="e">
        <f ca="1"/>
        <v>#N/A</v>
      </c>
      <c r="BF121" s="4" t="e">
        <f ca="1"/>
        <v>#N/A</v>
      </c>
      <c r="BG121" s="4" t="e">
        <f ca="1"/>
        <v>#N/A</v>
      </c>
      <c r="BH121" s="45" t="e">
        <f ca="1"/>
        <v>#N/A</v>
      </c>
      <c r="BI121" s="45" t="e">
        <f ca="1"/>
        <v>#N/A</v>
      </c>
      <c r="BJ121" s="45" t="e">
        <f ca="1"/>
        <v>#N/A</v>
      </c>
      <c r="BK121" s="45" t="e">
        <f ca="1"/>
        <v>#N/A</v>
      </c>
      <c r="BL121" s="37" t="e">
        <f ca="1"/>
        <v>#N/A</v>
      </c>
      <c r="BM121" s="37" t="e">
        <f ca="1"/>
        <v>#N/A</v>
      </c>
      <c r="BN121" s="40" t="e">
        <f ca="1"/>
        <v>#N/A</v>
      </c>
      <c r="BO121" s="42" t="e">
        <f ca="1"/>
        <v>#N/A</v>
      </c>
      <c r="BP121" s="42" t="e">
        <f ca="1"/>
        <v>#N/A</v>
      </c>
      <c r="BQ121" t="e">
        <f ca="1"/>
        <v>#N/A</v>
      </c>
      <c r="BR121" t="e">
        <f ca="1"/>
        <v>#N/A</v>
      </c>
      <c r="BS121" s="4" t="e">
        <f ca="1"/>
        <v>#N/A</v>
      </c>
      <c r="BT121" s="3" t="e">
        <f ca="1"/>
        <v>#N/A</v>
      </c>
      <c r="BU121" t="e">
        <f ca="1"/>
        <v>#N/A</v>
      </c>
      <c r="BV121" s="3" t="e">
        <f ca="1"/>
        <v>#N/A</v>
      </c>
      <c r="BW121" s="3" t="e">
        <f ca="1"/>
        <v>#N/A</v>
      </c>
      <c r="BX121" s="45" t="e">
        <f ca="1"/>
        <v>#N/A</v>
      </c>
      <c r="BY121" s="3" t="e">
        <f ca="1"/>
        <v>#N/A</v>
      </c>
      <c r="BZ121" s="3" t="e">
        <f ca="1"/>
        <v>#N/A</v>
      </c>
      <c r="CA121" t="e">
        <f ca="1"/>
        <v>#N/A</v>
      </c>
      <c r="CB121" s="4" t="e">
        <f ca="1"/>
        <v>#N/A</v>
      </c>
      <c r="CC121" s="4" t="e">
        <f ca="1"/>
        <v>#N/A</v>
      </c>
      <c r="CD121" s="4" t="e">
        <f ca="1"/>
        <v>#N/A</v>
      </c>
      <c r="CE121" t="e">
        <f ca="1"/>
        <v>#N/A</v>
      </c>
      <c r="CF121" t="e">
        <f ca="1"/>
        <v>#N/A</v>
      </c>
      <c r="CG121" t="e">
        <f ca="1"/>
        <v>#N/A</v>
      </c>
      <c r="CH121" t="e">
        <f ca="1"/>
        <v>#N/A</v>
      </c>
      <c r="CI121" t="e">
        <f ca="1"/>
        <v>#N/A</v>
      </c>
      <c r="CJ121" t="e">
        <f ca="1"/>
        <v>#N/A</v>
      </c>
      <c r="CK121" t="e">
        <f ca="1"/>
        <v>#N/A</v>
      </c>
      <c r="CL121" t="e">
        <f ca="1"/>
        <v>#N/A</v>
      </c>
      <c r="CM121" t="e">
        <f ca="1"/>
        <v>#N/A</v>
      </c>
      <c r="CN121" t="e">
        <f ca="1"/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2"/>
  <sheetViews>
    <sheetView showGridLines="0" workbookViewId="0"/>
  </sheetViews>
  <sheetFormatPr defaultRowHeight="15" x14ac:dyDescent="0.25"/>
  <cols>
    <col min="1" max="1" width="4.28515625" customWidth="1"/>
    <col min="2" max="2" width="12.85546875" customWidth="1"/>
    <col min="3" max="3" width="16.140625" customWidth="1"/>
    <col min="4" max="4" width="17.85546875" customWidth="1"/>
    <col min="5" max="5" width="15" customWidth="1"/>
    <col min="8" max="8" width="15.85546875" customWidth="1"/>
    <col min="9" max="9" width="22.140625" customWidth="1"/>
  </cols>
  <sheetData>
    <row r="2" spans="2:9" x14ac:dyDescent="0.25">
      <c r="C2" s="28" t="str">
        <f ca="1">CashflowEngine!E7</f>
        <v>EQUITY:1</v>
      </c>
      <c r="D2" s="28" t="str">
        <f ca="1">CashflowEngine!E8</f>
        <v>MEZZ:1</v>
      </c>
      <c r="E2" s="28" t="str">
        <f ca="1">CashflowEngine!E9</f>
        <v>SENIOR:1</v>
      </c>
      <c r="H2" s="1" t="s">
        <v>92</v>
      </c>
    </row>
    <row r="3" spans="2:9" x14ac:dyDescent="0.25">
      <c r="B3" s="1" t="s">
        <v>91</v>
      </c>
      <c r="C3" s="1" t="s">
        <v>87</v>
      </c>
      <c r="D3" s="1" t="s">
        <v>87</v>
      </c>
      <c r="E3" s="1" t="s">
        <v>87</v>
      </c>
      <c r="H3" s="25" t="s">
        <v>89</v>
      </c>
      <c r="I3" s="58">
        <f ca="1">CashflowEngine!C26</f>
        <v>43858</v>
      </c>
    </row>
    <row r="4" spans="2:9" x14ac:dyDescent="0.25">
      <c r="B4" s="29">
        <v>0</v>
      </c>
      <c r="C4" s="62">
        <f ca="1">_xll.mscTrancheCalculatePV(C$2,$I$5,$I$3,$B4,$I$4)</f>
        <v>1849201.4876063415</v>
      </c>
      <c r="D4" s="62">
        <f ca="1">_xll.mscTrancheCalculatePV(D$2,$I$5,$I$3,$B4,$I$4)</f>
        <v>2000000</v>
      </c>
      <c r="E4" s="62">
        <f ca="1">_xll.mscTrancheCalculatePV(E$2,$I$5,$I$3,$B4,$I$4)</f>
        <v>2897300.7995871655</v>
      </c>
      <c r="H4" s="26" t="s">
        <v>90</v>
      </c>
      <c r="I4" s="57">
        <v>0.01</v>
      </c>
    </row>
    <row r="5" spans="2:9" x14ac:dyDescent="0.25">
      <c r="B5" s="30">
        <v>1</v>
      </c>
      <c r="C5" s="63">
        <f ca="1">_xll.mscTrancheCalculatePV($C$2,$I$5,$I$3,B5,$I$4)</f>
        <v>1705257.843880387</v>
      </c>
      <c r="D5" s="63">
        <f ca="1">_xll.mscTrancheCalculatePV(D$2,$I$5,$I$3,$B5,$I$4)</f>
        <v>2003521.5040471656</v>
      </c>
      <c r="E5" s="63">
        <f ca="1">_xll.mscTrancheCalculatePV(E$2,$I$5,$I$3,$B5,$I$4)</f>
        <v>2904335.3485169359</v>
      </c>
      <c r="H5" s="61" t="s">
        <v>36</v>
      </c>
      <c r="I5" s="28" t="str">
        <f ca="1">CashflowEngine!C22</f>
        <v>CAPITALSTRUCTURE:7</v>
      </c>
    </row>
    <row r="6" spans="2:9" x14ac:dyDescent="0.25">
      <c r="B6" s="30">
        <v>2</v>
      </c>
      <c r="C6" s="63">
        <f ca="1">_xll.mscTrancheCalculatePV($C$2,$I$5,$I$3,B6,$I$4)</f>
        <v>1566108.4536549025</v>
      </c>
      <c r="D6" s="63">
        <f ca="1">_xll.mscTrancheCalculatePV(D$2,$I$5,$I$3,$B6,$I$4)</f>
        <v>2009111.4930289516</v>
      </c>
      <c r="E6" s="63">
        <f ca="1">_xll.mscTrancheCalculatePV(E$2,$I$5,$I$3,$B6,$I$4)</f>
        <v>2914143.6785500539</v>
      </c>
    </row>
    <row r="7" spans="2:9" x14ac:dyDescent="0.25">
      <c r="B7" s="30">
        <v>3</v>
      </c>
      <c r="C7" s="63">
        <f ca="1">_xll.mscTrancheCalculatePV($C$2,$I$5,$I$3,B7,$I$4)</f>
        <v>1430074.5371112553</v>
      </c>
      <c r="D7" s="63">
        <f ca="1">_xll.mscTrancheCalculatePV(D$2,$I$5,$I$3,$B7,$I$4)</f>
        <v>2015216.6080074897</v>
      </c>
      <c r="E7" s="63">
        <f ca="1">_xll.mscTrancheCalculatePV(E$2,$I$5,$I$3,$B7,$I$4)</f>
        <v>2924348.3546617259</v>
      </c>
    </row>
    <row r="8" spans="2:9" x14ac:dyDescent="0.25">
      <c r="B8" s="30">
        <v>4</v>
      </c>
      <c r="C8" s="63">
        <f ca="1">_xll.mscTrancheCalculatePV($C$2,$I$5,$I$3,B8,$I$4)</f>
        <v>1296637.2826499057</v>
      </c>
      <c r="D8" s="63">
        <f ca="1">_xll.mscTrancheCalculatePV(D$2,$I$5,$I$3,$B8,$I$4)</f>
        <v>2021327.0469776725</v>
      </c>
      <c r="E8" s="63">
        <f ca="1">_xll.mscTrancheCalculatePV(E$2,$I$5,$I$3,$B8,$I$4)</f>
        <v>2934215.6919521983</v>
      </c>
    </row>
    <row r="9" spans="2:9" x14ac:dyDescent="0.25">
      <c r="B9" s="30">
        <v>5</v>
      </c>
      <c r="C9" s="63">
        <f ca="1">_xll.mscTrancheCalculatePV($C$2,$I$5,$I$3,B9,$I$4)</f>
        <v>1165933.914238828</v>
      </c>
      <c r="D9" s="63">
        <f ca="1">_xll.mscTrancheCalculatePV(D$2,$I$5,$I$3,$B9,$I$4)</f>
        <v>2027702.2899844006</v>
      </c>
      <c r="E9" s="63">
        <f ca="1">_xll.mscTrancheCalculatePV(E$2,$I$5,$I$3,$B9,$I$4)</f>
        <v>2944087.5484945821</v>
      </c>
    </row>
    <row r="10" spans="2:9" x14ac:dyDescent="0.25">
      <c r="B10" s="30">
        <v>6</v>
      </c>
      <c r="C10" s="63">
        <f ca="1">_xll.mscTrancheCalculatePV($C$2,$I$5,$I$3,B10,$I$4)</f>
        <v>1037553.8328038313</v>
      </c>
      <c r="D10" s="63">
        <f ca="1">_xll.mscTrancheCalculatePV(D$2,$I$5,$I$3,$B10,$I$4)</f>
        <v>2033826.3680359055</v>
      </c>
      <c r="E10" s="63">
        <f ca="1">_xll.mscTrancheCalculatePV(E$2,$I$5,$I$3,$B10,$I$4)</f>
        <v>2953297.998778428</v>
      </c>
    </row>
    <row r="11" spans="2:9" x14ac:dyDescent="0.25">
      <c r="B11" s="30">
        <v>7</v>
      </c>
      <c r="C11" s="63">
        <f ca="1">_xll.mscTrancheCalculatePV($C$2,$I$5,$I$3,B11,$I$4)</f>
        <v>912079.9362468652</v>
      </c>
      <c r="D11" s="63">
        <f ca="1">_xll.mscTrancheCalculatePV(D$2,$I$5,$I$3,$B11,$I$4)</f>
        <v>2040737.3755695219</v>
      </c>
      <c r="E11" s="63">
        <f ca="1">_xll.mscTrancheCalculatePV(E$2,$I$5,$I$3,$B11,$I$4)</f>
        <v>2963125.3710338734</v>
      </c>
    </row>
    <row r="12" spans="2:9" x14ac:dyDescent="0.25">
      <c r="B12" s="30">
        <v>8</v>
      </c>
      <c r="C12" s="63">
        <f ca="1">_xll.mscTrancheCalculatePV($C$2,$I$5,$I$3,B12,$I$4)</f>
        <v>788450.78419006953</v>
      </c>
      <c r="D12" s="63">
        <f ca="1">_xll.mscTrancheCalculatePV(D$2,$I$5,$I$3,$B12,$I$4)</f>
        <v>2046620.344672658</v>
      </c>
      <c r="E12" s="63">
        <f ca="1">_xll.mscTrancheCalculatePV(E$2,$I$5,$I$3,$B12,$I$4)</f>
        <v>2971401.7080348758</v>
      </c>
    </row>
    <row r="13" spans="2:9" x14ac:dyDescent="0.25">
      <c r="B13" s="30">
        <v>9</v>
      </c>
      <c r="C13" s="63">
        <f ca="1">_xll.mscTrancheCalculatePV($C$2,$I$5,$I$3,B13,$I$4)</f>
        <v>667328.00033528532</v>
      </c>
      <c r="D13" s="63">
        <f ca="1">_xll.mscTrancheCalculatePV(D$2,$I$5,$I$3,$B13,$I$4)</f>
        <v>2052770.8046284304</v>
      </c>
      <c r="E13" s="63">
        <f ca="1">_xll.mscTrancheCalculatePV(E$2,$I$5,$I$3,$B13,$I$4)</f>
        <v>2979665.7460668706</v>
      </c>
    </row>
    <row r="14" spans="2:9" x14ac:dyDescent="0.25">
      <c r="B14" s="30">
        <v>10</v>
      </c>
      <c r="C14" s="63">
        <f ca="1">_xll.mscTrancheCalculatePV($C$2,$I$5,$I$3,B14,$I$4)</f>
        <v>548734.34345000598</v>
      </c>
      <c r="D14" s="63">
        <f ca="1">_xll.mscTrancheCalculatePV(D$2,$I$5,$I$3,$B14,$I$4)</f>
        <v>2059449.7151580793</v>
      </c>
      <c r="E14" s="63">
        <f ca="1">_xll.mscTrancheCalculatePV(E$2,$I$5,$I$3,$B14,$I$4)</f>
        <v>2988175.4671746944</v>
      </c>
    </row>
    <row r="15" spans="2:9" x14ac:dyDescent="0.25">
      <c r="B15" s="30">
        <v>11</v>
      </c>
      <c r="C15" s="63">
        <f ca="1">_xll.mscTrancheCalculatePV($C$2,$I$5,$I$3,B15,$I$4)</f>
        <v>432158.21932421892</v>
      </c>
      <c r="D15" s="63">
        <f ca="1">_xll.mscTrancheCalculatePV(D$2,$I$5,$I$3,$B15,$I$4)</f>
        <v>2065357.2758160685</v>
      </c>
      <c r="E15" s="63">
        <f ca="1">_xll.mscTrancheCalculatePV(E$2,$I$5,$I$3,$B15,$I$4)</f>
        <v>2995562.2804684769</v>
      </c>
    </row>
    <row r="16" spans="2:9" x14ac:dyDescent="0.25">
      <c r="B16" s="30">
        <v>12</v>
      </c>
      <c r="C16" s="63">
        <f ca="1">_xll.mscTrancheCalculatePV($C$2,$I$5,$I$3,B16,$I$4)</f>
        <v>317982.74421016767</v>
      </c>
      <c r="D16" s="63">
        <f ca="1">_xll.mscTrancheCalculatePV(D$2,$I$5,$I$3,$B16,$I$4)</f>
        <v>2071794.3127464934</v>
      </c>
      <c r="E16" s="63">
        <f ca="1">_xll.mscTrancheCalculatePV(E$2,$I$5,$I$3,$B16,$I$4)</f>
        <v>3003168.3605998042</v>
      </c>
    </row>
    <row r="17" spans="2:5" x14ac:dyDescent="0.25">
      <c r="B17" s="30">
        <v>13</v>
      </c>
      <c r="C17" s="63">
        <f ca="1">_xll.mscTrancheCalculatePV($C$2,$I$5,$I$3,B17,$I$4)</f>
        <v>206007.11356975848</v>
      </c>
      <c r="D17" s="63">
        <f ca="1">_xll.mscTrancheCalculatePV(D$2,$I$5,$I$3,$B17,$I$4)</f>
        <v>2078241.6663410277</v>
      </c>
      <c r="E17" s="63">
        <f ca="1">_xll.mscTrancheCalculatePV(E$2,$I$5,$I$3,$B17,$I$4)</f>
        <v>3010467.772416967</v>
      </c>
    </row>
    <row r="18" spans="2:5" x14ac:dyDescent="0.25">
      <c r="B18" s="30">
        <v>14</v>
      </c>
      <c r="C18" s="63">
        <f ca="1">_xll.mscTrancheCalculatePV($C$2,$I$5,$I$3,B18,$I$4)</f>
        <v>96089.553990020606</v>
      </c>
      <c r="D18" s="63">
        <f ca="1">_xll.mscTrancheCalculatePV(D$2,$I$5,$I$3,$B18,$I$4)</f>
        <v>2083916.4306732987</v>
      </c>
      <c r="E18" s="63">
        <f ca="1">_xll.mscTrancheCalculatePV(E$2,$I$5,$I$3,$B18,$I$4)</f>
        <v>3016767.9931199797</v>
      </c>
    </row>
    <row r="19" spans="2:5" x14ac:dyDescent="0.25">
      <c r="B19" s="30">
        <v>15</v>
      </c>
      <c r="C19" s="63">
        <f ca="1">_xll.mscTrancheCalculatePV($C$2,$I$5,$I$3,B19,$I$4)</f>
        <v>57903.193307729824</v>
      </c>
      <c r="D19" s="63">
        <f ca="1">_xll.mscTrancheCalculatePV(D$2,$I$5,$I$3,$B19,$I$4)</f>
        <v>2020883.4815208344</v>
      </c>
      <c r="E19" s="63">
        <f ca="1">_xll.mscTrancheCalculatePV(E$2,$I$5,$I$3,$B19,$I$4)</f>
        <v>3023465.0131486375</v>
      </c>
    </row>
    <row r="20" spans="2:5" x14ac:dyDescent="0.25">
      <c r="B20" s="30">
        <v>16</v>
      </c>
      <c r="C20" s="63">
        <f ca="1">_xll.mscTrancheCalculatePV($C$2,$I$5,$I$3,B20,$I$4)</f>
        <v>58067.673242476543</v>
      </c>
      <c r="D20" s="63">
        <f ca="1">_xll.mscTrancheCalculatePV(D$2,$I$5,$I$3,$B20,$I$4)</f>
        <v>1921868.8654228307</v>
      </c>
      <c r="E20" s="63">
        <f ca="1">_xll.mscTrancheCalculatePV(E$2,$I$5,$I$3,$B20,$I$4)</f>
        <v>3030078.0269109556</v>
      </c>
    </row>
    <row r="21" spans="2:5" x14ac:dyDescent="0.25">
      <c r="B21" s="30">
        <v>17</v>
      </c>
      <c r="C21" s="63">
        <f ca="1">_xll.mscTrancheCalculatePV($C$2,$I$5,$I$3,B21,$I$4)</f>
        <v>58067.673242476543</v>
      </c>
      <c r="D21" s="63">
        <f ca="1">_xll.mscTrancheCalculatePV(D$2,$I$5,$I$3,$B21,$I$4)</f>
        <v>1824313.5442865873</v>
      </c>
      <c r="E21" s="63">
        <f ca="1">_xll.mscTrancheCalculatePV(E$2,$I$5,$I$3,$B21,$I$4)</f>
        <v>3035789.0168631994</v>
      </c>
    </row>
    <row r="22" spans="2:5" x14ac:dyDescent="0.25">
      <c r="B22" s="30">
        <v>18</v>
      </c>
      <c r="C22" s="63">
        <f ca="1">_xll.mscTrancheCalculatePV($C$2,$I$5,$I$3,B22,$I$4)</f>
        <v>58067.673242476543</v>
      </c>
      <c r="D22" s="63">
        <f ca="1">_xll.mscTrancheCalculatePV(D$2,$I$5,$I$3,$B22,$I$4)</f>
        <v>1729057.1710189455</v>
      </c>
      <c r="E22" s="63">
        <f ca="1">_xll.mscTrancheCalculatePV(E$2,$I$5,$I$3,$B22,$I$4)</f>
        <v>3041421.4636564655</v>
      </c>
    </row>
    <row r="23" spans="2:5" x14ac:dyDescent="0.25">
      <c r="B23" s="30">
        <v>19</v>
      </c>
      <c r="C23" s="63">
        <f ca="1">_xll.mscTrancheCalculatePV($C$2,$I$5,$I$3,B23,$I$4)</f>
        <v>58067.673242476543</v>
      </c>
      <c r="D23" s="63">
        <f ca="1">_xll.mscTrancheCalculatePV(D$2,$I$5,$I$3,$B23,$I$4)</f>
        <v>1636265.5530058013</v>
      </c>
      <c r="E23" s="63">
        <f ca="1">_xll.mscTrancheCalculatePV(E$2,$I$5,$I$3,$B23,$I$4)</f>
        <v>3047137.3853378966</v>
      </c>
    </row>
    <row r="24" spans="2:5" x14ac:dyDescent="0.25">
      <c r="B24" s="30">
        <v>20</v>
      </c>
      <c r="C24" s="63">
        <f ca="1">_xll.mscTrancheCalculatePV($C$2,$I$5,$I$3,B24,$I$4)</f>
        <v>58067.673242476543</v>
      </c>
      <c r="D24" s="63">
        <f ca="1">_xll.mscTrancheCalculatePV(D$2,$I$5,$I$3,$B24,$I$4)</f>
        <v>1545003.6210344951</v>
      </c>
      <c r="E24" s="63">
        <f ca="1">_xll.mscTrancheCalculatePV(E$2,$I$5,$I$3,$B24,$I$4)</f>
        <v>3052222.7448597886</v>
      </c>
    </row>
    <row r="25" spans="2:5" x14ac:dyDescent="0.25">
      <c r="B25" s="30">
        <v>21</v>
      </c>
      <c r="C25" s="63">
        <f ca="1">_xll.mscTrancheCalculatePV($C$2,$I$5,$I$3,B25,$I$4)</f>
        <v>58067.673242476543</v>
      </c>
      <c r="D25" s="63">
        <f ca="1">_xll.mscTrancheCalculatePV(D$2,$I$5,$I$3,$B25,$I$4)</f>
        <v>1455690.3739386799</v>
      </c>
      <c r="E25" s="63">
        <f ca="1">_xll.mscTrancheCalculatePV(E$2,$I$5,$I$3,$B25,$I$4)</f>
        <v>3057038.3277359265</v>
      </c>
    </row>
    <row r="26" spans="2:5" x14ac:dyDescent="0.25">
      <c r="B26" s="30">
        <v>22</v>
      </c>
      <c r="C26" s="63">
        <f ca="1">_xll.mscTrancheCalculatePV($C$2,$I$5,$I$3,B26,$I$4)</f>
        <v>58067.673242476543</v>
      </c>
      <c r="D26" s="63">
        <f ca="1">_xll.mscTrancheCalculatePV(D$2,$I$5,$I$3,$B26,$I$4)</f>
        <v>1368482.0106787987</v>
      </c>
      <c r="E26" s="63">
        <f ca="1">_xll.mscTrancheCalculatePV(E$2,$I$5,$I$3,$B26,$I$4)</f>
        <v>3061735.8222380239</v>
      </c>
    </row>
    <row r="27" spans="2:5" x14ac:dyDescent="0.25">
      <c r="B27" s="30">
        <v>23</v>
      </c>
      <c r="C27" s="63">
        <f ca="1">_xll.mscTrancheCalculatePV($C$2,$I$5,$I$3,B27,$I$4)</f>
        <v>58067.673242476543</v>
      </c>
      <c r="D27" s="63">
        <f ca="1">_xll.mscTrancheCalculatePV(D$2,$I$5,$I$3,$B27,$I$4)</f>
        <v>1282974.0716680773</v>
      </c>
      <c r="E27" s="63">
        <f ca="1">_xll.mscTrancheCalculatePV(E$2,$I$5,$I$3,$B27,$I$4)</f>
        <v>3066019.6023903154</v>
      </c>
    </row>
    <row r="28" spans="2:5" x14ac:dyDescent="0.25">
      <c r="B28" s="30">
        <v>24</v>
      </c>
      <c r="C28" s="63">
        <f ca="1">_xll.mscTrancheCalculatePV($C$2,$I$5,$I$3,B28,$I$4)</f>
        <v>58067.673242476543</v>
      </c>
      <c r="D28" s="63">
        <f ca="1">_xll.mscTrancheCalculatePV(D$2,$I$5,$I$3,$B28,$I$4)</f>
        <v>1199811.9840416901</v>
      </c>
      <c r="E28" s="63">
        <f ca="1">_xll.mscTrancheCalculatePV(E$2,$I$5,$I$3,$B28,$I$4)</f>
        <v>3070428.8525709249</v>
      </c>
    </row>
    <row r="29" spans="2:5" x14ac:dyDescent="0.25">
      <c r="B29" s="30">
        <v>25</v>
      </c>
      <c r="C29" s="63">
        <f ca="1">_xll.mscTrancheCalculatePV($C$2,$I$5,$I$3,B29,$I$4)</f>
        <v>58067.673242476543</v>
      </c>
      <c r="D29" s="63">
        <f ca="1">_xll.mscTrancheCalculatePV(D$2,$I$5,$I$3,$B29,$I$4)</f>
        <v>1117840.4538374117</v>
      </c>
      <c r="E29" s="63">
        <f ca="1">_xll.mscTrancheCalculatePV(E$2,$I$5,$I$3,$B29,$I$4)</f>
        <v>3074070.3508929401</v>
      </c>
    </row>
    <row r="30" spans="2:5" x14ac:dyDescent="0.25">
      <c r="B30" s="30">
        <v>26</v>
      </c>
      <c r="C30" s="63">
        <f ca="1">_xll.mscTrancheCalculatePV($C$2,$I$5,$I$3,B30,$I$4)</f>
        <v>58067.673242476543</v>
      </c>
      <c r="D30" s="63">
        <f ca="1">_xll.mscTrancheCalculatePV(D$2,$I$5,$I$3,$B30,$I$4)</f>
        <v>1037541.5249548621</v>
      </c>
      <c r="E30" s="63">
        <f ca="1">_xll.mscTrancheCalculatePV(E$2,$I$5,$I$3,$B30,$I$4)</f>
        <v>3077352.508231183</v>
      </c>
    </row>
    <row r="31" spans="2:5" x14ac:dyDescent="0.25">
      <c r="B31" s="30">
        <v>27</v>
      </c>
      <c r="C31" s="63">
        <f ca="1">_xll.mscTrancheCalculatePV($C$2,$I$5,$I$3,B31,$I$4)</f>
        <v>58067.673242476543</v>
      </c>
      <c r="D31" s="63">
        <f ca="1">_xll.mscTrancheCalculatePV(D$2,$I$5,$I$3,$B31,$I$4)</f>
        <v>959933.80746518692</v>
      </c>
      <c r="E31" s="63">
        <f ca="1">_xll.mscTrancheCalculatePV(E$2,$I$5,$I$3,$B31,$I$4)</f>
        <v>3081099.9273371589</v>
      </c>
    </row>
    <row r="32" spans="2:5" x14ac:dyDescent="0.25">
      <c r="B32" s="30">
        <v>28</v>
      </c>
      <c r="C32" s="63">
        <f ca="1">_xll.mscTrancheCalculatePV($C$2,$I$5,$I$3,B32,$I$4)</f>
        <v>58067.673242476543</v>
      </c>
      <c r="D32" s="63">
        <f ca="1">_xll.mscTrancheCalculatePV(D$2,$I$5,$I$3,$B32,$I$4)</f>
        <v>883084.53751374106</v>
      </c>
      <c r="E32" s="63">
        <f ca="1">_xll.mscTrancheCalculatePV(E$2,$I$5,$I$3,$B32,$I$4)</f>
        <v>3083818.5268165153</v>
      </c>
    </row>
    <row r="33" spans="2:5" x14ac:dyDescent="0.25">
      <c r="B33" s="30">
        <v>29</v>
      </c>
      <c r="C33" s="63">
        <f ca="1">_xll.mscTrancheCalculatePV($C$2,$I$5,$I$3,B33,$I$4)</f>
        <v>58067.673242476543</v>
      </c>
      <c r="D33" s="63">
        <f ca="1">_xll.mscTrancheCalculatePV(D$2,$I$5,$I$3,$B33,$I$4)</f>
        <v>808305.82151969546</v>
      </c>
      <c r="E33" s="63">
        <f ca="1">_xll.mscTrancheCalculatePV(E$2,$I$5,$I$3,$B33,$I$4)</f>
        <v>3086556.0211737663</v>
      </c>
    </row>
    <row r="34" spans="2:5" x14ac:dyDescent="0.25">
      <c r="B34" s="30">
        <v>30</v>
      </c>
      <c r="C34" s="63">
        <f ca="1">_xll.mscTrancheCalculatePV($C$2,$I$5,$I$3,B34,$I$4)</f>
        <v>58067.673242476543</v>
      </c>
      <c r="D34" s="63">
        <f ca="1">_xll.mscTrancheCalculatePV(D$2,$I$5,$I$3,$B34,$I$4)</f>
        <v>735222.66797532281</v>
      </c>
      <c r="E34" s="63">
        <f ca="1">_xll.mscTrancheCalculatePV(E$2,$I$5,$I$3,$B34,$I$4)</f>
        <v>3089041.4950287049</v>
      </c>
    </row>
    <row r="35" spans="2:5" x14ac:dyDescent="0.25">
      <c r="B35" s="30">
        <v>31</v>
      </c>
      <c r="C35" s="63">
        <f ca="1">_xll.mscTrancheCalculatePV($C$2,$I$5,$I$3,B35,$I$4)</f>
        <v>58067.673242476543</v>
      </c>
      <c r="D35" s="63">
        <f ca="1">_xll.mscTrancheCalculatePV(D$2,$I$5,$I$3,$B35,$I$4)</f>
        <v>663895.22294590413</v>
      </c>
      <c r="E35" s="63">
        <f ca="1">_xll.mscTrancheCalculatePV(E$2,$I$5,$I$3,$B35,$I$4)</f>
        <v>3091339.0193411568</v>
      </c>
    </row>
    <row r="36" spans="2:5" x14ac:dyDescent="0.25">
      <c r="B36" s="30">
        <v>32</v>
      </c>
      <c r="C36" s="63">
        <f ca="1">_xll.mscTrancheCalculatePV($C$2,$I$5,$I$3,B36,$I$4)</f>
        <v>58067.673242476543</v>
      </c>
      <c r="D36" s="63">
        <f ca="1">_xll.mscTrancheCalculatePV(D$2,$I$5,$I$3,$B36,$I$4)</f>
        <v>594204.78205707588</v>
      </c>
      <c r="E36" s="63">
        <f ca="1">_xll.mscTrancheCalculatePV(E$2,$I$5,$I$3,$B36,$I$4)</f>
        <v>3093377.808214345</v>
      </c>
    </row>
    <row r="37" spans="2:5" x14ac:dyDescent="0.25">
      <c r="B37" s="30">
        <v>33</v>
      </c>
      <c r="C37" s="63">
        <f ca="1">_xll.mscTrancheCalculatePV($C$2,$I$5,$I$3,B37,$I$4)</f>
        <v>58067.673242476543</v>
      </c>
      <c r="D37" s="63">
        <f ca="1">_xll.mscTrancheCalculatePV(D$2,$I$5,$I$3,$B37,$I$4)</f>
        <v>526192.86458825995</v>
      </c>
      <c r="E37" s="63">
        <f ca="1">_xll.mscTrancheCalculatePV(E$2,$I$5,$I$3,$B37,$I$4)</f>
        <v>3095203.2412085575</v>
      </c>
    </row>
    <row r="38" spans="2:5" x14ac:dyDescent="0.25">
      <c r="B38" s="30">
        <v>34</v>
      </c>
      <c r="C38" s="63">
        <f ca="1">_xll.mscTrancheCalculatePV($C$2,$I$5,$I$3,B38,$I$4)</f>
        <v>58067.673242476543</v>
      </c>
      <c r="D38" s="63">
        <f ca="1">_xll.mscTrancheCalculatePV(D$2,$I$5,$I$3,$B38,$I$4)</f>
        <v>459598.61394003418</v>
      </c>
      <c r="E38" s="63">
        <f ca="1">_xll.mscTrancheCalculatePV(E$2,$I$5,$I$3,$B38,$I$4)</f>
        <v>3096657.3195853867</v>
      </c>
    </row>
    <row r="39" spans="2:5" x14ac:dyDescent="0.25">
      <c r="B39" s="30">
        <v>35</v>
      </c>
      <c r="C39" s="63">
        <f ca="1">_xll.mscTrancheCalculatePV($C$2,$I$5,$I$3,B39,$I$4)</f>
        <v>58067.673242476543</v>
      </c>
      <c r="D39" s="63">
        <f ca="1">_xll.mscTrancheCalculatePV(D$2,$I$5,$I$3,$B39,$I$4)</f>
        <v>394638.13143041276</v>
      </c>
      <c r="E39" s="63">
        <f ca="1">_xll.mscTrancheCalculatePV(E$2,$I$5,$I$3,$B39,$I$4)</f>
        <v>3097899.3846227075</v>
      </c>
    </row>
    <row r="40" spans="2:5" x14ac:dyDescent="0.25">
      <c r="B40" s="30">
        <v>36</v>
      </c>
      <c r="C40" s="63">
        <f ca="1">_xll.mscTrancheCalculatePV($C$2,$I$5,$I$3,B40,$I$4)</f>
        <v>58067.673242476543</v>
      </c>
      <c r="D40" s="63">
        <f ca="1">_xll.mscTrancheCalculatePV(D$2,$I$5,$I$3,$B40,$I$4)</f>
        <v>321951.12352851673</v>
      </c>
      <c r="E40" s="63">
        <f ca="1">_xll.mscTrancheCalculatePV(E$2,$I$5,$I$3,$B40,$I$4)</f>
        <v>3108284.6176214125</v>
      </c>
    </row>
    <row r="41" spans="2:5" x14ac:dyDescent="0.25">
      <c r="B41" s="30">
        <v>37</v>
      </c>
      <c r="C41" s="63">
        <f ca="1">_xll.mscTrancheCalculatePV($C$2,$I$5,$I$3,B41,$I$4)</f>
        <v>58067.673242476543</v>
      </c>
      <c r="D41" s="63">
        <f ca="1">_xll.mscTrancheCalculatePV(D$2,$I$5,$I$3,$B41,$I$4)</f>
        <v>217229.39442056479</v>
      </c>
      <c r="E41" s="63">
        <f ca="1">_xll.mscTrancheCalculatePV(E$2,$I$5,$I$3,$B41,$I$4)</f>
        <v>3163667.1097680777</v>
      </c>
    </row>
    <row r="42" spans="2:5" x14ac:dyDescent="0.25">
      <c r="B42" s="30">
        <v>38</v>
      </c>
      <c r="C42" s="63">
        <f ca="1">_xll.mscTrancheCalculatePV($C$2,$I$5,$I$3,B42,$I$4)</f>
        <v>58067.673242476543</v>
      </c>
      <c r="D42" s="63">
        <f ca="1">_xll.mscTrancheCalculatePV(D$2,$I$5,$I$3,$B42,$I$4)</f>
        <v>269903.464522038</v>
      </c>
      <c r="E42" s="63">
        <f ca="1">_xll.mscTrancheCalculatePV(E$2,$I$5,$I$3,$B42,$I$4)</f>
        <v>3163667.1097680777</v>
      </c>
    </row>
    <row r="43" spans="2:5" x14ac:dyDescent="0.25">
      <c r="B43" s="30">
        <v>39</v>
      </c>
      <c r="C43" s="63">
        <f ca="1">_xll.mscTrancheCalculatePV($C$2,$I$5,$I$3,B43,$I$4)</f>
        <v>58067.673242476543</v>
      </c>
      <c r="D43" s="63">
        <f ca="1">_xll.mscTrancheCalculatePV(D$2,$I$5,$I$3,$B43,$I$4)</f>
        <v>269903.464522038</v>
      </c>
      <c r="E43" s="63">
        <f ca="1">_xll.mscTrancheCalculatePV(E$2,$I$5,$I$3,$B43,$I$4)</f>
        <v>3163667.1097680777</v>
      </c>
    </row>
    <row r="44" spans="2:5" x14ac:dyDescent="0.25">
      <c r="B44" s="30">
        <v>40</v>
      </c>
      <c r="C44" s="63">
        <f ca="1">_xll.mscTrancheCalculatePV($C$2,$I$5,$I$3,B44,$I$4)</f>
        <v>58067.673242476543</v>
      </c>
      <c r="D44" s="63">
        <f ca="1">_xll.mscTrancheCalculatePV(D$2,$I$5,$I$3,$B44,$I$4)</f>
        <v>269903.464522038</v>
      </c>
      <c r="E44" s="63">
        <f ca="1">_xll.mscTrancheCalculatePV(E$2,$I$5,$I$3,$B44,$I$4)</f>
        <v>3163667.1097680777</v>
      </c>
    </row>
    <row r="45" spans="2:5" x14ac:dyDescent="0.25">
      <c r="B45" s="30">
        <v>41</v>
      </c>
      <c r="C45" s="63">
        <f ca="1">_xll.mscTrancheCalculatePV($C$2,$I$5,$I$3,B45,$I$4)</f>
        <v>58067.673242476543</v>
      </c>
      <c r="D45" s="63">
        <f ca="1">_xll.mscTrancheCalculatePV(D$2,$I$5,$I$3,$B45,$I$4)</f>
        <v>269903.464522038</v>
      </c>
      <c r="E45" s="63">
        <f ca="1">_xll.mscTrancheCalculatePV(E$2,$I$5,$I$3,$B45,$I$4)</f>
        <v>3163667.1097680777</v>
      </c>
    </row>
    <row r="46" spans="2:5" x14ac:dyDescent="0.25">
      <c r="B46" s="30">
        <v>42</v>
      </c>
      <c r="C46" s="63">
        <f ca="1">_xll.mscTrancheCalculatePV($C$2,$I$5,$I$3,B46,$I$4)</f>
        <v>58067.673242476543</v>
      </c>
      <c r="D46" s="63">
        <f ca="1">_xll.mscTrancheCalculatePV(D$2,$I$5,$I$3,$B46,$I$4)</f>
        <v>269903.464522038</v>
      </c>
      <c r="E46" s="63">
        <f ca="1">_xll.mscTrancheCalculatePV(E$2,$I$5,$I$3,$B46,$I$4)</f>
        <v>3163667.1097680777</v>
      </c>
    </row>
    <row r="47" spans="2:5" x14ac:dyDescent="0.25">
      <c r="B47" s="30">
        <v>43</v>
      </c>
      <c r="C47" s="63">
        <f ca="1">_xll.mscTrancheCalculatePV($C$2,$I$5,$I$3,B47,$I$4)</f>
        <v>58067.673242476543</v>
      </c>
      <c r="D47" s="63">
        <f ca="1">_xll.mscTrancheCalculatePV(D$2,$I$5,$I$3,$B47,$I$4)</f>
        <v>269903.464522038</v>
      </c>
      <c r="E47" s="63">
        <f ca="1">_xll.mscTrancheCalculatePV(E$2,$I$5,$I$3,$B47,$I$4)</f>
        <v>3163667.1097680777</v>
      </c>
    </row>
    <row r="48" spans="2:5" x14ac:dyDescent="0.25">
      <c r="B48" s="30">
        <v>44</v>
      </c>
      <c r="C48" s="63">
        <f ca="1">_xll.mscTrancheCalculatePV($C$2,$I$5,$I$3,B48,$I$4)</f>
        <v>58067.673242476543</v>
      </c>
      <c r="D48" s="63">
        <f ca="1">_xll.mscTrancheCalculatePV(D$2,$I$5,$I$3,$B48,$I$4)</f>
        <v>269903.464522038</v>
      </c>
      <c r="E48" s="63">
        <f ca="1">_xll.mscTrancheCalculatePV(E$2,$I$5,$I$3,$B48,$I$4)</f>
        <v>3163667.1097680777</v>
      </c>
    </row>
    <row r="49" spans="2:5" x14ac:dyDescent="0.25">
      <c r="B49" s="30">
        <v>45</v>
      </c>
      <c r="C49" s="63">
        <f ca="1">_xll.mscTrancheCalculatePV($C$2,$I$5,$I$3,B49,$I$4)</f>
        <v>58067.673242476543</v>
      </c>
      <c r="D49" s="63">
        <f ca="1">_xll.mscTrancheCalculatePV(D$2,$I$5,$I$3,$B49,$I$4)</f>
        <v>269903.464522038</v>
      </c>
      <c r="E49" s="63">
        <f ca="1">_xll.mscTrancheCalculatePV(E$2,$I$5,$I$3,$B49,$I$4)</f>
        <v>3163667.1097680777</v>
      </c>
    </row>
    <row r="50" spans="2:5" x14ac:dyDescent="0.25">
      <c r="B50" s="30">
        <v>46</v>
      </c>
      <c r="C50" s="63">
        <f ca="1">_xll.mscTrancheCalculatePV($C$2,$I$5,$I$3,B50,$I$4)</f>
        <v>58067.673242476543</v>
      </c>
      <c r="D50" s="63">
        <f ca="1">_xll.mscTrancheCalculatePV(D$2,$I$5,$I$3,$B50,$I$4)</f>
        <v>269903.464522038</v>
      </c>
      <c r="E50" s="63">
        <f ca="1">_xll.mscTrancheCalculatePV(E$2,$I$5,$I$3,$B50,$I$4)</f>
        <v>3163667.1097680777</v>
      </c>
    </row>
    <row r="51" spans="2:5" x14ac:dyDescent="0.25">
      <c r="B51" s="30">
        <v>47</v>
      </c>
      <c r="C51" s="63">
        <f ca="1">_xll.mscTrancheCalculatePV($C$2,$I$5,$I$3,B51,$I$4)</f>
        <v>58067.673242476543</v>
      </c>
      <c r="D51" s="63">
        <f ca="1">_xll.mscTrancheCalculatePV(D$2,$I$5,$I$3,$B51,$I$4)</f>
        <v>269903.464522038</v>
      </c>
      <c r="E51" s="63">
        <f ca="1">_xll.mscTrancheCalculatePV(E$2,$I$5,$I$3,$B51,$I$4)</f>
        <v>3163667.1097680777</v>
      </c>
    </row>
    <row r="52" spans="2:5" x14ac:dyDescent="0.25">
      <c r="B52" s="30">
        <v>48</v>
      </c>
      <c r="C52" s="63">
        <f ca="1">_xll.mscTrancheCalculatePV($C$2,$I$5,$I$3,B52,$I$4)</f>
        <v>58067.673242476543</v>
      </c>
      <c r="D52" s="63">
        <f ca="1">_xll.mscTrancheCalculatePV(D$2,$I$5,$I$3,$B52,$I$4)</f>
        <v>269903.464522038</v>
      </c>
      <c r="E52" s="63">
        <f ca="1">_xll.mscTrancheCalculatePV(E$2,$I$5,$I$3,$B52,$I$4)</f>
        <v>3163667.1097680777</v>
      </c>
    </row>
    <row r="53" spans="2:5" x14ac:dyDescent="0.25">
      <c r="B53" s="30">
        <v>49</v>
      </c>
      <c r="C53" s="63">
        <f ca="1">_xll.mscTrancheCalculatePV($C$2,$I$5,$I$3,B53,$I$4)</f>
        <v>58067.673242476543</v>
      </c>
      <c r="D53" s="63">
        <f ca="1">_xll.mscTrancheCalculatePV(D$2,$I$5,$I$3,$B53,$I$4)</f>
        <v>269903.464522038</v>
      </c>
      <c r="E53" s="63">
        <f ca="1">_xll.mscTrancheCalculatePV(E$2,$I$5,$I$3,$B53,$I$4)</f>
        <v>3163667.1097680777</v>
      </c>
    </row>
    <row r="54" spans="2:5" x14ac:dyDescent="0.25">
      <c r="B54" s="30">
        <v>50</v>
      </c>
      <c r="C54" s="63">
        <f ca="1">_xll.mscTrancheCalculatePV($C$2,$I$5,$I$3,B54,$I$4)</f>
        <v>58067.673242476543</v>
      </c>
      <c r="D54" s="63">
        <f ca="1">_xll.mscTrancheCalculatePV(D$2,$I$5,$I$3,$B54,$I$4)</f>
        <v>269903.464522038</v>
      </c>
      <c r="E54" s="63">
        <f ca="1">_xll.mscTrancheCalculatePV(E$2,$I$5,$I$3,$B54,$I$4)</f>
        <v>3163667.1097680777</v>
      </c>
    </row>
    <row r="55" spans="2:5" x14ac:dyDescent="0.25">
      <c r="B55" s="30">
        <v>51</v>
      </c>
      <c r="C55" s="63">
        <f ca="1">_xll.mscTrancheCalculatePV($C$2,$I$5,$I$3,B55,$I$4)</f>
        <v>58067.673242476543</v>
      </c>
      <c r="D55" s="63">
        <f ca="1">_xll.mscTrancheCalculatePV(D$2,$I$5,$I$3,$B55,$I$4)</f>
        <v>269903.464522038</v>
      </c>
      <c r="E55" s="63">
        <f ca="1">_xll.mscTrancheCalculatePV(E$2,$I$5,$I$3,$B55,$I$4)</f>
        <v>3163667.1097680777</v>
      </c>
    </row>
    <row r="56" spans="2:5" x14ac:dyDescent="0.25">
      <c r="B56" s="30">
        <v>52</v>
      </c>
      <c r="C56" s="63">
        <f ca="1">_xll.mscTrancheCalculatePV($C$2,$I$5,$I$3,B56,$I$4)</f>
        <v>58067.673242476543</v>
      </c>
      <c r="D56" s="63">
        <f ca="1">_xll.mscTrancheCalculatePV(D$2,$I$5,$I$3,$B56,$I$4)</f>
        <v>269903.464522038</v>
      </c>
      <c r="E56" s="63">
        <f ca="1">_xll.mscTrancheCalculatePV(E$2,$I$5,$I$3,$B56,$I$4)</f>
        <v>3163667.1097680777</v>
      </c>
    </row>
    <row r="57" spans="2:5" x14ac:dyDescent="0.25">
      <c r="B57" s="30">
        <v>53</v>
      </c>
      <c r="C57" s="63">
        <f ca="1">_xll.mscTrancheCalculatePV($C$2,$I$5,$I$3,B57,$I$4)</f>
        <v>58067.673242476543</v>
      </c>
      <c r="D57" s="63">
        <f ca="1">_xll.mscTrancheCalculatePV(D$2,$I$5,$I$3,$B57,$I$4)</f>
        <v>269903.464522038</v>
      </c>
      <c r="E57" s="63">
        <f ca="1">_xll.mscTrancheCalculatePV(E$2,$I$5,$I$3,$B57,$I$4)</f>
        <v>3163667.1097680777</v>
      </c>
    </row>
    <row r="58" spans="2:5" x14ac:dyDescent="0.25">
      <c r="B58" s="30">
        <v>54</v>
      </c>
      <c r="C58" s="63">
        <f ca="1">_xll.mscTrancheCalculatePV($C$2,$I$5,$I$3,B58,$I$4)</f>
        <v>58067.673242476543</v>
      </c>
      <c r="D58" s="63">
        <f ca="1">_xll.mscTrancheCalculatePV(D$2,$I$5,$I$3,$B58,$I$4)</f>
        <v>269903.464522038</v>
      </c>
      <c r="E58" s="63">
        <f ca="1">_xll.mscTrancheCalculatePV(E$2,$I$5,$I$3,$B58,$I$4)</f>
        <v>3163667.1097680777</v>
      </c>
    </row>
    <row r="59" spans="2:5" x14ac:dyDescent="0.25">
      <c r="B59" s="30">
        <v>55</v>
      </c>
      <c r="C59" s="63">
        <f ca="1">_xll.mscTrancheCalculatePV($C$2,$I$5,$I$3,B59,$I$4)</f>
        <v>58067.673242476543</v>
      </c>
      <c r="D59" s="63">
        <f ca="1">_xll.mscTrancheCalculatePV(D$2,$I$5,$I$3,$B59,$I$4)</f>
        <v>269903.464522038</v>
      </c>
      <c r="E59" s="63">
        <f ca="1">_xll.mscTrancheCalculatePV(E$2,$I$5,$I$3,$B59,$I$4)</f>
        <v>3163667.1097680777</v>
      </c>
    </row>
    <row r="60" spans="2:5" x14ac:dyDescent="0.25">
      <c r="B60" s="30">
        <v>56</v>
      </c>
      <c r="C60" s="63">
        <f ca="1">_xll.mscTrancheCalculatePV($C$2,$I$5,$I$3,B60,$I$4)</f>
        <v>58067.673242476543</v>
      </c>
      <c r="D60" s="63">
        <f ca="1">_xll.mscTrancheCalculatePV(D$2,$I$5,$I$3,$B60,$I$4)</f>
        <v>269903.464522038</v>
      </c>
      <c r="E60" s="63">
        <f ca="1">_xll.mscTrancheCalculatePV(E$2,$I$5,$I$3,$B60,$I$4)</f>
        <v>3163667.1097680777</v>
      </c>
    </row>
    <row r="61" spans="2:5" x14ac:dyDescent="0.25">
      <c r="B61" s="30">
        <v>57</v>
      </c>
      <c r="C61" s="63">
        <f ca="1">_xll.mscTrancheCalculatePV($C$2,$I$5,$I$3,B61,$I$4)</f>
        <v>58067.673242476543</v>
      </c>
      <c r="D61" s="63">
        <f ca="1">_xll.mscTrancheCalculatePV(D$2,$I$5,$I$3,$B61,$I$4)</f>
        <v>269903.464522038</v>
      </c>
      <c r="E61" s="63">
        <f ca="1">_xll.mscTrancheCalculatePV(E$2,$I$5,$I$3,$B61,$I$4)</f>
        <v>3163667.1097680777</v>
      </c>
    </row>
    <row r="62" spans="2:5" x14ac:dyDescent="0.25">
      <c r="B62" s="30">
        <v>58</v>
      </c>
      <c r="C62" s="63">
        <f ca="1">_xll.mscTrancheCalculatePV($C$2,$I$5,$I$3,B62,$I$4)</f>
        <v>58067.673242476543</v>
      </c>
      <c r="D62" s="63">
        <f ca="1">_xll.mscTrancheCalculatePV(D$2,$I$5,$I$3,$B62,$I$4)</f>
        <v>269903.464522038</v>
      </c>
      <c r="E62" s="63">
        <f ca="1">_xll.mscTrancheCalculatePV(E$2,$I$5,$I$3,$B62,$I$4)</f>
        <v>3163667.1097680777</v>
      </c>
    </row>
    <row r="63" spans="2:5" x14ac:dyDescent="0.25">
      <c r="B63" s="30">
        <v>59</v>
      </c>
      <c r="C63" s="63">
        <f ca="1">_xll.mscTrancheCalculatePV($C$2,$I$5,$I$3,B63,$I$4)</f>
        <v>58067.673242476543</v>
      </c>
      <c r="D63" s="63">
        <f ca="1">_xll.mscTrancheCalculatePV(D$2,$I$5,$I$3,$B63,$I$4)</f>
        <v>269903.464522038</v>
      </c>
      <c r="E63" s="63">
        <f ca="1">_xll.mscTrancheCalculatePV(E$2,$I$5,$I$3,$B63,$I$4)</f>
        <v>3163667.1097680777</v>
      </c>
    </row>
    <row r="64" spans="2:5" x14ac:dyDescent="0.25">
      <c r="B64" s="30">
        <v>60</v>
      </c>
      <c r="C64" s="63">
        <f ca="1">_xll.mscTrancheCalculatePV($C$2,$I$5,$I$3,B64,$I$4)</f>
        <v>58067.673242476543</v>
      </c>
      <c r="D64" s="63">
        <f ca="1">_xll.mscTrancheCalculatePV(D$2,$I$5,$I$3,$B64,$I$4)</f>
        <v>269903.464522038</v>
      </c>
      <c r="E64" s="63">
        <f ca="1">_xll.mscTrancheCalculatePV(E$2,$I$5,$I$3,$B64,$I$4)</f>
        <v>3163667.1097680777</v>
      </c>
    </row>
    <row r="65" spans="2:5" x14ac:dyDescent="0.25">
      <c r="B65" s="30">
        <v>61</v>
      </c>
      <c r="C65" s="63">
        <f ca="1">_xll.mscTrancheCalculatePV($C$2,$I$5,$I$3,B65,$I$4)</f>
        <v>58067.673242476543</v>
      </c>
      <c r="D65" s="63">
        <f ca="1">_xll.mscTrancheCalculatePV(D$2,$I$5,$I$3,$B65,$I$4)</f>
        <v>269903.464522038</v>
      </c>
      <c r="E65" s="63">
        <f ca="1">_xll.mscTrancheCalculatePV(E$2,$I$5,$I$3,$B65,$I$4)</f>
        <v>3163667.1097680777</v>
      </c>
    </row>
    <row r="66" spans="2:5" x14ac:dyDescent="0.25">
      <c r="B66" s="30">
        <v>62</v>
      </c>
      <c r="C66" s="63">
        <f ca="1">_xll.mscTrancheCalculatePV($C$2,$I$5,$I$3,B66,$I$4)</f>
        <v>58067.673242476543</v>
      </c>
      <c r="D66" s="63">
        <f ca="1">_xll.mscTrancheCalculatePV(D$2,$I$5,$I$3,$B66,$I$4)</f>
        <v>269903.464522038</v>
      </c>
      <c r="E66" s="63">
        <f ca="1">_xll.mscTrancheCalculatePV(E$2,$I$5,$I$3,$B66,$I$4)</f>
        <v>3163667.1097680777</v>
      </c>
    </row>
    <row r="67" spans="2:5" x14ac:dyDescent="0.25">
      <c r="B67" s="30">
        <v>63</v>
      </c>
      <c r="C67" s="63">
        <f ca="1">_xll.mscTrancheCalculatePV($C$2,$I$5,$I$3,B67,$I$4)</f>
        <v>58067.673242476543</v>
      </c>
      <c r="D67" s="63">
        <f ca="1">_xll.mscTrancheCalculatePV(D$2,$I$5,$I$3,$B67,$I$4)</f>
        <v>269903.464522038</v>
      </c>
      <c r="E67" s="63">
        <f ca="1">_xll.mscTrancheCalculatePV(E$2,$I$5,$I$3,$B67,$I$4)</f>
        <v>3163667.1097680777</v>
      </c>
    </row>
    <row r="68" spans="2:5" x14ac:dyDescent="0.25">
      <c r="B68" s="30">
        <v>64</v>
      </c>
      <c r="C68" s="63">
        <f ca="1">_xll.mscTrancheCalculatePV($C$2,$I$5,$I$3,B68,$I$4)</f>
        <v>58067.673242476543</v>
      </c>
      <c r="D68" s="63">
        <f ca="1">_xll.mscTrancheCalculatePV(D$2,$I$5,$I$3,$B68,$I$4)</f>
        <v>269903.464522038</v>
      </c>
      <c r="E68" s="63">
        <f ca="1">_xll.mscTrancheCalculatePV(E$2,$I$5,$I$3,$B68,$I$4)</f>
        <v>3163667.1097680777</v>
      </c>
    </row>
    <row r="69" spans="2:5" x14ac:dyDescent="0.25">
      <c r="B69" s="30">
        <v>65</v>
      </c>
      <c r="C69" s="63">
        <f ca="1">_xll.mscTrancheCalculatePV($C$2,$I$5,$I$3,B69,$I$4)</f>
        <v>58067.673242476543</v>
      </c>
      <c r="D69" s="63">
        <f ca="1">_xll.mscTrancheCalculatePV(D$2,$I$5,$I$3,$B69,$I$4)</f>
        <v>269903.464522038</v>
      </c>
      <c r="E69" s="63">
        <f ca="1">_xll.mscTrancheCalculatePV(E$2,$I$5,$I$3,$B69,$I$4)</f>
        <v>3163667.1097680777</v>
      </c>
    </row>
    <row r="70" spans="2:5" x14ac:dyDescent="0.25">
      <c r="B70" s="30">
        <v>66</v>
      </c>
      <c r="C70" s="63">
        <f ca="1">_xll.mscTrancheCalculatePV($C$2,$I$5,$I$3,B70,$I$4)</f>
        <v>58067.673242476543</v>
      </c>
      <c r="D70" s="63">
        <f ca="1">_xll.mscTrancheCalculatePV(D$2,$I$5,$I$3,$B70,$I$4)</f>
        <v>269903.464522038</v>
      </c>
      <c r="E70" s="63">
        <f ca="1">_xll.mscTrancheCalculatePV(E$2,$I$5,$I$3,$B70,$I$4)</f>
        <v>3163667.1097680777</v>
      </c>
    </row>
    <row r="71" spans="2:5" x14ac:dyDescent="0.25">
      <c r="B71" s="30">
        <v>67</v>
      </c>
      <c r="C71" s="63">
        <f ca="1">_xll.mscTrancheCalculatePV($C$2,$I$5,$I$3,B71,$I$4)</f>
        <v>58067.673242476543</v>
      </c>
      <c r="D71" s="63">
        <f ca="1">_xll.mscTrancheCalculatePV(D$2,$I$5,$I$3,$B71,$I$4)</f>
        <v>269903.464522038</v>
      </c>
      <c r="E71" s="63">
        <f ca="1">_xll.mscTrancheCalculatePV(E$2,$I$5,$I$3,$B71,$I$4)</f>
        <v>3163667.1097680777</v>
      </c>
    </row>
    <row r="72" spans="2:5" x14ac:dyDescent="0.25">
      <c r="B72" s="30">
        <v>68</v>
      </c>
      <c r="C72" s="63">
        <f ca="1">_xll.mscTrancheCalculatePV($C$2,$I$5,$I$3,B72,$I$4)</f>
        <v>58067.673242476543</v>
      </c>
      <c r="D72" s="63">
        <f ca="1">_xll.mscTrancheCalculatePV(D$2,$I$5,$I$3,$B72,$I$4)</f>
        <v>269903.464522038</v>
      </c>
      <c r="E72" s="63">
        <f ca="1">_xll.mscTrancheCalculatePV(E$2,$I$5,$I$3,$B72,$I$4)</f>
        <v>3163667.1097680777</v>
      </c>
    </row>
    <row r="73" spans="2:5" x14ac:dyDescent="0.25">
      <c r="B73" s="30">
        <v>69</v>
      </c>
      <c r="C73" s="63">
        <f ca="1">_xll.mscTrancheCalculatePV($C$2,$I$5,$I$3,B73,$I$4)</f>
        <v>58067.673242476543</v>
      </c>
      <c r="D73" s="63">
        <f ca="1">_xll.mscTrancheCalculatePV(D$2,$I$5,$I$3,$B73,$I$4)</f>
        <v>269903.464522038</v>
      </c>
      <c r="E73" s="63">
        <f ca="1">_xll.mscTrancheCalculatePV(E$2,$I$5,$I$3,$B73,$I$4)</f>
        <v>3163667.1097680777</v>
      </c>
    </row>
    <row r="74" spans="2:5" x14ac:dyDescent="0.25">
      <c r="B74" s="30">
        <v>70</v>
      </c>
      <c r="C74" s="63">
        <f ca="1">_xll.mscTrancheCalculatePV($C$2,$I$5,$I$3,B74,$I$4)</f>
        <v>58067.673242476543</v>
      </c>
      <c r="D74" s="63">
        <f ca="1">_xll.mscTrancheCalculatePV(D$2,$I$5,$I$3,$B74,$I$4)</f>
        <v>269903.464522038</v>
      </c>
      <c r="E74" s="63">
        <f ca="1">_xll.mscTrancheCalculatePV(E$2,$I$5,$I$3,$B74,$I$4)</f>
        <v>3163667.1097680777</v>
      </c>
    </row>
    <row r="75" spans="2:5" x14ac:dyDescent="0.25">
      <c r="B75" s="30">
        <v>71</v>
      </c>
      <c r="C75" s="63">
        <f ca="1">_xll.mscTrancheCalculatePV($C$2,$I$5,$I$3,B75,$I$4)</f>
        <v>58067.673242476543</v>
      </c>
      <c r="D75" s="63">
        <f ca="1">_xll.mscTrancheCalculatePV(D$2,$I$5,$I$3,$B75,$I$4)</f>
        <v>269903.464522038</v>
      </c>
      <c r="E75" s="63">
        <f ca="1">_xll.mscTrancheCalculatePV(E$2,$I$5,$I$3,$B75,$I$4)</f>
        <v>3163667.1097680777</v>
      </c>
    </row>
    <row r="76" spans="2:5" x14ac:dyDescent="0.25">
      <c r="B76" s="30">
        <v>72</v>
      </c>
      <c r="C76" s="63">
        <f ca="1">_xll.mscTrancheCalculatePV($C$2,$I$5,$I$3,B76,$I$4)</f>
        <v>58067.673242476543</v>
      </c>
      <c r="D76" s="63">
        <f ca="1">_xll.mscTrancheCalculatePV(D$2,$I$5,$I$3,$B76,$I$4)</f>
        <v>269903.464522038</v>
      </c>
      <c r="E76" s="63">
        <f ca="1">_xll.mscTrancheCalculatePV(E$2,$I$5,$I$3,$B76,$I$4)</f>
        <v>3163667.1097680777</v>
      </c>
    </row>
    <row r="77" spans="2:5" x14ac:dyDescent="0.25">
      <c r="B77" s="30">
        <v>73</v>
      </c>
      <c r="C77" s="63">
        <f ca="1">_xll.mscTrancheCalculatePV($C$2,$I$5,$I$3,B77,$I$4)</f>
        <v>58067.673242476543</v>
      </c>
      <c r="D77" s="63">
        <f ca="1">_xll.mscTrancheCalculatePV(D$2,$I$5,$I$3,$B77,$I$4)</f>
        <v>269903.464522038</v>
      </c>
      <c r="E77" s="63">
        <f ca="1">_xll.mscTrancheCalculatePV(E$2,$I$5,$I$3,$B77,$I$4)</f>
        <v>3163667.1097680777</v>
      </c>
    </row>
    <row r="78" spans="2:5" x14ac:dyDescent="0.25">
      <c r="B78" s="30">
        <v>74</v>
      </c>
      <c r="C78" s="63">
        <f ca="1">_xll.mscTrancheCalculatePV($C$2,$I$5,$I$3,B78,$I$4)</f>
        <v>58067.673242476543</v>
      </c>
      <c r="D78" s="63">
        <f ca="1">_xll.mscTrancheCalculatePV(D$2,$I$5,$I$3,$B78,$I$4)</f>
        <v>269903.464522038</v>
      </c>
      <c r="E78" s="63">
        <f ca="1">_xll.mscTrancheCalculatePV(E$2,$I$5,$I$3,$B78,$I$4)</f>
        <v>3163667.1097680777</v>
      </c>
    </row>
    <row r="79" spans="2:5" x14ac:dyDescent="0.25">
      <c r="B79" s="30">
        <v>75</v>
      </c>
      <c r="C79" s="63">
        <f ca="1">_xll.mscTrancheCalculatePV($C$2,$I$5,$I$3,B79,$I$4)</f>
        <v>58067.673242476543</v>
      </c>
      <c r="D79" s="63">
        <f ca="1">_xll.mscTrancheCalculatePV(D$2,$I$5,$I$3,$B79,$I$4)</f>
        <v>269903.464522038</v>
      </c>
      <c r="E79" s="63">
        <f ca="1">_xll.mscTrancheCalculatePV(E$2,$I$5,$I$3,$B79,$I$4)</f>
        <v>3163667.1097680777</v>
      </c>
    </row>
    <row r="80" spans="2:5" x14ac:dyDescent="0.25">
      <c r="B80" s="30">
        <v>76</v>
      </c>
      <c r="C80" s="63">
        <f ca="1">_xll.mscTrancheCalculatePV($C$2,$I$5,$I$3,B80,$I$4)</f>
        <v>58067.673242476543</v>
      </c>
      <c r="D80" s="63">
        <f ca="1">_xll.mscTrancheCalculatePV(D$2,$I$5,$I$3,$B80,$I$4)</f>
        <v>269903.464522038</v>
      </c>
      <c r="E80" s="63">
        <f ca="1">_xll.mscTrancheCalculatePV(E$2,$I$5,$I$3,$B80,$I$4)</f>
        <v>3163667.1097680777</v>
      </c>
    </row>
    <row r="81" spans="2:5" x14ac:dyDescent="0.25">
      <c r="B81" s="30">
        <v>77</v>
      </c>
      <c r="C81" s="63">
        <f ca="1">_xll.mscTrancheCalculatePV($C$2,$I$5,$I$3,B81,$I$4)</f>
        <v>58067.673242476543</v>
      </c>
      <c r="D81" s="63">
        <f ca="1">_xll.mscTrancheCalculatePV(D$2,$I$5,$I$3,$B81,$I$4)</f>
        <v>269903.464522038</v>
      </c>
      <c r="E81" s="63">
        <f ca="1">_xll.mscTrancheCalculatePV(E$2,$I$5,$I$3,$B81,$I$4)</f>
        <v>3163667.1097680777</v>
      </c>
    </row>
    <row r="82" spans="2:5" x14ac:dyDescent="0.25">
      <c r="B82" s="30">
        <v>78</v>
      </c>
      <c r="C82" s="63">
        <f ca="1">_xll.mscTrancheCalculatePV($C$2,$I$5,$I$3,B82,$I$4)</f>
        <v>58067.673242476543</v>
      </c>
      <c r="D82" s="63">
        <f ca="1">_xll.mscTrancheCalculatePV(D$2,$I$5,$I$3,$B82,$I$4)</f>
        <v>269903.464522038</v>
      </c>
      <c r="E82" s="63">
        <f ca="1">_xll.mscTrancheCalculatePV(E$2,$I$5,$I$3,$B82,$I$4)</f>
        <v>3163667.1097680777</v>
      </c>
    </row>
    <row r="83" spans="2:5" x14ac:dyDescent="0.25">
      <c r="B83" s="30">
        <v>79</v>
      </c>
      <c r="C83" s="63">
        <f ca="1">_xll.mscTrancheCalculatePV($C$2,$I$5,$I$3,B83,$I$4)</f>
        <v>58067.673242476543</v>
      </c>
      <c r="D83" s="63">
        <f ca="1">_xll.mscTrancheCalculatePV(D$2,$I$5,$I$3,$B83,$I$4)</f>
        <v>269903.464522038</v>
      </c>
      <c r="E83" s="63">
        <f ca="1">_xll.mscTrancheCalculatePV(E$2,$I$5,$I$3,$B83,$I$4)</f>
        <v>3163667.1097680777</v>
      </c>
    </row>
    <row r="84" spans="2:5" x14ac:dyDescent="0.25">
      <c r="B84" s="30">
        <v>80</v>
      </c>
      <c r="C84" s="63">
        <f ca="1">_xll.mscTrancheCalculatePV($C$2,$I$5,$I$3,B84,$I$4)</f>
        <v>58067.673242476543</v>
      </c>
      <c r="D84" s="63">
        <f ca="1">_xll.mscTrancheCalculatePV(D$2,$I$5,$I$3,$B84,$I$4)</f>
        <v>269903.464522038</v>
      </c>
      <c r="E84" s="63">
        <f ca="1">_xll.mscTrancheCalculatePV(E$2,$I$5,$I$3,$B84,$I$4)</f>
        <v>3163667.1097680777</v>
      </c>
    </row>
    <row r="85" spans="2:5" x14ac:dyDescent="0.25">
      <c r="B85" s="30">
        <v>81</v>
      </c>
      <c r="C85" s="63">
        <f ca="1">_xll.mscTrancheCalculatePV($C$2,$I$5,$I$3,B85,$I$4)</f>
        <v>58067.673242476543</v>
      </c>
      <c r="D85" s="63">
        <f ca="1">_xll.mscTrancheCalculatePV(D$2,$I$5,$I$3,$B85,$I$4)</f>
        <v>269903.464522038</v>
      </c>
      <c r="E85" s="63">
        <f ca="1">_xll.mscTrancheCalculatePV(E$2,$I$5,$I$3,$B85,$I$4)</f>
        <v>3163667.1097680777</v>
      </c>
    </row>
    <row r="86" spans="2:5" x14ac:dyDescent="0.25">
      <c r="B86" s="30">
        <v>82</v>
      </c>
      <c r="C86" s="63">
        <f ca="1">_xll.mscTrancheCalculatePV($C$2,$I$5,$I$3,B86,$I$4)</f>
        <v>58067.673242476543</v>
      </c>
      <c r="D86" s="63">
        <f ca="1">_xll.mscTrancheCalculatePV(D$2,$I$5,$I$3,$B86,$I$4)</f>
        <v>269903.464522038</v>
      </c>
      <c r="E86" s="63">
        <f ca="1">_xll.mscTrancheCalculatePV(E$2,$I$5,$I$3,$B86,$I$4)</f>
        <v>3163667.1097680777</v>
      </c>
    </row>
    <row r="87" spans="2:5" x14ac:dyDescent="0.25">
      <c r="B87" s="30">
        <v>83</v>
      </c>
      <c r="C87" s="63">
        <f ca="1">_xll.mscTrancheCalculatePV($C$2,$I$5,$I$3,B87,$I$4)</f>
        <v>58067.673242476543</v>
      </c>
      <c r="D87" s="63">
        <f ca="1">_xll.mscTrancheCalculatePV(D$2,$I$5,$I$3,$B87,$I$4)</f>
        <v>269903.464522038</v>
      </c>
      <c r="E87" s="63">
        <f ca="1">_xll.mscTrancheCalculatePV(E$2,$I$5,$I$3,$B87,$I$4)</f>
        <v>3163667.1097680777</v>
      </c>
    </row>
    <row r="88" spans="2:5" x14ac:dyDescent="0.25">
      <c r="B88" s="30">
        <v>84</v>
      </c>
      <c r="C88" s="63">
        <f ca="1">_xll.mscTrancheCalculatePV($C$2,$I$5,$I$3,B88,$I$4)</f>
        <v>58067.673242476543</v>
      </c>
      <c r="D88" s="63">
        <f ca="1">_xll.mscTrancheCalculatePV(D$2,$I$5,$I$3,$B88,$I$4)</f>
        <v>269903.464522038</v>
      </c>
      <c r="E88" s="63">
        <f ca="1">_xll.mscTrancheCalculatePV(E$2,$I$5,$I$3,$B88,$I$4)</f>
        <v>3163667.1097680777</v>
      </c>
    </row>
    <row r="89" spans="2:5" x14ac:dyDescent="0.25">
      <c r="B89" s="30">
        <v>85</v>
      </c>
      <c r="C89" s="63">
        <f ca="1">_xll.mscTrancheCalculatePV($C$2,$I$5,$I$3,B89,$I$4)</f>
        <v>58067.673242476543</v>
      </c>
      <c r="D89" s="63">
        <f ca="1">_xll.mscTrancheCalculatePV(D$2,$I$5,$I$3,$B89,$I$4)</f>
        <v>269903.464522038</v>
      </c>
      <c r="E89" s="63">
        <f ca="1">_xll.mscTrancheCalculatePV(E$2,$I$5,$I$3,$B89,$I$4)</f>
        <v>3163667.1097680777</v>
      </c>
    </row>
    <row r="90" spans="2:5" x14ac:dyDescent="0.25">
      <c r="B90" s="30">
        <v>86</v>
      </c>
      <c r="C90" s="63">
        <f ca="1">_xll.mscTrancheCalculatePV($C$2,$I$5,$I$3,B90,$I$4)</f>
        <v>58067.673242476543</v>
      </c>
      <c r="D90" s="63">
        <f ca="1">_xll.mscTrancheCalculatePV(D$2,$I$5,$I$3,$B90,$I$4)</f>
        <v>269903.464522038</v>
      </c>
      <c r="E90" s="63">
        <f ca="1">_xll.mscTrancheCalculatePV(E$2,$I$5,$I$3,$B90,$I$4)</f>
        <v>3163667.1097680777</v>
      </c>
    </row>
    <row r="91" spans="2:5" x14ac:dyDescent="0.25">
      <c r="B91" s="30">
        <v>87</v>
      </c>
      <c r="C91" s="63">
        <f ca="1">_xll.mscTrancheCalculatePV($C$2,$I$5,$I$3,B91,$I$4)</f>
        <v>58067.673242476543</v>
      </c>
      <c r="D91" s="63">
        <f ca="1">_xll.mscTrancheCalculatePV(D$2,$I$5,$I$3,$B91,$I$4)</f>
        <v>269903.464522038</v>
      </c>
      <c r="E91" s="63">
        <f ca="1">_xll.mscTrancheCalculatePV(E$2,$I$5,$I$3,$B91,$I$4)</f>
        <v>3163667.1097680777</v>
      </c>
    </row>
    <row r="92" spans="2:5" x14ac:dyDescent="0.25">
      <c r="B92" s="30">
        <v>88</v>
      </c>
      <c r="C92" s="63">
        <f ca="1">_xll.mscTrancheCalculatePV($C$2,$I$5,$I$3,B92,$I$4)</f>
        <v>58067.673242476543</v>
      </c>
      <c r="D92" s="63">
        <f ca="1">_xll.mscTrancheCalculatePV(D$2,$I$5,$I$3,$B92,$I$4)</f>
        <v>269903.464522038</v>
      </c>
      <c r="E92" s="63">
        <f ca="1">_xll.mscTrancheCalculatePV(E$2,$I$5,$I$3,$B92,$I$4)</f>
        <v>3163667.1097680777</v>
      </c>
    </row>
    <row r="93" spans="2:5" x14ac:dyDescent="0.25">
      <c r="B93" s="30">
        <v>89</v>
      </c>
      <c r="C93" s="63">
        <f ca="1">_xll.mscTrancheCalculatePV($C$2,$I$5,$I$3,B93,$I$4)</f>
        <v>58067.673242476543</v>
      </c>
      <c r="D93" s="63">
        <f ca="1">_xll.mscTrancheCalculatePV(D$2,$I$5,$I$3,$B93,$I$4)</f>
        <v>269903.464522038</v>
      </c>
      <c r="E93" s="63">
        <f ca="1">_xll.mscTrancheCalculatePV(E$2,$I$5,$I$3,$B93,$I$4)</f>
        <v>3163667.1097680777</v>
      </c>
    </row>
    <row r="94" spans="2:5" x14ac:dyDescent="0.25">
      <c r="B94" s="30">
        <v>90</v>
      </c>
      <c r="C94" s="63">
        <f ca="1">_xll.mscTrancheCalculatePV($C$2,$I$5,$I$3,B94,$I$4)</f>
        <v>58067.673242476543</v>
      </c>
      <c r="D94" s="63">
        <f ca="1">_xll.mscTrancheCalculatePV(D$2,$I$5,$I$3,$B94,$I$4)</f>
        <v>269903.464522038</v>
      </c>
      <c r="E94" s="63">
        <f ca="1">_xll.mscTrancheCalculatePV(E$2,$I$5,$I$3,$B94,$I$4)</f>
        <v>3163667.1097680777</v>
      </c>
    </row>
    <row r="95" spans="2:5" x14ac:dyDescent="0.25">
      <c r="B95" s="30">
        <v>91</v>
      </c>
      <c r="C95" s="63">
        <f ca="1">_xll.mscTrancheCalculatePV($C$2,$I$5,$I$3,B95,$I$4)</f>
        <v>58067.673242476543</v>
      </c>
      <c r="D95" s="63">
        <f ca="1">_xll.mscTrancheCalculatePV(D$2,$I$5,$I$3,$B95,$I$4)</f>
        <v>269903.464522038</v>
      </c>
      <c r="E95" s="63">
        <f ca="1">_xll.mscTrancheCalculatePV(E$2,$I$5,$I$3,$B95,$I$4)</f>
        <v>3163667.1097680777</v>
      </c>
    </row>
    <row r="96" spans="2:5" x14ac:dyDescent="0.25">
      <c r="B96" s="30">
        <v>92</v>
      </c>
      <c r="C96" s="63">
        <f ca="1">_xll.mscTrancheCalculatePV($C$2,$I$5,$I$3,B96,$I$4)</f>
        <v>58067.673242476543</v>
      </c>
      <c r="D96" s="63">
        <f ca="1">_xll.mscTrancheCalculatePV(D$2,$I$5,$I$3,$B96,$I$4)</f>
        <v>269903.464522038</v>
      </c>
      <c r="E96" s="63">
        <f ca="1">_xll.mscTrancheCalculatePV(E$2,$I$5,$I$3,$B96,$I$4)</f>
        <v>3163667.1097680777</v>
      </c>
    </row>
    <row r="97" spans="2:5" x14ac:dyDescent="0.25">
      <c r="B97" s="30">
        <v>93</v>
      </c>
      <c r="C97" s="63">
        <f ca="1">_xll.mscTrancheCalculatePV($C$2,$I$5,$I$3,B97,$I$4)</f>
        <v>58067.673242476543</v>
      </c>
      <c r="D97" s="63">
        <f ca="1">_xll.mscTrancheCalculatePV(D$2,$I$5,$I$3,$B97,$I$4)</f>
        <v>269903.464522038</v>
      </c>
      <c r="E97" s="63">
        <f ca="1">_xll.mscTrancheCalculatePV(E$2,$I$5,$I$3,$B97,$I$4)</f>
        <v>3163667.1097680777</v>
      </c>
    </row>
    <row r="98" spans="2:5" x14ac:dyDescent="0.25">
      <c r="B98" s="30">
        <v>94</v>
      </c>
      <c r="C98" s="63">
        <f ca="1">_xll.mscTrancheCalculatePV($C$2,$I$5,$I$3,B98,$I$4)</f>
        <v>58067.673242476543</v>
      </c>
      <c r="D98" s="63">
        <f ca="1">_xll.mscTrancheCalculatePV(D$2,$I$5,$I$3,$B98,$I$4)</f>
        <v>269903.464522038</v>
      </c>
      <c r="E98" s="63">
        <f ca="1">_xll.mscTrancheCalculatePV(E$2,$I$5,$I$3,$B98,$I$4)</f>
        <v>3163667.1097680777</v>
      </c>
    </row>
    <row r="99" spans="2:5" x14ac:dyDescent="0.25">
      <c r="B99" s="30">
        <v>95</v>
      </c>
      <c r="C99" s="63">
        <f ca="1">_xll.mscTrancheCalculatePV($C$2,$I$5,$I$3,B99,$I$4)</f>
        <v>58067.673242476543</v>
      </c>
      <c r="D99" s="63">
        <f ca="1">_xll.mscTrancheCalculatePV(D$2,$I$5,$I$3,$B99,$I$4)</f>
        <v>269903.464522038</v>
      </c>
      <c r="E99" s="63">
        <f ca="1">_xll.mscTrancheCalculatePV(E$2,$I$5,$I$3,$B99,$I$4)</f>
        <v>3163667.1097680777</v>
      </c>
    </row>
    <row r="100" spans="2:5" x14ac:dyDescent="0.25">
      <c r="B100" s="30">
        <v>96</v>
      </c>
      <c r="C100" s="63">
        <f ca="1">_xll.mscTrancheCalculatePV($C$2,$I$5,$I$3,B100,$I$4)</f>
        <v>58067.673242476543</v>
      </c>
      <c r="D100" s="63">
        <f ca="1">_xll.mscTrancheCalculatePV(D$2,$I$5,$I$3,$B100,$I$4)</f>
        <v>269903.464522038</v>
      </c>
      <c r="E100" s="63">
        <f ca="1">_xll.mscTrancheCalculatePV(E$2,$I$5,$I$3,$B100,$I$4)</f>
        <v>3163667.1097680777</v>
      </c>
    </row>
    <row r="101" spans="2:5" x14ac:dyDescent="0.25">
      <c r="B101" s="30">
        <v>97</v>
      </c>
      <c r="C101" s="63">
        <f ca="1">_xll.mscTrancheCalculatePV($C$2,$I$5,$I$3,B101,$I$4)</f>
        <v>58067.673242476543</v>
      </c>
      <c r="D101" s="63">
        <f ca="1">_xll.mscTrancheCalculatePV(D$2,$I$5,$I$3,$B101,$I$4)</f>
        <v>269903.464522038</v>
      </c>
      <c r="E101" s="63">
        <f ca="1">_xll.mscTrancheCalculatePV(E$2,$I$5,$I$3,$B101,$I$4)</f>
        <v>3163667.1097680777</v>
      </c>
    </row>
    <row r="102" spans="2:5" x14ac:dyDescent="0.25">
      <c r="B102" s="31">
        <v>98</v>
      </c>
      <c r="C102" s="64">
        <f ca="1">_xll.mscTrancheCalculatePV($C$2,$I$5,$I$3,B102,$I$4)</f>
        <v>58067.673242476543</v>
      </c>
      <c r="D102" s="64">
        <f ca="1">_xll.mscTrancheCalculatePV(D$2,$I$5,$I$3,$B102,$I$4)</f>
        <v>269903.464522038</v>
      </c>
      <c r="E102" s="64">
        <f ca="1">_xll.mscTrancheCalculatePV(E$2,$I$5,$I$3,$B102,$I$4)</f>
        <v>3163667.1097680777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2"/>
  <sheetViews>
    <sheetView showGridLines="0" workbookViewId="0"/>
  </sheetViews>
  <sheetFormatPr defaultRowHeight="15" x14ac:dyDescent="0.25"/>
  <cols>
    <col min="1" max="1" width="4.42578125" customWidth="1"/>
    <col min="2" max="2" width="12.140625" customWidth="1"/>
    <col min="3" max="5" width="13.28515625" bestFit="1" customWidth="1"/>
    <col min="8" max="8" width="15.5703125" customWidth="1"/>
    <col min="9" max="9" width="20.140625" bestFit="1" customWidth="1"/>
  </cols>
  <sheetData>
    <row r="2" spans="2:9" x14ac:dyDescent="0.25">
      <c r="C2" s="28" t="str">
        <f ca="1">CashflowEngine!E7</f>
        <v>EQUITY:1</v>
      </c>
      <c r="D2" s="28" t="str">
        <f ca="1">CashflowEngine!E8</f>
        <v>MEZZ:1</v>
      </c>
      <c r="E2" s="28" t="str">
        <f ca="1">CashflowEngine!E9</f>
        <v>SENIOR:1</v>
      </c>
      <c r="H2" s="1" t="s">
        <v>92</v>
      </c>
    </row>
    <row r="3" spans="2:9" x14ac:dyDescent="0.25">
      <c r="B3" s="1" t="s">
        <v>91</v>
      </c>
      <c r="C3" s="1" t="s">
        <v>87</v>
      </c>
      <c r="D3" s="1" t="s">
        <v>87</v>
      </c>
      <c r="E3" s="1" t="s">
        <v>87</v>
      </c>
      <c r="H3" s="25" t="s">
        <v>89</v>
      </c>
      <c r="I3" s="58">
        <f ca="1">CashflowEngine!C26</f>
        <v>43858</v>
      </c>
    </row>
    <row r="4" spans="2:9" x14ac:dyDescent="0.25">
      <c r="B4" s="29">
        <v>0</v>
      </c>
      <c r="C4" s="70">
        <f ca="1">_xll.mscTrancheCalculatePVDiscountMargin(C$2,$I$4,$I$3,$B4)</f>
        <v>1854084.1828801702</v>
      </c>
      <c r="D4" s="70">
        <f ca="1">_xll.mscTrancheCalculatePVDiscountMargin(D$2,$I$4,$I$3,$B4)</f>
        <v>2005280.8688577781</v>
      </c>
      <c r="E4" s="70">
        <f ca="1">_xll.mscTrancheCalculatePVDiscountMargin(E$2,$I$4,$I$3,$B4)</f>
        <v>2904950.9323692434</v>
      </c>
      <c r="H4" s="61" t="s">
        <v>36</v>
      </c>
      <c r="I4" s="28" t="str">
        <f ca="1">CashflowEngine!C22</f>
        <v>CAPITALSTRUCTURE:7</v>
      </c>
    </row>
    <row r="5" spans="2:9" x14ac:dyDescent="0.25">
      <c r="B5" s="30">
        <v>1</v>
      </c>
      <c r="C5" s="63">
        <f ca="1">_xll.mscTrancheCalculatePVDiscountMargin(C$2,$I$4,$I$3,$B5)</f>
        <v>1711626.6788647745</v>
      </c>
      <c r="D5" s="63">
        <f ca="1">_xll.mscTrancheCalculatePVDiscountMargin(D$2,$I$4,$I$3,$B5)</f>
        <v>2011005.2952046609</v>
      </c>
      <c r="E5" s="63">
        <f ca="1">_xll.mscTrancheCalculatePVDiscountMargin(E$2,$I$4,$I$3,$B5)</f>
        <v>2915070.9447812224</v>
      </c>
    </row>
    <row r="6" spans="2:9" x14ac:dyDescent="0.25">
      <c r="B6" s="30">
        <v>2</v>
      </c>
      <c r="C6" s="63">
        <f ca="1">_xll.mscTrancheCalculatePVDiscountMargin(C$2,$I$4,$I$3,$B6)</f>
        <v>1573689.6062226288</v>
      </c>
      <c r="D6" s="63">
        <f ca="1">_xll.mscTrancheCalculatePVDiscountMargin(D$2,$I$4,$I$3,$B6)</f>
        <v>2018841.8610474025</v>
      </c>
      <c r="E6" s="63">
        <f ca="1">_xll.mscTrancheCalculatePVDiscountMargin(E$2,$I$4,$I$3,$B6)</f>
        <v>2927916.841285985</v>
      </c>
    </row>
    <row r="7" spans="2:9" x14ac:dyDescent="0.25">
      <c r="B7" s="30">
        <v>3</v>
      </c>
      <c r="C7" s="63">
        <f ca="1">_xll.mscTrancheCalculatePVDiscountMargin(C$2,$I$4,$I$3,$B7)</f>
        <v>1438570.3383659017</v>
      </c>
      <c r="D7" s="63">
        <f ca="1">_xll.mscTrancheCalculatePVDiscountMargin(D$2,$I$4,$I$3,$B7)</f>
        <v>2027202.2968996682</v>
      </c>
      <c r="E7" s="63">
        <f ca="1">_xll.mscTrancheCalculatePVDiscountMargin(E$2,$I$4,$I$3,$B7)</f>
        <v>2941062.8298927383</v>
      </c>
    </row>
    <row r="8" spans="2:9" x14ac:dyDescent="0.25">
      <c r="B8" s="30">
        <v>4</v>
      </c>
      <c r="C8" s="63">
        <f ca="1">_xll.mscTrancheCalculatePVDiscountMargin(C$2,$I$4,$I$3,$B8)</f>
        <v>1305768.9728942525</v>
      </c>
      <c r="D8" s="63">
        <f ca="1">_xll.mscTrancheCalculatePVDiscountMargin(D$2,$I$4,$I$3,$B8)</f>
        <v>2035593.6003208521</v>
      </c>
      <c r="E8" s="63">
        <f ca="1">_xll.mscTrancheCalculatePVDiscountMargin(E$2,$I$4,$I$3,$B8)</f>
        <v>2953796.7542532762</v>
      </c>
    </row>
    <row r="9" spans="2:9" x14ac:dyDescent="0.25">
      <c r="B9" s="30">
        <v>5</v>
      </c>
      <c r="C9" s="63">
        <f ca="1">_xll.mscTrancheCalculatePVDiscountMargin(C$2,$I$4,$I$3,$B9)</f>
        <v>1175395.7018889105</v>
      </c>
      <c r="D9" s="63">
        <f ca="1">_xll.mscTrancheCalculatePVDiscountMargin(D$2,$I$4,$I$3,$B9)</f>
        <v>2044219.0961061094</v>
      </c>
      <c r="E9" s="63">
        <f ca="1">_xll.mscTrancheCalculatePVDiscountMargin(E$2,$I$4,$I$3,$B9)</f>
        <v>2966392.1778827282</v>
      </c>
    </row>
    <row r="10" spans="2:9" x14ac:dyDescent="0.25">
      <c r="B10" s="30">
        <v>6</v>
      </c>
      <c r="C10" s="63">
        <f ca="1">_xll.mscTrancheCalculatePVDiscountMargin(C$2,$I$4,$I$3,$B10)</f>
        <v>1047090.034216698</v>
      </c>
      <c r="D10" s="63">
        <f ca="1">_xll.mscTrancheCalculatePVDiscountMargin(D$2,$I$4,$I$3,$B10)</f>
        <v>2052631.5083179143</v>
      </c>
      <c r="E10" s="63">
        <f ca="1">_xll.mscTrancheCalculatePVDiscountMargin(E$2,$I$4,$I$3,$B10)</f>
        <v>2978266.5935311019</v>
      </c>
    </row>
    <row r="11" spans="2:9" x14ac:dyDescent="0.25">
      <c r="B11" s="30">
        <v>7</v>
      </c>
      <c r="C11" s="63">
        <f ca="1">_xll.mscTrancheCalculatePVDiscountMargin(C$2,$I$4,$I$3,$B11)</f>
        <v>921392.73953639087</v>
      </c>
      <c r="D11" s="63">
        <f ca="1">_xll.mscTrancheCalculatePVDiscountMargin(D$2,$I$4,$I$3,$B11)</f>
        <v>2061765.8479931767</v>
      </c>
      <c r="E11" s="63">
        <f ca="1">_xll.mscTrancheCalculatePVDiscountMargin(E$2,$I$4,$I$3,$B11)</f>
        <v>2990582.6809986746</v>
      </c>
    </row>
    <row r="12" spans="2:9" x14ac:dyDescent="0.25">
      <c r="B12" s="30">
        <v>8</v>
      </c>
      <c r="C12" s="63">
        <f ca="1">_xll.mscTrancheCalculatePVDiscountMargin(C$2,$I$4,$I$3,$B12)</f>
        <v>797288.34829376545</v>
      </c>
      <c r="D12" s="63">
        <f ca="1">_xll.mscTrancheCalculatePVDiscountMargin(D$2,$I$4,$I$3,$B12)</f>
        <v>2069876.5710431167</v>
      </c>
      <c r="E12" s="63">
        <f ca="1">_xll.mscTrancheCalculatePVDiscountMargin(E$2,$I$4,$I$3,$B12)</f>
        <v>3001252.0720441607</v>
      </c>
    </row>
    <row r="13" spans="2:9" x14ac:dyDescent="0.25">
      <c r="B13" s="30">
        <v>9</v>
      </c>
      <c r="C13" s="63">
        <f ca="1">_xll.mscTrancheCalculatePVDiscountMargin(C$2,$I$4,$I$3,$B13)</f>
        <v>675455.47348947776</v>
      </c>
      <c r="D13" s="63">
        <f ca="1">_xll.mscTrancheCalculatePVDiscountMargin(D$2,$I$4,$I$3,$B13)</f>
        <v>2078284.7005171466</v>
      </c>
      <c r="E13" s="63">
        <f ca="1">_xll.mscTrancheCalculatePVDiscountMargin(E$2,$I$4,$I$3,$B13)</f>
        <v>3011841.6355515672</v>
      </c>
    </row>
    <row r="14" spans="2:9" x14ac:dyDescent="0.25">
      <c r="B14" s="30">
        <v>10</v>
      </c>
      <c r="C14" s="63">
        <f ca="1">_xll.mscTrancheCalculatePVDiscountMargin(C$2,$I$4,$I$3,$B14)</f>
        <v>555900.89554482454</v>
      </c>
      <c r="D14" s="63">
        <f ca="1">_xll.mscTrancheCalculatePVDiscountMargin(D$2,$I$4,$I$3,$B14)</f>
        <v>2087172.4637816085</v>
      </c>
      <c r="E14" s="63">
        <f ca="1">_xll.mscTrancheCalculatePVDiscountMargin(E$2,$I$4,$I$3,$B14)</f>
        <v>3022531.5646224655</v>
      </c>
    </row>
    <row r="15" spans="2:9" x14ac:dyDescent="0.25">
      <c r="B15" s="30">
        <v>11</v>
      </c>
      <c r="C15" s="63">
        <f ca="1">_xll.mscTrancheCalculatePVDiscountMargin(C$2,$I$4,$I$3,$B15)</f>
        <v>438140.57835997909</v>
      </c>
      <c r="D15" s="63">
        <f ca="1">_xll.mscTrancheCalculatePVDiscountMargin(D$2,$I$4,$I$3,$B15)</f>
        <v>2095302.3912811195</v>
      </c>
      <c r="E15" s="63">
        <f ca="1">_xll.mscTrancheCalculatePVDiscountMargin(E$2,$I$4,$I$3,$B15)</f>
        <v>3032015.3821882159</v>
      </c>
    </row>
    <row r="16" spans="2:9" x14ac:dyDescent="0.25">
      <c r="B16" s="30">
        <v>12</v>
      </c>
      <c r="C16" s="63">
        <f ca="1">_xll.mscTrancheCalculatePVDiscountMargin(C$2,$I$4,$I$3,$B16)</f>
        <v>322562.98490340979</v>
      </c>
      <c r="D16" s="63">
        <f ca="1">_xll.mscTrancheCalculatePVDiscountMargin(D$2,$I$4,$I$3,$B16)</f>
        <v>2103960.6415813942</v>
      </c>
      <c r="E16" s="63">
        <f ca="1">_xll.mscTrancheCalculatePVDiscountMargin(E$2,$I$4,$I$3,$B16)</f>
        <v>3041623.8574824887</v>
      </c>
    </row>
    <row r="17" spans="2:5" x14ac:dyDescent="0.25">
      <c r="B17" s="30">
        <v>13</v>
      </c>
      <c r="C17" s="63">
        <f ca="1">_xll.mscTrancheCalculatePVDiscountMargin(C$2,$I$4,$I$3,$B17)</f>
        <v>208971.32817653898</v>
      </c>
      <c r="D17" s="63">
        <f ca="1">_xll.mscTrancheCalculatePVDiscountMargin(D$2,$I$4,$I$3,$B17)</f>
        <v>2112578.498022553</v>
      </c>
      <c r="E17" s="63">
        <f ca="1">_xll.mscTrancheCalculatePVDiscountMargin(E$2,$I$4,$I$3,$B17)</f>
        <v>3050789.775505112</v>
      </c>
    </row>
    <row r="18" spans="2:5" x14ac:dyDescent="0.25">
      <c r="B18" s="30">
        <v>14</v>
      </c>
      <c r="C18" s="63">
        <f ca="1">_xll.mscTrancheCalculatePVDiscountMargin(C$2,$I$4,$I$3,$B18)</f>
        <v>97240.056381630333</v>
      </c>
      <c r="D18" s="63">
        <f ca="1">_xll.mscTrancheCalculatePVDiscountMargin(D$2,$I$4,$I$3,$B18)</f>
        <v>2120445.0299581466</v>
      </c>
      <c r="E18" s="63">
        <f ca="1">_xll.mscTrancheCalculatePVDiscountMargin(E$2,$I$4,$I$3,$B18)</f>
        <v>3058882.7850004211</v>
      </c>
    </row>
    <row r="19" spans="2:5" x14ac:dyDescent="0.25">
      <c r="B19" s="30">
        <v>15</v>
      </c>
      <c r="C19" s="63">
        <f ca="1">_xll.mscTrancheCalculatePVDiscountMargin(C$2,$I$4,$I$3,$B19)</f>
        <v>58368.817478490666</v>
      </c>
      <c r="D19" s="63">
        <f ca="1">_xll.mscTrancheCalculatePVDiscountMargin(D$2,$I$4,$I$3,$B19)</f>
        <v>2058300.0104103703</v>
      </c>
      <c r="E19" s="63">
        <f ca="1">_xll.mscTrancheCalculatePVDiscountMargin(E$2,$I$4,$I$3,$B19)</f>
        <v>3067296.6984223556</v>
      </c>
    </row>
    <row r="20" spans="2:5" x14ac:dyDescent="0.25">
      <c r="B20" s="30">
        <v>16</v>
      </c>
      <c r="C20" s="63">
        <f ca="1">_xll.mscTrancheCalculatePVDiscountMargin(C$2,$I$4,$I$3,$B20)</f>
        <v>58536.421589084348</v>
      </c>
      <c r="D20" s="63">
        <f ca="1">_xll.mscTrancheCalculatePVDiscountMargin(D$2,$I$4,$I$3,$B20)</f>
        <v>1959259.9448898938</v>
      </c>
      <c r="E20" s="63">
        <f ca="1">_xll.mscTrancheCalculatePVDiscountMargin(E$2,$I$4,$I$3,$B20)</f>
        <v>3075506.26904167</v>
      </c>
    </row>
    <row r="21" spans="2:5" x14ac:dyDescent="0.25">
      <c r="B21" s="30">
        <v>17</v>
      </c>
      <c r="C21" s="63">
        <f ca="1">_xll.mscTrancheCalculatePVDiscountMargin(C$2,$I$4,$I$3,$B21)</f>
        <v>58536.421589084348</v>
      </c>
      <c r="D21" s="63">
        <f ca="1">_xll.mscTrancheCalculatePVDiscountMargin(D$2,$I$4,$I$3,$B21)</f>
        <v>1861495.921962824</v>
      </c>
      <c r="E21" s="63">
        <f ca="1">_xll.mscTrancheCalculatePVDiscountMargin(E$2,$I$4,$I$3,$B21)</f>
        <v>3082717.6891842065</v>
      </c>
    </row>
    <row r="22" spans="2:5" x14ac:dyDescent="0.25">
      <c r="B22" s="30">
        <v>18</v>
      </c>
      <c r="C22" s="63">
        <f ca="1">_xll.mscTrancheCalculatePVDiscountMargin(C$2,$I$4,$I$3,$B22)</f>
        <v>58536.421589084348</v>
      </c>
      <c r="D22" s="63">
        <f ca="1">_xll.mscTrancheCalculatePVDiscountMargin(D$2,$I$4,$I$3,$B22)</f>
        <v>1765878.3563043328</v>
      </c>
      <c r="E22" s="63">
        <f ca="1">_xll.mscTrancheCalculatePVDiscountMargin(E$2,$I$4,$I$3,$B22)</f>
        <v>3089776.9626820511</v>
      </c>
    </row>
    <row r="23" spans="2:5" x14ac:dyDescent="0.25">
      <c r="B23" s="30">
        <v>19</v>
      </c>
      <c r="C23" s="63">
        <f ca="1">_xll.mscTrancheCalculatePVDiscountMargin(C$2,$I$4,$I$3,$B23)</f>
        <v>58536.421589084348</v>
      </c>
      <c r="D23" s="63">
        <f ca="1">_xll.mscTrancheCalculatePVDiscountMargin(D$2,$I$4,$I$3,$B23)</f>
        <v>1672547.7628401273</v>
      </c>
      <c r="E23" s="63">
        <f ca="1">_xll.mscTrancheCalculatePVDiscountMargin(E$2,$I$4,$I$3,$B23)</f>
        <v>3096822.1032413226</v>
      </c>
    </row>
    <row r="24" spans="2:5" x14ac:dyDescent="0.25">
      <c r="B24" s="30">
        <v>20</v>
      </c>
      <c r="C24" s="63">
        <f ca="1">_xll.mscTrancheCalculatePVDiscountMargin(C$2,$I$4,$I$3,$B24)</f>
        <v>58536.421589084348</v>
      </c>
      <c r="D24" s="63">
        <f ca="1">_xll.mscTrancheCalculatePVDiscountMargin(D$2,$I$4,$I$3,$B24)</f>
        <v>1580577.077231179</v>
      </c>
      <c r="E24" s="63">
        <f ca="1">_xll.mscTrancheCalculatePVDiscountMargin(E$2,$I$4,$I$3,$B24)</f>
        <v>3103139.8110635257</v>
      </c>
    </row>
    <row r="25" spans="2:5" x14ac:dyDescent="0.25">
      <c r="B25" s="30">
        <v>21</v>
      </c>
      <c r="C25" s="63">
        <f ca="1">_xll.mscTrancheCalculatePVDiscountMargin(C$2,$I$4,$I$3,$B25)</f>
        <v>58536.421589084348</v>
      </c>
      <c r="D25" s="63">
        <f ca="1">_xll.mscTrancheCalculatePVDiscountMargin(D$2,$I$4,$I$3,$B25)</f>
        <v>1490408.9928311578</v>
      </c>
      <c r="E25" s="63">
        <f ca="1">_xll.mscTrancheCalculatePVDiscountMargin(E$2,$I$4,$I$3,$B25)</f>
        <v>3109105.1470222287</v>
      </c>
    </row>
    <row r="26" spans="2:5" x14ac:dyDescent="0.25">
      <c r="B26" s="30">
        <v>22</v>
      </c>
      <c r="C26" s="63">
        <f ca="1">_xll.mscTrancheCalculatePVDiscountMargin(C$2,$I$4,$I$3,$B26)</f>
        <v>58536.421589084348</v>
      </c>
      <c r="D26" s="63">
        <f ca="1">_xll.mscTrancheCalculatePVDiscountMargin(D$2,$I$4,$I$3,$B26)</f>
        <v>1402198.9476298809</v>
      </c>
      <c r="E26" s="63">
        <f ca="1">_xll.mscTrancheCalculatePVDiscountMargin(E$2,$I$4,$I$3,$B26)</f>
        <v>3114865.0847647516</v>
      </c>
    </row>
    <row r="27" spans="2:5" x14ac:dyDescent="0.25">
      <c r="B27" s="30">
        <v>23</v>
      </c>
      <c r="C27" s="63">
        <f ca="1">_xll.mscTrancheCalculatePVDiscountMargin(C$2,$I$4,$I$3,$B27)</f>
        <v>58536.421589084348</v>
      </c>
      <c r="D27" s="63">
        <f ca="1">_xll.mscTrancheCalculatePVDiscountMargin(D$2,$I$4,$I$3,$B27)</f>
        <v>1315560.7431913181</v>
      </c>
      <c r="E27" s="63">
        <f ca="1">_xll.mscTrancheCalculatePVDiscountMargin(E$2,$I$4,$I$3,$B27)</f>
        <v>3120133.7659746688</v>
      </c>
    </row>
    <row r="28" spans="2:5" x14ac:dyDescent="0.25">
      <c r="B28" s="30">
        <v>24</v>
      </c>
      <c r="C28" s="63">
        <f ca="1">_xll.mscTrancheCalculatePVDiscountMargin(C$2,$I$4,$I$3,$B28)</f>
        <v>58536.421589084348</v>
      </c>
      <c r="D28" s="63">
        <f ca="1">_xll.mscTrancheCalculatePVDiscountMargin(D$2,$I$4,$I$3,$B28)</f>
        <v>1231132.7142168661</v>
      </c>
      <c r="E28" s="63">
        <f ca="1">_xll.mscTrancheCalculatePVDiscountMargin(E$2,$I$4,$I$3,$B28)</f>
        <v>3125441.4341646126</v>
      </c>
    </row>
    <row r="29" spans="2:5" x14ac:dyDescent="0.25">
      <c r="B29" s="30">
        <v>25</v>
      </c>
      <c r="C29" s="63">
        <f ca="1">_xll.mscTrancheCalculatePVDiscountMargin(C$2,$I$4,$I$3,$B29)</f>
        <v>58536.421589084348</v>
      </c>
      <c r="D29" s="63">
        <f ca="1">_xll.mscTrancheCalculatePVDiscountMargin(D$2,$I$4,$I$3,$B29)</f>
        <v>1147753.6059528331</v>
      </c>
      <c r="E29" s="63">
        <f ca="1">_xll.mscTrancheCalculatePVDiscountMargin(E$2,$I$4,$I$3,$B29)</f>
        <v>3129884.8294397797</v>
      </c>
    </row>
    <row r="30" spans="2:5" x14ac:dyDescent="0.25">
      <c r="B30" s="30">
        <v>26</v>
      </c>
      <c r="C30" s="63">
        <f ca="1">_xll.mscTrancheCalculatePVDiscountMargin(C$2,$I$4,$I$3,$B30)</f>
        <v>58536.421589084348</v>
      </c>
      <c r="D30" s="63">
        <f ca="1">_xll.mscTrancheCalculatePVDiscountMargin(D$2,$I$4,$I$3,$B30)</f>
        <v>1065947.1450531303</v>
      </c>
      <c r="E30" s="63">
        <f ca="1">_xll.mscTrancheCalculatePVDiscountMargin(E$2,$I$4,$I$3,$B30)</f>
        <v>3133901.0636362936</v>
      </c>
    </row>
    <row r="31" spans="2:5" x14ac:dyDescent="0.25">
      <c r="B31" s="30">
        <v>27</v>
      </c>
      <c r="C31" s="63">
        <f ca="1">_xll.mscTrancheCalculatePVDiscountMargin(C$2,$I$4,$I$3,$B31)</f>
        <v>58536.421589084348</v>
      </c>
      <c r="D31" s="63">
        <f ca="1">_xll.mscTrancheCalculatePVDiscountMargin(D$2,$I$4,$I$3,$B31)</f>
        <v>986730.20379852946</v>
      </c>
      <c r="E31" s="63">
        <f ca="1">_xll.mscTrancheCalculatePVDiscountMargin(E$2,$I$4,$I$3,$B31)</f>
        <v>3138311.2628533985</v>
      </c>
    </row>
    <row r="32" spans="2:5" x14ac:dyDescent="0.25">
      <c r="B32" s="30">
        <v>28</v>
      </c>
      <c r="C32" s="63">
        <f ca="1">_xll.mscTrancheCalculatePVDiscountMargin(C$2,$I$4,$I$3,$B32)</f>
        <v>58536.421589084348</v>
      </c>
      <c r="D32" s="63">
        <f ca="1">_xll.mscTrancheCalculatePVDiscountMargin(D$2,$I$4,$I$3,$B32)</f>
        <v>908147.37553368346</v>
      </c>
      <c r="E32" s="63">
        <f ca="1">_xll.mscTrancheCalculatePVDiscountMargin(E$2,$I$4,$I$3,$B32)</f>
        <v>3141598.0745065734</v>
      </c>
    </row>
    <row r="33" spans="2:5" x14ac:dyDescent="0.25">
      <c r="B33" s="30">
        <v>29</v>
      </c>
      <c r="C33" s="63">
        <f ca="1">_xll.mscTrancheCalculatePVDiscountMargin(C$2,$I$4,$I$3,$B33)</f>
        <v>58536.421589084348</v>
      </c>
      <c r="D33" s="63">
        <f ca="1">_xll.mscTrancheCalculatePVDiscountMargin(D$2,$I$4,$I$3,$B33)</f>
        <v>831551.05467323284</v>
      </c>
      <c r="E33" s="63">
        <f ca="1">_xll.mscTrancheCalculatePVDiscountMargin(E$2,$I$4,$I$3,$B33)</f>
        <v>3144837.7453174083</v>
      </c>
    </row>
    <row r="34" spans="2:5" x14ac:dyDescent="0.25">
      <c r="B34" s="30">
        <v>30</v>
      </c>
      <c r="C34" s="63">
        <f ca="1">_xll.mscTrancheCalculatePVDiscountMargin(C$2,$I$4,$I$3,$B34)</f>
        <v>58536.421589084348</v>
      </c>
      <c r="D34" s="63">
        <f ca="1">_xll.mscTrancheCalculatePVDiscountMargin(D$2,$I$4,$I$3,$B34)</f>
        <v>756562.73009265284</v>
      </c>
      <c r="E34" s="63">
        <f ca="1">_xll.mscTrancheCalculatePVDiscountMargin(E$2,$I$4,$I$3,$B34)</f>
        <v>3147753.1205990152</v>
      </c>
    </row>
    <row r="35" spans="2:5" x14ac:dyDescent="0.25">
      <c r="B35" s="30">
        <v>31</v>
      </c>
      <c r="C35" s="63">
        <f ca="1">_xll.mscTrancheCalculatePVDiscountMargin(C$2,$I$4,$I$3,$B35)</f>
        <v>58536.421589084348</v>
      </c>
      <c r="D35" s="63">
        <f ca="1">_xll.mscTrancheCalculatePVDiscountMargin(D$2,$I$4,$I$3,$B35)</f>
        <v>683250.70186492777</v>
      </c>
      <c r="E35" s="63">
        <f ca="1">_xll.mscTrancheCalculatePVDiscountMargin(E$2,$I$4,$I$3,$B35)</f>
        <v>3150411.292441329</v>
      </c>
    </row>
    <row r="36" spans="2:5" x14ac:dyDescent="0.25">
      <c r="B36" s="30">
        <v>32</v>
      </c>
      <c r="C36" s="63">
        <f ca="1">_xll.mscTrancheCalculatePVDiscountMargin(C$2,$I$4,$I$3,$B36)</f>
        <v>58536.421589084348</v>
      </c>
      <c r="D36" s="63">
        <f ca="1">_xll.mscTrancheCalculatePVDiscountMargin(D$2,$I$4,$I$3,$B36)</f>
        <v>611499.84815245378</v>
      </c>
      <c r="E36" s="63">
        <f ca="1">_xll.mscTrancheCalculatePVDiscountMargin(E$2,$I$4,$I$3,$B36)</f>
        <v>3152741.0285988972</v>
      </c>
    </row>
    <row r="37" spans="2:5" x14ac:dyDescent="0.25">
      <c r="B37" s="30">
        <v>33</v>
      </c>
      <c r="C37" s="63">
        <f ca="1">_xll.mscTrancheCalculatePVDiscountMargin(C$2,$I$4,$I$3,$B37)</f>
        <v>58536.421589084348</v>
      </c>
      <c r="D37" s="63">
        <f ca="1">_xll.mscTrancheCalculatePVDiscountMargin(D$2,$I$4,$I$3,$B37)</f>
        <v>541360.2154077196</v>
      </c>
      <c r="E37" s="63">
        <f ca="1">_xll.mscTrancheCalculatePVDiscountMargin(E$2,$I$4,$I$3,$B37)</f>
        <v>3154791.0064872717</v>
      </c>
    </row>
    <row r="38" spans="2:5" x14ac:dyDescent="0.25">
      <c r="B38" s="30">
        <v>34</v>
      </c>
      <c r="C38" s="63">
        <f ca="1">_xll.mscTrancheCalculatePVDiscountMargin(C$2,$I$4,$I$3,$B38)</f>
        <v>58536.421589084348</v>
      </c>
      <c r="D38" s="63">
        <f ca="1">_xll.mscTrancheCalculatePVDiscountMargin(D$2,$I$4,$I$3,$B38)</f>
        <v>472569.23690521822</v>
      </c>
      <c r="E38" s="63">
        <f ca="1">_xll.mscTrancheCalculatePVDiscountMargin(E$2,$I$4,$I$3,$B38)</f>
        <v>3156399.6620124327</v>
      </c>
    </row>
    <row r="39" spans="2:5" x14ac:dyDescent="0.25">
      <c r="B39" s="30">
        <v>35</v>
      </c>
      <c r="C39" s="63">
        <f ca="1">_xll.mscTrancheCalculatePVDiscountMargin(C$2,$I$4,$I$3,$B39)</f>
        <v>58536.421589084348</v>
      </c>
      <c r="D39" s="63">
        <f ca="1">_xll.mscTrancheCalculatePVDiscountMargin(D$2,$I$4,$I$3,$B39)</f>
        <v>405357.07856016158</v>
      </c>
      <c r="E39" s="63">
        <f ca="1">_xll.mscTrancheCalculatePVDiscountMargin(E$2,$I$4,$I$3,$B39)</f>
        <v>3157733.6443646732</v>
      </c>
    </row>
    <row r="40" spans="2:5" x14ac:dyDescent="0.25">
      <c r="B40" s="30">
        <v>36</v>
      </c>
      <c r="C40" s="63">
        <f ca="1">_xll.mscTrancheCalculatePVDiscountMargin(C$2,$I$4,$I$3,$B40)</f>
        <v>58536.421589084348</v>
      </c>
      <c r="D40" s="63">
        <f ca="1">_xll.mscTrancheCalculatePVDiscountMargin(D$2,$I$4,$I$3,$B40)</f>
        <v>330008.74100266519</v>
      </c>
      <c r="E40" s="63">
        <f ca="1">_xll.mscTrancheCalculatePVDiscountMargin(E$2,$I$4,$I$3,$B40)</f>
        <v>3168512.5518462243</v>
      </c>
    </row>
    <row r="41" spans="2:5" x14ac:dyDescent="0.25">
      <c r="B41" s="30">
        <v>37</v>
      </c>
      <c r="C41" s="63">
        <f ca="1">_xll.mscTrancheCalculatePVDiscountMargin(C$2,$I$4,$I$3,$B41)</f>
        <v>58536.421589084348</v>
      </c>
      <c r="D41" s="63">
        <f ca="1">_xll.mscTrancheCalculatePVDiscountMargin(D$2,$I$4,$I$3,$B41)</f>
        <v>221231.59326584675</v>
      </c>
      <c r="E41" s="63">
        <f ca="1">_xll.mscTrancheCalculatePVDiscountMargin(E$2,$I$4,$I$3,$B41)</f>
        <v>3226039.7678460749</v>
      </c>
    </row>
    <row r="42" spans="2:5" x14ac:dyDescent="0.25">
      <c r="B42" s="30">
        <v>38</v>
      </c>
      <c r="C42" s="63">
        <f ca="1">_xll.mscTrancheCalculatePVDiscountMargin(C$2,$I$4,$I$3,$B42)</f>
        <v>58536.421589084348</v>
      </c>
      <c r="D42" s="63">
        <f ca="1">_xll.mscTrancheCalculatePVDiscountMargin(D$2,$I$4,$I$3,$B42)</f>
        <v>275988.09833563195</v>
      </c>
      <c r="E42" s="63">
        <f ca="1">_xll.mscTrancheCalculatePVDiscountMargin(E$2,$I$4,$I$3,$B42)</f>
        <v>3226039.7678460749</v>
      </c>
    </row>
    <row r="43" spans="2:5" x14ac:dyDescent="0.25">
      <c r="B43" s="30">
        <v>39</v>
      </c>
      <c r="C43" s="63">
        <f ca="1">_xll.mscTrancheCalculatePVDiscountMargin(C$2,$I$4,$I$3,$B43)</f>
        <v>58536.421589084348</v>
      </c>
      <c r="D43" s="63">
        <f ca="1">_xll.mscTrancheCalculatePVDiscountMargin(D$2,$I$4,$I$3,$B43)</f>
        <v>275988.09833563195</v>
      </c>
      <c r="E43" s="63">
        <f ca="1">_xll.mscTrancheCalculatePVDiscountMargin(E$2,$I$4,$I$3,$B43)</f>
        <v>3226039.7678460749</v>
      </c>
    </row>
    <row r="44" spans="2:5" x14ac:dyDescent="0.25">
      <c r="B44" s="30">
        <v>40</v>
      </c>
      <c r="C44" s="63">
        <f ca="1">_xll.mscTrancheCalculatePVDiscountMargin(C$2,$I$4,$I$3,$B44)</f>
        <v>58536.421589084348</v>
      </c>
      <c r="D44" s="63">
        <f ca="1">_xll.mscTrancheCalculatePVDiscountMargin(D$2,$I$4,$I$3,$B44)</f>
        <v>275988.09833563195</v>
      </c>
      <c r="E44" s="63">
        <f ca="1">_xll.mscTrancheCalculatePVDiscountMargin(E$2,$I$4,$I$3,$B44)</f>
        <v>3226039.7678460749</v>
      </c>
    </row>
    <row r="45" spans="2:5" x14ac:dyDescent="0.25">
      <c r="B45" s="30">
        <v>41</v>
      </c>
      <c r="C45" s="63">
        <f ca="1">_xll.mscTrancheCalculatePVDiscountMargin(C$2,$I$4,$I$3,$B45)</f>
        <v>58536.421589084348</v>
      </c>
      <c r="D45" s="63">
        <f ca="1">_xll.mscTrancheCalculatePVDiscountMargin(D$2,$I$4,$I$3,$B45)</f>
        <v>275988.09833563195</v>
      </c>
      <c r="E45" s="63">
        <f ca="1">_xll.mscTrancheCalculatePVDiscountMargin(E$2,$I$4,$I$3,$B45)</f>
        <v>3226039.7678460749</v>
      </c>
    </row>
    <row r="46" spans="2:5" x14ac:dyDescent="0.25">
      <c r="B46" s="30">
        <v>42</v>
      </c>
      <c r="C46" s="63">
        <f ca="1">_xll.mscTrancheCalculatePVDiscountMargin(C$2,$I$4,$I$3,$B46)</f>
        <v>58536.421589084348</v>
      </c>
      <c r="D46" s="63">
        <f ca="1">_xll.mscTrancheCalculatePVDiscountMargin(D$2,$I$4,$I$3,$B46)</f>
        <v>275988.09833563195</v>
      </c>
      <c r="E46" s="63">
        <f ca="1">_xll.mscTrancheCalculatePVDiscountMargin(E$2,$I$4,$I$3,$B46)</f>
        <v>3226039.7678460749</v>
      </c>
    </row>
    <row r="47" spans="2:5" x14ac:dyDescent="0.25">
      <c r="B47" s="30">
        <v>43</v>
      </c>
      <c r="C47" s="63">
        <f ca="1">_xll.mscTrancheCalculatePVDiscountMargin(C$2,$I$4,$I$3,$B47)</f>
        <v>58536.421589084348</v>
      </c>
      <c r="D47" s="63">
        <f ca="1">_xll.mscTrancheCalculatePVDiscountMargin(D$2,$I$4,$I$3,$B47)</f>
        <v>275988.09833563195</v>
      </c>
      <c r="E47" s="63">
        <f ca="1">_xll.mscTrancheCalculatePVDiscountMargin(E$2,$I$4,$I$3,$B47)</f>
        <v>3226039.7678460749</v>
      </c>
    </row>
    <row r="48" spans="2:5" x14ac:dyDescent="0.25">
      <c r="B48" s="30">
        <v>44</v>
      </c>
      <c r="C48" s="63">
        <f ca="1">_xll.mscTrancheCalculatePVDiscountMargin(C$2,$I$4,$I$3,$B48)</f>
        <v>58536.421589084348</v>
      </c>
      <c r="D48" s="63">
        <f ca="1">_xll.mscTrancheCalculatePVDiscountMargin(D$2,$I$4,$I$3,$B48)</f>
        <v>275988.09833563195</v>
      </c>
      <c r="E48" s="63">
        <f ca="1">_xll.mscTrancheCalculatePVDiscountMargin(E$2,$I$4,$I$3,$B48)</f>
        <v>3226039.7678460749</v>
      </c>
    </row>
    <row r="49" spans="2:5" x14ac:dyDescent="0.25">
      <c r="B49" s="30">
        <v>45</v>
      </c>
      <c r="C49" s="63">
        <f ca="1">_xll.mscTrancheCalculatePVDiscountMargin(C$2,$I$4,$I$3,$B49)</f>
        <v>58536.421589084348</v>
      </c>
      <c r="D49" s="63">
        <f ca="1">_xll.mscTrancheCalculatePVDiscountMargin(D$2,$I$4,$I$3,$B49)</f>
        <v>275988.09833563195</v>
      </c>
      <c r="E49" s="63">
        <f ca="1">_xll.mscTrancheCalculatePVDiscountMargin(E$2,$I$4,$I$3,$B49)</f>
        <v>3226039.7678460749</v>
      </c>
    </row>
    <row r="50" spans="2:5" x14ac:dyDescent="0.25">
      <c r="B50" s="30">
        <v>46</v>
      </c>
      <c r="C50" s="63">
        <f ca="1">_xll.mscTrancheCalculatePVDiscountMargin(C$2,$I$4,$I$3,$B50)</f>
        <v>58536.421589084348</v>
      </c>
      <c r="D50" s="63">
        <f ca="1">_xll.mscTrancheCalculatePVDiscountMargin(D$2,$I$4,$I$3,$B50)</f>
        <v>275988.09833563195</v>
      </c>
      <c r="E50" s="63">
        <f ca="1">_xll.mscTrancheCalculatePVDiscountMargin(E$2,$I$4,$I$3,$B50)</f>
        <v>3226039.7678460749</v>
      </c>
    </row>
    <row r="51" spans="2:5" x14ac:dyDescent="0.25">
      <c r="B51" s="30">
        <v>47</v>
      </c>
      <c r="C51" s="63">
        <f ca="1">_xll.mscTrancheCalculatePVDiscountMargin(C$2,$I$4,$I$3,$B51)</f>
        <v>58536.421589084348</v>
      </c>
      <c r="D51" s="63">
        <f ca="1">_xll.mscTrancheCalculatePVDiscountMargin(D$2,$I$4,$I$3,$B51)</f>
        <v>275988.09833563195</v>
      </c>
      <c r="E51" s="63">
        <f ca="1">_xll.mscTrancheCalculatePVDiscountMargin(E$2,$I$4,$I$3,$B51)</f>
        <v>3226039.7678460749</v>
      </c>
    </row>
    <row r="52" spans="2:5" x14ac:dyDescent="0.25">
      <c r="B52" s="30">
        <v>48</v>
      </c>
      <c r="C52" s="63">
        <f ca="1">_xll.mscTrancheCalculatePVDiscountMargin(C$2,$I$4,$I$3,$B52)</f>
        <v>58536.421589084348</v>
      </c>
      <c r="D52" s="63">
        <f ca="1">_xll.mscTrancheCalculatePVDiscountMargin(D$2,$I$4,$I$3,$B52)</f>
        <v>275988.09833563195</v>
      </c>
      <c r="E52" s="63">
        <f ca="1">_xll.mscTrancheCalculatePVDiscountMargin(E$2,$I$4,$I$3,$B52)</f>
        <v>3226039.7678460749</v>
      </c>
    </row>
    <row r="53" spans="2:5" x14ac:dyDescent="0.25">
      <c r="B53" s="30">
        <v>49</v>
      </c>
      <c r="C53" s="63">
        <f ca="1">_xll.mscTrancheCalculatePVDiscountMargin(C$2,$I$4,$I$3,$B53)</f>
        <v>58536.421589084348</v>
      </c>
      <c r="D53" s="63">
        <f ca="1">_xll.mscTrancheCalculatePVDiscountMargin(D$2,$I$4,$I$3,$B53)</f>
        <v>275988.09833563195</v>
      </c>
      <c r="E53" s="63">
        <f ca="1">_xll.mscTrancheCalculatePVDiscountMargin(E$2,$I$4,$I$3,$B53)</f>
        <v>3226039.7678460749</v>
      </c>
    </row>
    <row r="54" spans="2:5" x14ac:dyDescent="0.25">
      <c r="B54" s="30">
        <v>50</v>
      </c>
      <c r="C54" s="63">
        <f ca="1">_xll.mscTrancheCalculatePVDiscountMargin(C$2,$I$4,$I$3,$B54)</f>
        <v>58536.421589084348</v>
      </c>
      <c r="D54" s="63">
        <f ca="1">_xll.mscTrancheCalculatePVDiscountMargin(D$2,$I$4,$I$3,$B54)</f>
        <v>275988.09833563195</v>
      </c>
      <c r="E54" s="63">
        <f ca="1">_xll.mscTrancheCalculatePVDiscountMargin(E$2,$I$4,$I$3,$B54)</f>
        <v>3226039.7678460749</v>
      </c>
    </row>
    <row r="55" spans="2:5" x14ac:dyDescent="0.25">
      <c r="B55" s="30">
        <v>51</v>
      </c>
      <c r="C55" s="63">
        <f ca="1">_xll.mscTrancheCalculatePVDiscountMargin(C$2,$I$4,$I$3,$B55)</f>
        <v>58536.421589084348</v>
      </c>
      <c r="D55" s="63">
        <f ca="1">_xll.mscTrancheCalculatePVDiscountMargin(D$2,$I$4,$I$3,$B55)</f>
        <v>275988.09833563195</v>
      </c>
      <c r="E55" s="63">
        <f ca="1">_xll.mscTrancheCalculatePVDiscountMargin(E$2,$I$4,$I$3,$B55)</f>
        <v>3226039.7678460749</v>
      </c>
    </row>
    <row r="56" spans="2:5" x14ac:dyDescent="0.25">
      <c r="B56" s="30">
        <v>52</v>
      </c>
      <c r="C56" s="63">
        <f ca="1">_xll.mscTrancheCalculatePVDiscountMargin(C$2,$I$4,$I$3,$B56)</f>
        <v>58536.421589084348</v>
      </c>
      <c r="D56" s="63">
        <f ca="1">_xll.mscTrancheCalculatePVDiscountMargin(D$2,$I$4,$I$3,$B56)</f>
        <v>275988.09833563195</v>
      </c>
      <c r="E56" s="63">
        <f ca="1">_xll.mscTrancheCalculatePVDiscountMargin(E$2,$I$4,$I$3,$B56)</f>
        <v>3226039.7678460749</v>
      </c>
    </row>
    <row r="57" spans="2:5" x14ac:dyDescent="0.25">
      <c r="B57" s="30">
        <v>53</v>
      </c>
      <c r="C57" s="63">
        <f ca="1">_xll.mscTrancheCalculatePVDiscountMargin(C$2,$I$4,$I$3,$B57)</f>
        <v>58536.421589084348</v>
      </c>
      <c r="D57" s="63">
        <f ca="1">_xll.mscTrancheCalculatePVDiscountMargin(D$2,$I$4,$I$3,$B57)</f>
        <v>275988.09833563195</v>
      </c>
      <c r="E57" s="63">
        <f ca="1">_xll.mscTrancheCalculatePVDiscountMargin(E$2,$I$4,$I$3,$B57)</f>
        <v>3226039.7678460749</v>
      </c>
    </row>
    <row r="58" spans="2:5" x14ac:dyDescent="0.25">
      <c r="B58" s="30">
        <v>54</v>
      </c>
      <c r="C58" s="63">
        <f ca="1">_xll.mscTrancheCalculatePVDiscountMargin(C$2,$I$4,$I$3,$B58)</f>
        <v>58536.421589084348</v>
      </c>
      <c r="D58" s="63">
        <f ca="1">_xll.mscTrancheCalculatePVDiscountMargin(D$2,$I$4,$I$3,$B58)</f>
        <v>275988.09833563195</v>
      </c>
      <c r="E58" s="63">
        <f ca="1">_xll.mscTrancheCalculatePVDiscountMargin(E$2,$I$4,$I$3,$B58)</f>
        <v>3226039.7678460749</v>
      </c>
    </row>
    <row r="59" spans="2:5" x14ac:dyDescent="0.25">
      <c r="B59" s="30">
        <v>55</v>
      </c>
      <c r="C59" s="63">
        <f ca="1">_xll.mscTrancheCalculatePVDiscountMargin(C$2,$I$4,$I$3,$B59)</f>
        <v>58536.421589084348</v>
      </c>
      <c r="D59" s="63">
        <f ca="1">_xll.mscTrancheCalculatePVDiscountMargin(D$2,$I$4,$I$3,$B59)</f>
        <v>275988.09833563195</v>
      </c>
      <c r="E59" s="63">
        <f ca="1">_xll.mscTrancheCalculatePVDiscountMargin(E$2,$I$4,$I$3,$B59)</f>
        <v>3226039.7678460749</v>
      </c>
    </row>
    <row r="60" spans="2:5" x14ac:dyDescent="0.25">
      <c r="B60" s="30">
        <v>56</v>
      </c>
      <c r="C60" s="63">
        <f ca="1">_xll.mscTrancheCalculatePVDiscountMargin(C$2,$I$4,$I$3,$B60)</f>
        <v>58536.421589084348</v>
      </c>
      <c r="D60" s="63">
        <f ca="1">_xll.mscTrancheCalculatePVDiscountMargin(D$2,$I$4,$I$3,$B60)</f>
        <v>275988.09833563195</v>
      </c>
      <c r="E60" s="63">
        <f ca="1">_xll.mscTrancheCalculatePVDiscountMargin(E$2,$I$4,$I$3,$B60)</f>
        <v>3226039.7678460749</v>
      </c>
    </row>
    <row r="61" spans="2:5" x14ac:dyDescent="0.25">
      <c r="B61" s="30">
        <v>57</v>
      </c>
      <c r="C61" s="63">
        <f ca="1">_xll.mscTrancheCalculatePVDiscountMargin(C$2,$I$4,$I$3,$B61)</f>
        <v>58536.421589084348</v>
      </c>
      <c r="D61" s="63">
        <f ca="1">_xll.mscTrancheCalculatePVDiscountMargin(D$2,$I$4,$I$3,$B61)</f>
        <v>275988.09833563195</v>
      </c>
      <c r="E61" s="63">
        <f ca="1">_xll.mscTrancheCalculatePVDiscountMargin(E$2,$I$4,$I$3,$B61)</f>
        <v>3226039.7678460749</v>
      </c>
    </row>
    <row r="62" spans="2:5" x14ac:dyDescent="0.25">
      <c r="B62" s="30">
        <v>58</v>
      </c>
      <c r="C62" s="63">
        <f ca="1">_xll.mscTrancheCalculatePVDiscountMargin(C$2,$I$4,$I$3,$B62)</f>
        <v>58536.421589084348</v>
      </c>
      <c r="D62" s="63">
        <f ca="1">_xll.mscTrancheCalculatePVDiscountMargin(D$2,$I$4,$I$3,$B62)</f>
        <v>275988.09833563195</v>
      </c>
      <c r="E62" s="63">
        <f ca="1">_xll.mscTrancheCalculatePVDiscountMargin(E$2,$I$4,$I$3,$B62)</f>
        <v>3226039.7678460749</v>
      </c>
    </row>
    <row r="63" spans="2:5" x14ac:dyDescent="0.25">
      <c r="B63" s="30">
        <v>59</v>
      </c>
      <c r="C63" s="63">
        <f ca="1">_xll.mscTrancheCalculatePVDiscountMargin(C$2,$I$4,$I$3,$B63)</f>
        <v>58536.421589084348</v>
      </c>
      <c r="D63" s="63">
        <f ca="1">_xll.mscTrancheCalculatePVDiscountMargin(D$2,$I$4,$I$3,$B63)</f>
        <v>275988.09833563195</v>
      </c>
      <c r="E63" s="63">
        <f ca="1">_xll.mscTrancheCalculatePVDiscountMargin(E$2,$I$4,$I$3,$B63)</f>
        <v>3226039.7678460749</v>
      </c>
    </row>
    <row r="64" spans="2:5" x14ac:dyDescent="0.25">
      <c r="B64" s="30">
        <v>60</v>
      </c>
      <c r="C64" s="63">
        <f ca="1">_xll.mscTrancheCalculatePVDiscountMargin(C$2,$I$4,$I$3,$B64)</f>
        <v>58536.421589084348</v>
      </c>
      <c r="D64" s="63">
        <f ca="1">_xll.mscTrancheCalculatePVDiscountMargin(D$2,$I$4,$I$3,$B64)</f>
        <v>275988.09833563195</v>
      </c>
      <c r="E64" s="63">
        <f ca="1">_xll.mscTrancheCalculatePVDiscountMargin(E$2,$I$4,$I$3,$B64)</f>
        <v>3226039.7678460749</v>
      </c>
    </row>
    <row r="65" spans="2:5" x14ac:dyDescent="0.25">
      <c r="B65" s="30">
        <v>61</v>
      </c>
      <c r="C65" s="63">
        <f ca="1">_xll.mscTrancheCalculatePVDiscountMargin(C$2,$I$4,$I$3,$B65)</f>
        <v>58536.421589084348</v>
      </c>
      <c r="D65" s="63">
        <f ca="1">_xll.mscTrancheCalculatePVDiscountMargin(D$2,$I$4,$I$3,$B65)</f>
        <v>275988.09833563195</v>
      </c>
      <c r="E65" s="63">
        <f ca="1">_xll.mscTrancheCalculatePVDiscountMargin(E$2,$I$4,$I$3,$B65)</f>
        <v>3226039.7678460749</v>
      </c>
    </row>
    <row r="66" spans="2:5" x14ac:dyDescent="0.25">
      <c r="B66" s="30">
        <v>62</v>
      </c>
      <c r="C66" s="63">
        <f ca="1">_xll.mscTrancheCalculatePVDiscountMargin(C$2,$I$4,$I$3,$B66)</f>
        <v>58536.421589084348</v>
      </c>
      <c r="D66" s="63">
        <f ca="1">_xll.mscTrancheCalculatePVDiscountMargin(D$2,$I$4,$I$3,$B66)</f>
        <v>275988.09833563195</v>
      </c>
      <c r="E66" s="63">
        <f ca="1">_xll.mscTrancheCalculatePVDiscountMargin(E$2,$I$4,$I$3,$B66)</f>
        <v>3226039.7678460749</v>
      </c>
    </row>
    <row r="67" spans="2:5" x14ac:dyDescent="0.25">
      <c r="B67" s="30">
        <v>63</v>
      </c>
      <c r="C67" s="63">
        <f ca="1">_xll.mscTrancheCalculatePVDiscountMargin(C$2,$I$4,$I$3,$B67)</f>
        <v>58536.421589084348</v>
      </c>
      <c r="D67" s="63">
        <f ca="1">_xll.mscTrancheCalculatePVDiscountMargin(D$2,$I$4,$I$3,$B67)</f>
        <v>275988.09833563195</v>
      </c>
      <c r="E67" s="63">
        <f ca="1">_xll.mscTrancheCalculatePVDiscountMargin(E$2,$I$4,$I$3,$B67)</f>
        <v>3226039.7678460749</v>
      </c>
    </row>
    <row r="68" spans="2:5" x14ac:dyDescent="0.25">
      <c r="B68" s="30">
        <v>64</v>
      </c>
      <c r="C68" s="63">
        <f ca="1">_xll.mscTrancheCalculatePVDiscountMargin(C$2,$I$4,$I$3,$B68)</f>
        <v>58536.421589084348</v>
      </c>
      <c r="D68" s="63">
        <f ca="1">_xll.mscTrancheCalculatePVDiscountMargin(D$2,$I$4,$I$3,$B68)</f>
        <v>275988.09833563195</v>
      </c>
      <c r="E68" s="63">
        <f ca="1">_xll.mscTrancheCalculatePVDiscountMargin(E$2,$I$4,$I$3,$B68)</f>
        <v>3226039.7678460749</v>
      </c>
    </row>
    <row r="69" spans="2:5" x14ac:dyDescent="0.25">
      <c r="B69" s="30">
        <v>65</v>
      </c>
      <c r="C69" s="63">
        <f ca="1">_xll.mscTrancheCalculatePVDiscountMargin(C$2,$I$4,$I$3,$B69)</f>
        <v>58536.421589084348</v>
      </c>
      <c r="D69" s="63">
        <f ca="1">_xll.mscTrancheCalculatePVDiscountMargin(D$2,$I$4,$I$3,$B69)</f>
        <v>275988.09833563195</v>
      </c>
      <c r="E69" s="63">
        <f ca="1">_xll.mscTrancheCalculatePVDiscountMargin(E$2,$I$4,$I$3,$B69)</f>
        <v>3226039.7678460749</v>
      </c>
    </row>
    <row r="70" spans="2:5" x14ac:dyDescent="0.25">
      <c r="B70" s="30">
        <v>66</v>
      </c>
      <c r="C70" s="63">
        <f ca="1">_xll.mscTrancheCalculatePVDiscountMargin(C$2,$I$4,$I$3,$B70)</f>
        <v>58536.421589084348</v>
      </c>
      <c r="D70" s="63">
        <f ca="1">_xll.mscTrancheCalculatePVDiscountMargin(D$2,$I$4,$I$3,$B70)</f>
        <v>275988.09833563195</v>
      </c>
      <c r="E70" s="63">
        <f ca="1">_xll.mscTrancheCalculatePVDiscountMargin(E$2,$I$4,$I$3,$B70)</f>
        <v>3226039.7678460749</v>
      </c>
    </row>
    <row r="71" spans="2:5" x14ac:dyDescent="0.25">
      <c r="B71" s="30">
        <v>67</v>
      </c>
      <c r="C71" s="63">
        <f ca="1">_xll.mscTrancheCalculatePVDiscountMargin(C$2,$I$4,$I$3,$B71)</f>
        <v>58536.421589084348</v>
      </c>
      <c r="D71" s="63">
        <f ca="1">_xll.mscTrancheCalculatePVDiscountMargin(D$2,$I$4,$I$3,$B71)</f>
        <v>275988.09833563195</v>
      </c>
      <c r="E71" s="63">
        <f ca="1">_xll.mscTrancheCalculatePVDiscountMargin(E$2,$I$4,$I$3,$B71)</f>
        <v>3226039.7678460749</v>
      </c>
    </row>
    <row r="72" spans="2:5" x14ac:dyDescent="0.25">
      <c r="B72" s="30">
        <v>68</v>
      </c>
      <c r="C72" s="63">
        <f ca="1">_xll.mscTrancheCalculatePVDiscountMargin(C$2,$I$4,$I$3,$B72)</f>
        <v>58536.421589084348</v>
      </c>
      <c r="D72" s="63">
        <f ca="1">_xll.mscTrancheCalculatePVDiscountMargin(D$2,$I$4,$I$3,$B72)</f>
        <v>275988.09833563195</v>
      </c>
      <c r="E72" s="63">
        <f ca="1">_xll.mscTrancheCalculatePVDiscountMargin(E$2,$I$4,$I$3,$B72)</f>
        <v>3226039.7678460749</v>
      </c>
    </row>
    <row r="73" spans="2:5" x14ac:dyDescent="0.25">
      <c r="B73" s="30">
        <v>69</v>
      </c>
      <c r="C73" s="63">
        <f ca="1">_xll.mscTrancheCalculatePVDiscountMargin(C$2,$I$4,$I$3,$B73)</f>
        <v>58536.421589084348</v>
      </c>
      <c r="D73" s="63">
        <f ca="1">_xll.mscTrancheCalculatePVDiscountMargin(D$2,$I$4,$I$3,$B73)</f>
        <v>275988.09833563195</v>
      </c>
      <c r="E73" s="63">
        <f ca="1">_xll.mscTrancheCalculatePVDiscountMargin(E$2,$I$4,$I$3,$B73)</f>
        <v>3226039.7678460749</v>
      </c>
    </row>
    <row r="74" spans="2:5" x14ac:dyDescent="0.25">
      <c r="B74" s="30">
        <v>70</v>
      </c>
      <c r="C74" s="63">
        <f ca="1">_xll.mscTrancheCalculatePVDiscountMargin(C$2,$I$4,$I$3,$B74)</f>
        <v>58536.421589084348</v>
      </c>
      <c r="D74" s="63">
        <f ca="1">_xll.mscTrancheCalculatePVDiscountMargin(D$2,$I$4,$I$3,$B74)</f>
        <v>275988.09833563195</v>
      </c>
      <c r="E74" s="63">
        <f ca="1">_xll.mscTrancheCalculatePVDiscountMargin(E$2,$I$4,$I$3,$B74)</f>
        <v>3226039.7678460749</v>
      </c>
    </row>
    <row r="75" spans="2:5" x14ac:dyDescent="0.25">
      <c r="B75" s="30">
        <v>71</v>
      </c>
      <c r="C75" s="63">
        <f ca="1">_xll.mscTrancheCalculatePVDiscountMargin(C$2,$I$4,$I$3,$B75)</f>
        <v>58536.421589084348</v>
      </c>
      <c r="D75" s="63">
        <f ca="1">_xll.mscTrancheCalculatePVDiscountMargin(D$2,$I$4,$I$3,$B75)</f>
        <v>275988.09833563195</v>
      </c>
      <c r="E75" s="63">
        <f ca="1">_xll.mscTrancheCalculatePVDiscountMargin(E$2,$I$4,$I$3,$B75)</f>
        <v>3226039.7678460749</v>
      </c>
    </row>
    <row r="76" spans="2:5" x14ac:dyDescent="0.25">
      <c r="B76" s="30">
        <v>72</v>
      </c>
      <c r="C76" s="63">
        <f ca="1">_xll.mscTrancheCalculatePVDiscountMargin(C$2,$I$4,$I$3,$B76)</f>
        <v>58536.421589084348</v>
      </c>
      <c r="D76" s="63">
        <f ca="1">_xll.mscTrancheCalculatePVDiscountMargin(D$2,$I$4,$I$3,$B76)</f>
        <v>275988.09833563195</v>
      </c>
      <c r="E76" s="63">
        <f ca="1">_xll.mscTrancheCalculatePVDiscountMargin(E$2,$I$4,$I$3,$B76)</f>
        <v>3226039.7678460749</v>
      </c>
    </row>
    <row r="77" spans="2:5" x14ac:dyDescent="0.25">
      <c r="B77" s="30">
        <v>73</v>
      </c>
      <c r="C77" s="63">
        <f ca="1">_xll.mscTrancheCalculatePVDiscountMargin(C$2,$I$4,$I$3,$B77)</f>
        <v>58536.421589084348</v>
      </c>
      <c r="D77" s="63">
        <f ca="1">_xll.mscTrancheCalculatePVDiscountMargin(D$2,$I$4,$I$3,$B77)</f>
        <v>275988.09833563195</v>
      </c>
      <c r="E77" s="63">
        <f ca="1">_xll.mscTrancheCalculatePVDiscountMargin(E$2,$I$4,$I$3,$B77)</f>
        <v>3226039.7678460749</v>
      </c>
    </row>
    <row r="78" spans="2:5" x14ac:dyDescent="0.25">
      <c r="B78" s="30">
        <v>74</v>
      </c>
      <c r="C78" s="63">
        <f ca="1">_xll.mscTrancheCalculatePVDiscountMargin(C$2,$I$4,$I$3,$B78)</f>
        <v>58536.421589084348</v>
      </c>
      <c r="D78" s="63">
        <f ca="1">_xll.mscTrancheCalculatePVDiscountMargin(D$2,$I$4,$I$3,$B78)</f>
        <v>275988.09833563195</v>
      </c>
      <c r="E78" s="63">
        <f ca="1">_xll.mscTrancheCalculatePVDiscountMargin(E$2,$I$4,$I$3,$B78)</f>
        <v>3226039.7678460749</v>
      </c>
    </row>
    <row r="79" spans="2:5" x14ac:dyDescent="0.25">
      <c r="B79" s="30">
        <v>75</v>
      </c>
      <c r="C79" s="63">
        <f ca="1">_xll.mscTrancheCalculatePVDiscountMargin(C$2,$I$4,$I$3,$B79)</f>
        <v>58536.421589084348</v>
      </c>
      <c r="D79" s="63">
        <f ca="1">_xll.mscTrancheCalculatePVDiscountMargin(D$2,$I$4,$I$3,$B79)</f>
        <v>275988.09833563195</v>
      </c>
      <c r="E79" s="63">
        <f ca="1">_xll.mscTrancheCalculatePVDiscountMargin(E$2,$I$4,$I$3,$B79)</f>
        <v>3226039.7678460749</v>
      </c>
    </row>
    <row r="80" spans="2:5" x14ac:dyDescent="0.25">
      <c r="B80" s="30">
        <v>76</v>
      </c>
      <c r="C80" s="63">
        <f ca="1">_xll.mscTrancheCalculatePVDiscountMargin(C$2,$I$4,$I$3,$B80)</f>
        <v>58536.421589084348</v>
      </c>
      <c r="D80" s="63">
        <f ca="1">_xll.mscTrancheCalculatePVDiscountMargin(D$2,$I$4,$I$3,$B80)</f>
        <v>275988.09833563195</v>
      </c>
      <c r="E80" s="63">
        <f ca="1">_xll.mscTrancheCalculatePVDiscountMargin(E$2,$I$4,$I$3,$B80)</f>
        <v>3226039.7678460749</v>
      </c>
    </row>
    <row r="81" spans="2:5" x14ac:dyDescent="0.25">
      <c r="B81" s="30">
        <v>77</v>
      </c>
      <c r="C81" s="63">
        <f ca="1">_xll.mscTrancheCalculatePVDiscountMargin(C$2,$I$4,$I$3,$B81)</f>
        <v>58536.421589084348</v>
      </c>
      <c r="D81" s="63">
        <f ca="1">_xll.mscTrancheCalculatePVDiscountMargin(D$2,$I$4,$I$3,$B81)</f>
        <v>275988.09833563195</v>
      </c>
      <c r="E81" s="63">
        <f ca="1">_xll.mscTrancheCalculatePVDiscountMargin(E$2,$I$4,$I$3,$B81)</f>
        <v>3226039.7678460749</v>
      </c>
    </row>
    <row r="82" spans="2:5" x14ac:dyDescent="0.25">
      <c r="B82" s="30">
        <v>78</v>
      </c>
      <c r="C82" s="63">
        <f ca="1">_xll.mscTrancheCalculatePVDiscountMargin(C$2,$I$4,$I$3,$B82)</f>
        <v>58536.421589084348</v>
      </c>
      <c r="D82" s="63">
        <f ca="1">_xll.mscTrancheCalculatePVDiscountMargin(D$2,$I$4,$I$3,$B82)</f>
        <v>275988.09833563195</v>
      </c>
      <c r="E82" s="63">
        <f ca="1">_xll.mscTrancheCalculatePVDiscountMargin(E$2,$I$4,$I$3,$B82)</f>
        <v>3226039.7678460749</v>
      </c>
    </row>
    <row r="83" spans="2:5" x14ac:dyDescent="0.25">
      <c r="B83" s="30">
        <v>79</v>
      </c>
      <c r="C83" s="63">
        <f ca="1">_xll.mscTrancheCalculatePVDiscountMargin(C$2,$I$4,$I$3,$B83)</f>
        <v>58536.421589084348</v>
      </c>
      <c r="D83" s="63">
        <f ca="1">_xll.mscTrancheCalculatePVDiscountMargin(D$2,$I$4,$I$3,$B83)</f>
        <v>275988.09833563195</v>
      </c>
      <c r="E83" s="63">
        <f ca="1">_xll.mscTrancheCalculatePVDiscountMargin(E$2,$I$4,$I$3,$B83)</f>
        <v>3226039.7678460749</v>
      </c>
    </row>
    <row r="84" spans="2:5" x14ac:dyDescent="0.25">
      <c r="B84" s="30">
        <v>80</v>
      </c>
      <c r="C84" s="63">
        <f ca="1">_xll.mscTrancheCalculatePVDiscountMargin(C$2,$I$4,$I$3,$B84)</f>
        <v>58536.421589084348</v>
      </c>
      <c r="D84" s="63">
        <f ca="1">_xll.mscTrancheCalculatePVDiscountMargin(D$2,$I$4,$I$3,$B84)</f>
        <v>275988.09833563195</v>
      </c>
      <c r="E84" s="63">
        <f ca="1">_xll.mscTrancheCalculatePVDiscountMargin(E$2,$I$4,$I$3,$B84)</f>
        <v>3226039.7678460749</v>
      </c>
    </row>
    <row r="85" spans="2:5" x14ac:dyDescent="0.25">
      <c r="B85" s="30">
        <v>81</v>
      </c>
      <c r="C85" s="63">
        <f ca="1">_xll.mscTrancheCalculatePVDiscountMargin(C$2,$I$4,$I$3,$B85)</f>
        <v>58536.421589084348</v>
      </c>
      <c r="D85" s="63">
        <f ca="1">_xll.mscTrancheCalculatePVDiscountMargin(D$2,$I$4,$I$3,$B85)</f>
        <v>275988.09833563195</v>
      </c>
      <c r="E85" s="63">
        <f ca="1">_xll.mscTrancheCalculatePVDiscountMargin(E$2,$I$4,$I$3,$B85)</f>
        <v>3226039.7678460749</v>
      </c>
    </row>
    <row r="86" spans="2:5" x14ac:dyDescent="0.25">
      <c r="B86" s="30">
        <v>82</v>
      </c>
      <c r="C86" s="63">
        <f ca="1">_xll.mscTrancheCalculatePVDiscountMargin(C$2,$I$4,$I$3,$B86)</f>
        <v>58536.421589084348</v>
      </c>
      <c r="D86" s="63">
        <f ca="1">_xll.mscTrancheCalculatePVDiscountMargin(D$2,$I$4,$I$3,$B86)</f>
        <v>275988.09833563195</v>
      </c>
      <c r="E86" s="63">
        <f ca="1">_xll.mscTrancheCalculatePVDiscountMargin(E$2,$I$4,$I$3,$B86)</f>
        <v>3226039.7678460749</v>
      </c>
    </row>
    <row r="87" spans="2:5" x14ac:dyDescent="0.25">
      <c r="B87" s="30">
        <v>83</v>
      </c>
      <c r="C87" s="63">
        <f ca="1">_xll.mscTrancheCalculatePVDiscountMargin(C$2,$I$4,$I$3,$B87)</f>
        <v>58536.421589084348</v>
      </c>
      <c r="D87" s="63">
        <f ca="1">_xll.mscTrancheCalculatePVDiscountMargin(D$2,$I$4,$I$3,$B87)</f>
        <v>275988.09833563195</v>
      </c>
      <c r="E87" s="63">
        <f ca="1">_xll.mscTrancheCalculatePVDiscountMargin(E$2,$I$4,$I$3,$B87)</f>
        <v>3226039.7678460749</v>
      </c>
    </row>
    <row r="88" spans="2:5" x14ac:dyDescent="0.25">
      <c r="B88" s="30">
        <v>84</v>
      </c>
      <c r="C88" s="63">
        <f ca="1">_xll.mscTrancheCalculatePVDiscountMargin(C$2,$I$4,$I$3,$B88)</f>
        <v>58536.421589084348</v>
      </c>
      <c r="D88" s="63">
        <f ca="1">_xll.mscTrancheCalculatePVDiscountMargin(D$2,$I$4,$I$3,$B88)</f>
        <v>275988.09833563195</v>
      </c>
      <c r="E88" s="63">
        <f ca="1">_xll.mscTrancheCalculatePVDiscountMargin(E$2,$I$4,$I$3,$B88)</f>
        <v>3226039.7678460749</v>
      </c>
    </row>
    <row r="89" spans="2:5" x14ac:dyDescent="0.25">
      <c r="B89" s="30">
        <v>85</v>
      </c>
      <c r="C89" s="63">
        <f ca="1">_xll.mscTrancheCalculatePVDiscountMargin(C$2,$I$4,$I$3,$B89)</f>
        <v>58536.421589084348</v>
      </c>
      <c r="D89" s="63">
        <f ca="1">_xll.mscTrancheCalculatePVDiscountMargin(D$2,$I$4,$I$3,$B89)</f>
        <v>275988.09833563195</v>
      </c>
      <c r="E89" s="63">
        <f ca="1">_xll.mscTrancheCalculatePVDiscountMargin(E$2,$I$4,$I$3,$B89)</f>
        <v>3226039.7678460749</v>
      </c>
    </row>
    <row r="90" spans="2:5" x14ac:dyDescent="0.25">
      <c r="B90" s="30">
        <v>86</v>
      </c>
      <c r="C90" s="63">
        <f ca="1">_xll.mscTrancheCalculatePVDiscountMargin(C$2,$I$4,$I$3,$B90)</f>
        <v>58536.421589084348</v>
      </c>
      <c r="D90" s="63">
        <f ca="1">_xll.mscTrancheCalculatePVDiscountMargin(D$2,$I$4,$I$3,$B90)</f>
        <v>275988.09833563195</v>
      </c>
      <c r="E90" s="63">
        <f ca="1">_xll.mscTrancheCalculatePVDiscountMargin(E$2,$I$4,$I$3,$B90)</f>
        <v>3226039.7678460749</v>
      </c>
    </row>
    <row r="91" spans="2:5" x14ac:dyDescent="0.25">
      <c r="B91" s="30">
        <v>87</v>
      </c>
      <c r="C91" s="63">
        <f ca="1">_xll.mscTrancheCalculatePVDiscountMargin(C$2,$I$4,$I$3,$B91)</f>
        <v>58536.421589084348</v>
      </c>
      <c r="D91" s="63">
        <f ca="1">_xll.mscTrancheCalculatePVDiscountMargin(D$2,$I$4,$I$3,$B91)</f>
        <v>275988.09833563195</v>
      </c>
      <c r="E91" s="63">
        <f ca="1">_xll.mscTrancheCalculatePVDiscountMargin(E$2,$I$4,$I$3,$B91)</f>
        <v>3226039.7678460749</v>
      </c>
    </row>
    <row r="92" spans="2:5" x14ac:dyDescent="0.25">
      <c r="B92" s="30">
        <v>88</v>
      </c>
      <c r="C92" s="63">
        <f ca="1">_xll.mscTrancheCalculatePVDiscountMargin(C$2,$I$4,$I$3,$B92)</f>
        <v>58536.421589084348</v>
      </c>
      <c r="D92" s="63">
        <f ca="1">_xll.mscTrancheCalculatePVDiscountMargin(D$2,$I$4,$I$3,$B92)</f>
        <v>275988.09833563195</v>
      </c>
      <c r="E92" s="63">
        <f ca="1">_xll.mscTrancheCalculatePVDiscountMargin(E$2,$I$4,$I$3,$B92)</f>
        <v>3226039.7678460749</v>
      </c>
    </row>
    <row r="93" spans="2:5" x14ac:dyDescent="0.25">
      <c r="B93" s="30">
        <v>89</v>
      </c>
      <c r="C93" s="63">
        <f ca="1">_xll.mscTrancheCalculatePVDiscountMargin(C$2,$I$4,$I$3,$B93)</f>
        <v>58536.421589084348</v>
      </c>
      <c r="D93" s="63">
        <f ca="1">_xll.mscTrancheCalculatePVDiscountMargin(D$2,$I$4,$I$3,$B93)</f>
        <v>275988.09833563195</v>
      </c>
      <c r="E93" s="63">
        <f ca="1">_xll.mscTrancheCalculatePVDiscountMargin(E$2,$I$4,$I$3,$B93)</f>
        <v>3226039.7678460749</v>
      </c>
    </row>
    <row r="94" spans="2:5" x14ac:dyDescent="0.25">
      <c r="B94" s="30">
        <v>90</v>
      </c>
      <c r="C94" s="63">
        <f ca="1">_xll.mscTrancheCalculatePVDiscountMargin(C$2,$I$4,$I$3,$B94)</f>
        <v>58536.421589084348</v>
      </c>
      <c r="D94" s="63">
        <f ca="1">_xll.mscTrancheCalculatePVDiscountMargin(D$2,$I$4,$I$3,$B94)</f>
        <v>275988.09833563195</v>
      </c>
      <c r="E94" s="63">
        <f ca="1">_xll.mscTrancheCalculatePVDiscountMargin(E$2,$I$4,$I$3,$B94)</f>
        <v>3226039.7678460749</v>
      </c>
    </row>
    <row r="95" spans="2:5" x14ac:dyDescent="0.25">
      <c r="B95" s="30">
        <v>91</v>
      </c>
      <c r="C95" s="63">
        <f ca="1">_xll.mscTrancheCalculatePVDiscountMargin(C$2,$I$4,$I$3,$B95)</f>
        <v>58536.421589084348</v>
      </c>
      <c r="D95" s="63">
        <f ca="1">_xll.mscTrancheCalculatePVDiscountMargin(D$2,$I$4,$I$3,$B95)</f>
        <v>275988.09833563195</v>
      </c>
      <c r="E95" s="63">
        <f ca="1">_xll.mscTrancheCalculatePVDiscountMargin(E$2,$I$4,$I$3,$B95)</f>
        <v>3226039.7678460749</v>
      </c>
    </row>
    <row r="96" spans="2:5" x14ac:dyDescent="0.25">
      <c r="B96" s="30">
        <v>92</v>
      </c>
      <c r="C96" s="63">
        <f ca="1">_xll.mscTrancheCalculatePVDiscountMargin(C$2,$I$4,$I$3,$B96)</f>
        <v>58536.421589084348</v>
      </c>
      <c r="D96" s="63">
        <f ca="1">_xll.mscTrancheCalculatePVDiscountMargin(D$2,$I$4,$I$3,$B96)</f>
        <v>275988.09833563195</v>
      </c>
      <c r="E96" s="63">
        <f ca="1">_xll.mscTrancheCalculatePVDiscountMargin(E$2,$I$4,$I$3,$B96)</f>
        <v>3226039.7678460749</v>
      </c>
    </row>
    <row r="97" spans="2:5" x14ac:dyDescent="0.25">
      <c r="B97" s="30">
        <v>93</v>
      </c>
      <c r="C97" s="63">
        <f ca="1">_xll.mscTrancheCalculatePVDiscountMargin(C$2,$I$4,$I$3,$B97)</f>
        <v>58536.421589084348</v>
      </c>
      <c r="D97" s="63">
        <f ca="1">_xll.mscTrancheCalculatePVDiscountMargin(D$2,$I$4,$I$3,$B97)</f>
        <v>275988.09833563195</v>
      </c>
      <c r="E97" s="63">
        <f ca="1">_xll.mscTrancheCalculatePVDiscountMargin(E$2,$I$4,$I$3,$B97)</f>
        <v>3226039.7678460749</v>
      </c>
    </row>
    <row r="98" spans="2:5" x14ac:dyDescent="0.25">
      <c r="B98" s="30">
        <v>94</v>
      </c>
      <c r="C98" s="63">
        <f ca="1">_xll.mscTrancheCalculatePVDiscountMargin(C$2,$I$4,$I$3,$B98)</f>
        <v>58536.421589084348</v>
      </c>
      <c r="D98" s="63">
        <f ca="1">_xll.mscTrancheCalculatePVDiscountMargin(D$2,$I$4,$I$3,$B98)</f>
        <v>275988.09833563195</v>
      </c>
      <c r="E98" s="63">
        <f ca="1">_xll.mscTrancheCalculatePVDiscountMargin(E$2,$I$4,$I$3,$B98)</f>
        <v>3226039.7678460749</v>
      </c>
    </row>
    <row r="99" spans="2:5" x14ac:dyDescent="0.25">
      <c r="B99" s="30">
        <v>95</v>
      </c>
      <c r="C99" s="63">
        <f ca="1">_xll.mscTrancheCalculatePVDiscountMargin(C$2,$I$4,$I$3,$B99)</f>
        <v>58536.421589084348</v>
      </c>
      <c r="D99" s="63">
        <f ca="1">_xll.mscTrancheCalculatePVDiscountMargin(D$2,$I$4,$I$3,$B99)</f>
        <v>275988.09833563195</v>
      </c>
      <c r="E99" s="63">
        <f ca="1">_xll.mscTrancheCalculatePVDiscountMargin(E$2,$I$4,$I$3,$B99)</f>
        <v>3226039.7678460749</v>
      </c>
    </row>
    <row r="100" spans="2:5" x14ac:dyDescent="0.25">
      <c r="B100" s="30">
        <v>96</v>
      </c>
      <c r="C100" s="63">
        <f ca="1">_xll.mscTrancheCalculatePVDiscountMargin(C$2,$I$4,$I$3,$B100)</f>
        <v>58536.421589084348</v>
      </c>
      <c r="D100" s="63">
        <f ca="1">_xll.mscTrancheCalculatePVDiscountMargin(D$2,$I$4,$I$3,$B100)</f>
        <v>275988.09833563195</v>
      </c>
      <c r="E100" s="63">
        <f ca="1">_xll.mscTrancheCalculatePVDiscountMargin(E$2,$I$4,$I$3,$B100)</f>
        <v>3226039.7678460749</v>
      </c>
    </row>
    <row r="101" spans="2:5" x14ac:dyDescent="0.25">
      <c r="B101" s="30">
        <v>97</v>
      </c>
      <c r="C101" s="63">
        <f ca="1">_xll.mscTrancheCalculatePVDiscountMargin(C$2,$I$4,$I$3,$B101)</f>
        <v>58536.421589084348</v>
      </c>
      <c r="D101" s="63">
        <f ca="1">_xll.mscTrancheCalculatePVDiscountMargin(D$2,$I$4,$I$3,$B101)</f>
        <v>275988.09833563195</v>
      </c>
      <c r="E101" s="63">
        <f ca="1">_xll.mscTrancheCalculatePVDiscountMargin(E$2,$I$4,$I$3,$B101)</f>
        <v>3226039.7678460749</v>
      </c>
    </row>
    <row r="102" spans="2:5" x14ac:dyDescent="0.25">
      <c r="B102" s="31">
        <v>98</v>
      </c>
      <c r="C102" s="64">
        <f ca="1">_xll.mscTrancheCalculatePVDiscountMargin(C$2,$I$4,$I$3,$B102)</f>
        <v>58536.421589084348</v>
      </c>
      <c r="D102" s="64">
        <f ca="1">_xll.mscTrancheCalculatePVDiscountMargin(D$2,$I$4,$I$3,$B102)</f>
        <v>275988.09833563195</v>
      </c>
      <c r="E102" s="64">
        <f ca="1">_xll.mscTrancheCalculatePVDiscountMargin(E$2,$I$4,$I$3,$B102)</f>
        <v>3226039.7678460749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5"/>
  <sheetViews>
    <sheetView showGridLines="0" workbookViewId="0"/>
  </sheetViews>
  <sheetFormatPr defaultRowHeight="15" x14ac:dyDescent="0.25"/>
  <cols>
    <col min="1" max="1" width="4.85546875" customWidth="1"/>
    <col min="2" max="2" width="10.140625" bestFit="1" customWidth="1"/>
    <col min="3" max="5" width="13.28515625" bestFit="1" customWidth="1"/>
    <col min="6" max="6" width="4" customWidth="1"/>
    <col min="7" max="7" width="4.140625" customWidth="1"/>
    <col min="8" max="8" width="14.85546875" customWidth="1"/>
    <col min="9" max="9" width="15.140625" customWidth="1"/>
    <col min="10" max="10" width="18.140625" customWidth="1"/>
    <col min="12" max="12" width="15.5703125" customWidth="1"/>
    <col min="13" max="13" width="21.140625" customWidth="1"/>
  </cols>
  <sheetData>
    <row r="1" spans="2:13" x14ac:dyDescent="0.25">
      <c r="C1" s="26" t="s">
        <v>90</v>
      </c>
      <c r="D1" s="57">
        <v>0.01</v>
      </c>
      <c r="H1" t="s">
        <v>99</v>
      </c>
      <c r="J1" s="73"/>
    </row>
    <row r="2" spans="2:13" x14ac:dyDescent="0.25">
      <c r="C2" s="28" t="str">
        <f ca="1">CashflowEngine!E7</f>
        <v>EQUITY:1</v>
      </c>
      <c r="D2" s="28" t="str">
        <f ca="1">CashflowEngine!E8</f>
        <v>MEZZ:1</v>
      </c>
      <c r="E2" s="28" t="str">
        <f ca="1">CashflowEngine!E9</f>
        <v>SENIOR:1</v>
      </c>
      <c r="H2" s="28" t="str">
        <f ca="1">C2</f>
        <v>EQUITY:1</v>
      </c>
      <c r="I2" s="28" t="str">
        <f ca="1">D2</f>
        <v>MEZZ:1</v>
      </c>
      <c r="J2" s="28" t="str">
        <f ca="1">E2</f>
        <v>SENIOR:1</v>
      </c>
      <c r="L2" s="1" t="s">
        <v>92</v>
      </c>
    </row>
    <row r="3" spans="2:13" x14ac:dyDescent="0.25">
      <c r="B3" s="1" t="s">
        <v>91</v>
      </c>
      <c r="C3" s="1" t="s">
        <v>87</v>
      </c>
      <c r="D3" s="1" t="s">
        <v>87</v>
      </c>
      <c r="E3" s="1" t="s">
        <v>87</v>
      </c>
      <c r="G3" s="1"/>
      <c r="H3" s="1" t="s">
        <v>98</v>
      </c>
      <c r="I3" s="1" t="s">
        <v>98</v>
      </c>
      <c r="J3" s="1" t="s">
        <v>98</v>
      </c>
      <c r="L3" s="25" t="s">
        <v>89</v>
      </c>
      <c r="M3" s="58">
        <f ca="1">CashflowEngine!C26</f>
        <v>43858</v>
      </c>
    </row>
    <row r="4" spans="2:13" x14ac:dyDescent="0.25">
      <c r="B4" s="29">
        <v>1</v>
      </c>
      <c r="C4" s="70">
        <f ca="1">_xll.mscTrancheCalculatePV(C$2,$M$4,$M$3,$B4,$D$1)</f>
        <v>1705257.843880387</v>
      </c>
      <c r="D4" s="70">
        <f ca="1">_xll.mscTrancheCalculatePV(D$2,$M$4,$M$3,$B4,$D$1)</f>
        <v>2003521.5040471656</v>
      </c>
      <c r="E4" s="70">
        <f ca="1">_xll.mscTrancheCalculatePV(E$2,$M$4,$M$3,$B4,$D$1)</f>
        <v>2904335.3485169359</v>
      </c>
      <c r="G4" s="71"/>
      <c r="H4" s="74">
        <f ca="1">_xll.mscTrancheCalculateIRR(H$2,$M$4,$B4,C4,$M$3)</f>
        <v>9.9999999999296364E-3</v>
      </c>
      <c r="I4" s="75">
        <f ca="1">_xll.mscTrancheCalculateIRR(I$2,$M$4,$B4,D4,$M$3)</f>
        <v>9.999999999928599E-3</v>
      </c>
      <c r="J4" s="76">
        <f ca="1">_xll.mscTrancheCalculateIRR(J$2,$M$4,$B4,E4,$M$3)</f>
        <v>9.9999999999263491E-3</v>
      </c>
      <c r="L4" s="61" t="s">
        <v>36</v>
      </c>
      <c r="M4" s="28" t="str">
        <f ca="1">CashflowEngine!C22</f>
        <v>CAPITALSTRUCTURE:7</v>
      </c>
    </row>
    <row r="5" spans="2:13" x14ac:dyDescent="0.25">
      <c r="B5" s="30">
        <v>2</v>
      </c>
      <c r="C5" s="72">
        <f ca="1">_xll.mscTrancheCalculatePV(C$2,$M$4,$M$3,$B5,$D$1)</f>
        <v>1566108.4536549025</v>
      </c>
      <c r="D5" s="72">
        <f ca="1">_xll.mscTrancheCalculatePV(D$2,$M$4,$M$3,$B5,$D$1)</f>
        <v>2009111.4930289516</v>
      </c>
      <c r="E5" s="72">
        <f ca="1">_xll.mscTrancheCalculatePV(E$2,$M$4,$M$3,$B5,$D$1)</f>
        <v>2914143.6785500539</v>
      </c>
      <c r="G5" s="71"/>
      <c r="H5" s="77">
        <f ca="1">_xll.mscTrancheCalculateIRR(H$2,$M$4,$B5,C5,$M$3)</f>
        <v>9.9999999999193998E-3</v>
      </c>
      <c r="I5" s="78">
        <f ca="1">_xll.mscTrancheCalculateIRR(I$2,$M$4,$B5,D5,$M$3)</f>
        <v>9.9999999999192055E-3</v>
      </c>
      <c r="J5" s="79">
        <f ca="1">_xll.mscTrancheCalculateIRR(J$2,$M$4,$B5,E5,$M$3)</f>
        <v>9.9999999999183728E-3</v>
      </c>
      <c r="L5" s="71"/>
    </row>
    <row r="6" spans="2:13" x14ac:dyDescent="0.25">
      <c r="B6" s="30">
        <v>3</v>
      </c>
      <c r="C6" s="72">
        <f ca="1">_xll.mscTrancheCalculatePV(C$2,$M$4,$M$3,$B6,$D$1)</f>
        <v>1430074.5371112553</v>
      </c>
      <c r="D6" s="72">
        <f ca="1">_xll.mscTrancheCalculatePV(D$2,$M$4,$M$3,$B6,$D$1)</f>
        <v>2015216.6080074897</v>
      </c>
      <c r="E6" s="72">
        <f ca="1">_xll.mscTrancheCalculatePV(E$2,$M$4,$M$3,$B6,$D$1)</f>
        <v>2924348.3546617259</v>
      </c>
      <c r="G6" s="71"/>
      <c r="H6" s="77">
        <f ca="1">_xll.mscTrancheCalculateIRR(H$2,$M$4,$B6,C6,$M$3)</f>
        <v>9.9999999999091146E-3</v>
      </c>
      <c r="I6" s="78">
        <f ca="1">_xll.mscTrancheCalculateIRR(I$2,$M$4,$B6,D6,$M$3)</f>
        <v>9.9999999999092429E-3</v>
      </c>
      <c r="J6" s="79">
        <f ca="1">_xll.mscTrancheCalculateIRR(J$2,$M$4,$B6,E6,$M$3)</f>
        <v>9.9999999999102057E-3</v>
      </c>
    </row>
    <row r="7" spans="2:13" x14ac:dyDescent="0.25">
      <c r="B7" s="30">
        <v>4</v>
      </c>
      <c r="C7" s="72">
        <f ca="1">_xll.mscTrancheCalculatePV(C$2,$M$4,$M$3,$B7,$D$1)</f>
        <v>1296637.2826499057</v>
      </c>
      <c r="D7" s="72">
        <f ca="1">_xll.mscTrancheCalculatePV(D$2,$M$4,$M$3,$B7,$D$1)</f>
        <v>2021327.0469776725</v>
      </c>
      <c r="E7" s="72">
        <f ca="1">_xll.mscTrancheCalculatePV(E$2,$M$4,$M$3,$B7,$D$1)</f>
        <v>2934215.6919521983</v>
      </c>
      <c r="G7" s="71"/>
      <c r="H7" s="77">
        <f ca="1">_xll.mscTrancheCalculateIRR(H$2,$M$4,$B7,C7,$M$3)</f>
        <v>9.9999999999020855E-3</v>
      </c>
      <c r="I7" s="78">
        <f ca="1">_xll.mscTrancheCalculateIRR(I$2,$M$4,$B7,D7,$M$3)</f>
        <v>9.9999999999019189E-3</v>
      </c>
      <c r="J7" s="79">
        <f ca="1">_xll.mscTrancheCalculateIRR(J$2,$M$4,$B7,E7,$M$3)</f>
        <v>9.9999999999020126E-3</v>
      </c>
      <c r="L7" s="73"/>
    </row>
    <row r="8" spans="2:13" x14ac:dyDescent="0.25">
      <c r="B8" s="30">
        <v>5</v>
      </c>
      <c r="C8" s="72">
        <f ca="1">_xll.mscTrancheCalculatePV(C$2,$M$4,$M$3,$B8,$D$1)</f>
        <v>1165933.914238828</v>
      </c>
      <c r="D8" s="72">
        <f ca="1">_xll.mscTrancheCalculatePV(D$2,$M$4,$M$3,$B8,$D$1)</f>
        <v>2027702.2899844006</v>
      </c>
      <c r="E8" s="72">
        <f ca="1">_xll.mscTrancheCalculatePV(E$2,$M$4,$M$3,$B8,$D$1)</f>
        <v>2944087.5484945821</v>
      </c>
      <c r="G8" s="71"/>
      <c r="H8" s="77">
        <f ca="1">_xll.mscTrancheCalculateIRR(H$2,$M$4,$B8,C8,$M$3)</f>
        <v>9.9999999998955074E-3</v>
      </c>
      <c r="I8" s="78">
        <f ca="1">_xll.mscTrancheCalculateIRR(I$2,$M$4,$B8,D8,$M$3)</f>
        <v>9.9999999998961284E-3</v>
      </c>
      <c r="J8" s="79">
        <f ca="1">_xll.mscTrancheCalculateIRR(J$2,$M$4,$B8,E8,$M$3)</f>
        <v>1.0000000000000123E-2</v>
      </c>
    </row>
    <row r="9" spans="2:13" x14ac:dyDescent="0.25">
      <c r="B9" s="30">
        <v>6</v>
      </c>
      <c r="C9" s="72">
        <f ca="1">_xll.mscTrancheCalculatePV(C$2,$M$4,$M$3,$B9,$D$1)</f>
        <v>1037553.8328038313</v>
      </c>
      <c r="D9" s="72">
        <f ca="1">_xll.mscTrancheCalculatePV(D$2,$M$4,$M$3,$B9,$D$1)</f>
        <v>2033826.3680359055</v>
      </c>
      <c r="E9" s="72">
        <f ca="1">_xll.mscTrancheCalculatePV(E$2,$M$4,$M$3,$B9,$D$1)</f>
        <v>2953297.998778428</v>
      </c>
      <c r="H9" s="77">
        <f ca="1">_xll.mscTrancheCalculateIRR(H$2,$M$4,$B9,C9,$M$3)</f>
        <v>9.9999999998924803E-3</v>
      </c>
      <c r="I9" s="78">
        <f ca="1">_xll.mscTrancheCalculateIRR(I$2,$M$4,$B9,D9,$M$3)</f>
        <v>9.9999999999998701E-3</v>
      </c>
      <c r="J9" s="79">
        <f ca="1">_xll.mscTrancheCalculateIRR(J$2,$M$4,$B9,E9,$M$3)</f>
        <v>1.000000000000003E-2</v>
      </c>
    </row>
    <row r="10" spans="2:13" x14ac:dyDescent="0.25">
      <c r="B10" s="30">
        <v>7</v>
      </c>
      <c r="C10" s="72">
        <f ca="1">_xll.mscTrancheCalculatePV(C$2,$M$4,$M$3,$B10,$D$1)</f>
        <v>912079.9362468652</v>
      </c>
      <c r="D10" s="72">
        <f ca="1">_xll.mscTrancheCalculatePV(D$2,$M$4,$M$3,$B10,$D$1)</f>
        <v>2040737.3755695219</v>
      </c>
      <c r="E10" s="72">
        <f ca="1">_xll.mscTrancheCalculatePV(E$2,$M$4,$M$3,$B10,$D$1)</f>
        <v>2963125.3710338734</v>
      </c>
      <c r="H10" s="77">
        <f ca="1">_xll.mscTrancheCalculateIRR(H$2,$M$4,$B10,C10,$M$3)</f>
        <v>9.9999999998937293E-3</v>
      </c>
      <c r="I10" s="78">
        <f ca="1">_xll.mscTrancheCalculateIRR(I$2,$M$4,$B10,D10,$M$3)</f>
        <v>1.0000000000000262E-2</v>
      </c>
      <c r="J10" s="79">
        <f ca="1">_xll.mscTrancheCalculateIRR(J$2,$M$4,$B10,E10,$M$3)</f>
        <v>9.9999999999999464E-3</v>
      </c>
    </row>
    <row r="11" spans="2:13" x14ac:dyDescent="0.25">
      <c r="B11" s="30">
        <v>8</v>
      </c>
      <c r="C11" s="72">
        <f ca="1">_xll.mscTrancheCalculatePV(C$2,$M$4,$M$3,$B11,$D$1)</f>
        <v>788450.78419006953</v>
      </c>
      <c r="D11" s="72">
        <f ca="1">_xll.mscTrancheCalculatePV(D$2,$M$4,$M$3,$B11,$D$1)</f>
        <v>2046620.344672658</v>
      </c>
      <c r="E11" s="72">
        <f ca="1">_xll.mscTrancheCalculatePV(E$2,$M$4,$M$3,$B11,$D$1)</f>
        <v>2971401.7080348758</v>
      </c>
      <c r="H11" s="77">
        <f ca="1">_xll.mscTrancheCalculateIRR(H$2,$M$4,$B11,C11,$M$3)</f>
        <v>9.9999999998979568E-3</v>
      </c>
      <c r="I11" s="78">
        <f ca="1">_xll.mscTrancheCalculateIRR(I$2,$M$4,$B11,D11,$M$3)</f>
        <v>9.9999999999997782E-3</v>
      </c>
      <c r="J11" s="79">
        <f ca="1">_xll.mscTrancheCalculateIRR(J$2,$M$4,$B11,E11,$M$3)</f>
        <v>1.0000000000000024E-2</v>
      </c>
    </row>
    <row r="12" spans="2:13" x14ac:dyDescent="0.25">
      <c r="B12" s="30">
        <v>9</v>
      </c>
      <c r="C12" s="72">
        <f ca="1">_xll.mscTrancheCalculatePV(C$2,$M$4,$M$3,$B12,$D$1)</f>
        <v>667328.00033528532</v>
      </c>
      <c r="D12" s="72">
        <f ca="1">_xll.mscTrancheCalculatePV(D$2,$M$4,$M$3,$B12,$D$1)</f>
        <v>2052770.8046284304</v>
      </c>
      <c r="E12" s="72">
        <f ca="1">_xll.mscTrancheCalculatePV(E$2,$M$4,$M$3,$B12,$D$1)</f>
        <v>2979665.7460668706</v>
      </c>
      <c r="H12" s="77">
        <f ca="1">_xll.mscTrancheCalculateIRR(H$2,$M$4,$B12,C12,$M$3)</f>
        <v>9.9999999999072584E-3</v>
      </c>
      <c r="I12" s="78">
        <f ca="1">_xll.mscTrancheCalculateIRR(I$2,$M$4,$B12,D12,$M$3)</f>
        <v>1.0000000000000057E-2</v>
      </c>
      <c r="J12" s="79">
        <f ca="1">_xll.mscTrancheCalculateIRR(J$2,$M$4,$B12,E12,$M$3)</f>
        <v>9.9999999999999794E-3</v>
      </c>
    </row>
    <row r="13" spans="2:13" x14ac:dyDescent="0.25">
      <c r="B13" s="30">
        <v>10</v>
      </c>
      <c r="C13" s="72">
        <f ca="1">_xll.mscTrancheCalculatePV(C$2,$M$4,$M$3,$B13,$D$1)</f>
        <v>548734.34345000598</v>
      </c>
      <c r="D13" s="72">
        <f ca="1">_xll.mscTrancheCalculatePV(D$2,$M$4,$M$3,$B13,$D$1)</f>
        <v>2059449.7151580793</v>
      </c>
      <c r="E13" s="72">
        <f ca="1">_xll.mscTrancheCalculatePV(E$2,$M$4,$M$3,$B13,$D$1)</f>
        <v>2988175.4671746944</v>
      </c>
      <c r="H13" s="77">
        <f ca="1">_xll.mscTrancheCalculateIRR(H$2,$M$4,$B13,C13,$M$3)</f>
        <v>9.9999999999220261E-3</v>
      </c>
      <c r="I13" s="78">
        <f ca="1">_xll.mscTrancheCalculateIRR(I$2,$M$4,$B13,D13,$M$3)</f>
        <v>9.9999999999997469E-3</v>
      </c>
      <c r="J13" s="79">
        <f ca="1">_xll.mscTrancheCalculateIRR(J$2,$M$4,$B13,E13,$M$3)</f>
        <v>9.9999999999997834E-3</v>
      </c>
    </row>
    <row r="14" spans="2:13" x14ac:dyDescent="0.25">
      <c r="B14" s="30">
        <v>11</v>
      </c>
      <c r="C14" s="72">
        <f ca="1">_xll.mscTrancheCalculatePV(C$2,$M$4,$M$3,$B14,$D$1)</f>
        <v>432158.21932421892</v>
      </c>
      <c r="D14" s="72">
        <f ca="1">_xll.mscTrancheCalculatePV(D$2,$M$4,$M$3,$B14,$D$1)</f>
        <v>2065357.2758160685</v>
      </c>
      <c r="E14" s="72">
        <f ca="1">_xll.mscTrancheCalculatePV(E$2,$M$4,$M$3,$B14,$D$1)</f>
        <v>2995562.2804684769</v>
      </c>
      <c r="H14" s="77">
        <f ca="1">_xll.mscTrancheCalculateIRR(H$2,$M$4,$B14,C14,$M$3)</f>
        <v>9.9999999999422478E-3</v>
      </c>
      <c r="I14" s="78">
        <f ca="1">_xll.mscTrancheCalculateIRR(I$2,$M$4,$B14,D14,$M$3)</f>
        <v>9.9999999999465013E-3</v>
      </c>
      <c r="J14" s="79">
        <f ca="1">_xll.mscTrancheCalculateIRR(J$2,$M$4,$B14,E14,$M$3)</f>
        <v>9.9999999999995457E-3</v>
      </c>
    </row>
    <row r="15" spans="2:13" x14ac:dyDescent="0.25">
      <c r="B15" s="30">
        <v>12</v>
      </c>
      <c r="C15" s="72">
        <f ca="1">_xll.mscTrancheCalculatePV(C$2,$M$4,$M$3,$B15,$D$1)</f>
        <v>317982.74421016767</v>
      </c>
      <c r="D15" s="72">
        <f ca="1">_xll.mscTrancheCalculatePV(D$2,$M$4,$M$3,$B15,$D$1)</f>
        <v>2071794.3127464934</v>
      </c>
      <c r="E15" s="72">
        <f ca="1">_xll.mscTrancheCalculatePV(E$2,$M$4,$M$3,$B15,$D$1)</f>
        <v>3003168.3605998042</v>
      </c>
      <c r="H15" s="77">
        <f ca="1">_xll.mscTrancheCalculateIRR(H$2,$M$4,$B15,C15,$M$3)</f>
        <v>9.9999999999675886E-3</v>
      </c>
      <c r="I15" s="78">
        <f ca="1">_xll.mscTrancheCalculateIRR(I$2,$M$4,$B15,D15,$M$3)</f>
        <v>9.9999999999777194E-3</v>
      </c>
      <c r="J15" s="79">
        <f ca="1">_xll.mscTrancheCalculateIRR(J$2,$M$4,$B15,E15,$M$3)</f>
        <v>9.9999999999999013E-3</v>
      </c>
    </row>
    <row r="16" spans="2:13" x14ac:dyDescent="0.25">
      <c r="B16" s="30">
        <v>13</v>
      </c>
      <c r="C16" s="72">
        <f ca="1">_xll.mscTrancheCalculatePV(C$2,$M$4,$M$3,$B16,$D$1)</f>
        <v>206007.11356975848</v>
      </c>
      <c r="D16" s="72">
        <f ca="1">_xll.mscTrancheCalculatePV(D$2,$M$4,$M$3,$B16,$D$1)</f>
        <v>2078241.6663410277</v>
      </c>
      <c r="E16" s="72">
        <f ca="1">_xll.mscTrancheCalculatePV(E$2,$M$4,$M$3,$B16,$D$1)</f>
        <v>3010467.772416967</v>
      </c>
      <c r="H16" s="77">
        <f ca="1">_xll.mscTrancheCalculateIRR(H$2,$M$4,$B16,C16,$M$3)</f>
        <v>9.9999999999925062E-3</v>
      </c>
      <c r="I16" s="78">
        <f ca="1">_xll.mscTrancheCalculateIRR(I$2,$M$4,$B16,D16,$M$3)</f>
        <v>1.0000000000017722E-2</v>
      </c>
      <c r="J16" s="79">
        <f ca="1">_xll.mscTrancheCalculateIRR(J$2,$M$4,$B16,E16,$M$3)</f>
        <v>9.9999999999717624E-3</v>
      </c>
    </row>
    <row r="17" spans="2:10" x14ac:dyDescent="0.25">
      <c r="B17" s="30">
        <v>14</v>
      </c>
      <c r="C17" s="72">
        <f ca="1">_xll.mscTrancheCalculatePV(C$2,$M$4,$M$3,$B17,$D$1)</f>
        <v>96089.553990020606</v>
      </c>
      <c r="D17" s="72">
        <f ca="1">_xll.mscTrancheCalculatePV(D$2,$M$4,$M$3,$B17,$D$1)</f>
        <v>2083916.4306732987</v>
      </c>
      <c r="E17" s="72">
        <f ca="1">_xll.mscTrancheCalculatePV(E$2,$M$4,$M$3,$B17,$D$1)</f>
        <v>3016767.9931199797</v>
      </c>
      <c r="H17" s="77">
        <f ca="1">_xll.mscTrancheCalculateIRR(H$2,$M$4,$B17,C17,$M$3)</f>
        <v>9.9999999999729351E-3</v>
      </c>
      <c r="I17" s="78">
        <f ca="1">_xll.mscTrancheCalculateIRR(I$2,$M$4,$B17,D17,$M$3)</f>
        <v>1.0000000000000011E-2</v>
      </c>
      <c r="J17" s="79">
        <f ca="1">_xll.mscTrancheCalculateIRR(J$2,$M$4,$B17,E17,$M$3)</f>
        <v>1.0000000000001648E-2</v>
      </c>
    </row>
    <row r="18" spans="2:10" x14ac:dyDescent="0.25">
      <c r="B18" s="30">
        <v>15</v>
      </c>
      <c r="C18" s="72">
        <f ca="1">_xll.mscTrancheCalculatePV(C$2,$M$4,$M$3,$B18,$D$1)</f>
        <v>57903.193307729824</v>
      </c>
      <c r="D18" s="72">
        <f ca="1">_xll.mscTrancheCalculatePV(D$2,$M$4,$M$3,$B18,$D$1)</f>
        <v>2020883.4815208344</v>
      </c>
      <c r="E18" s="72">
        <f ca="1">_xll.mscTrancheCalculatePV(E$2,$M$4,$M$3,$B18,$D$1)</f>
        <v>3023465.0131486375</v>
      </c>
      <c r="H18" s="77">
        <f ca="1">_xll.mscTrancheCalculateIRR(H$2,$M$4,$B18,C18,$M$3)</f>
        <v>9.9999999998954293E-3</v>
      </c>
      <c r="I18" s="78">
        <f ca="1">_xll.mscTrancheCalculateIRR(I$2,$M$4,$B18,D18,$M$3)</f>
        <v>1.0000000000000181E-2</v>
      </c>
      <c r="J18" s="79">
        <f ca="1">_xll.mscTrancheCalculateIRR(J$2,$M$4,$B18,E18,$M$3)</f>
        <v>1.0000000000036676E-2</v>
      </c>
    </row>
    <row r="19" spans="2:10" x14ac:dyDescent="0.25">
      <c r="B19" s="30">
        <v>16</v>
      </c>
      <c r="C19" s="72">
        <f ca="1">_xll.mscTrancheCalculatePV(C$2,$M$4,$M$3,$B19,$D$1)</f>
        <v>58067.673242476543</v>
      </c>
      <c r="D19" s="72">
        <f ca="1">_xll.mscTrancheCalculatePV(D$2,$M$4,$M$3,$B19,$D$1)</f>
        <v>1921868.8654228307</v>
      </c>
      <c r="E19" s="72">
        <f ca="1">_xll.mscTrancheCalculatePV(E$2,$M$4,$M$3,$B19,$D$1)</f>
        <v>3030078.0269109556</v>
      </c>
      <c r="H19" s="77">
        <f ca="1">_xll.mscTrancheCalculateIRR(H$2,$M$4,$B19,C19,$M$3)</f>
        <v>9.9999999998961371E-3</v>
      </c>
      <c r="I19" s="78">
        <f ca="1">_xll.mscTrancheCalculateIRR(I$2,$M$4,$B19,D19,$M$3)</f>
        <v>1.0000000000000063E-2</v>
      </c>
      <c r="J19" s="79">
        <f ca="1">_xll.mscTrancheCalculateIRR(J$2,$M$4,$B19,E19,$M$3)</f>
        <v>1.0000000000000142E-2</v>
      </c>
    </row>
    <row r="20" spans="2:10" x14ac:dyDescent="0.25">
      <c r="B20" s="30">
        <v>17</v>
      </c>
      <c r="C20" s="72">
        <f ca="1">_xll.mscTrancheCalculatePV(C$2,$M$4,$M$3,$B20,$D$1)</f>
        <v>58067.673242476543</v>
      </c>
      <c r="D20" s="72">
        <f ca="1">_xll.mscTrancheCalculatePV(D$2,$M$4,$M$3,$B20,$D$1)</f>
        <v>1824313.5442865873</v>
      </c>
      <c r="E20" s="72">
        <f ca="1">_xll.mscTrancheCalculatePV(E$2,$M$4,$M$3,$B20,$D$1)</f>
        <v>3035789.0168631994</v>
      </c>
      <c r="H20" s="77">
        <f ca="1">_xll.mscTrancheCalculateIRR(H$2,$M$4,$B20,C20,$M$3)</f>
        <v>9.9999999998961371E-3</v>
      </c>
      <c r="I20" s="78">
        <f ca="1">_xll.mscTrancheCalculateIRR(I$2,$M$4,$B20,D20,$M$3)</f>
        <v>1.0000000000000075E-2</v>
      </c>
      <c r="J20" s="79">
        <f ca="1">_xll.mscTrancheCalculateIRR(J$2,$M$4,$B20,E20,$M$3)</f>
        <v>9.9999999999997972E-3</v>
      </c>
    </row>
    <row r="21" spans="2:10" x14ac:dyDescent="0.25">
      <c r="B21" s="30">
        <v>18</v>
      </c>
      <c r="C21" s="72">
        <f ca="1">_xll.mscTrancheCalculatePV(C$2,$M$4,$M$3,$B21,$D$1)</f>
        <v>58067.673242476543</v>
      </c>
      <c r="D21" s="72">
        <f ca="1">_xll.mscTrancheCalculatePV(D$2,$M$4,$M$3,$B21,$D$1)</f>
        <v>1729057.1710189455</v>
      </c>
      <c r="E21" s="72">
        <f ca="1">_xll.mscTrancheCalculatePV(E$2,$M$4,$M$3,$B21,$D$1)</f>
        <v>3041421.4636564655</v>
      </c>
      <c r="H21" s="77">
        <f ca="1">_xll.mscTrancheCalculateIRR(H$2,$M$4,$B21,C21,$M$3)</f>
        <v>9.9999999998961371E-3</v>
      </c>
      <c r="I21" s="78">
        <f ca="1">_xll.mscTrancheCalculateIRR(I$2,$M$4,$B21,D21,$M$3)</f>
        <v>9.9999999999998979E-3</v>
      </c>
      <c r="J21" s="79">
        <f ca="1">_xll.mscTrancheCalculateIRR(J$2,$M$4,$B21,E21,$M$3)</f>
        <v>9.9999999999998944E-3</v>
      </c>
    </row>
    <row r="22" spans="2:10" x14ac:dyDescent="0.25">
      <c r="B22" s="30">
        <v>19</v>
      </c>
      <c r="C22" s="72">
        <f ca="1">_xll.mscTrancheCalculatePV(C$2,$M$4,$M$3,$B22,$D$1)</f>
        <v>58067.673242476543</v>
      </c>
      <c r="D22" s="72">
        <f ca="1">_xll.mscTrancheCalculatePV(D$2,$M$4,$M$3,$B22,$D$1)</f>
        <v>1636265.5530058013</v>
      </c>
      <c r="E22" s="72">
        <f ca="1">_xll.mscTrancheCalculatePV(E$2,$M$4,$M$3,$B22,$D$1)</f>
        <v>3047137.3853378966</v>
      </c>
      <c r="H22" s="77">
        <f ca="1">_xll.mscTrancheCalculateIRR(H$2,$M$4,$B22,C22,$M$3)</f>
        <v>9.9999999998961371E-3</v>
      </c>
      <c r="I22" s="78">
        <f ca="1">_xll.mscTrancheCalculateIRR(I$2,$M$4,$B22,D22,$M$3)</f>
        <v>9.9999999999998129E-3</v>
      </c>
      <c r="J22" s="79">
        <f ca="1">_xll.mscTrancheCalculateIRR(J$2,$M$4,$B22,E22,$M$3)</f>
        <v>1.0000000000000021E-2</v>
      </c>
    </row>
    <row r="23" spans="2:10" x14ac:dyDescent="0.25">
      <c r="B23" s="30">
        <v>20</v>
      </c>
      <c r="C23" s="72">
        <f ca="1">_xll.mscTrancheCalculatePV(C$2,$M$4,$M$3,$B23,$D$1)</f>
        <v>58067.673242476543</v>
      </c>
      <c r="D23" s="72">
        <f ca="1">_xll.mscTrancheCalculatePV(D$2,$M$4,$M$3,$B23,$D$1)</f>
        <v>1545003.6210344951</v>
      </c>
      <c r="E23" s="72">
        <f ca="1">_xll.mscTrancheCalculatePV(E$2,$M$4,$M$3,$B23,$D$1)</f>
        <v>3052222.7448597886</v>
      </c>
      <c r="H23" s="77">
        <f ca="1">_xll.mscTrancheCalculateIRR(H$2,$M$4,$B23,C23,$M$3)</f>
        <v>9.9999999998961371E-3</v>
      </c>
      <c r="I23" s="78">
        <f ca="1">_xll.mscTrancheCalculateIRR(I$2,$M$4,$B23,D23,$M$3)</f>
        <v>1.0000000000000002E-2</v>
      </c>
      <c r="J23" s="79">
        <f ca="1">_xll.mscTrancheCalculateIRR(J$2,$M$4,$B23,E23,$M$3)</f>
        <v>9.9999999999999256E-3</v>
      </c>
    </row>
    <row r="24" spans="2:10" x14ac:dyDescent="0.25">
      <c r="B24" s="30">
        <v>21</v>
      </c>
      <c r="C24" s="72">
        <f ca="1">_xll.mscTrancheCalculatePV(C$2,$M$4,$M$3,$B24,$D$1)</f>
        <v>58067.673242476543</v>
      </c>
      <c r="D24" s="72">
        <f ca="1">_xll.mscTrancheCalculatePV(D$2,$M$4,$M$3,$B24,$D$1)</f>
        <v>1455690.3739386799</v>
      </c>
      <c r="E24" s="72">
        <f ca="1">_xll.mscTrancheCalculatePV(E$2,$M$4,$M$3,$B24,$D$1)</f>
        <v>3057038.3277359265</v>
      </c>
      <c r="H24" s="77">
        <f ca="1">_xll.mscTrancheCalculateIRR(H$2,$M$4,$B24,C24,$M$3)</f>
        <v>9.9999999998961371E-3</v>
      </c>
      <c r="I24" s="78">
        <f ca="1">_xll.mscTrancheCalculateIRR(I$2,$M$4,$B24,D24,$M$3)</f>
        <v>1.0000000000000004E-2</v>
      </c>
      <c r="J24" s="79">
        <f ca="1">_xll.mscTrancheCalculateIRR(J$2,$M$4,$B24,E24,$M$3)</f>
        <v>9.9999999999999829E-3</v>
      </c>
    </row>
    <row r="25" spans="2:10" x14ac:dyDescent="0.25">
      <c r="B25" s="30">
        <v>22</v>
      </c>
      <c r="C25" s="72">
        <f ca="1">_xll.mscTrancheCalculatePV(C$2,$M$4,$M$3,$B25,$D$1)</f>
        <v>58067.673242476543</v>
      </c>
      <c r="D25" s="72">
        <f ca="1">_xll.mscTrancheCalculatePV(D$2,$M$4,$M$3,$B25,$D$1)</f>
        <v>1368482.0106787987</v>
      </c>
      <c r="E25" s="72">
        <f ca="1">_xll.mscTrancheCalculatePV(E$2,$M$4,$M$3,$B25,$D$1)</f>
        <v>3061735.8222380239</v>
      </c>
      <c r="H25" s="77">
        <f ca="1">_xll.mscTrancheCalculateIRR(H$2,$M$4,$B25,C25,$M$3)</f>
        <v>9.9999999998961371E-3</v>
      </c>
      <c r="I25" s="78">
        <f ca="1">_xll.mscTrancheCalculateIRR(I$2,$M$4,$B25,D25,$M$3)</f>
        <v>9.9999999999997695E-3</v>
      </c>
      <c r="J25" s="79">
        <f ca="1">_xll.mscTrancheCalculateIRR(J$2,$M$4,$B25,E25,$M$3)</f>
        <v>9.9999999999997417E-3</v>
      </c>
    </row>
    <row r="26" spans="2:10" x14ac:dyDescent="0.25">
      <c r="B26" s="30">
        <v>23</v>
      </c>
      <c r="C26" s="72">
        <f ca="1">_xll.mscTrancheCalculatePV(C$2,$M$4,$M$3,$B26,$D$1)</f>
        <v>58067.673242476543</v>
      </c>
      <c r="D26" s="72">
        <f ca="1">_xll.mscTrancheCalculatePV(D$2,$M$4,$M$3,$B26,$D$1)</f>
        <v>1282974.0716680773</v>
      </c>
      <c r="E26" s="72">
        <f ca="1">_xll.mscTrancheCalculatePV(E$2,$M$4,$M$3,$B26,$D$1)</f>
        <v>3066019.6023903154</v>
      </c>
      <c r="H26" s="77">
        <f ca="1">_xll.mscTrancheCalculateIRR(H$2,$M$4,$B26,C26,$M$3)</f>
        <v>9.9999999998961371E-3</v>
      </c>
      <c r="I26" s="78">
        <f ca="1">_xll.mscTrancheCalculateIRR(I$2,$M$4,$B26,D26,$M$3)</f>
        <v>9.9999999999999759E-3</v>
      </c>
      <c r="J26" s="79">
        <f ca="1">_xll.mscTrancheCalculateIRR(J$2,$M$4,$B26,E26,$M$3)</f>
        <v>1.0000000000000014E-2</v>
      </c>
    </row>
    <row r="27" spans="2:10" x14ac:dyDescent="0.25">
      <c r="B27" s="30">
        <v>24</v>
      </c>
      <c r="C27" s="72">
        <f ca="1">_xll.mscTrancheCalculatePV(C$2,$M$4,$M$3,$B27,$D$1)</f>
        <v>58067.673242476543</v>
      </c>
      <c r="D27" s="72">
        <f ca="1">_xll.mscTrancheCalculatePV(D$2,$M$4,$M$3,$B27,$D$1)</f>
        <v>1199811.9840416901</v>
      </c>
      <c r="E27" s="72">
        <f ca="1">_xll.mscTrancheCalculatePV(E$2,$M$4,$M$3,$B27,$D$1)</f>
        <v>3070428.8525709249</v>
      </c>
      <c r="H27" s="77">
        <f ca="1">_xll.mscTrancheCalculateIRR(H$2,$M$4,$B27,C27,$M$3)</f>
        <v>9.9999999998961371E-3</v>
      </c>
      <c r="I27" s="78">
        <f ca="1">_xll.mscTrancheCalculateIRR(I$2,$M$4,$B27,D27,$M$3)</f>
        <v>9.9999999999998562E-3</v>
      </c>
      <c r="J27" s="79">
        <f ca="1">_xll.mscTrancheCalculateIRR(J$2,$M$4,$B27,E27,$M$3)</f>
        <v>9.9999999999999412E-3</v>
      </c>
    </row>
    <row r="28" spans="2:10" x14ac:dyDescent="0.25">
      <c r="B28" s="30">
        <v>25</v>
      </c>
      <c r="C28" s="72">
        <f ca="1">_xll.mscTrancheCalculatePV(C$2,$M$4,$M$3,$B28,$D$1)</f>
        <v>58067.673242476543</v>
      </c>
      <c r="D28" s="72">
        <f ca="1">_xll.mscTrancheCalculatePV(D$2,$M$4,$M$3,$B28,$D$1)</f>
        <v>1117840.4538374117</v>
      </c>
      <c r="E28" s="72">
        <f ca="1">_xll.mscTrancheCalculatePV(E$2,$M$4,$M$3,$B28,$D$1)</f>
        <v>3074070.3508929401</v>
      </c>
      <c r="H28" s="77">
        <f ca="1">_xll.mscTrancheCalculateIRR(H$2,$M$4,$B28,C28,$M$3)</f>
        <v>9.9999999998961371E-3</v>
      </c>
      <c r="I28" s="78">
        <f ca="1">_xll.mscTrancheCalculateIRR(I$2,$M$4,$B28,D28,$M$3)</f>
        <v>9.9999999999997608E-3</v>
      </c>
      <c r="J28" s="79">
        <f ca="1">_xll.mscTrancheCalculateIRR(J$2,$M$4,$B28,E28,$M$3)</f>
        <v>9.9999999999996932E-3</v>
      </c>
    </row>
    <row r="29" spans="2:10" x14ac:dyDescent="0.25">
      <c r="B29" s="30">
        <v>26</v>
      </c>
      <c r="C29" s="72">
        <f ca="1">_xll.mscTrancheCalculatePV(C$2,$M$4,$M$3,$B29,$D$1)</f>
        <v>58067.673242476543</v>
      </c>
      <c r="D29" s="72">
        <f ca="1">_xll.mscTrancheCalculatePV(D$2,$M$4,$M$3,$B29,$D$1)</f>
        <v>1037541.5249548621</v>
      </c>
      <c r="E29" s="72">
        <f ca="1">_xll.mscTrancheCalculatePV(E$2,$M$4,$M$3,$B29,$D$1)</f>
        <v>3077352.508231183</v>
      </c>
      <c r="H29" s="77">
        <f ca="1">_xll.mscTrancheCalculateIRR(H$2,$M$4,$B29,C29,$M$3)</f>
        <v>9.9999999998961371E-3</v>
      </c>
      <c r="I29" s="78">
        <f ca="1">_xll.mscTrancheCalculateIRR(I$2,$M$4,$B29,D29,$M$3)</f>
        <v>9.9999999999996862E-3</v>
      </c>
      <c r="J29" s="79">
        <f ca="1">_xll.mscTrancheCalculateIRR(J$2,$M$4,$B29,E29,$M$3)</f>
        <v>1.0000000000000019E-2</v>
      </c>
    </row>
    <row r="30" spans="2:10" x14ac:dyDescent="0.25">
      <c r="B30" s="30">
        <v>27</v>
      </c>
      <c r="C30" s="72">
        <f ca="1">_xll.mscTrancheCalculatePV(C$2,$M$4,$M$3,$B30,$D$1)</f>
        <v>58067.673242476543</v>
      </c>
      <c r="D30" s="72">
        <f ca="1">_xll.mscTrancheCalculatePV(D$2,$M$4,$M$3,$B30,$D$1)</f>
        <v>959933.80746518692</v>
      </c>
      <c r="E30" s="72">
        <f ca="1">_xll.mscTrancheCalculatePV(E$2,$M$4,$M$3,$B30,$D$1)</f>
        <v>3081099.9273371589</v>
      </c>
      <c r="H30" s="77">
        <f ca="1">_xll.mscTrancheCalculateIRR(H$2,$M$4,$B30,C30,$M$3)</f>
        <v>9.9999999998961371E-3</v>
      </c>
      <c r="I30" s="78">
        <f ca="1">_xll.mscTrancheCalculateIRR(I$2,$M$4,$B30,D30,$M$3)</f>
        <v>9.9999999999996168E-3</v>
      </c>
      <c r="J30" s="79">
        <f ca="1">_xll.mscTrancheCalculateIRR(J$2,$M$4,$B30,E30,$M$3)</f>
        <v>9.9999999999997938E-3</v>
      </c>
    </row>
    <row r="31" spans="2:10" x14ac:dyDescent="0.25">
      <c r="B31" s="30">
        <v>28</v>
      </c>
      <c r="C31" s="72">
        <f ca="1">_xll.mscTrancheCalculatePV(C$2,$M$4,$M$3,$B31,$D$1)</f>
        <v>58067.673242476543</v>
      </c>
      <c r="D31" s="72">
        <f ca="1">_xll.mscTrancheCalculatePV(D$2,$M$4,$M$3,$B31,$D$1)</f>
        <v>883084.53751374106</v>
      </c>
      <c r="E31" s="72">
        <f ca="1">_xll.mscTrancheCalculatePV(E$2,$M$4,$M$3,$B31,$D$1)</f>
        <v>3083818.5268165153</v>
      </c>
      <c r="H31" s="77">
        <f ca="1">_xll.mscTrancheCalculateIRR(H$2,$M$4,$B31,C31,$M$3)</f>
        <v>9.9999999998961371E-3</v>
      </c>
      <c r="I31" s="78">
        <f ca="1">_xll.mscTrancheCalculateIRR(I$2,$M$4,$B31,D31,$M$3)</f>
        <v>9.9999999999997955E-3</v>
      </c>
      <c r="J31" s="79">
        <f ca="1">_xll.mscTrancheCalculateIRR(J$2,$M$4,$B31,E31,$M$3)</f>
        <v>1.0000000000000141E-2</v>
      </c>
    </row>
    <row r="32" spans="2:10" x14ac:dyDescent="0.25">
      <c r="B32" s="30">
        <v>29</v>
      </c>
      <c r="C32" s="72">
        <f ca="1">_xll.mscTrancheCalculatePV(C$2,$M$4,$M$3,$B32,$D$1)</f>
        <v>58067.673242476543</v>
      </c>
      <c r="D32" s="72">
        <f ca="1">_xll.mscTrancheCalculatePV(D$2,$M$4,$M$3,$B32,$D$1)</f>
        <v>808305.82151969546</v>
      </c>
      <c r="E32" s="72">
        <f ca="1">_xll.mscTrancheCalculatePV(E$2,$M$4,$M$3,$B32,$D$1)</f>
        <v>3086556.0211737663</v>
      </c>
      <c r="H32" s="77">
        <f ca="1">_xll.mscTrancheCalculateIRR(H$2,$M$4,$B32,C32,$M$3)</f>
        <v>9.9999999998961371E-3</v>
      </c>
      <c r="I32" s="78">
        <f ca="1">_xll.mscTrancheCalculateIRR(I$2,$M$4,$B32,D32,$M$3)</f>
        <v>9.9999999999996272E-3</v>
      </c>
      <c r="J32" s="79">
        <f ca="1">_xll.mscTrancheCalculateIRR(J$2,$M$4,$B32,E32,$M$3)</f>
        <v>9.9999999999998996E-3</v>
      </c>
    </row>
    <row r="33" spans="2:10" x14ac:dyDescent="0.25">
      <c r="B33" s="30">
        <v>30</v>
      </c>
      <c r="C33" s="72">
        <f ca="1">_xll.mscTrancheCalculatePV(C$2,$M$4,$M$3,$B33,$D$1)</f>
        <v>58067.673242476543</v>
      </c>
      <c r="D33" s="72">
        <f ca="1">_xll.mscTrancheCalculatePV(D$2,$M$4,$M$3,$B33,$D$1)</f>
        <v>735222.66797532281</v>
      </c>
      <c r="E33" s="72">
        <f ca="1">_xll.mscTrancheCalculatePV(E$2,$M$4,$M$3,$B33,$D$1)</f>
        <v>3089041.4950287049</v>
      </c>
      <c r="H33" s="77">
        <f ca="1">_xll.mscTrancheCalculateIRR(H$2,$M$4,$B33,C33,$M$3)</f>
        <v>9.9999999998961371E-3</v>
      </c>
      <c r="I33" s="78">
        <f ca="1">_xll.mscTrancheCalculateIRR(I$2,$M$4,$B33,D33,$M$3)</f>
        <v>9.9999999999995214E-3</v>
      </c>
      <c r="J33" s="79">
        <f ca="1">_xll.mscTrancheCalculateIRR(J$2,$M$4,$B33,E33,$M$3)</f>
        <v>9.9999999999998632E-3</v>
      </c>
    </row>
    <row r="34" spans="2:10" x14ac:dyDescent="0.25">
      <c r="B34" s="30">
        <v>31</v>
      </c>
      <c r="C34" s="72">
        <f ca="1">_xll.mscTrancheCalculatePV(C$2,$M$4,$M$3,$B34,$D$1)</f>
        <v>58067.673242476543</v>
      </c>
      <c r="D34" s="72">
        <f ca="1">_xll.mscTrancheCalculatePV(D$2,$M$4,$M$3,$B34,$D$1)</f>
        <v>663895.22294590413</v>
      </c>
      <c r="E34" s="72">
        <f ca="1">_xll.mscTrancheCalculatePV(E$2,$M$4,$M$3,$B34,$D$1)</f>
        <v>3091339.0193411568</v>
      </c>
      <c r="H34" s="77">
        <f ca="1">_xll.mscTrancheCalculateIRR(H$2,$M$4,$B34,C34,$M$3)</f>
        <v>9.9999999998961371E-3</v>
      </c>
      <c r="I34" s="78">
        <f ca="1">_xll.mscTrancheCalculateIRR(I$2,$M$4,$B34,D34,$M$3)</f>
        <v>9.9999999999993254E-3</v>
      </c>
      <c r="J34" s="79">
        <f ca="1">_xll.mscTrancheCalculateIRR(J$2,$M$4,$B34,E34,$M$3)</f>
        <v>9.9999999999997244E-3</v>
      </c>
    </row>
    <row r="35" spans="2:10" x14ac:dyDescent="0.25">
      <c r="B35" s="30">
        <v>32</v>
      </c>
      <c r="C35" s="72">
        <f ca="1">_xll.mscTrancheCalculatePV(C$2,$M$4,$M$3,$B35,$D$1)</f>
        <v>58067.673242476543</v>
      </c>
      <c r="D35" s="72">
        <f ca="1">_xll.mscTrancheCalculatePV(D$2,$M$4,$M$3,$B35,$D$1)</f>
        <v>594204.78205707588</v>
      </c>
      <c r="E35" s="72">
        <f ca="1">_xll.mscTrancheCalculatePV(E$2,$M$4,$M$3,$B35,$D$1)</f>
        <v>3093377.808214345</v>
      </c>
      <c r="H35" s="77">
        <f ca="1">_xll.mscTrancheCalculateIRR(H$2,$M$4,$B35,C35,$M$3)</f>
        <v>9.9999999998961371E-3</v>
      </c>
      <c r="I35" s="78">
        <f ca="1">_xll.mscTrancheCalculateIRR(I$2,$M$4,$B35,D35,$M$3)</f>
        <v>9.9999999999994885E-3</v>
      </c>
      <c r="J35" s="79">
        <f ca="1">_xll.mscTrancheCalculateIRR(J$2,$M$4,$B35,E35,$M$3)</f>
        <v>9.9999999999998319E-3</v>
      </c>
    </row>
    <row r="36" spans="2:10" x14ac:dyDescent="0.25">
      <c r="B36" s="30">
        <v>33</v>
      </c>
      <c r="C36" s="72">
        <f ca="1">_xll.mscTrancheCalculatePV(C$2,$M$4,$M$3,$B36,$D$1)</f>
        <v>58067.673242476543</v>
      </c>
      <c r="D36" s="72">
        <f ca="1">_xll.mscTrancheCalculatePV(D$2,$M$4,$M$3,$B36,$D$1)</f>
        <v>526192.86458825995</v>
      </c>
      <c r="E36" s="72">
        <f ca="1">_xll.mscTrancheCalculatePV(E$2,$M$4,$M$3,$B36,$D$1)</f>
        <v>3095203.2412085575</v>
      </c>
      <c r="H36" s="77">
        <f ca="1">_xll.mscTrancheCalculateIRR(H$2,$M$4,$B36,C36,$M$3)</f>
        <v>9.9999999998961371E-3</v>
      </c>
      <c r="I36" s="78">
        <f ca="1">_xll.mscTrancheCalculateIRR(I$2,$M$4,$B36,D36,$M$3)</f>
        <v>9.999999999999426E-3</v>
      </c>
      <c r="J36" s="79">
        <f ca="1">_xll.mscTrancheCalculateIRR(J$2,$M$4,$B36,E36,$M$3)</f>
        <v>9.9999999999996134E-3</v>
      </c>
    </row>
    <row r="37" spans="2:10" x14ac:dyDescent="0.25">
      <c r="B37" s="30">
        <v>34</v>
      </c>
      <c r="C37" s="72">
        <f ca="1">_xll.mscTrancheCalculatePV(C$2,$M$4,$M$3,$B37,$D$1)</f>
        <v>58067.673242476543</v>
      </c>
      <c r="D37" s="72">
        <f ca="1">_xll.mscTrancheCalculatePV(D$2,$M$4,$M$3,$B37,$D$1)</f>
        <v>459598.61394003418</v>
      </c>
      <c r="E37" s="72">
        <f ca="1">_xll.mscTrancheCalculatePV(E$2,$M$4,$M$3,$B37,$D$1)</f>
        <v>3096657.3195853867</v>
      </c>
      <c r="H37" s="77">
        <f ca="1">_xll.mscTrancheCalculateIRR(H$2,$M$4,$B37,C37,$M$3)</f>
        <v>9.9999999998961371E-3</v>
      </c>
      <c r="I37" s="78">
        <f ca="1">_xll.mscTrancheCalculateIRR(I$2,$M$4,$B37,D37,$M$3)</f>
        <v>9.9999999999993636E-3</v>
      </c>
      <c r="J37" s="79">
        <f ca="1">_xll.mscTrancheCalculateIRR(J$2,$M$4,$B37,E37,$M$3)</f>
        <v>9.9999999999996047E-3</v>
      </c>
    </row>
    <row r="38" spans="2:10" x14ac:dyDescent="0.25">
      <c r="B38" s="30">
        <v>35</v>
      </c>
      <c r="C38" s="72">
        <f ca="1">_xll.mscTrancheCalculatePV(C$2,$M$4,$M$3,$B38,$D$1)</f>
        <v>58067.673242476543</v>
      </c>
      <c r="D38" s="72">
        <f ca="1">_xll.mscTrancheCalculatePV(D$2,$M$4,$M$3,$B38,$D$1)</f>
        <v>394638.13143041276</v>
      </c>
      <c r="E38" s="72">
        <f ca="1">_xll.mscTrancheCalculatePV(E$2,$M$4,$M$3,$B38,$D$1)</f>
        <v>3097899.3846227075</v>
      </c>
      <c r="H38" s="77">
        <f ca="1">_xll.mscTrancheCalculateIRR(H$2,$M$4,$B38,C38,$M$3)</f>
        <v>9.9999999998961371E-3</v>
      </c>
      <c r="I38" s="78">
        <f ca="1">_xll.mscTrancheCalculateIRR(I$2,$M$4,$B38,D38,$M$3)</f>
        <v>9.9999999999993185E-3</v>
      </c>
      <c r="J38" s="79">
        <f ca="1">_xll.mscTrancheCalculateIRR(J$2,$M$4,$B38,E38,$M$3)</f>
        <v>9.9999999999995925E-3</v>
      </c>
    </row>
    <row r="39" spans="2:10" x14ac:dyDescent="0.25">
      <c r="B39" s="30">
        <v>36</v>
      </c>
      <c r="C39" s="72">
        <f ca="1">_xll.mscTrancheCalculatePV(C$2,$M$4,$M$3,$B39,$D$1)</f>
        <v>58067.673242476543</v>
      </c>
      <c r="D39" s="72">
        <f ca="1">_xll.mscTrancheCalculatePV(D$2,$M$4,$M$3,$B39,$D$1)</f>
        <v>321951.12352851673</v>
      </c>
      <c r="E39" s="72">
        <f ca="1">_xll.mscTrancheCalculatePV(E$2,$M$4,$M$3,$B39,$D$1)</f>
        <v>3108284.6176214125</v>
      </c>
      <c r="H39" s="77">
        <f ca="1">_xll.mscTrancheCalculateIRR(H$2,$M$4,$B39,C39,$M$3)</f>
        <v>9.9999999998961371E-3</v>
      </c>
      <c r="I39" s="78">
        <f ca="1">_xll.mscTrancheCalculateIRR(I$2,$M$4,$B39,D39,$M$3)</f>
        <v>9.9999999999995128E-3</v>
      </c>
      <c r="J39" s="79">
        <f ca="1">_xll.mscTrancheCalculateIRR(J$2,$M$4,$B39,E39,$M$3)</f>
        <v>9.9999999999994416E-3</v>
      </c>
    </row>
    <row r="40" spans="2:10" x14ac:dyDescent="0.25">
      <c r="B40" s="30">
        <v>37</v>
      </c>
      <c r="C40" s="72">
        <f ca="1">_xll.mscTrancheCalculatePV(C$2,$M$4,$M$3,$B40,$D$1)</f>
        <v>58067.673242476543</v>
      </c>
      <c r="D40" s="72">
        <f ca="1">_xll.mscTrancheCalculatePV(D$2,$M$4,$M$3,$B40,$D$1)</f>
        <v>217229.39442056479</v>
      </c>
      <c r="E40" s="72">
        <f ca="1">_xll.mscTrancheCalculatePV(E$2,$M$4,$M$3,$B40,$D$1)</f>
        <v>3163667.1097680777</v>
      </c>
      <c r="H40" s="77">
        <f ca="1">_xll.mscTrancheCalculateIRR(H$2,$M$4,$B40,C40,$M$3)</f>
        <v>9.9999999998961371E-3</v>
      </c>
      <c r="I40" s="78">
        <f ca="1">_xll.mscTrancheCalculateIRR(I$2,$M$4,$B40,D40,$M$3)</f>
        <v>9.9999999999998267E-3</v>
      </c>
      <c r="J40" s="79">
        <f ca="1">_xll.mscTrancheCalculateIRR(J$2,$M$4,$B40,E40,$M$3)</f>
        <v>9.9999999999996047E-3</v>
      </c>
    </row>
    <row r="41" spans="2:10" x14ac:dyDescent="0.25">
      <c r="B41" s="30">
        <v>38</v>
      </c>
      <c r="C41" s="72">
        <f ca="1">_xll.mscTrancheCalculatePV(C$2,$M$4,$M$3,$B41,$D$1)</f>
        <v>58067.673242476543</v>
      </c>
      <c r="D41" s="72">
        <f ca="1">_xll.mscTrancheCalculatePV(D$2,$M$4,$M$3,$B41,$D$1)</f>
        <v>269903.464522038</v>
      </c>
      <c r="E41" s="72">
        <f ca="1">_xll.mscTrancheCalculatePV(E$2,$M$4,$M$3,$B41,$D$1)</f>
        <v>3163667.1097680777</v>
      </c>
      <c r="H41" s="77">
        <f ca="1">_xll.mscTrancheCalculateIRR(H$2,$M$4,$B41,C41,$M$3)</f>
        <v>9.9999999998961371E-3</v>
      </c>
      <c r="I41" s="78">
        <f ca="1">_xll.mscTrancheCalculateIRR(I$2,$M$4,$B41,D41,$M$3)</f>
        <v>9.9999999999994676E-3</v>
      </c>
      <c r="J41" s="79">
        <f ca="1">_xll.mscTrancheCalculateIRR(J$2,$M$4,$B41,E41,$M$3)</f>
        <v>9.9999999999996047E-3</v>
      </c>
    </row>
    <row r="42" spans="2:10" x14ac:dyDescent="0.25">
      <c r="B42" s="30">
        <v>39</v>
      </c>
      <c r="C42" s="72">
        <f ca="1">_xll.mscTrancheCalculatePV(C$2,$M$4,$M$3,$B42,$D$1)</f>
        <v>58067.673242476543</v>
      </c>
      <c r="D42" s="72">
        <f ca="1">_xll.mscTrancheCalculatePV(D$2,$M$4,$M$3,$B42,$D$1)</f>
        <v>269903.464522038</v>
      </c>
      <c r="E42" s="72">
        <f ca="1">_xll.mscTrancheCalculatePV(E$2,$M$4,$M$3,$B42,$D$1)</f>
        <v>3163667.1097680777</v>
      </c>
      <c r="H42" s="77">
        <f ca="1">_xll.mscTrancheCalculateIRR(H$2,$M$4,$B42,C42,$M$3)</f>
        <v>9.9999999998961371E-3</v>
      </c>
      <c r="I42" s="78">
        <f ca="1">_xll.mscTrancheCalculateIRR(I$2,$M$4,$B42,D42,$M$3)</f>
        <v>9.9999999999994676E-3</v>
      </c>
      <c r="J42" s="79">
        <f ca="1">_xll.mscTrancheCalculateIRR(J$2,$M$4,$B42,E42,$M$3)</f>
        <v>9.9999999999996047E-3</v>
      </c>
    </row>
    <row r="43" spans="2:10" x14ac:dyDescent="0.25">
      <c r="B43" s="30">
        <v>40</v>
      </c>
      <c r="C43" s="72">
        <f ca="1">_xll.mscTrancheCalculatePV(C$2,$M$4,$M$3,$B43,$D$1)</f>
        <v>58067.673242476543</v>
      </c>
      <c r="D43" s="72">
        <f ca="1">_xll.mscTrancheCalculatePV(D$2,$M$4,$M$3,$B43,$D$1)</f>
        <v>269903.464522038</v>
      </c>
      <c r="E43" s="72">
        <f ca="1">_xll.mscTrancheCalculatePV(E$2,$M$4,$M$3,$B43,$D$1)</f>
        <v>3163667.1097680777</v>
      </c>
      <c r="H43" s="77">
        <f ca="1">_xll.mscTrancheCalculateIRR(H$2,$M$4,$B43,C43,$M$3)</f>
        <v>9.9999999998961371E-3</v>
      </c>
      <c r="I43" s="78">
        <f ca="1">_xll.mscTrancheCalculateIRR(I$2,$M$4,$B43,D43,$M$3)</f>
        <v>9.9999999999994676E-3</v>
      </c>
      <c r="J43" s="79">
        <f ca="1">_xll.mscTrancheCalculateIRR(J$2,$M$4,$B43,E43,$M$3)</f>
        <v>9.9999999999996047E-3</v>
      </c>
    </row>
    <row r="44" spans="2:10" x14ac:dyDescent="0.25">
      <c r="B44" s="30">
        <v>41</v>
      </c>
      <c r="C44" s="72">
        <f ca="1">_xll.mscTrancheCalculatePV(C$2,$M$4,$M$3,$B44,$D$1)</f>
        <v>58067.673242476543</v>
      </c>
      <c r="D44" s="72">
        <f ca="1">_xll.mscTrancheCalculatePV(D$2,$M$4,$M$3,$B44,$D$1)</f>
        <v>269903.464522038</v>
      </c>
      <c r="E44" s="72">
        <f ca="1">_xll.mscTrancheCalculatePV(E$2,$M$4,$M$3,$B44,$D$1)</f>
        <v>3163667.1097680777</v>
      </c>
      <c r="H44" s="77">
        <f ca="1">_xll.mscTrancheCalculateIRR(H$2,$M$4,$B44,C44,$M$3)</f>
        <v>9.9999999998961371E-3</v>
      </c>
      <c r="I44" s="78">
        <f ca="1">_xll.mscTrancheCalculateIRR(I$2,$M$4,$B44,D44,$M$3)</f>
        <v>9.9999999999994676E-3</v>
      </c>
      <c r="J44" s="79">
        <f ca="1">_xll.mscTrancheCalculateIRR(J$2,$M$4,$B44,E44,$M$3)</f>
        <v>9.9999999999996047E-3</v>
      </c>
    </row>
    <row r="45" spans="2:10" x14ac:dyDescent="0.25">
      <c r="B45" s="30">
        <v>42</v>
      </c>
      <c r="C45" s="72">
        <f ca="1">_xll.mscTrancheCalculatePV(C$2,$M$4,$M$3,$B45,$D$1)</f>
        <v>58067.673242476543</v>
      </c>
      <c r="D45" s="72">
        <f ca="1">_xll.mscTrancheCalculatePV(D$2,$M$4,$M$3,$B45,$D$1)</f>
        <v>269903.464522038</v>
      </c>
      <c r="E45" s="72">
        <f ca="1">_xll.mscTrancheCalculatePV(E$2,$M$4,$M$3,$B45,$D$1)</f>
        <v>3163667.1097680777</v>
      </c>
      <c r="H45" s="77">
        <f ca="1">_xll.mscTrancheCalculateIRR(H$2,$M$4,$B45,C45,$M$3)</f>
        <v>9.9999999998961371E-3</v>
      </c>
      <c r="I45" s="78">
        <f ca="1">_xll.mscTrancheCalculateIRR(I$2,$M$4,$B45,D45,$M$3)</f>
        <v>9.9999999999994676E-3</v>
      </c>
      <c r="J45" s="79">
        <f ca="1">_xll.mscTrancheCalculateIRR(J$2,$M$4,$B45,E45,$M$3)</f>
        <v>9.9999999999996047E-3</v>
      </c>
    </row>
    <row r="46" spans="2:10" x14ac:dyDescent="0.25">
      <c r="B46" s="30">
        <v>43</v>
      </c>
      <c r="C46" s="72">
        <f ca="1">_xll.mscTrancheCalculatePV(C$2,$M$4,$M$3,$B46,$D$1)</f>
        <v>58067.673242476543</v>
      </c>
      <c r="D46" s="72">
        <f ca="1">_xll.mscTrancheCalculatePV(D$2,$M$4,$M$3,$B46,$D$1)</f>
        <v>269903.464522038</v>
      </c>
      <c r="E46" s="72">
        <f ca="1">_xll.mscTrancheCalculatePV(E$2,$M$4,$M$3,$B46,$D$1)</f>
        <v>3163667.1097680777</v>
      </c>
      <c r="H46" s="77">
        <f ca="1">_xll.mscTrancheCalculateIRR(H$2,$M$4,$B46,C46,$M$3)</f>
        <v>9.9999999998961371E-3</v>
      </c>
      <c r="I46" s="78">
        <f ca="1">_xll.mscTrancheCalculateIRR(I$2,$M$4,$B46,D46,$M$3)</f>
        <v>9.9999999999994676E-3</v>
      </c>
      <c r="J46" s="79">
        <f ca="1">_xll.mscTrancheCalculateIRR(J$2,$M$4,$B46,E46,$M$3)</f>
        <v>9.9999999999996047E-3</v>
      </c>
    </row>
    <row r="47" spans="2:10" x14ac:dyDescent="0.25">
      <c r="B47" s="30">
        <v>44</v>
      </c>
      <c r="C47" s="72">
        <f ca="1">_xll.mscTrancheCalculatePV(C$2,$M$4,$M$3,$B47,$D$1)</f>
        <v>58067.673242476543</v>
      </c>
      <c r="D47" s="72">
        <f ca="1">_xll.mscTrancheCalculatePV(D$2,$M$4,$M$3,$B47,$D$1)</f>
        <v>269903.464522038</v>
      </c>
      <c r="E47" s="72">
        <f ca="1">_xll.mscTrancheCalculatePV(E$2,$M$4,$M$3,$B47,$D$1)</f>
        <v>3163667.1097680777</v>
      </c>
      <c r="H47" s="77">
        <f ca="1">_xll.mscTrancheCalculateIRR(H$2,$M$4,$B47,C47,$M$3)</f>
        <v>9.9999999998961371E-3</v>
      </c>
      <c r="I47" s="78">
        <f ca="1">_xll.mscTrancheCalculateIRR(I$2,$M$4,$B47,D47,$M$3)</f>
        <v>9.9999999999994676E-3</v>
      </c>
      <c r="J47" s="79">
        <f ca="1">_xll.mscTrancheCalculateIRR(J$2,$M$4,$B47,E47,$M$3)</f>
        <v>9.9999999999996047E-3</v>
      </c>
    </row>
    <row r="48" spans="2:10" x14ac:dyDescent="0.25">
      <c r="B48" s="30">
        <v>45</v>
      </c>
      <c r="C48" s="72">
        <f ca="1">_xll.mscTrancheCalculatePV(C$2,$M$4,$M$3,$B48,$D$1)</f>
        <v>58067.673242476543</v>
      </c>
      <c r="D48" s="72">
        <f ca="1">_xll.mscTrancheCalculatePV(D$2,$M$4,$M$3,$B48,$D$1)</f>
        <v>269903.464522038</v>
      </c>
      <c r="E48" s="72">
        <f ca="1">_xll.mscTrancheCalculatePV(E$2,$M$4,$M$3,$B48,$D$1)</f>
        <v>3163667.1097680777</v>
      </c>
      <c r="H48" s="77">
        <f ca="1">_xll.mscTrancheCalculateIRR(H$2,$M$4,$B48,C48,$M$3)</f>
        <v>9.9999999998961371E-3</v>
      </c>
      <c r="I48" s="78">
        <f ca="1">_xll.mscTrancheCalculateIRR(I$2,$M$4,$B48,D48,$M$3)</f>
        <v>9.9999999999994676E-3</v>
      </c>
      <c r="J48" s="79">
        <f ca="1">_xll.mscTrancheCalculateIRR(J$2,$M$4,$B48,E48,$M$3)</f>
        <v>9.9999999999996047E-3</v>
      </c>
    </row>
    <row r="49" spans="2:10" x14ac:dyDescent="0.25">
      <c r="B49" s="30">
        <v>46</v>
      </c>
      <c r="C49" s="72">
        <f ca="1">_xll.mscTrancheCalculatePV(C$2,$M$4,$M$3,$B49,$D$1)</f>
        <v>58067.673242476543</v>
      </c>
      <c r="D49" s="72">
        <f ca="1">_xll.mscTrancheCalculatePV(D$2,$M$4,$M$3,$B49,$D$1)</f>
        <v>269903.464522038</v>
      </c>
      <c r="E49" s="72">
        <f ca="1">_xll.mscTrancheCalculatePV(E$2,$M$4,$M$3,$B49,$D$1)</f>
        <v>3163667.1097680777</v>
      </c>
      <c r="H49" s="77">
        <f ca="1">_xll.mscTrancheCalculateIRR(H$2,$M$4,$B49,C49,$M$3)</f>
        <v>9.9999999998961371E-3</v>
      </c>
      <c r="I49" s="78">
        <f ca="1">_xll.mscTrancheCalculateIRR(I$2,$M$4,$B49,D49,$M$3)</f>
        <v>9.9999999999994676E-3</v>
      </c>
      <c r="J49" s="79">
        <f ca="1">_xll.mscTrancheCalculateIRR(J$2,$M$4,$B49,E49,$M$3)</f>
        <v>9.9999999999996047E-3</v>
      </c>
    </row>
    <row r="50" spans="2:10" x14ac:dyDescent="0.25">
      <c r="B50" s="30">
        <v>47</v>
      </c>
      <c r="C50" s="72">
        <f ca="1">_xll.mscTrancheCalculatePV(C$2,$M$4,$M$3,$B50,$D$1)</f>
        <v>58067.673242476543</v>
      </c>
      <c r="D50" s="72">
        <f ca="1">_xll.mscTrancheCalculatePV(D$2,$M$4,$M$3,$B50,$D$1)</f>
        <v>269903.464522038</v>
      </c>
      <c r="E50" s="72">
        <f ca="1">_xll.mscTrancheCalculatePV(E$2,$M$4,$M$3,$B50,$D$1)</f>
        <v>3163667.1097680777</v>
      </c>
      <c r="H50" s="77">
        <f ca="1">_xll.mscTrancheCalculateIRR(H$2,$M$4,$B50,C50,$M$3)</f>
        <v>9.9999999998961371E-3</v>
      </c>
      <c r="I50" s="78">
        <f ca="1">_xll.mscTrancheCalculateIRR(I$2,$M$4,$B50,D50,$M$3)</f>
        <v>9.9999999999994676E-3</v>
      </c>
      <c r="J50" s="79">
        <f ca="1">_xll.mscTrancheCalculateIRR(J$2,$M$4,$B50,E50,$M$3)</f>
        <v>9.9999999999996047E-3</v>
      </c>
    </row>
    <row r="51" spans="2:10" x14ac:dyDescent="0.25">
      <c r="B51" s="30">
        <v>48</v>
      </c>
      <c r="C51" s="72">
        <f ca="1">_xll.mscTrancheCalculatePV(C$2,$M$4,$M$3,$B51,$D$1)</f>
        <v>58067.673242476543</v>
      </c>
      <c r="D51" s="72">
        <f ca="1">_xll.mscTrancheCalculatePV(D$2,$M$4,$M$3,$B51,$D$1)</f>
        <v>269903.464522038</v>
      </c>
      <c r="E51" s="72">
        <f ca="1">_xll.mscTrancheCalculatePV(E$2,$M$4,$M$3,$B51,$D$1)</f>
        <v>3163667.1097680777</v>
      </c>
      <c r="H51" s="77">
        <f ca="1">_xll.mscTrancheCalculateIRR(H$2,$M$4,$B51,C51,$M$3)</f>
        <v>9.9999999998961371E-3</v>
      </c>
      <c r="I51" s="78">
        <f ca="1">_xll.mscTrancheCalculateIRR(I$2,$M$4,$B51,D51,$M$3)</f>
        <v>9.9999999999994676E-3</v>
      </c>
      <c r="J51" s="79">
        <f ca="1">_xll.mscTrancheCalculateIRR(J$2,$M$4,$B51,E51,$M$3)</f>
        <v>9.9999999999996047E-3</v>
      </c>
    </row>
    <row r="52" spans="2:10" x14ac:dyDescent="0.25">
      <c r="B52" s="30">
        <v>49</v>
      </c>
      <c r="C52" s="72">
        <f ca="1">_xll.mscTrancheCalculatePV(C$2,$M$4,$M$3,$B52,$D$1)</f>
        <v>58067.673242476543</v>
      </c>
      <c r="D52" s="72">
        <f ca="1">_xll.mscTrancheCalculatePV(D$2,$M$4,$M$3,$B52,$D$1)</f>
        <v>269903.464522038</v>
      </c>
      <c r="E52" s="72">
        <f ca="1">_xll.mscTrancheCalculatePV(E$2,$M$4,$M$3,$B52,$D$1)</f>
        <v>3163667.1097680777</v>
      </c>
      <c r="H52" s="77">
        <f ca="1">_xll.mscTrancheCalculateIRR(H$2,$M$4,$B52,C52,$M$3)</f>
        <v>9.9999999998961371E-3</v>
      </c>
      <c r="I52" s="78">
        <f ca="1">_xll.mscTrancheCalculateIRR(I$2,$M$4,$B52,D52,$M$3)</f>
        <v>9.9999999999994676E-3</v>
      </c>
      <c r="J52" s="79">
        <f ca="1">_xll.mscTrancheCalculateIRR(J$2,$M$4,$B52,E52,$M$3)</f>
        <v>9.9999999999996047E-3</v>
      </c>
    </row>
    <row r="53" spans="2:10" x14ac:dyDescent="0.25">
      <c r="B53" s="30">
        <v>50</v>
      </c>
      <c r="C53" s="72">
        <f ca="1">_xll.mscTrancheCalculatePV(C$2,$M$4,$M$3,$B53,$D$1)</f>
        <v>58067.673242476543</v>
      </c>
      <c r="D53" s="72">
        <f ca="1">_xll.mscTrancheCalculatePV(D$2,$M$4,$M$3,$B53,$D$1)</f>
        <v>269903.464522038</v>
      </c>
      <c r="E53" s="72">
        <f ca="1">_xll.mscTrancheCalculatePV(E$2,$M$4,$M$3,$B53,$D$1)</f>
        <v>3163667.1097680777</v>
      </c>
      <c r="H53" s="77">
        <f ca="1">_xll.mscTrancheCalculateIRR(H$2,$M$4,$B53,C53,$M$3)</f>
        <v>9.9999999998961371E-3</v>
      </c>
      <c r="I53" s="78">
        <f ca="1">_xll.mscTrancheCalculateIRR(I$2,$M$4,$B53,D53,$M$3)</f>
        <v>9.9999999999994676E-3</v>
      </c>
      <c r="J53" s="79">
        <f ca="1">_xll.mscTrancheCalculateIRR(J$2,$M$4,$B53,E53,$M$3)</f>
        <v>9.9999999999996047E-3</v>
      </c>
    </row>
    <row r="54" spans="2:10" x14ac:dyDescent="0.25">
      <c r="B54" s="30">
        <v>51</v>
      </c>
      <c r="C54" s="72">
        <f ca="1">_xll.mscTrancheCalculatePV(C$2,$M$4,$M$3,$B54,$D$1)</f>
        <v>58067.673242476543</v>
      </c>
      <c r="D54" s="72">
        <f ca="1">_xll.mscTrancheCalculatePV(D$2,$M$4,$M$3,$B54,$D$1)</f>
        <v>269903.464522038</v>
      </c>
      <c r="E54" s="72">
        <f ca="1">_xll.mscTrancheCalculatePV(E$2,$M$4,$M$3,$B54,$D$1)</f>
        <v>3163667.1097680777</v>
      </c>
      <c r="H54" s="77">
        <f ca="1">_xll.mscTrancheCalculateIRR(H$2,$M$4,$B54,C54,$M$3)</f>
        <v>9.9999999998961371E-3</v>
      </c>
      <c r="I54" s="78">
        <f ca="1">_xll.mscTrancheCalculateIRR(I$2,$M$4,$B54,D54,$M$3)</f>
        <v>9.9999999999994676E-3</v>
      </c>
      <c r="J54" s="79">
        <f ca="1">_xll.mscTrancheCalculateIRR(J$2,$M$4,$B54,E54,$M$3)</f>
        <v>9.9999999999996047E-3</v>
      </c>
    </row>
    <row r="55" spans="2:10" x14ac:dyDescent="0.25">
      <c r="B55" s="30">
        <v>52</v>
      </c>
      <c r="C55" s="72">
        <f ca="1">_xll.mscTrancheCalculatePV(C$2,$M$4,$M$3,$B55,$D$1)</f>
        <v>58067.673242476543</v>
      </c>
      <c r="D55" s="72">
        <f ca="1">_xll.mscTrancheCalculatePV(D$2,$M$4,$M$3,$B55,$D$1)</f>
        <v>269903.464522038</v>
      </c>
      <c r="E55" s="72">
        <f ca="1">_xll.mscTrancheCalculatePV(E$2,$M$4,$M$3,$B55,$D$1)</f>
        <v>3163667.1097680777</v>
      </c>
      <c r="H55" s="77">
        <f ca="1">_xll.mscTrancheCalculateIRR(H$2,$M$4,$B55,C55,$M$3)</f>
        <v>9.9999999998961371E-3</v>
      </c>
      <c r="I55" s="78">
        <f ca="1">_xll.mscTrancheCalculateIRR(I$2,$M$4,$B55,D55,$M$3)</f>
        <v>9.9999999999994676E-3</v>
      </c>
      <c r="J55" s="79">
        <f ca="1">_xll.mscTrancheCalculateIRR(J$2,$M$4,$B55,E55,$M$3)</f>
        <v>9.9999999999996047E-3</v>
      </c>
    </row>
    <row r="56" spans="2:10" x14ac:dyDescent="0.25">
      <c r="B56" s="30">
        <v>53</v>
      </c>
      <c r="C56" s="72">
        <f ca="1">_xll.mscTrancheCalculatePV(C$2,$M$4,$M$3,$B56,$D$1)</f>
        <v>58067.673242476543</v>
      </c>
      <c r="D56" s="72">
        <f ca="1">_xll.mscTrancheCalculatePV(D$2,$M$4,$M$3,$B56,$D$1)</f>
        <v>269903.464522038</v>
      </c>
      <c r="E56" s="72">
        <f ca="1">_xll.mscTrancheCalculatePV(E$2,$M$4,$M$3,$B56,$D$1)</f>
        <v>3163667.1097680777</v>
      </c>
      <c r="H56" s="77">
        <f ca="1">_xll.mscTrancheCalculateIRR(H$2,$M$4,$B56,C56,$M$3)</f>
        <v>9.9999999998961371E-3</v>
      </c>
      <c r="I56" s="78">
        <f ca="1">_xll.mscTrancheCalculateIRR(I$2,$M$4,$B56,D56,$M$3)</f>
        <v>9.9999999999994676E-3</v>
      </c>
      <c r="J56" s="79">
        <f ca="1">_xll.mscTrancheCalculateIRR(J$2,$M$4,$B56,E56,$M$3)</f>
        <v>9.9999999999996047E-3</v>
      </c>
    </row>
    <row r="57" spans="2:10" x14ac:dyDescent="0.25">
      <c r="B57" s="30">
        <v>54</v>
      </c>
      <c r="C57" s="72">
        <f ca="1">_xll.mscTrancheCalculatePV(C$2,$M$4,$M$3,$B57,$D$1)</f>
        <v>58067.673242476543</v>
      </c>
      <c r="D57" s="72">
        <f ca="1">_xll.mscTrancheCalculatePV(D$2,$M$4,$M$3,$B57,$D$1)</f>
        <v>269903.464522038</v>
      </c>
      <c r="E57" s="72">
        <f ca="1">_xll.mscTrancheCalculatePV(E$2,$M$4,$M$3,$B57,$D$1)</f>
        <v>3163667.1097680777</v>
      </c>
      <c r="H57" s="77">
        <f ca="1">_xll.mscTrancheCalculateIRR(H$2,$M$4,$B57,C57,$M$3)</f>
        <v>9.9999999998961371E-3</v>
      </c>
      <c r="I57" s="78">
        <f ca="1">_xll.mscTrancheCalculateIRR(I$2,$M$4,$B57,D57,$M$3)</f>
        <v>9.9999999999994676E-3</v>
      </c>
      <c r="J57" s="79">
        <f ca="1">_xll.mscTrancheCalculateIRR(J$2,$M$4,$B57,E57,$M$3)</f>
        <v>9.9999999999996047E-3</v>
      </c>
    </row>
    <row r="58" spans="2:10" x14ac:dyDescent="0.25">
      <c r="B58" s="30">
        <v>55</v>
      </c>
      <c r="C58" s="72">
        <f ca="1">_xll.mscTrancheCalculatePV(C$2,$M$4,$M$3,$B58,$D$1)</f>
        <v>58067.673242476543</v>
      </c>
      <c r="D58" s="72">
        <f ca="1">_xll.mscTrancheCalculatePV(D$2,$M$4,$M$3,$B58,$D$1)</f>
        <v>269903.464522038</v>
      </c>
      <c r="E58" s="72">
        <f ca="1">_xll.mscTrancheCalculatePV(E$2,$M$4,$M$3,$B58,$D$1)</f>
        <v>3163667.1097680777</v>
      </c>
      <c r="H58" s="77">
        <f ca="1">_xll.mscTrancheCalculateIRR(H$2,$M$4,$B58,C58,$M$3)</f>
        <v>9.9999999998961371E-3</v>
      </c>
      <c r="I58" s="78">
        <f ca="1">_xll.mscTrancheCalculateIRR(I$2,$M$4,$B58,D58,$M$3)</f>
        <v>9.9999999999994676E-3</v>
      </c>
      <c r="J58" s="79">
        <f ca="1">_xll.mscTrancheCalculateIRR(J$2,$M$4,$B58,E58,$M$3)</f>
        <v>9.9999999999996047E-3</v>
      </c>
    </row>
    <row r="59" spans="2:10" x14ac:dyDescent="0.25">
      <c r="B59" s="30">
        <v>56</v>
      </c>
      <c r="C59" s="72">
        <f ca="1">_xll.mscTrancheCalculatePV(C$2,$M$4,$M$3,$B59,$D$1)</f>
        <v>58067.673242476543</v>
      </c>
      <c r="D59" s="72">
        <f ca="1">_xll.mscTrancheCalculatePV(D$2,$M$4,$M$3,$B59,$D$1)</f>
        <v>269903.464522038</v>
      </c>
      <c r="E59" s="72">
        <f ca="1">_xll.mscTrancheCalculatePV(E$2,$M$4,$M$3,$B59,$D$1)</f>
        <v>3163667.1097680777</v>
      </c>
      <c r="H59" s="77">
        <f ca="1">_xll.mscTrancheCalculateIRR(H$2,$M$4,$B59,C59,$M$3)</f>
        <v>9.9999999998961371E-3</v>
      </c>
      <c r="I59" s="78">
        <f ca="1">_xll.mscTrancheCalculateIRR(I$2,$M$4,$B59,D59,$M$3)</f>
        <v>9.9999999999994676E-3</v>
      </c>
      <c r="J59" s="79">
        <f ca="1">_xll.mscTrancheCalculateIRR(J$2,$M$4,$B59,E59,$M$3)</f>
        <v>9.9999999999996047E-3</v>
      </c>
    </row>
    <row r="60" spans="2:10" x14ac:dyDescent="0.25">
      <c r="B60" s="30">
        <v>57</v>
      </c>
      <c r="C60" s="72">
        <f ca="1">_xll.mscTrancheCalculatePV(C$2,$M$4,$M$3,$B60,$D$1)</f>
        <v>58067.673242476543</v>
      </c>
      <c r="D60" s="72">
        <f ca="1">_xll.mscTrancheCalculatePV(D$2,$M$4,$M$3,$B60,$D$1)</f>
        <v>269903.464522038</v>
      </c>
      <c r="E60" s="72">
        <f ca="1">_xll.mscTrancheCalculatePV(E$2,$M$4,$M$3,$B60,$D$1)</f>
        <v>3163667.1097680777</v>
      </c>
      <c r="H60" s="77">
        <f ca="1">_xll.mscTrancheCalculateIRR(H$2,$M$4,$B60,C60,$M$3)</f>
        <v>9.9999999998961371E-3</v>
      </c>
      <c r="I60" s="78">
        <f ca="1">_xll.mscTrancheCalculateIRR(I$2,$M$4,$B60,D60,$M$3)</f>
        <v>9.9999999999994676E-3</v>
      </c>
      <c r="J60" s="79">
        <f ca="1">_xll.mscTrancheCalculateIRR(J$2,$M$4,$B60,E60,$M$3)</f>
        <v>9.9999999999996047E-3</v>
      </c>
    </row>
    <row r="61" spans="2:10" x14ac:dyDescent="0.25">
      <c r="B61" s="30">
        <v>58</v>
      </c>
      <c r="C61" s="72">
        <f ca="1">_xll.mscTrancheCalculatePV(C$2,$M$4,$M$3,$B61,$D$1)</f>
        <v>58067.673242476543</v>
      </c>
      <c r="D61" s="72">
        <f ca="1">_xll.mscTrancheCalculatePV(D$2,$M$4,$M$3,$B61,$D$1)</f>
        <v>269903.464522038</v>
      </c>
      <c r="E61" s="72">
        <f ca="1">_xll.mscTrancheCalculatePV(E$2,$M$4,$M$3,$B61,$D$1)</f>
        <v>3163667.1097680777</v>
      </c>
      <c r="H61" s="77">
        <f ca="1">_xll.mscTrancheCalculateIRR(H$2,$M$4,$B61,C61,$M$3)</f>
        <v>9.9999999998961371E-3</v>
      </c>
      <c r="I61" s="78">
        <f ca="1">_xll.mscTrancheCalculateIRR(I$2,$M$4,$B61,D61,$M$3)</f>
        <v>9.9999999999994676E-3</v>
      </c>
      <c r="J61" s="79">
        <f ca="1">_xll.mscTrancheCalculateIRR(J$2,$M$4,$B61,E61,$M$3)</f>
        <v>9.9999999999996047E-3</v>
      </c>
    </row>
    <row r="62" spans="2:10" x14ac:dyDescent="0.25">
      <c r="B62" s="30">
        <v>59</v>
      </c>
      <c r="C62" s="72">
        <f ca="1">_xll.mscTrancheCalculatePV(C$2,$M$4,$M$3,$B62,$D$1)</f>
        <v>58067.673242476543</v>
      </c>
      <c r="D62" s="72">
        <f ca="1">_xll.mscTrancheCalculatePV(D$2,$M$4,$M$3,$B62,$D$1)</f>
        <v>269903.464522038</v>
      </c>
      <c r="E62" s="72">
        <f ca="1">_xll.mscTrancheCalculatePV(E$2,$M$4,$M$3,$B62,$D$1)</f>
        <v>3163667.1097680777</v>
      </c>
      <c r="H62" s="77">
        <f ca="1">_xll.mscTrancheCalculateIRR(H$2,$M$4,$B62,C62,$M$3)</f>
        <v>9.9999999998961371E-3</v>
      </c>
      <c r="I62" s="78">
        <f ca="1">_xll.mscTrancheCalculateIRR(I$2,$M$4,$B62,D62,$M$3)</f>
        <v>9.9999999999994676E-3</v>
      </c>
      <c r="J62" s="79">
        <f ca="1">_xll.mscTrancheCalculateIRR(J$2,$M$4,$B62,E62,$M$3)</f>
        <v>9.9999999999996047E-3</v>
      </c>
    </row>
    <row r="63" spans="2:10" x14ac:dyDescent="0.25">
      <c r="B63" s="30">
        <v>60</v>
      </c>
      <c r="C63" s="72">
        <f ca="1">_xll.mscTrancheCalculatePV(C$2,$M$4,$M$3,$B63,$D$1)</f>
        <v>58067.673242476543</v>
      </c>
      <c r="D63" s="72">
        <f ca="1">_xll.mscTrancheCalculatePV(D$2,$M$4,$M$3,$B63,$D$1)</f>
        <v>269903.464522038</v>
      </c>
      <c r="E63" s="72">
        <f ca="1">_xll.mscTrancheCalculatePV(E$2,$M$4,$M$3,$B63,$D$1)</f>
        <v>3163667.1097680777</v>
      </c>
      <c r="H63" s="77">
        <f ca="1">_xll.mscTrancheCalculateIRR(H$2,$M$4,$B63,C63,$M$3)</f>
        <v>9.9999999998961371E-3</v>
      </c>
      <c r="I63" s="78">
        <f ca="1">_xll.mscTrancheCalculateIRR(I$2,$M$4,$B63,D63,$M$3)</f>
        <v>9.9999999999994676E-3</v>
      </c>
      <c r="J63" s="79">
        <f ca="1">_xll.mscTrancheCalculateIRR(J$2,$M$4,$B63,E63,$M$3)</f>
        <v>9.9999999999996047E-3</v>
      </c>
    </row>
    <row r="64" spans="2:10" x14ac:dyDescent="0.25">
      <c r="B64" s="30">
        <v>61</v>
      </c>
      <c r="C64" s="72">
        <f ca="1">_xll.mscTrancheCalculatePV(C$2,$M$4,$M$3,$B64,$D$1)</f>
        <v>58067.673242476543</v>
      </c>
      <c r="D64" s="72">
        <f ca="1">_xll.mscTrancheCalculatePV(D$2,$M$4,$M$3,$B64,$D$1)</f>
        <v>269903.464522038</v>
      </c>
      <c r="E64" s="72">
        <f ca="1">_xll.mscTrancheCalculatePV(E$2,$M$4,$M$3,$B64,$D$1)</f>
        <v>3163667.1097680777</v>
      </c>
      <c r="H64" s="77">
        <f ca="1">_xll.mscTrancheCalculateIRR(H$2,$M$4,$B64,C64,$M$3)</f>
        <v>9.9999999998961371E-3</v>
      </c>
      <c r="I64" s="78">
        <f ca="1">_xll.mscTrancheCalculateIRR(I$2,$M$4,$B64,D64,$M$3)</f>
        <v>9.9999999999994676E-3</v>
      </c>
      <c r="J64" s="79">
        <f ca="1">_xll.mscTrancheCalculateIRR(J$2,$M$4,$B64,E64,$M$3)</f>
        <v>9.9999999999996047E-3</v>
      </c>
    </row>
    <row r="65" spans="2:10" x14ac:dyDescent="0.25">
      <c r="B65" s="30">
        <v>62</v>
      </c>
      <c r="C65" s="72">
        <f ca="1">_xll.mscTrancheCalculatePV(C$2,$M$4,$M$3,$B65,$D$1)</f>
        <v>58067.673242476543</v>
      </c>
      <c r="D65" s="72">
        <f ca="1">_xll.mscTrancheCalculatePV(D$2,$M$4,$M$3,$B65,$D$1)</f>
        <v>269903.464522038</v>
      </c>
      <c r="E65" s="72">
        <f ca="1">_xll.mscTrancheCalculatePV(E$2,$M$4,$M$3,$B65,$D$1)</f>
        <v>3163667.1097680777</v>
      </c>
      <c r="H65" s="77">
        <f ca="1">_xll.mscTrancheCalculateIRR(H$2,$M$4,$B65,C65,$M$3)</f>
        <v>9.9999999998961371E-3</v>
      </c>
      <c r="I65" s="78">
        <f ca="1">_xll.mscTrancheCalculateIRR(I$2,$M$4,$B65,D65,$M$3)</f>
        <v>9.9999999999994676E-3</v>
      </c>
      <c r="J65" s="79">
        <f ca="1">_xll.mscTrancheCalculateIRR(J$2,$M$4,$B65,E65,$M$3)</f>
        <v>9.9999999999996047E-3</v>
      </c>
    </row>
    <row r="66" spans="2:10" x14ac:dyDescent="0.25">
      <c r="B66" s="30">
        <v>63</v>
      </c>
      <c r="C66" s="72">
        <f ca="1">_xll.mscTrancheCalculatePV(C$2,$M$4,$M$3,$B66,$D$1)</f>
        <v>58067.673242476543</v>
      </c>
      <c r="D66" s="72">
        <f ca="1">_xll.mscTrancheCalculatePV(D$2,$M$4,$M$3,$B66,$D$1)</f>
        <v>269903.464522038</v>
      </c>
      <c r="E66" s="72">
        <f ca="1">_xll.mscTrancheCalculatePV(E$2,$M$4,$M$3,$B66,$D$1)</f>
        <v>3163667.1097680777</v>
      </c>
      <c r="H66" s="77">
        <f ca="1">_xll.mscTrancheCalculateIRR(H$2,$M$4,$B66,C66,$M$3)</f>
        <v>9.9999999998961371E-3</v>
      </c>
      <c r="I66" s="78">
        <f ca="1">_xll.mscTrancheCalculateIRR(I$2,$M$4,$B66,D66,$M$3)</f>
        <v>9.9999999999994676E-3</v>
      </c>
      <c r="J66" s="79">
        <f ca="1">_xll.mscTrancheCalculateIRR(J$2,$M$4,$B66,E66,$M$3)</f>
        <v>9.9999999999996047E-3</v>
      </c>
    </row>
    <row r="67" spans="2:10" x14ac:dyDescent="0.25">
      <c r="B67" s="30">
        <v>64</v>
      </c>
      <c r="C67" s="72">
        <f ca="1">_xll.mscTrancheCalculatePV(C$2,$M$4,$M$3,$B67,$D$1)</f>
        <v>58067.673242476543</v>
      </c>
      <c r="D67" s="72">
        <f ca="1">_xll.mscTrancheCalculatePV(D$2,$M$4,$M$3,$B67,$D$1)</f>
        <v>269903.464522038</v>
      </c>
      <c r="E67" s="72">
        <f ca="1">_xll.mscTrancheCalculatePV(E$2,$M$4,$M$3,$B67,$D$1)</f>
        <v>3163667.1097680777</v>
      </c>
      <c r="H67" s="77">
        <f ca="1">_xll.mscTrancheCalculateIRR(H$2,$M$4,$B67,C67,$M$3)</f>
        <v>9.9999999998961371E-3</v>
      </c>
      <c r="I67" s="78">
        <f ca="1">_xll.mscTrancheCalculateIRR(I$2,$M$4,$B67,D67,$M$3)</f>
        <v>9.9999999999994676E-3</v>
      </c>
      <c r="J67" s="79">
        <f ca="1">_xll.mscTrancheCalculateIRR(J$2,$M$4,$B67,E67,$M$3)</f>
        <v>9.9999999999996047E-3</v>
      </c>
    </row>
    <row r="68" spans="2:10" x14ac:dyDescent="0.25">
      <c r="B68" s="30">
        <v>65</v>
      </c>
      <c r="C68" s="72">
        <f ca="1">_xll.mscTrancheCalculatePV(C$2,$M$4,$M$3,$B68,$D$1)</f>
        <v>58067.673242476543</v>
      </c>
      <c r="D68" s="72">
        <f ca="1">_xll.mscTrancheCalculatePV(D$2,$M$4,$M$3,$B68,$D$1)</f>
        <v>269903.464522038</v>
      </c>
      <c r="E68" s="72">
        <f ca="1">_xll.mscTrancheCalculatePV(E$2,$M$4,$M$3,$B68,$D$1)</f>
        <v>3163667.1097680777</v>
      </c>
      <c r="H68" s="77">
        <f ca="1">_xll.mscTrancheCalculateIRR(H$2,$M$4,$B68,C68,$M$3)</f>
        <v>9.9999999998961371E-3</v>
      </c>
      <c r="I68" s="78">
        <f ca="1">_xll.mscTrancheCalculateIRR(I$2,$M$4,$B68,D68,$M$3)</f>
        <v>9.9999999999994676E-3</v>
      </c>
      <c r="J68" s="79">
        <f ca="1">_xll.mscTrancheCalculateIRR(J$2,$M$4,$B68,E68,$M$3)</f>
        <v>9.9999999999996047E-3</v>
      </c>
    </row>
    <row r="69" spans="2:10" x14ac:dyDescent="0.25">
      <c r="B69" s="30">
        <v>66</v>
      </c>
      <c r="C69" s="72">
        <f ca="1">_xll.mscTrancheCalculatePV(C$2,$M$4,$M$3,$B69,$D$1)</f>
        <v>58067.673242476543</v>
      </c>
      <c r="D69" s="72">
        <f ca="1">_xll.mscTrancheCalculatePV(D$2,$M$4,$M$3,$B69,$D$1)</f>
        <v>269903.464522038</v>
      </c>
      <c r="E69" s="72">
        <f ca="1">_xll.mscTrancheCalculatePV(E$2,$M$4,$M$3,$B69,$D$1)</f>
        <v>3163667.1097680777</v>
      </c>
      <c r="H69" s="77">
        <f ca="1">_xll.mscTrancheCalculateIRR(H$2,$M$4,$B69,C69,$M$3)</f>
        <v>9.9999999998961371E-3</v>
      </c>
      <c r="I69" s="78">
        <f ca="1">_xll.mscTrancheCalculateIRR(I$2,$M$4,$B69,D69,$M$3)</f>
        <v>9.9999999999994676E-3</v>
      </c>
      <c r="J69" s="79">
        <f ca="1">_xll.mscTrancheCalculateIRR(J$2,$M$4,$B69,E69,$M$3)</f>
        <v>9.9999999999996047E-3</v>
      </c>
    </row>
    <row r="70" spans="2:10" x14ac:dyDescent="0.25">
      <c r="B70" s="30">
        <v>67</v>
      </c>
      <c r="C70" s="72">
        <f ca="1">_xll.mscTrancheCalculatePV(C$2,$M$4,$M$3,$B70,$D$1)</f>
        <v>58067.673242476543</v>
      </c>
      <c r="D70" s="72">
        <f ca="1">_xll.mscTrancheCalculatePV(D$2,$M$4,$M$3,$B70,$D$1)</f>
        <v>269903.464522038</v>
      </c>
      <c r="E70" s="72">
        <f ca="1">_xll.mscTrancheCalculatePV(E$2,$M$4,$M$3,$B70,$D$1)</f>
        <v>3163667.1097680777</v>
      </c>
      <c r="H70" s="77">
        <f ca="1">_xll.mscTrancheCalculateIRR(H$2,$M$4,$B70,C70,$M$3)</f>
        <v>9.9999999998961371E-3</v>
      </c>
      <c r="I70" s="78">
        <f ca="1">_xll.mscTrancheCalculateIRR(I$2,$M$4,$B70,D70,$M$3)</f>
        <v>9.9999999999994676E-3</v>
      </c>
      <c r="J70" s="79">
        <f ca="1">_xll.mscTrancheCalculateIRR(J$2,$M$4,$B70,E70,$M$3)</f>
        <v>9.9999999999996047E-3</v>
      </c>
    </row>
    <row r="71" spans="2:10" x14ac:dyDescent="0.25">
      <c r="B71" s="30">
        <v>68</v>
      </c>
      <c r="C71" s="72">
        <f ca="1">_xll.mscTrancheCalculatePV(C$2,$M$4,$M$3,$B71,$D$1)</f>
        <v>58067.673242476543</v>
      </c>
      <c r="D71" s="72">
        <f ca="1">_xll.mscTrancheCalculatePV(D$2,$M$4,$M$3,$B71,$D$1)</f>
        <v>269903.464522038</v>
      </c>
      <c r="E71" s="72">
        <f ca="1">_xll.mscTrancheCalculatePV(E$2,$M$4,$M$3,$B71,$D$1)</f>
        <v>3163667.1097680777</v>
      </c>
      <c r="H71" s="77">
        <f ca="1">_xll.mscTrancheCalculateIRR(H$2,$M$4,$B71,C71,$M$3)</f>
        <v>9.9999999998961371E-3</v>
      </c>
      <c r="I71" s="78">
        <f ca="1">_xll.mscTrancheCalculateIRR(I$2,$M$4,$B71,D71,$M$3)</f>
        <v>9.9999999999994676E-3</v>
      </c>
      <c r="J71" s="79">
        <f ca="1">_xll.mscTrancheCalculateIRR(J$2,$M$4,$B71,E71,$M$3)</f>
        <v>9.9999999999996047E-3</v>
      </c>
    </row>
    <row r="72" spans="2:10" x14ac:dyDescent="0.25">
      <c r="B72" s="30">
        <v>69</v>
      </c>
      <c r="C72" s="72">
        <f ca="1">_xll.mscTrancheCalculatePV(C$2,$M$4,$M$3,$B72,$D$1)</f>
        <v>58067.673242476543</v>
      </c>
      <c r="D72" s="72">
        <f ca="1">_xll.mscTrancheCalculatePV(D$2,$M$4,$M$3,$B72,$D$1)</f>
        <v>269903.464522038</v>
      </c>
      <c r="E72" s="72">
        <f ca="1">_xll.mscTrancheCalculatePV(E$2,$M$4,$M$3,$B72,$D$1)</f>
        <v>3163667.1097680777</v>
      </c>
      <c r="H72" s="77">
        <f ca="1">_xll.mscTrancheCalculateIRR(H$2,$M$4,$B72,C72,$M$3)</f>
        <v>9.9999999998961371E-3</v>
      </c>
      <c r="I72" s="78">
        <f ca="1">_xll.mscTrancheCalculateIRR(I$2,$M$4,$B72,D72,$M$3)</f>
        <v>9.9999999999994676E-3</v>
      </c>
      <c r="J72" s="79">
        <f ca="1">_xll.mscTrancheCalculateIRR(J$2,$M$4,$B72,E72,$M$3)</f>
        <v>9.9999999999996047E-3</v>
      </c>
    </row>
    <row r="73" spans="2:10" x14ac:dyDescent="0.25">
      <c r="B73" s="30">
        <v>70</v>
      </c>
      <c r="C73" s="72">
        <f ca="1">_xll.mscTrancheCalculatePV(C$2,$M$4,$M$3,$B73,$D$1)</f>
        <v>58067.673242476543</v>
      </c>
      <c r="D73" s="72">
        <f ca="1">_xll.mscTrancheCalculatePV(D$2,$M$4,$M$3,$B73,$D$1)</f>
        <v>269903.464522038</v>
      </c>
      <c r="E73" s="72">
        <f ca="1">_xll.mscTrancheCalculatePV(E$2,$M$4,$M$3,$B73,$D$1)</f>
        <v>3163667.1097680777</v>
      </c>
      <c r="H73" s="77">
        <f ca="1">_xll.mscTrancheCalculateIRR(H$2,$M$4,$B73,C73,$M$3)</f>
        <v>9.9999999998961371E-3</v>
      </c>
      <c r="I73" s="78">
        <f ca="1">_xll.mscTrancheCalculateIRR(I$2,$M$4,$B73,D73,$M$3)</f>
        <v>9.9999999999994676E-3</v>
      </c>
      <c r="J73" s="79">
        <f ca="1">_xll.mscTrancheCalculateIRR(J$2,$M$4,$B73,E73,$M$3)</f>
        <v>9.9999999999996047E-3</v>
      </c>
    </row>
    <row r="74" spans="2:10" x14ac:dyDescent="0.25">
      <c r="B74" s="30">
        <v>71</v>
      </c>
      <c r="C74" s="72">
        <f ca="1">_xll.mscTrancheCalculatePV(C$2,$M$4,$M$3,$B74,$D$1)</f>
        <v>58067.673242476543</v>
      </c>
      <c r="D74" s="72">
        <f ca="1">_xll.mscTrancheCalculatePV(D$2,$M$4,$M$3,$B74,$D$1)</f>
        <v>269903.464522038</v>
      </c>
      <c r="E74" s="72">
        <f ca="1">_xll.mscTrancheCalculatePV(E$2,$M$4,$M$3,$B74,$D$1)</f>
        <v>3163667.1097680777</v>
      </c>
      <c r="H74" s="77">
        <f ca="1">_xll.mscTrancheCalculateIRR(H$2,$M$4,$B74,C74,$M$3)</f>
        <v>9.9999999998961371E-3</v>
      </c>
      <c r="I74" s="78">
        <f ca="1">_xll.mscTrancheCalculateIRR(I$2,$M$4,$B74,D74,$M$3)</f>
        <v>9.9999999999994676E-3</v>
      </c>
      <c r="J74" s="79">
        <f ca="1">_xll.mscTrancheCalculateIRR(J$2,$M$4,$B74,E74,$M$3)</f>
        <v>9.9999999999996047E-3</v>
      </c>
    </row>
    <row r="75" spans="2:10" x14ac:dyDescent="0.25">
      <c r="B75" s="30">
        <v>72</v>
      </c>
      <c r="C75" s="72">
        <f ca="1">_xll.mscTrancheCalculatePV(C$2,$M$4,$M$3,$B75,$D$1)</f>
        <v>58067.673242476543</v>
      </c>
      <c r="D75" s="72">
        <f ca="1">_xll.mscTrancheCalculatePV(D$2,$M$4,$M$3,$B75,$D$1)</f>
        <v>269903.464522038</v>
      </c>
      <c r="E75" s="72">
        <f ca="1">_xll.mscTrancheCalculatePV(E$2,$M$4,$M$3,$B75,$D$1)</f>
        <v>3163667.1097680777</v>
      </c>
      <c r="H75" s="77">
        <f ca="1">_xll.mscTrancheCalculateIRR(H$2,$M$4,$B75,C75,$M$3)</f>
        <v>9.9999999998961371E-3</v>
      </c>
      <c r="I75" s="78">
        <f ca="1">_xll.mscTrancheCalculateIRR(I$2,$M$4,$B75,D75,$M$3)</f>
        <v>9.9999999999994676E-3</v>
      </c>
      <c r="J75" s="79">
        <f ca="1">_xll.mscTrancheCalculateIRR(J$2,$M$4,$B75,E75,$M$3)</f>
        <v>9.9999999999996047E-3</v>
      </c>
    </row>
    <row r="76" spans="2:10" x14ac:dyDescent="0.25">
      <c r="B76" s="30">
        <v>73</v>
      </c>
      <c r="C76" s="72">
        <f ca="1">_xll.mscTrancheCalculatePV(C$2,$M$4,$M$3,$B76,$D$1)</f>
        <v>58067.673242476543</v>
      </c>
      <c r="D76" s="72">
        <f ca="1">_xll.mscTrancheCalculatePV(D$2,$M$4,$M$3,$B76,$D$1)</f>
        <v>269903.464522038</v>
      </c>
      <c r="E76" s="72">
        <f ca="1">_xll.mscTrancheCalculatePV(E$2,$M$4,$M$3,$B76,$D$1)</f>
        <v>3163667.1097680777</v>
      </c>
      <c r="H76" s="77">
        <f ca="1">_xll.mscTrancheCalculateIRR(H$2,$M$4,$B76,C76,$M$3)</f>
        <v>9.9999999998961371E-3</v>
      </c>
      <c r="I76" s="78">
        <f ca="1">_xll.mscTrancheCalculateIRR(I$2,$M$4,$B76,D76,$M$3)</f>
        <v>9.9999999999994676E-3</v>
      </c>
      <c r="J76" s="79">
        <f ca="1">_xll.mscTrancheCalculateIRR(J$2,$M$4,$B76,E76,$M$3)</f>
        <v>9.9999999999996047E-3</v>
      </c>
    </row>
    <row r="77" spans="2:10" x14ac:dyDescent="0.25">
      <c r="B77" s="30">
        <v>74</v>
      </c>
      <c r="C77" s="72">
        <f ca="1">_xll.mscTrancheCalculatePV(C$2,$M$4,$M$3,$B77,$D$1)</f>
        <v>58067.673242476543</v>
      </c>
      <c r="D77" s="72">
        <f ca="1">_xll.mscTrancheCalculatePV(D$2,$M$4,$M$3,$B77,$D$1)</f>
        <v>269903.464522038</v>
      </c>
      <c r="E77" s="72">
        <f ca="1">_xll.mscTrancheCalculatePV(E$2,$M$4,$M$3,$B77,$D$1)</f>
        <v>3163667.1097680777</v>
      </c>
      <c r="H77" s="77">
        <f ca="1">_xll.mscTrancheCalculateIRR(H$2,$M$4,$B77,C77,$M$3)</f>
        <v>9.9999999998961371E-3</v>
      </c>
      <c r="I77" s="78">
        <f ca="1">_xll.mscTrancheCalculateIRR(I$2,$M$4,$B77,D77,$M$3)</f>
        <v>9.9999999999994676E-3</v>
      </c>
      <c r="J77" s="79">
        <f ca="1">_xll.mscTrancheCalculateIRR(J$2,$M$4,$B77,E77,$M$3)</f>
        <v>9.9999999999996047E-3</v>
      </c>
    </row>
    <row r="78" spans="2:10" x14ac:dyDescent="0.25">
      <c r="B78" s="30">
        <v>75</v>
      </c>
      <c r="C78" s="72">
        <f ca="1">_xll.mscTrancheCalculatePV(C$2,$M$4,$M$3,$B78,$D$1)</f>
        <v>58067.673242476543</v>
      </c>
      <c r="D78" s="72">
        <f ca="1">_xll.mscTrancheCalculatePV(D$2,$M$4,$M$3,$B78,$D$1)</f>
        <v>269903.464522038</v>
      </c>
      <c r="E78" s="72">
        <f ca="1">_xll.mscTrancheCalculatePV(E$2,$M$4,$M$3,$B78,$D$1)</f>
        <v>3163667.1097680777</v>
      </c>
      <c r="H78" s="77">
        <f ca="1">_xll.mscTrancheCalculateIRR(H$2,$M$4,$B78,C78,$M$3)</f>
        <v>9.9999999998961371E-3</v>
      </c>
      <c r="I78" s="78">
        <f ca="1">_xll.mscTrancheCalculateIRR(I$2,$M$4,$B78,D78,$M$3)</f>
        <v>9.9999999999994676E-3</v>
      </c>
      <c r="J78" s="79">
        <f ca="1">_xll.mscTrancheCalculateIRR(J$2,$M$4,$B78,E78,$M$3)</f>
        <v>9.9999999999996047E-3</v>
      </c>
    </row>
    <row r="79" spans="2:10" x14ac:dyDescent="0.25">
      <c r="B79" s="30">
        <v>76</v>
      </c>
      <c r="C79" s="72">
        <f ca="1">_xll.mscTrancheCalculatePV(C$2,$M$4,$M$3,$B79,$D$1)</f>
        <v>58067.673242476543</v>
      </c>
      <c r="D79" s="72">
        <f ca="1">_xll.mscTrancheCalculatePV(D$2,$M$4,$M$3,$B79,$D$1)</f>
        <v>269903.464522038</v>
      </c>
      <c r="E79" s="72">
        <f ca="1">_xll.mscTrancheCalculatePV(E$2,$M$4,$M$3,$B79,$D$1)</f>
        <v>3163667.1097680777</v>
      </c>
      <c r="H79" s="77">
        <f ca="1">_xll.mscTrancheCalculateIRR(H$2,$M$4,$B79,C79,$M$3)</f>
        <v>9.9999999998961371E-3</v>
      </c>
      <c r="I79" s="78">
        <f ca="1">_xll.mscTrancheCalculateIRR(I$2,$M$4,$B79,D79,$M$3)</f>
        <v>9.9999999999994676E-3</v>
      </c>
      <c r="J79" s="79">
        <f ca="1">_xll.mscTrancheCalculateIRR(J$2,$M$4,$B79,E79,$M$3)</f>
        <v>9.9999999999996047E-3</v>
      </c>
    </row>
    <row r="80" spans="2:10" x14ac:dyDescent="0.25">
      <c r="B80" s="30">
        <v>77</v>
      </c>
      <c r="C80" s="72">
        <f ca="1">_xll.mscTrancheCalculatePV(C$2,$M$4,$M$3,$B80,$D$1)</f>
        <v>58067.673242476543</v>
      </c>
      <c r="D80" s="72">
        <f ca="1">_xll.mscTrancheCalculatePV(D$2,$M$4,$M$3,$B80,$D$1)</f>
        <v>269903.464522038</v>
      </c>
      <c r="E80" s="72">
        <f ca="1">_xll.mscTrancheCalculatePV(E$2,$M$4,$M$3,$B80,$D$1)</f>
        <v>3163667.1097680777</v>
      </c>
      <c r="H80" s="77">
        <f ca="1">_xll.mscTrancheCalculateIRR(H$2,$M$4,$B80,C80,$M$3)</f>
        <v>9.9999999998961371E-3</v>
      </c>
      <c r="I80" s="78">
        <f ca="1">_xll.mscTrancheCalculateIRR(I$2,$M$4,$B80,D80,$M$3)</f>
        <v>9.9999999999994676E-3</v>
      </c>
      <c r="J80" s="79">
        <f ca="1">_xll.mscTrancheCalculateIRR(J$2,$M$4,$B80,E80,$M$3)</f>
        <v>9.9999999999996047E-3</v>
      </c>
    </row>
    <row r="81" spans="2:10" x14ac:dyDescent="0.25">
      <c r="B81" s="30">
        <v>78</v>
      </c>
      <c r="C81" s="72">
        <f ca="1">_xll.mscTrancheCalculatePV(C$2,$M$4,$M$3,$B81,$D$1)</f>
        <v>58067.673242476543</v>
      </c>
      <c r="D81" s="72">
        <f ca="1">_xll.mscTrancheCalculatePV(D$2,$M$4,$M$3,$B81,$D$1)</f>
        <v>269903.464522038</v>
      </c>
      <c r="E81" s="72">
        <f ca="1">_xll.mscTrancheCalculatePV(E$2,$M$4,$M$3,$B81,$D$1)</f>
        <v>3163667.1097680777</v>
      </c>
      <c r="H81" s="77">
        <f ca="1">_xll.mscTrancheCalculateIRR(H$2,$M$4,$B81,C81,$M$3)</f>
        <v>9.9999999998961371E-3</v>
      </c>
      <c r="I81" s="78">
        <f ca="1">_xll.mscTrancheCalculateIRR(I$2,$M$4,$B81,D81,$M$3)</f>
        <v>9.9999999999994676E-3</v>
      </c>
      <c r="J81" s="79">
        <f ca="1">_xll.mscTrancheCalculateIRR(J$2,$M$4,$B81,E81,$M$3)</f>
        <v>9.9999999999996047E-3</v>
      </c>
    </row>
    <row r="82" spans="2:10" x14ac:dyDescent="0.25">
      <c r="B82" s="30">
        <v>79</v>
      </c>
      <c r="C82" s="72">
        <f ca="1">_xll.mscTrancheCalculatePV(C$2,$M$4,$M$3,$B82,$D$1)</f>
        <v>58067.673242476543</v>
      </c>
      <c r="D82" s="72">
        <f ca="1">_xll.mscTrancheCalculatePV(D$2,$M$4,$M$3,$B82,$D$1)</f>
        <v>269903.464522038</v>
      </c>
      <c r="E82" s="72">
        <f ca="1">_xll.mscTrancheCalculatePV(E$2,$M$4,$M$3,$B82,$D$1)</f>
        <v>3163667.1097680777</v>
      </c>
      <c r="H82" s="77">
        <f ca="1">_xll.mscTrancheCalculateIRR(H$2,$M$4,$B82,C82,$M$3)</f>
        <v>9.9999999998961371E-3</v>
      </c>
      <c r="I82" s="78">
        <f ca="1">_xll.mscTrancheCalculateIRR(I$2,$M$4,$B82,D82,$M$3)</f>
        <v>9.9999999999994676E-3</v>
      </c>
      <c r="J82" s="79">
        <f ca="1">_xll.mscTrancheCalculateIRR(J$2,$M$4,$B82,E82,$M$3)</f>
        <v>9.9999999999996047E-3</v>
      </c>
    </row>
    <row r="83" spans="2:10" x14ac:dyDescent="0.25">
      <c r="B83" s="30">
        <v>80</v>
      </c>
      <c r="C83" s="72">
        <f ca="1">_xll.mscTrancheCalculatePV(C$2,$M$4,$M$3,$B83,$D$1)</f>
        <v>58067.673242476543</v>
      </c>
      <c r="D83" s="72">
        <f ca="1">_xll.mscTrancheCalculatePV(D$2,$M$4,$M$3,$B83,$D$1)</f>
        <v>269903.464522038</v>
      </c>
      <c r="E83" s="72">
        <f ca="1">_xll.mscTrancheCalculatePV(E$2,$M$4,$M$3,$B83,$D$1)</f>
        <v>3163667.1097680777</v>
      </c>
      <c r="H83" s="77">
        <f ca="1">_xll.mscTrancheCalculateIRR(H$2,$M$4,$B83,C83,$M$3)</f>
        <v>9.9999999998961371E-3</v>
      </c>
      <c r="I83" s="78">
        <f ca="1">_xll.mscTrancheCalculateIRR(I$2,$M$4,$B83,D83,$M$3)</f>
        <v>9.9999999999994676E-3</v>
      </c>
      <c r="J83" s="79">
        <f ca="1">_xll.mscTrancheCalculateIRR(J$2,$M$4,$B83,E83,$M$3)</f>
        <v>9.9999999999996047E-3</v>
      </c>
    </row>
    <row r="84" spans="2:10" x14ac:dyDescent="0.25">
      <c r="B84" s="30">
        <v>81</v>
      </c>
      <c r="C84" s="72">
        <f ca="1">_xll.mscTrancheCalculatePV(C$2,$M$4,$M$3,$B84,$D$1)</f>
        <v>58067.673242476543</v>
      </c>
      <c r="D84" s="72">
        <f ca="1">_xll.mscTrancheCalculatePV(D$2,$M$4,$M$3,$B84,$D$1)</f>
        <v>269903.464522038</v>
      </c>
      <c r="E84" s="72">
        <f ca="1">_xll.mscTrancheCalculatePV(E$2,$M$4,$M$3,$B84,$D$1)</f>
        <v>3163667.1097680777</v>
      </c>
      <c r="H84" s="77">
        <f ca="1">_xll.mscTrancheCalculateIRR(H$2,$M$4,$B84,C84,$M$3)</f>
        <v>9.9999999998961371E-3</v>
      </c>
      <c r="I84" s="78">
        <f ca="1">_xll.mscTrancheCalculateIRR(I$2,$M$4,$B84,D84,$M$3)</f>
        <v>9.9999999999994676E-3</v>
      </c>
      <c r="J84" s="79">
        <f ca="1">_xll.mscTrancheCalculateIRR(J$2,$M$4,$B84,E84,$M$3)</f>
        <v>9.9999999999996047E-3</v>
      </c>
    </row>
    <row r="85" spans="2:10" x14ac:dyDescent="0.25">
      <c r="B85" s="30">
        <v>82</v>
      </c>
      <c r="C85" s="72">
        <f ca="1">_xll.mscTrancheCalculatePV(C$2,$M$4,$M$3,$B85,$D$1)</f>
        <v>58067.673242476543</v>
      </c>
      <c r="D85" s="72">
        <f ca="1">_xll.mscTrancheCalculatePV(D$2,$M$4,$M$3,$B85,$D$1)</f>
        <v>269903.464522038</v>
      </c>
      <c r="E85" s="72">
        <f ca="1">_xll.mscTrancheCalculatePV(E$2,$M$4,$M$3,$B85,$D$1)</f>
        <v>3163667.1097680777</v>
      </c>
      <c r="H85" s="77">
        <f ca="1">_xll.mscTrancheCalculateIRR(H$2,$M$4,$B85,C85,$M$3)</f>
        <v>9.9999999998961371E-3</v>
      </c>
      <c r="I85" s="78">
        <f ca="1">_xll.mscTrancheCalculateIRR(I$2,$M$4,$B85,D85,$M$3)</f>
        <v>9.9999999999994676E-3</v>
      </c>
      <c r="J85" s="79">
        <f ca="1">_xll.mscTrancheCalculateIRR(J$2,$M$4,$B85,E85,$M$3)</f>
        <v>9.9999999999996047E-3</v>
      </c>
    </row>
    <row r="86" spans="2:10" x14ac:dyDescent="0.25">
      <c r="B86" s="30">
        <v>83</v>
      </c>
      <c r="C86" s="72">
        <f ca="1">_xll.mscTrancheCalculatePV(C$2,$M$4,$M$3,$B86,$D$1)</f>
        <v>58067.673242476543</v>
      </c>
      <c r="D86" s="72">
        <f ca="1">_xll.mscTrancheCalculatePV(D$2,$M$4,$M$3,$B86,$D$1)</f>
        <v>269903.464522038</v>
      </c>
      <c r="E86" s="72">
        <f ca="1">_xll.mscTrancheCalculatePV(E$2,$M$4,$M$3,$B86,$D$1)</f>
        <v>3163667.1097680777</v>
      </c>
      <c r="H86" s="77">
        <f ca="1">_xll.mscTrancheCalculateIRR(H$2,$M$4,$B86,C86,$M$3)</f>
        <v>9.9999999998961371E-3</v>
      </c>
      <c r="I86" s="78">
        <f ca="1">_xll.mscTrancheCalculateIRR(I$2,$M$4,$B86,D86,$M$3)</f>
        <v>9.9999999999994676E-3</v>
      </c>
      <c r="J86" s="79">
        <f ca="1">_xll.mscTrancheCalculateIRR(J$2,$M$4,$B86,E86,$M$3)</f>
        <v>9.9999999999996047E-3</v>
      </c>
    </row>
    <row r="87" spans="2:10" x14ac:dyDescent="0.25">
      <c r="B87" s="30">
        <v>84</v>
      </c>
      <c r="C87" s="72">
        <f ca="1">_xll.mscTrancheCalculatePV(C$2,$M$4,$M$3,$B87,$D$1)</f>
        <v>58067.673242476543</v>
      </c>
      <c r="D87" s="72">
        <f ca="1">_xll.mscTrancheCalculatePV(D$2,$M$4,$M$3,$B87,$D$1)</f>
        <v>269903.464522038</v>
      </c>
      <c r="E87" s="72">
        <f ca="1">_xll.mscTrancheCalculatePV(E$2,$M$4,$M$3,$B87,$D$1)</f>
        <v>3163667.1097680777</v>
      </c>
      <c r="H87" s="77">
        <f ca="1">_xll.mscTrancheCalculateIRR(H$2,$M$4,$B87,C87,$M$3)</f>
        <v>9.9999999998961371E-3</v>
      </c>
      <c r="I87" s="78">
        <f ca="1">_xll.mscTrancheCalculateIRR(I$2,$M$4,$B87,D87,$M$3)</f>
        <v>9.9999999999994676E-3</v>
      </c>
      <c r="J87" s="79">
        <f ca="1">_xll.mscTrancheCalculateIRR(J$2,$M$4,$B87,E87,$M$3)</f>
        <v>9.9999999999996047E-3</v>
      </c>
    </row>
    <row r="88" spans="2:10" x14ac:dyDescent="0.25">
      <c r="B88" s="30">
        <v>85</v>
      </c>
      <c r="C88" s="72">
        <f ca="1">_xll.mscTrancheCalculatePV(C$2,$M$4,$M$3,$B88,$D$1)</f>
        <v>58067.673242476543</v>
      </c>
      <c r="D88" s="72">
        <f ca="1">_xll.mscTrancheCalculatePV(D$2,$M$4,$M$3,$B88,$D$1)</f>
        <v>269903.464522038</v>
      </c>
      <c r="E88" s="72">
        <f ca="1">_xll.mscTrancheCalculatePV(E$2,$M$4,$M$3,$B88,$D$1)</f>
        <v>3163667.1097680777</v>
      </c>
      <c r="H88" s="77">
        <f ca="1">_xll.mscTrancheCalculateIRR(H$2,$M$4,$B88,C88,$M$3)</f>
        <v>9.9999999998961371E-3</v>
      </c>
      <c r="I88" s="78">
        <f ca="1">_xll.mscTrancheCalculateIRR(I$2,$M$4,$B88,D88,$M$3)</f>
        <v>9.9999999999994676E-3</v>
      </c>
      <c r="J88" s="79">
        <f ca="1">_xll.mscTrancheCalculateIRR(J$2,$M$4,$B88,E88,$M$3)</f>
        <v>9.9999999999996047E-3</v>
      </c>
    </row>
    <row r="89" spans="2:10" x14ac:dyDescent="0.25">
      <c r="B89" s="30">
        <v>86</v>
      </c>
      <c r="C89" s="72">
        <f ca="1">_xll.mscTrancheCalculatePV(C$2,$M$4,$M$3,$B89,$D$1)</f>
        <v>58067.673242476543</v>
      </c>
      <c r="D89" s="72">
        <f ca="1">_xll.mscTrancheCalculatePV(D$2,$M$4,$M$3,$B89,$D$1)</f>
        <v>269903.464522038</v>
      </c>
      <c r="E89" s="72">
        <f ca="1">_xll.mscTrancheCalculatePV(E$2,$M$4,$M$3,$B89,$D$1)</f>
        <v>3163667.1097680777</v>
      </c>
      <c r="H89" s="77">
        <f ca="1">_xll.mscTrancheCalculateIRR(H$2,$M$4,$B89,C89,$M$3)</f>
        <v>9.9999999998961371E-3</v>
      </c>
      <c r="I89" s="78">
        <f ca="1">_xll.mscTrancheCalculateIRR(I$2,$M$4,$B89,D89,$M$3)</f>
        <v>9.9999999999994676E-3</v>
      </c>
      <c r="J89" s="79">
        <f ca="1">_xll.mscTrancheCalculateIRR(J$2,$M$4,$B89,E89,$M$3)</f>
        <v>9.9999999999996047E-3</v>
      </c>
    </row>
    <row r="90" spans="2:10" x14ac:dyDescent="0.25">
      <c r="B90" s="30">
        <v>87</v>
      </c>
      <c r="C90" s="72">
        <f ca="1">_xll.mscTrancheCalculatePV(C$2,$M$4,$M$3,$B90,$D$1)</f>
        <v>58067.673242476543</v>
      </c>
      <c r="D90" s="72">
        <f ca="1">_xll.mscTrancheCalculatePV(D$2,$M$4,$M$3,$B90,$D$1)</f>
        <v>269903.464522038</v>
      </c>
      <c r="E90" s="72">
        <f ca="1">_xll.mscTrancheCalculatePV(E$2,$M$4,$M$3,$B90,$D$1)</f>
        <v>3163667.1097680777</v>
      </c>
      <c r="H90" s="77">
        <f ca="1">_xll.mscTrancheCalculateIRR(H$2,$M$4,$B90,C90,$M$3)</f>
        <v>9.9999999998961371E-3</v>
      </c>
      <c r="I90" s="78">
        <f ca="1">_xll.mscTrancheCalculateIRR(I$2,$M$4,$B90,D90,$M$3)</f>
        <v>9.9999999999994676E-3</v>
      </c>
      <c r="J90" s="79">
        <f ca="1">_xll.mscTrancheCalculateIRR(J$2,$M$4,$B90,E90,$M$3)</f>
        <v>9.9999999999996047E-3</v>
      </c>
    </row>
    <row r="91" spans="2:10" x14ac:dyDescent="0.25">
      <c r="B91" s="30">
        <v>88</v>
      </c>
      <c r="C91" s="72">
        <f ca="1">_xll.mscTrancheCalculatePV(C$2,$M$4,$M$3,$B91,$D$1)</f>
        <v>58067.673242476543</v>
      </c>
      <c r="D91" s="72">
        <f ca="1">_xll.mscTrancheCalculatePV(D$2,$M$4,$M$3,$B91,$D$1)</f>
        <v>269903.464522038</v>
      </c>
      <c r="E91" s="72">
        <f ca="1">_xll.mscTrancheCalculatePV(E$2,$M$4,$M$3,$B91,$D$1)</f>
        <v>3163667.1097680777</v>
      </c>
      <c r="H91" s="77">
        <f ca="1">_xll.mscTrancheCalculateIRR(H$2,$M$4,$B91,C91,$M$3)</f>
        <v>9.9999999998961371E-3</v>
      </c>
      <c r="I91" s="78">
        <f ca="1">_xll.mscTrancheCalculateIRR(I$2,$M$4,$B91,D91,$M$3)</f>
        <v>9.9999999999994676E-3</v>
      </c>
      <c r="J91" s="79">
        <f ca="1">_xll.mscTrancheCalculateIRR(J$2,$M$4,$B91,E91,$M$3)</f>
        <v>9.9999999999996047E-3</v>
      </c>
    </row>
    <row r="92" spans="2:10" x14ac:dyDescent="0.25">
      <c r="B92" s="30">
        <v>89</v>
      </c>
      <c r="C92" s="72">
        <f ca="1">_xll.mscTrancheCalculatePV(C$2,$M$4,$M$3,$B92,$D$1)</f>
        <v>58067.673242476543</v>
      </c>
      <c r="D92" s="72">
        <f ca="1">_xll.mscTrancheCalculatePV(D$2,$M$4,$M$3,$B92,$D$1)</f>
        <v>269903.464522038</v>
      </c>
      <c r="E92" s="72">
        <f ca="1">_xll.mscTrancheCalculatePV(E$2,$M$4,$M$3,$B92,$D$1)</f>
        <v>3163667.1097680777</v>
      </c>
      <c r="H92" s="77">
        <f ca="1">_xll.mscTrancheCalculateIRR(H$2,$M$4,$B92,C92,$M$3)</f>
        <v>9.9999999998961371E-3</v>
      </c>
      <c r="I92" s="78">
        <f ca="1">_xll.mscTrancheCalculateIRR(I$2,$M$4,$B92,D92,$M$3)</f>
        <v>9.9999999999994676E-3</v>
      </c>
      <c r="J92" s="79">
        <f ca="1">_xll.mscTrancheCalculateIRR(J$2,$M$4,$B92,E92,$M$3)</f>
        <v>9.9999999999996047E-3</v>
      </c>
    </row>
    <row r="93" spans="2:10" x14ac:dyDescent="0.25">
      <c r="B93" s="30">
        <v>90</v>
      </c>
      <c r="C93" s="72">
        <f ca="1">_xll.mscTrancheCalculatePV(C$2,$M$4,$M$3,$B93,$D$1)</f>
        <v>58067.673242476543</v>
      </c>
      <c r="D93" s="72">
        <f ca="1">_xll.mscTrancheCalculatePV(D$2,$M$4,$M$3,$B93,$D$1)</f>
        <v>269903.464522038</v>
      </c>
      <c r="E93" s="72">
        <f ca="1">_xll.mscTrancheCalculatePV(E$2,$M$4,$M$3,$B93,$D$1)</f>
        <v>3163667.1097680777</v>
      </c>
      <c r="H93" s="77">
        <f ca="1">_xll.mscTrancheCalculateIRR(H$2,$M$4,$B93,C93,$M$3)</f>
        <v>9.9999999998961371E-3</v>
      </c>
      <c r="I93" s="78">
        <f ca="1">_xll.mscTrancheCalculateIRR(I$2,$M$4,$B93,D93,$M$3)</f>
        <v>9.9999999999994676E-3</v>
      </c>
      <c r="J93" s="79">
        <f ca="1">_xll.mscTrancheCalculateIRR(J$2,$M$4,$B93,E93,$M$3)</f>
        <v>9.9999999999996047E-3</v>
      </c>
    </row>
    <row r="94" spans="2:10" x14ac:dyDescent="0.25">
      <c r="B94" s="30">
        <v>91</v>
      </c>
      <c r="C94" s="72">
        <f ca="1">_xll.mscTrancheCalculatePV(C$2,$M$4,$M$3,$B94,$D$1)</f>
        <v>58067.673242476543</v>
      </c>
      <c r="D94" s="72">
        <f ca="1">_xll.mscTrancheCalculatePV(D$2,$M$4,$M$3,$B94,$D$1)</f>
        <v>269903.464522038</v>
      </c>
      <c r="E94" s="72">
        <f ca="1">_xll.mscTrancheCalculatePV(E$2,$M$4,$M$3,$B94,$D$1)</f>
        <v>3163667.1097680777</v>
      </c>
      <c r="H94" s="77">
        <f ca="1">_xll.mscTrancheCalculateIRR(H$2,$M$4,$B94,C94,$M$3)</f>
        <v>9.9999999998961371E-3</v>
      </c>
      <c r="I94" s="78">
        <f ca="1">_xll.mscTrancheCalculateIRR(I$2,$M$4,$B94,D94,$M$3)</f>
        <v>9.9999999999994676E-3</v>
      </c>
      <c r="J94" s="79">
        <f ca="1">_xll.mscTrancheCalculateIRR(J$2,$M$4,$B94,E94,$M$3)</f>
        <v>9.9999999999996047E-3</v>
      </c>
    </row>
    <row r="95" spans="2:10" x14ac:dyDescent="0.25">
      <c r="B95" s="30">
        <v>92</v>
      </c>
      <c r="C95" s="72">
        <f ca="1">_xll.mscTrancheCalculatePV(C$2,$M$4,$M$3,$B95,$D$1)</f>
        <v>58067.673242476543</v>
      </c>
      <c r="D95" s="72">
        <f ca="1">_xll.mscTrancheCalculatePV(D$2,$M$4,$M$3,$B95,$D$1)</f>
        <v>269903.464522038</v>
      </c>
      <c r="E95" s="72">
        <f ca="1">_xll.mscTrancheCalculatePV(E$2,$M$4,$M$3,$B95,$D$1)</f>
        <v>3163667.1097680777</v>
      </c>
      <c r="H95" s="77">
        <f ca="1">_xll.mscTrancheCalculateIRR(H$2,$M$4,$B95,C95,$M$3)</f>
        <v>9.9999999998961371E-3</v>
      </c>
      <c r="I95" s="78">
        <f ca="1">_xll.mscTrancheCalculateIRR(I$2,$M$4,$B95,D95,$M$3)</f>
        <v>9.9999999999994676E-3</v>
      </c>
      <c r="J95" s="79">
        <f ca="1">_xll.mscTrancheCalculateIRR(J$2,$M$4,$B95,E95,$M$3)</f>
        <v>9.9999999999996047E-3</v>
      </c>
    </row>
    <row r="96" spans="2:10" x14ac:dyDescent="0.25">
      <c r="B96" s="30">
        <v>93</v>
      </c>
      <c r="C96" s="72">
        <f ca="1">_xll.mscTrancheCalculatePV(C$2,$M$4,$M$3,$B96,$D$1)</f>
        <v>58067.673242476543</v>
      </c>
      <c r="D96" s="72">
        <f ca="1">_xll.mscTrancheCalculatePV(D$2,$M$4,$M$3,$B96,$D$1)</f>
        <v>269903.464522038</v>
      </c>
      <c r="E96" s="72">
        <f ca="1">_xll.mscTrancheCalculatePV(E$2,$M$4,$M$3,$B96,$D$1)</f>
        <v>3163667.1097680777</v>
      </c>
      <c r="H96" s="77">
        <f ca="1">_xll.mscTrancheCalculateIRR(H$2,$M$4,$B96,C96,$M$3)</f>
        <v>9.9999999998961371E-3</v>
      </c>
      <c r="I96" s="78">
        <f ca="1">_xll.mscTrancheCalculateIRR(I$2,$M$4,$B96,D96,$M$3)</f>
        <v>9.9999999999994676E-3</v>
      </c>
      <c r="J96" s="79">
        <f ca="1">_xll.mscTrancheCalculateIRR(J$2,$M$4,$B96,E96,$M$3)</f>
        <v>9.9999999999996047E-3</v>
      </c>
    </row>
    <row r="97" spans="2:10" x14ac:dyDescent="0.25">
      <c r="B97" s="30">
        <v>94</v>
      </c>
      <c r="C97" s="72">
        <f ca="1">_xll.mscTrancheCalculatePV(C$2,$M$4,$M$3,$B97,$D$1)</f>
        <v>58067.673242476543</v>
      </c>
      <c r="D97" s="72">
        <f ca="1">_xll.mscTrancheCalculatePV(D$2,$M$4,$M$3,$B97,$D$1)</f>
        <v>269903.464522038</v>
      </c>
      <c r="E97" s="72">
        <f ca="1">_xll.mscTrancheCalculatePV(E$2,$M$4,$M$3,$B97,$D$1)</f>
        <v>3163667.1097680777</v>
      </c>
      <c r="H97" s="77">
        <f ca="1">_xll.mscTrancheCalculateIRR(H$2,$M$4,$B97,C97,$M$3)</f>
        <v>9.9999999998961371E-3</v>
      </c>
      <c r="I97" s="78">
        <f ca="1">_xll.mscTrancheCalculateIRR(I$2,$M$4,$B97,D97,$M$3)</f>
        <v>9.9999999999994676E-3</v>
      </c>
      <c r="J97" s="79">
        <f ca="1">_xll.mscTrancheCalculateIRR(J$2,$M$4,$B97,E97,$M$3)</f>
        <v>9.9999999999996047E-3</v>
      </c>
    </row>
    <row r="98" spans="2:10" x14ac:dyDescent="0.25">
      <c r="B98" s="30">
        <v>95</v>
      </c>
      <c r="C98" s="72">
        <f ca="1">_xll.mscTrancheCalculatePV(C$2,$M$4,$M$3,$B98,$D$1)</f>
        <v>58067.673242476543</v>
      </c>
      <c r="D98" s="72">
        <f ca="1">_xll.mscTrancheCalculatePV(D$2,$M$4,$M$3,$B98,$D$1)</f>
        <v>269903.464522038</v>
      </c>
      <c r="E98" s="72">
        <f ca="1">_xll.mscTrancheCalculatePV(E$2,$M$4,$M$3,$B98,$D$1)</f>
        <v>3163667.1097680777</v>
      </c>
      <c r="H98" s="77">
        <f ca="1">_xll.mscTrancheCalculateIRR(H$2,$M$4,$B98,C98,$M$3)</f>
        <v>9.9999999998961371E-3</v>
      </c>
      <c r="I98" s="78">
        <f ca="1">_xll.mscTrancheCalculateIRR(I$2,$M$4,$B98,D98,$M$3)</f>
        <v>9.9999999999994676E-3</v>
      </c>
      <c r="J98" s="79">
        <f ca="1">_xll.mscTrancheCalculateIRR(J$2,$M$4,$B98,E98,$M$3)</f>
        <v>9.9999999999996047E-3</v>
      </c>
    </row>
    <row r="99" spans="2:10" x14ac:dyDescent="0.25">
      <c r="B99" s="30">
        <v>96</v>
      </c>
      <c r="C99" s="72">
        <f ca="1">_xll.mscTrancheCalculatePV(C$2,$M$4,$M$3,$B99,$D$1)</f>
        <v>58067.673242476543</v>
      </c>
      <c r="D99" s="72">
        <f ca="1">_xll.mscTrancheCalculatePV(D$2,$M$4,$M$3,$B99,$D$1)</f>
        <v>269903.464522038</v>
      </c>
      <c r="E99" s="72">
        <f ca="1">_xll.mscTrancheCalculatePV(E$2,$M$4,$M$3,$B99,$D$1)</f>
        <v>3163667.1097680777</v>
      </c>
      <c r="H99" s="77">
        <f ca="1">_xll.mscTrancheCalculateIRR(H$2,$M$4,$B99,C99,$M$3)</f>
        <v>9.9999999998961371E-3</v>
      </c>
      <c r="I99" s="78">
        <f ca="1">_xll.mscTrancheCalculateIRR(I$2,$M$4,$B99,D99,$M$3)</f>
        <v>9.9999999999994676E-3</v>
      </c>
      <c r="J99" s="79">
        <f ca="1">_xll.mscTrancheCalculateIRR(J$2,$M$4,$B99,E99,$M$3)</f>
        <v>9.9999999999996047E-3</v>
      </c>
    </row>
    <row r="100" spans="2:10" x14ac:dyDescent="0.25">
      <c r="B100" s="30">
        <v>97</v>
      </c>
      <c r="C100" s="72">
        <f ca="1">_xll.mscTrancheCalculatePV(C$2,$M$4,$M$3,$B100,$D$1)</f>
        <v>58067.673242476543</v>
      </c>
      <c r="D100" s="72">
        <f ca="1">_xll.mscTrancheCalculatePV(D$2,$M$4,$M$3,$B100,$D$1)</f>
        <v>269903.464522038</v>
      </c>
      <c r="E100" s="72">
        <f ca="1">_xll.mscTrancheCalculatePV(E$2,$M$4,$M$3,$B100,$D$1)</f>
        <v>3163667.1097680777</v>
      </c>
      <c r="H100" s="77">
        <f ca="1">_xll.mscTrancheCalculateIRR(H$2,$M$4,$B100,C100,$M$3)</f>
        <v>9.9999999998961371E-3</v>
      </c>
      <c r="I100" s="78">
        <f ca="1">_xll.mscTrancheCalculateIRR(I$2,$M$4,$B100,D100,$M$3)</f>
        <v>9.9999999999994676E-3</v>
      </c>
      <c r="J100" s="79">
        <f ca="1">_xll.mscTrancheCalculateIRR(J$2,$M$4,$B100,E100,$M$3)</f>
        <v>9.9999999999996047E-3</v>
      </c>
    </row>
    <row r="101" spans="2:10" x14ac:dyDescent="0.25">
      <c r="B101" s="31">
        <v>98</v>
      </c>
      <c r="C101" s="72">
        <f ca="1">_xll.mscTrancheCalculatePV(C$2,$M$4,$M$3,$B101,$D$1)</f>
        <v>58067.673242476543</v>
      </c>
      <c r="D101" s="72">
        <f ca="1">_xll.mscTrancheCalculatePV(D$2,$M$4,$M$3,$B101,$D$1)</f>
        <v>269903.464522038</v>
      </c>
      <c r="E101" s="72">
        <f ca="1">_xll.mscTrancheCalculatePV(E$2,$M$4,$M$3,$B101,$D$1)</f>
        <v>3163667.1097680777</v>
      </c>
      <c r="H101" s="80">
        <f ca="1">_xll.mscTrancheCalculateIRR(H$2,$M$4,$B101,C101,$M$3)</f>
        <v>9.9999999998961371E-3</v>
      </c>
      <c r="I101" s="81">
        <f ca="1">_xll.mscTrancheCalculateIRR(I$2,$M$4,$B101,D101,$M$3)</f>
        <v>9.9999999999994676E-3</v>
      </c>
      <c r="J101" s="82">
        <f ca="1">_xll.mscTrancheCalculateIRR(J$2,$M$4,$B101,E101,$M$3)</f>
        <v>9.9999999999996047E-3</v>
      </c>
    </row>
    <row r="105" spans="2:10" x14ac:dyDescent="0.25">
      <c r="C105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Loans Data</vt:lpstr>
      <vt:lpstr>Portfolio</vt:lpstr>
      <vt:lpstr>Tranches</vt:lpstr>
      <vt:lpstr>Triggers</vt:lpstr>
      <vt:lpstr>CashflowEngine</vt:lpstr>
      <vt:lpstr>LiabilityFlows</vt:lpstr>
      <vt:lpstr>TranchePV</vt:lpstr>
      <vt:lpstr>Tranche DiscountMargin PV</vt:lpstr>
      <vt:lpstr>Tranche IRR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Castleton Ian</dc:creator>
  <cp:lastModifiedBy>Castleton Ian</cp:lastModifiedBy>
  <dcterms:created xsi:type="dcterms:W3CDTF">2020-01-09T14:27:02Z</dcterms:created>
  <dcterms:modified xsi:type="dcterms:W3CDTF">2020-01-28T10:04:10Z</dcterms:modified>
</cp:coreProperties>
</file>