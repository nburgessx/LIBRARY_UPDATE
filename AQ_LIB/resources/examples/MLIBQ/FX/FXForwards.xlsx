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FX\"/>
    </mc:Choice>
  </mc:AlternateContent>
  <bookViews>
    <workbookView xWindow="720" yWindow="360" windowWidth="27555" windowHeight="14085"/>
  </bookViews>
  <sheets>
    <sheet name="FX Curve and Fwd Pts (BID-ASK)" sheetId="1" r:id="rId1"/>
    <sheet name="FX Curve and Fwd Pts (MID)" sheetId="6" r:id="rId2"/>
    <sheet name="FX Forwards from Disc Factors" sheetId="4" state="hidden" r:id="rId3"/>
  </sheets>
  <calcPr calcId="162913" calcMode="manual"/>
</workbook>
</file>

<file path=xl/calcChain.xml><?xml version="1.0" encoding="utf-8"?>
<calcChain xmlns="http://schemas.openxmlformats.org/spreadsheetml/2006/main">
  <c r="B4" i="4" l="1"/>
  <c r="E4" i="4"/>
  <c r="B4" i="1"/>
  <c r="E4" i="1"/>
  <c r="I4" i="1" s="1"/>
  <c r="I4" i="4"/>
  <c r="K15" i="4" s="1" a="1"/>
  <c r="Q21" i="4" a="1"/>
  <c r="R15" i="4" a="1"/>
  <c r="E4" i="6"/>
  <c r="B4" i="6"/>
  <c r="I4" i="6" s="1"/>
  <c r="Q21" i="6" a="1"/>
  <c r="R15" i="6" a="1"/>
  <c r="K15" i="6" a="1"/>
  <c r="M18" i="6" l="1"/>
  <c r="L32" i="6"/>
  <c r="L26" i="6"/>
  <c r="L20" i="6"/>
  <c r="K46" i="6"/>
  <c r="K38" i="6"/>
  <c r="K32" i="6"/>
  <c r="K26" i="6"/>
  <c r="K20" i="6"/>
  <c r="M46" i="6"/>
  <c r="M44" i="6"/>
  <c r="M42" i="6"/>
  <c r="M40" i="6"/>
  <c r="M38" i="6"/>
  <c r="M36" i="6"/>
  <c r="M34" i="6"/>
  <c r="M32" i="6"/>
  <c r="M30" i="6"/>
  <c r="M28" i="6"/>
  <c r="M26" i="6"/>
  <c r="M24" i="6"/>
  <c r="M22" i="6"/>
  <c r="M16" i="6"/>
  <c r="N37" i="6"/>
  <c r="N23" i="6"/>
  <c r="N15" i="6"/>
  <c r="M47" i="6"/>
  <c r="M41" i="6"/>
  <c r="M35" i="6"/>
  <c r="M29" i="6"/>
  <c r="M23" i="6"/>
  <c r="M17" i="6"/>
  <c r="L46" i="6"/>
  <c r="L44" i="6"/>
  <c r="L42" i="6"/>
  <c r="L40" i="6"/>
  <c r="L38" i="6"/>
  <c r="L36" i="6"/>
  <c r="L34" i="6"/>
  <c r="L30" i="6"/>
  <c r="L24" i="6"/>
  <c r="L16" i="6"/>
  <c r="K44" i="6"/>
  <c r="K36" i="6"/>
  <c r="K28" i="6"/>
  <c r="K24" i="6"/>
  <c r="K18" i="6"/>
  <c r="N45" i="6"/>
  <c r="N41" i="6"/>
  <c r="N35" i="6"/>
  <c r="N31" i="6"/>
  <c r="N27" i="6"/>
  <c r="N21" i="6"/>
  <c r="N17" i="6"/>
  <c r="M43" i="6"/>
  <c r="M39" i="6"/>
  <c r="M33" i="6"/>
  <c r="M27" i="6"/>
  <c r="M19" i="6"/>
  <c r="L47" i="6"/>
  <c r="L45" i="6"/>
  <c r="L43" i="6"/>
  <c r="L41" i="6"/>
  <c r="L39" i="6"/>
  <c r="L37" i="6"/>
  <c r="L35" i="6"/>
  <c r="L33" i="6"/>
  <c r="L31" i="6"/>
  <c r="L29" i="6"/>
  <c r="L27" i="6"/>
  <c r="L25" i="6"/>
  <c r="L23" i="6"/>
  <c r="L21" i="6"/>
  <c r="L19" i="6"/>
  <c r="L17" i="6"/>
  <c r="L15" i="6"/>
  <c r="K47" i="6"/>
  <c r="K45" i="6"/>
  <c r="K43" i="6"/>
  <c r="K41" i="6"/>
  <c r="K39" i="6"/>
  <c r="K37" i="6"/>
  <c r="K35" i="6"/>
  <c r="K33" i="6"/>
  <c r="K31" i="6"/>
  <c r="K29" i="6"/>
  <c r="K27" i="6"/>
  <c r="K25" i="6"/>
  <c r="K23" i="6"/>
  <c r="K21" i="6"/>
  <c r="K19" i="6"/>
  <c r="K17" i="6"/>
  <c r="K15" i="6"/>
  <c r="N46" i="6"/>
  <c r="N44" i="6"/>
  <c r="N42" i="6"/>
  <c r="N40" i="6"/>
  <c r="N38" i="6"/>
  <c r="N36" i="6"/>
  <c r="N34" i="6"/>
  <c r="N32" i="6"/>
  <c r="N30" i="6"/>
  <c r="N28" i="6"/>
  <c r="N26" i="6"/>
  <c r="N24" i="6"/>
  <c r="N22" i="6"/>
  <c r="N20" i="6"/>
  <c r="N18" i="6"/>
  <c r="N16" i="6"/>
  <c r="M20" i="6"/>
  <c r="L28" i="6"/>
  <c r="L22" i="6"/>
  <c r="L18" i="6"/>
  <c r="K42" i="6"/>
  <c r="K40" i="6"/>
  <c r="K34" i="6"/>
  <c r="K30" i="6"/>
  <c r="K22" i="6"/>
  <c r="K16" i="6"/>
  <c r="N47" i="6"/>
  <c r="N43" i="6"/>
  <c r="N39" i="6"/>
  <c r="N33" i="6"/>
  <c r="N29" i="6"/>
  <c r="N25" i="6"/>
  <c r="N19" i="6"/>
  <c r="M45" i="6"/>
  <c r="M37" i="6"/>
  <c r="M31" i="6"/>
  <c r="M25" i="6"/>
  <c r="M21" i="6"/>
  <c r="M15" i="6"/>
  <c r="T16" i="6"/>
  <c r="S15" i="6"/>
  <c r="R15" i="6"/>
  <c r="S16" i="6"/>
  <c r="U16" i="6"/>
  <c r="R16" i="6"/>
  <c r="U15" i="6"/>
  <c r="T15" i="6"/>
  <c r="Q21" i="6"/>
  <c r="T22" i="6"/>
  <c r="S22" i="6"/>
  <c r="R22" i="6"/>
  <c r="T21" i="6"/>
  <c r="S21" i="6"/>
  <c r="R21" i="6"/>
  <c r="Q22" i="6"/>
  <c r="S22" i="4"/>
  <c r="T21" i="4"/>
  <c r="S21" i="4"/>
  <c r="R21" i="4"/>
  <c r="Q21" i="4"/>
  <c r="T22" i="4"/>
  <c r="R22" i="4"/>
  <c r="Q22" i="4"/>
  <c r="U16" i="4"/>
  <c r="R16" i="4"/>
  <c r="R15" i="4"/>
  <c r="T16" i="4"/>
  <c r="S16" i="4"/>
  <c r="U15" i="4"/>
  <c r="T15" i="4"/>
  <c r="S15" i="4"/>
  <c r="M16" i="4"/>
  <c r="M32" i="4"/>
  <c r="K25" i="4"/>
  <c r="K41" i="4"/>
  <c r="L23" i="4"/>
  <c r="L39" i="4"/>
  <c r="M21" i="4"/>
  <c r="M37" i="4"/>
  <c r="N19" i="4"/>
  <c r="N35" i="4"/>
  <c r="K18" i="4"/>
  <c r="K34" i="4"/>
  <c r="N16" i="4"/>
  <c r="M40" i="4"/>
  <c r="L28" i="4"/>
  <c r="L22" i="4"/>
  <c r="L24" i="4"/>
  <c r="M18" i="4"/>
  <c r="M34" i="4"/>
  <c r="K27" i="4"/>
  <c r="K43" i="4"/>
  <c r="L25" i="4"/>
  <c r="L41" i="4"/>
  <c r="M23" i="4"/>
  <c r="M39" i="4"/>
  <c r="N21" i="4"/>
  <c r="N37" i="4"/>
  <c r="K36" i="4"/>
  <c r="N24" i="4"/>
  <c r="L46" i="4"/>
  <c r="L30" i="4"/>
  <c r="L32" i="4"/>
  <c r="M20" i="4"/>
  <c r="K29" i="4"/>
  <c r="L27" i="4"/>
  <c r="M25" i="4"/>
  <c r="N23" i="4"/>
  <c r="K22" i="4"/>
  <c r="N32" i="4"/>
  <c r="L42" i="4"/>
  <c r="N38" i="4"/>
  <c r="K15" i="4"/>
  <c r="K47" i="4"/>
  <c r="L45" i="4"/>
  <c r="M27" i="4"/>
  <c r="N25" i="4"/>
  <c r="K24" i="4"/>
  <c r="L40" i="4"/>
  <c r="N46" i="4"/>
  <c r="M24" i="4"/>
  <c r="K17" i="4"/>
  <c r="K33" i="4"/>
  <c r="L15" i="4"/>
  <c r="L31" i="4"/>
  <c r="L47" i="4"/>
  <c r="M29" i="4"/>
  <c r="M45" i="4"/>
  <c r="N27" i="4"/>
  <c r="N43" i="4"/>
  <c r="K26" i="4"/>
  <c r="K42" i="4"/>
  <c r="N44" i="4"/>
  <c r="N34" i="4"/>
  <c r="N20" i="4"/>
  <c r="N22" i="4"/>
  <c r="M26" i="4"/>
  <c r="K19" i="4"/>
  <c r="K35" i="4"/>
  <c r="L17" i="4"/>
  <c r="L33" i="4"/>
  <c r="M15" i="4"/>
  <c r="M31" i="4"/>
  <c r="M47" i="4"/>
  <c r="N29" i="4"/>
  <c r="N45" i="4"/>
  <c r="K28" i="4"/>
  <c r="K44" i="4"/>
  <c r="L18" i="4"/>
  <c r="N40" i="4"/>
  <c r="N28" i="4"/>
  <c r="N30" i="4"/>
  <c r="M28" i="4"/>
  <c r="K21" i="4"/>
  <c r="K37" i="4"/>
  <c r="L19" i="4"/>
  <c r="L35" i="4"/>
  <c r="M17" i="4"/>
  <c r="M33" i="4"/>
  <c r="N15" i="4"/>
  <c r="N31" i="4"/>
  <c r="N47" i="4"/>
  <c r="K30" i="4"/>
  <c r="K46" i="4"/>
  <c r="L26" i="4"/>
  <c r="M46" i="4"/>
  <c r="N36" i="4"/>
  <c r="M38" i="4"/>
  <c r="M44" i="4"/>
  <c r="M30" i="4"/>
  <c r="K23" i="4"/>
  <c r="K39" i="4"/>
  <c r="L21" i="4"/>
  <c r="L37" i="4"/>
  <c r="M19" i="4"/>
  <c r="M35" i="4"/>
  <c r="N17" i="4"/>
  <c r="N33" i="4"/>
  <c r="K16" i="4"/>
  <c r="K32" i="4"/>
  <c r="L16" i="4"/>
  <c r="L34" i="4"/>
  <c r="L20" i="4"/>
  <c r="M42" i="4"/>
  <c r="L44" i="4"/>
  <c r="K20" i="4"/>
  <c r="L36" i="4"/>
  <c r="M36" i="4"/>
  <c r="K45" i="4"/>
  <c r="L43" i="4"/>
  <c r="M41" i="4"/>
  <c r="N39" i="4"/>
  <c r="K38" i="4"/>
  <c r="N18" i="4"/>
  <c r="L38" i="4"/>
  <c r="M22" i="4"/>
  <c r="K31" i="4"/>
  <c r="L29" i="4"/>
  <c r="M43" i="4"/>
  <c r="N41" i="4"/>
  <c r="K40" i="4"/>
  <c r="N26" i="4"/>
  <c r="N42" i="4"/>
  <c r="Q21" i="1" a="1"/>
  <c r="R15" i="1" a="1"/>
  <c r="K15" i="1" a="1"/>
  <c r="K15" i="1" l="1"/>
  <c r="K31" i="1"/>
  <c r="K47" i="1"/>
  <c r="K44" i="1"/>
  <c r="L21" i="1"/>
  <c r="L37" i="1"/>
  <c r="N29" i="1"/>
  <c r="M25" i="1"/>
  <c r="M41" i="1"/>
  <c r="N35" i="1"/>
  <c r="L38" i="1"/>
  <c r="M42" i="1"/>
  <c r="K18" i="1"/>
  <c r="K34" i="1"/>
  <c r="M18" i="1"/>
  <c r="L46" i="1"/>
  <c r="N38" i="1"/>
  <c r="K33" i="1"/>
  <c r="L23" i="1"/>
  <c r="N43" i="1"/>
  <c r="N39" i="1"/>
  <c r="K20" i="1"/>
  <c r="N40" i="1"/>
  <c r="K19" i="1"/>
  <c r="K35" i="1"/>
  <c r="N27" i="1"/>
  <c r="L24" i="1"/>
  <c r="L25" i="1"/>
  <c r="L41" i="1"/>
  <c r="K38" i="1"/>
  <c r="M29" i="1"/>
  <c r="M45" i="1"/>
  <c r="N45" i="1"/>
  <c r="M16" i="1"/>
  <c r="N18" i="1"/>
  <c r="K22" i="1"/>
  <c r="K46" i="1"/>
  <c r="M24" i="1"/>
  <c r="N20" i="1"/>
  <c r="N44" i="1"/>
  <c r="N19" i="1"/>
  <c r="L39" i="1"/>
  <c r="M27" i="1"/>
  <c r="L44" i="1"/>
  <c r="K40" i="1"/>
  <c r="N16" i="1"/>
  <c r="K21" i="1"/>
  <c r="K37" i="1"/>
  <c r="N33" i="1"/>
  <c r="L32" i="1"/>
  <c r="L27" i="1"/>
  <c r="L43" i="1"/>
  <c r="M15" i="1"/>
  <c r="M31" i="1"/>
  <c r="M47" i="1"/>
  <c r="K42" i="1"/>
  <c r="M20" i="1"/>
  <c r="N22" i="1"/>
  <c r="K24" i="1"/>
  <c r="L18" i="1"/>
  <c r="M28" i="1"/>
  <c r="N24" i="1"/>
  <c r="N46" i="1"/>
  <c r="K45" i="1"/>
  <c r="M23" i="1"/>
  <c r="L34" i="1"/>
  <c r="K16" i="1"/>
  <c r="L42" i="1"/>
  <c r="N36" i="1"/>
  <c r="K23" i="1"/>
  <c r="K39" i="1"/>
  <c r="N37" i="1"/>
  <c r="L40" i="1"/>
  <c r="L29" i="1"/>
  <c r="L45" i="1"/>
  <c r="M17" i="1"/>
  <c r="M33" i="1"/>
  <c r="N15" i="1"/>
  <c r="L16" i="1"/>
  <c r="M26" i="1"/>
  <c r="N26" i="1"/>
  <c r="K26" i="1"/>
  <c r="L26" i="1"/>
  <c r="M32" i="1"/>
  <c r="N28" i="1"/>
  <c r="K43" i="1"/>
  <c r="N47" i="1"/>
  <c r="L33" i="1"/>
  <c r="M37" i="1"/>
  <c r="L28" i="1"/>
  <c r="N42" i="1"/>
  <c r="L36" i="1"/>
  <c r="M40" i="1"/>
  <c r="K29" i="1"/>
  <c r="K36" i="1"/>
  <c r="L19" i="1"/>
  <c r="L35" i="1"/>
  <c r="N23" i="1"/>
  <c r="M39" i="1"/>
  <c r="N31" i="1"/>
  <c r="M38" i="1"/>
  <c r="K32" i="1"/>
  <c r="M44" i="1"/>
  <c r="K17" i="1"/>
  <c r="L20" i="1"/>
  <c r="M43" i="1"/>
  <c r="M46" i="1"/>
  <c r="M22" i="1"/>
  <c r="K25" i="1"/>
  <c r="K41" i="1"/>
  <c r="N41" i="1"/>
  <c r="L15" i="1"/>
  <c r="L31" i="1"/>
  <c r="L47" i="1"/>
  <c r="M19" i="1"/>
  <c r="M35" i="1"/>
  <c r="N21" i="1"/>
  <c r="L22" i="1"/>
  <c r="M30" i="1"/>
  <c r="N30" i="1"/>
  <c r="K28" i="1"/>
  <c r="L30" i="1"/>
  <c r="M36" i="1"/>
  <c r="N32" i="1"/>
  <c r="K27" i="1"/>
  <c r="L17" i="1"/>
  <c r="N17" i="1"/>
  <c r="M21" i="1"/>
  <c r="N25" i="1"/>
  <c r="M34" i="1"/>
  <c r="K30" i="1"/>
  <c r="N34" i="1"/>
  <c r="S16" i="1"/>
  <c r="T16" i="1"/>
  <c r="U16" i="1"/>
  <c r="R15" i="1"/>
  <c r="T15" i="1"/>
  <c r="U15" i="1"/>
  <c r="R16" i="1"/>
  <c r="S15" i="1"/>
  <c r="S22" i="1"/>
  <c r="T22" i="1"/>
  <c r="Q21" i="1"/>
  <c r="R21" i="1"/>
  <c r="Q22" i="1"/>
  <c r="S21" i="1"/>
  <c r="R22" i="1"/>
  <c r="T21" i="1"/>
</calcChain>
</file>

<file path=xl/sharedStrings.xml><?xml version="1.0" encoding="utf-8"?>
<sst xmlns="http://schemas.openxmlformats.org/spreadsheetml/2006/main" count="325" uniqueCount="89">
  <si>
    <t>CURVEPROPERTIES</t>
  </si>
  <si>
    <t>EURUSD</t>
  </si>
  <si>
    <t>Currency</t>
  </si>
  <si>
    <t>DfCurveName</t>
  </si>
  <si>
    <t>EURDF_USDCSA,USDDF</t>
  </si>
  <si>
    <t>CurveType</t>
  </si>
  <si>
    <t>FX</t>
  </si>
  <si>
    <t>Interpolation</t>
  </si>
  <si>
    <t>linear</t>
  </si>
  <si>
    <t>FXFWDS</t>
  </si>
  <si>
    <t>Calendar</t>
  </si>
  <si>
    <t>NYB:TGT</t>
  </si>
  <si>
    <t>ResetLag</t>
  </si>
  <si>
    <t>2D</t>
  </si>
  <si>
    <t>SlidingRule</t>
  </si>
  <si>
    <t>MOD_FOLLOWING</t>
  </si>
  <si>
    <t>iseomroll</t>
  </si>
  <si>
    <t>eomday</t>
  </si>
  <si>
    <t>isOutright</t>
  </si>
  <si>
    <t>MARKETDATAPROPERTIES</t>
  </si>
  <si>
    <t>AsOfDate</t>
  </si>
  <si>
    <t>PipSize</t>
  </si>
  <si>
    <t>FXSPOTS</t>
  </si>
  <si>
    <t>Bid</t>
  </si>
  <si>
    <t>Ask</t>
  </si>
  <si>
    <t>Term</t>
  </si>
  <si>
    <t>ON</t>
  </si>
  <si>
    <t>TN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</si>
  <si>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</si>
  <si>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</si>
  <si>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</si>
  <si>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</si>
  <si>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</si>
  <si>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</si>
  <si>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</si>
  <si>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</si>
  <si>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</si>
  <si>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9M</t>
  </si>
  <si>
    <t>1Y</t>
  </si>
  <si>
    <t>15M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</si>
  <si>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</si>
  <si>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</si>
  <si>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</si>
  <si>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</si>
  <si>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</si>
  <si>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</si>
  <si>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</si>
  <si>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</si>
  <si>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</si>
  <si>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</si>
  <si>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Tenor</t>
  </si>
  <si>
    <t>SettlementDate</t>
  </si>
  <si>
    <t>SP</t>
  </si>
  <si>
    <t>SN</t>
  </si>
  <si>
    <t>BOCT</t>
  </si>
  <si>
    <t>BJAN</t>
  </si>
  <si>
    <t>MAR</t>
  </si>
  <si>
    <t>BAPR</t>
  </si>
  <si>
    <t>JUN</t>
  </si>
  <si>
    <t>BJUL</t>
  </si>
  <si>
    <t>TermCurveCollection</t>
  </si>
  <si>
    <t>BaseCurveCollection</t>
  </si>
  <si>
    <t>EURYC</t>
  </si>
  <si>
    <t>USDYC</t>
  </si>
  <si>
    <t>Base/Term</t>
  </si>
  <si>
    <t>meLWOFXForwardsFromDiscountCurves</t>
  </si>
  <si>
    <t>CurveCollections</t>
  </si>
  <si>
    <t>meLWOFXForwards</t>
  </si>
  <si>
    <t>NearByDate</t>
  </si>
  <si>
    <t>meLWOFXSwap</t>
  </si>
  <si>
    <t>CURVEGEN_FWDPTS</t>
  </si>
  <si>
    <t>MKTDATA_FWDPTS</t>
  </si>
  <si>
    <t>CURVE_FWDPTS</t>
  </si>
  <si>
    <t>CURVECOLLECTIONS</t>
  </si>
  <si>
    <t>FORWARD FORWARDS</t>
  </si>
  <si>
    <t>Date</t>
  </si>
  <si>
    <t>FarDate</t>
  </si>
  <si>
    <t>BROKEN DATES</t>
  </si>
  <si>
    <t>CURVEGEN_DISCFACTORS</t>
  </si>
  <si>
    <t>MKTDATA_DISCFACTORS</t>
  </si>
  <si>
    <t>CURVE_DISCFACTORS</t>
  </si>
  <si>
    <t>FXSPOTS_BIDASK</t>
  </si>
  <si>
    <t>FXFWDS_BIDASK</t>
  </si>
  <si>
    <t>EUR</t>
  </si>
  <si>
    <t>USD</t>
  </si>
  <si>
    <t>Mid</t>
  </si>
  <si>
    <t>Use</t>
  </si>
  <si>
    <t>Domestic CCY</t>
  </si>
  <si>
    <t>Foreign 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</si>
</sst>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d\,\ d\-mmm\-yy"/>
    <numFmt numFmtId="165" formatCode="_(* #,##0.00_);_(* \(#,##0.00\);_(* &quot;-&quot;??_);_(@_)"/>
    <numFmt numFmtId="166" formatCode="#,##0.0000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6" fillId="3" borderId="6" xfId="0" applyNumberFormat="1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166" fontId="6" fillId="3" borderId="5" xfId="0" applyNumberFormat="1" applyFont="1" applyFill="1" applyBorder="1" applyAlignment="1">
      <alignment horizontal="center" vertical="center"/>
    </xf>
    <xf numFmtId="166" fontId="6" fillId="3" borderId="10" xfId="0" applyNumberFormat="1" applyFont="1" applyFill="1" applyBorder="1" applyAlignment="1">
      <alignment horizontal="center" vertical="center"/>
    </xf>
    <xf numFmtId="166" fontId="6" fillId="3" borderId="0" xfId="0" applyNumberFormat="1" applyFont="1" applyFill="1" applyBorder="1" applyAlignment="1">
      <alignment horizontal="center" vertical="center"/>
    </xf>
    <xf numFmtId="166" fontId="6" fillId="3" borderId="11" xfId="0" applyNumberFormat="1" applyFont="1" applyFill="1" applyBorder="1" applyAlignment="1">
      <alignment horizontal="center" vertical="center"/>
    </xf>
    <xf numFmtId="166" fontId="7" fillId="5" borderId="10" xfId="0" applyNumberFormat="1" applyFont="1" applyFill="1" applyBorder="1" applyAlignment="1">
      <alignment horizontal="center" vertical="center"/>
    </xf>
    <xf numFmtId="166" fontId="7" fillId="5" borderId="0" xfId="0" applyNumberFormat="1" applyFont="1" applyFill="1" applyBorder="1" applyAlignment="1">
      <alignment horizontal="center" vertical="center"/>
    </xf>
    <xf numFmtId="166" fontId="7" fillId="5" borderId="11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12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4" fontId="0" fillId="0" borderId="11" xfId="0" applyNumberFormat="1" applyBorder="1" applyAlignment="1">
      <alignment horizontal="center" vertical="center"/>
    </xf>
    <xf numFmtId="0" fontId="2" fillId="5" borderId="10" xfId="0" applyFont="1" applyFill="1" applyBorder="1" applyAlignment="1">
      <alignment horizontal="left" vertical="center"/>
    </xf>
    <xf numFmtId="164" fontId="2" fillId="5" borderId="1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66" fontId="0" fillId="0" borderId="0" xfId="0" applyNumberFormat="1"/>
    <xf numFmtId="0" fontId="6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3" xfId="0" applyFont="1" applyBorder="1" applyAlignment="1">
      <alignment horizontal="center" vertical="center"/>
    </xf>
    <xf numFmtId="4" fontId="6" fillId="3" borderId="15" xfId="0" applyNumberFormat="1" applyFont="1" applyFill="1" applyBorder="1" applyAlignment="1">
      <alignment horizontal="center" vertical="center"/>
    </xf>
    <xf numFmtId="166" fontId="6" fillId="3" borderId="15" xfId="0" applyNumberFormat="1" applyFont="1" applyFill="1" applyBorder="1" applyAlignment="1">
      <alignment horizontal="center" vertical="center"/>
    </xf>
    <xf numFmtId="166" fontId="6" fillId="3" borderId="14" xfId="0" applyNumberFormat="1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2" fillId="4" borderId="10" xfId="0" applyFont="1" applyFill="1" applyBorder="1" applyAlignment="1">
      <alignment horizontal="left" vertical="center"/>
    </xf>
    <xf numFmtId="164" fontId="2" fillId="4" borderId="11" xfId="0" applyNumberFormat="1" applyFont="1" applyFill="1" applyBorder="1" applyAlignment="1">
      <alignment horizontal="center" vertical="center"/>
    </xf>
    <xf numFmtId="166" fontId="7" fillId="4" borderId="10" xfId="0" applyNumberFormat="1" applyFont="1" applyFill="1" applyBorder="1" applyAlignment="1">
      <alignment horizontal="center" vertical="center"/>
    </xf>
    <xf numFmtId="166" fontId="7" fillId="4" borderId="0" xfId="0" applyNumberFormat="1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2" fillId="0" borderId="0" xfId="0" applyFon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Comma 93" xfId="1"/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U47"/>
  <sheetViews>
    <sheetView showGridLines="0" tabSelected="1" workbookViewId="0"/>
  </sheetViews>
  <sheetFormatPr defaultRowHeight="15" x14ac:dyDescent="0.25"/>
  <cols>
    <col min="2" max="2" width="17.85546875" bestFit="1" customWidth="1"/>
    <col min="3" max="3" width="21.5703125" bestFit="1" customWidth="1"/>
    <col min="5" max="7" width="14.7109375" customWidth="1"/>
    <col min="10" max="10" width="15.7109375" customWidth="1"/>
    <col min="11" max="14" width="12.7109375" customWidth="1"/>
    <col min="16" max="21" width="15.7109375" customWidth="1"/>
  </cols>
  <sheetData>
    <row r="3" spans="2:21" x14ac:dyDescent="0.25">
      <c r="B3" s="6" t="s">
        <v>70</v>
      </c>
      <c r="E3" s="6" t="s">
        <v>71</v>
      </c>
      <c r="I3" s="6" t="s">
        <v>72</v>
      </c>
    </row>
    <row r="4" spans="2:21" x14ac:dyDescent="0.25">
      <c r="B4" s="61" t="str">
        <f>_xll.meLWOCurveGeneratorCreate($B$3&amp;"_"&amp;$C$8,B7,B8:C11,B15,B16:C21)</f>
        <v>CURVEGEN_FWDPTS_EURUSD@8:2</v>
      </c>
      <c r="C4" s="62"/>
      <c r="E4" s="61" t="str">
        <f>_xll.meLWOCurveMarketDataCreate($E$3&amp;"_"&amp;$F$8,E7,E8:F11,E15,F17:G17,E20,E22:G45)</f>
        <v>MKTDATA_FWDPTS_EURUSD@7:2</v>
      </c>
      <c r="F4" s="63"/>
      <c r="G4" s="62"/>
      <c r="I4" s="61" t="str">
        <f ca="1">_xll.meLWOFXCurveCreate($I$3&amp;"_"&amp;$C$8,B4,E4)</f>
        <v>CURVE_FWDPTS_EURUSD@6:1</v>
      </c>
      <c r="J4" s="63"/>
      <c r="K4" s="62"/>
    </row>
    <row r="7" spans="2:21" x14ac:dyDescent="0.25">
      <c r="B7" s="1" t="s">
        <v>0</v>
      </c>
      <c r="C7" s="33" t="s">
        <v>64</v>
      </c>
      <c r="E7" s="1" t="s">
        <v>19</v>
      </c>
      <c r="I7" s="5" t="s">
        <v>73</v>
      </c>
    </row>
    <row r="8" spans="2:21" x14ac:dyDescent="0.25">
      <c r="B8" s="2" t="s">
        <v>2</v>
      </c>
      <c r="C8" s="2" t="s">
        <v>1</v>
      </c>
      <c r="E8" s="7" t="s">
        <v>2</v>
      </c>
      <c r="F8" s="10" t="s">
        <v>1</v>
      </c>
      <c r="I8" s="14" t="s">
        <v>61</v>
      </c>
      <c r="J8" s="15"/>
      <c r="K8" s="58" t="s">
        <v>62</v>
      </c>
    </row>
    <row r="9" spans="2:21" x14ac:dyDescent="0.25">
      <c r="B9" s="3" t="s">
        <v>3</v>
      </c>
      <c r="C9" s="3" t="s">
        <v>4</v>
      </c>
      <c r="E9" s="8" t="s">
        <v>5</v>
      </c>
      <c r="F9" s="11" t="s">
        <v>6</v>
      </c>
      <c r="I9" s="21" t="s">
        <v>60</v>
      </c>
      <c r="J9" s="22"/>
      <c r="K9" s="64" t="s">
        <v>63</v>
      </c>
    </row>
    <row r="10" spans="2:21" x14ac:dyDescent="0.25">
      <c r="B10" s="3" t="s">
        <v>5</v>
      </c>
      <c r="C10" s="3" t="s">
        <v>6</v>
      </c>
      <c r="E10" s="8" t="s">
        <v>20</v>
      </c>
      <c r="F10" s="13">
        <v>42976</v>
      </c>
      <c r="I10" s="21"/>
      <c r="J10" s="22"/>
      <c r="K10" s="64"/>
    </row>
    <row r="11" spans="2:21" x14ac:dyDescent="0.25">
      <c r="B11" s="4" t="s">
        <v>7</v>
      </c>
      <c r="C11" s="4" t="s">
        <v>8</v>
      </c>
      <c r="E11" s="9" t="s">
        <v>21</v>
      </c>
      <c r="F11" s="12">
        <v>1E-4</v>
      </c>
      <c r="I11" s="16"/>
      <c r="J11" s="17"/>
      <c r="K11" s="59"/>
    </row>
    <row r="13" spans="2:21" x14ac:dyDescent="0.25">
      <c r="K13" s="60"/>
    </row>
    <row r="14" spans="2:21" x14ac:dyDescent="0.25">
      <c r="G14" s="76"/>
      <c r="I14" s="1" t="s">
        <v>67</v>
      </c>
      <c r="P14" s="1" t="s">
        <v>74</v>
      </c>
    </row>
    <row r="15" spans="2:21" x14ac:dyDescent="0.25">
      <c r="B15" s="1" t="s">
        <v>9</v>
      </c>
      <c r="E15" s="1" t="s">
        <v>81</v>
      </c>
      <c r="I15" s="36" t="s">
        <v>50</v>
      </c>
      <c r="J15" s="37" t="s">
        <v>51</v>
      </c>
      <c r="K15" s="37" t="str">
        <f t="array" aca="1" ref="K15:N47" ca="1">_xll.meLWOFXForwards($I$4,J16:J47,TRUE)</f>
        <v>BidPoints</v>
      </c>
      <c r="L15" s="37" t="str">
        <f ca="1"/>
        <v>AskPoints</v>
      </c>
      <c r="M15" s="37" t="str">
        <f ca="1"/>
        <v>BidOutright</v>
      </c>
      <c r="N15" s="37" t="str">
        <f ca="1"/>
        <v>AskOutright</v>
      </c>
      <c r="P15" s="23" t="s">
        <v>68</v>
      </c>
      <c r="Q15" s="23" t="s">
        <v>76</v>
      </c>
      <c r="R15" s="23" t="str">
        <f t="array" aca="1" ref="R15:U16" ca="1">_xll.meLWOFXSwap($I$4,P16,Q16,TRUE,TRUE)</f>
        <v>BidPoints</v>
      </c>
      <c r="S15" s="23" t="str">
        <f ca="1"/>
        <v>AskPoints</v>
      </c>
      <c r="T15" s="23" t="str">
        <f ca="1"/>
        <v>BidOutright</v>
      </c>
      <c r="U15" s="23" t="str">
        <f ca="1"/>
        <v>AskOutright</v>
      </c>
    </row>
    <row r="16" spans="2:21" x14ac:dyDescent="0.25">
      <c r="B16" s="7" t="s">
        <v>10</v>
      </c>
      <c r="C16" s="10" t="s">
        <v>11</v>
      </c>
      <c r="F16" s="77" t="s">
        <v>23</v>
      </c>
      <c r="G16" s="77" t="s">
        <v>24</v>
      </c>
      <c r="I16" s="50" t="s">
        <v>26</v>
      </c>
      <c r="J16" s="51">
        <v>42977</v>
      </c>
      <c r="K16" s="38">
        <f ca="1"/>
        <v>0.51900000000000002</v>
      </c>
      <c r="L16" s="39">
        <f ca="1"/>
        <v>0.58099999999999996</v>
      </c>
      <c r="M16" s="39">
        <f ca="1"/>
        <v>1.2029481</v>
      </c>
      <c r="N16" s="40">
        <f ca="1"/>
        <v>1.2030419000000001</v>
      </c>
      <c r="P16" s="68">
        <v>43010</v>
      </c>
      <c r="Q16" s="69">
        <v>44804</v>
      </c>
      <c r="R16" s="65">
        <f ca="1"/>
        <v>1273.7121874999989</v>
      </c>
      <c r="S16" s="65">
        <f ca="1"/>
        <v>1289.6268750000015</v>
      </c>
      <c r="T16" s="66">
        <f ca="1"/>
        <v>1.3323665312499999</v>
      </c>
      <c r="U16" s="67">
        <f ca="1"/>
        <v>1.3340734687500002</v>
      </c>
    </row>
    <row r="17" spans="2:20" x14ac:dyDescent="0.25">
      <c r="B17" s="8" t="s">
        <v>12</v>
      </c>
      <c r="C17" s="11" t="s">
        <v>13</v>
      </c>
      <c r="F17" s="78">
        <v>1.2030000000000001</v>
      </c>
      <c r="G17" s="79">
        <v>1.2031000000000001</v>
      </c>
      <c r="I17" s="52" t="s">
        <v>27</v>
      </c>
      <c r="J17" s="53">
        <v>42978</v>
      </c>
      <c r="K17" s="41">
        <f ca="1"/>
        <v>0</v>
      </c>
      <c r="L17" s="42">
        <f ca="1"/>
        <v>0</v>
      </c>
      <c r="M17" s="42">
        <f ca="1"/>
        <v>1.2030000000000001</v>
      </c>
      <c r="N17" s="43">
        <f ca="1"/>
        <v>1.2031000000000001</v>
      </c>
      <c r="R17" s="70" t="s">
        <v>69</v>
      </c>
    </row>
    <row r="18" spans="2:20" x14ac:dyDescent="0.25">
      <c r="B18" s="8" t="s">
        <v>14</v>
      </c>
      <c r="C18" s="11" t="s">
        <v>15</v>
      </c>
      <c r="I18" s="71" t="s">
        <v>52</v>
      </c>
      <c r="J18" s="72">
        <v>42978</v>
      </c>
      <c r="K18" s="73">
        <f ca="1"/>
        <v>0</v>
      </c>
      <c r="L18" s="74">
        <f ca="1"/>
        <v>0</v>
      </c>
      <c r="M18" s="74">
        <f ca="1"/>
        <v>1.2030000000000001</v>
      </c>
      <c r="N18" s="75">
        <f ca="1"/>
        <v>1.2031000000000001</v>
      </c>
    </row>
    <row r="19" spans="2:20" x14ac:dyDescent="0.25">
      <c r="B19" s="8" t="s">
        <v>16</v>
      </c>
      <c r="C19" s="11"/>
      <c r="I19" s="52" t="s">
        <v>53</v>
      </c>
      <c r="J19" s="53">
        <v>42979</v>
      </c>
      <c r="K19" s="41">
        <f ca="1"/>
        <v>1.0882857142857638</v>
      </c>
      <c r="L19" s="42">
        <f ca="1"/>
        <v>1.119142857142208</v>
      </c>
      <c r="M19" s="42">
        <f ca="1"/>
        <v>1.2031088285714286</v>
      </c>
      <c r="N19" s="43">
        <f ca="1"/>
        <v>1.2032119142857143</v>
      </c>
    </row>
    <row r="20" spans="2:20" x14ac:dyDescent="0.25">
      <c r="B20" s="8" t="s">
        <v>17</v>
      </c>
      <c r="C20" s="11"/>
      <c r="E20" s="1" t="s">
        <v>82</v>
      </c>
      <c r="I20" s="52" t="s">
        <v>28</v>
      </c>
      <c r="J20" s="53">
        <v>42985</v>
      </c>
      <c r="K20" s="41">
        <f ca="1"/>
        <v>4.21</v>
      </c>
      <c r="L20" s="42">
        <f ca="1"/>
        <v>4.3</v>
      </c>
      <c r="M20" s="42">
        <f ca="1"/>
        <v>1.2034210000000001</v>
      </c>
      <c r="N20" s="43">
        <f ca="1"/>
        <v>1.20353</v>
      </c>
      <c r="P20" s="1" t="s">
        <v>77</v>
      </c>
    </row>
    <row r="21" spans="2:20" x14ac:dyDescent="0.25">
      <c r="B21" s="9"/>
      <c r="C21" s="12"/>
      <c r="E21" s="23" t="s">
        <v>25</v>
      </c>
      <c r="F21" s="23" t="s">
        <v>23</v>
      </c>
      <c r="G21" s="23" t="s">
        <v>24</v>
      </c>
      <c r="I21" s="52" t="s">
        <v>29</v>
      </c>
      <c r="J21" s="53">
        <v>42992</v>
      </c>
      <c r="K21" s="41">
        <f ca="1"/>
        <v>8.49</v>
      </c>
      <c r="L21" s="42">
        <f ca="1"/>
        <v>8.61</v>
      </c>
      <c r="M21" s="42">
        <f ca="1"/>
        <v>1.2038490000000002</v>
      </c>
      <c r="N21" s="43">
        <f ca="1"/>
        <v>1.2039610000000001</v>
      </c>
      <c r="P21" s="37" t="s">
        <v>75</v>
      </c>
      <c r="Q21" s="23" t="str">
        <f t="array" aca="1" ref="Q21:T22" ca="1">_xll.meLWOFXForwards($I$4,P22,TRUE)</f>
        <v>BidPoints</v>
      </c>
      <c r="R21" s="23" t="str">
        <f ca="1"/>
        <v>AskPoints</v>
      </c>
      <c r="S21" s="23" t="str">
        <f ca="1"/>
        <v>BidOutright</v>
      </c>
      <c r="T21" s="23" t="str">
        <f ca="1"/>
        <v>AskOutright</v>
      </c>
    </row>
    <row r="22" spans="2:20" x14ac:dyDescent="0.25">
      <c r="E22" s="18" t="s">
        <v>26</v>
      </c>
      <c r="F22" s="29">
        <v>0.51900000000000002</v>
      </c>
      <c r="G22" s="30">
        <v>0.58099999999999996</v>
      </c>
      <c r="I22" s="52" t="s">
        <v>30</v>
      </c>
      <c r="J22" s="53">
        <v>42999</v>
      </c>
      <c r="K22" s="41">
        <f ca="1"/>
        <v>12.89</v>
      </c>
      <c r="L22" s="42">
        <f ca="1"/>
        <v>13.03</v>
      </c>
      <c r="M22" s="42">
        <f ca="1"/>
        <v>1.2042890000000002</v>
      </c>
      <c r="N22" s="43">
        <f ca="1"/>
        <v>1.2044030000000001</v>
      </c>
      <c r="P22" s="68">
        <v>43010</v>
      </c>
      <c r="Q22" s="65">
        <f ca="1"/>
        <v>19.953124999998462</v>
      </c>
      <c r="R22" s="65">
        <f ca="1"/>
        <v>20.107812500000932</v>
      </c>
      <c r="S22" s="66">
        <f ca="1"/>
        <v>1.2049953124999999</v>
      </c>
      <c r="T22" s="67">
        <f ca="1"/>
        <v>1.2051107812500002</v>
      </c>
    </row>
    <row r="23" spans="2:20" x14ac:dyDescent="0.25">
      <c r="E23" s="24" t="s">
        <v>27</v>
      </c>
      <c r="F23" s="31">
        <v>0.56799999999999995</v>
      </c>
      <c r="G23" s="32">
        <v>0.58899999999999997</v>
      </c>
      <c r="I23" s="52" t="s">
        <v>31</v>
      </c>
      <c r="J23" s="53">
        <v>43007</v>
      </c>
      <c r="K23" s="41">
        <f ca="1"/>
        <v>17.93</v>
      </c>
      <c r="L23" s="42">
        <f ca="1"/>
        <v>18.079999999999998</v>
      </c>
      <c r="M23" s="42">
        <f ca="1"/>
        <v>1.204793</v>
      </c>
      <c r="N23" s="43">
        <f ca="1"/>
        <v>1.2049080000000001</v>
      </c>
      <c r="Q23" s="70" t="s">
        <v>67</v>
      </c>
    </row>
    <row r="24" spans="2:20" x14ac:dyDescent="0.25">
      <c r="E24" s="24" t="s">
        <v>28</v>
      </c>
      <c r="F24" s="25">
        <v>4.21</v>
      </c>
      <c r="G24" s="26">
        <v>4.3</v>
      </c>
      <c r="I24" s="52" t="s">
        <v>54</v>
      </c>
      <c r="J24" s="53">
        <v>43010</v>
      </c>
      <c r="K24" s="41">
        <f ca="1"/>
        <v>19.953124999998462</v>
      </c>
      <c r="L24" s="42">
        <f ca="1"/>
        <v>20.107812500000932</v>
      </c>
      <c r="M24" s="42">
        <f ca="1"/>
        <v>1.2049953124999999</v>
      </c>
      <c r="N24" s="43">
        <f ca="1"/>
        <v>1.2051107812500002</v>
      </c>
    </row>
    <row r="25" spans="2:20" x14ac:dyDescent="0.25">
      <c r="E25" s="24" t="s">
        <v>29</v>
      </c>
      <c r="F25" s="25">
        <v>8.49</v>
      </c>
      <c r="G25" s="26">
        <v>8.61</v>
      </c>
      <c r="I25" s="52" t="s">
        <v>32</v>
      </c>
      <c r="J25" s="53">
        <v>43039</v>
      </c>
      <c r="K25" s="41">
        <f ca="1"/>
        <v>39.51</v>
      </c>
      <c r="L25" s="42">
        <f ca="1"/>
        <v>39.71</v>
      </c>
      <c r="M25" s="42">
        <f ca="1"/>
        <v>1.2069510000000001</v>
      </c>
      <c r="N25" s="43">
        <f ca="1"/>
        <v>1.207071</v>
      </c>
    </row>
    <row r="26" spans="2:20" x14ac:dyDescent="0.25">
      <c r="E26" s="24" t="s">
        <v>30</v>
      </c>
      <c r="F26" s="25">
        <v>12.89</v>
      </c>
      <c r="G26" s="26">
        <v>13.03</v>
      </c>
      <c r="I26" s="52" t="s">
        <v>33</v>
      </c>
      <c r="J26" s="53">
        <v>43069</v>
      </c>
      <c r="K26" s="41">
        <f ca="1"/>
        <v>58.4</v>
      </c>
      <c r="L26" s="42">
        <f ca="1"/>
        <v>58.68</v>
      </c>
      <c r="M26" s="42">
        <f ca="1"/>
        <v>1.2088400000000001</v>
      </c>
      <c r="N26" s="43">
        <f ca="1"/>
        <v>1.208968</v>
      </c>
    </row>
    <row r="27" spans="2:20" x14ac:dyDescent="0.25">
      <c r="E27" s="24" t="s">
        <v>31</v>
      </c>
      <c r="F27" s="25">
        <v>17.93</v>
      </c>
      <c r="G27" s="26">
        <v>18.079999999999998</v>
      </c>
      <c r="I27" s="52" t="s">
        <v>34</v>
      </c>
      <c r="J27" s="53">
        <v>43098</v>
      </c>
      <c r="K27" s="41">
        <f ca="1"/>
        <v>77.099999999999994</v>
      </c>
      <c r="L27" s="42">
        <f ca="1"/>
        <v>77.66</v>
      </c>
      <c r="M27" s="42">
        <f ca="1"/>
        <v>1.2107100000000002</v>
      </c>
      <c r="N27" s="43">
        <f ca="1"/>
        <v>1.210866</v>
      </c>
    </row>
    <row r="28" spans="2:20" x14ac:dyDescent="0.25">
      <c r="E28" s="24" t="s">
        <v>32</v>
      </c>
      <c r="F28" s="25">
        <v>39.51</v>
      </c>
      <c r="G28" s="26">
        <v>39.71</v>
      </c>
      <c r="I28" s="52" t="s">
        <v>55</v>
      </c>
      <c r="J28" s="53">
        <v>43102</v>
      </c>
      <c r="K28" s="41">
        <f ca="1"/>
        <v>80.325454545455699</v>
      </c>
      <c r="L28" s="42">
        <f ca="1"/>
        <v>80.878181818180295</v>
      </c>
      <c r="M28" s="42">
        <f ca="1"/>
        <v>1.2110325454545456</v>
      </c>
      <c r="N28" s="43">
        <f ca="1"/>
        <v>1.2111878181818181</v>
      </c>
    </row>
    <row r="29" spans="2:20" x14ac:dyDescent="0.25">
      <c r="E29" s="24" t="s">
        <v>33</v>
      </c>
      <c r="F29" s="25">
        <v>58.4</v>
      </c>
      <c r="G29" s="26">
        <v>58.68</v>
      </c>
      <c r="I29" s="52" t="s">
        <v>35</v>
      </c>
      <c r="J29" s="53">
        <v>43131</v>
      </c>
      <c r="K29" s="41">
        <f ca="1"/>
        <v>103.71</v>
      </c>
      <c r="L29" s="42">
        <f ca="1"/>
        <v>104.21</v>
      </c>
      <c r="M29" s="42">
        <f ca="1"/>
        <v>1.213371</v>
      </c>
      <c r="N29" s="43">
        <f ca="1"/>
        <v>1.2135210000000001</v>
      </c>
    </row>
    <row r="30" spans="2:20" x14ac:dyDescent="0.25">
      <c r="E30" s="24" t="s">
        <v>34</v>
      </c>
      <c r="F30" s="25">
        <v>77.099999999999994</v>
      </c>
      <c r="G30" s="26">
        <v>77.66</v>
      </c>
      <c r="I30" s="52" t="s">
        <v>36</v>
      </c>
      <c r="J30" s="53">
        <v>43159</v>
      </c>
      <c r="K30" s="41">
        <f ca="1"/>
        <v>122.27</v>
      </c>
      <c r="L30" s="42">
        <f ca="1"/>
        <v>122.93</v>
      </c>
      <c r="M30" s="42">
        <f ca="1"/>
        <v>1.2152270000000001</v>
      </c>
      <c r="N30" s="43">
        <f ca="1"/>
        <v>1.2153930000000002</v>
      </c>
    </row>
    <row r="31" spans="2:20" x14ac:dyDescent="0.25">
      <c r="E31" s="24" t="s">
        <v>35</v>
      </c>
      <c r="F31" s="25">
        <v>103.71</v>
      </c>
      <c r="G31" s="26">
        <v>104.21</v>
      </c>
      <c r="I31" s="52" t="s">
        <v>56</v>
      </c>
      <c r="J31" s="53">
        <v>43188</v>
      </c>
      <c r="K31" s="41">
        <f ca="1"/>
        <v>142.52902173913063</v>
      </c>
      <c r="L31" s="42">
        <f ca="1"/>
        <v>143.33402173913211</v>
      </c>
      <c r="M31" s="42">
        <f ca="1"/>
        <v>1.2172529021739131</v>
      </c>
      <c r="N31" s="43">
        <f ca="1"/>
        <v>1.2174334021739133</v>
      </c>
    </row>
    <row r="32" spans="2:20" x14ac:dyDescent="0.25">
      <c r="E32" s="24" t="s">
        <v>36</v>
      </c>
      <c r="F32" s="25">
        <v>122.27</v>
      </c>
      <c r="G32" s="26">
        <v>122.93</v>
      </c>
      <c r="I32" s="52" t="s">
        <v>57</v>
      </c>
      <c r="J32" s="53">
        <v>43193</v>
      </c>
      <c r="K32" s="41">
        <f ca="1"/>
        <v>146.02195652173799</v>
      </c>
      <c r="L32" s="42">
        <f ca="1"/>
        <v>146.85195652174076</v>
      </c>
      <c r="M32" s="42">
        <f ca="1"/>
        <v>1.2176021956521739</v>
      </c>
      <c r="N32" s="43">
        <f ca="1"/>
        <v>1.2177851956521741</v>
      </c>
    </row>
    <row r="33" spans="5:14" x14ac:dyDescent="0.25">
      <c r="E33" s="24" t="s">
        <v>37</v>
      </c>
      <c r="F33" s="25">
        <v>186.54</v>
      </c>
      <c r="G33" s="26">
        <v>187.66</v>
      </c>
      <c r="I33" s="52" t="s">
        <v>37</v>
      </c>
      <c r="J33" s="53">
        <v>43251</v>
      </c>
      <c r="K33" s="41">
        <f ca="1"/>
        <v>186.54</v>
      </c>
      <c r="L33" s="42">
        <f ca="1"/>
        <v>187.66</v>
      </c>
      <c r="M33" s="42">
        <f ca="1"/>
        <v>1.221654</v>
      </c>
      <c r="N33" s="43">
        <f ca="1"/>
        <v>1.2218660000000001</v>
      </c>
    </row>
    <row r="34" spans="5:14" x14ac:dyDescent="0.25">
      <c r="E34" s="24" t="s">
        <v>38</v>
      </c>
      <c r="F34" s="25">
        <v>251.88</v>
      </c>
      <c r="G34" s="26">
        <v>253.37</v>
      </c>
      <c r="I34" s="52" t="s">
        <v>58</v>
      </c>
      <c r="J34" s="53">
        <v>43280</v>
      </c>
      <c r="K34" s="41">
        <f ca="1"/>
        <v>207.13630434782581</v>
      </c>
      <c r="L34" s="42">
        <f ca="1"/>
        <v>208.37293478260798</v>
      </c>
      <c r="M34" s="42">
        <f ca="1"/>
        <v>1.2237136304347827</v>
      </c>
      <c r="N34" s="43">
        <f ca="1"/>
        <v>1.2239372934782609</v>
      </c>
    </row>
    <row r="35" spans="5:14" x14ac:dyDescent="0.25">
      <c r="E35" s="24" t="s">
        <v>39</v>
      </c>
      <c r="F35" s="25">
        <v>316.02</v>
      </c>
      <c r="G35" s="26">
        <v>318.98</v>
      </c>
      <c r="I35" s="52" t="s">
        <v>59</v>
      </c>
      <c r="J35" s="53">
        <v>43283</v>
      </c>
      <c r="K35" s="41">
        <f ca="1"/>
        <v>209.26695652173865</v>
      </c>
      <c r="L35" s="42">
        <f ca="1"/>
        <v>210.51565217391266</v>
      </c>
      <c r="M35" s="42">
        <f ca="1"/>
        <v>1.2239266956521739</v>
      </c>
      <c r="N35" s="43">
        <f ca="1"/>
        <v>1.2241515652173913</v>
      </c>
    </row>
    <row r="36" spans="5:14" x14ac:dyDescent="0.25">
      <c r="E36" s="24" t="s">
        <v>40</v>
      </c>
      <c r="F36" s="25">
        <v>383.05</v>
      </c>
      <c r="G36" s="26">
        <v>385.95</v>
      </c>
      <c r="I36" s="52" t="s">
        <v>38</v>
      </c>
      <c r="J36" s="53">
        <v>43343</v>
      </c>
      <c r="K36" s="41">
        <f ca="1"/>
        <v>251.88</v>
      </c>
      <c r="L36" s="42">
        <f ca="1"/>
        <v>253.37</v>
      </c>
      <c r="M36" s="42">
        <f ca="1"/>
        <v>1.2281880000000001</v>
      </c>
      <c r="N36" s="43">
        <f ca="1"/>
        <v>1.228437</v>
      </c>
    </row>
    <row r="37" spans="5:14" x14ac:dyDescent="0.25">
      <c r="E37" s="24" t="s">
        <v>41</v>
      </c>
      <c r="F37" s="25">
        <v>516.25</v>
      </c>
      <c r="G37" s="26">
        <v>521.25</v>
      </c>
      <c r="I37" s="52" t="s">
        <v>39</v>
      </c>
      <c r="J37" s="53">
        <v>43434</v>
      </c>
      <c r="K37" s="41">
        <f ca="1"/>
        <v>316.02</v>
      </c>
      <c r="L37" s="42">
        <f ca="1"/>
        <v>318.98</v>
      </c>
      <c r="M37" s="42">
        <f ca="1"/>
        <v>1.234602</v>
      </c>
      <c r="N37" s="43">
        <f ca="1"/>
        <v>1.234998</v>
      </c>
    </row>
    <row r="38" spans="5:14" x14ac:dyDescent="0.25">
      <c r="E38" s="24" t="s">
        <v>42</v>
      </c>
      <c r="F38" s="25">
        <v>782</v>
      </c>
      <c r="G38" s="26">
        <v>792</v>
      </c>
      <c r="I38" s="52" t="s">
        <v>40</v>
      </c>
      <c r="J38" s="53">
        <v>43524</v>
      </c>
      <c r="K38" s="41">
        <f ca="1"/>
        <v>383.05</v>
      </c>
      <c r="L38" s="42">
        <f ca="1"/>
        <v>385.95</v>
      </c>
      <c r="M38" s="42">
        <f ca="1"/>
        <v>1.2413050000000001</v>
      </c>
      <c r="N38" s="43">
        <f ca="1"/>
        <v>1.241695</v>
      </c>
    </row>
    <row r="39" spans="5:14" x14ac:dyDescent="0.25">
      <c r="E39" s="24" t="s">
        <v>43</v>
      </c>
      <c r="F39" s="25">
        <v>1041.54</v>
      </c>
      <c r="G39" s="26">
        <v>1056.46</v>
      </c>
      <c r="I39" s="52" t="s">
        <v>41</v>
      </c>
      <c r="J39" s="53">
        <v>43707</v>
      </c>
      <c r="K39" s="41">
        <f ca="1"/>
        <v>516.25</v>
      </c>
      <c r="L39" s="42">
        <f ca="1"/>
        <v>521.25</v>
      </c>
      <c r="M39" s="42">
        <f ca="1"/>
        <v>1.2546250000000001</v>
      </c>
      <c r="N39" s="43">
        <f ca="1"/>
        <v>1.255225</v>
      </c>
    </row>
    <row r="40" spans="5:14" x14ac:dyDescent="0.25">
      <c r="E40" s="24" t="s">
        <v>44</v>
      </c>
      <c r="F40" s="25">
        <v>1293.82</v>
      </c>
      <c r="G40" s="26">
        <v>1309.58</v>
      </c>
      <c r="I40" s="52" t="s">
        <v>42</v>
      </c>
      <c r="J40" s="53">
        <v>44074</v>
      </c>
      <c r="K40" s="41">
        <f ca="1"/>
        <v>782</v>
      </c>
      <c r="L40" s="42">
        <f ca="1"/>
        <v>792</v>
      </c>
      <c r="M40" s="42">
        <f ca="1"/>
        <v>1.2812000000000001</v>
      </c>
      <c r="N40" s="43">
        <f ca="1"/>
        <v>1.2823</v>
      </c>
    </row>
    <row r="41" spans="5:14" x14ac:dyDescent="0.25">
      <c r="E41" s="24" t="s">
        <v>45</v>
      </c>
      <c r="F41" s="25">
        <v>1526.5</v>
      </c>
      <c r="G41" s="26">
        <v>1551.5</v>
      </c>
      <c r="I41" s="52" t="s">
        <v>43</v>
      </c>
      <c r="J41" s="53">
        <v>44439</v>
      </c>
      <c r="K41" s="41">
        <f ca="1"/>
        <v>1041.54</v>
      </c>
      <c r="L41" s="42">
        <f ca="1"/>
        <v>1056.46</v>
      </c>
      <c r="M41" s="42">
        <f ca="1"/>
        <v>1.3071540000000001</v>
      </c>
      <c r="N41" s="43">
        <f ca="1"/>
        <v>1.308746</v>
      </c>
    </row>
    <row r="42" spans="5:14" x14ac:dyDescent="0.25">
      <c r="E42" s="24" t="s">
        <v>46</v>
      </c>
      <c r="F42" s="25">
        <v>1741.98</v>
      </c>
      <c r="G42" s="26">
        <v>1773.43</v>
      </c>
      <c r="I42" s="52" t="s">
        <v>44</v>
      </c>
      <c r="J42" s="53">
        <v>44804</v>
      </c>
      <c r="K42" s="41">
        <f ca="1"/>
        <v>1293.82</v>
      </c>
      <c r="L42" s="42">
        <f ca="1"/>
        <v>1309.58</v>
      </c>
      <c r="M42" s="42">
        <f ca="1"/>
        <v>1.332382</v>
      </c>
      <c r="N42" s="43">
        <f ca="1"/>
        <v>1.334058</v>
      </c>
    </row>
    <row r="43" spans="5:14" x14ac:dyDescent="0.25">
      <c r="E43" s="24" t="s">
        <v>47</v>
      </c>
      <c r="F43" s="25">
        <v>1937.81</v>
      </c>
      <c r="G43" s="26">
        <v>1976.29</v>
      </c>
      <c r="I43" s="52" t="s">
        <v>45</v>
      </c>
      <c r="J43" s="53">
        <v>45169</v>
      </c>
      <c r="K43" s="41">
        <f ca="1"/>
        <v>1526.5</v>
      </c>
      <c r="L43" s="42">
        <f ca="1"/>
        <v>1551.5</v>
      </c>
      <c r="M43" s="42">
        <f ca="1"/>
        <v>1.35565</v>
      </c>
      <c r="N43" s="43">
        <f ca="1"/>
        <v>1.35825</v>
      </c>
    </row>
    <row r="44" spans="5:14" x14ac:dyDescent="0.25">
      <c r="E44" s="24" t="s">
        <v>48</v>
      </c>
      <c r="F44" s="25">
        <v>2111.69</v>
      </c>
      <c r="G44" s="26">
        <v>2157.31</v>
      </c>
      <c r="I44" s="52" t="s">
        <v>46</v>
      </c>
      <c r="J44" s="53">
        <v>45534</v>
      </c>
      <c r="K44" s="41">
        <f ca="1"/>
        <v>1741.98</v>
      </c>
      <c r="L44" s="42">
        <f ca="1"/>
        <v>1773.43</v>
      </c>
      <c r="M44" s="42">
        <f ca="1"/>
        <v>1.3771980000000001</v>
      </c>
      <c r="N44" s="43">
        <f ca="1"/>
        <v>1.3804430000000001</v>
      </c>
    </row>
    <row r="45" spans="5:14" x14ac:dyDescent="0.25">
      <c r="E45" s="24" t="s">
        <v>49</v>
      </c>
      <c r="F45" s="25">
        <v>2267.83</v>
      </c>
      <c r="G45" s="26">
        <v>2323.37</v>
      </c>
      <c r="I45" s="52" t="s">
        <v>47</v>
      </c>
      <c r="J45" s="53">
        <v>45898</v>
      </c>
      <c r="K45" s="41">
        <f ca="1"/>
        <v>1937.81</v>
      </c>
      <c r="L45" s="42">
        <f ca="1"/>
        <v>1976.29</v>
      </c>
      <c r="M45" s="42">
        <f ca="1"/>
        <v>1.3967810000000001</v>
      </c>
      <c r="N45" s="43">
        <f ca="1"/>
        <v>1.4007290000000001</v>
      </c>
    </row>
    <row r="46" spans="5:14" x14ac:dyDescent="0.25">
      <c r="E46" s="24"/>
      <c r="F46" s="25"/>
      <c r="G46" s="26"/>
      <c r="I46" s="52" t="s">
        <v>48</v>
      </c>
      <c r="J46" s="53">
        <v>46265</v>
      </c>
      <c r="K46" s="41">
        <f ca="1"/>
        <v>2111.69</v>
      </c>
      <c r="L46" s="42">
        <f ca="1"/>
        <v>2157.31</v>
      </c>
      <c r="M46" s="42">
        <f ca="1"/>
        <v>1.414169</v>
      </c>
      <c r="N46" s="43">
        <f ca="1"/>
        <v>1.418831</v>
      </c>
    </row>
    <row r="47" spans="5:14" x14ac:dyDescent="0.25">
      <c r="E47" s="20"/>
      <c r="F47" s="27"/>
      <c r="G47" s="28"/>
      <c r="I47" s="56" t="s">
        <v>49</v>
      </c>
      <c r="J47" s="57">
        <v>46630</v>
      </c>
      <c r="K47" s="47">
        <f ca="1"/>
        <v>2267.83</v>
      </c>
      <c r="L47" s="48">
        <f ca="1"/>
        <v>2323.37</v>
      </c>
      <c r="M47" s="48">
        <f ca="1"/>
        <v>1.429783</v>
      </c>
      <c r="N47" s="49">
        <f ca="1"/>
        <v>1.4354370000000001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47"/>
  <sheetViews>
    <sheetView showGridLines="0" workbookViewId="0"/>
  </sheetViews>
  <sheetFormatPr defaultRowHeight="15" x14ac:dyDescent="0.25"/>
  <cols>
    <col min="2" max="2" width="17.85546875" bestFit="1" customWidth="1"/>
    <col min="3" max="3" width="21.5703125" bestFit="1" customWidth="1"/>
    <col min="5" max="7" width="14.7109375" customWidth="1"/>
    <col min="10" max="10" width="15.7109375" customWidth="1"/>
    <col min="11" max="14" width="12.7109375" customWidth="1"/>
    <col min="16" max="21" width="15.7109375" customWidth="1"/>
  </cols>
  <sheetData>
    <row r="3" spans="2:21" x14ac:dyDescent="0.25">
      <c r="B3" s="6" t="s">
        <v>70</v>
      </c>
      <c r="E3" s="6" t="s">
        <v>71</v>
      </c>
      <c r="I3" s="6" t="s">
        <v>72</v>
      </c>
    </row>
    <row r="4" spans="2:21" x14ac:dyDescent="0.25">
      <c r="B4" s="61" t="str">
        <f>_xll.meLWOCurveGeneratorCreate($B$3&amp;"_"&amp;$C$8&amp;"_MID",B7,B8:C11,B15,B16:C21)</f>
        <v>CURVEGEN_FWDPTS_EURUSD_MID@2:9</v>
      </c>
      <c r="C4" s="62"/>
      <c r="E4" s="61" t="str">
        <f>_xll.meLWOCurveMarketDataCreate($E$3&amp;"_"&amp;$F$8&amp;"_MID",E7,E8:F11,E15,E17:G17,E20,E22:G45)</f>
        <v>MKTDATA_FWDPTS_EURUSD_MID@1:10</v>
      </c>
      <c r="F4" s="63"/>
      <c r="G4" s="62"/>
      <c r="I4" s="61" t="str">
        <f ca="1">_xll.meLWOFXCurveCreate($I$3&amp;"_"&amp;$C$8&amp;"_MID",B4,E4)</f>
        <v>CURVE_FWDPTS_EURUSD_MID@9:0</v>
      </c>
      <c r="J4" s="63"/>
      <c r="K4" s="62"/>
    </row>
    <row r="7" spans="2:21" x14ac:dyDescent="0.25">
      <c r="B7" s="1" t="s">
        <v>0</v>
      </c>
      <c r="C7" s="33" t="s">
        <v>64</v>
      </c>
      <c r="E7" s="1" t="s">
        <v>19</v>
      </c>
      <c r="I7" s="5" t="s">
        <v>73</v>
      </c>
    </row>
    <row r="8" spans="2:21" x14ac:dyDescent="0.25">
      <c r="B8" s="2" t="s">
        <v>2</v>
      </c>
      <c r="C8" s="2" t="s">
        <v>1</v>
      </c>
      <c r="E8" s="7" t="s">
        <v>2</v>
      </c>
      <c r="F8" s="10" t="s">
        <v>1</v>
      </c>
      <c r="I8" s="14" t="s">
        <v>61</v>
      </c>
      <c r="J8" s="15"/>
      <c r="K8" s="58" t="s">
        <v>62</v>
      </c>
    </row>
    <row r="9" spans="2:21" x14ac:dyDescent="0.25">
      <c r="B9" s="3" t="s">
        <v>3</v>
      </c>
      <c r="C9" s="3" t="s">
        <v>4</v>
      </c>
      <c r="E9" s="8" t="s">
        <v>5</v>
      </c>
      <c r="F9" s="11" t="s">
        <v>6</v>
      </c>
      <c r="I9" s="21" t="s">
        <v>60</v>
      </c>
      <c r="J9" s="22"/>
      <c r="K9" s="64" t="s">
        <v>63</v>
      </c>
    </row>
    <row r="10" spans="2:21" x14ac:dyDescent="0.25">
      <c r="B10" s="3" t="s">
        <v>5</v>
      </c>
      <c r="C10" s="3" t="s">
        <v>6</v>
      </c>
      <c r="E10" s="8" t="s">
        <v>20</v>
      </c>
      <c r="F10" s="13">
        <v>42976</v>
      </c>
      <c r="I10" s="21"/>
      <c r="J10" s="22"/>
      <c r="K10" s="64"/>
    </row>
    <row r="11" spans="2:21" x14ac:dyDescent="0.25">
      <c r="B11" s="4" t="s">
        <v>7</v>
      </c>
      <c r="C11" s="4" t="s">
        <v>8</v>
      </c>
      <c r="E11" s="9" t="s">
        <v>21</v>
      </c>
      <c r="F11" s="12">
        <v>1E-4</v>
      </c>
      <c r="I11" s="16"/>
      <c r="J11" s="17"/>
      <c r="K11" s="59"/>
    </row>
    <row r="13" spans="2:21" x14ac:dyDescent="0.25">
      <c r="K13" s="60"/>
    </row>
    <row r="14" spans="2:21" x14ac:dyDescent="0.25">
      <c r="G14" s="76"/>
      <c r="I14" s="1" t="s">
        <v>67</v>
      </c>
      <c r="P14" s="1" t="s">
        <v>74</v>
      </c>
    </row>
    <row r="15" spans="2:21" x14ac:dyDescent="0.25">
      <c r="B15" s="1" t="s">
        <v>9</v>
      </c>
      <c r="E15" s="1" t="s">
        <v>22</v>
      </c>
      <c r="I15" s="36" t="s">
        <v>50</v>
      </c>
      <c r="J15" s="37" t="s">
        <v>51</v>
      </c>
      <c r="K15" s="37" t="str">
        <f t="array" aca="1" ref="K15:N47" ca="1">_xll.meLWOFXForwards($I$4,J16:J47,TRUE)</f>
        <v>BidPoints</v>
      </c>
      <c r="L15" s="37" t="str">
        <f ca="1"/>
        <v>AskPoints</v>
      </c>
      <c r="M15" s="37" t="str">
        <f ca="1"/>
        <v>BidOutright</v>
      </c>
      <c r="N15" s="37" t="str">
        <f ca="1"/>
        <v>AskOutright</v>
      </c>
      <c r="P15" s="23" t="s">
        <v>68</v>
      </c>
      <c r="Q15" s="23" t="s">
        <v>76</v>
      </c>
      <c r="R15" s="23" t="str">
        <f t="array" aca="1" ref="R15:U16" ca="1">_xll.meLWOFXSwap($I$4,P16,Q16,TRUE,TRUE)</f>
        <v>BidPoints</v>
      </c>
      <c r="S15" s="23" t="str">
        <f ca="1"/>
        <v>AskPoints</v>
      </c>
      <c r="T15" s="23" t="str">
        <f ca="1"/>
        <v>BidOutright</v>
      </c>
      <c r="U15" s="23" t="str">
        <f ca="1"/>
        <v>AskOutright</v>
      </c>
    </row>
    <row r="16" spans="2:21" x14ac:dyDescent="0.25">
      <c r="B16" s="7" t="s">
        <v>10</v>
      </c>
      <c r="C16" s="10" t="s">
        <v>11</v>
      </c>
      <c r="E16" s="37" t="s">
        <v>88</v>
      </c>
      <c r="F16" s="77" t="s">
        <v>87</v>
      </c>
      <c r="G16" s="77" t="s">
        <v>85</v>
      </c>
      <c r="I16" s="50" t="s">
        <v>26</v>
      </c>
      <c r="J16" s="51">
        <v>42977</v>
      </c>
      <c r="K16" s="38">
        <f ca="1"/>
        <v>0.51900000000000002</v>
      </c>
      <c r="L16" s="39">
        <f ca="1"/>
        <v>0.51900000000000002</v>
      </c>
      <c r="M16" s="39">
        <f ca="1"/>
        <v>1.2030481</v>
      </c>
      <c r="N16" s="40">
        <f ca="1"/>
        <v>1.2030481</v>
      </c>
      <c r="P16" s="68">
        <v>43010</v>
      </c>
      <c r="Q16" s="69">
        <v>44804</v>
      </c>
      <c r="R16" s="65">
        <f ca="1"/>
        <v>1273.8668750000015</v>
      </c>
      <c r="S16" s="65">
        <f ca="1"/>
        <v>1273.8668750000015</v>
      </c>
      <c r="T16" s="66">
        <f ca="1"/>
        <v>1.3324820000000002</v>
      </c>
      <c r="U16" s="67">
        <f ca="1"/>
        <v>1.3324820000000002</v>
      </c>
    </row>
    <row r="17" spans="2:20" x14ac:dyDescent="0.25">
      <c r="B17" s="8" t="s">
        <v>12</v>
      </c>
      <c r="C17" s="11" t="s">
        <v>13</v>
      </c>
      <c r="E17" s="81" t="s">
        <v>83</v>
      </c>
      <c r="F17" s="80" t="s">
        <v>84</v>
      </c>
      <c r="G17" s="79">
        <v>1.2031000000000001</v>
      </c>
      <c r="I17" s="52" t="s">
        <v>27</v>
      </c>
      <c r="J17" s="53">
        <v>42978</v>
      </c>
      <c r="K17" s="41">
        <f ca="1"/>
        <v>0</v>
      </c>
      <c r="L17" s="42">
        <f ca="1"/>
        <v>0</v>
      </c>
      <c r="M17" s="42">
        <f ca="1"/>
        <v>1.2031000000000001</v>
      </c>
      <c r="N17" s="43">
        <f ca="1"/>
        <v>1.2031000000000001</v>
      </c>
      <c r="R17" s="70" t="s">
        <v>69</v>
      </c>
    </row>
    <row r="18" spans="2:20" x14ac:dyDescent="0.25">
      <c r="B18" s="8" t="s">
        <v>14</v>
      </c>
      <c r="C18" s="11" t="s">
        <v>15</v>
      </c>
      <c r="I18" s="71" t="s">
        <v>52</v>
      </c>
      <c r="J18" s="72">
        <v>42978</v>
      </c>
      <c r="K18" s="73">
        <f ca="1"/>
        <v>0</v>
      </c>
      <c r="L18" s="74">
        <f ca="1"/>
        <v>0</v>
      </c>
      <c r="M18" s="74">
        <f ca="1"/>
        <v>1.2031000000000001</v>
      </c>
      <c r="N18" s="75">
        <f ca="1"/>
        <v>1.2031000000000001</v>
      </c>
    </row>
    <row r="19" spans="2:20" x14ac:dyDescent="0.25">
      <c r="B19" s="8" t="s">
        <v>16</v>
      </c>
      <c r="C19" s="11"/>
      <c r="I19" s="52" t="s">
        <v>53</v>
      </c>
      <c r="J19" s="53">
        <v>42979</v>
      </c>
      <c r="K19" s="41">
        <f ca="1"/>
        <v>1.0882857142857638</v>
      </c>
      <c r="L19" s="42">
        <f ca="1"/>
        <v>1.0882857142857638</v>
      </c>
      <c r="M19" s="42">
        <f ca="1"/>
        <v>1.2032088285714286</v>
      </c>
      <c r="N19" s="43">
        <f ca="1"/>
        <v>1.2032088285714286</v>
      </c>
    </row>
    <row r="20" spans="2:20" x14ac:dyDescent="0.25">
      <c r="B20" s="8" t="s">
        <v>17</v>
      </c>
      <c r="C20" s="11"/>
      <c r="E20" s="1" t="s">
        <v>9</v>
      </c>
      <c r="I20" s="52" t="s">
        <v>28</v>
      </c>
      <c r="J20" s="53">
        <v>42985</v>
      </c>
      <c r="K20" s="41">
        <f ca="1"/>
        <v>4.21</v>
      </c>
      <c r="L20" s="42">
        <f ca="1"/>
        <v>4.21</v>
      </c>
      <c r="M20" s="42">
        <f ca="1"/>
        <v>1.2035210000000001</v>
      </c>
      <c r="N20" s="43">
        <f ca="1"/>
        <v>1.2035210000000001</v>
      </c>
      <c r="P20" s="1" t="s">
        <v>77</v>
      </c>
    </row>
    <row r="21" spans="2:20" x14ac:dyDescent="0.25">
      <c r="B21" s="9"/>
      <c r="C21" s="12"/>
      <c r="E21" s="23" t="s">
        <v>25</v>
      </c>
      <c r="F21" s="23" t="s">
        <v>85</v>
      </c>
      <c r="G21" s="23" t="s">
        <v>86</v>
      </c>
      <c r="I21" s="52" t="s">
        <v>29</v>
      </c>
      <c r="J21" s="53">
        <v>42992</v>
      </c>
      <c r="K21" s="41">
        <f ca="1"/>
        <v>8.49</v>
      </c>
      <c r="L21" s="42">
        <f ca="1"/>
        <v>8.49</v>
      </c>
      <c r="M21" s="42">
        <f ca="1"/>
        <v>1.2039490000000002</v>
      </c>
      <c r="N21" s="43">
        <f ca="1"/>
        <v>1.2039490000000002</v>
      </c>
      <c r="P21" s="37" t="s">
        <v>75</v>
      </c>
      <c r="Q21" s="23" t="str">
        <f t="array" aca="1" ref="Q21:T22" ca="1">_xll.meLWOFXForwards($I$4,P22,TRUE)</f>
        <v>BidPoints</v>
      </c>
      <c r="R21" s="23" t="str">
        <f ca="1"/>
        <v>AskPoints</v>
      </c>
      <c r="S21" s="23" t="str">
        <f ca="1"/>
        <v>BidOutright</v>
      </c>
      <c r="T21" s="23" t="str">
        <f ca="1"/>
        <v>AskOutright</v>
      </c>
    </row>
    <row r="22" spans="2:20" x14ac:dyDescent="0.25">
      <c r="E22" s="18" t="s">
        <v>26</v>
      </c>
      <c r="F22" s="29">
        <v>0.51900000000000002</v>
      </c>
      <c r="G22" s="30" t="b">
        <v>1</v>
      </c>
      <c r="I22" s="52" t="s">
        <v>30</v>
      </c>
      <c r="J22" s="53">
        <v>42999</v>
      </c>
      <c r="K22" s="41">
        <f ca="1"/>
        <v>12.89</v>
      </c>
      <c r="L22" s="42">
        <f ca="1"/>
        <v>12.89</v>
      </c>
      <c r="M22" s="42">
        <f ca="1"/>
        <v>1.2043890000000002</v>
      </c>
      <c r="N22" s="43">
        <f ca="1"/>
        <v>1.2043890000000002</v>
      </c>
      <c r="P22" s="68">
        <v>43010</v>
      </c>
      <c r="Q22" s="65">
        <f ca="1"/>
        <v>19.953124999998462</v>
      </c>
      <c r="R22" s="65">
        <f ca="1"/>
        <v>19.953124999998462</v>
      </c>
      <c r="S22" s="66">
        <f ca="1"/>
        <v>1.2050953124999999</v>
      </c>
      <c r="T22" s="67">
        <f ca="1"/>
        <v>1.2050953124999999</v>
      </c>
    </row>
    <row r="23" spans="2:20" x14ac:dyDescent="0.25">
      <c r="E23" s="24" t="s">
        <v>27</v>
      </c>
      <c r="F23" s="31">
        <v>0.56799999999999995</v>
      </c>
      <c r="G23" s="32" t="b">
        <v>1</v>
      </c>
      <c r="I23" s="52" t="s">
        <v>31</v>
      </c>
      <c r="J23" s="53">
        <v>43007</v>
      </c>
      <c r="K23" s="41">
        <f ca="1"/>
        <v>17.93</v>
      </c>
      <c r="L23" s="42">
        <f ca="1"/>
        <v>17.93</v>
      </c>
      <c r="M23" s="42">
        <f ca="1"/>
        <v>1.204893</v>
      </c>
      <c r="N23" s="43">
        <f ca="1"/>
        <v>1.204893</v>
      </c>
      <c r="Q23" s="70" t="s">
        <v>67</v>
      </c>
    </row>
    <row r="24" spans="2:20" x14ac:dyDescent="0.25">
      <c r="E24" s="24" t="s">
        <v>28</v>
      </c>
      <c r="F24" s="25">
        <v>4.21</v>
      </c>
      <c r="G24" s="26" t="b">
        <v>1</v>
      </c>
      <c r="I24" s="52" t="s">
        <v>54</v>
      </c>
      <c r="J24" s="53">
        <v>43010</v>
      </c>
      <c r="K24" s="41">
        <f ca="1"/>
        <v>19.953124999998462</v>
      </c>
      <c r="L24" s="42">
        <f ca="1"/>
        <v>19.953124999998462</v>
      </c>
      <c r="M24" s="42">
        <f ca="1"/>
        <v>1.2050953124999999</v>
      </c>
      <c r="N24" s="43">
        <f ca="1"/>
        <v>1.2050953124999999</v>
      </c>
    </row>
    <row r="25" spans="2:20" x14ac:dyDescent="0.25">
      <c r="E25" s="24" t="s">
        <v>29</v>
      </c>
      <c r="F25" s="25">
        <v>8.49</v>
      </c>
      <c r="G25" s="26" t="b">
        <v>1</v>
      </c>
      <c r="I25" s="52" t="s">
        <v>32</v>
      </c>
      <c r="J25" s="53">
        <v>43039</v>
      </c>
      <c r="K25" s="41">
        <f ca="1"/>
        <v>39.51</v>
      </c>
      <c r="L25" s="42">
        <f ca="1"/>
        <v>39.51</v>
      </c>
      <c r="M25" s="42">
        <f ca="1"/>
        <v>1.2070510000000001</v>
      </c>
      <c r="N25" s="43">
        <f ca="1"/>
        <v>1.2070510000000001</v>
      </c>
    </row>
    <row r="26" spans="2:20" x14ac:dyDescent="0.25">
      <c r="E26" s="24" t="s">
        <v>30</v>
      </c>
      <c r="F26" s="25">
        <v>12.89</v>
      </c>
      <c r="G26" s="26" t="b">
        <v>1</v>
      </c>
      <c r="I26" s="52" t="s">
        <v>33</v>
      </c>
      <c r="J26" s="53">
        <v>43069</v>
      </c>
      <c r="K26" s="41">
        <f ca="1"/>
        <v>58.4</v>
      </c>
      <c r="L26" s="42">
        <f ca="1"/>
        <v>58.4</v>
      </c>
      <c r="M26" s="42">
        <f ca="1"/>
        <v>1.2089400000000001</v>
      </c>
      <c r="N26" s="43">
        <f ca="1"/>
        <v>1.2089400000000001</v>
      </c>
    </row>
    <row r="27" spans="2:20" x14ac:dyDescent="0.25">
      <c r="E27" s="24" t="s">
        <v>31</v>
      </c>
      <c r="F27" s="25">
        <v>17.93</v>
      </c>
      <c r="G27" s="26" t="b">
        <v>1</v>
      </c>
      <c r="I27" s="52" t="s">
        <v>34</v>
      </c>
      <c r="J27" s="53">
        <v>43098</v>
      </c>
      <c r="K27" s="41">
        <f ca="1"/>
        <v>77.099999999999994</v>
      </c>
      <c r="L27" s="42">
        <f ca="1"/>
        <v>77.099999999999994</v>
      </c>
      <c r="M27" s="42">
        <f ca="1"/>
        <v>1.2108100000000002</v>
      </c>
      <c r="N27" s="43">
        <f ca="1"/>
        <v>1.2108100000000002</v>
      </c>
    </row>
    <row r="28" spans="2:20" x14ac:dyDescent="0.25">
      <c r="E28" s="24" t="s">
        <v>32</v>
      </c>
      <c r="F28" s="25">
        <v>39.51</v>
      </c>
      <c r="G28" s="26" t="b">
        <v>1</v>
      </c>
      <c r="I28" s="52" t="s">
        <v>55</v>
      </c>
      <c r="J28" s="53">
        <v>43102</v>
      </c>
      <c r="K28" s="41">
        <f ca="1"/>
        <v>80.325454545455699</v>
      </c>
      <c r="L28" s="42">
        <f ca="1"/>
        <v>80.325454545455699</v>
      </c>
      <c r="M28" s="42">
        <f ca="1"/>
        <v>1.2111325454545456</v>
      </c>
      <c r="N28" s="43">
        <f ca="1"/>
        <v>1.2111325454545456</v>
      </c>
    </row>
    <row r="29" spans="2:20" x14ac:dyDescent="0.25">
      <c r="E29" s="24" t="s">
        <v>33</v>
      </c>
      <c r="F29" s="25">
        <v>58.4</v>
      </c>
      <c r="G29" s="26" t="b">
        <v>1</v>
      </c>
      <c r="I29" s="52" t="s">
        <v>35</v>
      </c>
      <c r="J29" s="53">
        <v>43131</v>
      </c>
      <c r="K29" s="41">
        <f ca="1"/>
        <v>103.71</v>
      </c>
      <c r="L29" s="42">
        <f ca="1"/>
        <v>103.71</v>
      </c>
      <c r="M29" s="42">
        <f ca="1"/>
        <v>1.213471</v>
      </c>
      <c r="N29" s="43">
        <f ca="1"/>
        <v>1.213471</v>
      </c>
    </row>
    <row r="30" spans="2:20" x14ac:dyDescent="0.25">
      <c r="E30" s="24" t="s">
        <v>34</v>
      </c>
      <c r="F30" s="25">
        <v>77.099999999999994</v>
      </c>
      <c r="G30" s="26" t="b">
        <v>1</v>
      </c>
      <c r="I30" s="52" t="s">
        <v>36</v>
      </c>
      <c r="J30" s="53">
        <v>43159</v>
      </c>
      <c r="K30" s="41">
        <f ca="1"/>
        <v>122.27</v>
      </c>
      <c r="L30" s="42">
        <f ca="1"/>
        <v>122.27</v>
      </c>
      <c r="M30" s="42">
        <f ca="1"/>
        <v>1.215327</v>
      </c>
      <c r="N30" s="43">
        <f ca="1"/>
        <v>1.215327</v>
      </c>
    </row>
    <row r="31" spans="2:20" x14ac:dyDescent="0.25">
      <c r="E31" s="24" t="s">
        <v>35</v>
      </c>
      <c r="F31" s="25">
        <v>103.71</v>
      </c>
      <c r="G31" s="26" t="b">
        <v>1</v>
      </c>
      <c r="I31" s="52" t="s">
        <v>56</v>
      </c>
      <c r="J31" s="53">
        <v>43188</v>
      </c>
      <c r="K31" s="41">
        <f ca="1"/>
        <v>142.52902173913063</v>
      </c>
      <c r="L31" s="42">
        <f ca="1"/>
        <v>142.52902173913063</v>
      </c>
      <c r="M31" s="42">
        <f ca="1"/>
        <v>1.2173529021739131</v>
      </c>
      <c r="N31" s="43">
        <f ca="1"/>
        <v>1.2173529021739131</v>
      </c>
    </row>
    <row r="32" spans="2:20" x14ac:dyDescent="0.25">
      <c r="E32" s="24" t="s">
        <v>36</v>
      </c>
      <c r="F32" s="25">
        <v>122.27</v>
      </c>
      <c r="G32" s="26" t="b">
        <v>1</v>
      </c>
      <c r="I32" s="52" t="s">
        <v>57</v>
      </c>
      <c r="J32" s="53">
        <v>43193</v>
      </c>
      <c r="K32" s="41">
        <f ca="1"/>
        <v>146.02195652173799</v>
      </c>
      <c r="L32" s="42">
        <f ca="1"/>
        <v>146.02195652173799</v>
      </c>
      <c r="M32" s="42">
        <f ca="1"/>
        <v>1.2177021956521739</v>
      </c>
      <c r="N32" s="43">
        <f ca="1"/>
        <v>1.2177021956521739</v>
      </c>
    </row>
    <row r="33" spans="5:14" x14ac:dyDescent="0.25">
      <c r="E33" s="24" t="s">
        <v>37</v>
      </c>
      <c r="F33" s="25">
        <v>186.54</v>
      </c>
      <c r="G33" s="26" t="b">
        <v>1</v>
      </c>
      <c r="I33" s="52" t="s">
        <v>37</v>
      </c>
      <c r="J33" s="53">
        <v>43251</v>
      </c>
      <c r="K33" s="41">
        <f ca="1"/>
        <v>186.54</v>
      </c>
      <c r="L33" s="42">
        <f ca="1"/>
        <v>186.54</v>
      </c>
      <c r="M33" s="42">
        <f ca="1"/>
        <v>1.221754</v>
      </c>
      <c r="N33" s="43">
        <f ca="1"/>
        <v>1.221754</v>
      </c>
    </row>
    <row r="34" spans="5:14" x14ac:dyDescent="0.25">
      <c r="E34" s="24" t="s">
        <v>38</v>
      </c>
      <c r="F34" s="25">
        <v>251.88</v>
      </c>
      <c r="G34" s="26" t="b">
        <v>1</v>
      </c>
      <c r="I34" s="52" t="s">
        <v>58</v>
      </c>
      <c r="J34" s="53">
        <v>43280</v>
      </c>
      <c r="K34" s="41">
        <f ca="1"/>
        <v>207.13630434782581</v>
      </c>
      <c r="L34" s="42">
        <f ca="1"/>
        <v>207.13630434782581</v>
      </c>
      <c r="M34" s="42">
        <f ca="1"/>
        <v>1.2238136304347826</v>
      </c>
      <c r="N34" s="43">
        <f ca="1"/>
        <v>1.2238136304347826</v>
      </c>
    </row>
    <row r="35" spans="5:14" x14ac:dyDescent="0.25">
      <c r="E35" s="24" t="s">
        <v>39</v>
      </c>
      <c r="F35" s="25">
        <v>316.02</v>
      </c>
      <c r="G35" s="26" t="b">
        <v>1</v>
      </c>
      <c r="I35" s="52" t="s">
        <v>59</v>
      </c>
      <c r="J35" s="53">
        <v>43283</v>
      </c>
      <c r="K35" s="41">
        <f ca="1"/>
        <v>209.26695652173865</v>
      </c>
      <c r="L35" s="42">
        <f ca="1"/>
        <v>209.26695652173865</v>
      </c>
      <c r="M35" s="42">
        <f ca="1"/>
        <v>1.2240266956521739</v>
      </c>
      <c r="N35" s="43">
        <f ca="1"/>
        <v>1.2240266956521739</v>
      </c>
    </row>
    <row r="36" spans="5:14" x14ac:dyDescent="0.25">
      <c r="E36" s="24" t="s">
        <v>40</v>
      </c>
      <c r="F36" s="25">
        <v>383.05</v>
      </c>
      <c r="G36" s="26" t="b">
        <v>1</v>
      </c>
      <c r="I36" s="52" t="s">
        <v>38</v>
      </c>
      <c r="J36" s="53">
        <v>43343</v>
      </c>
      <c r="K36" s="41">
        <f ca="1"/>
        <v>251.88</v>
      </c>
      <c r="L36" s="42">
        <f ca="1"/>
        <v>251.88</v>
      </c>
      <c r="M36" s="42">
        <f ca="1"/>
        <v>1.228288</v>
      </c>
      <c r="N36" s="43">
        <f ca="1"/>
        <v>1.228288</v>
      </c>
    </row>
    <row r="37" spans="5:14" x14ac:dyDescent="0.25">
      <c r="E37" s="24" t="s">
        <v>41</v>
      </c>
      <c r="F37" s="25">
        <v>516.25</v>
      </c>
      <c r="G37" s="26" t="b">
        <v>1</v>
      </c>
      <c r="I37" s="52" t="s">
        <v>39</v>
      </c>
      <c r="J37" s="53">
        <v>43434</v>
      </c>
      <c r="K37" s="41">
        <f ca="1"/>
        <v>316.02</v>
      </c>
      <c r="L37" s="42">
        <f ca="1"/>
        <v>316.02</v>
      </c>
      <c r="M37" s="42">
        <f ca="1"/>
        <v>1.234702</v>
      </c>
      <c r="N37" s="43">
        <f ca="1"/>
        <v>1.234702</v>
      </c>
    </row>
    <row r="38" spans="5:14" x14ac:dyDescent="0.25">
      <c r="E38" s="24" t="s">
        <v>42</v>
      </c>
      <c r="F38" s="25">
        <v>782</v>
      </c>
      <c r="G38" s="26" t="b">
        <v>1</v>
      </c>
      <c r="I38" s="52" t="s">
        <v>40</v>
      </c>
      <c r="J38" s="53">
        <v>43524</v>
      </c>
      <c r="K38" s="41">
        <f ca="1"/>
        <v>383.05</v>
      </c>
      <c r="L38" s="42">
        <f ca="1"/>
        <v>383.05</v>
      </c>
      <c r="M38" s="42">
        <f ca="1"/>
        <v>1.2414050000000001</v>
      </c>
      <c r="N38" s="43">
        <f ca="1"/>
        <v>1.2414050000000001</v>
      </c>
    </row>
    <row r="39" spans="5:14" x14ac:dyDescent="0.25">
      <c r="E39" s="24" t="s">
        <v>43</v>
      </c>
      <c r="F39" s="25">
        <v>1041.54</v>
      </c>
      <c r="G39" s="26" t="b">
        <v>1</v>
      </c>
      <c r="I39" s="52" t="s">
        <v>41</v>
      </c>
      <c r="J39" s="53">
        <v>43707</v>
      </c>
      <c r="K39" s="41">
        <f ca="1"/>
        <v>516.25</v>
      </c>
      <c r="L39" s="42">
        <f ca="1"/>
        <v>516.25</v>
      </c>
      <c r="M39" s="42">
        <f ca="1"/>
        <v>1.2547250000000001</v>
      </c>
      <c r="N39" s="43">
        <f ca="1"/>
        <v>1.2547250000000001</v>
      </c>
    </row>
    <row r="40" spans="5:14" x14ac:dyDescent="0.25">
      <c r="E40" s="24" t="s">
        <v>44</v>
      </c>
      <c r="F40" s="25">
        <v>1293.82</v>
      </c>
      <c r="G40" s="26" t="b">
        <v>1</v>
      </c>
      <c r="I40" s="52" t="s">
        <v>42</v>
      </c>
      <c r="J40" s="53">
        <v>44074</v>
      </c>
      <c r="K40" s="41">
        <f ca="1"/>
        <v>782</v>
      </c>
      <c r="L40" s="42">
        <f ca="1"/>
        <v>782</v>
      </c>
      <c r="M40" s="42">
        <f ca="1"/>
        <v>1.2813000000000001</v>
      </c>
      <c r="N40" s="43">
        <f ca="1"/>
        <v>1.2813000000000001</v>
      </c>
    </row>
    <row r="41" spans="5:14" x14ac:dyDescent="0.25">
      <c r="E41" s="24" t="s">
        <v>45</v>
      </c>
      <c r="F41" s="25">
        <v>1526.5</v>
      </c>
      <c r="G41" s="26" t="b">
        <v>1</v>
      </c>
      <c r="I41" s="52" t="s">
        <v>43</v>
      </c>
      <c r="J41" s="53">
        <v>44439</v>
      </c>
      <c r="K41" s="41">
        <f ca="1"/>
        <v>1041.54</v>
      </c>
      <c r="L41" s="42">
        <f ca="1"/>
        <v>1041.54</v>
      </c>
      <c r="M41" s="42">
        <f ca="1"/>
        <v>1.3072540000000001</v>
      </c>
      <c r="N41" s="43">
        <f ca="1"/>
        <v>1.3072540000000001</v>
      </c>
    </row>
    <row r="42" spans="5:14" x14ac:dyDescent="0.25">
      <c r="E42" s="24" t="s">
        <v>46</v>
      </c>
      <c r="F42" s="25">
        <v>1741.98</v>
      </c>
      <c r="G42" s="26" t="b">
        <v>1</v>
      </c>
      <c r="I42" s="52" t="s">
        <v>44</v>
      </c>
      <c r="J42" s="53">
        <v>44804</v>
      </c>
      <c r="K42" s="41">
        <f ca="1"/>
        <v>1293.82</v>
      </c>
      <c r="L42" s="42">
        <f ca="1"/>
        <v>1293.82</v>
      </c>
      <c r="M42" s="42">
        <f ca="1"/>
        <v>1.3324820000000002</v>
      </c>
      <c r="N42" s="43">
        <f ca="1"/>
        <v>1.3324820000000002</v>
      </c>
    </row>
    <row r="43" spans="5:14" x14ac:dyDescent="0.25">
      <c r="E43" s="24" t="s">
        <v>47</v>
      </c>
      <c r="F43" s="25">
        <v>1937.81</v>
      </c>
      <c r="G43" s="26" t="b">
        <v>1</v>
      </c>
      <c r="I43" s="52" t="s">
        <v>45</v>
      </c>
      <c r="J43" s="53">
        <v>45169</v>
      </c>
      <c r="K43" s="41">
        <f ca="1"/>
        <v>1526.5</v>
      </c>
      <c r="L43" s="42">
        <f ca="1"/>
        <v>1526.5</v>
      </c>
      <c r="M43" s="42">
        <f ca="1"/>
        <v>1.35575</v>
      </c>
      <c r="N43" s="43">
        <f ca="1"/>
        <v>1.35575</v>
      </c>
    </row>
    <row r="44" spans="5:14" x14ac:dyDescent="0.25">
      <c r="E44" s="24" t="s">
        <v>48</v>
      </c>
      <c r="F44" s="25">
        <v>2111.69</v>
      </c>
      <c r="G44" s="26" t="b">
        <v>1</v>
      </c>
      <c r="I44" s="52" t="s">
        <v>46</v>
      </c>
      <c r="J44" s="53">
        <v>45534</v>
      </c>
      <c r="K44" s="41">
        <f ca="1"/>
        <v>1741.98</v>
      </c>
      <c r="L44" s="42">
        <f ca="1"/>
        <v>1741.98</v>
      </c>
      <c r="M44" s="42">
        <f ca="1"/>
        <v>1.3772980000000001</v>
      </c>
      <c r="N44" s="43">
        <f ca="1"/>
        <v>1.3772980000000001</v>
      </c>
    </row>
    <row r="45" spans="5:14" x14ac:dyDescent="0.25">
      <c r="E45" s="24" t="s">
        <v>49</v>
      </c>
      <c r="F45" s="25">
        <v>2267.83</v>
      </c>
      <c r="G45" s="26" t="b">
        <v>1</v>
      </c>
      <c r="I45" s="52" t="s">
        <v>47</v>
      </c>
      <c r="J45" s="53">
        <v>45898</v>
      </c>
      <c r="K45" s="41">
        <f ca="1"/>
        <v>1937.81</v>
      </c>
      <c r="L45" s="42">
        <f ca="1"/>
        <v>1937.81</v>
      </c>
      <c r="M45" s="42">
        <f ca="1"/>
        <v>1.396881</v>
      </c>
      <c r="N45" s="43">
        <f ca="1"/>
        <v>1.396881</v>
      </c>
    </row>
    <row r="46" spans="5:14" x14ac:dyDescent="0.25">
      <c r="E46" s="24"/>
      <c r="F46" s="25"/>
      <c r="G46" s="26"/>
      <c r="I46" s="52" t="s">
        <v>48</v>
      </c>
      <c r="J46" s="53">
        <v>46265</v>
      </c>
      <c r="K46" s="41">
        <f ca="1"/>
        <v>2111.69</v>
      </c>
      <c r="L46" s="42">
        <f ca="1"/>
        <v>2111.69</v>
      </c>
      <c r="M46" s="42">
        <f ca="1"/>
        <v>1.414269</v>
      </c>
      <c r="N46" s="43">
        <f ca="1"/>
        <v>1.414269</v>
      </c>
    </row>
    <row r="47" spans="5:14" x14ac:dyDescent="0.25">
      <c r="E47" s="20"/>
      <c r="F47" s="27"/>
      <c r="G47" s="28"/>
      <c r="I47" s="56" t="s">
        <v>49</v>
      </c>
      <c r="J47" s="57">
        <v>46630</v>
      </c>
      <c r="K47" s="47">
        <f ca="1"/>
        <v>2267.83</v>
      </c>
      <c r="L47" s="48">
        <f ca="1"/>
        <v>2267.83</v>
      </c>
      <c r="M47" s="48">
        <f ca="1"/>
        <v>1.429883</v>
      </c>
      <c r="N47" s="49">
        <f ca="1"/>
        <v>1.429883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3:U47"/>
  <sheetViews>
    <sheetView showGridLines="0" workbookViewId="0"/>
  </sheetViews>
  <sheetFormatPr defaultRowHeight="15" x14ac:dyDescent="0.25"/>
  <cols>
    <col min="2" max="2" width="17.85546875" bestFit="1" customWidth="1"/>
    <col min="3" max="3" width="21.5703125" bestFit="1" customWidth="1"/>
    <col min="5" max="6" width="14.7109375" customWidth="1"/>
    <col min="10" max="10" width="15.7109375" customWidth="1"/>
    <col min="11" max="14" width="12.7109375" customWidth="1"/>
    <col min="16" max="21" width="15.7109375" customWidth="1"/>
  </cols>
  <sheetData>
    <row r="3" spans="2:21" x14ac:dyDescent="0.25">
      <c r="B3" s="6" t="s">
        <v>78</v>
      </c>
      <c r="E3" s="6" t="s">
        <v>79</v>
      </c>
      <c r="I3" s="6" t="s">
        <v>80</v>
      </c>
    </row>
    <row r="4" spans="2:21" x14ac:dyDescent="0.25">
      <c r="B4" s="61" t="str">
        <f>_xll.meLWOCurveGeneratorCreate($B$3&amp;"_"&amp;$C$8,B7,B8:C11,B14,B15:C20)</f>
        <v>#Error: Key ISOUTRIGHT is not an expected key in the FXFWDS Label Value Block</v>
      </c>
      <c r="C4" s="62"/>
      <c r="E4" s="61" t="str">
        <f>_xll.meLWOCurveMarketDataCreate($E$3&amp;"_"&amp;$F$8,E7,E8:F11,E14,E15:F16,E19,E21:G44)</f>
        <v>#Error: Invalid Curve Market Data: FXFWDS 'Use' parameter in row 1 and column 3 is set to '0.58099999999999996' but should be 'TRUE', 'FALSE' or blank</v>
      </c>
      <c r="F4" s="63"/>
      <c r="G4" s="62"/>
      <c r="I4" s="61" t="str">
        <f ca="1">_xll.meLWOFXCurveCreate($I$3&amp;"_"&amp;$C$8,B4,E4)</f>
        <v>#Error: CurveMarketData #ERROR: INVALID CURVE MARKET DATA does not exist</v>
      </c>
      <c r="J4" s="63"/>
      <c r="K4" s="62"/>
    </row>
    <row r="7" spans="2:21" x14ac:dyDescent="0.25">
      <c r="B7" s="1" t="s">
        <v>0</v>
      </c>
      <c r="C7" s="33" t="s">
        <v>64</v>
      </c>
      <c r="E7" s="1" t="s">
        <v>19</v>
      </c>
      <c r="I7" t="s">
        <v>66</v>
      </c>
      <c r="M7" s="60"/>
    </row>
    <row r="8" spans="2:21" x14ac:dyDescent="0.25">
      <c r="B8" s="2" t="s">
        <v>2</v>
      </c>
      <c r="C8" s="2" t="s">
        <v>1</v>
      </c>
      <c r="E8" s="7" t="s">
        <v>2</v>
      </c>
      <c r="F8" s="10" t="s">
        <v>1</v>
      </c>
      <c r="I8" s="14" t="s">
        <v>61</v>
      </c>
      <c r="J8" s="15"/>
      <c r="K8" s="58" t="s">
        <v>62</v>
      </c>
    </row>
    <row r="9" spans="2:21" x14ac:dyDescent="0.25">
      <c r="B9" s="3" t="s">
        <v>3</v>
      </c>
      <c r="C9" s="3" t="s">
        <v>4</v>
      </c>
      <c r="E9" s="8" t="s">
        <v>5</v>
      </c>
      <c r="F9" s="11" t="s">
        <v>6</v>
      </c>
      <c r="I9" s="16" t="s">
        <v>60</v>
      </c>
      <c r="J9" s="17"/>
      <c r="K9" s="59" t="s">
        <v>63</v>
      </c>
    </row>
    <row r="10" spans="2:21" x14ac:dyDescent="0.25">
      <c r="B10" s="3" t="s">
        <v>5</v>
      </c>
      <c r="C10" s="3" t="s">
        <v>6</v>
      </c>
      <c r="E10" s="8" t="s">
        <v>20</v>
      </c>
      <c r="F10" s="13">
        <v>42976</v>
      </c>
    </row>
    <row r="11" spans="2:21" x14ac:dyDescent="0.25">
      <c r="B11" s="4" t="s">
        <v>7</v>
      </c>
      <c r="C11" s="4" t="s">
        <v>8</v>
      </c>
      <c r="E11" s="9" t="s">
        <v>21</v>
      </c>
      <c r="F11" s="12">
        <v>1E-4</v>
      </c>
    </row>
    <row r="14" spans="2:21" x14ac:dyDescent="0.25">
      <c r="B14" s="1" t="s">
        <v>9</v>
      </c>
      <c r="E14" s="1" t="s">
        <v>22</v>
      </c>
      <c r="I14" s="1" t="s">
        <v>65</v>
      </c>
      <c r="P14" s="1" t="s">
        <v>74</v>
      </c>
    </row>
    <row r="15" spans="2:21" x14ac:dyDescent="0.25">
      <c r="B15" s="7" t="s">
        <v>10</v>
      </c>
      <c r="C15" s="10" t="s">
        <v>11</v>
      </c>
      <c r="E15" s="18" t="s">
        <v>23</v>
      </c>
      <c r="F15" s="19" t="s">
        <v>24</v>
      </c>
      <c r="I15" s="36" t="s">
        <v>50</v>
      </c>
      <c r="J15" s="37" t="s">
        <v>51</v>
      </c>
      <c r="K15" s="37" t="str">
        <f t="array" aca="1" ref="K15:N47" ca="1">_xll.meLWOFXForwardsFromDiscountCurves($I$4,$J$16:$J$47,$K$8,$K$9,TRUE)</f>
        <v>#Error: FXCurve #ERROR: CURVEMARKETDATA #ERROR does not exist</v>
      </c>
      <c r="L15" s="37" t="str">
        <f ca="1"/>
        <v>#Error: FXCurve #ERROR: CURVEMARKETDATA #ERROR does not exist</v>
      </c>
      <c r="M15" s="37" t="str">
        <f ca="1"/>
        <v>#Error: FXCurve #ERROR: CURVEMARKETDATA #ERROR does not exist</v>
      </c>
      <c r="N15" s="37" t="str">
        <f ca="1"/>
        <v>#Error: FXCurve #ERROR: CURVEMARKETDATA #ERROR does not exist</v>
      </c>
      <c r="P15" s="23" t="s">
        <v>68</v>
      </c>
      <c r="Q15" s="23" t="s">
        <v>76</v>
      </c>
      <c r="R15" s="23" t="str">
        <f t="array" aca="1" ref="R15:U16" ca="1">_xll.meLWOFXSwap($I$4,P16,Q16,TRUE,TRUE)</f>
        <v>#Error: FXCurve #ERROR: CURVEMARKETDATA #ERROR does not exist</v>
      </c>
      <c r="S15" s="23" t="str">
        <f ca="1"/>
        <v>#Error: FXCurve #ERROR: CURVEMARKETDATA #ERROR does not exist</v>
      </c>
      <c r="T15" s="23" t="str">
        <f ca="1"/>
        <v>#Error: FXCurve #ERROR: CURVEMARKETDATA #ERROR does not exist</v>
      </c>
      <c r="U15" s="23" t="str">
        <f ca="1"/>
        <v>#Error: FXCurve #ERROR: CURVEMARKETDATA #ERROR does not exist</v>
      </c>
    </row>
    <row r="16" spans="2:21" x14ac:dyDescent="0.25">
      <c r="B16" s="8" t="s">
        <v>12</v>
      </c>
      <c r="C16" s="11" t="s">
        <v>13</v>
      </c>
      <c r="E16" s="34">
        <v>1.2030000000000001</v>
      </c>
      <c r="F16" s="35">
        <v>1.2031000000000001</v>
      </c>
      <c r="I16" s="50" t="s">
        <v>26</v>
      </c>
      <c r="J16" s="51">
        <v>42977</v>
      </c>
      <c r="K16" s="38" t="str">
        <f ca="1"/>
        <v>#Error: FXCurve #ERROR: CURVEMARKETDATA #ERROR does not exist</v>
      </c>
      <c r="L16" s="39" t="str">
        <f ca="1"/>
        <v>#Error: FXCurve #ERROR: CURVEMARKETDATA #ERROR does not exist</v>
      </c>
      <c r="M16" s="39" t="str">
        <f ca="1"/>
        <v>#Error: FXCurve #ERROR: CURVEMARKETDATA #ERROR does not exist</v>
      </c>
      <c r="N16" s="40" t="str">
        <f ca="1"/>
        <v>#Error: FXCurve #ERROR: CURVEMARKETDATA #ERROR does not exist</v>
      </c>
      <c r="P16" s="68">
        <v>43010</v>
      </c>
      <c r="Q16" s="69">
        <v>44804</v>
      </c>
      <c r="R16" s="65" t="str">
        <f ca="1"/>
        <v>#Error: FXCurve #ERROR: CURVEMARKETDATA #ERROR does not exist</v>
      </c>
      <c r="S16" s="65" t="str">
        <f ca="1"/>
        <v>#Error: FXCurve #ERROR: CURVEMARKETDATA #ERROR does not exist</v>
      </c>
      <c r="T16" s="66" t="str">
        <f ca="1"/>
        <v>#Error: FXCurve #ERROR: CURVEMARKETDATA #ERROR does not exist</v>
      </c>
      <c r="U16" s="67" t="str">
        <f ca="1"/>
        <v>#Error: FXCurve #ERROR: CURVEMARKETDATA #ERROR does not exist</v>
      </c>
    </row>
    <row r="17" spans="2:20" x14ac:dyDescent="0.25">
      <c r="B17" s="8" t="s">
        <v>14</v>
      </c>
      <c r="C17" s="11" t="s">
        <v>15</v>
      </c>
      <c r="I17" s="52" t="s">
        <v>27</v>
      </c>
      <c r="J17" s="53">
        <v>42978</v>
      </c>
      <c r="K17" s="41" t="str">
        <f ca="1"/>
        <v>#Error: FXCurve #ERROR: CURVEMARKETDATA #ERROR does not exist</v>
      </c>
      <c r="L17" s="42" t="str">
        <f ca="1"/>
        <v>#Error: FXCurve #ERROR: CURVEMARKETDATA #ERROR does not exist</v>
      </c>
      <c r="M17" s="42" t="str">
        <f ca="1"/>
        <v>#Error: FXCurve #ERROR: CURVEMARKETDATA #ERROR does not exist</v>
      </c>
      <c r="N17" s="43" t="str">
        <f ca="1"/>
        <v>#Error: FXCurve #ERROR: CURVEMARKETDATA #ERROR does not exist</v>
      </c>
      <c r="R17" s="70" t="s">
        <v>69</v>
      </c>
    </row>
    <row r="18" spans="2:20" x14ac:dyDescent="0.25">
      <c r="B18" s="8" t="s">
        <v>16</v>
      </c>
      <c r="C18" s="11"/>
      <c r="I18" s="54" t="s">
        <v>52</v>
      </c>
      <c r="J18" s="55">
        <v>42978</v>
      </c>
      <c r="K18" s="44" t="str">
        <f ca="1"/>
        <v>#Error: FXCurve #ERROR: CURVEMARKETDATA #ERROR does not exist</v>
      </c>
      <c r="L18" s="45" t="str">
        <f ca="1"/>
        <v>#Error: FXCurve #ERROR: CURVEMARKETDATA #ERROR does not exist</v>
      </c>
      <c r="M18" s="45" t="str">
        <f ca="1"/>
        <v>#Error: FXCurve #ERROR: CURVEMARKETDATA #ERROR does not exist</v>
      </c>
      <c r="N18" s="46" t="str">
        <f ca="1"/>
        <v>#Error: FXCurve #ERROR: CURVEMARKETDATA #ERROR does not exist</v>
      </c>
    </row>
    <row r="19" spans="2:20" x14ac:dyDescent="0.25">
      <c r="B19" s="8" t="s">
        <v>17</v>
      </c>
      <c r="C19" s="11"/>
      <c r="E19" s="1" t="s">
        <v>9</v>
      </c>
      <c r="I19" s="52" t="s">
        <v>53</v>
      </c>
      <c r="J19" s="53">
        <v>42979</v>
      </c>
      <c r="K19" s="41" t="str">
        <f ca="1"/>
        <v>#Error: FXCurve #ERROR: CURVEMARKETDATA #ERROR does not exist</v>
      </c>
      <c r="L19" s="42" t="str">
        <f ca="1"/>
        <v>#Error: FXCurve #ERROR: CURVEMARKETDATA #ERROR does not exist</v>
      </c>
      <c r="M19" s="42" t="str">
        <f ca="1"/>
        <v>#Error: FXCurve #ERROR: CURVEMARKETDATA #ERROR does not exist</v>
      </c>
      <c r="N19" s="43" t="str">
        <f ca="1"/>
        <v>#Error: FXCurve #ERROR: CURVEMARKETDATA #ERROR does not exist</v>
      </c>
    </row>
    <row r="20" spans="2:20" x14ac:dyDescent="0.25">
      <c r="B20" s="9" t="s">
        <v>18</v>
      </c>
      <c r="C20" s="12" t="b">
        <v>0</v>
      </c>
      <c r="E20" s="23" t="s">
        <v>25</v>
      </c>
      <c r="F20" s="23" t="s">
        <v>23</v>
      </c>
      <c r="G20" s="23" t="s">
        <v>24</v>
      </c>
      <c r="I20" s="52" t="s">
        <v>28</v>
      </c>
      <c r="J20" s="53">
        <v>42985</v>
      </c>
      <c r="K20" s="41" t="str">
        <f ca="1"/>
        <v>#Error: FXCurve #ERROR: CURVEMARKETDATA #ERROR does not exist</v>
      </c>
      <c r="L20" s="42" t="str">
        <f ca="1"/>
        <v>#Error: FXCurve #ERROR: CURVEMARKETDATA #ERROR does not exist</v>
      </c>
      <c r="M20" s="42" t="str">
        <f ca="1"/>
        <v>#Error: FXCurve #ERROR: CURVEMARKETDATA #ERROR does not exist</v>
      </c>
      <c r="N20" s="43" t="str">
        <f ca="1"/>
        <v>#Error: FXCurve #ERROR: CURVEMARKETDATA #ERROR does not exist</v>
      </c>
      <c r="P20" s="1" t="s">
        <v>77</v>
      </c>
    </row>
    <row r="21" spans="2:20" x14ac:dyDescent="0.25">
      <c r="E21" s="18" t="s">
        <v>26</v>
      </c>
      <c r="F21" s="29">
        <v>0.51900000000000002</v>
      </c>
      <c r="G21" s="30">
        <v>0.58099999999999996</v>
      </c>
      <c r="I21" s="52" t="s">
        <v>29</v>
      </c>
      <c r="J21" s="53">
        <v>42992</v>
      </c>
      <c r="K21" s="41" t="str">
        <f ca="1"/>
        <v>#Error: FXCurve #ERROR: CURVEMARKETDATA #ERROR does not exist</v>
      </c>
      <c r="L21" s="42" t="str">
        <f ca="1"/>
        <v>#Error: FXCurve #ERROR: CURVEMARKETDATA #ERROR does not exist</v>
      </c>
      <c r="M21" s="42" t="str">
        <f ca="1"/>
        <v>#Error: FXCurve #ERROR: CURVEMARKETDATA #ERROR does not exist</v>
      </c>
      <c r="N21" s="43" t="str">
        <f ca="1"/>
        <v>#Error: FXCurve #ERROR: CURVEMARKETDATA #ERROR does not exist</v>
      </c>
      <c r="P21" s="37" t="s">
        <v>75</v>
      </c>
      <c r="Q21" s="23" t="str">
        <f t="array" aca="1" ref="Q21:T22" ca="1">_xll.meLWOFXForwards($I$4,P22,TRUE)</f>
        <v>#Error: FXCurve #ERROR: CURVEMARKETDATA #ERROR does not exist</v>
      </c>
      <c r="R21" s="23" t="str">
        <f ca="1"/>
        <v>#Error: FXCurve #ERROR: CURVEMARKETDATA #ERROR does not exist</v>
      </c>
      <c r="S21" s="23" t="str">
        <f ca="1"/>
        <v>#Error: FXCurve #ERROR: CURVEMARKETDATA #ERROR does not exist</v>
      </c>
      <c r="T21" s="23" t="str">
        <f ca="1"/>
        <v>#Error: FXCurve #ERROR: CURVEMARKETDATA #ERROR does not exist</v>
      </c>
    </row>
    <row r="22" spans="2:20" x14ac:dyDescent="0.25">
      <c r="E22" s="24" t="s">
        <v>27</v>
      </c>
      <c r="F22" s="31">
        <v>0.56799999999999995</v>
      </c>
      <c r="G22" s="32">
        <v>0.58899999999999997</v>
      </c>
      <c r="I22" s="52" t="s">
        <v>30</v>
      </c>
      <c r="J22" s="53">
        <v>42999</v>
      </c>
      <c r="K22" s="41" t="str">
        <f ca="1"/>
        <v>#Error: FXCurve #ERROR: CURVEMARKETDATA #ERROR does not exist</v>
      </c>
      <c r="L22" s="42" t="str">
        <f ca="1"/>
        <v>#Error: FXCurve #ERROR: CURVEMARKETDATA #ERROR does not exist</v>
      </c>
      <c r="M22" s="42" t="str">
        <f ca="1"/>
        <v>#Error: FXCurve #ERROR: CURVEMARKETDATA #ERROR does not exist</v>
      </c>
      <c r="N22" s="43" t="str">
        <f ca="1"/>
        <v>#Error: FXCurve #ERROR: CURVEMARKETDATA #ERROR does not exist</v>
      </c>
      <c r="P22" s="68">
        <v>43010</v>
      </c>
      <c r="Q22" s="65" t="str">
        <f ca="1"/>
        <v>#Error: FXCurve #ERROR: CURVEMARKETDATA #ERROR does not exist</v>
      </c>
      <c r="R22" s="65" t="str">
        <f ca="1"/>
        <v>#Error: FXCurve #ERROR: CURVEMARKETDATA #ERROR does not exist</v>
      </c>
      <c r="S22" s="66" t="str">
        <f ca="1"/>
        <v>#Error: FXCurve #ERROR: CURVEMARKETDATA #ERROR does not exist</v>
      </c>
      <c r="T22" s="67" t="str">
        <f ca="1"/>
        <v>#Error: FXCurve #ERROR: CURVEMARKETDATA #ERROR does not exist</v>
      </c>
    </row>
    <row r="23" spans="2:20" x14ac:dyDescent="0.25">
      <c r="E23" s="24" t="s">
        <v>28</v>
      </c>
      <c r="F23" s="25">
        <v>4.21</v>
      </c>
      <c r="G23" s="26">
        <v>4.3</v>
      </c>
      <c r="I23" s="52" t="s">
        <v>31</v>
      </c>
      <c r="J23" s="53">
        <v>43007</v>
      </c>
      <c r="K23" s="41" t="str">
        <f ca="1"/>
        <v>#Error: FXCurve #ERROR: CURVEMARKETDATA #ERROR does not exist</v>
      </c>
      <c r="L23" s="42" t="str">
        <f ca="1"/>
        <v>#Error: FXCurve #ERROR: CURVEMARKETDATA #ERROR does not exist</v>
      </c>
      <c r="M23" s="42" t="str">
        <f ca="1"/>
        <v>#Error: FXCurve #ERROR: CURVEMARKETDATA #ERROR does not exist</v>
      </c>
      <c r="N23" s="43" t="str">
        <f ca="1"/>
        <v>#Error: FXCurve #ERROR: CURVEMARKETDATA #ERROR does not exist</v>
      </c>
      <c r="Q23" s="70" t="s">
        <v>67</v>
      </c>
    </row>
    <row r="24" spans="2:20" x14ac:dyDescent="0.25">
      <c r="E24" s="24" t="s">
        <v>29</v>
      </c>
      <c r="F24" s="25">
        <v>8.49</v>
      </c>
      <c r="G24" s="26">
        <v>8.61</v>
      </c>
      <c r="I24" s="52" t="s">
        <v>54</v>
      </c>
      <c r="J24" s="53">
        <v>43010</v>
      </c>
      <c r="K24" s="41" t="str">
        <f ca="1"/>
        <v>#Error: FXCurve #ERROR: CURVEMARKETDATA #ERROR does not exist</v>
      </c>
      <c r="L24" s="42" t="str">
        <f ca="1"/>
        <v>#Error: FXCurve #ERROR: CURVEMARKETDATA #ERROR does not exist</v>
      </c>
      <c r="M24" s="42" t="str">
        <f ca="1"/>
        <v>#Error: FXCurve #ERROR: CURVEMARKETDATA #ERROR does not exist</v>
      </c>
      <c r="N24" s="43" t="str">
        <f ca="1"/>
        <v>#Error: FXCurve #ERROR: CURVEMARKETDATA #ERROR does not exist</v>
      </c>
    </row>
    <row r="25" spans="2:20" x14ac:dyDescent="0.25">
      <c r="E25" s="24" t="s">
        <v>30</v>
      </c>
      <c r="F25" s="25">
        <v>12.89</v>
      </c>
      <c r="G25" s="26">
        <v>13.03</v>
      </c>
      <c r="I25" s="52" t="s">
        <v>32</v>
      </c>
      <c r="J25" s="53">
        <v>43039</v>
      </c>
      <c r="K25" s="41" t="str">
        <f ca="1"/>
        <v>#Error: FXCurve #ERROR: CURVEMARKETDATA #ERROR does not exist</v>
      </c>
      <c r="L25" s="42" t="str">
        <f ca="1"/>
        <v>#Error: FXCurve #ERROR: CURVEMARKETDATA #ERROR does not exist</v>
      </c>
      <c r="M25" s="42" t="str">
        <f ca="1"/>
        <v>#Error: FXCurve #ERROR: CURVEMARKETDATA #ERROR does not exist</v>
      </c>
      <c r="N25" s="43" t="str">
        <f ca="1"/>
        <v>#Error: FXCurve #ERROR: CURVEMARKETDATA #ERROR does not exist</v>
      </c>
    </row>
    <row r="26" spans="2:20" x14ac:dyDescent="0.25">
      <c r="E26" s="24" t="s">
        <v>31</v>
      </c>
      <c r="F26" s="25">
        <v>17.93</v>
      </c>
      <c r="G26" s="26">
        <v>18.079999999999998</v>
      </c>
      <c r="I26" s="52" t="s">
        <v>33</v>
      </c>
      <c r="J26" s="53">
        <v>43069</v>
      </c>
      <c r="K26" s="41" t="str">
        <f ca="1"/>
        <v>#Error: FXCurve #ERROR: CURVEMARKETDATA #ERROR does not exist</v>
      </c>
      <c r="L26" s="42" t="str">
        <f ca="1"/>
        <v>#Error: FXCurve #ERROR: CURVEMARKETDATA #ERROR does not exist</v>
      </c>
      <c r="M26" s="42" t="str">
        <f ca="1"/>
        <v>#Error: FXCurve #ERROR: CURVEMARKETDATA #ERROR does not exist</v>
      </c>
      <c r="N26" s="43" t="str">
        <f ca="1"/>
        <v>#Error: FXCurve #ERROR: CURVEMARKETDATA #ERROR does not exist</v>
      </c>
    </row>
    <row r="27" spans="2:20" x14ac:dyDescent="0.25">
      <c r="E27" s="24" t="s">
        <v>32</v>
      </c>
      <c r="F27" s="25">
        <v>39.51</v>
      </c>
      <c r="G27" s="26">
        <v>39.71</v>
      </c>
      <c r="I27" s="52" t="s">
        <v>34</v>
      </c>
      <c r="J27" s="53">
        <v>43098</v>
      </c>
      <c r="K27" s="41" t="str">
        <f ca="1"/>
        <v>#Error: FXCurve #ERROR: CURVEMARKETDATA #ERROR does not exist</v>
      </c>
      <c r="L27" s="42" t="str">
        <f ca="1"/>
        <v>#Error: FXCurve #ERROR: CURVEMARKETDATA #ERROR does not exist</v>
      </c>
      <c r="M27" s="42" t="str">
        <f ca="1"/>
        <v>#Error: FXCurve #ERROR: CURVEMARKETDATA #ERROR does not exist</v>
      </c>
      <c r="N27" s="43" t="str">
        <f ca="1"/>
        <v>#Error: FXCurve #ERROR: CURVEMARKETDATA #ERROR does not exist</v>
      </c>
    </row>
    <row r="28" spans="2:20" x14ac:dyDescent="0.25">
      <c r="E28" s="24" t="s">
        <v>33</v>
      </c>
      <c r="F28" s="25">
        <v>58.4</v>
      </c>
      <c r="G28" s="26">
        <v>58.68</v>
      </c>
      <c r="I28" s="52" t="s">
        <v>55</v>
      </c>
      <c r="J28" s="53">
        <v>43102</v>
      </c>
      <c r="K28" s="41" t="str">
        <f ca="1"/>
        <v>#Error: FXCurve #ERROR: CURVEMARKETDATA #ERROR does not exist</v>
      </c>
      <c r="L28" s="42" t="str">
        <f ca="1"/>
        <v>#Error: FXCurve #ERROR: CURVEMARKETDATA #ERROR does not exist</v>
      </c>
      <c r="M28" s="42" t="str">
        <f ca="1"/>
        <v>#Error: FXCurve #ERROR: CURVEMARKETDATA #ERROR does not exist</v>
      </c>
      <c r="N28" s="43" t="str">
        <f ca="1"/>
        <v>#Error: FXCurve #ERROR: CURVEMARKETDATA #ERROR does not exist</v>
      </c>
    </row>
    <row r="29" spans="2:20" x14ac:dyDescent="0.25">
      <c r="E29" s="24" t="s">
        <v>34</v>
      </c>
      <c r="F29" s="25">
        <v>77.099999999999994</v>
      </c>
      <c r="G29" s="26">
        <v>77.66</v>
      </c>
      <c r="I29" s="52" t="s">
        <v>35</v>
      </c>
      <c r="J29" s="53">
        <v>43131</v>
      </c>
      <c r="K29" s="41" t="str">
        <f ca="1"/>
        <v>#Error: FXCurve #ERROR: CURVEMARKETDATA #ERROR does not exist</v>
      </c>
      <c r="L29" s="42" t="str">
        <f ca="1"/>
        <v>#Error: FXCurve #ERROR: CURVEMARKETDATA #ERROR does not exist</v>
      </c>
      <c r="M29" s="42" t="str">
        <f ca="1"/>
        <v>#Error: FXCurve #ERROR: CURVEMARKETDATA #ERROR does not exist</v>
      </c>
      <c r="N29" s="43" t="str">
        <f ca="1"/>
        <v>#Error: FXCurve #ERROR: CURVEMARKETDATA #ERROR does not exist</v>
      </c>
    </row>
    <row r="30" spans="2:20" x14ac:dyDescent="0.25">
      <c r="E30" s="24" t="s">
        <v>35</v>
      </c>
      <c r="F30" s="25">
        <v>103.71</v>
      </c>
      <c r="G30" s="26">
        <v>104.21</v>
      </c>
      <c r="I30" s="52" t="s">
        <v>36</v>
      </c>
      <c r="J30" s="53">
        <v>43159</v>
      </c>
      <c r="K30" s="41" t="str">
        <f ca="1"/>
        <v>#Error: FXCurve #ERROR: CURVEMARKETDATA #ERROR does not exist</v>
      </c>
      <c r="L30" s="42" t="str">
        <f ca="1"/>
        <v>#Error: FXCurve #ERROR: CURVEMARKETDATA #ERROR does not exist</v>
      </c>
      <c r="M30" s="42" t="str">
        <f ca="1"/>
        <v>#Error: FXCurve #ERROR: CURVEMARKETDATA #ERROR does not exist</v>
      </c>
      <c r="N30" s="43" t="str">
        <f ca="1"/>
        <v>#Error: FXCurve #ERROR: CURVEMARKETDATA #ERROR does not exist</v>
      </c>
    </row>
    <row r="31" spans="2:20" x14ac:dyDescent="0.25">
      <c r="E31" s="24" t="s">
        <v>36</v>
      </c>
      <c r="F31" s="25">
        <v>122.27</v>
      </c>
      <c r="G31" s="26">
        <v>122.93</v>
      </c>
      <c r="I31" s="52" t="s">
        <v>56</v>
      </c>
      <c r="J31" s="53">
        <v>43188</v>
      </c>
      <c r="K31" s="41" t="str">
        <f ca="1"/>
        <v>#Error: FXCurve #ERROR: CURVEMARKETDATA #ERROR does not exist</v>
      </c>
      <c r="L31" s="42" t="str">
        <f ca="1"/>
        <v>#Error: FXCurve #ERROR: CURVEMARKETDATA #ERROR does not exist</v>
      </c>
      <c r="M31" s="42" t="str">
        <f ca="1"/>
        <v>#Error: FXCurve #ERROR: CURVEMARKETDATA #ERROR does not exist</v>
      </c>
      <c r="N31" s="43" t="str">
        <f ca="1"/>
        <v>#Error: FXCurve #ERROR: CURVEMARKETDATA #ERROR does not exist</v>
      </c>
    </row>
    <row r="32" spans="2:20" x14ac:dyDescent="0.25">
      <c r="E32" s="24" t="s">
        <v>37</v>
      </c>
      <c r="F32" s="25">
        <v>186.54</v>
      </c>
      <c r="G32" s="26">
        <v>187.66</v>
      </c>
      <c r="I32" s="52" t="s">
        <v>57</v>
      </c>
      <c r="J32" s="53">
        <v>43193</v>
      </c>
      <c r="K32" s="41" t="str">
        <f ca="1"/>
        <v>#Error: FXCurve #ERROR: CURVEMARKETDATA #ERROR does not exist</v>
      </c>
      <c r="L32" s="42" t="str">
        <f ca="1"/>
        <v>#Error: FXCurve #ERROR: CURVEMARKETDATA #ERROR does not exist</v>
      </c>
      <c r="M32" s="42" t="str">
        <f ca="1"/>
        <v>#Error: FXCurve #ERROR: CURVEMARKETDATA #ERROR does not exist</v>
      </c>
      <c r="N32" s="43" t="str">
        <f ca="1"/>
        <v>#Error: FXCurve #ERROR: CURVEMARKETDATA #ERROR does not exist</v>
      </c>
    </row>
    <row r="33" spans="5:14" x14ac:dyDescent="0.25">
      <c r="E33" s="24" t="s">
        <v>38</v>
      </c>
      <c r="F33" s="25">
        <v>251.88</v>
      </c>
      <c r="G33" s="26">
        <v>253.37</v>
      </c>
      <c r="I33" s="52" t="s">
        <v>37</v>
      </c>
      <c r="J33" s="53">
        <v>43251</v>
      </c>
      <c r="K33" s="41" t="str">
        <f ca="1"/>
        <v>#Error: FXCurve #ERROR: CURVEMARKETDATA #ERROR does not exist</v>
      </c>
      <c r="L33" s="42" t="str">
        <f ca="1"/>
        <v>#Error: FXCurve #ERROR: CURVEMARKETDATA #ERROR does not exist</v>
      </c>
      <c r="M33" s="42" t="str">
        <f ca="1"/>
        <v>#Error: FXCurve #ERROR: CURVEMARKETDATA #ERROR does not exist</v>
      </c>
      <c r="N33" s="43" t="str">
        <f ca="1"/>
        <v>#Error: FXCurve #ERROR: CURVEMARKETDATA #ERROR does not exist</v>
      </c>
    </row>
    <row r="34" spans="5:14" x14ac:dyDescent="0.25">
      <c r="E34" s="24" t="s">
        <v>39</v>
      </c>
      <c r="F34" s="25">
        <v>316.02</v>
      </c>
      <c r="G34" s="26">
        <v>318.98</v>
      </c>
      <c r="I34" s="52" t="s">
        <v>58</v>
      </c>
      <c r="J34" s="53">
        <v>43280</v>
      </c>
      <c r="K34" s="41" t="str">
        <f ca="1"/>
        <v>#Error: FXCurve #ERROR: CURVEMARKETDATA #ERROR does not exist</v>
      </c>
      <c r="L34" s="42" t="str">
        <f ca="1"/>
        <v>#Error: FXCurve #ERROR: CURVEMARKETDATA #ERROR does not exist</v>
      </c>
      <c r="M34" s="42" t="str">
        <f ca="1"/>
        <v>#Error: FXCurve #ERROR: CURVEMARKETDATA #ERROR does not exist</v>
      </c>
      <c r="N34" s="43" t="str">
        <f ca="1"/>
        <v>#Error: FXCurve #ERROR: CURVEMARKETDATA #ERROR does not exist</v>
      </c>
    </row>
    <row r="35" spans="5:14" x14ac:dyDescent="0.25">
      <c r="E35" s="24" t="s">
        <v>40</v>
      </c>
      <c r="F35" s="25">
        <v>383.05</v>
      </c>
      <c r="G35" s="26">
        <v>385.95</v>
      </c>
      <c r="I35" s="52" t="s">
        <v>59</v>
      </c>
      <c r="J35" s="53">
        <v>43283</v>
      </c>
      <c r="K35" s="41" t="str">
        <f ca="1"/>
        <v>#Error: FXCurve #ERROR: CURVEMARKETDATA #ERROR does not exist</v>
      </c>
      <c r="L35" s="42" t="str">
        <f ca="1"/>
        <v>#Error: FXCurve #ERROR: CURVEMARKETDATA #ERROR does not exist</v>
      </c>
      <c r="M35" s="42" t="str">
        <f ca="1"/>
        <v>#Error: FXCurve #ERROR: CURVEMARKETDATA #ERROR does not exist</v>
      </c>
      <c r="N35" s="43" t="str">
        <f ca="1"/>
        <v>#Error: FXCurve #ERROR: CURVEMARKETDATA #ERROR does not exist</v>
      </c>
    </row>
    <row r="36" spans="5:14" x14ac:dyDescent="0.25">
      <c r="E36" s="24" t="s">
        <v>41</v>
      </c>
      <c r="F36" s="25">
        <v>516.25</v>
      </c>
      <c r="G36" s="26">
        <v>521.25</v>
      </c>
      <c r="I36" s="52" t="s">
        <v>38</v>
      </c>
      <c r="J36" s="53">
        <v>43343</v>
      </c>
      <c r="K36" s="41" t="str">
        <f ca="1"/>
        <v>#Error: FXCurve #ERROR: CURVEMARKETDATA #ERROR does not exist</v>
      </c>
      <c r="L36" s="42" t="str">
        <f ca="1"/>
        <v>#Error: FXCurve #ERROR: CURVEMARKETDATA #ERROR does not exist</v>
      </c>
      <c r="M36" s="42" t="str">
        <f ca="1"/>
        <v>#Error: FXCurve #ERROR: CURVEMARKETDATA #ERROR does not exist</v>
      </c>
      <c r="N36" s="43" t="str">
        <f ca="1"/>
        <v>#Error: FXCurve #ERROR: CURVEMARKETDATA #ERROR does not exist</v>
      </c>
    </row>
    <row r="37" spans="5:14" x14ac:dyDescent="0.25">
      <c r="E37" s="24" t="s">
        <v>42</v>
      </c>
      <c r="F37" s="25">
        <v>782</v>
      </c>
      <c r="G37" s="26">
        <v>792</v>
      </c>
      <c r="I37" s="52" t="s">
        <v>39</v>
      </c>
      <c r="J37" s="53">
        <v>43434</v>
      </c>
      <c r="K37" s="41" t="str">
        <f ca="1"/>
        <v>#Error: FXCurve #ERROR: CURVEMARKETDATA #ERROR does not exist</v>
      </c>
      <c r="L37" s="42" t="str">
        <f ca="1"/>
        <v>#Error: FXCurve #ERROR: CURVEMARKETDATA #ERROR does not exist</v>
      </c>
      <c r="M37" s="42" t="str">
        <f ca="1"/>
        <v>#Error: FXCurve #ERROR: CURVEMARKETDATA #ERROR does not exist</v>
      </c>
      <c r="N37" s="43" t="str">
        <f ca="1"/>
        <v>#Error: FXCurve #ERROR: CURVEMARKETDATA #ERROR does not exist</v>
      </c>
    </row>
    <row r="38" spans="5:14" x14ac:dyDescent="0.25">
      <c r="E38" s="24" t="s">
        <v>43</v>
      </c>
      <c r="F38" s="25">
        <v>1041.54</v>
      </c>
      <c r="G38" s="26">
        <v>1056.46</v>
      </c>
      <c r="I38" s="52" t="s">
        <v>40</v>
      </c>
      <c r="J38" s="53">
        <v>43524</v>
      </c>
      <c r="K38" s="41" t="str">
        <f ca="1"/>
        <v>#Error: FXCurve #ERROR: CURVEMARKETDATA #ERROR does not exist</v>
      </c>
      <c r="L38" s="42" t="str">
        <f ca="1"/>
        <v>#Error: FXCurve #ERROR: CURVEMARKETDATA #ERROR does not exist</v>
      </c>
      <c r="M38" s="42" t="str">
        <f ca="1"/>
        <v>#Error: FXCurve #ERROR: CURVEMARKETDATA #ERROR does not exist</v>
      </c>
      <c r="N38" s="43" t="str">
        <f ca="1"/>
        <v>#Error: FXCurve #ERROR: CURVEMARKETDATA #ERROR does not exist</v>
      </c>
    </row>
    <row r="39" spans="5:14" x14ac:dyDescent="0.25">
      <c r="E39" s="24" t="s">
        <v>44</v>
      </c>
      <c r="F39" s="25">
        <v>1293.82</v>
      </c>
      <c r="G39" s="26">
        <v>1309.58</v>
      </c>
      <c r="I39" s="52" t="s">
        <v>41</v>
      </c>
      <c r="J39" s="53">
        <v>43707</v>
      </c>
      <c r="K39" s="41" t="str">
        <f ca="1"/>
        <v>#Error: FXCurve #ERROR: CURVEMARKETDATA #ERROR does not exist</v>
      </c>
      <c r="L39" s="42" t="str">
        <f ca="1"/>
        <v>#Error: FXCurve #ERROR: CURVEMARKETDATA #ERROR does not exist</v>
      </c>
      <c r="M39" s="42" t="str">
        <f ca="1"/>
        <v>#Error: FXCurve #ERROR: CURVEMARKETDATA #ERROR does not exist</v>
      </c>
      <c r="N39" s="43" t="str">
        <f ca="1"/>
        <v>#Error: FXCurve #ERROR: CURVEMARKETDATA #ERROR does not exist</v>
      </c>
    </row>
    <row r="40" spans="5:14" x14ac:dyDescent="0.25">
      <c r="E40" s="24" t="s">
        <v>45</v>
      </c>
      <c r="F40" s="25">
        <v>1526.5</v>
      </c>
      <c r="G40" s="26">
        <v>1551.5</v>
      </c>
      <c r="I40" s="52" t="s">
        <v>42</v>
      </c>
      <c r="J40" s="53">
        <v>44074</v>
      </c>
      <c r="K40" s="41" t="str">
        <f ca="1"/>
        <v>#Error: FXCurve #ERROR: CURVEMARKETDATA #ERROR does not exist</v>
      </c>
      <c r="L40" s="42" t="str">
        <f ca="1"/>
        <v>#Error: FXCurve #ERROR: CURVEMARKETDATA #ERROR does not exist</v>
      </c>
      <c r="M40" s="42" t="str">
        <f ca="1"/>
        <v>#Error: FXCurve #ERROR: CURVEMARKETDATA #ERROR does not exist</v>
      </c>
      <c r="N40" s="43" t="str">
        <f ca="1"/>
        <v>#Error: FXCurve #ERROR: CURVEMARKETDATA #ERROR does not exist</v>
      </c>
    </row>
    <row r="41" spans="5:14" x14ac:dyDescent="0.25">
      <c r="E41" s="24" t="s">
        <v>46</v>
      </c>
      <c r="F41" s="25">
        <v>1741.98</v>
      </c>
      <c r="G41" s="26">
        <v>1773.43</v>
      </c>
      <c r="I41" s="52" t="s">
        <v>43</v>
      </c>
      <c r="J41" s="53">
        <v>44439</v>
      </c>
      <c r="K41" s="41" t="str">
        <f ca="1"/>
        <v>#Error: FXCurve #ERROR: CURVEMARKETDATA #ERROR does not exist</v>
      </c>
      <c r="L41" s="42" t="str">
        <f ca="1"/>
        <v>#Error: FXCurve #ERROR: CURVEMARKETDATA #ERROR does not exist</v>
      </c>
      <c r="M41" s="42" t="str">
        <f ca="1"/>
        <v>#Error: FXCurve #ERROR: CURVEMARKETDATA #ERROR does not exist</v>
      </c>
      <c r="N41" s="43" t="str">
        <f ca="1"/>
        <v>#Error: FXCurve #ERROR: CURVEMARKETDATA #ERROR does not exist</v>
      </c>
    </row>
    <row r="42" spans="5:14" x14ac:dyDescent="0.25">
      <c r="E42" s="24" t="s">
        <v>47</v>
      </c>
      <c r="F42" s="25">
        <v>1937.81</v>
      </c>
      <c r="G42" s="26">
        <v>1976.29</v>
      </c>
      <c r="I42" s="52" t="s">
        <v>44</v>
      </c>
      <c r="J42" s="53">
        <v>44804</v>
      </c>
      <c r="K42" s="41" t="str">
        <f ca="1"/>
        <v>#Error: FXCurve #ERROR: CURVEMARKETDATA #ERROR does not exist</v>
      </c>
      <c r="L42" s="42" t="str">
        <f ca="1"/>
        <v>#Error: FXCurve #ERROR: CURVEMARKETDATA #ERROR does not exist</v>
      </c>
      <c r="M42" s="42" t="str">
        <f ca="1"/>
        <v>#Error: FXCurve #ERROR: CURVEMARKETDATA #ERROR does not exist</v>
      </c>
      <c r="N42" s="43" t="str">
        <f ca="1"/>
        <v>#Error: FXCurve #ERROR: CURVEMARKETDATA #ERROR does not exist</v>
      </c>
    </row>
    <row r="43" spans="5:14" x14ac:dyDescent="0.25">
      <c r="E43" s="24" t="s">
        <v>48</v>
      </c>
      <c r="F43" s="25">
        <v>2111.69</v>
      </c>
      <c r="G43" s="26">
        <v>2157.31</v>
      </c>
      <c r="I43" s="52" t="s">
        <v>45</v>
      </c>
      <c r="J43" s="53">
        <v>45169</v>
      </c>
      <c r="K43" s="41" t="str">
        <f ca="1"/>
        <v>#Error: FXCurve #ERROR: CURVEMARKETDATA #ERROR does not exist</v>
      </c>
      <c r="L43" s="42" t="str">
        <f ca="1"/>
        <v>#Error: FXCurve #ERROR: CURVEMARKETDATA #ERROR does not exist</v>
      </c>
      <c r="M43" s="42" t="str">
        <f ca="1"/>
        <v>#Error: FXCurve #ERROR: CURVEMARKETDATA #ERROR does not exist</v>
      </c>
      <c r="N43" s="43" t="str">
        <f ca="1"/>
        <v>#Error: FXCurve #ERROR: CURVEMARKETDATA #ERROR does not exist</v>
      </c>
    </row>
    <row r="44" spans="5:14" x14ac:dyDescent="0.25">
      <c r="E44" s="24" t="s">
        <v>49</v>
      </c>
      <c r="F44" s="25">
        <v>2267.83</v>
      </c>
      <c r="G44" s="26">
        <v>2323.37</v>
      </c>
      <c r="I44" s="52" t="s">
        <v>46</v>
      </c>
      <c r="J44" s="53">
        <v>45534</v>
      </c>
      <c r="K44" s="41" t="str">
        <f ca="1"/>
        <v>#Error: FXCurve #ERROR: CURVEMARKETDATA #ERROR does not exist</v>
      </c>
      <c r="L44" s="42" t="str">
        <f ca="1"/>
        <v>#Error: FXCurve #ERROR: CURVEMARKETDATA #ERROR does not exist</v>
      </c>
      <c r="M44" s="42" t="str">
        <f ca="1"/>
        <v>#Error: FXCurve #ERROR: CURVEMARKETDATA #ERROR does not exist</v>
      </c>
      <c r="N44" s="43" t="str">
        <f ca="1"/>
        <v>#Error: FXCurve #ERROR: CURVEMARKETDATA #ERROR does not exist</v>
      </c>
    </row>
    <row r="45" spans="5:14" x14ac:dyDescent="0.25">
      <c r="E45" s="24"/>
      <c r="F45" s="25"/>
      <c r="G45" s="26"/>
      <c r="I45" s="52" t="s">
        <v>47</v>
      </c>
      <c r="J45" s="53">
        <v>45898</v>
      </c>
      <c r="K45" s="41" t="str">
        <f ca="1"/>
        <v>#Error: FXCurve #ERROR: CURVEMARKETDATA #ERROR does not exist</v>
      </c>
      <c r="L45" s="42" t="str">
        <f ca="1"/>
        <v>#Error: FXCurve #ERROR: CURVEMARKETDATA #ERROR does not exist</v>
      </c>
      <c r="M45" s="42" t="str">
        <f ca="1"/>
        <v>#Error: FXCurve #ERROR: CURVEMARKETDATA #ERROR does not exist</v>
      </c>
      <c r="N45" s="43" t="str">
        <f ca="1"/>
        <v>#Error: FXCurve #ERROR: CURVEMARKETDATA #ERROR does not exist</v>
      </c>
    </row>
    <row r="46" spans="5:14" x14ac:dyDescent="0.25">
      <c r="E46" s="24"/>
      <c r="F46" s="25"/>
      <c r="G46" s="26"/>
      <c r="I46" s="52" t="s">
        <v>48</v>
      </c>
      <c r="J46" s="53">
        <v>46265</v>
      </c>
      <c r="K46" s="41" t="str">
        <f ca="1"/>
        <v>#Error: FXCurve #ERROR: CURVEMARKETDATA #ERROR does not exist</v>
      </c>
      <c r="L46" s="42" t="str">
        <f ca="1"/>
        <v>#Error: FXCurve #ERROR: CURVEMARKETDATA #ERROR does not exist</v>
      </c>
      <c r="M46" s="42" t="str">
        <f ca="1"/>
        <v>#Error: FXCurve #ERROR: CURVEMARKETDATA #ERROR does not exist</v>
      </c>
      <c r="N46" s="43" t="str">
        <f ca="1"/>
        <v>#Error: FXCurve #ERROR: CURVEMARKETDATA #ERROR does not exist</v>
      </c>
    </row>
    <row r="47" spans="5:14" x14ac:dyDescent="0.25">
      <c r="E47" s="20"/>
      <c r="F47" s="27"/>
      <c r="G47" s="28"/>
      <c r="I47" s="56" t="s">
        <v>49</v>
      </c>
      <c r="J47" s="57">
        <v>46630</v>
      </c>
      <c r="K47" s="47" t="str">
        <f ca="1"/>
        <v>#Error: FXCurve #ERROR: CURVEMARKETDATA #ERROR does not exist</v>
      </c>
      <c r="L47" s="48" t="str">
        <f ca="1"/>
        <v>#Error: FXCurve #ERROR: CURVEMARKETDATA #ERROR does not exist</v>
      </c>
      <c r="M47" s="48" t="str">
        <f ca="1"/>
        <v>#Error: FXCurve #ERROR: CURVEMARKETDATA #ERROR does not exist</v>
      </c>
      <c r="N47" s="49" t="str">
        <f ca="1"/>
        <v>#Error: FXCurve #ERROR: CURVEMARKETDATA #ERROR does not exist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FX Curve and Fwd Pts (BID-ASK)</vt:lpstr>
      <vt:lpstr>FX Curve and Fwd Pts (MID)</vt:lpstr>
      <vt:lpstr>FX Forwards from Disc Factors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2017-08-29T13:12:12Z</dcterms:created>
  <dcterms:modified xsi:type="dcterms:W3CDTF">2020-09-17T17:27:59Z</dcterms:modified>
</cp:coreProperties>
</file>