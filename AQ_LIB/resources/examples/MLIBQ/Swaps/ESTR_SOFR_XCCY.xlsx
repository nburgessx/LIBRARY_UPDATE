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Swaps\"/>
    </mc:Choice>
  </mc:AlternateContent>
  <bookViews>
    <workbookView xWindow="0" yWindow="0" windowWidth="28800" windowHeight="13575" tabRatio="836" firstSheet="4" activeTab="9"/>
  </bookViews>
  <sheets>
    <sheet name="SETTINGS" sheetId="4" r:id="rId1"/>
    <sheet name="USD_SOFR_CURVE" sheetId="1" r:id="rId2"/>
    <sheet name="USD_FEDFUNDS_RFR_DISCOUTING" sheetId="2" r:id="rId3"/>
    <sheet name="USD_FORWARDS" sheetId="3" r:id="rId4"/>
    <sheet name="EUR_ESTR_CURVE" sheetId="7" r:id="rId5"/>
    <sheet name="EUR_EONIA_RFR_DISCOUNTING" sheetId="5" r:id="rId6"/>
    <sheet name="EUR FORWARDS" sheetId="8" r:id="rId7"/>
    <sheet name="ESTR_SOFR_XCCY_CURVE" sheetId="9" r:id="rId8"/>
    <sheet name="ESTR_DISCOUNT_FACTORS" sheetId="10" r:id="rId9"/>
    <sheet name="ESTR_SOFR_XCCY" sheetId="11" r:id="rId10"/>
    <sheet name="EONIA_EQ_ESTR_PLUS_8.5" sheetId="6" state="hidden" r:id="rId11"/>
  </sheets>
  <externalReferences>
    <externalReference r:id="rId12"/>
  </externalReferences>
  <definedNames>
    <definedName name="allowTradeUpdates">[1]Settings!$K$4</definedName>
    <definedName name="areAUDCSACurvesLoaded">'[1]AUD CSA CURVES'!$I$32</definedName>
    <definedName name="areEURCSACurvesLoaded">'[1]EUR CSA CURVES'!$I$32</definedName>
    <definedName name="areGBPCSACurvesLoaded">'[1]GBP CSA CURVES'!$I$32</definedName>
    <definedName name="areJPYCSACurvesLoaded">'[1]JPY CSA CURVES LCH'!$I$32</definedName>
    <definedName name="areUSDCSACurvesLoaded">'[1]USD CSA CURVES'!$I$32</definedName>
    <definedName name="AUDSwaps.Results.AUD3MLandAUD6ML">'[1]AUD SWAPS'!$T$39:$T$53</definedName>
    <definedName name="AUDSwaps.Results.OIS">'[1]AUD SWAPS'!$T$6:$T$15</definedName>
    <definedName name="AUDSwaps.Results.XCCY">'[1]AUD SWAPS'!$T$59:$T$73</definedName>
    <definedName name="COB">SETTINGS!$B$3</definedName>
    <definedName name="Curve.BuildProperties">'[1]EUR OIS'!$C$17:$D$21</definedName>
    <definedName name="Curve.CollectionName">'[1]EUR OIS'!$D$8</definedName>
    <definedName name="Curve.MarketDataSource" localSheetId="7">ESTR_SOFR_XCCY_CURVE!#REF!</definedName>
    <definedName name="Curve.MarketDataTable">'[1]EUR OIS'!$D$9</definedName>
    <definedName name="Curve.OISIndexName">'[1]EUR OIS'!$D$10</definedName>
    <definedName name="CURVE_GENERATOR_EONIA">SETTINGS!$K$5</definedName>
    <definedName name="CURVE_GENERATOR_ESTR">SETTINGS!$P$5</definedName>
    <definedName name="CurveBuildProperties" localSheetId="7">ESTR_SOFR_XCCY_CURVE!#REF!</definedName>
    <definedName name="CurveCollection" localSheetId="7">ESTR_SOFR_XCCY_CURVE!#REF!</definedName>
    <definedName name="enableCTDCurves">[1]Settings!$I$4</definedName>
    <definedName name="enableCurveRepricing">[1]Settings!$M$4</definedName>
    <definedName name="enableGlobalCalibration">[1]Settings!$E$4</definedName>
    <definedName name="EURSwaps.Results.EUR12ML">'[1]EUR SWAPS'!$T$99:$T$112</definedName>
    <definedName name="EURSwaps.Results.EUR1ML">'[1]EUR SWAPS'!$T$78:$T$92</definedName>
    <definedName name="EURSwaps.Results.EUR3ML">'[1]EUR SWAPS'!$T$56:$T$72</definedName>
    <definedName name="EURSwaps.Results.EUR6ML">'[1]EUR SWAPS'!$T$36:$T$50</definedName>
    <definedName name="EURSwaps.Results.LIBOROIS">'[1]EUR SWAPS'!$T$15:$T$30</definedName>
    <definedName name="EURSwaps.Results.OIS">'[1]EUR SWAPS'!$T$6:$T$9</definedName>
    <definedName name="EURSwaps.Results.XCCY">'[1]EUR SWAPS'!$T$118:$T$132</definedName>
    <definedName name="FRA.Conventions">'[1]EUR SWAP 6ML'!$C$47:$D$60</definedName>
    <definedName name="FRA.MarketDataX3">'[1]EUR SWAP 6ML'!$F$48:$G$60</definedName>
    <definedName name="FRA.MarketDataX6">'[1]EUR SWAP 6ML'!$I$48:$J$60</definedName>
    <definedName name="Futures.Conventions">'[1]EUR SWAP 6ML'!$C$68:$D$81</definedName>
    <definedName name="Futures.MarketData">'[1]EUR SWAP 6ML'!$F$69:$J$81</definedName>
    <definedName name="GBPSwaps.Results.GBP12ML">'[1]GBP SWAPS'!$T$98:$T$111</definedName>
    <definedName name="GBPSwaps.Results.GBP1ML">'[1]GBP SWAPS'!$T$77:$T$91</definedName>
    <definedName name="GBPSwaps.Results.GBP3ML">'[1]GBP SWAPS'!$T$39:$T$51</definedName>
    <definedName name="GBPSwaps.Results.GBP6ML">'[1]GBP SWAPS'!$T$57:$T$71</definedName>
    <definedName name="GBPSwaps.Results.LIBOROIS">'[1]GBP SWAPS'!$T$27:$T$34</definedName>
    <definedName name="GBPSwaps.Results.OIS">'[1]GBP SWAPS'!$T$6:$T$21</definedName>
    <definedName name="GBPSwaps.Results.XCCY">'[1]GBP SWAPS'!$T$117:$T$131</definedName>
    <definedName name="IndexName" localSheetId="7">ESTR_SOFR_XCCY_CURVE!#REF!</definedName>
    <definedName name="isAUD3MLLoaded">'[1]AUD SWAP 3ML'!$U$31</definedName>
    <definedName name="isAudCtdCurveLoaded">'[1]AUD CSA CURVES'!$W$6</definedName>
    <definedName name="isAUDOISLoaded">'[1]AUD OIS'!$W$31</definedName>
    <definedName name="isAUDXccyLoaded">'[1]AUD XCCY BASIS'!$M$24</definedName>
    <definedName name="isEUR3MLLoaded">'[1]EUR SWAP 3ML'!$U$32</definedName>
    <definedName name="isEUR6MLLoaded">'[1]EUR SWAP 6ML'!$U$32</definedName>
    <definedName name="isEurCtdCurveLoaded">'[1]EUR CSA CURVES'!$W$6</definedName>
    <definedName name="isEUROISLoaded">'[1]EUR OIS'!$W$32</definedName>
    <definedName name="isEURXccyLoaded">ESTR_SOFR_XCCY_CURVE!$F$24</definedName>
    <definedName name="isGBP3MLLoaded">'[1]GBP SWAP 3ML'!$U$32</definedName>
    <definedName name="isGBP6MLLoaded">'[1]GBP BASIS 6ML'!$L$25</definedName>
    <definedName name="isGbpCtdCurveLoaded">'[1]GBP CSA CURVES'!$W$6</definedName>
    <definedName name="isGBPOISLoaded">'[1]GBP OIS'!$W$32</definedName>
    <definedName name="isGBPXccyLoaded">'[1]GBP XCCY BASIS'!$M$24</definedName>
    <definedName name="isJpyCtdCurveLoaded">'[1]JPY CSA CURVES LCH'!$W$6</definedName>
    <definedName name="isJPYJSCC6MLLoaded">'[1]JPY SWAP 6ML JSCC'!$U$32</definedName>
    <definedName name="isJPYJSCC6MLLoaded_TiborSwapCurve">'[1]JPY SWAP 6ML JSCC'!$W$32</definedName>
    <definedName name="isJPYJSCCOISLoaded">'[1]JPY OIS JSCC'!$Y$33</definedName>
    <definedName name="isJPYLCH3MLLoaded">'[1]JPY BASIS 3ML LCH'!$M$25</definedName>
    <definedName name="isJPYLCH6MLLoaded">'[1]JPY SWAP 6ML LCH'!$U$32</definedName>
    <definedName name="isJPYTibor6MLLoaded">'[1]JPY BASIS 6ML TIBOR'!$P$25</definedName>
    <definedName name="isJPYTiborOISLoaded">'[1]JPY OIS TIBOR'!$Y$34</definedName>
    <definedName name="isJPYXccyLoaded">'[1]JPY XCCY BASIS LCH'!$M$24</definedName>
    <definedName name="isUSD3MLLoaded">'[1]USD SWAP 3ML'!$U$32</definedName>
    <definedName name="isUsdCtdCurveLoaded">'[1]USD CSA CURVES'!$W$6</definedName>
    <definedName name="isUSDOISLoaded">'[1]USD OIS'!$W$32</definedName>
    <definedName name="JPY.JSCC.Swaps.Results.JPY1ML">'[1]JPY SWAPS JSCC'!$T$87:$T$102</definedName>
    <definedName name="JPY.JSCC.Swaps.Results.JPY3ML">'[1]JPY SWAPS JSCC'!$T$66:$T$81</definedName>
    <definedName name="JPY.JSCC.Swaps.Results.JPY6ML">'[1]JPY SWAPS JSCC'!$T$45:$T$60</definedName>
    <definedName name="JPY.JSCC.Swaps.Results.LIBOROIS">'[1]JPY SWAPS JSCC'!$T$23:$T$37</definedName>
    <definedName name="JPY.JSCC.Swaps.Results.OIS">'[1]JPY SWAPS JSCC'!$T$6:$T$17</definedName>
    <definedName name="JPY.LCH.Swaps.Results.JPY1ML">'[1]JPY SWAPS LCH'!$T$85:$T$100</definedName>
    <definedName name="JPY.LCH.Swaps.Results.JPY3ML">'[1]JPY SWAPS LCH'!$T$64:$T$79</definedName>
    <definedName name="JPY.LCH.Swaps.Results.JPY6ML">'[1]JPY SWAPS LCH'!$T$43:$T$58</definedName>
    <definedName name="JPY.LCH.Swaps.Results.LIBOROIS">'[1]JPY SWAPS LCH'!$T$23:$T$37</definedName>
    <definedName name="JPY.LCH.Swaps.Results.OIS">'[1]JPY SWAPS LCH'!$T$6:$T$17</definedName>
    <definedName name="JPY.LCH.Swaps.Results.XCCY">'[1]JPY SWAPS LCH'!$T$106:$T$121</definedName>
    <definedName name="JPY.TIBOR.Swaps.Results.JPY1ML">'[1]JPY SWAPS TIBOR'!$T$84:$T$98</definedName>
    <definedName name="JPY.TIBOR.Swaps.Results.JPY3ML">'[1]JPY SWAPS TIBOR'!$T$64:$T$78</definedName>
    <definedName name="JPY.TIBOR.Swaps.Results.JPY6ML">'[1]JPY SWAPS TIBOR'!$T$42:$T$58</definedName>
    <definedName name="JPY.TIBOR.Swaps.Results.LIBOROIS">'[1]JPY SWAPS TIBOR'!$T$23:$T$37</definedName>
    <definedName name="JPY.TIBOR.Swaps.Results.OIS">'[1]JPY SWAPS TIBOR'!$T$6:$T$17</definedName>
    <definedName name="Libor.Conventions">'[1]EUR SWAP 6ML'!$F$34:$G$39</definedName>
    <definedName name="Libor.MarketData">'[1]EUR SWAP 6ML'!$I$35:$J$39</definedName>
    <definedName name="LiborOISBasis.Conventions">'[1]EUR OIS'!$C$53:$D$78</definedName>
    <definedName name="LiborOISBasis.MarketData">'[1]EUR OIS'!$F$54:$G$78</definedName>
    <definedName name="LiborSwap.Conventions">'[1]EUR OIS'!$I$53:$J$78</definedName>
    <definedName name="LiborSwap.MarketData">'[1]EUR OIS'!$L$54:$M$78</definedName>
    <definedName name="MissingDataPointsAUD">'[1]MKT DATA AUD'!$E$4</definedName>
    <definedName name="MissingDataPointsEUR">'[1]MKT DATA EUR'!$E$4</definedName>
    <definedName name="MissingDataPointsGBP">'[1]MKT DATA GBP'!$E$4</definedName>
    <definedName name="MissingDataPointsJPY">'[1]MKT DATA JPY'!$E$4</definedName>
    <definedName name="MissingDataPointsUSD">'[1]MKT DATA USD'!$E$4</definedName>
    <definedName name="MoneyMarket.Conventions">'[1]EUR SWAP 6ML'!$C$34:$D$39</definedName>
    <definedName name="OIS.Conventions">'[1]EUR OIS'!$C$28:$D$46</definedName>
    <definedName name="OIS.FixingTable">'[1]EUR OIS'!$L$29:$M$46</definedName>
    <definedName name="OIS.MarketData">'[1]EUR OIS'!$F$29:$J$46</definedName>
    <definedName name="Settings.COB">[1]Settings!$C$4</definedName>
    <definedName name="Settings.EnableSave">[1]Settings!$C$71</definedName>
    <definedName name="Settings.PulseFrequency">[1]Settings!$O$2</definedName>
    <definedName name="Settings.SaveFolder">[1]Settings!$E$71</definedName>
    <definedName name="StaticDataTable" localSheetId="7">ESTR_SOFR_XCCY_CURVE!#REF!</definedName>
    <definedName name="STDCurve.Buildproperties">'[1]EUR SWAP 6ML'!$C$18:$D$27</definedName>
    <definedName name="STDCurve.CollectionName">'[1]EUR SWAP 6ML'!$D$9</definedName>
    <definedName name="STDCurve.IndexName">'[1]EUR SWAP 6ML'!$D$11</definedName>
    <definedName name="STDCurve.StaticDataTable">'[1]EUR SWAP 6ML'!$D$10</definedName>
    <definedName name="Swap.Conventions">'[1]EUR SWAP 6ML'!$C$89:$D$107</definedName>
    <definedName name="Swap.MarketData">'[1]EUR SWAP 6ML'!$F$90:$H$107</definedName>
    <definedName name="SWAP_GENERATOR_EONIA">SETTINGS!$U$5</definedName>
    <definedName name="SWAP_GENERATOR_ESTR">SETTINGS!$AA$5</definedName>
    <definedName name="ToleranceAUD">[1]Settings!$K$65</definedName>
    <definedName name="ToleranceEUR">[1]Settings!$I$65</definedName>
    <definedName name="ToleranceGBP">[1]Settings!$G$65</definedName>
    <definedName name="ToleranceJPY.JSCC">[1]Settings!$M$65</definedName>
    <definedName name="ToleranceJPY.LCH">[1]Settings!$O$65</definedName>
    <definedName name="ToleranceJPY.TIBOR">[1]Settings!$Q$65</definedName>
    <definedName name="ToleranceUSD">[1]Settings!$E$65</definedName>
    <definedName name="USDSwaps.Results.LIBOROIS">'[1]USD SWAPS'!$T$25:$T$35</definedName>
    <definedName name="USDSwaps.Results.OIS">'[1]USD SWAPS'!$T$5:$T$17</definedName>
    <definedName name="USDSwaps.Results.USD12ML">'[1]USD SWAPS'!$T$96:$T$110</definedName>
    <definedName name="USDSwaps.Results.USD1ML">'[1]USD SWAPS'!$T$76:$T$90</definedName>
    <definedName name="USDSwaps.Results.USD3ML">'[1]USD SWAPS'!$T$41:$T$50</definedName>
    <definedName name="USDSwaps.Results.USD6ML">'[1]USD SWAPS'!$T$56:$T$70</definedName>
    <definedName name="XccyBasisMarketData" localSheetId="7">ESTR_SOFR_XCCY_CURVE!#REF!</definedName>
    <definedName name="XccyBasisSwapConventions" localSheetId="7">ESTR_SOFR_XCCY_CURVE!#REF!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11" l="1"/>
  <c r="P6" i="11"/>
  <c r="P7" i="11"/>
  <c r="P8" i="11"/>
  <c r="P9" i="11"/>
  <c r="P11" i="11"/>
  <c r="P12" i="11"/>
  <c r="P13" i="11"/>
  <c r="P14" i="11"/>
  <c r="P15" i="11"/>
  <c r="P16" i="11"/>
  <c r="P17" i="11"/>
  <c r="P18" i="11"/>
  <c r="P19" i="11"/>
  <c r="P20" i="11"/>
  <c r="E7" i="1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B6" i="11"/>
  <c r="B7" i="11"/>
  <c r="B8" i="11"/>
  <c r="B9" i="11"/>
  <c r="B10" i="11"/>
  <c r="B11" i="11"/>
  <c r="V5" i="11"/>
  <c r="B17" i="11"/>
  <c r="B18" i="11"/>
  <c r="B19" i="11"/>
  <c r="B14" i="11"/>
  <c r="B15" i="11"/>
  <c r="B12" i="11"/>
  <c r="B20" i="11"/>
  <c r="B13" i="11"/>
  <c r="B16" i="11"/>
  <c r="H10" i="11" l="1"/>
  <c r="H18" i="11"/>
  <c r="H11" i="11"/>
  <c r="H19" i="11"/>
  <c r="H7" i="11"/>
  <c r="H12" i="11"/>
  <c r="H20" i="11"/>
  <c r="H15" i="11"/>
  <c r="H9" i="11"/>
  <c r="H13" i="11"/>
  <c r="H6" i="11"/>
  <c r="H14" i="11"/>
  <c r="H17" i="11"/>
  <c r="H8" i="11"/>
  <c r="H16" i="11"/>
  <c r="G11" i="11" l="1"/>
  <c r="G12" i="11"/>
  <c r="G13" i="11"/>
  <c r="G14" i="11"/>
  <c r="G15" i="11"/>
  <c r="G16" i="11"/>
  <c r="G17" i="11"/>
  <c r="G18" i="11"/>
  <c r="G19" i="11"/>
  <c r="G20" i="11"/>
  <c r="T14" i="11"/>
  <c r="G6" i="11"/>
  <c r="G7" i="11"/>
  <c r="G8" i="11"/>
  <c r="G9" i="11"/>
  <c r="G10" i="11"/>
  <c r="F6" i="9"/>
  <c r="D6" i="11"/>
  <c r="E2" i="10" a="1"/>
  <c r="C2" i="9"/>
  <c r="F10" i="9"/>
  <c r="F68" i="10" l="1"/>
  <c r="E2" i="10"/>
  <c r="G4" i="10"/>
  <c r="F7" i="10"/>
  <c r="E10" i="10"/>
  <c r="G12" i="10"/>
  <c r="F15" i="10"/>
  <c r="E18" i="10"/>
  <c r="G20" i="10"/>
  <c r="F23" i="10"/>
  <c r="E26" i="10"/>
  <c r="G28" i="10"/>
  <c r="F31" i="10"/>
  <c r="E34" i="10"/>
  <c r="G36" i="10"/>
  <c r="F39" i="10"/>
  <c r="E42" i="10"/>
  <c r="G44" i="10"/>
  <c r="F47" i="10"/>
  <c r="E50" i="10"/>
  <c r="G52" i="10"/>
  <c r="F55" i="10"/>
  <c r="E58" i="10"/>
  <c r="G60" i="10"/>
  <c r="F63" i="10"/>
  <c r="E66" i="10"/>
  <c r="G68" i="10"/>
  <c r="F71" i="10"/>
  <c r="E74" i="10"/>
  <c r="G76" i="10"/>
  <c r="F79" i="10"/>
  <c r="E82" i="10"/>
  <c r="G84" i="10"/>
  <c r="F87" i="10"/>
  <c r="E90" i="10"/>
  <c r="G92" i="10"/>
  <c r="F95" i="10"/>
  <c r="E98" i="10"/>
  <c r="G100" i="10"/>
  <c r="F103" i="10"/>
  <c r="E106" i="10"/>
  <c r="G108" i="10"/>
  <c r="F111" i="10"/>
  <c r="E114" i="10"/>
  <c r="G116" i="10"/>
  <c r="F119" i="10"/>
  <c r="E122" i="10"/>
  <c r="G124" i="10"/>
  <c r="F127" i="10"/>
  <c r="E130" i="10"/>
  <c r="F17" i="10"/>
  <c r="E20" i="10"/>
  <c r="E28" i="10"/>
  <c r="E36" i="10"/>
  <c r="G54" i="10"/>
  <c r="G70" i="10"/>
  <c r="G86" i="10"/>
  <c r="G102" i="10"/>
  <c r="G118" i="10"/>
  <c r="F4" i="10"/>
  <c r="G25" i="10"/>
  <c r="E47" i="10"/>
  <c r="F60" i="10"/>
  <c r="G73" i="10"/>
  <c r="E87" i="10"/>
  <c r="G97" i="10"/>
  <c r="G113" i="10"/>
  <c r="E127" i="10"/>
  <c r="F2" i="10"/>
  <c r="E5" i="10"/>
  <c r="G7" i="10"/>
  <c r="F10" i="10"/>
  <c r="E13" i="10"/>
  <c r="G15" i="10"/>
  <c r="F18" i="10"/>
  <c r="E21" i="10"/>
  <c r="G23" i="10"/>
  <c r="F26" i="10"/>
  <c r="E29" i="10"/>
  <c r="G31" i="10"/>
  <c r="F34" i="10"/>
  <c r="E37" i="10"/>
  <c r="G39" i="10"/>
  <c r="F42" i="10"/>
  <c r="E45" i="10"/>
  <c r="G47" i="10"/>
  <c r="F50" i="10"/>
  <c r="E53" i="10"/>
  <c r="G55" i="10"/>
  <c r="F58" i="10"/>
  <c r="E61" i="10"/>
  <c r="G63" i="10"/>
  <c r="F66" i="10"/>
  <c r="E69" i="10"/>
  <c r="G71" i="10"/>
  <c r="F74" i="10"/>
  <c r="E77" i="10"/>
  <c r="G79" i="10"/>
  <c r="F82" i="10"/>
  <c r="E85" i="10"/>
  <c r="G87" i="10"/>
  <c r="F90" i="10"/>
  <c r="E93" i="10"/>
  <c r="G95" i="10"/>
  <c r="F98" i="10"/>
  <c r="E101" i="10"/>
  <c r="G103" i="10"/>
  <c r="F106" i="10"/>
  <c r="E109" i="10"/>
  <c r="G111" i="10"/>
  <c r="F114" i="10"/>
  <c r="E117" i="10"/>
  <c r="G119" i="10"/>
  <c r="F122" i="10"/>
  <c r="E125" i="10"/>
  <c r="G127" i="10"/>
  <c r="F130" i="10"/>
  <c r="G14" i="10"/>
  <c r="E52" i="10"/>
  <c r="E76" i="10"/>
  <c r="F97" i="10"/>
  <c r="F113" i="10"/>
  <c r="F129" i="10"/>
  <c r="G17" i="10"/>
  <c r="E39" i="10"/>
  <c r="G57" i="10"/>
  <c r="F76" i="10"/>
  <c r="F92" i="10"/>
  <c r="E111" i="10"/>
  <c r="G2" i="10"/>
  <c r="F5" i="10"/>
  <c r="E8" i="10"/>
  <c r="G10" i="10"/>
  <c r="F13" i="10"/>
  <c r="E16" i="10"/>
  <c r="G18" i="10"/>
  <c r="F21" i="10"/>
  <c r="E24" i="10"/>
  <c r="G26" i="10"/>
  <c r="F29" i="10"/>
  <c r="E32" i="10"/>
  <c r="G34" i="10"/>
  <c r="F37" i="10"/>
  <c r="E40" i="10"/>
  <c r="G42" i="10"/>
  <c r="F45" i="10"/>
  <c r="E48" i="10"/>
  <c r="G50" i="10"/>
  <c r="F53" i="10"/>
  <c r="E56" i="10"/>
  <c r="G58" i="10"/>
  <c r="F61" i="10"/>
  <c r="E64" i="10"/>
  <c r="G66" i="10"/>
  <c r="F69" i="10"/>
  <c r="E72" i="10"/>
  <c r="G74" i="10"/>
  <c r="F77" i="10"/>
  <c r="E80" i="10"/>
  <c r="G82" i="10"/>
  <c r="F85" i="10"/>
  <c r="E88" i="10"/>
  <c r="G90" i="10"/>
  <c r="F93" i="10"/>
  <c r="E96" i="10"/>
  <c r="G98" i="10"/>
  <c r="F101" i="10"/>
  <c r="E104" i="10"/>
  <c r="G106" i="10"/>
  <c r="F109" i="10"/>
  <c r="E112" i="10"/>
  <c r="G114" i="10"/>
  <c r="F117" i="10"/>
  <c r="E120" i="10"/>
  <c r="G122" i="10"/>
  <c r="F125" i="10"/>
  <c r="E128" i="10"/>
  <c r="G130" i="10"/>
  <c r="E12" i="10"/>
  <c r="G46" i="10"/>
  <c r="F65" i="10"/>
  <c r="F81" i="10"/>
  <c r="G94" i="10"/>
  <c r="E108" i="10"/>
  <c r="E124" i="10"/>
  <c r="E15" i="10"/>
  <c r="E31" i="10"/>
  <c r="G41" i="10"/>
  <c r="E55" i="10"/>
  <c r="E79" i="10"/>
  <c r="F100" i="10"/>
  <c r="E119" i="10"/>
  <c r="E3" i="10"/>
  <c r="G5" i="10"/>
  <c r="F8" i="10"/>
  <c r="E11" i="10"/>
  <c r="G13" i="10"/>
  <c r="F16" i="10"/>
  <c r="E19" i="10"/>
  <c r="G21" i="10"/>
  <c r="F24" i="10"/>
  <c r="E27" i="10"/>
  <c r="G29" i="10"/>
  <c r="F32" i="10"/>
  <c r="E35" i="10"/>
  <c r="G37" i="10"/>
  <c r="F40" i="10"/>
  <c r="E43" i="10"/>
  <c r="G45" i="10"/>
  <c r="F48" i="10"/>
  <c r="E51" i="10"/>
  <c r="G53" i="10"/>
  <c r="F56" i="10"/>
  <c r="E59" i="10"/>
  <c r="G61" i="10"/>
  <c r="F64" i="10"/>
  <c r="E67" i="10"/>
  <c r="G69" i="10"/>
  <c r="F72" i="10"/>
  <c r="E75" i="10"/>
  <c r="G77" i="10"/>
  <c r="F80" i="10"/>
  <c r="E83" i="10"/>
  <c r="G85" i="10"/>
  <c r="F88" i="10"/>
  <c r="E91" i="10"/>
  <c r="G93" i="10"/>
  <c r="F96" i="10"/>
  <c r="E99" i="10"/>
  <c r="G101" i="10"/>
  <c r="F104" i="10"/>
  <c r="E107" i="10"/>
  <c r="G109" i="10"/>
  <c r="F112" i="10"/>
  <c r="E115" i="10"/>
  <c r="G117" i="10"/>
  <c r="F120" i="10"/>
  <c r="E123" i="10"/>
  <c r="G125" i="10"/>
  <c r="F128" i="10"/>
  <c r="F9" i="10"/>
  <c r="G22" i="10"/>
  <c r="F33" i="10"/>
  <c r="F41" i="10"/>
  <c r="F57" i="10"/>
  <c r="F73" i="10"/>
  <c r="F89" i="10"/>
  <c r="F105" i="10"/>
  <c r="F121" i="10"/>
  <c r="E7" i="10"/>
  <c r="F28" i="10"/>
  <c r="F44" i="10"/>
  <c r="E63" i="10"/>
  <c r="G81" i="10"/>
  <c r="E95" i="10"/>
  <c r="F108" i="10"/>
  <c r="G121" i="10"/>
  <c r="F3" i="10"/>
  <c r="E6" i="10"/>
  <c r="G8" i="10"/>
  <c r="F11" i="10"/>
  <c r="E14" i="10"/>
  <c r="G16" i="10"/>
  <c r="F19" i="10"/>
  <c r="E22" i="10"/>
  <c r="G24" i="10"/>
  <c r="F27" i="10"/>
  <c r="E30" i="10"/>
  <c r="G32" i="10"/>
  <c r="F35" i="10"/>
  <c r="E38" i="10"/>
  <c r="G40" i="10"/>
  <c r="F43" i="10"/>
  <c r="E46" i="10"/>
  <c r="G48" i="10"/>
  <c r="F51" i="10"/>
  <c r="E54" i="10"/>
  <c r="G56" i="10"/>
  <c r="F59" i="10"/>
  <c r="E62" i="10"/>
  <c r="G64" i="10"/>
  <c r="F67" i="10"/>
  <c r="E70" i="10"/>
  <c r="G72" i="10"/>
  <c r="F75" i="10"/>
  <c r="E78" i="10"/>
  <c r="G80" i="10"/>
  <c r="F83" i="10"/>
  <c r="E86" i="10"/>
  <c r="G88" i="10"/>
  <c r="F91" i="10"/>
  <c r="E94" i="10"/>
  <c r="G96" i="10"/>
  <c r="F99" i="10"/>
  <c r="E102" i="10"/>
  <c r="G104" i="10"/>
  <c r="F107" i="10"/>
  <c r="E110" i="10"/>
  <c r="G112" i="10"/>
  <c r="F115" i="10"/>
  <c r="E118" i="10"/>
  <c r="G120" i="10"/>
  <c r="F123" i="10"/>
  <c r="E126" i="10"/>
  <c r="G128" i="10"/>
  <c r="G6" i="10"/>
  <c r="G30" i="10"/>
  <c r="E44" i="10"/>
  <c r="E60" i="10"/>
  <c r="E68" i="10"/>
  <c r="E84" i="10"/>
  <c r="E100" i="10"/>
  <c r="E116" i="10"/>
  <c r="G9" i="10"/>
  <c r="F20" i="10"/>
  <c r="G33" i="10"/>
  <c r="F52" i="10"/>
  <c r="G65" i="10"/>
  <c r="F84" i="10"/>
  <c r="E103" i="10"/>
  <c r="F116" i="10"/>
  <c r="G129" i="10"/>
  <c r="G3" i="10"/>
  <c r="F6" i="10"/>
  <c r="E9" i="10"/>
  <c r="G11" i="10"/>
  <c r="F14" i="10"/>
  <c r="E17" i="10"/>
  <c r="G19" i="10"/>
  <c r="F22" i="10"/>
  <c r="E25" i="10"/>
  <c r="G27" i="10"/>
  <c r="F30" i="10"/>
  <c r="E33" i="10"/>
  <c r="G35" i="10"/>
  <c r="F38" i="10"/>
  <c r="E41" i="10"/>
  <c r="G43" i="10"/>
  <c r="F46" i="10"/>
  <c r="E49" i="10"/>
  <c r="G51" i="10"/>
  <c r="F54" i="10"/>
  <c r="E57" i="10"/>
  <c r="G59" i="10"/>
  <c r="F62" i="10"/>
  <c r="E65" i="10"/>
  <c r="G67" i="10"/>
  <c r="F70" i="10"/>
  <c r="E73" i="10"/>
  <c r="G75" i="10"/>
  <c r="F78" i="10"/>
  <c r="E81" i="10"/>
  <c r="G83" i="10"/>
  <c r="F86" i="10"/>
  <c r="E89" i="10"/>
  <c r="G91" i="10"/>
  <c r="F94" i="10"/>
  <c r="E97" i="10"/>
  <c r="G99" i="10"/>
  <c r="F102" i="10"/>
  <c r="E105" i="10"/>
  <c r="G107" i="10"/>
  <c r="F110" i="10"/>
  <c r="E113" i="10"/>
  <c r="G115" i="10"/>
  <c r="F118" i="10"/>
  <c r="E121" i="10"/>
  <c r="G123" i="10"/>
  <c r="F126" i="10"/>
  <c r="E129" i="10"/>
  <c r="E4" i="10"/>
  <c r="F25" i="10"/>
  <c r="G38" i="10"/>
  <c r="F49" i="10"/>
  <c r="G62" i="10"/>
  <c r="G78" i="10"/>
  <c r="E92" i="10"/>
  <c r="G110" i="10"/>
  <c r="G126" i="10"/>
  <c r="F12" i="10"/>
  <c r="E23" i="10"/>
  <c r="F36" i="10"/>
  <c r="G49" i="10"/>
  <c r="E71" i="10"/>
  <c r="G89" i="10"/>
  <c r="G105" i="10"/>
  <c r="F124" i="10"/>
  <c r="F15" i="9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G32" i="5"/>
  <c r="G33" i="5"/>
  <c r="G34" i="5"/>
  <c r="G35" i="5"/>
  <c r="G36" i="5"/>
  <c r="G37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N36" i="5"/>
  <c r="N37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D9" i="7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E9" i="5"/>
  <c r="G8" i="2"/>
  <c r="G8" i="1"/>
  <c r="H6" i="5"/>
  <c r="H14" i="5"/>
  <c r="H22" i="5"/>
  <c r="H30" i="5"/>
  <c r="H11" i="5"/>
  <c r="H7" i="5"/>
  <c r="H15" i="5"/>
  <c r="H23" i="5"/>
  <c r="H31" i="5"/>
  <c r="H8" i="5"/>
  <c r="H16" i="5"/>
  <c r="H24" i="5"/>
  <c r="H32" i="5"/>
  <c r="H26" i="5"/>
  <c r="H27" i="5"/>
  <c r="H9" i="5"/>
  <c r="H17" i="5"/>
  <c r="H25" i="5"/>
  <c r="H33" i="5"/>
  <c r="H18" i="5"/>
  <c r="H35" i="5"/>
  <c r="H10" i="5"/>
  <c r="H12" i="5"/>
  <c r="H20" i="5"/>
  <c r="H28" i="5"/>
  <c r="H36" i="5"/>
  <c r="H19" i="5"/>
  <c r="H13" i="5"/>
  <c r="H21" i="5"/>
  <c r="H29" i="5"/>
  <c r="H37" i="5"/>
  <c r="H34" i="5"/>
  <c r="B7" i="6"/>
  <c r="B15" i="6"/>
  <c r="B8" i="6"/>
  <c r="B16" i="6"/>
  <c r="B9" i="6"/>
  <c r="B17" i="6"/>
  <c r="B10" i="6"/>
  <c r="B18" i="6"/>
  <c r="B11" i="6"/>
  <c r="B19" i="6"/>
  <c r="B12" i="6"/>
  <c r="B20" i="6"/>
  <c r="B13" i="6"/>
  <c r="B14" i="6"/>
  <c r="D18" i="6"/>
  <c r="D14" i="6"/>
  <c r="D10" i="6"/>
  <c r="D7" i="6"/>
  <c r="D19" i="6"/>
  <c r="D15" i="6"/>
  <c r="D11" i="6"/>
  <c r="D20" i="6"/>
  <c r="D16" i="6"/>
  <c r="D12" i="6"/>
  <c r="D8" i="6"/>
  <c r="D17" i="6"/>
  <c r="D13" i="6"/>
  <c r="D9" i="6"/>
  <c r="N6" i="11"/>
  <c r="O6" i="11" s="1"/>
  <c r="E2" i="8" a="1"/>
  <c r="E14" i="5"/>
  <c r="AA5" i="4"/>
  <c r="P5" i="4"/>
  <c r="K5" i="4"/>
  <c r="U5" i="4"/>
  <c r="D14" i="7"/>
  <c r="Q6" i="11" l="1"/>
  <c r="P34" i="5"/>
  <c r="P37" i="5"/>
  <c r="P29" i="5"/>
  <c r="P21" i="5"/>
  <c r="P13" i="5"/>
  <c r="P19" i="5"/>
  <c r="P36" i="5"/>
  <c r="P28" i="5"/>
  <c r="P20" i="5"/>
  <c r="P12" i="5"/>
  <c r="P10" i="5"/>
  <c r="P35" i="5"/>
  <c r="P18" i="5"/>
  <c r="P33" i="5"/>
  <c r="P25" i="5"/>
  <c r="P17" i="5"/>
  <c r="P9" i="5"/>
  <c r="P27" i="5"/>
  <c r="P26" i="5"/>
  <c r="P32" i="5"/>
  <c r="P24" i="5"/>
  <c r="P16" i="5"/>
  <c r="P8" i="5"/>
  <c r="P31" i="5"/>
  <c r="P23" i="5"/>
  <c r="P15" i="5"/>
  <c r="P7" i="5"/>
  <c r="P11" i="5"/>
  <c r="P30" i="5"/>
  <c r="P22" i="5"/>
  <c r="P14" i="5"/>
  <c r="P6" i="5"/>
  <c r="D18" i="7"/>
  <c r="E22" i="5"/>
  <c r="H7" i="6"/>
  <c r="H15" i="6"/>
  <c r="H12" i="6"/>
  <c r="H8" i="6"/>
  <c r="H16" i="6"/>
  <c r="H9" i="6"/>
  <c r="H17" i="6"/>
  <c r="H10" i="6"/>
  <c r="H18" i="6"/>
  <c r="H20" i="6"/>
  <c r="H11" i="6"/>
  <c r="H19" i="6"/>
  <c r="H13" i="6"/>
  <c r="H14" i="6"/>
  <c r="G130" i="8"/>
  <c r="E128" i="8"/>
  <c r="F125" i="8"/>
  <c r="G122" i="8"/>
  <c r="E120" i="8"/>
  <c r="F117" i="8"/>
  <c r="G114" i="8"/>
  <c r="E112" i="8"/>
  <c r="F109" i="8"/>
  <c r="G106" i="8"/>
  <c r="E104" i="8"/>
  <c r="F101" i="8"/>
  <c r="G98" i="8"/>
  <c r="E96" i="8"/>
  <c r="F93" i="8"/>
  <c r="G90" i="8"/>
  <c r="E88" i="8"/>
  <c r="F85" i="8"/>
  <c r="G82" i="8"/>
  <c r="E80" i="8"/>
  <c r="F77" i="8"/>
  <c r="G74" i="8"/>
  <c r="E72" i="8"/>
  <c r="F69" i="8"/>
  <c r="G66" i="8"/>
  <c r="E64" i="8"/>
  <c r="F61" i="8"/>
  <c r="G58" i="8"/>
  <c r="E56" i="8"/>
  <c r="F53" i="8"/>
  <c r="G50" i="8"/>
  <c r="E48" i="8"/>
  <c r="F45" i="8"/>
  <c r="G42" i="8"/>
  <c r="E40" i="8"/>
  <c r="F37" i="8"/>
  <c r="G34" i="8"/>
  <c r="E32" i="8"/>
  <c r="F29" i="8"/>
  <c r="G26" i="8"/>
  <c r="E24" i="8"/>
  <c r="F21" i="8"/>
  <c r="G18" i="8"/>
  <c r="E16" i="8"/>
  <c r="F13" i="8"/>
  <c r="G10" i="8"/>
  <c r="E8" i="8"/>
  <c r="F5" i="8"/>
  <c r="G2" i="8"/>
  <c r="F123" i="8"/>
  <c r="E70" i="8"/>
  <c r="G48" i="8"/>
  <c r="G32" i="8"/>
  <c r="F19" i="8"/>
  <c r="F11" i="8"/>
  <c r="F128" i="8"/>
  <c r="F112" i="8"/>
  <c r="F96" i="8"/>
  <c r="E83" i="8"/>
  <c r="F72" i="8"/>
  <c r="F56" i="8"/>
  <c r="G45" i="8"/>
  <c r="E35" i="8"/>
  <c r="E27" i="8"/>
  <c r="G13" i="8"/>
  <c r="E3" i="8"/>
  <c r="F130" i="8"/>
  <c r="G127" i="8"/>
  <c r="E125" i="8"/>
  <c r="F122" i="8"/>
  <c r="G119" i="8"/>
  <c r="E117" i="8"/>
  <c r="F114" i="8"/>
  <c r="G111" i="8"/>
  <c r="E109" i="8"/>
  <c r="F106" i="8"/>
  <c r="G103" i="8"/>
  <c r="E101" i="8"/>
  <c r="F98" i="8"/>
  <c r="G95" i="8"/>
  <c r="E93" i="8"/>
  <c r="F90" i="8"/>
  <c r="G87" i="8"/>
  <c r="E85" i="8"/>
  <c r="F82" i="8"/>
  <c r="G79" i="8"/>
  <c r="E77" i="8"/>
  <c r="F74" i="8"/>
  <c r="G71" i="8"/>
  <c r="E69" i="8"/>
  <c r="F66" i="8"/>
  <c r="G63" i="8"/>
  <c r="E61" i="8"/>
  <c r="F58" i="8"/>
  <c r="G55" i="8"/>
  <c r="E53" i="8"/>
  <c r="F50" i="8"/>
  <c r="G47" i="8"/>
  <c r="E45" i="8"/>
  <c r="F42" i="8"/>
  <c r="G39" i="8"/>
  <c r="E37" i="8"/>
  <c r="F34" i="8"/>
  <c r="G31" i="8"/>
  <c r="E29" i="8"/>
  <c r="F26" i="8"/>
  <c r="G23" i="8"/>
  <c r="E21" i="8"/>
  <c r="F18" i="8"/>
  <c r="G15" i="8"/>
  <c r="E13" i="8"/>
  <c r="F10" i="8"/>
  <c r="G7" i="8"/>
  <c r="E5" i="8"/>
  <c r="F2" i="8"/>
  <c r="E118" i="8"/>
  <c r="F51" i="8"/>
  <c r="F27" i="8"/>
  <c r="E14" i="8"/>
  <c r="G117" i="8"/>
  <c r="E107" i="8"/>
  <c r="E99" i="8"/>
  <c r="F88" i="8"/>
  <c r="F80" i="8"/>
  <c r="E67" i="8"/>
  <c r="G53" i="8"/>
  <c r="E43" i="8"/>
  <c r="F32" i="8"/>
  <c r="G21" i="8"/>
  <c r="F8" i="8"/>
  <c r="E130" i="8"/>
  <c r="F127" i="8"/>
  <c r="G124" i="8"/>
  <c r="E122" i="8"/>
  <c r="F119" i="8"/>
  <c r="G116" i="8"/>
  <c r="E114" i="8"/>
  <c r="F111" i="8"/>
  <c r="G108" i="8"/>
  <c r="E106" i="8"/>
  <c r="F103" i="8"/>
  <c r="G100" i="8"/>
  <c r="E98" i="8"/>
  <c r="F95" i="8"/>
  <c r="G92" i="8"/>
  <c r="E90" i="8"/>
  <c r="F87" i="8"/>
  <c r="G84" i="8"/>
  <c r="E82" i="8"/>
  <c r="F79" i="8"/>
  <c r="G76" i="8"/>
  <c r="E74" i="8"/>
  <c r="F71" i="8"/>
  <c r="G68" i="8"/>
  <c r="E66" i="8"/>
  <c r="F63" i="8"/>
  <c r="G60" i="8"/>
  <c r="E58" i="8"/>
  <c r="F55" i="8"/>
  <c r="G52" i="8"/>
  <c r="E50" i="8"/>
  <c r="F47" i="8"/>
  <c r="G44" i="8"/>
  <c r="E42" i="8"/>
  <c r="F39" i="8"/>
  <c r="G36" i="8"/>
  <c r="E34" i="8"/>
  <c r="F31" i="8"/>
  <c r="G28" i="8"/>
  <c r="E26" i="8"/>
  <c r="F23" i="8"/>
  <c r="G20" i="8"/>
  <c r="E18" i="8"/>
  <c r="F15" i="8"/>
  <c r="G12" i="8"/>
  <c r="E10" i="8"/>
  <c r="F7" i="8"/>
  <c r="G4" i="8"/>
  <c r="E2" i="8"/>
  <c r="G120" i="8"/>
  <c r="G64" i="8"/>
  <c r="G40" i="8"/>
  <c r="G24" i="8"/>
  <c r="E6" i="8"/>
  <c r="G125" i="8"/>
  <c r="E115" i="8"/>
  <c r="G101" i="8"/>
  <c r="G85" i="8"/>
  <c r="G69" i="8"/>
  <c r="G61" i="8"/>
  <c r="F48" i="8"/>
  <c r="G37" i="8"/>
  <c r="F24" i="8"/>
  <c r="E11" i="8"/>
  <c r="G129" i="8"/>
  <c r="E127" i="8"/>
  <c r="F124" i="8"/>
  <c r="G121" i="8"/>
  <c r="E119" i="8"/>
  <c r="F116" i="8"/>
  <c r="G113" i="8"/>
  <c r="E111" i="8"/>
  <c r="F108" i="8"/>
  <c r="G105" i="8"/>
  <c r="E103" i="8"/>
  <c r="F100" i="8"/>
  <c r="G97" i="8"/>
  <c r="E95" i="8"/>
  <c r="F92" i="8"/>
  <c r="G89" i="8"/>
  <c r="E87" i="8"/>
  <c r="F84" i="8"/>
  <c r="G81" i="8"/>
  <c r="E79" i="8"/>
  <c r="F76" i="8"/>
  <c r="G73" i="8"/>
  <c r="E71" i="8"/>
  <c r="F68" i="8"/>
  <c r="G65" i="8"/>
  <c r="E63" i="8"/>
  <c r="F60" i="8"/>
  <c r="G57" i="8"/>
  <c r="E55" i="8"/>
  <c r="F52" i="8"/>
  <c r="G49" i="8"/>
  <c r="E47" i="8"/>
  <c r="F44" i="8"/>
  <c r="G41" i="8"/>
  <c r="E39" i="8"/>
  <c r="F36" i="8"/>
  <c r="G33" i="8"/>
  <c r="E31" i="8"/>
  <c r="F28" i="8"/>
  <c r="G25" i="8"/>
  <c r="E23" i="8"/>
  <c r="F20" i="8"/>
  <c r="G17" i="8"/>
  <c r="E15" i="8"/>
  <c r="F12" i="8"/>
  <c r="G9" i="8"/>
  <c r="E7" i="8"/>
  <c r="F4" i="8"/>
  <c r="F129" i="8"/>
  <c r="G126" i="8"/>
  <c r="E124" i="8"/>
  <c r="F121" i="8"/>
  <c r="G118" i="8"/>
  <c r="E116" i="8"/>
  <c r="F113" i="8"/>
  <c r="G110" i="8"/>
  <c r="E108" i="8"/>
  <c r="F105" i="8"/>
  <c r="G102" i="8"/>
  <c r="E100" i="8"/>
  <c r="F97" i="8"/>
  <c r="G94" i="8"/>
  <c r="E92" i="8"/>
  <c r="F89" i="8"/>
  <c r="G86" i="8"/>
  <c r="E84" i="8"/>
  <c r="F81" i="8"/>
  <c r="G78" i="8"/>
  <c r="E76" i="8"/>
  <c r="F73" i="8"/>
  <c r="G70" i="8"/>
  <c r="E68" i="8"/>
  <c r="F65" i="8"/>
  <c r="G62" i="8"/>
  <c r="E60" i="8"/>
  <c r="F57" i="8"/>
  <c r="G54" i="8"/>
  <c r="E52" i="8"/>
  <c r="F49" i="8"/>
  <c r="G46" i="8"/>
  <c r="E44" i="8"/>
  <c r="F41" i="8"/>
  <c r="G38" i="8"/>
  <c r="E36" i="8"/>
  <c r="F33" i="8"/>
  <c r="G30" i="8"/>
  <c r="E28" i="8"/>
  <c r="F25" i="8"/>
  <c r="G22" i="8"/>
  <c r="E20" i="8"/>
  <c r="F17" i="8"/>
  <c r="G14" i="8"/>
  <c r="E12" i="8"/>
  <c r="F9" i="8"/>
  <c r="G6" i="8"/>
  <c r="E4" i="8"/>
  <c r="E126" i="8"/>
  <c r="F115" i="8"/>
  <c r="E110" i="8"/>
  <c r="G104" i="8"/>
  <c r="F99" i="8"/>
  <c r="E94" i="8"/>
  <c r="G88" i="8"/>
  <c r="F83" i="8"/>
  <c r="E78" i="8"/>
  <c r="G72" i="8"/>
  <c r="F67" i="8"/>
  <c r="F59" i="8"/>
  <c r="E54" i="8"/>
  <c r="E46" i="8"/>
  <c r="E38" i="8"/>
  <c r="E22" i="8"/>
  <c r="G8" i="8"/>
  <c r="E123" i="8"/>
  <c r="G109" i="8"/>
  <c r="G93" i="8"/>
  <c r="G77" i="8"/>
  <c r="F64" i="8"/>
  <c r="E51" i="8"/>
  <c r="F40" i="8"/>
  <c r="G29" i="8"/>
  <c r="F16" i="8"/>
  <c r="G5" i="8"/>
  <c r="E129" i="8"/>
  <c r="F126" i="8"/>
  <c r="G123" i="8"/>
  <c r="E121" i="8"/>
  <c r="F118" i="8"/>
  <c r="G115" i="8"/>
  <c r="E113" i="8"/>
  <c r="F110" i="8"/>
  <c r="G107" i="8"/>
  <c r="E105" i="8"/>
  <c r="F102" i="8"/>
  <c r="G99" i="8"/>
  <c r="E97" i="8"/>
  <c r="F94" i="8"/>
  <c r="G91" i="8"/>
  <c r="E89" i="8"/>
  <c r="F86" i="8"/>
  <c r="G83" i="8"/>
  <c r="E81" i="8"/>
  <c r="F78" i="8"/>
  <c r="G75" i="8"/>
  <c r="E73" i="8"/>
  <c r="F70" i="8"/>
  <c r="G67" i="8"/>
  <c r="E65" i="8"/>
  <c r="F62" i="8"/>
  <c r="G59" i="8"/>
  <c r="E57" i="8"/>
  <c r="F54" i="8"/>
  <c r="G51" i="8"/>
  <c r="E49" i="8"/>
  <c r="F46" i="8"/>
  <c r="G43" i="8"/>
  <c r="E41" i="8"/>
  <c r="F38" i="8"/>
  <c r="G35" i="8"/>
  <c r="E33" i="8"/>
  <c r="F30" i="8"/>
  <c r="G27" i="8"/>
  <c r="E25" i="8"/>
  <c r="F22" i="8"/>
  <c r="G19" i="8"/>
  <c r="E17" i="8"/>
  <c r="F14" i="8"/>
  <c r="G11" i="8"/>
  <c r="E9" i="8"/>
  <c r="F6" i="8"/>
  <c r="G3" i="8"/>
  <c r="G128" i="8"/>
  <c r="G112" i="8"/>
  <c r="F107" i="8"/>
  <c r="E102" i="8"/>
  <c r="G96" i="8"/>
  <c r="F91" i="8"/>
  <c r="E86" i="8"/>
  <c r="G80" i="8"/>
  <c r="F75" i="8"/>
  <c r="E62" i="8"/>
  <c r="G56" i="8"/>
  <c r="F43" i="8"/>
  <c r="F35" i="8"/>
  <c r="E30" i="8"/>
  <c r="G16" i="8"/>
  <c r="F3" i="8"/>
  <c r="F120" i="8"/>
  <c r="F104" i="8"/>
  <c r="E91" i="8"/>
  <c r="E75" i="8"/>
  <c r="E59" i="8"/>
  <c r="E19" i="8"/>
  <c r="N11" i="6"/>
  <c r="N17" i="6"/>
  <c r="N8" i="6"/>
  <c r="N10" i="6"/>
  <c r="N19" i="6"/>
  <c r="N7" i="6"/>
  <c r="N16" i="6"/>
  <c r="N18" i="6"/>
  <c r="N13" i="6"/>
  <c r="N12" i="6"/>
  <c r="N15" i="6"/>
  <c r="N9" i="6"/>
  <c r="N20" i="6"/>
  <c r="N14" i="6"/>
  <c r="E2" i="3" a="1"/>
  <c r="C3" i="2"/>
  <c r="K7" i="1"/>
  <c r="L7" i="1" s="1"/>
  <c r="L7" i="2" l="1"/>
  <c r="K7" i="2"/>
  <c r="K8" i="1"/>
  <c r="K8" i="2" s="1"/>
  <c r="G20" i="2"/>
  <c r="E112" i="3"/>
  <c r="G90" i="3"/>
  <c r="F69" i="3"/>
  <c r="E48" i="3"/>
  <c r="F5" i="3"/>
  <c r="G92" i="3"/>
  <c r="F71" i="3"/>
  <c r="E50" i="3"/>
  <c r="G28" i="3"/>
  <c r="F7" i="3"/>
  <c r="F116" i="3"/>
  <c r="E95" i="3"/>
  <c r="F52" i="3"/>
  <c r="G9" i="3"/>
  <c r="G72" i="3"/>
  <c r="F72" i="3"/>
  <c r="E45" i="3"/>
  <c r="F10" i="3"/>
  <c r="G48" i="3"/>
  <c r="E57" i="3"/>
  <c r="F6" i="3"/>
  <c r="F110" i="3"/>
  <c r="G130" i="3"/>
  <c r="F109" i="3"/>
  <c r="E88" i="3"/>
  <c r="G66" i="3"/>
  <c r="F45" i="3"/>
  <c r="E24" i="3"/>
  <c r="G2" i="3"/>
  <c r="F111" i="3"/>
  <c r="E90" i="3"/>
  <c r="G68" i="3"/>
  <c r="F47" i="3"/>
  <c r="E26" i="3"/>
  <c r="G4" i="3"/>
  <c r="G113" i="3"/>
  <c r="F92" i="3"/>
  <c r="E71" i="3"/>
  <c r="G49" i="3"/>
  <c r="F28" i="3"/>
  <c r="E7" i="3"/>
  <c r="G112" i="3"/>
  <c r="F91" i="3"/>
  <c r="E70" i="3"/>
  <c r="F112" i="3"/>
  <c r="E91" i="3"/>
  <c r="G69" i="3"/>
  <c r="F48" i="3"/>
  <c r="E27" i="3"/>
  <c r="G5" i="3"/>
  <c r="G87" i="3"/>
  <c r="G39" i="3"/>
  <c r="F105" i="3"/>
  <c r="F94" i="3"/>
  <c r="E44" i="3"/>
  <c r="E113" i="3"/>
  <c r="E129" i="3"/>
  <c r="G71" i="3"/>
  <c r="G27" i="3"/>
  <c r="F58" i="3"/>
  <c r="E92" i="3"/>
  <c r="F43" i="3"/>
  <c r="G126" i="3"/>
  <c r="F97" i="3"/>
  <c r="G46" i="3"/>
  <c r="E4" i="3"/>
  <c r="G8" i="3"/>
  <c r="G35" i="3"/>
  <c r="G19" i="3"/>
  <c r="E62" i="3"/>
  <c r="E14" i="3"/>
  <c r="G41" i="3"/>
  <c r="G104" i="3"/>
  <c r="F104" i="3"/>
  <c r="F40" i="3"/>
  <c r="G123" i="3"/>
  <c r="E73" i="3"/>
  <c r="G107" i="3"/>
  <c r="G127" i="3"/>
  <c r="E21" i="3"/>
  <c r="G67" i="3"/>
  <c r="G103" i="3"/>
  <c r="E59" i="3"/>
  <c r="F16" i="3"/>
  <c r="E61" i="3"/>
  <c r="E53" i="3"/>
  <c r="G64" i="3"/>
  <c r="F46" i="3"/>
  <c r="E128" i="3"/>
  <c r="G106" i="3"/>
  <c r="F85" i="3"/>
  <c r="E64" i="3"/>
  <c r="G42" i="3"/>
  <c r="F21" i="3"/>
  <c r="E130" i="3"/>
  <c r="G108" i="3"/>
  <c r="F87" i="3"/>
  <c r="E66" i="3"/>
  <c r="G44" i="3"/>
  <c r="F23" i="3"/>
  <c r="E2" i="3"/>
  <c r="E111" i="3"/>
  <c r="G89" i="3"/>
  <c r="F68" i="3"/>
  <c r="E47" i="3"/>
  <c r="G25" i="3"/>
  <c r="F4" i="3"/>
  <c r="E110" i="3"/>
  <c r="G88" i="3"/>
  <c r="F67" i="3"/>
  <c r="G109" i="3"/>
  <c r="F88" i="3"/>
  <c r="E67" i="3"/>
  <c r="G45" i="3"/>
  <c r="F24" i="3"/>
  <c r="E3" i="3"/>
  <c r="E81" i="3"/>
  <c r="F34" i="3"/>
  <c r="G31" i="3"/>
  <c r="G86" i="3"/>
  <c r="G38" i="3"/>
  <c r="F98" i="3"/>
  <c r="F121" i="3"/>
  <c r="E65" i="3"/>
  <c r="F22" i="3"/>
  <c r="E37" i="3"/>
  <c r="E85" i="3"/>
  <c r="E38" i="3"/>
  <c r="E77" i="3"/>
  <c r="F90" i="3"/>
  <c r="F41" i="3"/>
  <c r="E125" i="3"/>
  <c r="E124" i="3"/>
  <c r="G75" i="3"/>
  <c r="G110" i="3"/>
  <c r="G40" i="3"/>
  <c r="G51" i="3"/>
  <c r="E63" i="3"/>
  <c r="E83" i="3"/>
  <c r="E19" i="3"/>
  <c r="F129" i="3"/>
  <c r="G63" i="3"/>
  <c r="G11" i="3"/>
  <c r="F27" i="3"/>
  <c r="E68" i="3"/>
  <c r="F74" i="3"/>
  <c r="F125" i="3"/>
  <c r="E104" i="3"/>
  <c r="G82" i="3"/>
  <c r="F61" i="3"/>
  <c r="E40" i="3"/>
  <c r="G18" i="3"/>
  <c r="F127" i="3"/>
  <c r="E106" i="3"/>
  <c r="G84" i="3"/>
  <c r="F63" i="3"/>
  <c r="E42" i="3"/>
  <c r="G20" i="3"/>
  <c r="G129" i="3"/>
  <c r="F108" i="3"/>
  <c r="E87" i="3"/>
  <c r="G65" i="3"/>
  <c r="F44" i="3"/>
  <c r="E23" i="3"/>
  <c r="G128" i="3"/>
  <c r="F107" i="3"/>
  <c r="E86" i="3"/>
  <c r="F128" i="3"/>
  <c r="E107" i="3"/>
  <c r="G85" i="3"/>
  <c r="F64" i="3"/>
  <c r="E43" i="3"/>
  <c r="G21" i="3"/>
  <c r="F130" i="3"/>
  <c r="F73" i="3"/>
  <c r="E29" i="3"/>
  <c r="E5" i="3"/>
  <c r="G79" i="3"/>
  <c r="F33" i="3"/>
  <c r="E84" i="3"/>
  <c r="F114" i="3"/>
  <c r="G59" i="3"/>
  <c r="E17" i="3"/>
  <c r="G15" i="3"/>
  <c r="F78" i="3"/>
  <c r="G32" i="3"/>
  <c r="G47" i="3"/>
  <c r="G83" i="3"/>
  <c r="E36" i="3"/>
  <c r="E97" i="3"/>
  <c r="G95" i="3"/>
  <c r="F30" i="3"/>
  <c r="F14" i="3"/>
  <c r="F19" i="3"/>
  <c r="G102" i="3"/>
  <c r="G105" i="3"/>
  <c r="F83" i="3"/>
  <c r="G61" i="3"/>
  <c r="G23" i="3"/>
  <c r="E28" i="3"/>
  <c r="F54" i="3"/>
  <c r="G70" i="3"/>
  <c r="G30" i="3"/>
  <c r="E30" i="3"/>
  <c r="G37" i="3"/>
  <c r="E116" i="3"/>
  <c r="F18" i="3"/>
  <c r="F65" i="3"/>
  <c r="E100" i="3"/>
  <c r="E121" i="3"/>
  <c r="E69" i="3"/>
  <c r="G122" i="3"/>
  <c r="F101" i="3"/>
  <c r="E80" i="3"/>
  <c r="G58" i="3"/>
  <c r="F37" i="3"/>
  <c r="E16" i="3"/>
  <c r="G124" i="3"/>
  <c r="F103" i="3"/>
  <c r="E82" i="3"/>
  <c r="G60" i="3"/>
  <c r="F39" i="3"/>
  <c r="E18" i="3"/>
  <c r="E127" i="3"/>
  <c r="F84" i="3"/>
  <c r="F20" i="3"/>
  <c r="E126" i="3"/>
  <c r="G125" i="3"/>
  <c r="F66" i="3"/>
  <c r="E76" i="3"/>
  <c r="F122" i="3"/>
  <c r="E22" i="3"/>
  <c r="E46" i="3"/>
  <c r="E120" i="3"/>
  <c r="G98" i="3"/>
  <c r="F77" i="3"/>
  <c r="E56" i="3"/>
  <c r="G34" i="3"/>
  <c r="F13" i="3"/>
  <c r="E122" i="3"/>
  <c r="G100" i="3"/>
  <c r="F79" i="3"/>
  <c r="E58" i="3"/>
  <c r="G36" i="3"/>
  <c r="F15" i="3"/>
  <c r="F124" i="3"/>
  <c r="E103" i="3"/>
  <c r="G81" i="3"/>
  <c r="F60" i="3"/>
  <c r="E39" i="3"/>
  <c r="G17" i="3"/>
  <c r="F123" i="3"/>
  <c r="E102" i="3"/>
  <c r="G80" i="3"/>
  <c r="E123" i="3"/>
  <c r="G101" i="3"/>
  <c r="F80" i="3"/>
  <c r="F117" i="3"/>
  <c r="E96" i="3"/>
  <c r="G74" i="3"/>
  <c r="F53" i="3"/>
  <c r="E32" i="3"/>
  <c r="G10" i="3"/>
  <c r="F119" i="3"/>
  <c r="E98" i="3"/>
  <c r="G76" i="3"/>
  <c r="F55" i="3"/>
  <c r="E34" i="3"/>
  <c r="G12" i="3"/>
  <c r="G121" i="3"/>
  <c r="F100" i="3"/>
  <c r="E79" i="3"/>
  <c r="G57" i="3"/>
  <c r="F36" i="3"/>
  <c r="E15" i="3"/>
  <c r="G120" i="3"/>
  <c r="F99" i="3"/>
  <c r="E78" i="3"/>
  <c r="F120" i="3"/>
  <c r="E99" i="3"/>
  <c r="G77" i="3"/>
  <c r="F56" i="3"/>
  <c r="E35" i="3"/>
  <c r="G13" i="3"/>
  <c r="E109" i="3"/>
  <c r="G55" i="3"/>
  <c r="E13" i="3"/>
  <c r="G115" i="3"/>
  <c r="E60" i="3"/>
  <c r="F17" i="3"/>
  <c r="F42" i="3"/>
  <c r="E93" i="3"/>
  <c r="G43" i="3"/>
  <c r="G119" i="3"/>
  <c r="F113" i="3"/>
  <c r="F59" i="3"/>
  <c r="G16" i="3"/>
  <c r="G118" i="3"/>
  <c r="G62" i="3"/>
  <c r="E20" i="3"/>
  <c r="E25" i="3"/>
  <c r="G24" i="3"/>
  <c r="F89" i="3"/>
  <c r="F51" i="3"/>
  <c r="F81" i="3"/>
  <c r="G26" i="3"/>
  <c r="F115" i="3"/>
  <c r="G93" i="3"/>
  <c r="G29" i="3"/>
  <c r="G94" i="3"/>
  <c r="E101" i="3"/>
  <c r="G6" i="3"/>
  <c r="E33" i="3"/>
  <c r="F70" i="3"/>
  <c r="E6" i="3"/>
  <c r="E52" i="3"/>
  <c r="F82" i="3"/>
  <c r="E89" i="3"/>
  <c r="G22" i="3"/>
  <c r="F126" i="3"/>
  <c r="E9" i="3"/>
  <c r="G114" i="3"/>
  <c r="F93" i="3"/>
  <c r="E72" i="3"/>
  <c r="G50" i="3"/>
  <c r="F29" i="3"/>
  <c r="E8" i="3"/>
  <c r="G116" i="3"/>
  <c r="F95" i="3"/>
  <c r="E74" i="3"/>
  <c r="G52" i="3"/>
  <c r="F31" i="3"/>
  <c r="E10" i="3"/>
  <c r="E119" i="3"/>
  <c r="G97" i="3"/>
  <c r="F76" i="3"/>
  <c r="E55" i="3"/>
  <c r="G33" i="3"/>
  <c r="F12" i="3"/>
  <c r="E118" i="3"/>
  <c r="G96" i="3"/>
  <c r="F75" i="3"/>
  <c r="G117" i="3"/>
  <c r="F96" i="3"/>
  <c r="E75" i="3"/>
  <c r="G53" i="3"/>
  <c r="F32" i="3"/>
  <c r="E11" i="3"/>
  <c r="F102" i="3"/>
  <c r="F50" i="3"/>
  <c r="G7" i="3"/>
  <c r="E108" i="3"/>
  <c r="G54" i="3"/>
  <c r="E12" i="3"/>
  <c r="F26" i="3"/>
  <c r="F86" i="3"/>
  <c r="F38" i="3"/>
  <c r="G91" i="3"/>
  <c r="F106" i="3"/>
  <c r="E54" i="3"/>
  <c r="F11" i="3"/>
  <c r="G111" i="3"/>
  <c r="F57" i="3"/>
  <c r="G14" i="3"/>
  <c r="G3" i="3"/>
  <c r="F3" i="3"/>
  <c r="F62" i="3"/>
  <c r="E117" i="3"/>
  <c r="G56" i="3"/>
  <c r="E114" i="3"/>
  <c r="G73" i="3"/>
  <c r="E31" i="3"/>
  <c r="E94" i="3"/>
  <c r="E115" i="3"/>
  <c r="E51" i="3"/>
  <c r="F8" i="3"/>
  <c r="F2" i="3"/>
  <c r="F49" i="3"/>
  <c r="G78" i="3"/>
  <c r="G99" i="3"/>
  <c r="E105" i="3"/>
  <c r="F9" i="3"/>
  <c r="E41" i="3"/>
  <c r="F35" i="3"/>
  <c r="E49" i="3"/>
  <c r="F25" i="3"/>
  <c r="F118" i="3"/>
  <c r="P14" i="6"/>
  <c r="P10" i="6"/>
  <c r="P20" i="6"/>
  <c r="P12" i="6"/>
  <c r="P13" i="6"/>
  <c r="P8" i="6"/>
  <c r="P18" i="6"/>
  <c r="P17" i="6"/>
  <c r="P16" i="6"/>
  <c r="P15" i="6"/>
  <c r="P7" i="6"/>
  <c r="P11" i="6"/>
  <c r="P19" i="6"/>
  <c r="P9" i="6"/>
  <c r="D7" i="11"/>
  <c r="N7" i="11" s="1"/>
  <c r="O7" i="11" s="1"/>
  <c r="L8" i="1"/>
  <c r="Q7" i="11" l="1"/>
  <c r="L8" i="2"/>
  <c r="K9" i="1"/>
  <c r="K9" i="2" s="1"/>
  <c r="D8" i="11"/>
  <c r="N8" i="11" s="1"/>
  <c r="O8" i="11" s="1"/>
  <c r="L9" i="1"/>
  <c r="Q8" i="11" l="1"/>
  <c r="L9" i="2"/>
  <c r="C13" i="1"/>
  <c r="K10" i="1"/>
  <c r="K10" i="2" s="1"/>
  <c r="D9" i="11"/>
  <c r="N9" i="11" s="1"/>
  <c r="O9" i="11" s="1"/>
  <c r="L10" i="1"/>
  <c r="C3" i="1"/>
  <c r="Q9" i="11" l="1"/>
  <c r="L10" i="2"/>
  <c r="G20" i="1"/>
  <c r="D10" i="11"/>
  <c r="N10" i="11" s="1"/>
  <c r="O10" i="11" s="1"/>
  <c r="G13" i="2"/>
  <c r="G13" i="1"/>
  <c r="G27" i="1" s="1" a="1"/>
  <c r="Q10" i="11" l="1"/>
  <c r="G28" i="1"/>
  <c r="G29" i="1"/>
  <c r="G27" i="1"/>
  <c r="G30" i="1"/>
  <c r="D11" i="11"/>
  <c r="N11" i="11" s="1"/>
  <c r="O11" i="11" s="1"/>
  <c r="G31" i="1"/>
  <c r="Q11" i="11" l="1"/>
  <c r="D12" i="11"/>
  <c r="N12" i="11" s="1"/>
  <c r="O12" i="11" s="1"/>
  <c r="G27" i="2" a="1"/>
  <c r="D23" i="7" a="1"/>
  <c r="Q12" i="11" l="1"/>
  <c r="D25" i="7"/>
  <c r="D26" i="7"/>
  <c r="D24" i="7"/>
  <c r="D23" i="7"/>
  <c r="G27" i="2"/>
  <c r="G28" i="2"/>
  <c r="G29" i="2"/>
  <c r="G30" i="2"/>
  <c r="D27" i="7"/>
  <c r="D13" i="11"/>
  <c r="N13" i="11" s="1"/>
  <c r="O13" i="11" s="1"/>
  <c r="E28" i="5" a="1"/>
  <c r="G31" i="2"/>
  <c r="Q13" i="11" l="1"/>
  <c r="E29" i="5"/>
  <c r="E28" i="5"/>
  <c r="E30" i="5"/>
  <c r="E31" i="5"/>
  <c r="D14" i="11"/>
  <c r="N14" i="11" s="1"/>
  <c r="O14" i="11" s="1"/>
  <c r="F20" i="9" a="1"/>
  <c r="E32" i="5"/>
  <c r="Q14" i="11" l="1"/>
  <c r="F21" i="9"/>
  <c r="F23" i="9"/>
  <c r="F22" i="9"/>
  <c r="F20" i="9"/>
  <c r="D15" i="11"/>
  <c r="N15" i="11" s="1"/>
  <c r="O15" i="11" s="1"/>
  <c r="Q15" i="11" l="1"/>
  <c r="D16" i="11"/>
  <c r="N16" i="11" s="1"/>
  <c r="O16" i="11" s="1"/>
  <c r="Q16" i="11" l="1"/>
  <c r="D17" i="11"/>
  <c r="N17" i="11" s="1"/>
  <c r="O17" i="11" s="1"/>
  <c r="Q17" i="11" l="1"/>
  <c r="D18" i="11"/>
  <c r="N18" i="11" s="1"/>
  <c r="O18" i="11" s="1"/>
  <c r="Q18" i="11" l="1"/>
  <c r="D19" i="11"/>
  <c r="N19" i="11" s="1"/>
  <c r="O19" i="11" s="1"/>
  <c r="D20" i="11"/>
  <c r="N20" i="11" s="1"/>
  <c r="O20" i="11" s="1"/>
  <c r="Q20" i="11" l="1"/>
  <c r="Q19" i="11"/>
</calcChain>
</file>

<file path=xl/sharedStrings.xml><?xml version="1.0" encoding="utf-8"?>
<sst xmlns="http://schemas.openxmlformats.org/spreadsheetml/2006/main" count="1325" uniqueCount="366">
  <si>
    <t>Curve Generator Handle</t>
  </si>
  <si>
    <t>MARKETDATAPROPERTIES</t>
  </si>
  <si>
    <t xml:space="preserve"> </t>
  </si>
  <si>
    <t>OIS</t>
  </si>
  <si>
    <t>Term</t>
  </si>
  <si>
    <t>Rate</t>
  </si>
  <si>
    <t>StartDate</t>
  </si>
  <si>
    <t>EndDate</t>
  </si>
  <si>
    <t>Volatility</t>
  </si>
  <si>
    <t>CURVEPROPERTIES</t>
  </si>
  <si>
    <t>Currency</t>
  </si>
  <si>
    <t>USD</t>
  </si>
  <si>
    <t>ON</t>
  </si>
  <si>
    <t>CurveType</t>
  </si>
  <si>
    <t>ARR</t>
  </si>
  <si>
    <t>1W</t>
  </si>
  <si>
    <t>CurveIndexFrequency</t>
  </si>
  <si>
    <t>DAILY</t>
  </si>
  <si>
    <t>FUTURE1</t>
  </si>
  <si>
    <t>SOFR FUTURE</t>
  </si>
  <si>
    <t>StaticDataTable</t>
  </si>
  <si>
    <t>SOFR</t>
  </si>
  <si>
    <t>AsOfDate</t>
  </si>
  <si>
    <t>FUTURE2</t>
  </si>
  <si>
    <t>IndexName</t>
  </si>
  <si>
    <t>FUTURE3</t>
  </si>
  <si>
    <t>FUTURE4</t>
  </si>
  <si>
    <t>interpolation</t>
  </si>
  <si>
    <t>FN_SPLINEINTERPOLATION</t>
  </si>
  <si>
    <t>Create Market Data Handle</t>
  </si>
  <si>
    <t>2Y</t>
  </si>
  <si>
    <t>yieldgen.interpolation</t>
  </si>
  <si>
    <t>Handle Name</t>
  </si>
  <si>
    <t>USD_OIS_CURVE_MARKETDATA</t>
  </si>
  <si>
    <t>Market Data Handle</t>
  </si>
  <si>
    <t>5Y</t>
  </si>
  <si>
    <t>7Y</t>
  </si>
  <si>
    <t>calendar</t>
  </si>
  <si>
    <t>NYB</t>
  </si>
  <si>
    <t>10Y</t>
  </si>
  <si>
    <t>daycount</t>
  </si>
  <si>
    <t>ACT/360</t>
  </si>
  <si>
    <t>12Y</t>
  </si>
  <si>
    <t>frequency</t>
  </si>
  <si>
    <t>ANNUAL</t>
  </si>
  <si>
    <t>Curve Dictionary</t>
  </si>
  <si>
    <t>15Y</t>
  </si>
  <si>
    <t>generatemethod</t>
  </si>
  <si>
    <t>DAILYCOMPOUNDING</t>
  </si>
  <si>
    <t>CURVE_USDSOFR</t>
  </si>
  <si>
    <t>20Y</t>
  </si>
  <si>
    <t>resetlag</t>
  </si>
  <si>
    <t>2D</t>
  </si>
  <si>
    <t>Curve Generator</t>
  </si>
  <si>
    <t>25Y</t>
  </si>
  <si>
    <t>firstrate</t>
  </si>
  <si>
    <t>SHORTMARKET</t>
  </si>
  <si>
    <t>Domestic Curve Collection</t>
  </si>
  <si>
    <t>USDYC</t>
  </si>
  <si>
    <t>30Y</t>
  </si>
  <si>
    <t>slidingrule</t>
  </si>
  <si>
    <t>MOD_FOLLOWING</t>
  </si>
  <si>
    <t>Foreign Curve Collection</t>
  </si>
  <si>
    <t>40Y</t>
  </si>
  <si>
    <t>eomday</t>
  </si>
  <si>
    <t>31</t>
  </si>
  <si>
    <t>50Y</t>
  </si>
  <si>
    <t>iseomroll</t>
  </si>
  <si>
    <t>TRUE</t>
  </si>
  <si>
    <t>shorttermconvention</t>
  </si>
  <si>
    <t>ARITHMETICAVERAGE</t>
  </si>
  <si>
    <t>longterm.generatemethod</t>
  </si>
  <si>
    <t>NONE</t>
  </si>
  <si>
    <t>Curve Build</t>
  </si>
  <si>
    <t>Epsilon</t>
  </si>
  <si>
    <t>MaxLoop</t>
  </si>
  <si>
    <t>1000</t>
  </si>
  <si>
    <t>Curve Collection</t>
  </si>
  <si>
    <t>CompoundingMethod</t>
  </si>
  <si>
    <t>ARITHMETIC</t>
  </si>
  <si>
    <t>Curve Index</t>
  </si>
  <si>
    <t>SmoothShortEnd</t>
  </si>
  <si>
    <t>FALSE</t>
  </si>
  <si>
    <t>Calibration Time Taken</t>
  </si>
  <si>
    <t>Curve Loaded</t>
  </si>
  <si>
    <t>MPC1</t>
  </si>
  <si>
    <t>FED FUND MPC SWAP</t>
  </si>
  <si>
    <t>MPC2</t>
  </si>
  <si>
    <t>MPC3</t>
  </si>
  <si>
    <t>MPC4</t>
  </si>
  <si>
    <t>dfCurveName</t>
  </si>
  <si>
    <t>CURVE_USDOIS</t>
  </si>
  <si>
    <t>CurveCollection</t>
  </si>
  <si>
    <t>CurveIndex</t>
  </si>
  <si>
    <t>FN_LINEARSPLINEINTERPOLATION</t>
  </si>
  <si>
    <t>InterpolationJoinDate</t>
  </si>
  <si>
    <t>VALUATION DATE</t>
  </si>
  <si>
    <t>INSTRUMENT TICKERS</t>
  </si>
  <si>
    <t>EUR EONIA CURVE GENERATOR TEMPLATE</t>
  </si>
  <si>
    <t>EUR ESTR CURVE GENERATOR TEMPLATE</t>
  </si>
  <si>
    <t>1D</t>
  </si>
  <si>
    <t>EONIA Index</t>
  </si>
  <si>
    <t>Create Template</t>
  </si>
  <si>
    <t>2W</t>
  </si>
  <si>
    <t>EUSWE2Z BGN  Curncy</t>
  </si>
  <si>
    <t>Object Name</t>
  </si>
  <si>
    <t>EUR_EONIA_CURVE_GENERATOR</t>
  </si>
  <si>
    <t>EUR_ESTR_CURVE_GENERATOR</t>
  </si>
  <si>
    <t>EUR_EONIA_SWAP</t>
  </si>
  <si>
    <t>EUR_ESTR_SWAP</t>
  </si>
  <si>
    <t>1M</t>
  </si>
  <si>
    <t>EUSWEA BGN  Curncy</t>
  </si>
  <si>
    <t>2M</t>
  </si>
  <si>
    <t>EUSWEB BGN  Curncy</t>
  </si>
  <si>
    <t>3M</t>
  </si>
  <si>
    <t>EUSWEC BGN  Curncy</t>
  </si>
  <si>
    <t>4M</t>
  </si>
  <si>
    <t>EUSWED BGN  Curncy</t>
  </si>
  <si>
    <t>LEGTYPE</t>
  </si>
  <si>
    <t>Leg1:Fixed</t>
  </si>
  <si>
    <t>Leg2:Float</t>
  </si>
  <si>
    <t>5M</t>
  </si>
  <si>
    <t>EUSWEE BGN  Curncy</t>
  </si>
  <si>
    <t>LEVERAGE</t>
  </si>
  <si>
    <t>1</t>
  </si>
  <si>
    <t>6M</t>
  </si>
  <si>
    <t>EUSWEF BGN  Curncy</t>
  </si>
  <si>
    <t>FORECASTCURVE</t>
  </si>
  <si>
    <t>EONIA</t>
  </si>
  <si>
    <t>1Y</t>
  </si>
  <si>
    <t>EUSWE1 BGN  Curncy</t>
  </si>
  <si>
    <t>DISCOUNTCURVE</t>
  </si>
  <si>
    <t>18M</t>
  </si>
  <si>
    <t>EUSWE1F BGN  Curncy</t>
  </si>
  <si>
    <t>EUR</t>
  </si>
  <si>
    <t>COMPOUNDMETHOD</t>
  </si>
  <si>
    <t>GEOMETRIC</t>
  </si>
  <si>
    <t>EUSWE2 BGN  Curncy</t>
  </si>
  <si>
    <t>NOTIONALEXCHANGE</t>
  </si>
  <si>
    <t>VALUATIONCURRENCY</t>
  </si>
  <si>
    <t>3Y</t>
  </si>
  <si>
    <t>EUSWE3 BGN  Curncy</t>
  </si>
  <si>
    <t>CURRENCY</t>
  </si>
  <si>
    <t>4Y</t>
  </si>
  <si>
    <t>EUSWE4 BGN  Curncy</t>
  </si>
  <si>
    <t>ACCRUALFREQUENCY</t>
  </si>
  <si>
    <t>EUSWE5 BGN  Curncy</t>
  </si>
  <si>
    <t>ACCRUALBUSINESSDAYADJUSTMENT</t>
  </si>
  <si>
    <t>6Y</t>
  </si>
  <si>
    <t>EUSWE6 BGN  Curncy</t>
  </si>
  <si>
    <t>TGT</t>
  </si>
  <si>
    <t>ACCRUALCALENDAR</t>
  </si>
  <si>
    <t>EUSWE7 BGN  Curncy</t>
  </si>
  <si>
    <t>ACCRUALDAYCOUNT</t>
  </si>
  <si>
    <t>8Y</t>
  </si>
  <si>
    <t>EUSWE8 BGN  Curncy</t>
  </si>
  <si>
    <t>PAYMENTFREQUENCY</t>
  </si>
  <si>
    <t/>
  </si>
  <si>
    <t>9Y</t>
  </si>
  <si>
    <t>EUSWE9 BGN  Curncy</t>
  </si>
  <si>
    <t>PAYMENTBUSINESSDAYADJUSTMENT</t>
  </si>
  <si>
    <t>EUSWE10 BGN  Curncy</t>
  </si>
  <si>
    <t>PAYMENTCALENDAR</t>
  </si>
  <si>
    <t>11Y</t>
  </si>
  <si>
    <t>EUSWE11 BGN  Curncy</t>
  </si>
  <si>
    <t>PAYMENTLAG</t>
  </si>
  <si>
    <t>0D</t>
  </si>
  <si>
    <t>EUSWE12 BGN  Curncy</t>
  </si>
  <si>
    <t>FIRSTSTUBDATE</t>
  </si>
  <si>
    <t>EUSWE15 BGN  Curncy</t>
  </si>
  <si>
    <t>LASTSTUBDATE</t>
  </si>
  <si>
    <t>EUSWE20 BGN  Curncy</t>
  </si>
  <si>
    <t>ROLLDAY</t>
  </si>
  <si>
    <t>NORMAL</t>
  </si>
  <si>
    <t>EUSWE25 BGN  Curncy</t>
  </si>
  <si>
    <t>STUBTYPE</t>
  </si>
  <si>
    <t>SHORTSTART</t>
  </si>
  <si>
    <t>EUSWE30 BGN  Curncy</t>
  </si>
  <si>
    <t>longtermconvention</t>
  </si>
  <si>
    <t>FIXINGBUSINESSDAYADJUSTMENT</t>
  </si>
  <si>
    <t>longterm</t>
  </si>
  <si>
    <t>100Y</t>
  </si>
  <si>
    <t>FIXINGCALENDAR</t>
  </si>
  <si>
    <t>EUSWE40 BGN  Curncy</t>
  </si>
  <si>
    <t>FIXINGLAG</t>
  </si>
  <si>
    <t>EUSWE50 BGN  Curncy</t>
  </si>
  <si>
    <t>0.0000000001</t>
  </si>
  <si>
    <t>FIXINGADVANCEORARREAR</t>
  </si>
  <si>
    <t>FIRSTSTUBCURVEINDEX</t>
  </si>
  <si>
    <t>NATURAL</t>
  </si>
  <si>
    <t>LASTSTUBCURVEINDEX</t>
  </si>
  <si>
    <t>Use</t>
  </si>
  <si>
    <t>EUR_EONIA_CURVE_MARKETDATA</t>
  </si>
  <si>
    <t>EUR_EONIA_CURVE</t>
  </si>
  <si>
    <t>EURYC</t>
  </si>
  <si>
    <t>EONIA-ESTR SPREAD</t>
  </si>
  <si>
    <t>Trade Dates</t>
  </si>
  <si>
    <t>ESTR IMPLIED PAR RATES</t>
  </si>
  <si>
    <t>Trade Booking &amp; Pricing</t>
  </si>
  <si>
    <t>Unadjusted Date !</t>
  </si>
  <si>
    <t>Swap Template</t>
  </si>
  <si>
    <t>EffectiveDate</t>
  </si>
  <si>
    <t>Calendar</t>
  </si>
  <si>
    <t>MaturityDate</t>
  </si>
  <si>
    <t>Maturity</t>
  </si>
  <si>
    <t>Generator</t>
  </si>
  <si>
    <t>PayRec</t>
  </si>
  <si>
    <t>Notional</t>
  </si>
  <si>
    <t>FixedRate</t>
  </si>
  <si>
    <t>Libor Spread (Bps)</t>
  </si>
  <si>
    <t>CreateSwap</t>
  </si>
  <si>
    <t>ParRate</t>
  </si>
  <si>
    <t>RECEIVE</t>
  </si>
  <si>
    <t>EUR_ESTR_CURVE_MARKETDATA</t>
  </si>
  <si>
    <t>EUR_ESTR_CURVE</t>
  </si>
  <si>
    <t>CURVE: EONIA</t>
  </si>
  <si>
    <t>CURVE: ESTR</t>
  </si>
  <si>
    <t>SWAP: EONIA</t>
  </si>
  <si>
    <t>SWAP: ESTR</t>
  </si>
  <si>
    <t>ESTR</t>
  </si>
  <si>
    <t>ESTRON Index</t>
  </si>
  <si>
    <t>EESWE2Z BGN  Curncy</t>
  </si>
  <si>
    <t>EESWEA BGN  Curncy</t>
  </si>
  <si>
    <t>EESWEB BGN  Curncy</t>
  </si>
  <si>
    <t>EESWEC BGN  Curncy</t>
  </si>
  <si>
    <t>EESWED BGN  Curncy</t>
  </si>
  <si>
    <t>EESWEE BGN  Curncy</t>
  </si>
  <si>
    <t>EESWEF BGN  Curncy</t>
  </si>
  <si>
    <t>EESWEG BGN  Curncy</t>
  </si>
  <si>
    <t>EESWEH BGN  Curncy</t>
  </si>
  <si>
    <t>EESWEI BGN  Curncy</t>
  </si>
  <si>
    <t>EESWEJ BGN  Curncy</t>
  </si>
  <si>
    <t>EESWEK BGN  Curncy</t>
  </si>
  <si>
    <t>EESWE1 BGN  Curncy</t>
  </si>
  <si>
    <t>EESWE1F BGN  Curncy</t>
  </si>
  <si>
    <t>EUSA2 BGN  Curncy</t>
  </si>
  <si>
    <t>EUSA3 BGN  Curncy</t>
  </si>
  <si>
    <t>EUSA4 BGN  Curncy</t>
  </si>
  <si>
    <t>EUSA5 BGN  Curncy</t>
  </si>
  <si>
    <t>EUSA6 BGN  Curncy</t>
  </si>
  <si>
    <t>EUSA7 BGN  Curncy</t>
  </si>
  <si>
    <t>EUSA8 BGN  Curncy</t>
  </si>
  <si>
    <t>EUSA9 BGN  Curncy</t>
  </si>
  <si>
    <t>EUSA10 BGN  Curncy</t>
  </si>
  <si>
    <t>EUSA11 BGN  Curncy</t>
  </si>
  <si>
    <t>EUSA12 BGN  Curncy</t>
  </si>
  <si>
    <t>EUSA15 BGN  Curncy</t>
  </si>
  <si>
    <t>EUSA20 BGN  Curncy</t>
  </si>
  <si>
    <t>EUSA25 BGN  Curncy</t>
  </si>
  <si>
    <t>EUSA30 BGN  Curncy</t>
  </si>
  <si>
    <t>EUSA40 BGN  Curncy</t>
  </si>
  <si>
    <t>EUSA50 BGN  Curncy</t>
  </si>
  <si>
    <t>11M</t>
  </si>
  <si>
    <t>10M</t>
  </si>
  <si>
    <t>9M</t>
  </si>
  <si>
    <t>8M</t>
  </si>
  <si>
    <t>7M</t>
  </si>
  <si>
    <t>EUSWEG BGN  Curncy</t>
  </si>
  <si>
    <t>EUSWEH BGN  Curncy</t>
  </si>
  <si>
    <t>EUSWEI BGN  Curncy</t>
  </si>
  <si>
    <t>EUSWEJ BGN  Curncy</t>
  </si>
  <si>
    <t>EUSWEK BGN  Curncy</t>
  </si>
  <si>
    <t>EONIA = ESTR + 8.5 BPS</t>
  </si>
  <si>
    <t>FXSPOTS</t>
  </si>
  <si>
    <t>XCCYSWAPS</t>
  </si>
  <si>
    <t>Ccy1</t>
  </si>
  <si>
    <t>Ccy2</t>
  </si>
  <si>
    <t>XCCYBASIS</t>
  </si>
  <si>
    <t>QUARTERLY</t>
  </si>
  <si>
    <t>FXFWDS</t>
  </si>
  <si>
    <t>CREATE MARKET DATA HANDLE</t>
  </si>
  <si>
    <t>EUR_XCCYBASIS_MARKETDATA</t>
  </si>
  <si>
    <t>XccyBasis</t>
  </si>
  <si>
    <t>CURVE DICTIONARY</t>
  </si>
  <si>
    <t>HandleName</t>
  </si>
  <si>
    <t>EUR_XCCY_CURVE</t>
  </si>
  <si>
    <t>CurveGenerator</t>
  </si>
  <si>
    <t>DomesticCurve</t>
  </si>
  <si>
    <t>ForeignCurve</t>
  </si>
  <si>
    <t>CREATE CURVE HANDLE</t>
  </si>
  <si>
    <t>basis.interpolation</t>
  </si>
  <si>
    <t>isRenotionalAdjust</t>
  </si>
  <si>
    <t>isFwdFX</t>
  </si>
  <si>
    <t>IsCurveLoaded</t>
  </si>
  <si>
    <t>mod_following</t>
  </si>
  <si>
    <t>denominator</t>
  </si>
  <si>
    <t>ispriceccy</t>
  </si>
  <si>
    <t>simple</t>
  </si>
  <si>
    <t>isratio</t>
  </si>
  <si>
    <t>MarketName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</si>
  <si>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</si>
  <si>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</si>
  <si>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</si>
  <si>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</si>
  <si>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</si>
  <si>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</si>
  <si>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</si>
  <si>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</si>
  <si>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</si>
  <si>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</si>
  <si>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</si>
  <si>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</si>
  <si>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</si>
  <si>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</si>
  <si>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</si>
  <si>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</si>
  <si>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</si>
  <si>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</si>
  <si>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leg2cashlet.slidingrule</t>
  </si>
  <si>
    <t>leg2cashlet.spotlag</t>
  </si>
  <si>
    <t>leg2forecast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</si>
  <si>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</si>
  <si>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</si>
  <si>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</si>
  <si>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</si>
  <si>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</si>
  <si>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</si>
  <si>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</si>
  <si>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</si>
  <si>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Leg1Discount</t>
  </si>
  <si>
    <t>issimultaneouseq</t>
  </si>
  <si>
    <t>fwdinterpolation</t>
  </si>
  <si>
    <t>isyieldspreadcalc</t>
  </si>
  <si>
    <t>issamegridindex</t>
  </si>
  <si>
    <t>TN</t>
  </si>
  <si>
    <t>3W</t>
  </si>
  <si>
    <t>isFwdBasis</t>
  </si>
  <si>
    <t>isFraUse</t>
  </si>
  <si>
    <t>SIMPLE</t>
  </si>
  <si>
    <t>leg2Discount</t>
  </si>
  <si>
    <t>SpotRateTerm</t>
  </si>
  <si>
    <t>isFwdInter</t>
  </si>
  <si>
    <t>ESTRDF_SOFRCSA</t>
  </si>
  <si>
    <t>Leg 1 Spread</t>
  </si>
  <si>
    <t>Leg 2 Spread</t>
  </si>
  <si>
    <t>PAY</t>
  </si>
  <si>
    <t>Leg1:FLOAT</t>
  </si>
  <si>
    <t>Leg2:FLOAT</t>
  </si>
  <si>
    <t>START_AND_END</t>
  </si>
  <si>
    <t>ShortStart</t>
  </si>
  <si>
    <t>ISFWDINTER</t>
  </si>
  <si>
    <t>CMSGENERATOR1</t>
  </si>
  <si>
    <t>CMSINDEXMATURITY1</t>
  </si>
  <si>
    <t>CMSGENERATOR2</t>
  </si>
  <si>
    <t>CMSINDEXMATURITY2</t>
  </si>
  <si>
    <t>PAYMENTTRIGGER</t>
  </si>
  <si>
    <t>CALCULATIONTYPE</t>
  </si>
  <si>
    <t>EXDIVIDENDTENOR</t>
  </si>
  <si>
    <t>EXDIVIDENDBUSINESSDAYADJUSTMENT</t>
  </si>
  <si>
    <t>Xccy Properties</t>
  </si>
  <si>
    <t>MTM</t>
  </si>
  <si>
    <t>ValuationCurrency</t>
  </si>
  <si>
    <t>NotionalFxResetLeg</t>
  </si>
  <si>
    <t>Xccy Valuation Settings</t>
  </si>
  <si>
    <t>Leg1:Float</t>
  </si>
  <si>
    <t>FXSPOT</t>
  </si>
  <si>
    <t>EUR/USD</t>
  </si>
  <si>
    <t>XCCY: ESTRDF_SOFRCSA</t>
  </si>
  <si>
    <t>TGT:NYB</t>
  </si>
  <si>
    <t>Create Xccy Swap</t>
  </si>
  <si>
    <t>ParSpread</t>
  </si>
  <si>
    <t>CurveSpread</t>
  </si>
  <si>
    <t>+/-</t>
  </si>
  <si>
    <t>FEDFUNDS</t>
  </si>
  <si>
    <t>AGAINST:SOFR</t>
  </si>
  <si>
    <t xml:space="preserve"> ...TradeDates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</si>
</sst>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0.00000%"/>
    <numFmt numFmtId="165" formatCode="#,##0.000"/>
    <numFmt numFmtId="166" formatCode="ddd\,\ d\-mmm\-yy"/>
    <numFmt numFmtId="167" formatCode="0.0000000000000000000000"/>
    <numFmt numFmtId="168" formatCode="0.0000%"/>
    <numFmt numFmtId="169" formatCode="#,##0.0"/>
    <numFmt numFmtId="171" formatCode="#,##0.000000"/>
    <numFmt numFmtId="172" formatCode="0.00000"/>
    <numFmt numFmtId="173" formatCode="#,##0.0000"/>
    <numFmt numFmtId="174" formatCode="#,##0.00000_ ;\-#,##0.00000\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6600F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82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0" borderId="0" xfId="0" applyFont="1"/>
    <xf numFmtId="0" fontId="0" fillId="2" borderId="4" xfId="0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5" xfId="0" applyFill="1" applyBorder="1"/>
    <xf numFmtId="0" fontId="6" fillId="2" borderId="6" xfId="0" applyFont="1" applyFill="1" applyBorder="1" applyAlignment="1">
      <alignment horizontal="center" vertical="center"/>
    </xf>
    <xf numFmtId="0" fontId="7" fillId="0" borderId="6" xfId="0" applyFont="1" applyFill="1" applyBorder="1"/>
    <xf numFmtId="0" fontId="2" fillId="0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15" fontId="5" fillId="0" borderId="2" xfId="0" applyNumberFormat="1" applyFont="1" applyFill="1" applyBorder="1" applyAlignment="1">
      <alignment horizontal="center" vertical="center"/>
    </xf>
    <xf numFmtId="15" fontId="6" fillId="0" borderId="3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15" fontId="6" fillId="0" borderId="7" xfId="0" applyNumberFormat="1" applyFont="1" applyFill="1" applyBorder="1" applyAlignment="1">
      <alignment horizontal="left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165" fontId="5" fillId="0" borderId="0" xfId="0" applyNumberFormat="1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/>
    <xf numFmtId="0" fontId="0" fillId="3" borderId="9" xfId="0" applyFont="1" applyFill="1" applyBorder="1"/>
    <xf numFmtId="166" fontId="5" fillId="3" borderId="9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0" fontId="6" fillId="0" borderId="9" xfId="0" applyFont="1" applyFill="1" applyBorder="1" applyAlignment="1">
      <alignment vertical="center"/>
    </xf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9" xfId="0" applyFill="1" applyBorder="1"/>
    <xf numFmtId="0" fontId="5" fillId="3" borderId="9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11" fontId="0" fillId="0" borderId="8" xfId="0" applyNumberFormat="1" applyBorder="1" applyAlignment="1">
      <alignment horizontal="left"/>
    </xf>
    <xf numFmtId="0" fontId="9" fillId="0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5" fontId="5" fillId="0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5" fillId="0" borderId="10" xfId="0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15" fontId="5" fillId="0" borderId="6" xfId="0" applyNumberFormat="1" applyFont="1" applyFill="1" applyBorder="1" applyAlignment="1">
      <alignment horizontal="center" vertical="center"/>
    </xf>
    <xf numFmtId="15" fontId="5" fillId="0" borderId="1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6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164" fontId="0" fillId="0" borderId="0" xfId="0" applyNumberFormat="1"/>
    <xf numFmtId="15" fontId="5" fillId="0" borderId="9" xfId="0" applyNumberFormat="1" applyFont="1" applyBorder="1" applyAlignment="1">
      <alignment horizontal="left"/>
    </xf>
    <xf numFmtId="0" fontId="1" fillId="3" borderId="6" xfId="0" applyNumberFormat="1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166" fontId="0" fillId="5" borderId="12" xfId="0" applyNumberFormat="1" applyFont="1" applyFill="1" applyBorder="1" applyAlignment="1">
      <alignment horizontal="center" vertical="center"/>
    </xf>
    <xf numFmtId="0" fontId="3" fillId="0" borderId="0" xfId="0" applyFont="1"/>
    <xf numFmtId="0" fontId="7" fillId="2" borderId="0" xfId="0" applyFont="1" applyFill="1" applyBorder="1"/>
    <xf numFmtId="0" fontId="0" fillId="0" borderId="0" xfId="0" applyAlignment="1">
      <alignment horizontal="center" vertical="center"/>
    </xf>
    <xf numFmtId="0" fontId="8" fillId="0" borderId="0" xfId="0" applyFont="1"/>
    <xf numFmtId="0" fontId="2" fillId="6" borderId="7" xfId="0" applyFont="1" applyFill="1" applyBorder="1" applyAlignment="1">
      <alignment horizontal="center" vertical="center"/>
    </xf>
    <xf numFmtId="0" fontId="0" fillId="3" borderId="8" xfId="0" applyFill="1" applyBorder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0" borderId="7" xfId="0" applyFont="1" applyFill="1" applyBorder="1"/>
    <xf numFmtId="15" fontId="6" fillId="0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8" xfId="0" applyFont="1" applyFill="1" applyBorder="1"/>
    <xf numFmtId="15" fontId="6" fillId="0" borderId="8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1" fontId="0" fillId="0" borderId="8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0" xfId="0" applyFont="1"/>
    <xf numFmtId="167" fontId="0" fillId="0" borderId="0" xfId="0" applyNumberFormat="1"/>
    <xf numFmtId="4" fontId="0" fillId="0" borderId="0" xfId="0" applyNumberFormat="1"/>
    <xf numFmtId="0" fontId="3" fillId="2" borderId="0" xfId="0" applyFont="1" applyFill="1"/>
    <xf numFmtId="0" fontId="8" fillId="2" borderId="0" xfId="0" applyFont="1" applyFill="1" applyBorder="1" applyAlignment="1">
      <alignment horizontal="center" vertical="center"/>
    </xf>
    <xf numFmtId="0" fontId="0" fillId="2" borderId="0" xfId="0" applyFill="1"/>
    <xf numFmtId="166" fontId="9" fillId="7" borderId="9" xfId="0" applyNumberFormat="1" applyFont="1" applyFill="1" applyBorder="1" applyAlignment="1">
      <alignment horizontal="left" vertical="center"/>
    </xf>
    <xf numFmtId="0" fontId="1" fillId="2" borderId="0" xfId="0" applyFont="1" applyFill="1"/>
    <xf numFmtId="0" fontId="9" fillId="3" borderId="9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5" fillId="0" borderId="8" xfId="0" applyFont="1" applyFill="1" applyBorder="1" applyAlignment="1">
      <alignment horizontal="left" vertical="center"/>
    </xf>
    <xf numFmtId="0" fontId="12" fillId="0" borderId="0" xfId="0" applyFont="1"/>
    <xf numFmtId="4" fontId="2" fillId="6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0" fillId="5" borderId="1" xfId="0" quotePrefix="1" applyNumberFormat="1" applyFill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169" fontId="2" fillId="6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166" fontId="5" fillId="2" borderId="0" xfId="0" applyNumberFormat="1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/>
    </xf>
    <xf numFmtId="166" fontId="0" fillId="5" borderId="4" xfId="0" quotePrefix="1" applyNumberFormat="1" applyFill="1" applyBorder="1" applyAlignment="1">
      <alignment horizontal="center" vertical="center"/>
    </xf>
    <xf numFmtId="166" fontId="0" fillId="5" borderId="0" xfId="0" applyNumberForma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3" fontId="0" fillId="5" borderId="0" xfId="0" applyNumberFormat="1" applyFill="1" applyBorder="1" applyAlignment="1">
      <alignment horizontal="center" vertical="center"/>
    </xf>
    <xf numFmtId="10" fontId="0" fillId="5" borderId="0" xfId="0" applyNumberFormat="1" applyFill="1" applyBorder="1" applyAlignment="1">
      <alignment horizontal="center" vertical="center"/>
    </xf>
    <xf numFmtId="169" fontId="2" fillId="6" borderId="5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Border="1"/>
    <xf numFmtId="166" fontId="5" fillId="2" borderId="10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166" fontId="0" fillId="5" borderId="10" xfId="0" quotePrefix="1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169" fontId="2" fillId="6" borderId="11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0" fillId="0" borderId="0" xfId="0" quotePrefix="1"/>
    <xf numFmtId="4" fontId="8" fillId="0" borderId="0" xfId="0" applyNumberFormat="1" applyFont="1" applyAlignment="1">
      <alignment horizontal="right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0" fontId="6" fillId="4" borderId="9" xfId="0" applyFont="1" applyFill="1" applyBorder="1"/>
    <xf numFmtId="0" fontId="6" fillId="4" borderId="9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14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166" fontId="9" fillId="0" borderId="9" xfId="0" applyNumberFormat="1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" fontId="9" fillId="2" borderId="0" xfId="0" applyNumberFormat="1" applyFont="1" applyFill="1" applyBorder="1" applyAlignment="1">
      <alignment horizontal="center" vertical="center"/>
    </xf>
    <xf numFmtId="4" fontId="9" fillId="2" borderId="5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0" borderId="7" xfId="0" applyFont="1" applyBorder="1"/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0" xfId="0" applyFill="1" applyBorder="1"/>
    <xf numFmtId="0" fontId="6" fillId="2" borderId="10" xfId="0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4" fontId="6" fillId="2" borderId="1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15" fontId="6" fillId="2" borderId="6" xfId="0" applyNumberFormat="1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5" fontId="6" fillId="0" borderId="2" xfId="0" applyNumberFormat="1" applyFon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4" fontId="0" fillId="5" borderId="2" xfId="0" applyNumberFormat="1" applyFill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4" fontId="0" fillId="5" borderId="0" xfId="0" applyNumberFormat="1" applyFill="1" applyBorder="1" applyAlignment="1">
      <alignment horizontal="center" vertical="center"/>
    </xf>
    <xf numFmtId="4" fontId="0" fillId="5" borderId="5" xfId="0" applyNumberFormat="1" applyFill="1" applyBorder="1" applyAlignment="1">
      <alignment horizontal="center" vertical="center"/>
    </xf>
    <xf numFmtId="0" fontId="1" fillId="0" borderId="0" xfId="0" applyFont="1" applyFill="1" applyBorder="1"/>
    <xf numFmtId="0" fontId="0" fillId="2" borderId="7" xfId="0" applyFill="1" applyBorder="1"/>
    <xf numFmtId="0" fontId="0" fillId="3" borderId="7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3" borderId="9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172" fontId="5" fillId="2" borderId="9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66" fontId="5" fillId="5" borderId="0" xfId="0" applyNumberFormat="1" applyFont="1" applyFill="1" applyBorder="1" applyAlignment="1">
      <alignment horizontal="center" vertical="center"/>
    </xf>
    <xf numFmtId="166" fontId="5" fillId="5" borderId="6" xfId="0" applyNumberFormat="1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4" fontId="0" fillId="5" borderId="6" xfId="0" applyNumberFormat="1" applyFill="1" applyBorder="1" applyAlignment="1">
      <alignment horizontal="center" vertical="center"/>
    </xf>
    <xf numFmtId="4" fontId="0" fillId="5" borderId="11" xfId="0" applyNumberFormat="1" applyFill="1" applyBorder="1" applyAlignment="1">
      <alignment horizontal="center" vertical="center"/>
    </xf>
    <xf numFmtId="0" fontId="6" fillId="3" borderId="9" xfId="0" applyFont="1" applyFill="1" applyBorder="1"/>
    <xf numFmtId="0" fontId="6" fillId="3" borderId="9" xfId="0" applyFont="1" applyFill="1" applyBorder="1" applyAlignment="1">
      <alignment horizontal="center" vertical="center"/>
    </xf>
    <xf numFmtId="0" fontId="0" fillId="0" borderId="18" xfId="0" applyBorder="1"/>
    <xf numFmtId="0" fontId="0" fillId="0" borderId="2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4" borderId="0" xfId="0" applyFill="1" applyBorder="1"/>
    <xf numFmtId="0" fontId="0" fillId="4" borderId="21" xfId="0" applyFill="1" applyBorder="1"/>
    <xf numFmtId="0" fontId="0" fillId="0" borderId="22" xfId="0" applyBorder="1"/>
    <xf numFmtId="0" fontId="0" fillId="0" borderId="25" xfId="0" applyBorder="1"/>
    <xf numFmtId="0" fontId="0" fillId="0" borderId="23" xfId="0" applyBorder="1"/>
    <xf numFmtId="0" fontId="15" fillId="6" borderId="0" xfId="0" applyFont="1" applyFill="1"/>
    <xf numFmtId="0" fontId="0" fillId="0" borderId="0" xfId="0" quotePrefix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0" borderId="0" xfId="0" applyNumberFormat="1"/>
    <xf numFmtId="0" fontId="5" fillId="0" borderId="1" xfId="0" applyFont="1" applyBorder="1"/>
    <xf numFmtId="0" fontId="5" fillId="0" borderId="4" xfId="0" applyFont="1" applyBorder="1"/>
    <xf numFmtId="0" fontId="5" fillId="0" borderId="10" xfId="0" applyFont="1" applyBorder="1"/>
    <xf numFmtId="0" fontId="0" fillId="5" borderId="0" xfId="0" applyFill="1" applyBorder="1"/>
    <xf numFmtId="0" fontId="0" fillId="5" borderId="21" xfId="0" applyFill="1" applyBorder="1"/>
    <xf numFmtId="174" fontId="6" fillId="2" borderId="11" xfId="1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 vertical="center"/>
    </xf>
    <xf numFmtId="4" fontId="5" fillId="0" borderId="0" xfId="0" applyNumberFormat="1" applyFont="1" applyBorder="1" applyAlignment="1">
      <alignment horizontal="center" vertical="center"/>
    </xf>
    <xf numFmtId="4" fontId="5" fillId="0" borderId="0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 vertical="center"/>
    </xf>
    <xf numFmtId="168" fontId="6" fillId="2" borderId="5" xfId="0" applyNumberFormat="1" applyFont="1" applyFill="1" applyBorder="1" applyAlignment="1">
      <alignment horizontal="center" vertical="center"/>
    </xf>
    <xf numFmtId="168" fontId="6" fillId="2" borderId="11" xfId="0" applyNumberFormat="1" applyFont="1" applyFill="1" applyBorder="1" applyAlignment="1">
      <alignment horizontal="center" vertical="center"/>
    </xf>
  </cellXfs>
  <cellStyles count="2">
    <cellStyle name="Comma 10 2" xfId="1"/>
    <cellStyle name="Normal" xfId="0" builtinId="0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##V3_BDPV12</stp>
        <stp>EONIA Index</stp>
        <stp>PX_LAST</stp>
        <stp>[ESTR_SOFR_XCCY.xlsx]EUR_EONIA_RFR_DISCOUNTING!R6C8</stp>
        <tr r="H6" s="5"/>
      </tp>
      <tp t="e">
        <v>#N/A</v>
        <stp/>
        <stp>##V3_BDPV12</stp>
        <stp>EUSWEK BGN  Curncy</stp>
        <stp>PX_LAST</stp>
        <stp>[ESTR_SOFR_XCCY.xlsx]EUR_EONIA_RFR_DISCOUNTING!R18C8</stp>
        <tr r="H18" s="5"/>
      </tp>
      <tp t="e">
        <v>#N/A</v>
        <stp/>
        <stp>##V3_BDPV12</stp>
        <stp>EUSWE9 BGN  Curncy</stp>
        <stp>PX_LAST</stp>
        <stp>[ESTR_SOFR_XCCY.xlsx]EUR_EONIA_RFR_DISCOUNTING!R28C8</stp>
        <tr r="H28" s="5"/>
      </tp>
      <tp t="e">
        <v>#N/A</v>
        <stp/>
        <stp>##V3_BDPV12</stp>
        <stp>EUSWE1 BGN  Curncy</stp>
        <stp>PX_LAST</stp>
        <stp>[ESTR_SOFR_XCCY.xlsx]EUR_EONIA_RFR_DISCOUNTING!R19C8</stp>
        <tr r="H19" s="5"/>
      </tp>
      <tp t="e">
        <v>#N/A</v>
        <stp/>
        <stp>##V3_BDPV12</stp>
        <stp>EUSWEG BGN  Curncy</stp>
        <stp>PX_LAST</stp>
        <stp>[ESTR_SOFR_XCCY.xlsx]EUR_EONIA_RFR_DISCOUNTING!R14C8</stp>
        <tr r="H14" s="5"/>
      </tp>
      <tp t="e">
        <v>#N/A</v>
        <stp/>
        <stp>##V3_BDPV12</stp>
        <stp>EUSWE5 BGN  Curncy</stp>
        <stp>PX_LAST</stp>
        <stp>[ESTR_SOFR_XCCY.xlsx]EUR_EONIA_RFR_DISCOUNTING!R24C8</stp>
        <tr r="H24" s="5"/>
      </tp>
      <tp t="e">
        <v>#N/A</v>
        <stp/>
        <stp>##V3_BDPV12</stp>
        <stp>EUSWEH BGN  Curncy</stp>
        <stp>PX_LAST</stp>
        <stp>[ESTR_SOFR_XCCY.xlsx]EUR_EONIA_RFR_DISCOUNTING!R15C8</stp>
        <tr r="H15" s="5"/>
      </tp>
      <tp t="e">
        <v>#N/A</v>
        <stp/>
        <stp>##V3_BDPV12</stp>
        <stp>EUSWE6 BGN  Curncy</stp>
        <stp>PX_LAST</stp>
        <stp>[ESTR_SOFR_XCCY.xlsx]EUR_EONIA_RFR_DISCOUNTING!R25C8</stp>
        <tr r="H25" s="5"/>
      </tp>
      <tp t="e">
        <v>#N/A</v>
        <stp/>
        <stp>##V3_BDPV12</stp>
        <stp>EUSWEI BGN  Curncy</stp>
        <stp>PX_LAST</stp>
        <stp>[ESTR_SOFR_XCCY.xlsx]EUR_EONIA_RFR_DISCOUNTING!R16C8</stp>
        <tr r="H16" s="5"/>
      </tp>
      <tp t="e">
        <v>#N/A</v>
        <stp/>
        <stp>##V3_BDPV12</stp>
        <stp>EUSWE7 BGN  Curncy</stp>
        <stp>PX_LAST</stp>
        <stp>[ESTR_SOFR_XCCY.xlsx]EUR_EONIA_RFR_DISCOUNTING!R26C8</stp>
        <tr r="H26" s="5"/>
      </tp>
      <tp t="e">
        <v>#N/A</v>
        <stp/>
        <stp>##V3_BDPV12</stp>
        <stp>EUSWEJ BGN  Curncy</stp>
        <stp>PX_LAST</stp>
        <stp>[ESTR_SOFR_XCCY.xlsx]EUR_EONIA_RFR_DISCOUNTING!R17C8</stp>
        <tr r="H17" s="5"/>
      </tp>
      <tp t="e">
        <v>#N/A</v>
        <stp/>
        <stp>##V3_BDPV12</stp>
        <stp>EUSWE8 BGN  Curncy</stp>
        <stp>PX_LAST</stp>
        <stp>[ESTR_SOFR_XCCY.xlsx]EUR_EONIA_RFR_DISCOUNTING!R27C8</stp>
        <tr r="H27" s="5"/>
      </tp>
      <tp t="e">
        <v>#N/A</v>
        <stp/>
        <stp>##V3_BDPV12</stp>
        <stp>EUSWEC BGN  Curncy</stp>
        <stp>PX_LAST</stp>
        <stp>[ESTR_SOFR_XCCY.xlsx]EUR_EONIA_RFR_DISCOUNTING!R10C8</stp>
        <tr r="H10" s="5"/>
      </tp>
      <tp t="e">
        <v>#N/A</v>
        <stp/>
        <stp>##V3_BDPV12</stp>
        <stp>EUSWED BGN  Curncy</stp>
        <stp>PX_LAST</stp>
        <stp>[ESTR_SOFR_XCCY.xlsx]EUR_EONIA_RFR_DISCOUNTING!R11C8</stp>
        <tr r="H11" s="5"/>
      </tp>
      <tp t="e">
        <v>#N/A</v>
        <stp/>
        <stp>##V3_BDPV12</stp>
        <stp>EUSWE2 BGN  Curncy</stp>
        <stp>PX_LAST</stp>
        <stp>[ESTR_SOFR_XCCY.xlsx]EUR_EONIA_RFR_DISCOUNTING!R21C8</stp>
        <tr r="H21" s="5"/>
      </tp>
      <tp t="e">
        <v>#N/A</v>
        <stp/>
        <stp>##V3_BDPV12</stp>
        <stp>EUSWEE BGN  Curncy</stp>
        <stp>PX_LAST</stp>
        <stp>[ESTR_SOFR_XCCY.xlsx]EUR_EONIA_RFR_DISCOUNTING!R12C8</stp>
        <tr r="H12" s="5"/>
      </tp>
      <tp t="e">
        <v>#N/A</v>
        <stp/>
        <stp>##V3_BDPV12</stp>
        <stp>EUSWE3 BGN  Curncy</stp>
        <stp>PX_LAST</stp>
        <stp>[ESTR_SOFR_XCCY.xlsx]EUR_EONIA_RFR_DISCOUNTING!R22C8</stp>
        <tr r="H22" s="5"/>
      </tp>
      <tp t="e">
        <v>#N/A</v>
        <stp/>
        <stp>##V3_BDPV12</stp>
        <stp>EUSWEF BGN  Curncy</stp>
        <stp>PX_LAST</stp>
        <stp>[ESTR_SOFR_XCCY.xlsx]EUR_EONIA_RFR_DISCOUNTING!R13C8</stp>
        <tr r="H13" s="5"/>
      </tp>
      <tp t="e">
        <v>#N/A</v>
        <stp/>
        <stp>##V3_BDPV12</stp>
        <stp>EUSWE4 BGN  Curncy</stp>
        <stp>PX_LAST</stp>
        <stp>[ESTR_SOFR_XCCY.xlsx]EUR_EONIA_RFR_DISCOUNTING!R23C8</stp>
        <tr r="H23" s="5"/>
      </tp>
      <tp t="e">
        <v>#N/A</v>
        <stp/>
        <stp>##V3_BDPV12</stp>
        <stp>EUSWE10 BGN  Curncy</stp>
        <stp>PX_LAST</stp>
        <stp>[ESTR_SOFR_XCCY.xlsx]EUR_EONIA_RFR_DISCOUNTING!R29C8</stp>
        <tr r="H29" s="5"/>
      </tp>
      <tp t="e">
        <v>#N/A</v>
        <stp/>
        <stp>##V3_BDPV12</stp>
        <stp>EUSWE15 BGN  Curncy</stp>
        <stp>PX_LAST</stp>
        <stp>[ESTR_SOFR_XCCY.xlsx]EUR_EONIA_RFR_DISCOUNTING!R32C8</stp>
        <tr r="H32" s="5"/>
      </tp>
      <tp t="e">
        <v>#N/A</v>
        <stp/>
        <stp>##V3_BDPV12</stp>
        <stp>EUSWE40 BGN  Curncy</stp>
        <stp>PX_LAST</stp>
        <stp>[ESTR_SOFR_XCCY.xlsx]EUR_EONIA_RFR_DISCOUNTING!R36C8</stp>
        <tr r="H36" s="5"/>
      </tp>
      <tp t="e">
        <v>#N/A</v>
        <stp/>
        <stp>##V3_BDPV12</stp>
        <stp>EUSWE50 BGN  Curncy</stp>
        <stp>PX_LAST</stp>
        <stp>[ESTR_SOFR_XCCY.xlsx]EUR_EONIA_RFR_DISCOUNTING!R37C8</stp>
        <tr r="H37" s="5"/>
      </tp>
      <tp t="e">
        <v>#N/A</v>
        <stp/>
        <stp>##V3_BDPV12</stp>
        <stp>EUSWE20 BGN  Curncy</stp>
        <stp>PX_LAST</stp>
        <stp>[ESTR_SOFR_XCCY.xlsx]EUR_EONIA_RFR_DISCOUNTING!R33C8</stp>
        <tr r="H33" s="5"/>
      </tp>
      <tp t="e">
        <v>#N/A</v>
        <stp/>
        <stp>##V3_BDPV12</stp>
        <stp>EUSWE11 BGN  Curncy</stp>
        <stp>PX_LAST</stp>
        <stp>[ESTR_SOFR_XCCY.xlsx]EUR_EONIA_RFR_DISCOUNTING!R30C8</stp>
        <tr r="H30" s="5"/>
      </tp>
      <tp t="e">
        <v>#N/A</v>
        <stp/>
        <stp>##V3_BDPV12</stp>
        <stp>EUSWE1F BGN  Curncy</stp>
        <stp>PX_LAST</stp>
        <stp>[ESTR_SOFR_XCCY.xlsx]EUR_EONIA_RFR_DISCOUNTING!R20C8</stp>
        <tr r="H20" s="5"/>
      </tp>
      <tp t="e">
        <v>#N/A</v>
        <stp/>
        <stp>##V3_BDPV12</stp>
        <stp>EUSWE12 BGN  Curncy</stp>
        <stp>PX_LAST</stp>
        <stp>[ESTR_SOFR_XCCY.xlsx]EUR_EONIA_RFR_DISCOUNTING!R31C8</stp>
        <tr r="H31" s="5"/>
      </tp>
      <tp t="e">
        <v>#N/A</v>
        <stp/>
        <stp>##V3_BDPV12</stp>
        <stp>EUSWE30 BGN  Curncy</stp>
        <stp>PX_LAST</stp>
        <stp>[ESTR_SOFR_XCCY.xlsx]EUR_EONIA_RFR_DISCOUNTING!R35C8</stp>
        <tr r="H35" s="5"/>
      </tp>
      <tp t="e">
        <v>#N/A</v>
        <stp/>
        <stp>##V3_BDPV12</stp>
        <stp>EUSWE25 BGN  Curncy</stp>
        <stp>PX_LAST</stp>
        <stp>[ESTR_SOFR_XCCY.xlsx]EUR_EONIA_RFR_DISCOUNTING!R34C8</stp>
        <tr r="H34" s="5"/>
      </tp>
      <tp t="e">
        <v>#N/A</v>
        <stp/>
        <stp>##V3_BDPV12</stp>
        <stp>EUSWE2Z BGN  Curncy</stp>
        <stp>PX_LAST</stp>
        <stp>[ESTR_SOFR_XCCY.xlsx]EUR_EONIA_RFR_DISCOUNTING!R7C8</stp>
        <tr r="H7" s="5"/>
      </tp>
      <tp t="e">
        <v>#N/A</v>
        <stp/>
        <stp>##V3_BDPV12</stp>
        <stp>EUSWEB BGN  Curncy</stp>
        <stp>PX_LAST</stp>
        <stp>[ESTR_SOFR_XCCY.xlsx]EUR_EONIA_RFR_DISCOUNTING!R9C8</stp>
        <tr r="H9" s="5"/>
      </tp>
      <tp t="e">
        <v>#N/A</v>
        <stp/>
        <stp>##V3_BDPV12</stp>
        <stp>EUSWEA BGN  Curncy</stp>
        <stp>PX_LAST</stp>
        <stp>[ESTR_SOFR_XCCY.xlsx]EUR_EONIA_RFR_DISCOUNTING!R8C8</stp>
        <tr r="H8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</a:t>
            </a:r>
            <a:r>
              <a:rPr lang="en-GB" baseline="0"/>
              <a:t> Rates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6192906054346E-2"/>
          <c:y val="7.1155875299760196E-2"/>
          <c:w val="0.89649537383246092"/>
          <c:h val="0.8163472875243114"/>
        </c:manualLayout>
      </c:layout>
      <c:lineChart>
        <c:grouping val="standard"/>
        <c:varyColors val="0"/>
        <c:ser>
          <c:idx val="0"/>
          <c:order val="0"/>
          <c:tx>
            <c:strRef>
              <c:f>USD_FORWARDS!$F$2</c:f>
              <c:strCache>
                <c:ptCount val="1"/>
                <c:pt idx="0">
                  <c:v>SOFR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USD_FORWARDS!$E$3:$E$130</c:f>
              <c:numCache>
                <c:formatCode>ddd\,\ d\-mmm\-yy</c:formatCode>
                <c:ptCount val="128"/>
                <c:pt idx="0">
                  <c:v>43798</c:v>
                </c:pt>
                <c:pt idx="1">
                  <c:v>43829</c:v>
                </c:pt>
                <c:pt idx="2">
                  <c:v>43859</c:v>
                </c:pt>
                <c:pt idx="3">
                  <c:v>43889</c:v>
                </c:pt>
                <c:pt idx="4">
                  <c:v>43920</c:v>
                </c:pt>
                <c:pt idx="5">
                  <c:v>43950</c:v>
                </c:pt>
                <c:pt idx="6">
                  <c:v>43980</c:v>
                </c:pt>
                <c:pt idx="7">
                  <c:v>44011</c:v>
                </c:pt>
                <c:pt idx="8">
                  <c:v>44041</c:v>
                </c:pt>
                <c:pt idx="9">
                  <c:v>44074</c:v>
                </c:pt>
                <c:pt idx="10">
                  <c:v>44103</c:v>
                </c:pt>
                <c:pt idx="11">
                  <c:v>44133</c:v>
                </c:pt>
                <c:pt idx="12">
                  <c:v>44165</c:v>
                </c:pt>
                <c:pt idx="13">
                  <c:v>44194</c:v>
                </c:pt>
                <c:pt idx="14">
                  <c:v>44225</c:v>
                </c:pt>
                <c:pt idx="15">
                  <c:v>44253</c:v>
                </c:pt>
                <c:pt idx="16">
                  <c:v>44284</c:v>
                </c:pt>
                <c:pt idx="17">
                  <c:v>44315</c:v>
                </c:pt>
                <c:pt idx="18">
                  <c:v>44347</c:v>
                </c:pt>
                <c:pt idx="19">
                  <c:v>44376</c:v>
                </c:pt>
                <c:pt idx="20">
                  <c:v>44406</c:v>
                </c:pt>
                <c:pt idx="21">
                  <c:v>44438</c:v>
                </c:pt>
                <c:pt idx="22">
                  <c:v>44468</c:v>
                </c:pt>
                <c:pt idx="23">
                  <c:v>44498</c:v>
                </c:pt>
                <c:pt idx="24">
                  <c:v>44529</c:v>
                </c:pt>
                <c:pt idx="25">
                  <c:v>44559</c:v>
                </c:pt>
                <c:pt idx="26">
                  <c:v>44592</c:v>
                </c:pt>
                <c:pt idx="27">
                  <c:v>44620</c:v>
                </c:pt>
                <c:pt idx="28">
                  <c:v>44649</c:v>
                </c:pt>
                <c:pt idx="29">
                  <c:v>44680</c:v>
                </c:pt>
                <c:pt idx="30">
                  <c:v>44711</c:v>
                </c:pt>
                <c:pt idx="31">
                  <c:v>44741</c:v>
                </c:pt>
                <c:pt idx="32">
                  <c:v>44771</c:v>
                </c:pt>
                <c:pt idx="33">
                  <c:v>44802</c:v>
                </c:pt>
                <c:pt idx="34">
                  <c:v>44833</c:v>
                </c:pt>
                <c:pt idx="35">
                  <c:v>44865</c:v>
                </c:pt>
                <c:pt idx="36">
                  <c:v>44894</c:v>
                </c:pt>
                <c:pt idx="37">
                  <c:v>44924</c:v>
                </c:pt>
                <c:pt idx="38">
                  <c:v>44956</c:v>
                </c:pt>
                <c:pt idx="39">
                  <c:v>44985</c:v>
                </c:pt>
                <c:pt idx="40">
                  <c:v>45014</c:v>
                </c:pt>
                <c:pt idx="41">
                  <c:v>45044</c:v>
                </c:pt>
                <c:pt idx="42">
                  <c:v>45075</c:v>
                </c:pt>
                <c:pt idx="43">
                  <c:v>45106</c:v>
                </c:pt>
                <c:pt idx="44">
                  <c:v>45138</c:v>
                </c:pt>
                <c:pt idx="45">
                  <c:v>45167</c:v>
                </c:pt>
                <c:pt idx="46">
                  <c:v>45198</c:v>
                </c:pt>
                <c:pt idx="47">
                  <c:v>45229</c:v>
                </c:pt>
                <c:pt idx="48">
                  <c:v>45259</c:v>
                </c:pt>
                <c:pt idx="49">
                  <c:v>45289</c:v>
                </c:pt>
                <c:pt idx="50">
                  <c:v>45320</c:v>
                </c:pt>
                <c:pt idx="51">
                  <c:v>45351</c:v>
                </c:pt>
                <c:pt idx="52">
                  <c:v>45380</c:v>
                </c:pt>
                <c:pt idx="53">
                  <c:v>45411</c:v>
                </c:pt>
                <c:pt idx="54">
                  <c:v>45441</c:v>
                </c:pt>
                <c:pt idx="55">
                  <c:v>45471</c:v>
                </c:pt>
                <c:pt idx="56">
                  <c:v>45502</c:v>
                </c:pt>
                <c:pt idx="57">
                  <c:v>45533</c:v>
                </c:pt>
                <c:pt idx="58">
                  <c:v>45565</c:v>
                </c:pt>
                <c:pt idx="59">
                  <c:v>45594</c:v>
                </c:pt>
                <c:pt idx="60">
                  <c:v>45625</c:v>
                </c:pt>
                <c:pt idx="61">
                  <c:v>45656</c:v>
                </c:pt>
                <c:pt idx="62">
                  <c:v>45686</c:v>
                </c:pt>
                <c:pt idx="63">
                  <c:v>45716</c:v>
                </c:pt>
                <c:pt idx="64">
                  <c:v>45747</c:v>
                </c:pt>
                <c:pt idx="65">
                  <c:v>45776</c:v>
                </c:pt>
                <c:pt idx="66">
                  <c:v>45806</c:v>
                </c:pt>
                <c:pt idx="67">
                  <c:v>45838</c:v>
                </c:pt>
                <c:pt idx="68">
                  <c:v>45867</c:v>
                </c:pt>
                <c:pt idx="69">
                  <c:v>45898</c:v>
                </c:pt>
                <c:pt idx="70">
                  <c:v>45929</c:v>
                </c:pt>
                <c:pt idx="71">
                  <c:v>45959</c:v>
                </c:pt>
                <c:pt idx="72">
                  <c:v>45989</c:v>
                </c:pt>
                <c:pt idx="73">
                  <c:v>46020</c:v>
                </c:pt>
                <c:pt idx="74">
                  <c:v>46051</c:v>
                </c:pt>
                <c:pt idx="75">
                  <c:v>46080</c:v>
                </c:pt>
                <c:pt idx="76">
                  <c:v>46111</c:v>
                </c:pt>
                <c:pt idx="77">
                  <c:v>46141</c:v>
                </c:pt>
                <c:pt idx="78">
                  <c:v>46171</c:v>
                </c:pt>
                <c:pt idx="79">
                  <c:v>46202</c:v>
                </c:pt>
                <c:pt idx="80">
                  <c:v>46232</c:v>
                </c:pt>
                <c:pt idx="81">
                  <c:v>46265</c:v>
                </c:pt>
                <c:pt idx="82">
                  <c:v>46294</c:v>
                </c:pt>
                <c:pt idx="83">
                  <c:v>46324</c:v>
                </c:pt>
                <c:pt idx="84">
                  <c:v>46356</c:v>
                </c:pt>
                <c:pt idx="85">
                  <c:v>46385</c:v>
                </c:pt>
                <c:pt idx="86">
                  <c:v>46416</c:v>
                </c:pt>
                <c:pt idx="87">
                  <c:v>46444</c:v>
                </c:pt>
                <c:pt idx="88">
                  <c:v>46475</c:v>
                </c:pt>
                <c:pt idx="89">
                  <c:v>46506</c:v>
                </c:pt>
                <c:pt idx="90">
                  <c:v>46538</c:v>
                </c:pt>
                <c:pt idx="91">
                  <c:v>46567</c:v>
                </c:pt>
                <c:pt idx="92">
                  <c:v>46597</c:v>
                </c:pt>
                <c:pt idx="93">
                  <c:v>46629</c:v>
                </c:pt>
                <c:pt idx="94">
                  <c:v>46659</c:v>
                </c:pt>
                <c:pt idx="95">
                  <c:v>46689</c:v>
                </c:pt>
                <c:pt idx="96">
                  <c:v>46720</c:v>
                </c:pt>
                <c:pt idx="97">
                  <c:v>46750</c:v>
                </c:pt>
                <c:pt idx="98">
                  <c:v>46783</c:v>
                </c:pt>
                <c:pt idx="99">
                  <c:v>46812</c:v>
                </c:pt>
                <c:pt idx="100">
                  <c:v>46841</c:v>
                </c:pt>
                <c:pt idx="101">
                  <c:v>46871</c:v>
                </c:pt>
                <c:pt idx="102">
                  <c:v>46902</c:v>
                </c:pt>
                <c:pt idx="103">
                  <c:v>46933</c:v>
                </c:pt>
                <c:pt idx="104">
                  <c:v>46965</c:v>
                </c:pt>
                <c:pt idx="105">
                  <c:v>46994</c:v>
                </c:pt>
                <c:pt idx="106">
                  <c:v>47025</c:v>
                </c:pt>
                <c:pt idx="107">
                  <c:v>47056</c:v>
                </c:pt>
                <c:pt idx="108">
                  <c:v>47086</c:v>
                </c:pt>
                <c:pt idx="109">
                  <c:v>47116</c:v>
                </c:pt>
                <c:pt idx="110">
                  <c:v>47147</c:v>
                </c:pt>
                <c:pt idx="111">
                  <c:v>47177</c:v>
                </c:pt>
                <c:pt idx="112">
                  <c:v>47206</c:v>
                </c:pt>
                <c:pt idx="113">
                  <c:v>47238</c:v>
                </c:pt>
                <c:pt idx="114">
                  <c:v>47267</c:v>
                </c:pt>
                <c:pt idx="115">
                  <c:v>47298</c:v>
                </c:pt>
                <c:pt idx="116">
                  <c:v>47329</c:v>
                </c:pt>
                <c:pt idx="117">
                  <c:v>47359</c:v>
                </c:pt>
                <c:pt idx="118">
                  <c:v>47389</c:v>
                </c:pt>
                <c:pt idx="119">
                  <c:v>47420</c:v>
                </c:pt>
                <c:pt idx="120">
                  <c:v>47451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USD_FORWARDS!$F$3:$F$130</c:f>
              <c:numCache>
                <c:formatCode>0.00000%</c:formatCode>
                <c:ptCount val="128"/>
                <c:pt idx="0">
                  <c:v>1.5700000000009595E-2</c:v>
                </c:pt>
                <c:pt idx="1">
                  <c:v>1.5454320879095795E-2</c:v>
                </c:pt>
                <c:pt idx="2">
                  <c:v>1.5340123076921284E-2</c:v>
                </c:pt>
                <c:pt idx="3">
                  <c:v>1.5225925274719951E-2</c:v>
                </c:pt>
                <c:pt idx="4">
                  <c:v>1.5107920879131652E-2</c:v>
                </c:pt>
                <c:pt idx="5">
                  <c:v>1.4993723076957064E-2</c:v>
                </c:pt>
                <c:pt idx="6">
                  <c:v>1.4879525274729185E-2</c:v>
                </c:pt>
                <c:pt idx="7">
                  <c:v>1.4761520879087494E-2</c:v>
                </c:pt>
                <c:pt idx="8">
                  <c:v>1.4647323076912907E-2</c:v>
                </c:pt>
                <c:pt idx="9">
                  <c:v>1.452170549449688E-2</c:v>
                </c:pt>
                <c:pt idx="10">
                  <c:v>1.4485839617348669E-2</c:v>
                </c:pt>
                <c:pt idx="11">
                  <c:v>1.4486311163590723E-2</c:v>
                </c:pt>
                <c:pt idx="12">
                  <c:v>1.4415498776996268E-2</c:v>
                </c:pt>
                <c:pt idx="13">
                  <c:v>1.4316869737420796E-2</c:v>
                </c:pt>
                <c:pt idx="14">
                  <c:v>1.4219526734269345E-2</c:v>
                </c:pt>
                <c:pt idx="15">
                  <c:v>1.4143552228729256E-2</c:v>
                </c:pt>
                <c:pt idx="16">
                  <c:v>1.4071695625128606E-2</c:v>
                </c:pt>
                <c:pt idx="17">
                  <c:v>1.4009049103878063E-2</c:v>
                </c:pt>
                <c:pt idx="18">
                  <c:v>1.3956196455939868E-2</c:v>
                </c:pt>
                <c:pt idx="19">
                  <c:v>1.3918716501759626E-2</c:v>
                </c:pt>
                <c:pt idx="20">
                  <c:v>1.3890417580153573E-2</c:v>
                </c:pt>
                <c:pt idx="21">
                  <c:v>1.3872027434587202E-2</c:v>
                </c:pt>
                <c:pt idx="22">
                  <c:v>1.3865897514095997E-2</c:v>
                </c:pt>
                <c:pt idx="23">
                  <c:v>1.387145194855504E-2</c:v>
                </c:pt>
                <c:pt idx="24">
                  <c:v>1.3886803149798559E-2</c:v>
                </c:pt>
                <c:pt idx="25">
                  <c:v>1.3911080099449129E-2</c:v>
                </c:pt>
                <c:pt idx="26">
                  <c:v>1.3943013797135301E-2</c:v>
                </c:pt>
                <c:pt idx="27">
                  <c:v>1.3974385099970782E-2</c:v>
                </c:pt>
                <c:pt idx="28">
                  <c:v>1.4011034483258961E-2</c:v>
                </c:pt>
                <c:pt idx="29">
                  <c:v>1.4056958236805578E-2</c:v>
                </c:pt>
                <c:pt idx="30">
                  <c:v>1.4103667541283166E-2</c:v>
                </c:pt>
                <c:pt idx="31">
                  <c:v>1.4155519680585421E-2</c:v>
                </c:pt>
                <c:pt idx="32">
                  <c:v>1.4214510937398167E-2</c:v>
                </c:pt>
                <c:pt idx="33">
                  <c:v>1.4275205776419548E-2</c:v>
                </c:pt>
                <c:pt idx="34">
                  <c:v>1.4343401043692744E-2</c:v>
                </c:pt>
                <c:pt idx="35">
                  <c:v>1.4419041767777026E-2</c:v>
                </c:pt>
                <c:pt idx="36">
                  <c:v>1.449221737774847E-2</c:v>
                </c:pt>
                <c:pt idx="37">
                  <c:v>1.4571069133992916E-2</c:v>
                </c:pt>
                <c:pt idx="38">
                  <c:v>1.4655530818918957E-2</c:v>
                </c:pt>
                <c:pt idx="39">
                  <c:v>1.4732319245336408E-2</c:v>
                </c:pt>
                <c:pt idx="40">
                  <c:v>1.4809342623092244E-2</c:v>
                </c:pt>
                <c:pt idx="41">
                  <c:v>1.4892556084467098E-2</c:v>
                </c:pt>
                <c:pt idx="42">
                  <c:v>1.4972132811861326E-2</c:v>
                </c:pt>
                <c:pt idx="43">
                  <c:v>1.5055269717860807E-2</c:v>
                </c:pt>
                <c:pt idx="44">
                  <c:v>1.5141379856000779E-2</c:v>
                </c:pt>
                <c:pt idx="45">
                  <c:v>1.521967508078431E-2</c:v>
                </c:pt>
                <c:pt idx="46">
                  <c:v>1.5307007798375292E-2</c:v>
                </c:pt>
                <c:pt idx="47">
                  <c:v>1.5387897009491225E-2</c:v>
                </c:pt>
                <c:pt idx="48">
                  <c:v>1.5469706439603966E-2</c:v>
                </c:pt>
                <c:pt idx="49">
                  <c:v>1.5553587196527666E-2</c:v>
                </c:pt>
                <c:pt idx="50">
                  <c:v>1.5629554725811512E-2</c:v>
                </c:pt>
                <c:pt idx="51">
                  <c:v>1.5704662295894858E-2</c:v>
                </c:pt>
                <c:pt idx="52">
                  <c:v>1.5774063118981559E-2</c:v>
                </c:pt>
                <c:pt idx="53">
                  <c:v>1.5838155895104587E-2</c:v>
                </c:pt>
                <c:pt idx="54">
                  <c:v>1.5898989274243758E-2</c:v>
                </c:pt>
                <c:pt idx="55">
                  <c:v>1.5958385705373872E-2</c:v>
                </c:pt>
                <c:pt idx="56">
                  <c:v>1.6010419567316476E-2</c:v>
                </c:pt>
                <c:pt idx="57">
                  <c:v>1.6060701788743043E-2</c:v>
                </c:pt>
                <c:pt idx="58">
                  <c:v>1.6108087073793666E-2</c:v>
                </c:pt>
                <c:pt idx="59">
                  <c:v>1.6147042969348189E-2</c:v>
                </c:pt>
                <c:pt idx="60">
                  <c:v>1.6186331014643538E-2</c:v>
                </c:pt>
                <c:pt idx="61">
                  <c:v>1.6219575315077769E-2</c:v>
                </c:pt>
                <c:pt idx="62">
                  <c:v>1.6254316411957064E-2</c:v>
                </c:pt>
                <c:pt idx="63">
                  <c:v>1.629178519192561E-2</c:v>
                </c:pt>
                <c:pt idx="64">
                  <c:v>1.6327403718318867E-2</c:v>
                </c:pt>
                <c:pt idx="65">
                  <c:v>1.6363309017857663E-2</c:v>
                </c:pt>
                <c:pt idx="66">
                  <c:v>1.6401244022030349E-2</c:v>
                </c:pt>
                <c:pt idx="67">
                  <c:v>1.6442600211868299E-2</c:v>
                </c:pt>
                <c:pt idx="68">
                  <c:v>1.6480879158355586E-2</c:v>
                </c:pt>
                <c:pt idx="69">
                  <c:v>1.6524764417037718E-2</c:v>
                </c:pt>
                <c:pt idx="70">
                  <c:v>1.6565287259823945E-2</c:v>
                </c:pt>
                <c:pt idx="71">
                  <c:v>1.6607396613353358E-2</c:v>
                </c:pt>
                <c:pt idx="72">
                  <c:v>1.6652554630357367E-2</c:v>
                </c:pt>
                <c:pt idx="73">
                  <c:v>1.6696113782324558E-2</c:v>
                </c:pt>
                <c:pt idx="74">
                  <c:v>1.6744209122515025E-2</c:v>
                </c:pt>
                <c:pt idx="75">
                  <c:v>1.6793773133220443E-2</c:v>
                </c:pt>
                <c:pt idx="76">
                  <c:v>1.6843980625489006E-2</c:v>
                </c:pt>
                <c:pt idx="77">
                  <c:v>1.6897196662111744E-2</c:v>
                </c:pt>
                <c:pt idx="78">
                  <c:v>1.6955336182507962E-2</c:v>
                </c:pt>
                <c:pt idx="79">
                  <c:v>1.7012314985385694E-2</c:v>
                </c:pt>
                <c:pt idx="80">
                  <c:v>1.7072356367166638E-2</c:v>
                </c:pt>
                <c:pt idx="81">
                  <c:v>1.7141031594916669E-2</c:v>
                </c:pt>
                <c:pt idx="82">
                  <c:v>1.7203670390666982E-2</c:v>
                </c:pt>
                <c:pt idx="83">
                  <c:v>1.7270734876546144E-2</c:v>
                </c:pt>
                <c:pt idx="84">
                  <c:v>1.7344825183395817E-2</c:v>
                </c:pt>
                <c:pt idx="85">
                  <c:v>1.7413086646677674E-2</c:v>
                </c:pt>
                <c:pt idx="86">
                  <c:v>1.7488538644076197E-2</c:v>
                </c:pt>
                <c:pt idx="87">
                  <c:v>1.7553189122593529E-2</c:v>
                </c:pt>
                <c:pt idx="88">
                  <c:v>1.762093589497029E-2</c:v>
                </c:pt>
                <c:pt idx="89">
                  <c:v>1.7691104636347609E-2</c:v>
                </c:pt>
                <c:pt idx="90">
                  <c:v>1.7762764637720418E-2</c:v>
                </c:pt>
                <c:pt idx="91">
                  <c:v>1.7827025084843896E-2</c:v>
                </c:pt>
                <c:pt idx="92">
                  <c:v>1.7892815778862297E-2</c:v>
                </c:pt>
                <c:pt idx="93">
                  <c:v>1.7962219649512882E-2</c:v>
                </c:pt>
                <c:pt idx="94">
                  <c:v>1.8026557034446736E-2</c:v>
                </c:pt>
                <c:pt idx="95">
                  <c:v>1.8093202754909058E-2</c:v>
                </c:pt>
                <c:pt idx="96">
                  <c:v>1.8155184532231305E-2</c:v>
                </c:pt>
                <c:pt idx="97">
                  <c:v>1.8217086889539751E-2</c:v>
                </c:pt>
                <c:pt idx="98">
                  <c:v>1.8283546304551007E-2</c:v>
                </c:pt>
                <c:pt idx="99">
                  <c:v>1.834052438592406E-2</c:v>
                </c:pt>
                <c:pt idx="100">
                  <c:v>1.8396160647521819E-2</c:v>
                </c:pt>
                <c:pt idx="101">
                  <c:v>1.845508661142075E-2</c:v>
                </c:pt>
                <c:pt idx="102">
                  <c:v>1.8508773650044878E-2</c:v>
                </c:pt>
                <c:pt idx="103">
                  <c:v>1.8563690717510271E-2</c:v>
                </c:pt>
                <c:pt idx="104">
                  <c:v>1.8618730737639953E-2</c:v>
                </c:pt>
                <c:pt idx="105">
                  <c:v>1.8667154972022284E-2</c:v>
                </c:pt>
                <c:pt idx="106">
                  <c:v>1.8719944641035723E-2</c:v>
                </c:pt>
                <c:pt idx="107">
                  <c:v>1.8765999818022478E-2</c:v>
                </c:pt>
                <c:pt idx="108">
                  <c:v>1.8811517773894948E-2</c:v>
                </c:pt>
                <c:pt idx="109">
                  <c:v>1.8857716467969261E-2</c:v>
                </c:pt>
                <c:pt idx="110">
                  <c:v>1.8898340709535933E-2</c:v>
                </c:pt>
                <c:pt idx="111">
                  <c:v>1.8937825055728535E-2</c:v>
                </c:pt>
                <c:pt idx="112">
                  <c:v>1.897395881211553E-2</c:v>
                </c:pt>
                <c:pt idx="113">
                  <c:v>1.901149451362252E-2</c:v>
                </c:pt>
                <c:pt idx="114">
                  <c:v>1.9043380628970617E-2</c:v>
                </c:pt>
                <c:pt idx="115">
                  <c:v>1.9077208699635265E-2</c:v>
                </c:pt>
                <c:pt idx="116">
                  <c:v>1.9104695760742484E-2</c:v>
                </c:pt>
                <c:pt idx="117">
                  <c:v>1.91309817914668E-2</c:v>
                </c:pt>
                <c:pt idx="118">
                  <c:v>1.9156824473399704E-2</c:v>
                </c:pt>
                <c:pt idx="119">
                  <c:v>1.9177552011467144E-2</c:v>
                </c:pt>
                <c:pt idx="120">
                  <c:v>1.9197654012878314E-2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6-4635-ADED-8D99E6FC6917}"/>
            </c:ext>
          </c:extLst>
        </c:ser>
        <c:ser>
          <c:idx val="1"/>
          <c:order val="1"/>
          <c:tx>
            <c:strRef>
              <c:f>USD_FORWARDS!$G$2</c:f>
              <c:strCache>
                <c:ptCount val="1"/>
                <c:pt idx="0">
                  <c:v>FEDFUNDS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USD_FORWARDS!$E$3:$E$130</c:f>
              <c:numCache>
                <c:formatCode>ddd\,\ d\-mmm\-yy</c:formatCode>
                <c:ptCount val="128"/>
                <c:pt idx="0">
                  <c:v>43798</c:v>
                </c:pt>
                <c:pt idx="1">
                  <c:v>43829</c:v>
                </c:pt>
                <c:pt idx="2">
                  <c:v>43859</c:v>
                </c:pt>
                <c:pt idx="3">
                  <c:v>43889</c:v>
                </c:pt>
                <c:pt idx="4">
                  <c:v>43920</c:v>
                </c:pt>
                <c:pt idx="5">
                  <c:v>43950</c:v>
                </c:pt>
                <c:pt idx="6">
                  <c:v>43980</c:v>
                </c:pt>
                <c:pt idx="7">
                  <c:v>44011</c:v>
                </c:pt>
                <c:pt idx="8">
                  <c:v>44041</c:v>
                </c:pt>
                <c:pt idx="9">
                  <c:v>44074</c:v>
                </c:pt>
                <c:pt idx="10">
                  <c:v>44103</c:v>
                </c:pt>
                <c:pt idx="11">
                  <c:v>44133</c:v>
                </c:pt>
                <c:pt idx="12">
                  <c:v>44165</c:v>
                </c:pt>
                <c:pt idx="13">
                  <c:v>44194</c:v>
                </c:pt>
                <c:pt idx="14">
                  <c:v>44225</c:v>
                </c:pt>
                <c:pt idx="15">
                  <c:v>44253</c:v>
                </c:pt>
                <c:pt idx="16">
                  <c:v>44284</c:v>
                </c:pt>
                <c:pt idx="17">
                  <c:v>44315</c:v>
                </c:pt>
                <c:pt idx="18">
                  <c:v>44347</c:v>
                </c:pt>
                <c:pt idx="19">
                  <c:v>44376</c:v>
                </c:pt>
                <c:pt idx="20">
                  <c:v>44406</c:v>
                </c:pt>
                <c:pt idx="21">
                  <c:v>44438</c:v>
                </c:pt>
                <c:pt idx="22">
                  <c:v>44468</c:v>
                </c:pt>
                <c:pt idx="23">
                  <c:v>44498</c:v>
                </c:pt>
                <c:pt idx="24">
                  <c:v>44529</c:v>
                </c:pt>
                <c:pt idx="25">
                  <c:v>44559</c:v>
                </c:pt>
                <c:pt idx="26">
                  <c:v>44592</c:v>
                </c:pt>
                <c:pt idx="27">
                  <c:v>44620</c:v>
                </c:pt>
                <c:pt idx="28">
                  <c:v>44649</c:v>
                </c:pt>
                <c:pt idx="29">
                  <c:v>44680</c:v>
                </c:pt>
                <c:pt idx="30">
                  <c:v>44711</c:v>
                </c:pt>
                <c:pt idx="31">
                  <c:v>44741</c:v>
                </c:pt>
                <c:pt idx="32">
                  <c:v>44771</c:v>
                </c:pt>
                <c:pt idx="33">
                  <c:v>44802</c:v>
                </c:pt>
                <c:pt idx="34">
                  <c:v>44833</c:v>
                </c:pt>
                <c:pt idx="35">
                  <c:v>44865</c:v>
                </c:pt>
                <c:pt idx="36">
                  <c:v>44894</c:v>
                </c:pt>
                <c:pt idx="37">
                  <c:v>44924</c:v>
                </c:pt>
                <c:pt idx="38">
                  <c:v>44956</c:v>
                </c:pt>
                <c:pt idx="39">
                  <c:v>44985</c:v>
                </c:pt>
                <c:pt idx="40">
                  <c:v>45014</c:v>
                </c:pt>
                <c:pt idx="41">
                  <c:v>45044</c:v>
                </c:pt>
                <c:pt idx="42">
                  <c:v>45075</c:v>
                </c:pt>
                <c:pt idx="43">
                  <c:v>45106</c:v>
                </c:pt>
                <c:pt idx="44">
                  <c:v>45138</c:v>
                </c:pt>
                <c:pt idx="45">
                  <c:v>45167</c:v>
                </c:pt>
                <c:pt idx="46">
                  <c:v>45198</c:v>
                </c:pt>
                <c:pt idx="47">
                  <c:v>45229</c:v>
                </c:pt>
                <c:pt idx="48">
                  <c:v>45259</c:v>
                </c:pt>
                <c:pt idx="49">
                  <c:v>45289</c:v>
                </c:pt>
                <c:pt idx="50">
                  <c:v>45320</c:v>
                </c:pt>
                <c:pt idx="51">
                  <c:v>45351</c:v>
                </c:pt>
                <c:pt idx="52">
                  <c:v>45380</c:v>
                </c:pt>
                <c:pt idx="53">
                  <c:v>45411</c:v>
                </c:pt>
                <c:pt idx="54">
                  <c:v>45441</c:v>
                </c:pt>
                <c:pt idx="55">
                  <c:v>45471</c:v>
                </c:pt>
                <c:pt idx="56">
                  <c:v>45502</c:v>
                </c:pt>
                <c:pt idx="57">
                  <c:v>45533</c:v>
                </c:pt>
                <c:pt idx="58">
                  <c:v>45565</c:v>
                </c:pt>
                <c:pt idx="59">
                  <c:v>45594</c:v>
                </c:pt>
                <c:pt idx="60">
                  <c:v>45625</c:v>
                </c:pt>
                <c:pt idx="61">
                  <c:v>45656</c:v>
                </c:pt>
                <c:pt idx="62">
                  <c:v>45686</c:v>
                </c:pt>
                <c:pt idx="63">
                  <c:v>45716</c:v>
                </c:pt>
                <c:pt idx="64">
                  <c:v>45747</c:v>
                </c:pt>
                <c:pt idx="65">
                  <c:v>45776</c:v>
                </c:pt>
                <c:pt idx="66">
                  <c:v>45806</c:v>
                </c:pt>
                <c:pt idx="67">
                  <c:v>45838</c:v>
                </c:pt>
                <c:pt idx="68">
                  <c:v>45867</c:v>
                </c:pt>
                <c:pt idx="69">
                  <c:v>45898</c:v>
                </c:pt>
                <c:pt idx="70">
                  <c:v>45929</c:v>
                </c:pt>
                <c:pt idx="71">
                  <c:v>45959</c:v>
                </c:pt>
                <c:pt idx="72">
                  <c:v>45989</c:v>
                </c:pt>
                <c:pt idx="73">
                  <c:v>46020</c:v>
                </c:pt>
                <c:pt idx="74">
                  <c:v>46051</c:v>
                </c:pt>
                <c:pt idx="75">
                  <c:v>46080</c:v>
                </c:pt>
                <c:pt idx="76">
                  <c:v>46111</c:v>
                </c:pt>
                <c:pt idx="77">
                  <c:v>46141</c:v>
                </c:pt>
                <c:pt idx="78">
                  <c:v>46171</c:v>
                </c:pt>
                <c:pt idx="79">
                  <c:v>46202</c:v>
                </c:pt>
                <c:pt idx="80">
                  <c:v>46232</c:v>
                </c:pt>
                <c:pt idx="81">
                  <c:v>46265</c:v>
                </c:pt>
                <c:pt idx="82">
                  <c:v>46294</c:v>
                </c:pt>
                <c:pt idx="83">
                  <c:v>46324</c:v>
                </c:pt>
                <c:pt idx="84">
                  <c:v>46356</c:v>
                </c:pt>
                <c:pt idx="85">
                  <c:v>46385</c:v>
                </c:pt>
                <c:pt idx="86">
                  <c:v>46416</c:v>
                </c:pt>
                <c:pt idx="87">
                  <c:v>46444</c:v>
                </c:pt>
                <c:pt idx="88">
                  <c:v>46475</c:v>
                </c:pt>
                <c:pt idx="89">
                  <c:v>46506</c:v>
                </c:pt>
                <c:pt idx="90">
                  <c:v>46538</c:v>
                </c:pt>
                <c:pt idx="91">
                  <c:v>46567</c:v>
                </c:pt>
                <c:pt idx="92">
                  <c:v>46597</c:v>
                </c:pt>
                <c:pt idx="93">
                  <c:v>46629</c:v>
                </c:pt>
                <c:pt idx="94">
                  <c:v>46659</c:v>
                </c:pt>
                <c:pt idx="95">
                  <c:v>46689</c:v>
                </c:pt>
                <c:pt idx="96">
                  <c:v>46720</c:v>
                </c:pt>
                <c:pt idx="97">
                  <c:v>46750</c:v>
                </c:pt>
                <c:pt idx="98">
                  <c:v>46783</c:v>
                </c:pt>
                <c:pt idx="99">
                  <c:v>46812</c:v>
                </c:pt>
                <c:pt idx="100">
                  <c:v>46841</c:v>
                </c:pt>
                <c:pt idx="101">
                  <c:v>46871</c:v>
                </c:pt>
                <c:pt idx="102">
                  <c:v>46902</c:v>
                </c:pt>
                <c:pt idx="103">
                  <c:v>46933</c:v>
                </c:pt>
                <c:pt idx="104">
                  <c:v>46965</c:v>
                </c:pt>
                <c:pt idx="105">
                  <c:v>46994</c:v>
                </c:pt>
                <c:pt idx="106">
                  <c:v>47025</c:v>
                </c:pt>
                <c:pt idx="107">
                  <c:v>47056</c:v>
                </c:pt>
                <c:pt idx="108">
                  <c:v>47086</c:v>
                </c:pt>
                <c:pt idx="109">
                  <c:v>47116</c:v>
                </c:pt>
                <c:pt idx="110">
                  <c:v>47147</c:v>
                </c:pt>
                <c:pt idx="111">
                  <c:v>47177</c:v>
                </c:pt>
                <c:pt idx="112">
                  <c:v>47206</c:v>
                </c:pt>
                <c:pt idx="113">
                  <c:v>47238</c:v>
                </c:pt>
                <c:pt idx="114">
                  <c:v>47267</c:v>
                </c:pt>
                <c:pt idx="115">
                  <c:v>47298</c:v>
                </c:pt>
                <c:pt idx="116">
                  <c:v>47329</c:v>
                </c:pt>
                <c:pt idx="117">
                  <c:v>47359</c:v>
                </c:pt>
                <c:pt idx="118">
                  <c:v>47389</c:v>
                </c:pt>
                <c:pt idx="119">
                  <c:v>47420</c:v>
                </c:pt>
                <c:pt idx="120">
                  <c:v>47451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USD_FORWARDS!$G$3:$G$130</c:f>
              <c:numCache>
                <c:formatCode>0.00000%</c:formatCode>
                <c:ptCount val="128"/>
                <c:pt idx="0">
                  <c:v>1.5500000000008285E-2</c:v>
                </c:pt>
                <c:pt idx="1">
                  <c:v>1.520000000001962E-2</c:v>
                </c:pt>
                <c:pt idx="2">
                  <c:v>1.5200000000019696E-2</c:v>
                </c:pt>
                <c:pt idx="3">
                  <c:v>1.519999999999295E-2</c:v>
                </c:pt>
                <c:pt idx="4">
                  <c:v>1.4800000000017074E-2</c:v>
                </c:pt>
                <c:pt idx="5">
                  <c:v>1.4800000000017074E-2</c:v>
                </c:pt>
                <c:pt idx="6">
                  <c:v>1.4799999999990428E-2</c:v>
                </c:pt>
                <c:pt idx="7">
                  <c:v>1.449999999997514E-2</c:v>
                </c:pt>
                <c:pt idx="8">
                  <c:v>1.449999999997514E-2</c:v>
                </c:pt>
                <c:pt idx="9">
                  <c:v>1.449999999997514E-2</c:v>
                </c:pt>
                <c:pt idx="10">
                  <c:v>1.4350000000034108E-2</c:v>
                </c:pt>
                <c:pt idx="11">
                  <c:v>1.4350000000034108E-2</c:v>
                </c:pt>
                <c:pt idx="12">
                  <c:v>1.4350000000034108E-2</c:v>
                </c:pt>
                <c:pt idx="13">
                  <c:v>1.4294876500189397E-2</c:v>
                </c:pt>
                <c:pt idx="14">
                  <c:v>1.4176210387892902E-2</c:v>
                </c:pt>
                <c:pt idx="15">
                  <c:v>1.4081801532652755E-2</c:v>
                </c:pt>
                <c:pt idx="16">
                  <c:v>1.3990431861730152E-2</c:v>
                </c:pt>
                <c:pt idx="17">
                  <c:v>1.3907870666729542E-2</c:v>
                </c:pt>
                <c:pt idx="18">
                  <c:v>1.3834733333899556E-2</c:v>
                </c:pt>
                <c:pt idx="19">
                  <c:v>1.3779110858314118E-2</c:v>
                </c:pt>
                <c:pt idx="20">
                  <c:v>1.3732285676342264E-2</c:v>
                </c:pt>
                <c:pt idx="21">
                  <c:v>1.3694406501265681E-2</c:v>
                </c:pt>
                <c:pt idx="22">
                  <c:v>1.3670261871530136E-2</c:v>
                </c:pt>
                <c:pt idx="23">
                  <c:v>1.3657446162209701E-2</c:v>
                </c:pt>
                <c:pt idx="24">
                  <c:v>1.3655305302027236E-2</c:v>
                </c:pt>
                <c:pt idx="25">
                  <c:v>1.3662730817989348E-2</c:v>
                </c:pt>
                <c:pt idx="26">
                  <c:v>1.3677617909468913E-2</c:v>
                </c:pt>
                <c:pt idx="27">
                  <c:v>1.3695761237029251E-2</c:v>
                </c:pt>
                <c:pt idx="28">
                  <c:v>1.371991126500665E-2</c:v>
                </c:pt>
                <c:pt idx="29">
                  <c:v>1.3753443828932226E-2</c:v>
                </c:pt>
                <c:pt idx="30">
                  <c:v>1.378994361700419E-2</c:v>
                </c:pt>
                <c:pt idx="31">
                  <c:v>1.3832887669158515E-2</c:v>
                </c:pt>
                <c:pt idx="32">
                  <c:v>1.3884045788765724E-2</c:v>
                </c:pt>
                <c:pt idx="33">
                  <c:v>1.3938567749924908E-2</c:v>
                </c:pt>
                <c:pt idx="34">
                  <c:v>1.4001767293363493E-2</c:v>
                </c:pt>
                <c:pt idx="35">
                  <c:v>1.4073759870463271E-2</c:v>
                </c:pt>
                <c:pt idx="36">
                  <c:v>1.4144958969959426E-2</c:v>
                </c:pt>
                <c:pt idx="37">
                  <c:v>1.4222748561447724E-2</c:v>
                </c:pt>
                <c:pt idx="38">
                  <c:v>1.4306429011696814E-2</c:v>
                </c:pt>
                <c:pt idx="39">
                  <c:v>1.438280750666548E-2</c:v>
                </c:pt>
                <c:pt idx="40">
                  <c:v>1.4459705704474909E-2</c:v>
                </c:pt>
                <c:pt idx="41">
                  <c:v>1.4543073278172666E-2</c:v>
                </c:pt>
                <c:pt idx="42">
                  <c:v>1.4623167943899115E-2</c:v>
                </c:pt>
                <c:pt idx="43">
                  <c:v>1.4707135498488507E-2</c:v>
                </c:pt>
                <c:pt idx="44">
                  <c:v>1.4794451193083143E-2</c:v>
                </c:pt>
                <c:pt idx="45">
                  <c:v>1.4874145992642748E-2</c:v>
                </c:pt>
                <c:pt idx="46">
                  <c:v>1.4963334882276467E-2</c:v>
                </c:pt>
                <c:pt idx="47">
                  <c:v>1.5046346247098495E-2</c:v>
                </c:pt>
                <c:pt idx="48">
                  <c:v>1.513056645414926E-2</c:v>
                </c:pt>
                <c:pt idx="49">
                  <c:v>1.5217421688564013E-2</c:v>
                </c:pt>
                <c:pt idx="50">
                  <c:v>1.5297106603820167E-2</c:v>
                </c:pt>
                <c:pt idx="51">
                  <c:v>1.5376845026245105E-2</c:v>
                </c:pt>
                <c:pt idx="52">
                  <c:v>1.5451496869377291E-2</c:v>
                </c:pt>
                <c:pt idx="53">
                  <c:v>1.552168487539453E-2</c:v>
                </c:pt>
                <c:pt idx="54">
                  <c:v>1.5589379316971791E-2</c:v>
                </c:pt>
                <c:pt idx="55">
                  <c:v>1.565667795605663E-2</c:v>
                </c:pt>
                <c:pt idx="56">
                  <c:v>1.5717227130347747E-2</c:v>
                </c:pt>
                <c:pt idx="57">
                  <c:v>1.577713025784613E-2</c:v>
                </c:pt>
                <c:pt idx="58">
                  <c:v>1.5835357293354248E-2</c:v>
                </c:pt>
                <c:pt idx="59">
                  <c:v>1.5884942317206205E-2</c:v>
                </c:pt>
                <c:pt idx="60">
                  <c:v>1.5936829476546972E-2</c:v>
                </c:pt>
                <c:pt idx="61">
                  <c:v>1.5982257163707329E-2</c:v>
                </c:pt>
                <c:pt idx="62">
                  <c:v>1.6028740215914671E-2</c:v>
                </c:pt>
                <c:pt idx="63">
                  <c:v>1.6077875310810709E-2</c:v>
                </c:pt>
                <c:pt idx="64">
                  <c:v>1.6124386479538764E-2</c:v>
                </c:pt>
                <c:pt idx="65">
                  <c:v>1.6170393281911701E-2</c:v>
                </c:pt>
                <c:pt idx="66">
                  <c:v>1.6218352496426242E-2</c:v>
                </c:pt>
                <c:pt idx="67">
                  <c:v>1.6269921556893323E-2</c:v>
                </c:pt>
                <c:pt idx="68">
                  <c:v>1.6317025986844706E-2</c:v>
                </c:pt>
                <c:pt idx="69">
                  <c:v>1.6370158414504028E-2</c:v>
                </c:pt>
                <c:pt idx="70">
                  <c:v>1.6418921192637645E-2</c:v>
                </c:pt>
                <c:pt idx="71">
                  <c:v>1.6468811546650947E-2</c:v>
                </c:pt>
                <c:pt idx="72">
                  <c:v>1.652152803305201E-2</c:v>
                </c:pt>
                <c:pt idx="73">
                  <c:v>1.6571723900569647E-2</c:v>
                </c:pt>
                <c:pt idx="74">
                  <c:v>1.6625532178163257E-2</c:v>
                </c:pt>
                <c:pt idx="75">
                  <c:v>1.6679507505354133E-2</c:v>
                </c:pt>
                <c:pt idx="76">
                  <c:v>1.673305406123498E-2</c:v>
                </c:pt>
                <c:pt idx="77">
                  <c:v>1.6788497683973249E-2</c:v>
                </c:pt>
                <c:pt idx="78">
                  <c:v>1.684776585599497E-2</c:v>
                </c:pt>
                <c:pt idx="79">
                  <c:v>1.6904725962414976E-2</c:v>
                </c:pt>
                <c:pt idx="80">
                  <c:v>1.696361863946462E-2</c:v>
                </c:pt>
                <c:pt idx="81">
                  <c:v>1.7029729593461281E-2</c:v>
                </c:pt>
                <c:pt idx="82">
                  <c:v>1.7088983386933116E-2</c:v>
                </c:pt>
                <c:pt idx="83">
                  <c:v>1.715142557834513E-2</c:v>
                </c:pt>
                <c:pt idx="84">
                  <c:v>1.7219321923771042E-2</c:v>
                </c:pt>
                <c:pt idx="85">
                  <c:v>1.728139700636518E-2</c:v>
                </c:pt>
                <c:pt idx="86">
                  <c:v>1.7350308280520668E-2</c:v>
                </c:pt>
                <c:pt idx="87">
                  <c:v>1.7409510120804071E-2</c:v>
                </c:pt>
                <c:pt idx="88">
                  <c:v>1.7471707910201074E-2</c:v>
                </c:pt>
                <c:pt idx="89">
                  <c:v>1.7536428235140379E-2</c:v>
                </c:pt>
                <c:pt idx="90">
                  <c:v>1.7602785593708339E-2</c:v>
                </c:pt>
                <c:pt idx="91">
                  <c:v>1.7662524302887742E-2</c:v>
                </c:pt>
                <c:pt idx="92">
                  <c:v>1.7723922933872826E-2</c:v>
                </c:pt>
                <c:pt idx="93">
                  <c:v>1.7788963946288726E-2</c:v>
                </c:pt>
                <c:pt idx="94">
                  <c:v>1.7849514845537637E-2</c:v>
                </c:pt>
                <c:pt idx="95">
                  <c:v>1.7912540549953036E-2</c:v>
                </c:pt>
                <c:pt idx="96">
                  <c:v>1.7971356854831002E-2</c:v>
                </c:pt>
                <c:pt idx="97">
                  <c:v>1.803048697993577E-2</c:v>
                </c:pt>
                <c:pt idx="98">
                  <c:v>1.8094575170770014E-2</c:v>
                </c:pt>
                <c:pt idx="99">
                  <c:v>1.8150061578878156E-2</c:v>
                </c:pt>
                <c:pt idx="100">
                  <c:v>1.8204763564459367E-2</c:v>
                </c:pt>
                <c:pt idx="101">
                  <c:v>1.8263291667094322E-2</c:v>
                </c:pt>
                <c:pt idx="102">
                  <c:v>1.8317245730760569E-2</c:v>
                </c:pt>
                <c:pt idx="103">
                  <c:v>1.8373057298699532E-2</c:v>
                </c:pt>
                <c:pt idx="104">
                  <c:v>1.8429705891864108E-2</c:v>
                </c:pt>
                <c:pt idx="105">
                  <c:v>1.8480193066704894E-2</c:v>
                </c:pt>
                <c:pt idx="106">
                  <c:v>1.853591245109526E-2</c:v>
                </c:pt>
                <c:pt idx="107">
                  <c:v>1.8585395329537943E-2</c:v>
                </c:pt>
                <c:pt idx="108">
                  <c:v>1.8634950123394417E-2</c:v>
                </c:pt>
                <c:pt idx="109">
                  <c:v>1.8686069706418347E-2</c:v>
                </c:pt>
                <c:pt idx="110">
                  <c:v>1.8732404076621648E-2</c:v>
                </c:pt>
                <c:pt idx="111">
                  <c:v>1.8778488136629697E-2</c:v>
                </c:pt>
                <c:pt idx="112">
                  <c:v>1.8821869417916914E-2</c:v>
                </c:pt>
                <c:pt idx="113">
                  <c:v>1.8868398894028963E-2</c:v>
                </c:pt>
                <c:pt idx="114">
                  <c:v>1.8909344542820491E-2</c:v>
                </c:pt>
                <c:pt idx="115">
                  <c:v>1.895416634938011E-2</c:v>
                </c:pt>
                <c:pt idx="116">
                  <c:v>1.8992952912727873E-2</c:v>
                </c:pt>
                <c:pt idx="117">
                  <c:v>1.9031469117685475E-2</c:v>
                </c:pt>
                <c:pt idx="118">
                  <c:v>1.9070938365014473E-2</c:v>
                </c:pt>
                <c:pt idx="119">
                  <c:v>1.9105841748859115E-2</c:v>
                </c:pt>
                <c:pt idx="120">
                  <c:v>1.9141593658040031E-2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6-4635-ADED-8D99E6FC6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844335"/>
        <c:axId val="1885825615"/>
      </c:lineChart>
      <c:dateAx>
        <c:axId val="1885844335"/>
        <c:scaling>
          <c:orientation val="minMax"/>
        </c:scaling>
        <c:delete val="0"/>
        <c:axPos val="b"/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5615"/>
        <c:crosses val="autoZero"/>
        <c:auto val="1"/>
        <c:lblOffset val="100"/>
        <c:baseTimeUnit val="months"/>
      </c:dateAx>
      <c:valAx>
        <c:axId val="1885825615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727210076394073"/>
          <c:y val="0.62038346645518239"/>
          <c:w val="0.12351899587970498"/>
          <c:h val="0.109112936422515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Forward</a:t>
            </a:r>
            <a:r>
              <a:rPr lang="en-GB" baseline="0"/>
              <a:t> Rates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6192906054346E-2"/>
          <c:y val="7.1155875299760196E-2"/>
          <c:w val="0.89649537383246092"/>
          <c:h val="0.8163472875243114"/>
        </c:manualLayout>
      </c:layout>
      <c:lineChart>
        <c:grouping val="standard"/>
        <c:varyColors val="0"/>
        <c:ser>
          <c:idx val="0"/>
          <c:order val="0"/>
          <c:tx>
            <c:strRef>
              <c:f>'EUR FORWARDS'!$F$2</c:f>
              <c:strCache>
                <c:ptCount val="1"/>
                <c:pt idx="0">
                  <c:v>EONIA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'EUR FORWARDS'!$E$3:$E$130</c:f>
              <c:numCache>
                <c:formatCode>ddd\,\ d\-mmm\-yy</c:formatCode>
                <c:ptCount val="128"/>
                <c:pt idx="0">
                  <c:v>43798</c:v>
                </c:pt>
                <c:pt idx="1">
                  <c:v>43829</c:v>
                </c:pt>
                <c:pt idx="2">
                  <c:v>43859</c:v>
                </c:pt>
                <c:pt idx="3">
                  <c:v>43889</c:v>
                </c:pt>
                <c:pt idx="4">
                  <c:v>43920</c:v>
                </c:pt>
                <c:pt idx="5">
                  <c:v>43950</c:v>
                </c:pt>
                <c:pt idx="6">
                  <c:v>43980</c:v>
                </c:pt>
                <c:pt idx="7">
                  <c:v>44011</c:v>
                </c:pt>
                <c:pt idx="8">
                  <c:v>44041</c:v>
                </c:pt>
                <c:pt idx="9">
                  <c:v>44074</c:v>
                </c:pt>
                <c:pt idx="10">
                  <c:v>44103</c:v>
                </c:pt>
                <c:pt idx="11">
                  <c:v>44133</c:v>
                </c:pt>
                <c:pt idx="12">
                  <c:v>44165</c:v>
                </c:pt>
                <c:pt idx="13">
                  <c:v>44194</c:v>
                </c:pt>
                <c:pt idx="14">
                  <c:v>44225</c:v>
                </c:pt>
                <c:pt idx="15">
                  <c:v>44253</c:v>
                </c:pt>
                <c:pt idx="16">
                  <c:v>44284</c:v>
                </c:pt>
                <c:pt idx="17">
                  <c:v>44315</c:v>
                </c:pt>
                <c:pt idx="18">
                  <c:v>44347</c:v>
                </c:pt>
                <c:pt idx="19">
                  <c:v>44376</c:v>
                </c:pt>
                <c:pt idx="20">
                  <c:v>44406</c:v>
                </c:pt>
                <c:pt idx="21">
                  <c:v>44438</c:v>
                </c:pt>
                <c:pt idx="22">
                  <c:v>44468</c:v>
                </c:pt>
                <c:pt idx="23">
                  <c:v>44498</c:v>
                </c:pt>
                <c:pt idx="24">
                  <c:v>44529</c:v>
                </c:pt>
                <c:pt idx="25">
                  <c:v>44559</c:v>
                </c:pt>
                <c:pt idx="26">
                  <c:v>44592</c:v>
                </c:pt>
                <c:pt idx="27">
                  <c:v>44620</c:v>
                </c:pt>
                <c:pt idx="28">
                  <c:v>44649</c:v>
                </c:pt>
                <c:pt idx="29">
                  <c:v>44680</c:v>
                </c:pt>
                <c:pt idx="30">
                  <c:v>44711</c:v>
                </c:pt>
                <c:pt idx="31">
                  <c:v>44741</c:v>
                </c:pt>
                <c:pt idx="32">
                  <c:v>44771</c:v>
                </c:pt>
                <c:pt idx="33">
                  <c:v>44802</c:v>
                </c:pt>
                <c:pt idx="34">
                  <c:v>44833</c:v>
                </c:pt>
                <c:pt idx="35">
                  <c:v>44865</c:v>
                </c:pt>
                <c:pt idx="36">
                  <c:v>44894</c:v>
                </c:pt>
                <c:pt idx="37">
                  <c:v>44924</c:v>
                </c:pt>
                <c:pt idx="38">
                  <c:v>44956</c:v>
                </c:pt>
                <c:pt idx="39">
                  <c:v>44985</c:v>
                </c:pt>
                <c:pt idx="40">
                  <c:v>45014</c:v>
                </c:pt>
                <c:pt idx="41">
                  <c:v>45044</c:v>
                </c:pt>
                <c:pt idx="42">
                  <c:v>45075</c:v>
                </c:pt>
                <c:pt idx="43">
                  <c:v>45106</c:v>
                </c:pt>
                <c:pt idx="44">
                  <c:v>45138</c:v>
                </c:pt>
                <c:pt idx="45">
                  <c:v>45167</c:v>
                </c:pt>
                <c:pt idx="46">
                  <c:v>45198</c:v>
                </c:pt>
                <c:pt idx="47">
                  <c:v>45229</c:v>
                </c:pt>
                <c:pt idx="48">
                  <c:v>45259</c:v>
                </c:pt>
                <c:pt idx="49">
                  <c:v>45289</c:v>
                </c:pt>
                <c:pt idx="50">
                  <c:v>45320</c:v>
                </c:pt>
                <c:pt idx="51">
                  <c:v>45351</c:v>
                </c:pt>
                <c:pt idx="52">
                  <c:v>45380</c:v>
                </c:pt>
                <c:pt idx="53">
                  <c:v>45411</c:v>
                </c:pt>
                <c:pt idx="54">
                  <c:v>45441</c:v>
                </c:pt>
                <c:pt idx="55">
                  <c:v>45471</c:v>
                </c:pt>
                <c:pt idx="56">
                  <c:v>45502</c:v>
                </c:pt>
                <c:pt idx="57">
                  <c:v>45533</c:v>
                </c:pt>
                <c:pt idx="58">
                  <c:v>45565</c:v>
                </c:pt>
                <c:pt idx="59">
                  <c:v>45594</c:v>
                </c:pt>
                <c:pt idx="60">
                  <c:v>45625</c:v>
                </c:pt>
                <c:pt idx="61">
                  <c:v>45656</c:v>
                </c:pt>
                <c:pt idx="62">
                  <c:v>45686</c:v>
                </c:pt>
                <c:pt idx="63">
                  <c:v>45716</c:v>
                </c:pt>
                <c:pt idx="64">
                  <c:v>45747</c:v>
                </c:pt>
                <c:pt idx="65">
                  <c:v>45776</c:v>
                </c:pt>
                <c:pt idx="66">
                  <c:v>45806</c:v>
                </c:pt>
                <c:pt idx="67">
                  <c:v>45838</c:v>
                </c:pt>
                <c:pt idx="68">
                  <c:v>45867</c:v>
                </c:pt>
                <c:pt idx="69">
                  <c:v>45898</c:v>
                </c:pt>
                <c:pt idx="70">
                  <c:v>45929</c:v>
                </c:pt>
                <c:pt idx="71">
                  <c:v>45959</c:v>
                </c:pt>
                <c:pt idx="72">
                  <c:v>45989</c:v>
                </c:pt>
                <c:pt idx="73">
                  <c:v>46020</c:v>
                </c:pt>
                <c:pt idx="74">
                  <c:v>46051</c:v>
                </c:pt>
                <c:pt idx="75">
                  <c:v>46080</c:v>
                </c:pt>
                <c:pt idx="76">
                  <c:v>46111</c:v>
                </c:pt>
                <c:pt idx="77">
                  <c:v>46141</c:v>
                </c:pt>
                <c:pt idx="78">
                  <c:v>46171</c:v>
                </c:pt>
                <c:pt idx="79">
                  <c:v>46202</c:v>
                </c:pt>
                <c:pt idx="80">
                  <c:v>46232</c:v>
                </c:pt>
                <c:pt idx="81">
                  <c:v>46265</c:v>
                </c:pt>
                <c:pt idx="82">
                  <c:v>46294</c:v>
                </c:pt>
                <c:pt idx="83">
                  <c:v>46324</c:v>
                </c:pt>
                <c:pt idx="84">
                  <c:v>46356</c:v>
                </c:pt>
                <c:pt idx="85">
                  <c:v>46385</c:v>
                </c:pt>
                <c:pt idx="86">
                  <c:v>46416</c:v>
                </c:pt>
                <c:pt idx="87">
                  <c:v>46444</c:v>
                </c:pt>
                <c:pt idx="88">
                  <c:v>46475</c:v>
                </c:pt>
                <c:pt idx="89">
                  <c:v>46506</c:v>
                </c:pt>
                <c:pt idx="90">
                  <c:v>46538</c:v>
                </c:pt>
                <c:pt idx="91">
                  <c:v>46567</c:v>
                </c:pt>
                <c:pt idx="92">
                  <c:v>46597</c:v>
                </c:pt>
                <c:pt idx="93">
                  <c:v>46629</c:v>
                </c:pt>
                <c:pt idx="94">
                  <c:v>46659</c:v>
                </c:pt>
                <c:pt idx="95">
                  <c:v>46689</c:v>
                </c:pt>
                <c:pt idx="96">
                  <c:v>46720</c:v>
                </c:pt>
                <c:pt idx="97">
                  <c:v>46750</c:v>
                </c:pt>
                <c:pt idx="98">
                  <c:v>46783</c:v>
                </c:pt>
                <c:pt idx="99">
                  <c:v>46812</c:v>
                </c:pt>
                <c:pt idx="100">
                  <c:v>46841</c:v>
                </c:pt>
                <c:pt idx="101">
                  <c:v>46871</c:v>
                </c:pt>
                <c:pt idx="102">
                  <c:v>46902</c:v>
                </c:pt>
                <c:pt idx="103">
                  <c:v>46933</c:v>
                </c:pt>
                <c:pt idx="104">
                  <c:v>46965</c:v>
                </c:pt>
                <c:pt idx="105">
                  <c:v>46994</c:v>
                </c:pt>
                <c:pt idx="106">
                  <c:v>47025</c:v>
                </c:pt>
                <c:pt idx="107">
                  <c:v>47056</c:v>
                </c:pt>
                <c:pt idx="108">
                  <c:v>47086</c:v>
                </c:pt>
                <c:pt idx="109">
                  <c:v>47116</c:v>
                </c:pt>
                <c:pt idx="110">
                  <c:v>47147</c:v>
                </c:pt>
                <c:pt idx="111">
                  <c:v>47177</c:v>
                </c:pt>
                <c:pt idx="112">
                  <c:v>47206</c:v>
                </c:pt>
                <c:pt idx="113">
                  <c:v>47238</c:v>
                </c:pt>
                <c:pt idx="114">
                  <c:v>47267</c:v>
                </c:pt>
                <c:pt idx="115">
                  <c:v>47298</c:v>
                </c:pt>
                <c:pt idx="116">
                  <c:v>47329</c:v>
                </c:pt>
                <c:pt idx="117">
                  <c:v>47359</c:v>
                </c:pt>
                <c:pt idx="118">
                  <c:v>47389</c:v>
                </c:pt>
                <c:pt idx="119">
                  <c:v>47420</c:v>
                </c:pt>
                <c:pt idx="120">
                  <c:v>47451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'EUR FORWARDS'!$F$3:$F$130</c:f>
              <c:numCache>
                <c:formatCode>0.00000%</c:formatCode>
                <c:ptCount val="128"/>
                <c:pt idx="0">
                  <c:v>-4.4599447448634422E-3</c:v>
                </c:pt>
                <c:pt idx="1">
                  <c:v>-4.4828280881770094E-3</c:v>
                </c:pt>
                <c:pt idx="2">
                  <c:v>-4.5016587996871294E-3</c:v>
                </c:pt>
                <c:pt idx="3">
                  <c:v>-4.5793314219810671E-3</c:v>
                </c:pt>
                <c:pt idx="4">
                  <c:v>-4.6389778241584688E-3</c:v>
                </c:pt>
                <c:pt idx="5">
                  <c:v>-4.6822878687891199E-3</c:v>
                </c:pt>
                <c:pt idx="6">
                  <c:v>-4.7163147248286017E-3</c:v>
                </c:pt>
                <c:pt idx="7">
                  <c:v>-4.8132210516049941E-3</c:v>
                </c:pt>
                <c:pt idx="8">
                  <c:v>-4.8582691180820876E-3</c:v>
                </c:pt>
                <c:pt idx="9">
                  <c:v>-4.8803114490825368E-3</c:v>
                </c:pt>
                <c:pt idx="10">
                  <c:v>-4.9034163903627533E-3</c:v>
                </c:pt>
                <c:pt idx="11">
                  <c:v>-4.9848391587703662E-3</c:v>
                </c:pt>
                <c:pt idx="12">
                  <c:v>-5.1020875916130319E-3</c:v>
                </c:pt>
                <c:pt idx="13">
                  <c:v>-5.0653440733850101E-3</c:v>
                </c:pt>
                <c:pt idx="14">
                  <c:v>-5.0320195570652442E-3</c:v>
                </c:pt>
                <c:pt idx="15">
                  <c:v>-5.0100552647869461E-3</c:v>
                </c:pt>
                <c:pt idx="16">
                  <c:v>-4.9939656721154253E-3</c:v>
                </c:pt>
                <c:pt idx="17">
                  <c:v>-4.9852749182388752E-3</c:v>
                </c:pt>
                <c:pt idx="18">
                  <c:v>-4.9848225421023247E-3</c:v>
                </c:pt>
                <c:pt idx="19">
                  <c:v>-4.9858521355528214E-3</c:v>
                </c:pt>
                <c:pt idx="20">
                  <c:v>-4.9792641783330711E-3</c:v>
                </c:pt>
                <c:pt idx="21">
                  <c:v>-4.9636101638084358E-3</c:v>
                </c:pt>
                <c:pt idx="22">
                  <c:v>-4.9408604863865509E-3</c:v>
                </c:pt>
                <c:pt idx="23">
                  <c:v>-4.9090879222735313E-3</c:v>
                </c:pt>
                <c:pt idx="24">
                  <c:v>-4.8705602295307134E-3</c:v>
                </c:pt>
                <c:pt idx="25">
                  <c:v>-4.8261839952435E-3</c:v>
                </c:pt>
                <c:pt idx="26">
                  <c:v>-4.7742695417874077E-3</c:v>
                </c:pt>
                <c:pt idx="27">
                  <c:v>-4.727708899805466E-3</c:v>
                </c:pt>
                <c:pt idx="28">
                  <c:v>-4.6770575743915353E-3</c:v>
                </c:pt>
                <c:pt idx="29">
                  <c:v>-4.618243032061836E-3</c:v>
                </c:pt>
                <c:pt idx="30">
                  <c:v>-4.5604963514378647E-3</c:v>
                </c:pt>
                <c:pt idx="31">
                  <c:v>-4.5000559326480328E-3</c:v>
                </c:pt>
                <c:pt idx="32">
                  <c:v>-4.4347818768475534E-3</c:v>
                </c:pt>
                <c:pt idx="33">
                  <c:v>-4.3690516948702452E-3</c:v>
                </c:pt>
                <c:pt idx="34">
                  <c:v>-4.2983158816634216E-3</c:v>
                </c:pt>
                <c:pt idx="35">
                  <c:v>-4.2223619322934317E-3</c:v>
                </c:pt>
                <c:pt idx="36">
                  <c:v>-4.1509546086793284E-3</c:v>
                </c:pt>
                <c:pt idx="37">
                  <c:v>-4.0752385917430948E-3</c:v>
                </c:pt>
                <c:pt idx="38">
                  <c:v>-3.9939539486067016E-3</c:v>
                </c:pt>
                <c:pt idx="39">
                  <c:v>-3.9198594328837683E-3</c:v>
                </c:pt>
                <c:pt idx="40">
                  <c:v>-3.8453549864714415E-3</c:v>
                </c:pt>
                <c:pt idx="41">
                  <c:v>-3.7652185580183818E-3</c:v>
                </c:pt>
                <c:pt idx="42">
                  <c:v>-3.6872972003720991E-3</c:v>
                </c:pt>
                <c:pt idx="43">
                  <c:v>-3.6062738925490964E-3</c:v>
                </c:pt>
                <c:pt idx="44">
                  <c:v>-3.5221414598885074E-3</c:v>
                </c:pt>
                <c:pt idx="45">
                  <c:v>-3.4454606859180125E-3</c:v>
                </c:pt>
                <c:pt idx="46">
                  <c:v>-3.3603339105825591E-3</c:v>
                </c:pt>
                <c:pt idx="47">
                  <c:v>-3.2801282962591333E-3</c:v>
                </c:pt>
                <c:pt idx="48">
                  <c:v>-3.1994445422616992E-3</c:v>
                </c:pt>
                <c:pt idx="49">
                  <c:v>-3.1142190720199864E-3</c:v>
                </c:pt>
                <c:pt idx="50">
                  <c:v>-3.0278556262657804E-3</c:v>
                </c:pt>
                <c:pt idx="51">
                  <c:v>-2.9344727097462631E-3</c:v>
                </c:pt>
                <c:pt idx="52">
                  <c:v>-2.8401014914926585E-3</c:v>
                </c:pt>
                <c:pt idx="53">
                  <c:v>-2.7418679630737564E-3</c:v>
                </c:pt>
                <c:pt idx="54">
                  <c:v>-2.6397018120554046E-3</c:v>
                </c:pt>
                <c:pt idx="55">
                  <c:v>-2.5300054939724056E-3</c:v>
                </c:pt>
                <c:pt idx="56">
                  <c:v>-2.4199132246453606E-3</c:v>
                </c:pt>
                <c:pt idx="57">
                  <c:v>-2.3020267862742679E-3</c:v>
                </c:pt>
                <c:pt idx="58">
                  <c:v>-2.1759614901114485E-3</c:v>
                </c:pt>
                <c:pt idx="59">
                  <c:v>-2.0578743494862359E-3</c:v>
                </c:pt>
                <c:pt idx="60">
                  <c:v>-1.9233207479186758E-3</c:v>
                </c:pt>
                <c:pt idx="61">
                  <c:v>-1.7962045066924497E-3</c:v>
                </c:pt>
                <c:pt idx="62">
                  <c:v>-1.6723846303803814E-3</c:v>
                </c:pt>
                <c:pt idx="63">
                  <c:v>-1.5479280328455699E-3</c:v>
                </c:pt>
                <c:pt idx="64">
                  <c:v>-1.4308745521238713E-3</c:v>
                </c:pt>
                <c:pt idx="65">
                  <c:v>-1.3208708626468661E-3</c:v>
                </c:pt>
                <c:pt idx="66">
                  <c:v>-1.2103313129328325E-3</c:v>
                </c:pt>
                <c:pt idx="67">
                  <c:v>-1.0960687178675614E-3</c:v>
                </c:pt>
                <c:pt idx="68">
                  <c:v>-9.9576525748974439E-4</c:v>
                </c:pt>
                <c:pt idx="69">
                  <c:v>-8.886632200377333E-4</c:v>
                </c:pt>
                <c:pt idx="70">
                  <c:v>-7.9166318916344799E-4</c:v>
                </c:pt>
                <c:pt idx="71">
                  <c:v>-6.9795520371241119E-4</c:v>
                </c:pt>
                <c:pt idx="72">
                  <c:v>-6.0458012596246275E-4</c:v>
                </c:pt>
                <c:pt idx="73">
                  <c:v>-5.1443548652949165E-4</c:v>
                </c:pt>
                <c:pt idx="74">
                  <c:v>-4.1638514328486007E-4</c:v>
                </c:pt>
                <c:pt idx="75">
                  <c:v>-3.1669627972073599E-4</c:v>
                </c:pt>
                <c:pt idx="76">
                  <c:v>-2.1228881364795406E-4</c:v>
                </c:pt>
                <c:pt idx="77">
                  <c:v>-1.0315434750387008E-4</c:v>
                </c:pt>
                <c:pt idx="78">
                  <c:v>1.4586441334785978E-5</c:v>
                </c:pt>
                <c:pt idx="79">
                  <c:v>1.3333549856222552E-4</c:v>
                </c:pt>
                <c:pt idx="80">
                  <c:v>2.5682095146524621E-4</c:v>
                </c:pt>
                <c:pt idx="81">
                  <c:v>3.9812840176629404E-4</c:v>
                </c:pt>
                <c:pt idx="82">
                  <c:v>5.2704607278472875E-4</c:v>
                </c:pt>
                <c:pt idx="83">
                  <c:v>6.6507898492485656E-4</c:v>
                </c:pt>
                <c:pt idx="84">
                  <c:v>8.1755487427935243E-4</c:v>
                </c:pt>
                <c:pt idx="85">
                  <c:v>9.5673249730572933E-4</c:v>
                </c:pt>
                <c:pt idx="86">
                  <c:v>1.1052791446352632E-3</c:v>
                </c:pt>
                <c:pt idx="87">
                  <c:v>1.2308988955833044E-3</c:v>
                </c:pt>
                <c:pt idx="88">
                  <c:v>1.3609771838305567E-3</c:v>
                </c:pt>
                <c:pt idx="89">
                  <c:v>1.4904938375523871E-3</c:v>
                </c:pt>
                <c:pt idx="90">
                  <c:v>1.6189663507401831E-3</c:v>
                </c:pt>
                <c:pt idx="91">
                  <c:v>1.7308134872526318E-3</c:v>
                </c:pt>
                <c:pt idx="92">
                  <c:v>1.8419344850964759E-3</c:v>
                </c:pt>
                <c:pt idx="93">
                  <c:v>1.9553268335673478E-3</c:v>
                </c:pt>
                <c:pt idx="94">
                  <c:v>2.0568163377273747E-3</c:v>
                </c:pt>
                <c:pt idx="95">
                  <c:v>2.1568033290805216E-3</c:v>
                </c:pt>
                <c:pt idx="96">
                  <c:v>2.2488031909439804E-3</c:v>
                </c:pt>
                <c:pt idx="97">
                  <c:v>2.3384143714185409E-3</c:v>
                </c:pt>
                <c:pt idx="98">
                  <c:v>2.4382583275613452E-3</c:v>
                </c:pt>
                <c:pt idx="99">
                  <c:v>2.5271405764822276E-3</c:v>
                </c:pt>
                <c:pt idx="100">
                  <c:v>2.6170926963149728E-3</c:v>
                </c:pt>
                <c:pt idx="101">
                  <c:v>2.7144555884641031E-3</c:v>
                </c:pt>
                <c:pt idx="102">
                  <c:v>2.8098070471123163E-3</c:v>
                </c:pt>
                <c:pt idx="103">
                  <c:v>2.9095714602448046E-3</c:v>
                </c:pt>
                <c:pt idx="104">
                  <c:v>3.0138511813410937E-3</c:v>
                </c:pt>
                <c:pt idx="105">
                  <c:v>3.1094963739870109E-3</c:v>
                </c:pt>
                <c:pt idx="106">
                  <c:v>3.2163288973221125E-3</c:v>
                </c:pt>
                <c:pt idx="107">
                  <c:v>3.3176360044800332E-3</c:v>
                </c:pt>
                <c:pt idx="108">
                  <c:v>3.4201453187948853E-3</c:v>
                </c:pt>
                <c:pt idx="109">
                  <c:v>3.526599157659605E-3</c:v>
                </c:pt>
                <c:pt idx="110">
                  <c:v>3.6288352066454633E-3</c:v>
                </c:pt>
                <c:pt idx="111">
                  <c:v>3.7303821742001582E-3</c:v>
                </c:pt>
                <c:pt idx="112">
                  <c:v>3.8278581857025939E-3</c:v>
                </c:pt>
                <c:pt idx="113">
                  <c:v>3.9346369562481233E-3</c:v>
                </c:pt>
                <c:pt idx="114">
                  <c:v>4.0306989514864808E-3</c:v>
                </c:pt>
                <c:pt idx="115">
                  <c:v>4.1359679427703999E-3</c:v>
                </c:pt>
                <c:pt idx="116">
                  <c:v>4.2338264740486896E-3</c:v>
                </c:pt>
                <c:pt idx="117">
                  <c:v>4.3310178734600026E-3</c:v>
                </c:pt>
                <c:pt idx="118">
                  <c:v>4.430754100948316E-3</c:v>
                </c:pt>
                <c:pt idx="119">
                  <c:v>4.5264425022594973E-3</c:v>
                </c:pt>
                <c:pt idx="120">
                  <c:v>4.624629958662029E-3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C-4109-B860-745EB7246D9F}"/>
            </c:ext>
          </c:extLst>
        </c:ser>
        <c:ser>
          <c:idx val="1"/>
          <c:order val="1"/>
          <c:tx>
            <c:strRef>
              <c:f>'EUR FORWARDS'!$G$2</c:f>
              <c:strCache>
                <c:ptCount val="1"/>
                <c:pt idx="0">
                  <c:v>ESTR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'EUR FORWARDS'!$E$3:$E$130</c:f>
              <c:numCache>
                <c:formatCode>ddd\,\ d\-mmm\-yy</c:formatCode>
                <c:ptCount val="128"/>
                <c:pt idx="0">
                  <c:v>43798</c:v>
                </c:pt>
                <c:pt idx="1">
                  <c:v>43829</c:v>
                </c:pt>
                <c:pt idx="2">
                  <c:v>43859</c:v>
                </c:pt>
                <c:pt idx="3">
                  <c:v>43889</c:v>
                </c:pt>
                <c:pt idx="4">
                  <c:v>43920</c:v>
                </c:pt>
                <c:pt idx="5">
                  <c:v>43950</c:v>
                </c:pt>
                <c:pt idx="6">
                  <c:v>43980</c:v>
                </c:pt>
                <c:pt idx="7">
                  <c:v>44011</c:v>
                </c:pt>
                <c:pt idx="8">
                  <c:v>44041</c:v>
                </c:pt>
                <c:pt idx="9">
                  <c:v>44074</c:v>
                </c:pt>
                <c:pt idx="10">
                  <c:v>44103</c:v>
                </c:pt>
                <c:pt idx="11">
                  <c:v>44133</c:v>
                </c:pt>
                <c:pt idx="12">
                  <c:v>44165</c:v>
                </c:pt>
                <c:pt idx="13">
                  <c:v>44194</c:v>
                </c:pt>
                <c:pt idx="14">
                  <c:v>44225</c:v>
                </c:pt>
                <c:pt idx="15">
                  <c:v>44253</c:v>
                </c:pt>
                <c:pt idx="16">
                  <c:v>44284</c:v>
                </c:pt>
                <c:pt idx="17">
                  <c:v>44315</c:v>
                </c:pt>
                <c:pt idx="18">
                  <c:v>44347</c:v>
                </c:pt>
                <c:pt idx="19">
                  <c:v>44376</c:v>
                </c:pt>
                <c:pt idx="20">
                  <c:v>44406</c:v>
                </c:pt>
                <c:pt idx="21">
                  <c:v>44438</c:v>
                </c:pt>
                <c:pt idx="22">
                  <c:v>44468</c:v>
                </c:pt>
                <c:pt idx="23">
                  <c:v>44498</c:v>
                </c:pt>
                <c:pt idx="24">
                  <c:v>44529</c:v>
                </c:pt>
                <c:pt idx="25">
                  <c:v>44559</c:v>
                </c:pt>
                <c:pt idx="26">
                  <c:v>44592</c:v>
                </c:pt>
                <c:pt idx="27">
                  <c:v>44620</c:v>
                </c:pt>
                <c:pt idx="28">
                  <c:v>44649</c:v>
                </c:pt>
                <c:pt idx="29">
                  <c:v>44680</c:v>
                </c:pt>
                <c:pt idx="30">
                  <c:v>44711</c:v>
                </c:pt>
                <c:pt idx="31">
                  <c:v>44741</c:v>
                </c:pt>
                <c:pt idx="32">
                  <c:v>44771</c:v>
                </c:pt>
                <c:pt idx="33">
                  <c:v>44802</c:v>
                </c:pt>
                <c:pt idx="34">
                  <c:v>44833</c:v>
                </c:pt>
                <c:pt idx="35">
                  <c:v>44865</c:v>
                </c:pt>
                <c:pt idx="36">
                  <c:v>44894</c:v>
                </c:pt>
                <c:pt idx="37">
                  <c:v>44924</c:v>
                </c:pt>
                <c:pt idx="38">
                  <c:v>44956</c:v>
                </c:pt>
                <c:pt idx="39">
                  <c:v>44985</c:v>
                </c:pt>
                <c:pt idx="40">
                  <c:v>45014</c:v>
                </c:pt>
                <c:pt idx="41">
                  <c:v>45044</c:v>
                </c:pt>
                <c:pt idx="42">
                  <c:v>45075</c:v>
                </c:pt>
                <c:pt idx="43">
                  <c:v>45106</c:v>
                </c:pt>
                <c:pt idx="44">
                  <c:v>45138</c:v>
                </c:pt>
                <c:pt idx="45">
                  <c:v>45167</c:v>
                </c:pt>
                <c:pt idx="46">
                  <c:v>45198</c:v>
                </c:pt>
                <c:pt idx="47">
                  <c:v>45229</c:v>
                </c:pt>
                <c:pt idx="48">
                  <c:v>45259</c:v>
                </c:pt>
                <c:pt idx="49">
                  <c:v>45289</c:v>
                </c:pt>
                <c:pt idx="50">
                  <c:v>45320</c:v>
                </c:pt>
                <c:pt idx="51">
                  <c:v>45351</c:v>
                </c:pt>
                <c:pt idx="52">
                  <c:v>45380</c:v>
                </c:pt>
                <c:pt idx="53">
                  <c:v>45411</c:v>
                </c:pt>
                <c:pt idx="54">
                  <c:v>45441</c:v>
                </c:pt>
                <c:pt idx="55">
                  <c:v>45471</c:v>
                </c:pt>
                <c:pt idx="56">
                  <c:v>45502</c:v>
                </c:pt>
                <c:pt idx="57">
                  <c:v>45533</c:v>
                </c:pt>
                <c:pt idx="58">
                  <c:v>45565</c:v>
                </c:pt>
                <c:pt idx="59">
                  <c:v>45594</c:v>
                </c:pt>
                <c:pt idx="60">
                  <c:v>45625</c:v>
                </c:pt>
                <c:pt idx="61">
                  <c:v>45656</c:v>
                </c:pt>
                <c:pt idx="62">
                  <c:v>45686</c:v>
                </c:pt>
                <c:pt idx="63">
                  <c:v>45716</c:v>
                </c:pt>
                <c:pt idx="64">
                  <c:v>45747</c:v>
                </c:pt>
                <c:pt idx="65">
                  <c:v>45776</c:v>
                </c:pt>
                <c:pt idx="66">
                  <c:v>45806</c:v>
                </c:pt>
                <c:pt idx="67">
                  <c:v>45838</c:v>
                </c:pt>
                <c:pt idx="68">
                  <c:v>45867</c:v>
                </c:pt>
                <c:pt idx="69">
                  <c:v>45898</c:v>
                </c:pt>
                <c:pt idx="70">
                  <c:v>45929</c:v>
                </c:pt>
                <c:pt idx="71">
                  <c:v>45959</c:v>
                </c:pt>
                <c:pt idx="72">
                  <c:v>45989</c:v>
                </c:pt>
                <c:pt idx="73">
                  <c:v>46020</c:v>
                </c:pt>
                <c:pt idx="74">
                  <c:v>46051</c:v>
                </c:pt>
                <c:pt idx="75">
                  <c:v>46080</c:v>
                </c:pt>
                <c:pt idx="76">
                  <c:v>46111</c:v>
                </c:pt>
                <c:pt idx="77">
                  <c:v>46141</c:v>
                </c:pt>
                <c:pt idx="78">
                  <c:v>46171</c:v>
                </c:pt>
                <c:pt idx="79">
                  <c:v>46202</c:v>
                </c:pt>
                <c:pt idx="80">
                  <c:v>46232</c:v>
                </c:pt>
                <c:pt idx="81">
                  <c:v>46265</c:v>
                </c:pt>
                <c:pt idx="82">
                  <c:v>46294</c:v>
                </c:pt>
                <c:pt idx="83">
                  <c:v>46324</c:v>
                </c:pt>
                <c:pt idx="84">
                  <c:v>46356</c:v>
                </c:pt>
                <c:pt idx="85">
                  <c:v>46385</c:v>
                </c:pt>
                <c:pt idx="86">
                  <c:v>46416</c:v>
                </c:pt>
                <c:pt idx="87">
                  <c:v>46444</c:v>
                </c:pt>
                <c:pt idx="88">
                  <c:v>46475</c:v>
                </c:pt>
                <c:pt idx="89">
                  <c:v>46506</c:v>
                </c:pt>
                <c:pt idx="90">
                  <c:v>46538</c:v>
                </c:pt>
                <c:pt idx="91">
                  <c:v>46567</c:v>
                </c:pt>
                <c:pt idx="92">
                  <c:v>46597</c:v>
                </c:pt>
                <c:pt idx="93">
                  <c:v>46629</c:v>
                </c:pt>
                <c:pt idx="94">
                  <c:v>46659</c:v>
                </c:pt>
                <c:pt idx="95">
                  <c:v>46689</c:v>
                </c:pt>
                <c:pt idx="96">
                  <c:v>46720</c:v>
                </c:pt>
                <c:pt idx="97">
                  <c:v>46750</c:v>
                </c:pt>
                <c:pt idx="98">
                  <c:v>46783</c:v>
                </c:pt>
                <c:pt idx="99">
                  <c:v>46812</c:v>
                </c:pt>
                <c:pt idx="100">
                  <c:v>46841</c:v>
                </c:pt>
                <c:pt idx="101">
                  <c:v>46871</c:v>
                </c:pt>
                <c:pt idx="102">
                  <c:v>46902</c:v>
                </c:pt>
                <c:pt idx="103">
                  <c:v>46933</c:v>
                </c:pt>
                <c:pt idx="104">
                  <c:v>46965</c:v>
                </c:pt>
                <c:pt idx="105">
                  <c:v>46994</c:v>
                </c:pt>
                <c:pt idx="106">
                  <c:v>47025</c:v>
                </c:pt>
                <c:pt idx="107">
                  <c:v>47056</c:v>
                </c:pt>
                <c:pt idx="108">
                  <c:v>47086</c:v>
                </c:pt>
                <c:pt idx="109">
                  <c:v>47116</c:v>
                </c:pt>
                <c:pt idx="110">
                  <c:v>47147</c:v>
                </c:pt>
                <c:pt idx="111">
                  <c:v>47177</c:v>
                </c:pt>
                <c:pt idx="112">
                  <c:v>47206</c:v>
                </c:pt>
                <c:pt idx="113">
                  <c:v>47238</c:v>
                </c:pt>
                <c:pt idx="114">
                  <c:v>47267</c:v>
                </c:pt>
                <c:pt idx="115">
                  <c:v>47298</c:v>
                </c:pt>
                <c:pt idx="116">
                  <c:v>47329</c:v>
                </c:pt>
                <c:pt idx="117">
                  <c:v>47359</c:v>
                </c:pt>
                <c:pt idx="118">
                  <c:v>47389</c:v>
                </c:pt>
                <c:pt idx="119">
                  <c:v>47420</c:v>
                </c:pt>
                <c:pt idx="120">
                  <c:v>47451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'EUR FORWARDS'!$G$3:$G$130</c:f>
              <c:numCache>
                <c:formatCode>0.00000%</c:formatCode>
                <c:ptCount val="128"/>
                <c:pt idx="0">
                  <c:v>-5.3099216767149571E-3</c:v>
                </c:pt>
                <c:pt idx="1">
                  <c:v>-5.3285470791353184E-3</c:v>
                </c:pt>
                <c:pt idx="2">
                  <c:v>-5.3372257876471898E-3</c:v>
                </c:pt>
                <c:pt idx="3">
                  <c:v>-5.4637483511798916E-3</c:v>
                </c:pt>
                <c:pt idx="4">
                  <c:v>-5.482616452354724E-3</c:v>
                </c:pt>
                <c:pt idx="5">
                  <c:v>-5.5464098157864882E-3</c:v>
                </c:pt>
                <c:pt idx="6">
                  <c:v>-5.6126431962866463E-3</c:v>
                </c:pt>
                <c:pt idx="7">
                  <c:v>-5.6645609177685885E-3</c:v>
                </c:pt>
                <c:pt idx="8">
                  <c:v>-5.7278962272855538E-3</c:v>
                </c:pt>
                <c:pt idx="9">
                  <c:v>-5.7674318910283726E-3</c:v>
                </c:pt>
                <c:pt idx="10">
                  <c:v>-5.8285866275032058E-3</c:v>
                </c:pt>
                <c:pt idx="11">
                  <c:v>-5.8323824534367782E-3</c:v>
                </c:pt>
                <c:pt idx="12">
                  <c:v>-5.9239411190859168E-3</c:v>
                </c:pt>
                <c:pt idx="13">
                  <c:v>-5.9130274612284803E-3</c:v>
                </c:pt>
                <c:pt idx="14">
                  <c:v>-5.9029322440595985E-3</c:v>
                </c:pt>
                <c:pt idx="15">
                  <c:v>-5.8965036461256157E-3</c:v>
                </c:pt>
                <c:pt idx="16">
                  <c:v>-5.8921100758846587E-3</c:v>
                </c:pt>
                <c:pt idx="17">
                  <c:v>-5.8900730848687952E-3</c:v>
                </c:pt>
                <c:pt idx="18">
                  <c:v>-5.8907386375217849E-3</c:v>
                </c:pt>
                <c:pt idx="19">
                  <c:v>-5.8895923402646697E-3</c:v>
                </c:pt>
                <c:pt idx="20">
                  <c:v>-5.880360266838934E-3</c:v>
                </c:pt>
                <c:pt idx="21">
                  <c:v>-5.8614679216706586E-3</c:v>
                </c:pt>
                <c:pt idx="22">
                  <c:v>-5.8352937317352124E-3</c:v>
                </c:pt>
                <c:pt idx="23">
                  <c:v>-5.7995641174146892E-3</c:v>
                </c:pt>
                <c:pt idx="24">
                  <c:v>-5.7568833688126583E-3</c:v>
                </c:pt>
                <c:pt idx="25">
                  <c:v>-5.7083315470096907E-3</c:v>
                </c:pt>
                <c:pt idx="26">
                  <c:v>-5.6524922926293386E-3</c:v>
                </c:pt>
                <c:pt idx="27">
                  <c:v>-5.6031561107694671E-3</c:v>
                </c:pt>
                <c:pt idx="28">
                  <c:v>-5.5501665080637452E-3</c:v>
                </c:pt>
                <c:pt idx="29">
                  <c:v>-5.4893805847022938E-3</c:v>
                </c:pt>
                <c:pt idx="30">
                  <c:v>-5.4304355515544436E-3</c:v>
                </c:pt>
                <c:pt idx="31">
                  <c:v>-5.3693556181233695E-3</c:v>
                </c:pt>
                <c:pt idx="32">
                  <c:v>-5.3040096901080438E-3</c:v>
                </c:pt>
                <c:pt idx="33">
                  <c:v>-5.2388480502507844E-3</c:v>
                </c:pt>
                <c:pt idx="34">
                  <c:v>-5.1692874060061027E-3</c:v>
                </c:pt>
                <c:pt idx="35">
                  <c:v>-5.0951985078295974E-3</c:v>
                </c:pt>
                <c:pt idx="36">
                  <c:v>-5.0260533296065018E-3</c:v>
                </c:pt>
                <c:pt idx="37">
                  <c:v>-4.9529254158420417E-3</c:v>
                </c:pt>
                <c:pt idx="38">
                  <c:v>-4.8739893034755073E-3</c:v>
                </c:pt>
                <c:pt idx="39">
                  <c:v>-4.801640971030547E-3</c:v>
                </c:pt>
                <c:pt idx="40">
                  <c:v>-4.7285201217750648E-3</c:v>
                </c:pt>
                <c:pt idx="41">
                  <c:v>-4.6494417816589527E-3</c:v>
                </c:pt>
                <c:pt idx="42">
                  <c:v>-4.5721924787445354E-3</c:v>
                </c:pt>
                <c:pt idx="43">
                  <c:v>-4.4914370018789441E-3</c:v>
                </c:pt>
                <c:pt idx="44">
                  <c:v>-4.4071500021392197E-3</c:v>
                </c:pt>
                <c:pt idx="45">
                  <c:v>-4.3299516467510003E-3</c:v>
                </c:pt>
                <c:pt idx="46">
                  <c:v>-4.2438191609273238E-3</c:v>
                </c:pt>
                <c:pt idx="47">
                  <c:v>-4.1623116329603397E-3</c:v>
                </c:pt>
                <c:pt idx="48">
                  <c:v>-4.0799250780627636E-3</c:v>
                </c:pt>
                <c:pt idx="49">
                  <c:v>-3.9925492469181879E-3</c:v>
                </c:pt>
                <c:pt idx="50">
                  <c:v>-3.9038231134919939E-3</c:v>
                </c:pt>
                <c:pt idx="51">
                  <c:v>-3.8076565126094592E-3</c:v>
                </c:pt>
                <c:pt idx="52">
                  <c:v>-3.7102631898557779E-3</c:v>
                </c:pt>
                <c:pt idx="53">
                  <c:v>-3.6087337158135966E-3</c:v>
                </c:pt>
                <c:pt idx="54">
                  <c:v>-3.5029513009871178E-3</c:v>
                </c:pt>
                <c:pt idx="55">
                  <c:v>-3.3891855838195629E-3</c:v>
                </c:pt>
                <c:pt idx="56">
                  <c:v>-3.2748764371920225E-3</c:v>
                </c:pt>
                <c:pt idx="57">
                  <c:v>-3.1523021810869346E-3</c:v>
                </c:pt>
                <c:pt idx="58">
                  <c:v>-3.0210626950073201E-3</c:v>
                </c:pt>
                <c:pt idx="59">
                  <c:v>-2.8979935034905441E-3</c:v>
                </c:pt>
                <c:pt idx="60">
                  <c:v>-2.7576094879845814E-3</c:v>
                </c:pt>
                <c:pt idx="61">
                  <c:v>-2.6253831877691551E-3</c:v>
                </c:pt>
                <c:pt idx="62">
                  <c:v>-2.4976643289202544E-3</c:v>
                </c:pt>
                <c:pt idx="63">
                  <c:v>-2.370457411120401E-3</c:v>
                </c:pt>
                <c:pt idx="64">
                  <c:v>-2.2520025561952681E-3</c:v>
                </c:pt>
                <c:pt idx="65">
                  <c:v>-2.1417968022733494E-3</c:v>
                </c:pt>
                <c:pt idx="66">
                  <c:v>-2.0322473139119542E-3</c:v>
                </c:pt>
                <c:pt idx="67">
                  <c:v>-1.9203829761596876E-3</c:v>
                </c:pt>
                <c:pt idx="68">
                  <c:v>-1.8234481099452173E-3</c:v>
                </c:pt>
                <c:pt idx="69">
                  <c:v>-1.7213747082943907E-3</c:v>
                </c:pt>
                <c:pt idx="70">
                  <c:v>-1.6303534745440668E-3</c:v>
                </c:pt>
                <c:pt idx="71">
                  <c:v>-1.5438305463224859E-3</c:v>
                </c:pt>
                <c:pt idx="72">
                  <c:v>-1.4591473798698238E-3</c:v>
                </c:pt>
                <c:pt idx="73">
                  <c:v>-1.3776366465603237E-3</c:v>
                </c:pt>
                <c:pt idx="74">
                  <c:v>-1.2870579868275883E-3</c:v>
                </c:pt>
                <c:pt idx="75">
                  <c:v>-1.1931813330700552E-3</c:v>
                </c:pt>
                <c:pt idx="76">
                  <c:v>-1.0932056411714864E-3</c:v>
                </c:pt>
                <c:pt idx="77">
                  <c:v>-9.8711208411222419E-4</c:v>
                </c:pt>
                <c:pt idx="78">
                  <c:v>-8.7105633272970787E-4</c:v>
                </c:pt>
                <c:pt idx="79">
                  <c:v>-7.5253738888404558E-4</c:v>
                </c:pt>
                <c:pt idx="80">
                  <c:v>-6.2789855954638221E-4</c:v>
                </c:pt>
                <c:pt idx="81">
                  <c:v>-4.8372944701843411E-4</c:v>
                </c:pt>
                <c:pt idx="82">
                  <c:v>-3.5092085165727889E-4</c:v>
                </c:pt>
                <c:pt idx="83">
                  <c:v>-2.0750946545075119E-4</c:v>
                </c:pt>
                <c:pt idx="84">
                  <c:v>-4.778078352973089E-5</c:v>
                </c:pt>
                <c:pt idx="85">
                  <c:v>9.8811860134147094E-5</c:v>
                </c:pt>
                <c:pt idx="86">
                  <c:v>2.5562070772088111E-4</c:v>
                </c:pt>
                <c:pt idx="87">
                  <c:v>3.8854117139661983E-4</c:v>
                </c:pt>
                <c:pt idx="88">
                  <c:v>5.2651938672979113E-4</c:v>
                </c:pt>
                <c:pt idx="89">
                  <c:v>6.6427705768024752E-4</c:v>
                </c:pt>
                <c:pt idx="90">
                  <c:v>8.0134558772636223E-4</c:v>
                </c:pt>
                <c:pt idx="91">
                  <c:v>9.2106291753587567E-4</c:v>
                </c:pt>
                <c:pt idx="92">
                  <c:v>1.0404073676186266E-3</c:v>
                </c:pt>
                <c:pt idx="93">
                  <c:v>1.1626651339293427E-3</c:v>
                </c:pt>
                <c:pt idx="94">
                  <c:v>1.2725556813107063E-3</c:v>
                </c:pt>
                <c:pt idx="95">
                  <c:v>1.3813092327017501E-3</c:v>
                </c:pt>
                <c:pt idx="96">
                  <c:v>1.4818995990324934E-3</c:v>
                </c:pt>
                <c:pt idx="97">
                  <c:v>1.5797111668367253E-3</c:v>
                </c:pt>
                <c:pt idx="98">
                  <c:v>1.6872867562331556E-3</c:v>
                </c:pt>
                <c:pt idx="99">
                  <c:v>1.7818403814026651E-3</c:v>
                </c:pt>
                <c:pt idx="100">
                  <c:v>1.8764126371092879E-3</c:v>
                </c:pt>
                <c:pt idx="101">
                  <c:v>1.977541035884768E-3</c:v>
                </c:pt>
                <c:pt idx="102">
                  <c:v>2.0754109435025068E-3</c:v>
                </c:pt>
                <c:pt idx="103">
                  <c:v>2.176582934368895E-3</c:v>
                </c:pt>
                <c:pt idx="104">
                  <c:v>2.2810517170320553E-3</c:v>
                </c:pt>
                <c:pt idx="105">
                  <c:v>2.375758077386065E-3</c:v>
                </c:pt>
                <c:pt idx="106">
                  <c:v>2.4803162301891024E-3</c:v>
                </c:pt>
                <c:pt idx="107">
                  <c:v>2.5783445907125138E-3</c:v>
                </c:pt>
                <c:pt idx="108">
                  <c:v>2.6764295113763915E-3</c:v>
                </c:pt>
                <c:pt idx="109">
                  <c:v>2.7775942689613389E-3</c:v>
                </c:pt>
                <c:pt idx="110">
                  <c:v>2.8748416567299043E-3</c:v>
                </c:pt>
                <c:pt idx="111">
                  <c:v>2.9715027785566024E-3</c:v>
                </c:pt>
                <c:pt idx="112">
                  <c:v>3.0643660364399676E-3</c:v>
                </c:pt>
                <c:pt idx="113">
                  <c:v>3.166180725439676E-3</c:v>
                </c:pt>
                <c:pt idx="114">
                  <c:v>3.2578581760306828E-3</c:v>
                </c:pt>
                <c:pt idx="115">
                  <c:v>3.3583989958602422E-3</c:v>
                </c:pt>
                <c:pt idx="116">
                  <c:v>3.4519764239865514E-3</c:v>
                </c:pt>
                <c:pt idx="117">
                  <c:v>3.5449871175358616E-3</c:v>
                </c:pt>
                <c:pt idx="118">
                  <c:v>3.6405082012704718E-3</c:v>
                </c:pt>
                <c:pt idx="119">
                  <c:v>3.7322710137673012E-3</c:v>
                </c:pt>
                <c:pt idx="120">
                  <c:v>3.8265067184444904E-3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C-4109-B860-745EB7246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844335"/>
        <c:axId val="1885825615"/>
      </c:lineChart>
      <c:dateAx>
        <c:axId val="1885844335"/>
        <c:scaling>
          <c:orientation val="minMax"/>
        </c:scaling>
        <c:delete val="0"/>
        <c:axPos val="b"/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5615"/>
        <c:crosses val="autoZero"/>
        <c:auto val="1"/>
        <c:lblOffset val="100"/>
        <c:baseTimeUnit val="months"/>
      </c:dateAx>
      <c:valAx>
        <c:axId val="18858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727210076394073"/>
          <c:y val="0.62038346645518239"/>
          <c:w val="0.12351899587970498"/>
          <c:h val="0.109112936422515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Discount</a:t>
            </a:r>
            <a:r>
              <a:rPr lang="en-GB" baseline="0"/>
              <a:t> Factors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356192906054346E-2"/>
          <c:y val="7.1155875299760196E-2"/>
          <c:w val="0.89649537383246092"/>
          <c:h val="0.8163472875243114"/>
        </c:manualLayout>
      </c:layout>
      <c:lineChart>
        <c:grouping val="standard"/>
        <c:varyColors val="0"/>
        <c:ser>
          <c:idx val="0"/>
          <c:order val="0"/>
          <c:tx>
            <c:strRef>
              <c:f>ESTR_DISCOUNT_FACTORS!$F$2</c:f>
              <c:strCache>
                <c:ptCount val="1"/>
                <c:pt idx="0">
                  <c:v>ESTR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ESTR_DISCOUNT_FACTORS!$E$3:$E$130</c:f>
              <c:numCache>
                <c:formatCode>ddd\,\ d\-mmm\-yy</c:formatCode>
                <c:ptCount val="128"/>
                <c:pt idx="0">
                  <c:v>43798</c:v>
                </c:pt>
                <c:pt idx="1">
                  <c:v>43889</c:v>
                </c:pt>
                <c:pt idx="2">
                  <c:v>43980</c:v>
                </c:pt>
                <c:pt idx="3">
                  <c:v>44074</c:v>
                </c:pt>
                <c:pt idx="4">
                  <c:v>44165</c:v>
                </c:pt>
                <c:pt idx="5">
                  <c:v>44253</c:v>
                </c:pt>
                <c:pt idx="6">
                  <c:v>44347</c:v>
                </c:pt>
                <c:pt idx="7">
                  <c:v>44438</c:v>
                </c:pt>
                <c:pt idx="8">
                  <c:v>44529</c:v>
                </c:pt>
                <c:pt idx="9">
                  <c:v>44620</c:v>
                </c:pt>
                <c:pt idx="10">
                  <c:v>44711</c:v>
                </c:pt>
                <c:pt idx="11">
                  <c:v>44802</c:v>
                </c:pt>
                <c:pt idx="12">
                  <c:v>44894</c:v>
                </c:pt>
                <c:pt idx="13">
                  <c:v>44985</c:v>
                </c:pt>
                <c:pt idx="14">
                  <c:v>45075</c:v>
                </c:pt>
                <c:pt idx="15">
                  <c:v>45167</c:v>
                </c:pt>
                <c:pt idx="16">
                  <c:v>45259</c:v>
                </c:pt>
                <c:pt idx="17">
                  <c:v>45351</c:v>
                </c:pt>
                <c:pt idx="18">
                  <c:v>45441</c:v>
                </c:pt>
                <c:pt idx="19">
                  <c:v>45533</c:v>
                </c:pt>
                <c:pt idx="20">
                  <c:v>45625</c:v>
                </c:pt>
                <c:pt idx="21">
                  <c:v>45716</c:v>
                </c:pt>
                <c:pt idx="22">
                  <c:v>45806</c:v>
                </c:pt>
                <c:pt idx="23">
                  <c:v>45898</c:v>
                </c:pt>
                <c:pt idx="24">
                  <c:v>45989</c:v>
                </c:pt>
                <c:pt idx="25">
                  <c:v>46080</c:v>
                </c:pt>
                <c:pt idx="26">
                  <c:v>46171</c:v>
                </c:pt>
                <c:pt idx="27">
                  <c:v>46265</c:v>
                </c:pt>
                <c:pt idx="28">
                  <c:v>46356</c:v>
                </c:pt>
                <c:pt idx="29">
                  <c:v>46444</c:v>
                </c:pt>
                <c:pt idx="30">
                  <c:v>46538</c:v>
                </c:pt>
                <c:pt idx="31">
                  <c:v>46629</c:v>
                </c:pt>
                <c:pt idx="32">
                  <c:v>46720</c:v>
                </c:pt>
                <c:pt idx="33">
                  <c:v>46812</c:v>
                </c:pt>
                <c:pt idx="34">
                  <c:v>46902</c:v>
                </c:pt>
                <c:pt idx="35">
                  <c:v>46994</c:v>
                </c:pt>
                <c:pt idx="36">
                  <c:v>47086</c:v>
                </c:pt>
                <c:pt idx="37">
                  <c:v>47177</c:v>
                </c:pt>
                <c:pt idx="38">
                  <c:v>47267</c:v>
                </c:pt>
                <c:pt idx="39">
                  <c:v>47359</c:v>
                </c:pt>
                <c:pt idx="40">
                  <c:v>47451</c:v>
                </c:pt>
                <c:pt idx="41">
                  <c:v>47542</c:v>
                </c:pt>
                <c:pt idx="42">
                  <c:v>47632</c:v>
                </c:pt>
                <c:pt idx="43">
                  <c:v>47724</c:v>
                </c:pt>
                <c:pt idx="44">
                  <c:v>47816</c:v>
                </c:pt>
                <c:pt idx="45">
                  <c:v>47907</c:v>
                </c:pt>
                <c:pt idx="46">
                  <c:v>47997</c:v>
                </c:pt>
                <c:pt idx="47">
                  <c:v>48089</c:v>
                </c:pt>
                <c:pt idx="48">
                  <c:v>48180</c:v>
                </c:pt>
                <c:pt idx="49">
                  <c:v>48271</c:v>
                </c:pt>
                <c:pt idx="50">
                  <c:v>48365</c:v>
                </c:pt>
                <c:pt idx="51">
                  <c:v>48456</c:v>
                </c:pt>
                <c:pt idx="52">
                  <c:v>48547</c:v>
                </c:pt>
                <c:pt idx="53">
                  <c:v>48638</c:v>
                </c:pt>
                <c:pt idx="54">
                  <c:v>48729</c:v>
                </c:pt>
                <c:pt idx="55">
                  <c:v>48820</c:v>
                </c:pt>
                <c:pt idx="56">
                  <c:v>48912</c:v>
                </c:pt>
                <c:pt idx="57">
                  <c:v>49003</c:v>
                </c:pt>
                <c:pt idx="58">
                  <c:v>49093</c:v>
                </c:pt>
                <c:pt idx="59">
                  <c:v>49185</c:v>
                </c:pt>
                <c:pt idx="60">
                  <c:v>49277</c:v>
                </c:pt>
                <c:pt idx="61">
                  <c:v>49368</c:v>
                </c:pt>
                <c:pt idx="62">
                  <c:v>49458</c:v>
                </c:pt>
                <c:pt idx="63">
                  <c:v>49550</c:v>
                </c:pt>
                <c:pt idx="64">
                  <c:v>49642</c:v>
                </c:pt>
                <c:pt idx="65">
                  <c:v>49734</c:v>
                </c:pt>
                <c:pt idx="66">
                  <c:v>49824</c:v>
                </c:pt>
                <c:pt idx="67">
                  <c:v>49916</c:v>
                </c:pt>
                <c:pt idx="68">
                  <c:v>50007</c:v>
                </c:pt>
                <c:pt idx="69">
                  <c:v>50098</c:v>
                </c:pt>
                <c:pt idx="70">
                  <c:v>50189</c:v>
                </c:pt>
                <c:pt idx="71">
                  <c:v>50283</c:v>
                </c:pt>
                <c:pt idx="72">
                  <c:v>50374</c:v>
                </c:pt>
                <c:pt idx="73">
                  <c:v>50462</c:v>
                </c:pt>
                <c:pt idx="74">
                  <c:v>50556</c:v>
                </c:pt>
                <c:pt idx="75">
                  <c:v>50647</c:v>
                </c:pt>
                <c:pt idx="76">
                  <c:v>50738</c:v>
                </c:pt>
                <c:pt idx="77">
                  <c:v>50829</c:v>
                </c:pt>
                <c:pt idx="78">
                  <c:v>50920</c:v>
                </c:pt>
                <c:pt idx="79">
                  <c:v>51011</c:v>
                </c:pt>
                <c:pt idx="80">
                  <c:v>51103</c:v>
                </c:pt>
                <c:pt idx="81">
                  <c:v>51195</c:v>
                </c:pt>
                <c:pt idx="82">
                  <c:v>51285</c:v>
                </c:pt>
                <c:pt idx="83">
                  <c:v>51377</c:v>
                </c:pt>
                <c:pt idx="84">
                  <c:v>51469</c:v>
                </c:pt>
                <c:pt idx="85">
                  <c:v>51560</c:v>
                </c:pt>
                <c:pt idx="86">
                  <c:v>51650</c:v>
                </c:pt>
                <c:pt idx="87">
                  <c:v>51742</c:v>
                </c:pt>
                <c:pt idx="88">
                  <c:v>51834</c:v>
                </c:pt>
                <c:pt idx="89">
                  <c:v>51925</c:v>
                </c:pt>
                <c:pt idx="90">
                  <c:v>52015</c:v>
                </c:pt>
                <c:pt idx="91">
                  <c:v>52107</c:v>
                </c:pt>
                <c:pt idx="92">
                  <c:v>52198</c:v>
                </c:pt>
                <c:pt idx="93">
                  <c:v>52289</c:v>
                </c:pt>
                <c:pt idx="94">
                  <c:v>52380</c:v>
                </c:pt>
                <c:pt idx="95">
                  <c:v>52474</c:v>
                </c:pt>
                <c:pt idx="96">
                  <c:v>52565</c:v>
                </c:pt>
                <c:pt idx="97">
                  <c:v>52656</c:v>
                </c:pt>
                <c:pt idx="98">
                  <c:v>52747</c:v>
                </c:pt>
                <c:pt idx="99">
                  <c:v>52838</c:v>
                </c:pt>
                <c:pt idx="100">
                  <c:v>52930</c:v>
                </c:pt>
                <c:pt idx="101">
                  <c:v>53021</c:v>
                </c:pt>
                <c:pt idx="102">
                  <c:v>53111</c:v>
                </c:pt>
                <c:pt idx="103">
                  <c:v>53203</c:v>
                </c:pt>
                <c:pt idx="104">
                  <c:v>53295</c:v>
                </c:pt>
                <c:pt idx="105">
                  <c:v>53386</c:v>
                </c:pt>
                <c:pt idx="106">
                  <c:v>53476</c:v>
                </c:pt>
                <c:pt idx="107">
                  <c:v>53568</c:v>
                </c:pt>
                <c:pt idx="108">
                  <c:v>53660</c:v>
                </c:pt>
                <c:pt idx="109">
                  <c:v>53751</c:v>
                </c:pt>
                <c:pt idx="110">
                  <c:v>53841</c:v>
                </c:pt>
                <c:pt idx="111">
                  <c:v>53933</c:v>
                </c:pt>
                <c:pt idx="112">
                  <c:v>54025</c:v>
                </c:pt>
                <c:pt idx="113">
                  <c:v>54116</c:v>
                </c:pt>
                <c:pt idx="114">
                  <c:v>54207</c:v>
                </c:pt>
                <c:pt idx="115">
                  <c:v>54301</c:v>
                </c:pt>
                <c:pt idx="116">
                  <c:v>54392</c:v>
                </c:pt>
                <c:pt idx="117">
                  <c:v>54480</c:v>
                </c:pt>
                <c:pt idx="118">
                  <c:v>54574</c:v>
                </c:pt>
                <c:pt idx="119">
                  <c:v>54665</c:v>
                </c:pt>
                <c:pt idx="120">
                  <c:v>54756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ESTR_DISCOUNT_FACTORS!$F$3:$F$130</c:f>
              <c:numCache>
                <c:formatCode>#,##0.000000</c:formatCode>
                <c:ptCount val="128"/>
                <c:pt idx="0">
                  <c:v>1</c:v>
                </c:pt>
                <c:pt idx="1">
                  <c:v>1.001352478196003</c:v>
                </c:pt>
                <c:pt idx="2">
                  <c:v>1.0027509235166703</c:v>
                </c:pt>
                <c:pt idx="3">
                  <c:v>1.0042416152762192</c:v>
                </c:pt>
                <c:pt idx="4">
                  <c:v>1.0057253396320354</c:v>
                </c:pt>
                <c:pt idx="5">
                  <c:v>1.0071791002149988</c:v>
                </c:pt>
                <c:pt idx="6">
                  <c:v>1.0087297572406919</c:v>
                </c:pt>
                <c:pt idx="7">
                  <c:v>1.0102308422863031</c:v>
                </c:pt>
                <c:pt idx="8">
                  <c:v>1.0117171457270642</c:v>
                </c:pt>
                <c:pt idx="9">
                  <c:v>1.0131714334599971</c:v>
                </c:pt>
                <c:pt idx="10">
                  <c:v>1.0145859686247445</c:v>
                </c:pt>
                <c:pt idx="11">
                  <c:v>1.0159557226443099</c:v>
                </c:pt>
                <c:pt idx="12">
                  <c:v>1.0172898766187151</c:v>
                </c:pt>
                <c:pt idx="13">
                  <c:v>1.018554740832839</c:v>
                </c:pt>
                <c:pt idx="14">
                  <c:v>1.0197494014580013</c:v>
                </c:pt>
                <c:pt idx="15">
                  <c:v>1.0209105423153921</c:v>
                </c:pt>
                <c:pt idx="16">
                  <c:v>1.0220087285871369</c:v>
                </c:pt>
                <c:pt idx="17">
                  <c:v>1.0230405401818998</c:v>
                </c:pt>
                <c:pt idx="18">
                  <c:v>1.0239770956630976</c:v>
                </c:pt>
                <c:pt idx="19">
                  <c:v>1.0248496163187775</c:v>
                </c:pt>
                <c:pt idx="20">
                  <c:v>1.02562583946945</c:v>
                </c:pt>
                <c:pt idx="21">
                  <c:v>1.026291556038041</c:v>
                </c:pt>
                <c:pt idx="22">
                  <c:v>1.0268566542648938</c:v>
                </c:pt>
                <c:pt idx="23">
                  <c:v>1.0273492035245775</c:v>
                </c:pt>
                <c:pt idx="24">
                  <c:v>1.0277624928469893</c:v>
                </c:pt>
                <c:pt idx="25">
                  <c:v>1.0281094304946179</c:v>
                </c:pt>
                <c:pt idx="26">
                  <c:v>1.0283802942434983</c:v>
                </c:pt>
                <c:pt idx="27">
                  <c:v>1.0285646247787348</c:v>
                </c:pt>
                <c:pt idx="28">
                  <c:v>1.0286355673698018</c:v>
                </c:pt>
                <c:pt idx="29">
                  <c:v>1.0285931076018791</c:v>
                </c:pt>
                <c:pt idx="30">
                  <c:v>1.0284335491066716</c:v>
                </c:pt>
                <c:pt idx="31">
                  <c:v>1.0281778980952567</c:v>
                </c:pt>
                <c:pt idx="32">
                  <c:v>1.0278338392829398</c:v>
                </c:pt>
                <c:pt idx="33">
                  <c:v>1.0274057158734793</c:v>
                </c:pt>
                <c:pt idx="34">
                  <c:v>1.0269108895852577</c:v>
                </c:pt>
                <c:pt idx="35">
                  <c:v>1.0263274255795127</c:v>
                </c:pt>
                <c:pt idx="36">
                  <c:v>1.0256655247069391</c:v>
                </c:pt>
                <c:pt idx="37">
                  <c:v>1.0249339320991506</c:v>
                </c:pt>
                <c:pt idx="38">
                  <c:v>1.0241364522451941</c:v>
                </c:pt>
                <c:pt idx="39">
                  <c:v>1.0232468955245861</c:v>
                </c:pt>
                <c:pt idx="40">
                  <c:v>1.0222838226052156</c:v>
                </c:pt>
                <c:pt idx="41">
                  <c:v>1.0212614176014883</c:v>
                </c:pt>
                <c:pt idx="42">
                  <c:v>1.0201883921752688</c:v>
                </c:pt>
                <c:pt idx="43">
                  <c:v>1.019035728688191</c:v>
                </c:pt>
                <c:pt idx="44">
                  <c:v>1.0178345600284264</c:v>
                </c:pt>
                <c:pt idx="45">
                  <c:v>1.016604905921251</c:v>
                </c:pt>
                <c:pt idx="46">
                  <c:v>1.0153468391037865</c:v>
                </c:pt>
                <c:pt idx="47">
                  <c:v>1.0140142248853095</c:v>
                </c:pt>
                <c:pt idx="48">
                  <c:v>1.0126462807818517</c:v>
                </c:pt>
                <c:pt idx="49">
                  <c:v>1.0112263915710373</c:v>
                </c:pt>
                <c:pt idx="50">
                  <c:v>1.0097079842850007</c:v>
                </c:pt>
                <c:pt idx="51">
                  <c:v>1.0081922319979135</c:v>
                </c:pt>
                <c:pt idx="52">
                  <c:v>1.0066356023752303</c:v>
                </c:pt>
                <c:pt idx="53">
                  <c:v>1.0050423898349297</c:v>
                </c:pt>
                <c:pt idx="54">
                  <c:v>1.0034175972607693</c:v>
                </c:pt>
                <c:pt idx="55">
                  <c:v>1.0017664295631223</c:v>
                </c:pt>
                <c:pt idx="56">
                  <c:v>1.0000756161110058</c:v>
                </c:pt>
                <c:pt idx="57">
                  <c:v>0.99838727416623574</c:v>
                </c:pt>
                <c:pt idx="58">
                  <c:v>0.99670766533017574</c:v>
                </c:pt>
                <c:pt idx="59">
                  <c:v>0.99498670219209184</c:v>
                </c:pt>
                <c:pt idx="60">
                  <c:v>0.99326781836864231</c:v>
                </c:pt>
                <c:pt idx="61">
                  <c:v>0.99157511497503947</c:v>
                </c:pt>
                <c:pt idx="62">
                  <c:v>0.98991074896670417</c:v>
                </c:pt>
                <c:pt idx="63">
                  <c:v>0.98822098435715755</c:v>
                </c:pt>
                <c:pt idx="64">
                  <c:v>0.98654453718696833</c:v>
                </c:pt>
                <c:pt idx="65">
                  <c:v>0.98488295750613553</c:v>
                </c:pt>
                <c:pt idx="66">
                  <c:v>0.9832730927346337</c:v>
                </c:pt>
                <c:pt idx="67">
                  <c:v>0.981644544843287</c:v>
                </c:pt>
                <c:pt idx="68">
                  <c:v>0.98005183839510468</c:v>
                </c:pt>
                <c:pt idx="69">
                  <c:v>0.97847826735859411</c:v>
                </c:pt>
                <c:pt idx="70">
                  <c:v>0.97692471329677733</c:v>
                </c:pt>
                <c:pt idx="71">
                  <c:v>0.97534183131281948</c:v>
                </c:pt>
                <c:pt idx="72">
                  <c:v>0.97383149908128397</c:v>
                </c:pt>
                <c:pt idx="73">
                  <c:v>0.97239230851339897</c:v>
                </c:pt>
                <c:pt idx="74">
                  <c:v>0.97087875285398384</c:v>
                </c:pt>
                <c:pt idx="75">
                  <c:v>0.96943738658989376</c:v>
                </c:pt>
                <c:pt idx="76">
                  <c:v>0.96802001678519911</c:v>
                </c:pt>
                <c:pt idx="77">
                  <c:v>0.96662709154458837</c:v>
                </c:pt>
                <c:pt idx="78">
                  <c:v>0.96525884985183608</c:v>
                </c:pt>
                <c:pt idx="79">
                  <c:v>0.96391547105764441</c:v>
                </c:pt>
                <c:pt idx="80">
                  <c:v>0.9625827870680318</c:v>
                </c:pt>
                <c:pt idx="81">
                  <c:v>0.96127589638117206</c:v>
                </c:pt>
                <c:pt idx="82">
                  <c:v>0.96002262206358135</c:v>
                </c:pt>
                <c:pt idx="83">
                  <c:v>0.95876753395401992</c:v>
                </c:pt>
                <c:pt idx="84">
                  <c:v>0.9575390426119067</c:v>
                </c:pt>
                <c:pt idx="85">
                  <c:v>0.95635030686760836</c:v>
                </c:pt>
                <c:pt idx="86">
                  <c:v>0.9552005453493666</c:v>
                </c:pt>
                <c:pt idx="87">
                  <c:v>0.95405190986255872</c:v>
                </c:pt>
                <c:pt idx="88">
                  <c:v>0.95293028738704244</c:v>
                </c:pt>
                <c:pt idx="89">
                  <c:v>0.95184744080368233</c:v>
                </c:pt>
                <c:pt idx="90">
                  <c:v>0.95080236106441651</c:v>
                </c:pt>
                <c:pt idx="91">
                  <c:v>0.94976046052759544</c:v>
                </c:pt>
                <c:pt idx="92">
                  <c:v>0.94875596054458788</c:v>
                </c:pt>
                <c:pt idx="93">
                  <c:v>0.94777717927650995</c:v>
                </c:pt>
                <c:pt idx="94">
                  <c:v>0.94682375902367566</c:v>
                </c:pt>
                <c:pt idx="95">
                  <c:v>0.94586511148874031</c:v>
                </c:pt>
                <c:pt idx="96">
                  <c:v>0.9449620157318297</c:v>
                </c:pt>
                <c:pt idx="97">
                  <c:v>0.94408303370806734</c:v>
                </c:pt>
                <c:pt idx="98">
                  <c:v>0.94322758292203268</c:v>
                </c:pt>
                <c:pt idx="99">
                  <c:v>0.94239503984802631</c:v>
                </c:pt>
                <c:pt idx="100">
                  <c:v>0.94157599847948992</c:v>
                </c:pt>
                <c:pt idx="101">
                  <c:v>0.94078769432238007</c:v>
                </c:pt>
                <c:pt idx="102">
                  <c:v>0.94002914094813561</c:v>
                </c:pt>
                <c:pt idx="103">
                  <c:v>0.93927521919223811</c:v>
                </c:pt>
                <c:pt idx="104">
                  <c:v>0.93854283173731945</c:v>
                </c:pt>
                <c:pt idx="105">
                  <c:v>0.93783938525102928</c:v>
                </c:pt>
                <c:pt idx="106">
                  <c:v>0.93716391732912585</c:v>
                </c:pt>
                <c:pt idx="107">
                  <c:v>0.93649394607534253</c:v>
                </c:pt>
                <c:pt idx="108">
                  <c:v>0.93584439711007994</c:v>
                </c:pt>
                <c:pt idx="109">
                  <c:v>0.93522167460720251</c:v>
                </c:pt>
                <c:pt idx="110">
                  <c:v>0.93462473405048174</c:v>
                </c:pt>
                <c:pt idx="111">
                  <c:v>0.93403356304638074</c:v>
                </c:pt>
                <c:pt idx="112">
                  <c:v>0.93346119800361449</c:v>
                </c:pt>
                <c:pt idx="113">
                  <c:v>0.93291310463610733</c:v>
                </c:pt>
                <c:pt idx="114">
                  <c:v>0.93238243644647456</c:v>
                </c:pt>
                <c:pt idx="115">
                  <c:v>0.93185198861929452</c:v>
                </c:pt>
                <c:pt idx="116">
                  <c:v>0.93135505666712426</c:v>
                </c:pt>
                <c:pt idx="117">
                  <c:v>0.93088948829118057</c:v>
                </c:pt>
                <c:pt idx="118">
                  <c:v>0.93040777326201407</c:v>
                </c:pt>
                <c:pt idx="119">
                  <c:v>0.9299560919282035</c:v>
                </c:pt>
                <c:pt idx="120">
                  <c:v>0.9295181484459607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4-4993-88E7-2CE21524635C}"/>
            </c:ext>
          </c:extLst>
        </c:ser>
        <c:ser>
          <c:idx val="1"/>
          <c:order val="1"/>
          <c:tx>
            <c:strRef>
              <c:f>ESTR_DISCOUNT_FACTORS!$G$2</c:f>
              <c:strCache>
                <c:ptCount val="1"/>
                <c:pt idx="0">
                  <c:v>ESTRDF_SOFRCSA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ESTR_DISCOUNT_FACTORS!$E$3:$E$130</c:f>
              <c:numCache>
                <c:formatCode>ddd\,\ d\-mmm\-yy</c:formatCode>
                <c:ptCount val="128"/>
                <c:pt idx="0">
                  <c:v>43798</c:v>
                </c:pt>
                <c:pt idx="1">
                  <c:v>43889</c:v>
                </c:pt>
                <c:pt idx="2">
                  <c:v>43980</c:v>
                </c:pt>
                <c:pt idx="3">
                  <c:v>44074</c:v>
                </c:pt>
                <c:pt idx="4">
                  <c:v>44165</c:v>
                </c:pt>
                <c:pt idx="5">
                  <c:v>44253</c:v>
                </c:pt>
                <c:pt idx="6">
                  <c:v>44347</c:v>
                </c:pt>
                <c:pt idx="7">
                  <c:v>44438</c:v>
                </c:pt>
                <c:pt idx="8">
                  <c:v>44529</c:v>
                </c:pt>
                <c:pt idx="9">
                  <c:v>44620</c:v>
                </c:pt>
                <c:pt idx="10">
                  <c:v>44711</c:v>
                </c:pt>
                <c:pt idx="11">
                  <c:v>44802</c:v>
                </c:pt>
                <c:pt idx="12">
                  <c:v>44894</c:v>
                </c:pt>
                <c:pt idx="13">
                  <c:v>44985</c:v>
                </c:pt>
                <c:pt idx="14">
                  <c:v>45075</c:v>
                </c:pt>
                <c:pt idx="15">
                  <c:v>45167</c:v>
                </c:pt>
                <c:pt idx="16">
                  <c:v>45259</c:v>
                </c:pt>
                <c:pt idx="17">
                  <c:v>45351</c:v>
                </c:pt>
                <c:pt idx="18">
                  <c:v>45441</c:v>
                </c:pt>
                <c:pt idx="19">
                  <c:v>45533</c:v>
                </c:pt>
                <c:pt idx="20">
                  <c:v>45625</c:v>
                </c:pt>
                <c:pt idx="21">
                  <c:v>45716</c:v>
                </c:pt>
                <c:pt idx="22">
                  <c:v>45806</c:v>
                </c:pt>
                <c:pt idx="23">
                  <c:v>45898</c:v>
                </c:pt>
                <c:pt idx="24">
                  <c:v>45989</c:v>
                </c:pt>
                <c:pt idx="25">
                  <c:v>46080</c:v>
                </c:pt>
                <c:pt idx="26">
                  <c:v>46171</c:v>
                </c:pt>
                <c:pt idx="27">
                  <c:v>46265</c:v>
                </c:pt>
                <c:pt idx="28">
                  <c:v>46356</c:v>
                </c:pt>
                <c:pt idx="29">
                  <c:v>46444</c:v>
                </c:pt>
                <c:pt idx="30">
                  <c:v>46538</c:v>
                </c:pt>
                <c:pt idx="31">
                  <c:v>46629</c:v>
                </c:pt>
                <c:pt idx="32">
                  <c:v>46720</c:v>
                </c:pt>
                <c:pt idx="33">
                  <c:v>46812</c:v>
                </c:pt>
                <c:pt idx="34">
                  <c:v>46902</c:v>
                </c:pt>
                <c:pt idx="35">
                  <c:v>46994</c:v>
                </c:pt>
                <c:pt idx="36">
                  <c:v>47086</c:v>
                </c:pt>
                <c:pt idx="37">
                  <c:v>47177</c:v>
                </c:pt>
                <c:pt idx="38">
                  <c:v>47267</c:v>
                </c:pt>
                <c:pt idx="39">
                  <c:v>47359</c:v>
                </c:pt>
                <c:pt idx="40">
                  <c:v>47451</c:v>
                </c:pt>
                <c:pt idx="41">
                  <c:v>47542</c:v>
                </c:pt>
                <c:pt idx="42">
                  <c:v>47632</c:v>
                </c:pt>
                <c:pt idx="43">
                  <c:v>47724</c:v>
                </c:pt>
                <c:pt idx="44">
                  <c:v>47816</c:v>
                </c:pt>
                <c:pt idx="45">
                  <c:v>47907</c:v>
                </c:pt>
                <c:pt idx="46">
                  <c:v>47997</c:v>
                </c:pt>
                <c:pt idx="47">
                  <c:v>48089</c:v>
                </c:pt>
                <c:pt idx="48">
                  <c:v>48180</c:v>
                </c:pt>
                <c:pt idx="49">
                  <c:v>48271</c:v>
                </c:pt>
                <c:pt idx="50">
                  <c:v>48365</c:v>
                </c:pt>
                <c:pt idx="51">
                  <c:v>48456</c:v>
                </c:pt>
                <c:pt idx="52">
                  <c:v>48547</c:v>
                </c:pt>
                <c:pt idx="53">
                  <c:v>48638</c:v>
                </c:pt>
                <c:pt idx="54">
                  <c:v>48729</c:v>
                </c:pt>
                <c:pt idx="55">
                  <c:v>48820</c:v>
                </c:pt>
                <c:pt idx="56">
                  <c:v>48912</c:v>
                </c:pt>
                <c:pt idx="57">
                  <c:v>49003</c:v>
                </c:pt>
                <c:pt idx="58">
                  <c:v>49093</c:v>
                </c:pt>
                <c:pt idx="59">
                  <c:v>49185</c:v>
                </c:pt>
                <c:pt idx="60">
                  <c:v>49277</c:v>
                </c:pt>
                <c:pt idx="61">
                  <c:v>49368</c:v>
                </c:pt>
                <c:pt idx="62">
                  <c:v>49458</c:v>
                </c:pt>
                <c:pt idx="63">
                  <c:v>49550</c:v>
                </c:pt>
                <c:pt idx="64">
                  <c:v>49642</c:v>
                </c:pt>
                <c:pt idx="65">
                  <c:v>49734</c:v>
                </c:pt>
                <c:pt idx="66">
                  <c:v>49824</c:v>
                </c:pt>
                <c:pt idx="67">
                  <c:v>49916</c:v>
                </c:pt>
                <c:pt idx="68">
                  <c:v>50007</c:v>
                </c:pt>
                <c:pt idx="69">
                  <c:v>50098</c:v>
                </c:pt>
                <c:pt idx="70">
                  <c:v>50189</c:v>
                </c:pt>
                <c:pt idx="71">
                  <c:v>50283</c:v>
                </c:pt>
                <c:pt idx="72">
                  <c:v>50374</c:v>
                </c:pt>
                <c:pt idx="73">
                  <c:v>50462</c:v>
                </c:pt>
                <c:pt idx="74">
                  <c:v>50556</c:v>
                </c:pt>
                <c:pt idx="75">
                  <c:v>50647</c:v>
                </c:pt>
                <c:pt idx="76">
                  <c:v>50738</c:v>
                </c:pt>
                <c:pt idx="77">
                  <c:v>50829</c:v>
                </c:pt>
                <c:pt idx="78">
                  <c:v>50920</c:v>
                </c:pt>
                <c:pt idx="79">
                  <c:v>51011</c:v>
                </c:pt>
                <c:pt idx="80">
                  <c:v>51103</c:v>
                </c:pt>
                <c:pt idx="81">
                  <c:v>51195</c:v>
                </c:pt>
                <c:pt idx="82">
                  <c:v>51285</c:v>
                </c:pt>
                <c:pt idx="83">
                  <c:v>51377</c:v>
                </c:pt>
                <c:pt idx="84">
                  <c:v>51469</c:v>
                </c:pt>
                <c:pt idx="85">
                  <c:v>51560</c:v>
                </c:pt>
                <c:pt idx="86">
                  <c:v>51650</c:v>
                </c:pt>
                <c:pt idx="87">
                  <c:v>51742</c:v>
                </c:pt>
                <c:pt idx="88">
                  <c:v>51834</c:v>
                </c:pt>
                <c:pt idx="89">
                  <c:v>51925</c:v>
                </c:pt>
                <c:pt idx="90">
                  <c:v>52015</c:v>
                </c:pt>
                <c:pt idx="91">
                  <c:v>52107</c:v>
                </c:pt>
                <c:pt idx="92">
                  <c:v>52198</c:v>
                </c:pt>
                <c:pt idx="93">
                  <c:v>52289</c:v>
                </c:pt>
                <c:pt idx="94">
                  <c:v>52380</c:v>
                </c:pt>
                <c:pt idx="95">
                  <c:v>52474</c:v>
                </c:pt>
                <c:pt idx="96">
                  <c:v>52565</c:v>
                </c:pt>
                <c:pt idx="97">
                  <c:v>52656</c:v>
                </c:pt>
                <c:pt idx="98">
                  <c:v>52747</c:v>
                </c:pt>
                <c:pt idx="99">
                  <c:v>52838</c:v>
                </c:pt>
                <c:pt idx="100">
                  <c:v>52930</c:v>
                </c:pt>
                <c:pt idx="101">
                  <c:v>53021</c:v>
                </c:pt>
                <c:pt idx="102">
                  <c:v>53111</c:v>
                </c:pt>
                <c:pt idx="103">
                  <c:v>53203</c:v>
                </c:pt>
                <c:pt idx="104">
                  <c:v>53295</c:v>
                </c:pt>
                <c:pt idx="105">
                  <c:v>53386</c:v>
                </c:pt>
                <c:pt idx="106">
                  <c:v>53476</c:v>
                </c:pt>
                <c:pt idx="107">
                  <c:v>53568</c:v>
                </c:pt>
                <c:pt idx="108">
                  <c:v>53660</c:v>
                </c:pt>
                <c:pt idx="109">
                  <c:v>53751</c:v>
                </c:pt>
                <c:pt idx="110">
                  <c:v>53841</c:v>
                </c:pt>
                <c:pt idx="111">
                  <c:v>53933</c:v>
                </c:pt>
                <c:pt idx="112">
                  <c:v>54025</c:v>
                </c:pt>
                <c:pt idx="113">
                  <c:v>54116</c:v>
                </c:pt>
                <c:pt idx="114">
                  <c:v>54207</c:v>
                </c:pt>
                <c:pt idx="115">
                  <c:v>54301</c:v>
                </c:pt>
                <c:pt idx="116">
                  <c:v>54392</c:v>
                </c:pt>
                <c:pt idx="117">
                  <c:v>54480</c:v>
                </c:pt>
                <c:pt idx="118">
                  <c:v>54574</c:v>
                </c:pt>
                <c:pt idx="119">
                  <c:v>54665</c:v>
                </c:pt>
                <c:pt idx="120">
                  <c:v>54756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cat>
          <c:val>
            <c:numRef>
              <c:f>ESTR_DISCOUNT_FACTORS!$G$3:$G$130</c:f>
              <c:numCache>
                <c:formatCode>#,##0.000000</c:formatCode>
                <c:ptCount val="128"/>
                <c:pt idx="0">
                  <c:v>1</c:v>
                </c:pt>
                <c:pt idx="1">
                  <c:v>1.0016636065721856</c:v>
                </c:pt>
                <c:pt idx="2">
                  <c:v>1.0033425324013572</c:v>
                </c:pt>
                <c:pt idx="3">
                  <c:v>1.0051063118743293</c:v>
                </c:pt>
                <c:pt idx="4">
                  <c:v>1.0068554447575417</c:v>
                </c:pt>
                <c:pt idx="5">
                  <c:v>1.0085926756324495</c:v>
                </c:pt>
                <c:pt idx="6">
                  <c:v>1.0104805867897177</c:v>
                </c:pt>
                <c:pt idx="7">
                  <c:v>1.012316460809084</c:v>
                </c:pt>
                <c:pt idx="8">
                  <c:v>1.0141368714626979</c:v>
                </c:pt>
                <c:pt idx="9">
                  <c:v>1.0159221735985715</c:v>
                </c:pt>
                <c:pt idx="10">
                  <c:v>1.0176678647387838</c:v>
                </c:pt>
                <c:pt idx="11">
                  <c:v>1.0193732429311009</c:v>
                </c:pt>
                <c:pt idx="12">
                  <c:v>1.0210556670017015</c:v>
                </c:pt>
                <c:pt idx="13">
                  <c:v>1.022677215541723</c:v>
                </c:pt>
                <c:pt idx="14">
                  <c:v>1.0242354459065171</c:v>
                </c:pt>
                <c:pt idx="15">
                  <c:v>1.0257769120434379</c:v>
                </c:pt>
                <c:pt idx="16">
                  <c:v>1.0272617101037711</c:v>
                </c:pt>
                <c:pt idx="17">
                  <c:v>1.0286845794492396</c:v>
                </c:pt>
                <c:pt idx="18">
                  <c:v>1.0300096127166785</c:v>
                </c:pt>
                <c:pt idx="19">
                  <c:v>1.0312880484319642</c:v>
                </c:pt>
                <c:pt idx="20">
                  <c:v>1.0324818490269434</c:v>
                </c:pt>
                <c:pt idx="21">
                  <c:v>1.0335744579954718</c:v>
                </c:pt>
                <c:pt idx="22">
                  <c:v>1.0345746510383269</c:v>
                </c:pt>
                <c:pt idx="23">
                  <c:v>1.0355233117189182</c:v>
                </c:pt>
                <c:pt idx="24">
                  <c:v>1.0363971956847875</c:v>
                </c:pt>
                <c:pt idx="25">
                  <c:v>1.0372118703856279</c:v>
                </c:pt>
                <c:pt idx="26">
                  <c:v>1.0379561550074285</c:v>
                </c:pt>
                <c:pt idx="27">
                  <c:v>1.0386349088079256</c:v>
                </c:pt>
                <c:pt idx="28">
                  <c:v>1.0391891444318588</c:v>
                </c:pt>
                <c:pt idx="29">
                  <c:v>1.039617455724549</c:v>
                </c:pt>
                <c:pt idx="30">
                  <c:v>1.0399598933100573</c:v>
                </c:pt>
                <c:pt idx="31">
                  <c:v>1.0401835450555592</c:v>
                </c:pt>
                <c:pt idx="32">
                  <c:v>1.0403064818485526</c:v>
                </c:pt>
                <c:pt idx="33">
                  <c:v>1.0403342365729404</c:v>
                </c:pt>
                <c:pt idx="34">
                  <c:v>1.0402745862343223</c:v>
                </c:pt>
                <c:pt idx="35">
                  <c:v>1.0401325663726861</c:v>
                </c:pt>
                <c:pt idx="36">
                  <c:v>1.039916399240373</c:v>
                </c:pt>
                <c:pt idx="37">
                  <c:v>1.0396350999868975</c:v>
                </c:pt>
                <c:pt idx="38">
                  <c:v>1.0392873983732198</c:v>
                </c:pt>
                <c:pt idx="39">
                  <c:v>1.0388546807204593</c:v>
                </c:pt>
                <c:pt idx="40">
                  <c:v>1.0383379057801663</c:v>
                </c:pt>
                <c:pt idx="41">
                  <c:v>1.0377396108742281</c:v>
                </c:pt>
                <c:pt idx="42">
                  <c:v>1.0370637395006554</c:v>
                </c:pt>
                <c:pt idx="43">
                  <c:v>1.036288891867073</c:v>
                </c:pt>
                <c:pt idx="44">
                  <c:v>1.0354317553425976</c:v>
                </c:pt>
                <c:pt idx="45">
                  <c:v>1.0345055529059002</c:v>
                </c:pt>
                <c:pt idx="46">
                  <c:v>1.0335153591316733</c:v>
                </c:pt>
                <c:pt idx="47">
                  <c:v>1.0324295069222675</c:v>
                </c:pt>
                <c:pt idx="48">
                  <c:v>1.0312847779907619</c:v>
                </c:pt>
                <c:pt idx="49">
                  <c:v>1.0300725418214696</c:v>
                </c:pt>
                <c:pt idx="50">
                  <c:v>1.0287533101890864</c:v>
                </c:pt>
                <c:pt idx="51">
                  <c:v>1.0274152272628201</c:v>
                </c:pt>
                <c:pt idx="52">
                  <c:v>1.026021044470885</c:v>
                </c:pt>
                <c:pt idx="53">
                  <c:v>1.0245745759314109</c:v>
                </c:pt>
                <c:pt idx="54">
                  <c:v>1.0230796239072979</c:v>
                </c:pt>
                <c:pt idx="55">
                  <c:v>1.0215399769882882</c:v>
                </c:pt>
                <c:pt idx="56">
                  <c:v>1.0199418262173652</c:v>
                </c:pt>
                <c:pt idx="57">
                  <c:v>1.018323704727242</c:v>
                </c:pt>
                <c:pt idx="58">
                  <c:v>1.0166905134076318</c:v>
                </c:pt>
                <c:pt idx="59">
                  <c:v>1.014991021193719</c:v>
                </c:pt>
                <c:pt idx="60">
                  <c:v>1.013264984603522</c:v>
                </c:pt>
                <c:pt idx="61">
                  <c:v>1.0115350882763208</c:v>
                </c:pt>
                <c:pt idx="62">
                  <c:v>1.0098045381917822</c:v>
                </c:pt>
                <c:pt idx="63">
                  <c:v>1.0080176008439574</c:v>
                </c:pt>
                <c:pt idx="64">
                  <c:v>1.0062148359772098</c:v>
                </c:pt>
                <c:pt idx="65">
                  <c:v>1.004398545540693</c:v>
                </c:pt>
                <c:pt idx="66">
                  <c:v>1.0026108485742695</c:v>
                </c:pt>
                <c:pt idx="67">
                  <c:v>1.0007745220276665</c:v>
                </c:pt>
                <c:pt idx="68">
                  <c:v>0.9989514955770834</c:v>
                </c:pt>
                <c:pt idx="69">
                  <c:v>0.99712402075648665</c:v>
                </c:pt>
                <c:pt idx="70">
                  <c:v>0.99529424932265298</c:v>
                </c:pt>
                <c:pt idx="71">
                  <c:v>0.99340401184355664</c:v>
                </c:pt>
                <c:pt idx="72">
                  <c:v>0.99157614079206502</c:v>
                </c:pt>
                <c:pt idx="73">
                  <c:v>0.98981243959686949</c:v>
                </c:pt>
                <c:pt idx="74">
                  <c:v>0.98793489112727562</c:v>
                </c:pt>
                <c:pt idx="75">
                  <c:v>0.98612567530219064</c:v>
                </c:pt>
                <c:pt idx="76">
                  <c:v>0.98432681520205101</c:v>
                </c:pt>
                <c:pt idx="77">
                  <c:v>0.98254035428123598</c:v>
                </c:pt>
                <c:pt idx="78">
                  <c:v>0.98076832120779545</c:v>
                </c:pt>
                <c:pt idx="79">
                  <c:v>0.97901273014215451</c:v>
                </c:pt>
                <c:pt idx="80">
                  <c:v>0.97725660136476222</c:v>
                </c:pt>
                <c:pt idx="81">
                  <c:v>0.97552098333903048</c:v>
                </c:pt>
                <c:pt idx="82">
                  <c:v>0.97384303073853484</c:v>
                </c:pt>
                <c:pt idx="83">
                  <c:v>0.97214787216678555</c:v>
                </c:pt>
                <c:pt idx="84">
                  <c:v>0.97047271980794547</c:v>
                </c:pt>
                <c:pt idx="85">
                  <c:v>0.96883516680622639</c:v>
                </c:pt>
                <c:pt idx="86">
                  <c:v>0.9672342981767369</c:v>
                </c:pt>
                <c:pt idx="87">
                  <c:v>0.96561678030460474</c:v>
                </c:pt>
                <c:pt idx="88">
                  <c:v>0.96401810974799951</c:v>
                </c:pt>
                <c:pt idx="89">
                  <c:v>0.9624550768957818</c:v>
                </c:pt>
                <c:pt idx="90">
                  <c:v>0.96092681310420613</c:v>
                </c:pt>
                <c:pt idx="91">
                  <c:v>0.95938239590435126</c:v>
                </c:pt>
                <c:pt idx="92">
                  <c:v>0.95787220560485253</c:v>
                </c:pt>
                <c:pt idx="93">
                  <c:v>0.95637909095372242</c:v>
                </c:pt>
                <c:pt idx="94">
                  <c:v>0.95490278624579761</c:v>
                </c:pt>
                <c:pt idx="95">
                  <c:v>0.95339518265893741</c:v>
                </c:pt>
                <c:pt idx="96">
                  <c:v>0.9519522414191629</c:v>
                </c:pt>
                <c:pt idx="97">
                  <c:v>0.95052531678882379</c:v>
                </c:pt>
                <c:pt idx="98">
                  <c:v>0.94911415120212561</c:v>
                </c:pt>
                <c:pt idx="99">
                  <c:v>0.94771848901678424</c:v>
                </c:pt>
                <c:pt idx="100">
                  <c:v>0.94632299087824678</c:v>
                </c:pt>
                <c:pt idx="101">
                  <c:v>0.94495801678555125</c:v>
                </c:pt>
                <c:pt idx="102">
                  <c:v>0.94362417339706728</c:v>
                </c:pt>
                <c:pt idx="103">
                  <c:v>0.94227868874523324</c:v>
                </c:pt>
                <c:pt idx="104">
                  <c:v>0.94095283402875018</c:v>
                </c:pt>
                <c:pt idx="105">
                  <c:v>0.93966210895089164</c:v>
                </c:pt>
                <c:pt idx="106">
                  <c:v>0.93840719400671624</c:v>
                </c:pt>
                <c:pt idx="107">
                  <c:v>0.93714801227769029</c:v>
                </c:pt>
                <c:pt idx="108">
                  <c:v>0.93591411564545224</c:v>
                </c:pt>
                <c:pt idx="109">
                  <c:v>0.93471988698369601</c:v>
                </c:pt>
                <c:pt idx="110">
                  <c:v>0.93356580193509042</c:v>
                </c:pt>
                <c:pt idx="111">
                  <c:v>0.93241521256008009</c:v>
                </c:pt>
                <c:pt idx="112">
                  <c:v>0.93129546963834664</c:v>
                </c:pt>
                <c:pt idx="113">
                  <c:v>0.93021960573301432</c:v>
                </c:pt>
                <c:pt idx="114">
                  <c:v>0.92917662300067316</c:v>
                </c:pt>
                <c:pt idx="115">
                  <c:v>0.92813520209322653</c:v>
                </c:pt>
                <c:pt idx="116">
                  <c:v>0.92716318947574594</c:v>
                </c:pt>
                <c:pt idx="117">
                  <c:v>0.92625833429778026</c:v>
                </c:pt>
                <c:pt idx="118">
                  <c:v>0.92533129633373568</c:v>
                </c:pt>
                <c:pt idx="119">
                  <c:v>0.92447407925314029</c:v>
                </c:pt>
                <c:pt idx="120">
                  <c:v>0.92365778976716628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4-4993-88E7-2CE215246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844335"/>
        <c:axId val="1885825615"/>
      </c:lineChart>
      <c:dateAx>
        <c:axId val="1885844335"/>
        <c:scaling>
          <c:orientation val="minMax"/>
        </c:scaling>
        <c:delete val="0"/>
        <c:axPos val="b"/>
        <c:numFmt formatCode="ddd\,\ 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25615"/>
        <c:crosses val="autoZero"/>
        <c:auto val="1"/>
        <c:lblOffset val="100"/>
        <c:baseTimeUnit val="months"/>
      </c:dateAx>
      <c:valAx>
        <c:axId val="18858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4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59984750509534"/>
          <c:y val="0.15419641609547008"/>
          <c:w val="0.18608882828193962"/>
          <c:h val="0.13980838006759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2</xdr:row>
      <xdr:rowOff>19049</xdr:rowOff>
    </xdr:from>
    <xdr:to>
      <xdr:col>21</xdr:col>
      <xdr:colOff>590549</xdr:colOff>
      <xdr:row>36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2</xdr:row>
      <xdr:rowOff>19049</xdr:rowOff>
    </xdr:from>
    <xdr:to>
      <xdr:col>21</xdr:col>
      <xdr:colOff>590549</xdr:colOff>
      <xdr:row>36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2</xdr:row>
      <xdr:rowOff>19049</xdr:rowOff>
    </xdr:from>
    <xdr:to>
      <xdr:col>21</xdr:col>
      <xdr:colOff>590549</xdr:colOff>
      <xdr:row>36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43798</v>
          </cell>
          <cell r="E4" t="b">
            <v>0</v>
          </cell>
          <cell r="I4" t="b">
            <v>0</v>
          </cell>
          <cell r="K4" t="b">
            <v>0</v>
          </cell>
          <cell r="M4" t="b">
            <v>0</v>
          </cell>
        </row>
        <row r="65">
          <cell r="E65">
            <v>1E-3</v>
          </cell>
          <cell r="G65">
            <v>1E-3</v>
          </cell>
          <cell r="I65">
            <v>1E-3</v>
          </cell>
          <cell r="K65">
            <v>1E-3</v>
          </cell>
          <cell r="M65">
            <v>1E-3</v>
          </cell>
          <cell r="O65">
            <v>1E-3</v>
          </cell>
          <cell r="Q65">
            <v>1E-3</v>
          </cell>
        </row>
        <row r="71">
          <cell r="C71" t="b">
            <v>0</v>
          </cell>
          <cell r="E71" t="str">
            <v>C:/Temp/</v>
          </cell>
        </row>
      </sheetData>
      <sheetData sheetId="1"/>
      <sheetData sheetId="2"/>
      <sheetData sheetId="3"/>
      <sheetData sheetId="4">
        <row r="4">
          <cell r="E4">
            <v>0</v>
          </cell>
        </row>
      </sheetData>
      <sheetData sheetId="5">
        <row r="32">
          <cell r="W32" t="b">
            <v>1</v>
          </cell>
        </row>
      </sheetData>
      <sheetData sheetId="6">
        <row r="32">
          <cell r="U32" t="b">
            <v>1</v>
          </cell>
        </row>
      </sheetData>
      <sheetData sheetId="7"/>
      <sheetData sheetId="8"/>
      <sheetData sheetId="9"/>
      <sheetData sheetId="10">
        <row r="6">
          <cell r="W6" t="b">
            <v>0</v>
          </cell>
        </row>
        <row r="32">
          <cell r="I32" t="b">
            <v>0</v>
          </cell>
        </row>
      </sheetData>
      <sheetData sheetId="11"/>
      <sheetData sheetId="12"/>
      <sheetData sheetId="13">
        <row r="5">
          <cell r="T5">
            <v>0</v>
          </cell>
        </row>
        <row r="6">
          <cell r="T6">
            <v>0</v>
          </cell>
        </row>
        <row r="7">
          <cell r="T7">
            <v>0</v>
          </cell>
        </row>
        <row r="8">
          <cell r="T8">
            <v>0</v>
          </cell>
        </row>
        <row r="9">
          <cell r="T9">
            <v>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0</v>
          </cell>
        </row>
        <row r="15">
          <cell r="T15">
            <v>0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0</v>
          </cell>
        </row>
        <row r="33">
          <cell r="T33">
            <v>0</v>
          </cell>
        </row>
        <row r="34">
          <cell r="T34">
            <v>0</v>
          </cell>
        </row>
        <row r="41">
          <cell r="T41">
            <v>0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0</v>
          </cell>
        </row>
        <row r="82">
          <cell r="T82">
            <v>0</v>
          </cell>
        </row>
        <row r="83">
          <cell r="T83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6">
          <cell r="T96">
            <v>0</v>
          </cell>
        </row>
        <row r="97">
          <cell r="T97">
            <v>0</v>
          </cell>
        </row>
        <row r="98">
          <cell r="T98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05">
          <cell r="T105">
            <v>0</v>
          </cell>
        </row>
        <row r="106">
          <cell r="T106">
            <v>0</v>
          </cell>
        </row>
        <row r="107">
          <cell r="T107">
            <v>0</v>
          </cell>
        </row>
      </sheetData>
      <sheetData sheetId="14">
        <row r="4">
          <cell r="E4">
            <v>0</v>
          </cell>
        </row>
      </sheetData>
      <sheetData sheetId="15">
        <row r="32">
          <cell r="W32" t="b">
            <v>1</v>
          </cell>
        </row>
      </sheetData>
      <sheetData sheetId="16">
        <row r="32">
          <cell r="U32" t="b">
            <v>1</v>
          </cell>
        </row>
      </sheetData>
      <sheetData sheetId="17">
        <row r="25">
          <cell r="L25" t="b">
            <v>1</v>
          </cell>
        </row>
      </sheetData>
      <sheetData sheetId="18"/>
      <sheetData sheetId="19"/>
      <sheetData sheetId="20">
        <row r="24">
          <cell r="M24" t="b">
            <v>1</v>
          </cell>
        </row>
      </sheetData>
      <sheetData sheetId="21">
        <row r="6">
          <cell r="W6" t="b">
            <v>0</v>
          </cell>
        </row>
        <row r="32">
          <cell r="I32" t="b">
            <v>1</v>
          </cell>
        </row>
      </sheetData>
      <sheetData sheetId="22"/>
      <sheetData sheetId="23"/>
      <sheetData sheetId="24">
        <row r="6">
          <cell r="T6">
            <v>0</v>
          </cell>
        </row>
        <row r="7">
          <cell r="T7">
            <v>0</v>
          </cell>
        </row>
        <row r="8">
          <cell r="T8">
            <v>0</v>
          </cell>
        </row>
        <row r="9">
          <cell r="T9">
            <v>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0</v>
          </cell>
        </row>
        <row r="33">
          <cell r="T33">
            <v>0</v>
          </cell>
        </row>
        <row r="34">
          <cell r="T34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7">
          <cell r="T77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0</v>
          </cell>
        </row>
        <row r="82">
          <cell r="T82">
            <v>0</v>
          </cell>
        </row>
        <row r="83">
          <cell r="T83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8">
          <cell r="T98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05">
          <cell r="T105">
            <v>0</v>
          </cell>
        </row>
        <row r="106">
          <cell r="T106">
            <v>0</v>
          </cell>
        </row>
        <row r="107">
          <cell r="T107">
            <v>0</v>
          </cell>
        </row>
        <row r="108">
          <cell r="T108">
            <v>0</v>
          </cell>
        </row>
        <row r="109">
          <cell r="T109">
            <v>0</v>
          </cell>
        </row>
        <row r="110">
          <cell r="T110">
            <v>0</v>
          </cell>
        </row>
        <row r="111">
          <cell r="T111">
            <v>0</v>
          </cell>
        </row>
        <row r="117">
          <cell r="T117">
            <v>0</v>
          </cell>
        </row>
        <row r="118">
          <cell r="T118">
            <v>0</v>
          </cell>
        </row>
        <row r="119">
          <cell r="T119">
            <v>0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0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29">
          <cell r="T129">
            <v>0</v>
          </cell>
        </row>
        <row r="130">
          <cell r="T130">
            <v>0</v>
          </cell>
        </row>
      </sheetData>
      <sheetData sheetId="25">
        <row r="4">
          <cell r="E4">
            <v>0</v>
          </cell>
        </row>
      </sheetData>
      <sheetData sheetId="26">
        <row r="8">
          <cell r="D8" t="str">
            <v>EURYC</v>
          </cell>
        </row>
        <row r="9">
          <cell r="D9" t="str">
            <v>OIS</v>
          </cell>
        </row>
        <row r="10">
          <cell r="D10" t="str">
            <v>OIS:EUROIS:EURDF:EURDF_EURCSA:EURDF_NOCSA</v>
          </cell>
        </row>
        <row r="17">
          <cell r="C17" t="str">
            <v>AsOfDate</v>
          </cell>
          <cell r="D17">
            <v>43798</v>
          </cell>
        </row>
        <row r="18">
          <cell r="C18" t="str">
            <v>Currency</v>
          </cell>
          <cell r="D18" t="str">
            <v>EUR</v>
          </cell>
        </row>
        <row r="19">
          <cell r="C19" t="str">
            <v>interpolation</v>
          </cell>
          <cell r="D19" t="str">
            <v>fn_SplineInterpolation</v>
          </cell>
        </row>
        <row r="20">
          <cell r="C20" t="str">
            <v>yieldgen.interpolation</v>
          </cell>
          <cell r="D20" t="str">
            <v>fn_SplineInterpolation</v>
          </cell>
        </row>
        <row r="28">
          <cell r="C28" t="str">
            <v>calendar</v>
          </cell>
          <cell r="D28" t="str">
            <v>TGT</v>
          </cell>
        </row>
        <row r="29">
          <cell r="C29" t="str">
            <v>daycount</v>
          </cell>
          <cell r="D29" t="str">
            <v>ACT/360</v>
          </cell>
          <cell r="F29" t="str">
            <v>ON</v>
          </cell>
          <cell r="G29">
            <v>-4.4600000000000004E-3</v>
          </cell>
          <cell r="I29" t="str">
            <v/>
          </cell>
          <cell r="J29" t="b">
            <v>1</v>
          </cell>
        </row>
        <row r="30">
          <cell r="C30" t="str">
            <v>frequency</v>
          </cell>
          <cell r="D30" t="str">
            <v>ANNUAL</v>
          </cell>
          <cell r="F30" t="str">
            <v>ECB1</v>
          </cell>
          <cell r="G30">
            <v>-4.4600000000000004E-3</v>
          </cell>
          <cell r="H30">
            <v>43817</v>
          </cell>
          <cell r="I30">
            <v>43914</v>
          </cell>
          <cell r="J30" t="b">
            <v>1</v>
          </cell>
        </row>
        <row r="31">
          <cell r="C31" t="str">
            <v>generatemethod</v>
          </cell>
          <cell r="D31" t="str">
            <v>DAILYCOMPOUNDING</v>
          </cell>
          <cell r="F31" t="str">
            <v>ECB2</v>
          </cell>
          <cell r="G31">
            <v>-4.5500000000000002E-3</v>
          </cell>
          <cell r="H31">
            <v>43852</v>
          </cell>
          <cell r="I31">
            <v>43956</v>
          </cell>
          <cell r="J31" t="b">
            <v>1</v>
          </cell>
        </row>
        <row r="32">
          <cell r="C32" t="str">
            <v>resetlag</v>
          </cell>
          <cell r="D32" t="str">
            <v>2D</v>
          </cell>
          <cell r="F32" t="str">
            <v>ECB3</v>
          </cell>
          <cell r="G32">
            <v>-4.6800000000000001E-3</v>
          </cell>
          <cell r="H32">
            <v>43915</v>
          </cell>
          <cell r="I32">
            <v>43991</v>
          </cell>
          <cell r="J32" t="b">
            <v>1</v>
          </cell>
          <cell r="W32" t="b">
            <v>1</v>
          </cell>
        </row>
        <row r="33">
          <cell r="C33" t="str">
            <v>firstrate</v>
          </cell>
          <cell r="D33" t="str">
            <v>SHORTMARKET</v>
          </cell>
          <cell r="F33" t="str">
            <v>ECB4</v>
          </cell>
          <cell r="G33">
            <v>-4.6999999999999993E-3</v>
          </cell>
          <cell r="H33">
            <v>43957</v>
          </cell>
          <cell r="I33">
            <v>44033</v>
          </cell>
          <cell r="J33" t="b">
            <v>1</v>
          </cell>
        </row>
        <row r="34">
          <cell r="C34" t="str">
            <v>slidingrule</v>
          </cell>
          <cell r="D34" t="str">
            <v>MOD_FOLLOWING</v>
          </cell>
          <cell r="F34" t="str">
            <v>12M</v>
          </cell>
          <cell r="G34">
            <v>-4.7199999999999994E-3</v>
          </cell>
          <cell r="H34" t="str">
            <v/>
          </cell>
          <cell r="I34" t="str">
            <v/>
          </cell>
          <cell r="J34" t="b">
            <v>1</v>
          </cell>
        </row>
        <row r="35">
          <cell r="C35" t="str">
            <v>eomday</v>
          </cell>
          <cell r="D35">
            <v>31</v>
          </cell>
          <cell r="F35" t="str">
            <v>18M</v>
          </cell>
          <cell r="G35">
            <v>-4.7999999999999996E-3</v>
          </cell>
          <cell r="H35" t="str">
            <v/>
          </cell>
          <cell r="I35" t="str">
            <v/>
          </cell>
          <cell r="J35" t="b">
            <v>1</v>
          </cell>
        </row>
        <row r="36">
          <cell r="C36" t="str">
            <v>iseomroll</v>
          </cell>
          <cell r="D36" t="b">
            <v>1</v>
          </cell>
          <cell r="F36" t="str">
            <v>2Y</v>
          </cell>
          <cell r="G36">
            <v>-4.8300000000000001E-3</v>
          </cell>
          <cell r="H36" t="str">
            <v/>
          </cell>
          <cell r="I36" t="str">
            <v/>
          </cell>
          <cell r="J36" t="b">
            <v>1</v>
          </cell>
        </row>
        <row r="37">
          <cell r="C37" t="str">
            <v>shorttermconvention</v>
          </cell>
          <cell r="D37" t="str">
            <v>ARITHMETICAVERAGE</v>
          </cell>
          <cell r="F37" t="str">
            <v>3Y</v>
          </cell>
          <cell r="G37">
            <v>-4.7099999999999998E-3</v>
          </cell>
          <cell r="H37" t="str">
            <v/>
          </cell>
          <cell r="I37" t="str">
            <v/>
          </cell>
          <cell r="J37" t="b">
            <v>1</v>
          </cell>
        </row>
        <row r="38">
          <cell r="C38" t="str">
            <v>longtermconvention</v>
          </cell>
          <cell r="D38" t="str">
            <v>LOBASIS</v>
          </cell>
          <cell r="F38" t="str">
            <v>4Y</v>
          </cell>
          <cell r="G38">
            <v>-4.4600000000000004E-3</v>
          </cell>
          <cell r="H38" t="str">
            <v/>
          </cell>
          <cell r="I38" t="str">
            <v/>
          </cell>
          <cell r="J38" t="b">
            <v>1</v>
          </cell>
        </row>
        <row r="39">
          <cell r="C39" t="str">
            <v>longterm</v>
          </cell>
          <cell r="D39" t="str">
            <v>3Y</v>
          </cell>
          <cell r="F39" t="str">
            <v>5Y</v>
          </cell>
          <cell r="G39">
            <v>-4.0899999999999999E-3</v>
          </cell>
          <cell r="H39" t="str">
            <v/>
          </cell>
          <cell r="I39" t="str">
            <v/>
          </cell>
          <cell r="J39" t="b">
            <v>1</v>
          </cell>
        </row>
        <row r="40">
          <cell r="C40" t="str">
            <v>longterm.generatemethod</v>
          </cell>
          <cell r="D40" t="str">
            <v>NONE</v>
          </cell>
          <cell r="F40" t="str">
            <v>6Y</v>
          </cell>
          <cell r="G40">
            <v>-3.6099999999999999E-3</v>
          </cell>
          <cell r="H40" t="str">
            <v/>
          </cell>
          <cell r="I40" t="str">
            <v/>
          </cell>
          <cell r="J40" t="b">
            <v>1</v>
          </cell>
        </row>
        <row r="41">
          <cell r="C41" t="str">
            <v>Epsilon</v>
          </cell>
          <cell r="D41">
            <v>1E-10</v>
          </cell>
          <cell r="F41" t="str">
            <v>7Y</v>
          </cell>
          <cell r="G41">
            <v>-3.0699999999999998E-3</v>
          </cell>
          <cell r="H41" t="str">
            <v/>
          </cell>
          <cell r="I41" t="str">
            <v/>
          </cell>
          <cell r="J41" t="b">
            <v>1</v>
          </cell>
        </row>
        <row r="42">
          <cell r="C42" t="str">
            <v>MaxLoop</v>
          </cell>
          <cell r="D42">
            <v>1000</v>
          </cell>
          <cell r="F42" t="str">
            <v>8Y</v>
          </cell>
          <cell r="G42">
            <v>-2.47E-3</v>
          </cell>
          <cell r="H42" t="str">
            <v/>
          </cell>
          <cell r="I42" t="str">
            <v/>
          </cell>
          <cell r="J42" t="b">
            <v>1</v>
          </cell>
        </row>
        <row r="43">
          <cell r="C43" t="str">
            <v>CompoundingMethod</v>
          </cell>
          <cell r="D43" t="str">
            <v>GEOMETRIC</v>
          </cell>
          <cell r="F43" t="str">
            <v>10Y</v>
          </cell>
          <cell r="G43">
            <v>-1.2800000000000001E-3</v>
          </cell>
          <cell r="H43" t="str">
            <v/>
          </cell>
          <cell r="I43" t="str">
            <v/>
          </cell>
          <cell r="J43" t="b">
            <v>1</v>
          </cell>
        </row>
        <row r="44">
          <cell r="C44" t="str">
            <v>SmoothShortEnd</v>
          </cell>
          <cell r="D44" t="b">
            <v>1</v>
          </cell>
        </row>
        <row r="53">
          <cell r="C53" t="str">
            <v>Calendar</v>
          </cell>
          <cell r="D53" t="str">
            <v>TGT</v>
          </cell>
          <cell r="I53" t="str">
            <v>calendar</v>
          </cell>
          <cell r="J53" t="str">
            <v>TGT</v>
          </cell>
        </row>
        <row r="54">
          <cell r="C54" t="str">
            <v>Daycount</v>
          </cell>
          <cell r="D54" t="str">
            <v>ACT/360</v>
          </cell>
          <cell r="F54" t="str">
            <v>2Y</v>
          </cell>
          <cell r="G54">
            <v>7.3999999999999999E-4</v>
          </cell>
          <cell r="I54" t="str">
            <v>daycountfix</v>
          </cell>
          <cell r="J54" t="str">
            <v>30/360</v>
          </cell>
          <cell r="L54" t="str">
            <v>2Y</v>
          </cell>
          <cell r="M54">
            <v>-4.15E-3</v>
          </cell>
        </row>
        <row r="55">
          <cell r="C55" t="str">
            <v>Frequency</v>
          </cell>
          <cell r="D55" t="str">
            <v>QUARTERLY</v>
          </cell>
          <cell r="F55" t="str">
            <v>3Y</v>
          </cell>
          <cell r="G55">
            <v>8.3000000000000012E-4</v>
          </cell>
          <cell r="I55" t="str">
            <v>frequencyfix</v>
          </cell>
          <cell r="J55" t="str">
            <v>ANNUAL</v>
          </cell>
          <cell r="L55" t="str">
            <v>3Y</v>
          </cell>
          <cell r="M55">
            <v>-3.9399999999999999E-3</v>
          </cell>
        </row>
        <row r="56">
          <cell r="C56" t="str">
            <v>SlidingRule</v>
          </cell>
          <cell r="D56" t="str">
            <v>MOD_FOLLOWING</v>
          </cell>
          <cell r="F56" t="str">
            <v>4Y</v>
          </cell>
          <cell r="G56">
            <v>9.1999999999999992E-4</v>
          </cell>
          <cell r="I56" t="str">
            <v>slidingrule</v>
          </cell>
          <cell r="J56" t="str">
            <v>MOD_FOLLOWING</v>
          </cell>
          <cell r="L56" t="str">
            <v>4Y</v>
          </cell>
          <cell r="M56">
            <v>-3.5899999999999999E-3</v>
          </cell>
        </row>
        <row r="57">
          <cell r="F57" t="str">
            <v>5Y</v>
          </cell>
          <cell r="G57">
            <v>9.7999999999999997E-4</v>
          </cell>
          <cell r="L57" t="str">
            <v>5Y</v>
          </cell>
          <cell r="M57">
            <v>-3.16E-3</v>
          </cell>
        </row>
        <row r="58">
          <cell r="F58" t="str">
            <v>6Y</v>
          </cell>
          <cell r="G58">
            <v>1.01E-3</v>
          </cell>
          <cell r="L58" t="str">
            <v>6Y</v>
          </cell>
          <cell r="M58">
            <v>-2.64E-3</v>
          </cell>
        </row>
        <row r="59">
          <cell r="F59" t="str">
            <v>7Y</v>
          </cell>
          <cell r="G59">
            <v>1.0300000000000001E-3</v>
          </cell>
          <cell r="L59" t="str">
            <v>7Y</v>
          </cell>
          <cell r="M59">
            <v>-2.0799999999999998E-3</v>
          </cell>
        </row>
        <row r="60">
          <cell r="F60" t="str">
            <v>8Y</v>
          </cell>
          <cell r="G60">
            <v>1.0400000000000001E-3</v>
          </cell>
          <cell r="L60" t="str">
            <v>8Y</v>
          </cell>
          <cell r="M60">
            <v>-1.4599999999999999E-3</v>
          </cell>
        </row>
        <row r="61">
          <cell r="F61" t="str">
            <v>9Y</v>
          </cell>
          <cell r="G61">
            <v>1.0499999999999999E-3</v>
          </cell>
          <cell r="L61" t="str">
            <v>9Y</v>
          </cell>
          <cell r="M61">
            <v>-8.4000000000000003E-4</v>
          </cell>
        </row>
        <row r="62">
          <cell r="F62" t="str">
            <v>10Y</v>
          </cell>
          <cell r="G62">
            <v>1.06E-3</v>
          </cell>
          <cell r="L62" t="str">
            <v>10Y</v>
          </cell>
          <cell r="M62">
            <v>-2.3000000000000001E-4</v>
          </cell>
        </row>
        <row r="63">
          <cell r="F63" t="str">
            <v>11Y</v>
          </cell>
          <cell r="G63">
            <v>1.07E-3</v>
          </cell>
          <cell r="L63" t="str">
            <v>11Y</v>
          </cell>
          <cell r="M63">
            <v>3.7999999999999997E-4</v>
          </cell>
        </row>
        <row r="64">
          <cell r="F64" t="str">
            <v>12Y</v>
          </cell>
          <cell r="G64">
            <v>1.07E-3</v>
          </cell>
          <cell r="L64" t="str">
            <v>12Y</v>
          </cell>
          <cell r="M64">
            <v>9.2999999999999995E-4</v>
          </cell>
        </row>
        <row r="65">
          <cell r="F65" t="str">
            <v>15Y</v>
          </cell>
          <cell r="G65">
            <v>1.06E-3</v>
          </cell>
          <cell r="L65" t="str">
            <v>15Y</v>
          </cell>
          <cell r="M65">
            <v>2.3899999999999998E-3</v>
          </cell>
        </row>
        <row r="66">
          <cell r="F66" t="str">
            <v>20Y</v>
          </cell>
          <cell r="G66">
            <v>1.0300000000000001E-3</v>
          </cell>
          <cell r="L66" t="str">
            <v>20Y</v>
          </cell>
          <cell r="M66">
            <v>3.7699999999999999E-3</v>
          </cell>
        </row>
        <row r="67">
          <cell r="F67" t="str">
            <v>25Y</v>
          </cell>
          <cell r="G67">
            <v>9.8999999999999999E-4</v>
          </cell>
          <cell r="L67" t="str">
            <v>25Y</v>
          </cell>
          <cell r="M67">
            <v>4.2100000000000002E-3</v>
          </cell>
        </row>
        <row r="68">
          <cell r="F68" t="str">
            <v>30Y</v>
          </cell>
          <cell r="G68">
            <v>9.5E-4</v>
          </cell>
          <cell r="L68" t="str">
            <v>30Y</v>
          </cell>
          <cell r="M68">
            <v>4.2100000000000002E-3</v>
          </cell>
        </row>
        <row r="69">
          <cell r="F69" t="str">
            <v>40Y</v>
          </cell>
          <cell r="G69">
            <v>8.8000000000000003E-4</v>
          </cell>
          <cell r="L69" t="str">
            <v>40Y</v>
          </cell>
          <cell r="M69">
            <v>3.7799999999999999E-3</v>
          </cell>
        </row>
        <row r="70">
          <cell r="F70" t="str">
            <v>50Y</v>
          </cell>
          <cell r="G70">
            <v>8.1999999999999998E-4</v>
          </cell>
          <cell r="L70" t="str">
            <v>50Y</v>
          </cell>
          <cell r="M70">
            <v>3.2000000000000002E-3</v>
          </cell>
        </row>
      </sheetData>
      <sheetData sheetId="27">
        <row r="32">
          <cell r="U32" t="b">
            <v>1</v>
          </cell>
        </row>
      </sheetData>
      <sheetData sheetId="28">
        <row r="9">
          <cell r="D9" t="str">
            <v>EURYC</v>
          </cell>
        </row>
        <row r="10">
          <cell r="D10" t="str">
            <v>EUR6ML</v>
          </cell>
        </row>
        <row r="11">
          <cell r="D11" t="str">
            <v>EUR6ML</v>
          </cell>
        </row>
        <row r="18">
          <cell r="C18" t="str">
            <v>AsOfDate</v>
          </cell>
          <cell r="D18">
            <v>43798</v>
          </cell>
        </row>
        <row r="19">
          <cell r="C19" t="str">
            <v>Currency</v>
          </cell>
          <cell r="D19" t="str">
            <v>EUR</v>
          </cell>
        </row>
        <row r="20">
          <cell r="C20" t="str">
            <v>interpolation</v>
          </cell>
          <cell r="D20" t="str">
            <v>fn_LinearSplineInterpolation</v>
          </cell>
        </row>
        <row r="21">
          <cell r="C21" t="str">
            <v>yieldgen.interpolation</v>
          </cell>
          <cell r="D21" t="str">
            <v>fn_LinearSplineInterpolation</v>
          </cell>
        </row>
        <row r="22">
          <cell r="C22" t="str">
            <v>future.interpolation</v>
          </cell>
          <cell r="D22" t="str">
            <v>fn_LinearSplineInterpolation</v>
          </cell>
        </row>
        <row r="23">
          <cell r="C23" t="str">
            <v>isfrause</v>
          </cell>
          <cell r="D23" t="b">
            <v>1</v>
          </cell>
        </row>
        <row r="24">
          <cell r="C24" t="str">
            <v>isfutureuse</v>
          </cell>
          <cell r="D24" t="b">
            <v>0</v>
          </cell>
        </row>
        <row r="25">
          <cell r="C25" t="str">
            <v>Frequency</v>
          </cell>
          <cell r="D25" t="str">
            <v>SIMPLE</v>
          </cell>
        </row>
        <row r="26">
          <cell r="C26" t="str">
            <v>dfcurvename</v>
          </cell>
          <cell r="D26" t="str">
            <v>OIS</v>
          </cell>
        </row>
        <row r="27">
          <cell r="C27" t="str">
            <v>FastRebuild</v>
          </cell>
          <cell r="D27" t="b">
            <v>1</v>
          </cell>
        </row>
        <row r="32">
          <cell r="U32" t="b">
            <v>1</v>
          </cell>
        </row>
        <row r="34">
          <cell r="C34" t="str">
            <v>Calendar</v>
          </cell>
          <cell r="D34" t="str">
            <v>TGT</v>
          </cell>
          <cell r="F34" t="str">
            <v>Calendar</v>
          </cell>
          <cell r="G34" t="str">
            <v>TGT</v>
          </cell>
        </row>
        <row r="35">
          <cell r="C35" t="str">
            <v>DayCount</v>
          </cell>
          <cell r="D35" t="str">
            <v>ACT/360</v>
          </cell>
          <cell r="F35" t="str">
            <v>Daycount</v>
          </cell>
          <cell r="G35" t="str">
            <v>ACT/360</v>
          </cell>
          <cell r="I35" t="str">
            <v>1M</v>
          </cell>
          <cell r="J35">
            <v>-5.1285999999999997E-3</v>
          </cell>
        </row>
        <row r="36">
          <cell r="C36" t="str">
            <v>Slidingrule</v>
          </cell>
          <cell r="D36" t="str">
            <v>FOLLOWING</v>
          </cell>
          <cell r="F36" t="str">
            <v>Frequency</v>
          </cell>
          <cell r="G36" t="str">
            <v>Simple</v>
          </cell>
          <cell r="I36" t="str">
            <v>3M</v>
          </cell>
          <cell r="J36">
            <v>-4.3442999999999997E-3</v>
          </cell>
        </row>
        <row r="37">
          <cell r="F37" t="str">
            <v>Resetlag</v>
          </cell>
          <cell r="G37">
            <v>2</v>
          </cell>
          <cell r="I37" t="str">
            <v>6M</v>
          </cell>
          <cell r="J37">
            <v>-3.9585999999999996E-3</v>
          </cell>
        </row>
        <row r="38">
          <cell r="F38" t="str">
            <v>SlidingRule</v>
          </cell>
          <cell r="G38" t="str">
            <v>MOD_FOLLOWING</v>
          </cell>
          <cell r="I38" t="str">
            <v>12M</v>
          </cell>
          <cell r="J38">
            <v>-2.9343000000000004E-3</v>
          </cell>
        </row>
        <row r="47">
          <cell r="C47" t="str">
            <v>Calendar</v>
          </cell>
          <cell r="D47" t="str">
            <v>TGT</v>
          </cell>
        </row>
        <row r="48">
          <cell r="C48" t="str">
            <v>DayCount</v>
          </cell>
          <cell r="D48" t="str">
            <v>ACT/360</v>
          </cell>
          <cell r="I48" t="str">
            <v>1X7</v>
          </cell>
          <cell r="J48">
            <v>-3.3500000000000001E-3</v>
          </cell>
        </row>
        <row r="49">
          <cell r="C49" t="str">
            <v>ResetLag</v>
          </cell>
          <cell r="D49">
            <v>2</v>
          </cell>
          <cell r="I49" t="str">
            <v>2X8</v>
          </cell>
          <cell r="J49">
            <v>-3.3600000000000001E-3</v>
          </cell>
        </row>
        <row r="50">
          <cell r="C50" t="str">
            <v>SlidingRule</v>
          </cell>
          <cell r="D50" t="str">
            <v>MOD_FOLLOWING</v>
          </cell>
          <cell r="I50" t="str">
            <v>3X9</v>
          </cell>
          <cell r="J50">
            <v>-3.3700000000000002E-3</v>
          </cell>
        </row>
        <row r="51">
          <cell r="C51" t="str">
            <v>IsEomRoll</v>
          </cell>
          <cell r="D51" t="b">
            <v>0</v>
          </cell>
          <cell r="I51" t="str">
            <v>4X10</v>
          </cell>
          <cell r="J51">
            <v>-3.3900000000000002E-3</v>
          </cell>
        </row>
        <row r="52">
          <cell r="C52" t="str">
            <v>ApplyTension</v>
          </cell>
          <cell r="D52" t="b">
            <v>1</v>
          </cell>
          <cell r="I52" t="str">
            <v>5X11</v>
          </cell>
          <cell r="J52">
            <v>-3.4000000000000002E-3</v>
          </cell>
        </row>
        <row r="53">
          <cell r="C53" t="str">
            <v>TensionGap</v>
          </cell>
          <cell r="D53">
            <v>2</v>
          </cell>
          <cell r="I53" t="str">
            <v>6X12</v>
          </cell>
          <cell r="J53">
            <v>-3.4200000000000003E-3</v>
          </cell>
        </row>
        <row r="54">
          <cell r="I54" t="str">
            <v>7X13</v>
          </cell>
          <cell r="J54">
            <v>-3.4200000000000003E-3</v>
          </cell>
        </row>
        <row r="55">
          <cell r="I55" t="str">
            <v>8X14</v>
          </cell>
          <cell r="J55">
            <v>-3.4300000000000003E-3</v>
          </cell>
        </row>
        <row r="56">
          <cell r="I56" t="str">
            <v>9X15</v>
          </cell>
          <cell r="J56">
            <v>-3.4399999999999999E-3</v>
          </cell>
        </row>
        <row r="57">
          <cell r="I57" t="str">
            <v>10X16</v>
          </cell>
          <cell r="J57">
            <v>-3.4399999999999999E-3</v>
          </cell>
        </row>
        <row r="58">
          <cell r="I58" t="str">
            <v>11X17</v>
          </cell>
          <cell r="J58">
            <v>-3.4300000000000003E-3</v>
          </cell>
        </row>
        <row r="89">
          <cell r="C89" t="str">
            <v>Calendar</v>
          </cell>
          <cell r="D89" t="str">
            <v>TGT</v>
          </cell>
        </row>
        <row r="90">
          <cell r="C90" t="str">
            <v>DayCount</v>
          </cell>
          <cell r="D90" t="str">
            <v>30/360</v>
          </cell>
          <cell r="F90" t="str">
            <v>2Y</v>
          </cell>
          <cell r="G90">
            <v>-3.4200000000000003E-3</v>
          </cell>
          <cell r="H90" t="b">
            <v>1</v>
          </cell>
        </row>
        <row r="91">
          <cell r="C91" t="str">
            <v>DayCountFloat</v>
          </cell>
          <cell r="D91" t="str">
            <v>ACT/360</v>
          </cell>
          <cell r="F91" t="str">
            <v>3Y</v>
          </cell>
          <cell r="G91">
            <v>-3.1700000000000001E-3</v>
          </cell>
          <cell r="H91" t="b">
            <v>1</v>
          </cell>
        </row>
        <row r="92">
          <cell r="C92" t="str">
            <v>Frequency</v>
          </cell>
          <cell r="D92" t="str">
            <v>Annual</v>
          </cell>
          <cell r="F92" t="str">
            <v>4Y</v>
          </cell>
          <cell r="G92">
            <v>-2.8100000000000004E-3</v>
          </cell>
          <cell r="H92" t="b">
            <v>1</v>
          </cell>
        </row>
        <row r="93">
          <cell r="C93" t="str">
            <v>FrequencyFloat</v>
          </cell>
          <cell r="D93" t="str">
            <v>Semi-Annual</v>
          </cell>
          <cell r="F93" t="str">
            <v>5Y</v>
          </cell>
          <cell r="G93">
            <v>-2.3699999999999997E-3</v>
          </cell>
          <cell r="H93" t="b">
            <v>1</v>
          </cell>
        </row>
        <row r="94">
          <cell r="C94" t="str">
            <v>Interpolation</v>
          </cell>
          <cell r="D94" t="str">
            <v>fn_LinearSplineInterpolation</v>
          </cell>
          <cell r="F94" t="str">
            <v>6Y</v>
          </cell>
          <cell r="G94">
            <v>-1.8599999999999999E-3</v>
          </cell>
          <cell r="H94" t="b">
            <v>1</v>
          </cell>
        </row>
        <row r="95">
          <cell r="C95" t="str">
            <v>IsEomRoll</v>
          </cell>
          <cell r="D95" t="b">
            <v>1</v>
          </cell>
          <cell r="F95" t="str">
            <v>7Y</v>
          </cell>
          <cell r="G95">
            <v>-1.32E-3</v>
          </cell>
          <cell r="H95" t="b">
            <v>1</v>
          </cell>
        </row>
        <row r="96">
          <cell r="C96" t="str">
            <v>EomDay</v>
          </cell>
          <cell r="D96">
            <v>31</v>
          </cell>
          <cell r="F96" t="str">
            <v>8Y</v>
          </cell>
          <cell r="G96">
            <v>-7.1999999999999994E-4</v>
          </cell>
          <cell r="H96" t="b">
            <v>1</v>
          </cell>
        </row>
        <row r="97">
          <cell r="C97" t="str">
            <v>Resetlag</v>
          </cell>
          <cell r="D97">
            <v>2</v>
          </cell>
          <cell r="F97" t="str">
            <v>9Y</v>
          </cell>
          <cell r="G97">
            <v>-1.2E-4</v>
          </cell>
          <cell r="H97" t="b">
            <v>1</v>
          </cell>
        </row>
        <row r="98">
          <cell r="C98" t="str">
            <v>SlidingRule</v>
          </cell>
          <cell r="D98" t="str">
            <v>MOD_FOLLOWING</v>
          </cell>
          <cell r="F98" t="str">
            <v>10Y</v>
          </cell>
          <cell r="G98">
            <v>4.6000000000000001E-4</v>
          </cell>
          <cell r="H98" t="b">
            <v>1</v>
          </cell>
        </row>
        <row r="99">
          <cell r="C99" t="str">
            <v>IsNewtonraphson</v>
          </cell>
          <cell r="D99" t="b">
            <v>1</v>
          </cell>
          <cell r="F99" t="str">
            <v>11Y</v>
          </cell>
          <cell r="G99">
            <v>1.0299999999999999E-3</v>
          </cell>
          <cell r="H99" t="b">
            <v>1</v>
          </cell>
        </row>
        <row r="100">
          <cell r="C100" t="str">
            <v>issimultaneouseq</v>
          </cell>
          <cell r="D100" t="b">
            <v>1</v>
          </cell>
          <cell r="F100" t="str">
            <v>12Y</v>
          </cell>
          <cell r="G100">
            <v>1.5499999999999999E-3</v>
          </cell>
          <cell r="H100" t="b">
            <v>1</v>
          </cell>
        </row>
        <row r="101">
          <cell r="C101" t="str">
            <v>Epsilon</v>
          </cell>
          <cell r="D101">
            <v>1.0000000000000001E-9</v>
          </cell>
          <cell r="F101" t="str">
            <v>15Y</v>
          </cell>
          <cell r="G101">
            <v>2.9199999999999999E-3</v>
          </cell>
          <cell r="H101" t="b">
            <v>1</v>
          </cell>
        </row>
        <row r="102">
          <cell r="C102" t="str">
            <v>MaxLoop</v>
          </cell>
          <cell r="D102">
            <v>1000</v>
          </cell>
          <cell r="F102" t="str">
            <v>20Y</v>
          </cell>
          <cell r="G102">
            <v>4.1900000000000001E-3</v>
          </cell>
          <cell r="H102" t="b">
            <v>1</v>
          </cell>
        </row>
        <row r="103">
          <cell r="F103" t="str">
            <v>25Y</v>
          </cell>
          <cell r="G103">
            <v>4.5599999999999998E-3</v>
          </cell>
          <cell r="H103" t="b">
            <v>1</v>
          </cell>
        </row>
        <row r="104">
          <cell r="F104" t="str">
            <v>30Y</v>
          </cell>
          <cell r="G104">
            <v>4.5100000000000001E-3</v>
          </cell>
          <cell r="H104" t="b">
            <v>1</v>
          </cell>
        </row>
        <row r="105">
          <cell r="F105" t="str">
            <v>40Y</v>
          </cell>
          <cell r="G105">
            <v>4.0100000000000005E-3</v>
          </cell>
          <cell r="H105" t="b">
            <v>1</v>
          </cell>
        </row>
        <row r="106">
          <cell r="F106" t="str">
            <v>50Y</v>
          </cell>
          <cell r="G106">
            <v>3.3900000000000002E-3</v>
          </cell>
          <cell r="H106" t="b">
            <v>1</v>
          </cell>
        </row>
      </sheetData>
      <sheetData sheetId="29"/>
      <sheetData sheetId="30"/>
      <sheetData sheetId="31"/>
      <sheetData sheetId="32">
        <row r="6">
          <cell r="W6" t="b">
            <v>0</v>
          </cell>
        </row>
        <row r="32">
          <cell r="I32" t="b">
            <v>0</v>
          </cell>
        </row>
      </sheetData>
      <sheetData sheetId="33"/>
      <sheetData sheetId="34"/>
      <sheetData sheetId="35">
        <row r="6">
          <cell r="T6">
            <v>0</v>
          </cell>
        </row>
        <row r="15">
          <cell r="T15">
            <v>0</v>
          </cell>
        </row>
        <row r="16">
          <cell r="T16">
            <v>0</v>
          </cell>
        </row>
        <row r="17">
          <cell r="T17">
            <v>0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0</v>
          </cell>
        </row>
        <row r="24">
          <cell r="T24">
            <v>0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6">
          <cell r="T36">
            <v>0</v>
          </cell>
        </row>
        <row r="37">
          <cell r="T37">
            <v>0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0</v>
          </cell>
        </row>
        <row r="82">
          <cell r="T82">
            <v>0</v>
          </cell>
        </row>
        <row r="83">
          <cell r="T83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05">
          <cell r="T105">
            <v>0</v>
          </cell>
        </row>
        <row r="106">
          <cell r="T106">
            <v>0</v>
          </cell>
        </row>
        <row r="107">
          <cell r="T107">
            <v>0</v>
          </cell>
        </row>
        <row r="108">
          <cell r="T108">
            <v>0</v>
          </cell>
        </row>
        <row r="109">
          <cell r="T109">
            <v>0</v>
          </cell>
        </row>
        <row r="110">
          <cell r="T110">
            <v>0</v>
          </cell>
        </row>
        <row r="111">
          <cell r="T111">
            <v>0</v>
          </cell>
        </row>
        <row r="112">
          <cell r="T112">
            <v>0</v>
          </cell>
        </row>
        <row r="118">
          <cell r="T118">
            <v>0</v>
          </cell>
        </row>
        <row r="119">
          <cell r="T119">
            <v>0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0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29">
          <cell r="T129">
            <v>0</v>
          </cell>
        </row>
        <row r="130">
          <cell r="T130">
            <v>0</v>
          </cell>
        </row>
        <row r="131">
          <cell r="T131">
            <v>0</v>
          </cell>
        </row>
      </sheetData>
      <sheetData sheetId="36">
        <row r="4">
          <cell r="E4">
            <v>0</v>
          </cell>
        </row>
      </sheetData>
      <sheetData sheetId="37">
        <row r="31">
          <cell r="W31" t="b">
            <v>1</v>
          </cell>
        </row>
      </sheetData>
      <sheetData sheetId="38">
        <row r="31">
          <cell r="U31" t="b">
            <v>1</v>
          </cell>
        </row>
      </sheetData>
      <sheetData sheetId="39"/>
      <sheetData sheetId="40">
        <row r="24">
          <cell r="M24" t="b">
            <v>1</v>
          </cell>
        </row>
      </sheetData>
      <sheetData sheetId="41">
        <row r="6">
          <cell r="W6" t="b">
            <v>0</v>
          </cell>
        </row>
        <row r="32">
          <cell r="I32" t="b">
            <v>0</v>
          </cell>
        </row>
      </sheetData>
      <sheetData sheetId="42"/>
      <sheetData sheetId="43"/>
      <sheetData sheetId="44">
        <row r="6">
          <cell r="T6">
            <v>0</v>
          </cell>
        </row>
        <row r="7">
          <cell r="T7">
            <v>0</v>
          </cell>
        </row>
        <row r="8">
          <cell r="T8">
            <v>0</v>
          </cell>
        </row>
        <row r="9">
          <cell r="T9">
            <v>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39">
          <cell r="T39" t="str">
            <v>-</v>
          </cell>
        </row>
        <row r="40">
          <cell r="T40" t="str">
            <v>-</v>
          </cell>
        </row>
        <row r="41">
          <cell r="T41" t="str">
            <v>-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9">
          <cell r="T59">
            <v>0</v>
          </cell>
        </row>
        <row r="60">
          <cell r="T60">
            <v>0</v>
          </cell>
        </row>
        <row r="61">
          <cell r="T61">
            <v>0</v>
          </cell>
        </row>
        <row r="62">
          <cell r="T62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</sheetData>
      <sheetData sheetId="45">
        <row r="4">
          <cell r="E4">
            <v>0</v>
          </cell>
        </row>
      </sheetData>
      <sheetData sheetId="46">
        <row r="33">
          <cell r="Y33" t="b">
            <v>1</v>
          </cell>
        </row>
      </sheetData>
      <sheetData sheetId="47">
        <row r="32">
          <cell r="U32" t="b">
            <v>1</v>
          </cell>
          <cell r="W32" t="b">
            <v>1</v>
          </cell>
        </row>
      </sheetData>
      <sheetData sheetId="48"/>
      <sheetData sheetId="49"/>
      <sheetData sheetId="50"/>
      <sheetData sheetId="51">
        <row r="6">
          <cell r="T6">
            <v>0</v>
          </cell>
        </row>
        <row r="7">
          <cell r="T7">
            <v>0</v>
          </cell>
        </row>
        <row r="8">
          <cell r="T8">
            <v>0</v>
          </cell>
        </row>
        <row r="9">
          <cell r="T9">
            <v>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0</v>
          </cell>
        </row>
        <row r="24">
          <cell r="T24">
            <v>0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0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1">
          <cell r="T31">
            <v>0</v>
          </cell>
        </row>
        <row r="32">
          <cell r="T32">
            <v>0</v>
          </cell>
        </row>
        <row r="33">
          <cell r="T33">
            <v>0</v>
          </cell>
        </row>
        <row r="34">
          <cell r="T34">
            <v>0</v>
          </cell>
        </row>
        <row r="35">
          <cell r="T35">
            <v>0</v>
          </cell>
        </row>
        <row r="36">
          <cell r="T36">
            <v>0</v>
          </cell>
        </row>
        <row r="37">
          <cell r="T37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59">
          <cell r="T59">
            <v>0</v>
          </cell>
        </row>
        <row r="60">
          <cell r="T60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  <row r="79">
          <cell r="T79">
            <v>0</v>
          </cell>
        </row>
        <row r="80">
          <cell r="T80">
            <v>0</v>
          </cell>
        </row>
        <row r="81">
          <cell r="T81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3">
          <cell r="T93">
            <v>0</v>
          </cell>
        </row>
        <row r="94">
          <cell r="T94">
            <v>0</v>
          </cell>
        </row>
        <row r="95">
          <cell r="T95">
            <v>0</v>
          </cell>
        </row>
        <row r="96">
          <cell r="T96">
            <v>0</v>
          </cell>
        </row>
        <row r="97">
          <cell r="T97">
            <v>0</v>
          </cell>
        </row>
        <row r="98">
          <cell r="T98">
            <v>0</v>
          </cell>
        </row>
        <row r="99">
          <cell r="T99">
            <v>0</v>
          </cell>
        </row>
        <row r="100">
          <cell r="T100">
            <v>0</v>
          </cell>
        </row>
        <row r="101">
          <cell r="T101">
            <v>0</v>
          </cell>
        </row>
        <row r="102">
          <cell r="T102">
            <v>0</v>
          </cell>
        </row>
      </sheetData>
      <sheetData sheetId="52"/>
      <sheetData sheetId="53">
        <row r="32">
          <cell r="U32" t="b">
            <v>1</v>
          </cell>
        </row>
      </sheetData>
      <sheetData sheetId="54">
        <row r="25">
          <cell r="M25" t="b">
            <v>1</v>
          </cell>
        </row>
      </sheetData>
      <sheetData sheetId="55"/>
      <sheetData sheetId="56">
        <row r="24">
          <cell r="M24" t="b">
            <v>1</v>
          </cell>
        </row>
      </sheetData>
      <sheetData sheetId="57">
        <row r="6">
          <cell r="W6" t="b">
            <v>0</v>
          </cell>
        </row>
        <row r="32">
          <cell r="I32" t="b">
            <v>1</v>
          </cell>
        </row>
      </sheetData>
      <sheetData sheetId="58"/>
      <sheetData sheetId="59"/>
      <sheetData sheetId="60">
        <row r="6">
          <cell r="T6" t="str">
            <v>Disabled</v>
          </cell>
        </row>
        <row r="7">
          <cell r="T7" t="str">
            <v>Disabled</v>
          </cell>
        </row>
        <row r="8">
          <cell r="T8" t="str">
            <v>Disabled</v>
          </cell>
        </row>
        <row r="9">
          <cell r="T9" t="str">
            <v>Disabled</v>
          </cell>
        </row>
        <row r="10">
          <cell r="T10" t="str">
            <v>Disabled</v>
          </cell>
        </row>
        <row r="11">
          <cell r="T11" t="str">
            <v>Disabled</v>
          </cell>
        </row>
        <row r="12">
          <cell r="T12" t="str">
            <v>Disabled</v>
          </cell>
        </row>
        <row r="13">
          <cell r="T13" t="str">
            <v>Disabled</v>
          </cell>
        </row>
        <row r="14">
          <cell r="T14" t="str">
            <v>Disabled</v>
          </cell>
        </row>
        <row r="23">
          <cell r="T23" t="str">
            <v>Disabled</v>
          </cell>
        </row>
        <row r="24">
          <cell r="T24" t="str">
            <v>Disabled</v>
          </cell>
        </row>
        <row r="25">
          <cell r="T25" t="str">
            <v>Disabled</v>
          </cell>
        </row>
        <row r="26">
          <cell r="T26" t="str">
            <v>Disabled</v>
          </cell>
        </row>
        <row r="27">
          <cell r="T27" t="str">
            <v>Disabled</v>
          </cell>
        </row>
        <row r="28">
          <cell r="T28" t="str">
            <v>Disabled</v>
          </cell>
        </row>
        <row r="29">
          <cell r="T29" t="str">
            <v>Disabled</v>
          </cell>
        </row>
        <row r="30">
          <cell r="T30" t="str">
            <v>Disabled</v>
          </cell>
        </row>
        <row r="31">
          <cell r="T31" t="str">
            <v>Disabled</v>
          </cell>
        </row>
        <row r="32">
          <cell r="T32" t="str">
            <v>Disabled</v>
          </cell>
        </row>
        <row r="33">
          <cell r="T33" t="str">
            <v>Disabled</v>
          </cell>
        </row>
        <row r="34">
          <cell r="T34" t="str">
            <v>Disabled</v>
          </cell>
        </row>
        <row r="35">
          <cell r="T35" t="str">
            <v>Disabled</v>
          </cell>
        </row>
        <row r="36">
          <cell r="T36" t="str">
            <v>Disabled</v>
          </cell>
        </row>
        <row r="37">
          <cell r="T37" t="str">
            <v>Disabled</v>
          </cell>
        </row>
        <row r="43">
          <cell r="T43" t="str">
            <v>Disabled</v>
          </cell>
        </row>
        <row r="44">
          <cell r="T44" t="str">
            <v>Disabled</v>
          </cell>
        </row>
        <row r="45">
          <cell r="T45" t="str">
            <v>Disabled</v>
          </cell>
        </row>
        <row r="46">
          <cell r="T46" t="str">
            <v>Disabled</v>
          </cell>
        </row>
        <row r="47">
          <cell r="T47" t="str">
            <v>Disabled</v>
          </cell>
        </row>
        <row r="48">
          <cell r="T48" t="str">
            <v>Disabled</v>
          </cell>
        </row>
        <row r="49">
          <cell r="T49" t="str">
            <v>Disabled</v>
          </cell>
        </row>
        <row r="50">
          <cell r="T50" t="str">
            <v>Disabled</v>
          </cell>
        </row>
        <row r="51">
          <cell r="T51" t="str">
            <v>Disabled</v>
          </cell>
        </row>
        <row r="52">
          <cell r="T52" t="str">
            <v>Disabled</v>
          </cell>
        </row>
        <row r="53">
          <cell r="T53" t="str">
            <v>Disabled</v>
          </cell>
        </row>
        <row r="54">
          <cell r="T54" t="str">
            <v>Disabled</v>
          </cell>
        </row>
        <row r="55">
          <cell r="T55" t="str">
            <v>Disabled</v>
          </cell>
        </row>
        <row r="56">
          <cell r="T56" t="str">
            <v>Disabled</v>
          </cell>
        </row>
        <row r="57">
          <cell r="T57" t="str">
            <v>Disabled</v>
          </cell>
        </row>
        <row r="58">
          <cell r="T58" t="str">
            <v>Disabled</v>
          </cell>
        </row>
        <row r="64">
          <cell r="T64" t="str">
            <v>Disabled</v>
          </cell>
        </row>
        <row r="65">
          <cell r="T65" t="str">
            <v>Disabled</v>
          </cell>
        </row>
        <row r="66">
          <cell r="T66" t="str">
            <v>Disabled</v>
          </cell>
        </row>
        <row r="67">
          <cell r="T67" t="str">
            <v>Disabled</v>
          </cell>
        </row>
        <row r="68">
          <cell r="T68" t="str">
            <v>Disabled</v>
          </cell>
        </row>
        <row r="69">
          <cell r="T69" t="str">
            <v>Disabled</v>
          </cell>
        </row>
        <row r="70">
          <cell r="T70" t="str">
            <v>Disabled</v>
          </cell>
        </row>
        <row r="71">
          <cell r="T71" t="str">
            <v>Disabled</v>
          </cell>
        </row>
        <row r="72">
          <cell r="T72" t="str">
            <v>Disabled</v>
          </cell>
        </row>
        <row r="73">
          <cell r="T73" t="str">
            <v>Disabled</v>
          </cell>
        </row>
        <row r="74">
          <cell r="T74" t="str">
            <v>Disabled</v>
          </cell>
        </row>
        <row r="75">
          <cell r="T75" t="str">
            <v>Disabled</v>
          </cell>
        </row>
        <row r="76">
          <cell r="T76" t="str">
            <v>Disabled</v>
          </cell>
        </row>
        <row r="77">
          <cell r="T77" t="str">
            <v>Disabled</v>
          </cell>
        </row>
        <row r="78">
          <cell r="T78" t="str">
            <v>Disabled</v>
          </cell>
        </row>
        <row r="79">
          <cell r="T79" t="str">
            <v>Disabled</v>
          </cell>
        </row>
        <row r="85">
          <cell r="T85" t="str">
            <v>Disabled</v>
          </cell>
        </row>
        <row r="86">
          <cell r="T86" t="str">
            <v>Disabled</v>
          </cell>
        </row>
        <row r="87">
          <cell r="T87" t="str">
            <v>Disabled</v>
          </cell>
        </row>
        <row r="88">
          <cell r="T88" t="str">
            <v>Disabled</v>
          </cell>
        </row>
        <row r="89">
          <cell r="T89" t="str">
            <v>Disabled</v>
          </cell>
        </row>
        <row r="90">
          <cell r="T90" t="str">
            <v>Disabled</v>
          </cell>
        </row>
        <row r="91">
          <cell r="T91" t="str">
            <v>Disabled</v>
          </cell>
        </row>
        <row r="92">
          <cell r="T92" t="str">
            <v>Disabled</v>
          </cell>
        </row>
        <row r="93">
          <cell r="T93" t="str">
            <v>Disabled</v>
          </cell>
        </row>
        <row r="94">
          <cell r="T94" t="str">
            <v>Disabled</v>
          </cell>
        </row>
        <row r="95">
          <cell r="T95" t="str">
            <v>Disabled</v>
          </cell>
        </row>
        <row r="96">
          <cell r="T96" t="str">
            <v>Disabled</v>
          </cell>
        </row>
        <row r="97">
          <cell r="T97" t="str">
            <v>Disabled</v>
          </cell>
        </row>
        <row r="98">
          <cell r="T98" t="str">
            <v>Disabled</v>
          </cell>
        </row>
        <row r="99">
          <cell r="T99" t="str">
            <v>Disabled</v>
          </cell>
        </row>
        <row r="100">
          <cell r="T100" t="str">
            <v>Disabled</v>
          </cell>
        </row>
        <row r="106">
          <cell r="T106" t="str">
            <v>Disabled</v>
          </cell>
        </row>
        <row r="107">
          <cell r="T107" t="str">
            <v>Disabled</v>
          </cell>
        </row>
        <row r="108">
          <cell r="T108" t="str">
            <v>Disabled</v>
          </cell>
        </row>
        <row r="109">
          <cell r="T109" t="str">
            <v>Disabled</v>
          </cell>
        </row>
        <row r="110">
          <cell r="T110" t="str">
            <v>Disabled</v>
          </cell>
        </row>
        <row r="111">
          <cell r="T111" t="str">
            <v>Disabled</v>
          </cell>
        </row>
        <row r="112">
          <cell r="T112" t="str">
            <v>Disabled</v>
          </cell>
        </row>
        <row r="113">
          <cell r="T113" t="str">
            <v>Disabled</v>
          </cell>
        </row>
        <row r="114">
          <cell r="T114" t="str">
            <v>Disabled</v>
          </cell>
        </row>
        <row r="115">
          <cell r="T115" t="str">
            <v>Disabled</v>
          </cell>
        </row>
        <row r="116">
          <cell r="T116" t="str">
            <v>Disabled</v>
          </cell>
        </row>
        <row r="117">
          <cell r="T117" t="str">
            <v>Disabled</v>
          </cell>
        </row>
        <row r="118">
          <cell r="T118" t="str">
            <v>Disabled</v>
          </cell>
        </row>
        <row r="119">
          <cell r="T119" t="str">
            <v>Disabled</v>
          </cell>
        </row>
        <row r="120">
          <cell r="T120" t="str">
            <v>Disabled</v>
          </cell>
        </row>
        <row r="121">
          <cell r="T121" t="str">
            <v>Disabled</v>
          </cell>
        </row>
      </sheetData>
      <sheetData sheetId="61">
        <row r="34">
          <cell r="Y34" t="b">
            <v>1</v>
          </cell>
        </row>
      </sheetData>
      <sheetData sheetId="62">
        <row r="25">
          <cell r="P25" t="b">
            <v>1</v>
          </cell>
        </row>
      </sheetData>
      <sheetData sheetId="63"/>
      <sheetData sheetId="64"/>
      <sheetData sheetId="65"/>
      <sheetData sheetId="66">
        <row r="6">
          <cell r="T6">
            <v>0</v>
          </cell>
        </row>
        <row r="7">
          <cell r="T7">
            <v>0</v>
          </cell>
        </row>
        <row r="8">
          <cell r="T8">
            <v>0</v>
          </cell>
        </row>
        <row r="9">
          <cell r="T9">
            <v>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14">
          <cell r="T14">
            <v>0</v>
          </cell>
        </row>
        <row r="23">
          <cell r="T23" t="str">
            <v>Disabled</v>
          </cell>
        </row>
        <row r="24">
          <cell r="T24" t="str">
            <v>Disabled</v>
          </cell>
        </row>
        <row r="25">
          <cell r="T25" t="str">
            <v>Disabled</v>
          </cell>
        </row>
        <row r="26">
          <cell r="T26" t="str">
            <v>Disabled</v>
          </cell>
        </row>
        <row r="27">
          <cell r="T27" t="str">
            <v>Disabled</v>
          </cell>
        </row>
        <row r="28">
          <cell r="T28" t="str">
            <v>Disabled</v>
          </cell>
        </row>
        <row r="29">
          <cell r="T29" t="str">
            <v>Disabled</v>
          </cell>
        </row>
        <row r="30">
          <cell r="T30" t="str">
            <v>Disabled</v>
          </cell>
        </row>
        <row r="31">
          <cell r="T31" t="str">
            <v>Disabled</v>
          </cell>
        </row>
        <row r="32">
          <cell r="T32" t="str">
            <v>Disabled</v>
          </cell>
        </row>
        <row r="33">
          <cell r="T33" t="str">
            <v>Disabled</v>
          </cell>
        </row>
        <row r="34">
          <cell r="T34" t="str">
            <v>Disabled</v>
          </cell>
        </row>
        <row r="35">
          <cell r="T35" t="str">
            <v>Disabled</v>
          </cell>
        </row>
        <row r="36">
          <cell r="T36" t="str">
            <v>Disabled</v>
          </cell>
        </row>
        <row r="37">
          <cell r="T37" t="str">
            <v>Disabled</v>
          </cell>
        </row>
        <row r="42"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5">
          <cell r="T45">
            <v>0</v>
          </cell>
        </row>
        <row r="46">
          <cell r="T46">
            <v>0</v>
          </cell>
        </row>
        <row r="47">
          <cell r="T47">
            <v>0</v>
          </cell>
        </row>
        <row r="48">
          <cell r="T48">
            <v>0</v>
          </cell>
        </row>
        <row r="49">
          <cell r="T49">
            <v>0</v>
          </cell>
        </row>
        <row r="50">
          <cell r="T50">
            <v>0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0</v>
          </cell>
        </row>
        <row r="56">
          <cell r="T56">
            <v>0</v>
          </cell>
        </row>
        <row r="57">
          <cell r="T57">
            <v>0</v>
          </cell>
        </row>
        <row r="58">
          <cell r="T58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0</v>
          </cell>
        </row>
        <row r="67">
          <cell r="T67">
            <v>0</v>
          </cell>
        </row>
        <row r="68">
          <cell r="T68">
            <v>0</v>
          </cell>
        </row>
        <row r="69">
          <cell r="T69">
            <v>0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0</v>
          </cell>
        </row>
        <row r="76">
          <cell r="T76">
            <v>0</v>
          </cell>
        </row>
        <row r="77">
          <cell r="T77">
            <v>0</v>
          </cell>
        </row>
        <row r="78">
          <cell r="T78">
            <v>0</v>
          </cell>
        </row>
        <row r="84">
          <cell r="T84">
            <v>0</v>
          </cell>
        </row>
        <row r="85">
          <cell r="T85">
            <v>0</v>
          </cell>
        </row>
        <row r="86">
          <cell r="T86">
            <v>0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0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3">
          <cell r="T93">
            <v>0</v>
          </cell>
        </row>
        <row r="94">
          <cell r="T94">
            <v>0</v>
          </cell>
        </row>
        <row r="95">
          <cell r="T95">
            <v>0</v>
          </cell>
        </row>
        <row r="96">
          <cell r="T96">
            <v>0</v>
          </cell>
        </row>
        <row r="97">
          <cell r="T97">
            <v>0</v>
          </cell>
        </row>
        <row r="98">
          <cell r="T9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1"/>
  </sheetPr>
  <dimension ref="B2:AC46"/>
  <sheetViews>
    <sheetView showGridLines="0" zoomScaleNormal="100" workbookViewId="0"/>
  </sheetViews>
  <sheetFormatPr defaultRowHeight="15" x14ac:dyDescent="0.25"/>
  <cols>
    <col min="1" max="1" width="9.140625" customWidth="1"/>
    <col min="2" max="2" width="17.7109375" customWidth="1"/>
    <col min="3" max="3" width="9.140625" customWidth="1"/>
    <col min="4" max="4" width="20.5703125" bestFit="1" customWidth="1"/>
    <col min="5" max="6" width="9.140625" customWidth="1"/>
    <col min="7" max="7" width="20.5703125" bestFit="1" customWidth="1"/>
    <col min="8" max="8" width="9.140625" customWidth="1"/>
    <col min="9" max="9" width="2.7109375" customWidth="1"/>
    <col min="10" max="10" width="21.28515625" customWidth="1"/>
    <col min="11" max="11" width="36" bestFit="1" customWidth="1"/>
    <col min="12" max="12" width="2.7109375" customWidth="1"/>
    <col min="13" max="13" width="9.140625" customWidth="1"/>
    <col min="14" max="14" width="2.7109375" customWidth="1"/>
    <col min="15" max="15" width="25.7109375" customWidth="1"/>
    <col min="16" max="16" width="34.42578125" bestFit="1" customWidth="1"/>
    <col min="17" max="17" width="2.7109375" customWidth="1"/>
    <col min="19" max="19" width="2.7109375" customWidth="1"/>
    <col min="20" max="20" width="35.7109375" customWidth="1"/>
    <col min="21" max="22" width="25.7109375" customWidth="1"/>
    <col min="23" max="23" width="2.7109375" customWidth="1"/>
    <col min="25" max="25" width="2.7109375" customWidth="1"/>
    <col min="26" max="26" width="35.7109375" customWidth="1"/>
    <col min="27" max="28" width="25.7109375" customWidth="1"/>
    <col min="29" max="29" width="2.7109375" customWidth="1"/>
  </cols>
  <sheetData>
    <row r="2" spans="2:29" x14ac:dyDescent="0.25">
      <c r="B2" s="75" t="s">
        <v>96</v>
      </c>
      <c r="D2" s="76" t="s">
        <v>97</v>
      </c>
      <c r="I2" s="77" t="s">
        <v>215</v>
      </c>
      <c r="N2" s="77" t="s">
        <v>216</v>
      </c>
      <c r="S2" s="76" t="s">
        <v>217</v>
      </c>
      <c r="Y2" s="76" t="s">
        <v>218</v>
      </c>
    </row>
    <row r="3" spans="2:29" x14ac:dyDescent="0.25">
      <c r="B3" s="78">
        <v>43798</v>
      </c>
      <c r="I3" s="1"/>
      <c r="J3" s="4"/>
      <c r="K3" s="4"/>
      <c r="L3" s="5"/>
      <c r="N3" s="1"/>
      <c r="O3" s="4"/>
      <c r="P3" s="4"/>
      <c r="Q3" s="5"/>
      <c r="S3" s="1"/>
      <c r="T3" s="4"/>
      <c r="U3" s="4"/>
      <c r="V3" s="4"/>
      <c r="W3" s="5"/>
      <c r="Y3" s="1"/>
      <c r="Z3" s="4"/>
      <c r="AA3" s="4"/>
      <c r="AB3" s="4"/>
      <c r="AC3" s="5"/>
    </row>
    <row r="4" spans="2:29" x14ac:dyDescent="0.25">
      <c r="D4" s="79" t="s">
        <v>128</v>
      </c>
      <c r="G4" s="79" t="s">
        <v>219</v>
      </c>
      <c r="I4" s="7"/>
      <c r="J4" s="80" t="s">
        <v>98</v>
      </c>
      <c r="K4" s="10"/>
      <c r="L4" s="11"/>
      <c r="N4" s="7"/>
      <c r="O4" s="80" t="s">
        <v>99</v>
      </c>
      <c r="P4" s="10"/>
      <c r="Q4" s="11"/>
      <c r="S4" s="7"/>
      <c r="T4" s="80" t="s">
        <v>98</v>
      </c>
      <c r="U4" s="10"/>
      <c r="V4" s="10"/>
      <c r="W4" s="11"/>
      <c r="Y4" s="7"/>
      <c r="Z4" s="80" t="s">
        <v>99</v>
      </c>
      <c r="AA4" s="10"/>
      <c r="AB4" s="10"/>
      <c r="AC4" s="11"/>
    </row>
    <row r="5" spans="2:29" x14ac:dyDescent="0.25">
      <c r="C5" s="81" t="s">
        <v>100</v>
      </c>
      <c r="D5" s="82" t="s">
        <v>101</v>
      </c>
      <c r="F5" s="81" t="s">
        <v>100</v>
      </c>
      <c r="G5" s="82" t="s">
        <v>220</v>
      </c>
      <c r="I5" s="7"/>
      <c r="J5" s="38" t="s">
        <v>102</v>
      </c>
      <c r="K5" s="83" t="str">
        <f ca="1">_xll.meLWOCurveGeneratorCreate(K6,J9,J10:K17,J19,J20:K37)</f>
        <v>EUR_EONIA_CURVE_GENERATOR@3:2</v>
      </c>
      <c r="L5" s="11"/>
      <c r="N5" s="7"/>
      <c r="O5" s="38" t="s">
        <v>102</v>
      </c>
      <c r="P5" s="83" t="str">
        <f ca="1">_xll.meLWOCurveGeneratorCreate(P6,O9,O10:P17,O19,O20:P37)</f>
        <v>EUR_ESTR_CURVE_GENERATOR@2:2</v>
      </c>
      <c r="Q5" s="11"/>
      <c r="S5" s="7"/>
      <c r="T5" s="38" t="s">
        <v>102</v>
      </c>
      <c r="U5" s="83" t="str">
        <f ca="1">_xll.meLWOSwapGeneratorCreate(U6,T10:V37)</f>
        <v>EUR_EONIA_SWAP@4:2</v>
      </c>
      <c r="V5" s="10"/>
      <c r="W5" s="11"/>
      <c r="Y5" s="7"/>
      <c r="Z5" s="38" t="s">
        <v>102</v>
      </c>
      <c r="AA5" s="83" t="str">
        <f ca="1">_xll.meLWOSwapGeneratorCreate(AA6,Z10:AB37)</f>
        <v>EUR_ESTR_SWAP@1:2</v>
      </c>
      <c r="AB5" s="10"/>
      <c r="AC5" s="11"/>
    </row>
    <row r="6" spans="2:29" x14ac:dyDescent="0.25">
      <c r="C6" s="81" t="s">
        <v>103</v>
      </c>
      <c r="D6" s="82" t="s">
        <v>104</v>
      </c>
      <c r="F6" s="81" t="s">
        <v>103</v>
      </c>
      <c r="G6" s="82" t="s">
        <v>221</v>
      </c>
      <c r="I6" s="7"/>
      <c r="J6" s="84" t="s">
        <v>105</v>
      </c>
      <c r="K6" s="85" t="s">
        <v>106</v>
      </c>
      <c r="L6" s="11"/>
      <c r="N6" s="7"/>
      <c r="O6" s="84" t="s">
        <v>105</v>
      </c>
      <c r="P6" s="85" t="s">
        <v>107</v>
      </c>
      <c r="Q6" s="11"/>
      <c r="S6" s="7"/>
      <c r="T6" s="84" t="s">
        <v>105</v>
      </c>
      <c r="U6" s="85" t="s">
        <v>108</v>
      </c>
      <c r="V6" s="10"/>
      <c r="W6" s="11"/>
      <c r="Y6" s="7"/>
      <c r="Z6" s="84" t="s">
        <v>105</v>
      </c>
      <c r="AA6" s="85" t="s">
        <v>109</v>
      </c>
      <c r="AB6" s="10"/>
      <c r="AC6" s="11"/>
    </row>
    <row r="7" spans="2:29" x14ac:dyDescent="0.25">
      <c r="C7" s="81" t="s">
        <v>110</v>
      </c>
      <c r="D7" s="82" t="s">
        <v>111</v>
      </c>
      <c r="F7" s="81" t="s">
        <v>110</v>
      </c>
      <c r="G7" s="82" t="s">
        <v>222</v>
      </c>
      <c r="I7" s="7"/>
      <c r="J7" s="41"/>
      <c r="K7" s="86"/>
      <c r="L7" s="11" t="s">
        <v>2</v>
      </c>
      <c r="N7" s="7"/>
      <c r="O7" s="41"/>
      <c r="P7" s="86"/>
      <c r="Q7" s="11" t="s">
        <v>2</v>
      </c>
      <c r="S7" s="7"/>
      <c r="T7" s="41"/>
      <c r="U7" s="86"/>
      <c r="V7" s="10"/>
      <c r="W7" s="11" t="s">
        <v>2</v>
      </c>
      <c r="Y7" s="7"/>
      <c r="Z7" s="41"/>
      <c r="AA7" s="86"/>
      <c r="AB7" s="10"/>
      <c r="AC7" s="11" t="s">
        <v>2</v>
      </c>
    </row>
    <row r="8" spans="2:29" x14ac:dyDescent="0.25">
      <c r="C8" s="81" t="s">
        <v>112</v>
      </c>
      <c r="D8" s="82" t="s">
        <v>113</v>
      </c>
      <c r="F8" s="81" t="s">
        <v>112</v>
      </c>
      <c r="G8" s="82" t="s">
        <v>223</v>
      </c>
      <c r="I8" s="7"/>
      <c r="J8" s="10"/>
      <c r="K8" s="10"/>
      <c r="L8" s="11"/>
      <c r="N8" s="7"/>
      <c r="O8" s="10"/>
      <c r="P8" s="10"/>
      <c r="Q8" s="11"/>
      <c r="S8" s="7"/>
      <c r="T8" s="10"/>
      <c r="U8" s="10"/>
      <c r="V8" s="10"/>
      <c r="W8" s="11"/>
      <c r="Y8" s="7"/>
      <c r="Z8" s="10"/>
      <c r="AA8" s="10"/>
      <c r="AB8" s="10"/>
      <c r="AC8" s="11"/>
    </row>
    <row r="9" spans="2:29" x14ac:dyDescent="0.25">
      <c r="C9" s="81" t="s">
        <v>114</v>
      </c>
      <c r="D9" s="82" t="s">
        <v>115</v>
      </c>
      <c r="F9" s="81" t="s">
        <v>114</v>
      </c>
      <c r="G9" s="82" t="s">
        <v>224</v>
      </c>
      <c r="I9" s="7"/>
      <c r="J9" s="8" t="s">
        <v>9</v>
      </c>
      <c r="K9" s="10"/>
      <c r="L9" s="11"/>
      <c r="N9" s="7"/>
      <c r="O9" s="8" t="s">
        <v>9</v>
      </c>
      <c r="P9" s="10"/>
      <c r="Q9" s="11"/>
      <c r="S9" s="7"/>
      <c r="T9" s="10"/>
      <c r="U9" s="10"/>
      <c r="V9" s="10"/>
      <c r="W9" s="11"/>
      <c r="Y9" s="7"/>
      <c r="Z9" s="10"/>
      <c r="AA9" s="10"/>
      <c r="AB9" s="10"/>
      <c r="AC9" s="11"/>
    </row>
    <row r="10" spans="2:29" x14ac:dyDescent="0.25">
      <c r="C10" s="81" t="s">
        <v>116</v>
      </c>
      <c r="D10" s="82" t="s">
        <v>117</v>
      </c>
      <c r="F10" s="81" t="s">
        <v>116</v>
      </c>
      <c r="G10" s="82" t="s">
        <v>225</v>
      </c>
      <c r="I10" s="7"/>
      <c r="J10" s="87" t="s">
        <v>13</v>
      </c>
      <c r="K10" s="88" t="s">
        <v>3</v>
      </c>
      <c r="L10" s="11"/>
      <c r="N10" s="7"/>
      <c r="O10" s="87" t="s">
        <v>13</v>
      </c>
      <c r="P10" s="88" t="s">
        <v>14</v>
      </c>
      <c r="Q10" s="11"/>
      <c r="S10" s="7"/>
      <c r="T10" s="44" t="s">
        <v>118</v>
      </c>
      <c r="U10" s="89" t="s">
        <v>119</v>
      </c>
      <c r="V10" s="90" t="s">
        <v>120</v>
      </c>
      <c r="W10" s="11"/>
      <c r="Y10" s="7"/>
      <c r="Z10" s="44" t="s">
        <v>118</v>
      </c>
      <c r="AA10" s="89" t="s">
        <v>119</v>
      </c>
      <c r="AB10" s="90" t="s">
        <v>120</v>
      </c>
      <c r="AC10" s="11"/>
    </row>
    <row r="11" spans="2:29" x14ac:dyDescent="0.25">
      <c r="C11" s="81" t="s">
        <v>121</v>
      </c>
      <c r="D11" s="82" t="s">
        <v>122</v>
      </c>
      <c r="F11" s="81" t="s">
        <v>121</v>
      </c>
      <c r="G11" s="82" t="s">
        <v>226</v>
      </c>
      <c r="I11" s="7"/>
      <c r="J11" s="91" t="s">
        <v>16</v>
      </c>
      <c r="K11" s="92" t="s">
        <v>17</v>
      </c>
      <c r="L11" s="11"/>
      <c r="N11" s="7"/>
      <c r="O11" s="91" t="s">
        <v>16</v>
      </c>
      <c r="P11" s="92" t="s">
        <v>17</v>
      </c>
      <c r="Q11" s="11"/>
      <c r="S11" s="7"/>
      <c r="T11" s="46" t="s">
        <v>123</v>
      </c>
      <c r="U11" s="93" t="s">
        <v>124</v>
      </c>
      <c r="V11" s="94" t="s">
        <v>124</v>
      </c>
      <c r="W11" s="11"/>
      <c r="Y11" s="7"/>
      <c r="Z11" s="46" t="s">
        <v>123</v>
      </c>
      <c r="AA11" s="93" t="s">
        <v>124</v>
      </c>
      <c r="AB11" s="94" t="s">
        <v>124</v>
      </c>
      <c r="AC11" s="11"/>
    </row>
    <row r="12" spans="2:29" x14ac:dyDescent="0.25">
      <c r="C12" s="81" t="s">
        <v>125</v>
      </c>
      <c r="D12" s="82" t="s">
        <v>126</v>
      </c>
      <c r="F12" s="81" t="s">
        <v>125</v>
      </c>
      <c r="G12" s="82" t="s">
        <v>227</v>
      </c>
      <c r="I12" s="7"/>
      <c r="J12" s="91" t="s">
        <v>20</v>
      </c>
      <c r="K12" s="92" t="s">
        <v>3</v>
      </c>
      <c r="L12" s="11"/>
      <c r="N12" s="7"/>
      <c r="O12" s="91" t="s">
        <v>20</v>
      </c>
      <c r="P12" s="92" t="s">
        <v>14</v>
      </c>
      <c r="Q12" s="11"/>
      <c r="S12" s="7"/>
      <c r="T12" s="46" t="s">
        <v>127</v>
      </c>
      <c r="U12" s="95"/>
      <c r="V12" s="96" t="s">
        <v>128</v>
      </c>
      <c r="W12" s="11"/>
      <c r="Y12" s="7"/>
      <c r="Z12" s="46" t="s">
        <v>127</v>
      </c>
      <c r="AA12" s="95"/>
      <c r="AB12" s="96" t="s">
        <v>219</v>
      </c>
      <c r="AC12" s="11"/>
    </row>
    <row r="13" spans="2:29" x14ac:dyDescent="0.25">
      <c r="C13" s="81" t="s">
        <v>256</v>
      </c>
      <c r="D13" s="82" t="s">
        <v>257</v>
      </c>
      <c r="F13" s="81" t="s">
        <v>256</v>
      </c>
      <c r="G13" s="82" t="s">
        <v>228</v>
      </c>
      <c r="I13" s="7"/>
      <c r="J13" s="91" t="s">
        <v>24</v>
      </c>
      <c r="K13" s="92" t="s">
        <v>128</v>
      </c>
      <c r="L13" s="11" t="s">
        <v>2</v>
      </c>
      <c r="N13" s="7"/>
      <c r="O13" s="91" t="s">
        <v>24</v>
      </c>
      <c r="P13" s="92" t="s">
        <v>219</v>
      </c>
      <c r="Q13" s="11" t="s">
        <v>2</v>
      </c>
      <c r="S13" s="7"/>
      <c r="T13" s="46" t="s">
        <v>131</v>
      </c>
      <c r="U13" s="95" t="s">
        <v>128</v>
      </c>
      <c r="V13" s="96" t="s">
        <v>128</v>
      </c>
      <c r="W13" s="11" t="s">
        <v>2</v>
      </c>
      <c r="Y13" s="7"/>
      <c r="Z13" s="46" t="s">
        <v>131</v>
      </c>
      <c r="AA13" s="95" t="s">
        <v>219</v>
      </c>
      <c r="AB13" s="96" t="s">
        <v>219</v>
      </c>
      <c r="AC13" s="11" t="s">
        <v>2</v>
      </c>
    </row>
    <row r="14" spans="2:29" x14ac:dyDescent="0.25">
      <c r="C14" s="81" t="s">
        <v>255</v>
      </c>
      <c r="D14" s="82" t="s">
        <v>258</v>
      </c>
      <c r="F14" s="81" t="s">
        <v>255</v>
      </c>
      <c r="G14" s="82" t="s">
        <v>229</v>
      </c>
      <c r="I14" s="7"/>
      <c r="J14" s="91" t="s">
        <v>10</v>
      </c>
      <c r="K14" s="97" t="s">
        <v>134</v>
      </c>
      <c r="L14" s="11"/>
      <c r="N14" s="7"/>
      <c r="O14" s="91" t="s">
        <v>10</v>
      </c>
      <c r="P14" s="97" t="s">
        <v>134</v>
      </c>
      <c r="Q14" s="11"/>
      <c r="S14" s="7"/>
      <c r="T14" s="46" t="s">
        <v>135</v>
      </c>
      <c r="U14" s="93" t="s">
        <v>72</v>
      </c>
      <c r="V14" s="94" t="s">
        <v>136</v>
      </c>
      <c r="W14" s="11"/>
      <c r="Y14" s="7"/>
      <c r="Z14" s="46" t="s">
        <v>135</v>
      </c>
      <c r="AA14" s="93" t="s">
        <v>72</v>
      </c>
      <c r="AB14" s="94" t="s">
        <v>136</v>
      </c>
      <c r="AC14" s="11"/>
    </row>
    <row r="15" spans="2:29" x14ac:dyDescent="0.25">
      <c r="C15" s="81" t="s">
        <v>254</v>
      </c>
      <c r="D15" s="82" t="s">
        <v>259</v>
      </c>
      <c r="F15" s="81" t="s">
        <v>254</v>
      </c>
      <c r="G15" s="82" t="s">
        <v>230</v>
      </c>
      <c r="I15" s="7"/>
      <c r="J15" s="30" t="s">
        <v>27</v>
      </c>
      <c r="K15" s="97" t="s">
        <v>28</v>
      </c>
      <c r="L15" s="11"/>
      <c r="N15" s="7"/>
      <c r="O15" s="30" t="s">
        <v>27</v>
      </c>
      <c r="P15" s="97" t="s">
        <v>28</v>
      </c>
      <c r="Q15" s="11"/>
      <c r="S15" s="7"/>
      <c r="T15" s="46" t="s">
        <v>138</v>
      </c>
      <c r="U15" s="93" t="s">
        <v>72</v>
      </c>
      <c r="V15" s="94" t="s">
        <v>72</v>
      </c>
      <c r="W15" s="11"/>
      <c r="Y15" s="7"/>
      <c r="Z15" s="46" t="s">
        <v>138</v>
      </c>
      <c r="AA15" s="93" t="s">
        <v>72</v>
      </c>
      <c r="AB15" s="94" t="s">
        <v>72</v>
      </c>
      <c r="AC15" s="11"/>
    </row>
    <row r="16" spans="2:29" x14ac:dyDescent="0.25">
      <c r="C16" s="81" t="s">
        <v>253</v>
      </c>
      <c r="D16" s="82" t="s">
        <v>260</v>
      </c>
      <c r="F16" s="81" t="s">
        <v>253</v>
      </c>
      <c r="G16" s="82" t="s">
        <v>231</v>
      </c>
      <c r="I16" s="7"/>
      <c r="J16" s="91" t="s">
        <v>31</v>
      </c>
      <c r="K16" s="97" t="s">
        <v>28</v>
      </c>
      <c r="L16" s="11"/>
      <c r="N16" s="7"/>
      <c r="O16" s="91" t="s">
        <v>31</v>
      </c>
      <c r="P16" s="97" t="s">
        <v>28</v>
      </c>
      <c r="Q16" s="11"/>
      <c r="S16" s="7"/>
      <c r="T16" s="46" t="s">
        <v>139</v>
      </c>
      <c r="U16" s="93" t="s">
        <v>134</v>
      </c>
      <c r="V16" s="94" t="s">
        <v>134</v>
      </c>
      <c r="W16" s="11"/>
      <c r="Y16" s="7"/>
      <c r="Z16" s="46" t="s">
        <v>139</v>
      </c>
      <c r="AA16" s="93" t="s">
        <v>134</v>
      </c>
      <c r="AB16" s="94" t="s">
        <v>134</v>
      </c>
      <c r="AC16" s="11"/>
    </row>
    <row r="17" spans="3:29" x14ac:dyDescent="0.25">
      <c r="C17" s="81" t="s">
        <v>252</v>
      </c>
      <c r="D17" s="82" t="s">
        <v>261</v>
      </c>
      <c r="F17" s="81" t="s">
        <v>252</v>
      </c>
      <c r="G17" s="82" t="s">
        <v>232</v>
      </c>
      <c r="I17" s="7"/>
      <c r="J17" s="168" t="s">
        <v>90</v>
      </c>
      <c r="K17" s="169" t="s">
        <v>219</v>
      </c>
      <c r="L17" s="11"/>
      <c r="N17" s="7"/>
      <c r="O17" s="249"/>
      <c r="P17" s="250"/>
      <c r="Q17" s="11"/>
      <c r="S17" s="7"/>
      <c r="T17" s="46" t="s">
        <v>142</v>
      </c>
      <c r="U17" s="93" t="s">
        <v>134</v>
      </c>
      <c r="V17" s="94" t="s">
        <v>134</v>
      </c>
      <c r="W17" s="11"/>
      <c r="Y17" s="7"/>
      <c r="Z17" s="46" t="s">
        <v>142</v>
      </c>
      <c r="AA17" s="93" t="s">
        <v>134</v>
      </c>
      <c r="AB17" s="94" t="s">
        <v>134</v>
      </c>
      <c r="AC17" s="11"/>
    </row>
    <row r="18" spans="3:29" x14ac:dyDescent="0.25">
      <c r="C18" s="81" t="s">
        <v>129</v>
      </c>
      <c r="D18" s="82" t="s">
        <v>130</v>
      </c>
      <c r="F18" s="81" t="s">
        <v>129</v>
      </c>
      <c r="G18" s="82" t="s">
        <v>233</v>
      </c>
      <c r="I18" s="7"/>
      <c r="J18" s="10"/>
      <c r="K18" s="10"/>
      <c r="L18" s="11"/>
      <c r="N18" s="7"/>
      <c r="O18" s="10"/>
      <c r="P18" s="10"/>
      <c r="Q18" s="11"/>
      <c r="S18" s="7"/>
      <c r="T18" s="46" t="s">
        <v>145</v>
      </c>
      <c r="U18" s="93" t="s">
        <v>44</v>
      </c>
      <c r="V18" s="94" t="s">
        <v>44</v>
      </c>
      <c r="W18" s="11"/>
      <c r="Y18" s="7"/>
      <c r="Z18" s="46" t="s">
        <v>145</v>
      </c>
      <c r="AA18" s="93" t="s">
        <v>44</v>
      </c>
      <c r="AB18" s="94" t="s">
        <v>44</v>
      </c>
      <c r="AC18" s="11"/>
    </row>
    <row r="19" spans="3:29" x14ac:dyDescent="0.25">
      <c r="C19" s="81" t="s">
        <v>132</v>
      </c>
      <c r="D19" s="82" t="s">
        <v>133</v>
      </c>
      <c r="F19" s="81" t="s">
        <v>132</v>
      </c>
      <c r="G19" s="82" t="s">
        <v>234</v>
      </c>
      <c r="I19" s="7"/>
      <c r="J19" s="8" t="s">
        <v>3</v>
      </c>
      <c r="K19" s="10"/>
      <c r="L19" s="11"/>
      <c r="N19" s="7"/>
      <c r="O19" s="8" t="s">
        <v>3</v>
      </c>
      <c r="P19" s="10"/>
      <c r="Q19" s="11"/>
      <c r="S19" s="7"/>
      <c r="T19" s="46" t="s">
        <v>147</v>
      </c>
      <c r="U19" s="93" t="s">
        <v>61</v>
      </c>
      <c r="V19" s="94" t="s">
        <v>61</v>
      </c>
      <c r="W19" s="11"/>
      <c r="Y19" s="7"/>
      <c r="Z19" s="46" t="s">
        <v>147</v>
      </c>
      <c r="AA19" s="93" t="s">
        <v>61</v>
      </c>
      <c r="AB19" s="94" t="s">
        <v>61</v>
      </c>
      <c r="AC19" s="11"/>
    </row>
    <row r="20" spans="3:29" x14ac:dyDescent="0.25">
      <c r="C20" s="81" t="s">
        <v>30</v>
      </c>
      <c r="D20" s="82" t="s">
        <v>137</v>
      </c>
      <c r="F20" s="81" t="s">
        <v>30</v>
      </c>
      <c r="G20" s="82" t="s">
        <v>235</v>
      </c>
      <c r="I20" s="7"/>
      <c r="J20" s="21" t="s">
        <v>37</v>
      </c>
      <c r="K20" s="98" t="s">
        <v>150</v>
      </c>
      <c r="L20" s="11"/>
      <c r="N20" s="7"/>
      <c r="O20" s="21" t="s">
        <v>37</v>
      </c>
      <c r="P20" s="98" t="s">
        <v>150</v>
      </c>
      <c r="Q20" s="11"/>
      <c r="S20" s="7"/>
      <c r="T20" s="46" t="s">
        <v>151</v>
      </c>
      <c r="U20" s="93" t="s">
        <v>150</v>
      </c>
      <c r="V20" s="94" t="s">
        <v>150</v>
      </c>
      <c r="W20" s="11"/>
      <c r="Y20" s="7"/>
      <c r="Z20" s="46" t="s">
        <v>151</v>
      </c>
      <c r="AA20" s="93" t="s">
        <v>150</v>
      </c>
      <c r="AB20" s="94" t="s">
        <v>150</v>
      </c>
      <c r="AC20" s="11"/>
    </row>
    <row r="21" spans="3:29" x14ac:dyDescent="0.25">
      <c r="C21" s="81" t="s">
        <v>140</v>
      </c>
      <c r="D21" s="82" t="s">
        <v>141</v>
      </c>
      <c r="F21" s="81" t="s">
        <v>140</v>
      </c>
      <c r="G21" s="82" t="s">
        <v>236</v>
      </c>
      <c r="I21" s="7"/>
      <c r="J21" s="29" t="s">
        <v>40</v>
      </c>
      <c r="K21" s="99" t="s">
        <v>41</v>
      </c>
      <c r="L21" s="11"/>
      <c r="N21" s="7"/>
      <c r="O21" s="29" t="s">
        <v>40</v>
      </c>
      <c r="P21" s="99" t="s">
        <v>41</v>
      </c>
      <c r="Q21" s="11"/>
      <c r="S21" s="7"/>
      <c r="T21" s="46" t="s">
        <v>153</v>
      </c>
      <c r="U21" s="93" t="s">
        <v>41</v>
      </c>
      <c r="V21" s="94" t="s">
        <v>41</v>
      </c>
      <c r="W21" s="11"/>
      <c r="Y21" s="7"/>
      <c r="Z21" s="46" t="s">
        <v>153</v>
      </c>
      <c r="AA21" s="93" t="s">
        <v>41</v>
      </c>
      <c r="AB21" s="94" t="s">
        <v>41</v>
      </c>
      <c r="AC21" s="11"/>
    </row>
    <row r="22" spans="3:29" x14ac:dyDescent="0.25">
      <c r="C22" s="81" t="s">
        <v>143</v>
      </c>
      <c r="D22" s="82" t="s">
        <v>144</v>
      </c>
      <c r="F22" s="81" t="s">
        <v>143</v>
      </c>
      <c r="G22" s="82" t="s">
        <v>237</v>
      </c>
      <c r="I22" s="7"/>
      <c r="J22" s="29" t="s">
        <v>43</v>
      </c>
      <c r="K22" s="99" t="s">
        <v>44</v>
      </c>
      <c r="L22" s="11"/>
      <c r="N22" s="7"/>
      <c r="O22" s="29" t="s">
        <v>43</v>
      </c>
      <c r="P22" s="99" t="s">
        <v>44</v>
      </c>
      <c r="Q22" s="11"/>
      <c r="S22" s="7"/>
      <c r="T22" s="46" t="s">
        <v>156</v>
      </c>
      <c r="U22" s="93" t="s">
        <v>157</v>
      </c>
      <c r="V22" s="94" t="s">
        <v>157</v>
      </c>
      <c r="W22" s="11"/>
      <c r="Y22" s="7"/>
      <c r="Z22" s="46" t="s">
        <v>156</v>
      </c>
      <c r="AA22" s="93" t="s">
        <v>157</v>
      </c>
      <c r="AB22" s="94" t="s">
        <v>157</v>
      </c>
      <c r="AC22" s="11"/>
    </row>
    <row r="23" spans="3:29" x14ac:dyDescent="0.25">
      <c r="C23" s="81" t="s">
        <v>35</v>
      </c>
      <c r="D23" s="82" t="s">
        <v>146</v>
      </c>
      <c r="F23" s="81" t="s">
        <v>35</v>
      </c>
      <c r="G23" s="82" t="s">
        <v>238</v>
      </c>
      <c r="I23" s="7"/>
      <c r="J23" s="29" t="s">
        <v>47</v>
      </c>
      <c r="K23" s="99" t="s">
        <v>48</v>
      </c>
      <c r="L23" s="11"/>
      <c r="N23" s="7"/>
      <c r="O23" s="29" t="s">
        <v>47</v>
      </c>
      <c r="P23" s="99" t="s">
        <v>48</v>
      </c>
      <c r="Q23" s="11"/>
      <c r="S23" s="7"/>
      <c r="T23" s="46" t="s">
        <v>160</v>
      </c>
      <c r="U23" s="93" t="s">
        <v>61</v>
      </c>
      <c r="V23" s="94" t="s">
        <v>61</v>
      </c>
      <c r="W23" s="11"/>
      <c r="Y23" s="7"/>
      <c r="Z23" s="46" t="s">
        <v>160</v>
      </c>
      <c r="AA23" s="93" t="s">
        <v>61</v>
      </c>
      <c r="AB23" s="94" t="s">
        <v>61</v>
      </c>
      <c r="AC23" s="11"/>
    </row>
    <row r="24" spans="3:29" x14ac:dyDescent="0.25">
      <c r="C24" s="81" t="s">
        <v>148</v>
      </c>
      <c r="D24" s="82" t="s">
        <v>149</v>
      </c>
      <c r="F24" s="81" t="s">
        <v>148</v>
      </c>
      <c r="G24" s="82" t="s">
        <v>239</v>
      </c>
      <c r="I24" s="7"/>
      <c r="J24" s="29" t="s">
        <v>51</v>
      </c>
      <c r="K24" s="99" t="s">
        <v>52</v>
      </c>
      <c r="L24" s="11"/>
      <c r="N24" s="7"/>
      <c r="O24" s="29" t="s">
        <v>51</v>
      </c>
      <c r="P24" s="99" t="s">
        <v>52</v>
      </c>
      <c r="Q24" s="11"/>
      <c r="S24" s="7"/>
      <c r="T24" s="46" t="s">
        <v>162</v>
      </c>
      <c r="U24" s="93" t="s">
        <v>150</v>
      </c>
      <c r="V24" s="94" t="s">
        <v>150</v>
      </c>
      <c r="W24" s="11"/>
      <c r="Y24" s="7"/>
      <c r="Z24" s="46" t="s">
        <v>162</v>
      </c>
      <c r="AA24" s="93" t="s">
        <v>150</v>
      </c>
      <c r="AB24" s="94" t="s">
        <v>150</v>
      </c>
      <c r="AC24" s="11"/>
    </row>
    <row r="25" spans="3:29" x14ac:dyDescent="0.25">
      <c r="C25" s="81" t="s">
        <v>36</v>
      </c>
      <c r="D25" s="82" t="s">
        <v>152</v>
      </c>
      <c r="F25" s="81" t="s">
        <v>36</v>
      </c>
      <c r="G25" s="82" t="s">
        <v>240</v>
      </c>
      <c r="I25" s="7"/>
      <c r="J25" s="29" t="s">
        <v>55</v>
      </c>
      <c r="K25" s="99" t="s">
        <v>56</v>
      </c>
      <c r="L25" s="11"/>
      <c r="N25" s="7"/>
      <c r="O25" s="29" t="s">
        <v>55</v>
      </c>
      <c r="P25" s="99" t="s">
        <v>56</v>
      </c>
      <c r="Q25" s="11"/>
      <c r="S25" s="7"/>
      <c r="T25" s="46" t="s">
        <v>165</v>
      </c>
      <c r="U25" s="93" t="s">
        <v>166</v>
      </c>
      <c r="V25" s="94" t="s">
        <v>166</v>
      </c>
      <c r="W25" s="11"/>
      <c r="Y25" s="7"/>
      <c r="Z25" s="46" t="s">
        <v>165</v>
      </c>
      <c r="AA25" s="93" t="s">
        <v>166</v>
      </c>
      <c r="AB25" s="94" t="s">
        <v>166</v>
      </c>
      <c r="AC25" s="11"/>
    </row>
    <row r="26" spans="3:29" x14ac:dyDescent="0.25">
      <c r="C26" s="81" t="s">
        <v>154</v>
      </c>
      <c r="D26" s="82" t="s">
        <v>155</v>
      </c>
      <c r="F26" s="81" t="s">
        <v>154</v>
      </c>
      <c r="G26" s="82" t="s">
        <v>241</v>
      </c>
      <c r="I26" s="7"/>
      <c r="J26" s="29" t="s">
        <v>60</v>
      </c>
      <c r="K26" s="99" t="s">
        <v>61</v>
      </c>
      <c r="L26" s="11"/>
      <c r="N26" s="7"/>
      <c r="O26" s="29" t="s">
        <v>60</v>
      </c>
      <c r="P26" s="99" t="s">
        <v>61</v>
      </c>
      <c r="Q26" s="11"/>
      <c r="S26" s="7"/>
      <c r="T26" s="46" t="s">
        <v>168</v>
      </c>
      <c r="U26" s="93" t="s">
        <v>157</v>
      </c>
      <c r="V26" s="94" t="s">
        <v>157</v>
      </c>
      <c r="W26" s="11"/>
      <c r="Y26" s="7"/>
      <c r="Z26" s="46" t="s">
        <v>168</v>
      </c>
      <c r="AA26" s="93" t="s">
        <v>157</v>
      </c>
      <c r="AB26" s="94" t="s">
        <v>157</v>
      </c>
      <c r="AC26" s="11"/>
    </row>
    <row r="27" spans="3:29" x14ac:dyDescent="0.25">
      <c r="C27" s="81" t="s">
        <v>158</v>
      </c>
      <c r="D27" s="82" t="s">
        <v>159</v>
      </c>
      <c r="F27" s="81" t="s">
        <v>158</v>
      </c>
      <c r="G27" s="82" t="s">
        <v>242</v>
      </c>
      <c r="I27" s="7"/>
      <c r="J27" s="29" t="s">
        <v>64</v>
      </c>
      <c r="K27" s="97" t="s">
        <v>65</v>
      </c>
      <c r="L27" s="11"/>
      <c r="N27" s="7"/>
      <c r="O27" s="29" t="s">
        <v>64</v>
      </c>
      <c r="P27" s="97" t="s">
        <v>65</v>
      </c>
      <c r="Q27" s="11"/>
      <c r="S27" s="7"/>
      <c r="T27" s="46" t="s">
        <v>170</v>
      </c>
      <c r="U27" s="93" t="s">
        <v>157</v>
      </c>
      <c r="V27" s="94" t="s">
        <v>157</v>
      </c>
      <c r="W27" s="11"/>
      <c r="Y27" s="7"/>
      <c r="Z27" s="46" t="s">
        <v>170</v>
      </c>
      <c r="AA27" s="93" t="s">
        <v>157</v>
      </c>
      <c r="AB27" s="94" t="s">
        <v>157</v>
      </c>
      <c r="AC27" s="11"/>
    </row>
    <row r="28" spans="3:29" x14ac:dyDescent="0.25">
      <c r="C28" s="81" t="s">
        <v>39</v>
      </c>
      <c r="D28" s="82" t="s">
        <v>161</v>
      </c>
      <c r="F28" s="81" t="s">
        <v>39</v>
      </c>
      <c r="G28" s="82" t="s">
        <v>243</v>
      </c>
      <c r="I28" s="7"/>
      <c r="J28" s="29" t="s">
        <v>67</v>
      </c>
      <c r="K28" s="100" t="s">
        <v>68</v>
      </c>
      <c r="L28" s="11"/>
      <c r="N28" s="7"/>
      <c r="O28" s="29" t="s">
        <v>67</v>
      </c>
      <c r="P28" s="100" t="s">
        <v>68</v>
      </c>
      <c r="Q28" s="11"/>
      <c r="S28" s="7"/>
      <c r="T28" s="46" t="s">
        <v>172</v>
      </c>
      <c r="U28" s="93" t="s">
        <v>173</v>
      </c>
      <c r="V28" s="94" t="s">
        <v>173</v>
      </c>
      <c r="W28" s="11"/>
      <c r="Y28" s="7"/>
      <c r="Z28" s="46" t="s">
        <v>172</v>
      </c>
      <c r="AA28" s="93" t="s">
        <v>173</v>
      </c>
      <c r="AB28" s="94" t="s">
        <v>173</v>
      </c>
      <c r="AC28" s="11"/>
    </row>
    <row r="29" spans="3:29" x14ac:dyDescent="0.25">
      <c r="C29" s="81" t="s">
        <v>163</v>
      </c>
      <c r="D29" s="82" t="s">
        <v>164</v>
      </c>
      <c r="F29" s="81" t="s">
        <v>163</v>
      </c>
      <c r="G29" s="82" t="s">
        <v>244</v>
      </c>
      <c r="I29" s="7"/>
      <c r="J29" s="29" t="s">
        <v>69</v>
      </c>
      <c r="K29" s="99" t="s">
        <v>70</v>
      </c>
      <c r="L29" s="11"/>
      <c r="N29" s="7"/>
      <c r="O29" s="29" t="s">
        <v>69</v>
      </c>
      <c r="P29" s="99" t="s">
        <v>70</v>
      </c>
      <c r="Q29" s="11"/>
      <c r="S29" s="7"/>
      <c r="T29" s="46" t="s">
        <v>175</v>
      </c>
      <c r="U29" s="93" t="s">
        <v>176</v>
      </c>
      <c r="V29" s="94" t="s">
        <v>176</v>
      </c>
      <c r="W29" s="11"/>
      <c r="Y29" s="7"/>
      <c r="Z29" s="46" t="s">
        <v>175</v>
      </c>
      <c r="AA29" s="93" t="s">
        <v>176</v>
      </c>
      <c r="AB29" s="94" t="s">
        <v>176</v>
      </c>
      <c r="AC29" s="11"/>
    </row>
    <row r="30" spans="3:29" x14ac:dyDescent="0.25">
      <c r="C30" s="81" t="s">
        <v>42</v>
      </c>
      <c r="D30" s="82" t="s">
        <v>167</v>
      </c>
      <c r="F30" s="81" t="s">
        <v>42</v>
      </c>
      <c r="G30" s="82" t="s">
        <v>245</v>
      </c>
      <c r="I30" s="7"/>
      <c r="J30" s="29" t="s">
        <v>178</v>
      </c>
      <c r="K30" s="99" t="s">
        <v>72</v>
      </c>
      <c r="L30" s="11"/>
      <c r="N30" s="7"/>
      <c r="O30" s="29" t="s">
        <v>178</v>
      </c>
      <c r="P30" s="99" t="s">
        <v>72</v>
      </c>
      <c r="Q30" s="11"/>
      <c r="S30" s="7"/>
      <c r="T30" s="46" t="s">
        <v>179</v>
      </c>
      <c r="U30" s="93" t="s">
        <v>157</v>
      </c>
      <c r="V30" s="94" t="s">
        <v>61</v>
      </c>
      <c r="W30" s="11"/>
      <c r="Y30" s="7"/>
      <c r="Z30" s="46" t="s">
        <v>179</v>
      </c>
      <c r="AA30" s="93" t="s">
        <v>157</v>
      </c>
      <c r="AB30" s="94" t="s">
        <v>61</v>
      </c>
      <c r="AC30" s="11"/>
    </row>
    <row r="31" spans="3:29" x14ac:dyDescent="0.25">
      <c r="C31" s="81" t="s">
        <v>46</v>
      </c>
      <c r="D31" s="82" t="s">
        <v>169</v>
      </c>
      <c r="F31" s="81" t="s">
        <v>46</v>
      </c>
      <c r="G31" s="82" t="s">
        <v>246</v>
      </c>
      <c r="I31" s="7"/>
      <c r="J31" s="91" t="s">
        <v>180</v>
      </c>
      <c r="K31" s="99" t="s">
        <v>181</v>
      </c>
      <c r="L31" s="11"/>
      <c r="N31" s="7"/>
      <c r="O31" s="91" t="s">
        <v>180</v>
      </c>
      <c r="P31" s="99" t="s">
        <v>181</v>
      </c>
      <c r="Q31" s="11"/>
      <c r="S31" s="7"/>
      <c r="T31" s="46" t="s">
        <v>182</v>
      </c>
      <c r="U31" s="93" t="s">
        <v>157</v>
      </c>
      <c r="V31" s="94" t="s">
        <v>150</v>
      </c>
      <c r="W31" s="11"/>
      <c r="Y31" s="7"/>
      <c r="Z31" s="46" t="s">
        <v>182</v>
      </c>
      <c r="AA31" s="93" t="s">
        <v>157</v>
      </c>
      <c r="AB31" s="94" t="s">
        <v>150</v>
      </c>
      <c r="AC31" s="11"/>
    </row>
    <row r="32" spans="3:29" x14ac:dyDescent="0.25">
      <c r="C32" s="81" t="s">
        <v>50</v>
      </c>
      <c r="D32" s="82" t="s">
        <v>171</v>
      </c>
      <c r="F32" s="81" t="s">
        <v>50</v>
      </c>
      <c r="G32" s="82" t="s">
        <v>247</v>
      </c>
      <c r="I32" s="7"/>
      <c r="J32" s="29" t="s">
        <v>71</v>
      </c>
      <c r="K32" s="99" t="s">
        <v>72</v>
      </c>
      <c r="L32" s="11"/>
      <c r="N32" s="7"/>
      <c r="O32" s="29" t="s">
        <v>71</v>
      </c>
      <c r="P32" s="99" t="s">
        <v>72</v>
      </c>
      <c r="Q32" s="11"/>
      <c r="S32" s="7"/>
      <c r="T32" s="46" t="s">
        <v>184</v>
      </c>
      <c r="U32" s="93" t="s">
        <v>157</v>
      </c>
      <c r="V32" s="94" t="s">
        <v>166</v>
      </c>
      <c r="W32" s="11"/>
      <c r="Y32" s="7"/>
      <c r="Z32" s="46" t="s">
        <v>184</v>
      </c>
      <c r="AA32" s="93" t="s">
        <v>157</v>
      </c>
      <c r="AB32" s="94" t="s">
        <v>166</v>
      </c>
      <c r="AC32" s="11"/>
    </row>
    <row r="33" spans="3:29" x14ac:dyDescent="0.25">
      <c r="C33" s="81" t="s">
        <v>54</v>
      </c>
      <c r="D33" s="82" t="s">
        <v>174</v>
      </c>
      <c r="F33" s="81" t="s">
        <v>54</v>
      </c>
      <c r="G33" s="82" t="s">
        <v>248</v>
      </c>
      <c r="I33" s="7"/>
      <c r="J33" s="29" t="s">
        <v>74</v>
      </c>
      <c r="K33" s="99" t="s">
        <v>186</v>
      </c>
      <c r="L33" s="11"/>
      <c r="N33" s="7"/>
      <c r="O33" s="29" t="s">
        <v>74</v>
      </c>
      <c r="P33" s="99" t="s">
        <v>186</v>
      </c>
      <c r="Q33" s="11"/>
      <c r="S33" s="7"/>
      <c r="T33" s="46" t="s">
        <v>187</v>
      </c>
      <c r="U33" s="93" t="s">
        <v>157</v>
      </c>
      <c r="V33" s="94" t="s">
        <v>157</v>
      </c>
      <c r="W33" s="11"/>
      <c r="Y33" s="7"/>
      <c r="Z33" s="46" t="s">
        <v>187</v>
      </c>
      <c r="AA33" s="93" t="s">
        <v>157</v>
      </c>
      <c r="AB33" s="94" t="s">
        <v>157</v>
      </c>
      <c r="AC33" s="11"/>
    </row>
    <row r="34" spans="3:29" x14ac:dyDescent="0.25">
      <c r="C34" s="81" t="s">
        <v>59</v>
      </c>
      <c r="D34" s="82" t="s">
        <v>177</v>
      </c>
      <c r="F34" s="81" t="s">
        <v>59</v>
      </c>
      <c r="G34" s="82" t="s">
        <v>249</v>
      </c>
      <c r="I34" s="7"/>
      <c r="J34" s="29" t="s">
        <v>75</v>
      </c>
      <c r="K34" s="99" t="s">
        <v>76</v>
      </c>
      <c r="L34" s="11"/>
      <c r="N34" s="7"/>
      <c r="O34" s="29" t="s">
        <v>75</v>
      </c>
      <c r="P34" s="99" t="s">
        <v>76</v>
      </c>
      <c r="Q34" s="11"/>
      <c r="S34" s="7"/>
      <c r="T34" s="46" t="s">
        <v>188</v>
      </c>
      <c r="U34" s="93" t="s">
        <v>157</v>
      </c>
      <c r="V34" s="94" t="s">
        <v>189</v>
      </c>
      <c r="W34" s="11"/>
      <c r="Y34" s="7"/>
      <c r="Z34" s="46" t="s">
        <v>188</v>
      </c>
      <c r="AA34" s="93" t="s">
        <v>157</v>
      </c>
      <c r="AB34" s="94" t="s">
        <v>189</v>
      </c>
      <c r="AC34" s="11"/>
    </row>
    <row r="35" spans="3:29" x14ac:dyDescent="0.25">
      <c r="C35" s="81" t="s">
        <v>63</v>
      </c>
      <c r="D35" s="82" t="s">
        <v>183</v>
      </c>
      <c r="F35" s="81" t="s">
        <v>63</v>
      </c>
      <c r="G35" s="82" t="s">
        <v>250</v>
      </c>
      <c r="I35" s="7"/>
      <c r="J35" s="29" t="s">
        <v>78</v>
      </c>
      <c r="K35" s="99" t="s">
        <v>136</v>
      </c>
      <c r="L35" s="11"/>
      <c r="N35" s="7"/>
      <c r="O35" s="29" t="s">
        <v>78</v>
      </c>
      <c r="P35" s="99" t="s">
        <v>136</v>
      </c>
      <c r="Q35" s="11"/>
      <c r="S35" s="7"/>
      <c r="T35" s="46" t="s">
        <v>190</v>
      </c>
      <c r="U35" s="93" t="s">
        <v>157</v>
      </c>
      <c r="V35" s="94" t="s">
        <v>189</v>
      </c>
      <c r="W35" s="11"/>
      <c r="Y35" s="7"/>
      <c r="Z35" s="46" t="s">
        <v>190</v>
      </c>
      <c r="AA35" s="93" t="s">
        <v>157</v>
      </c>
      <c r="AB35" s="94" t="s">
        <v>189</v>
      </c>
      <c r="AC35" s="11"/>
    </row>
    <row r="36" spans="3:29" x14ac:dyDescent="0.25">
      <c r="C36" s="81" t="s">
        <v>66</v>
      </c>
      <c r="D36" s="82" t="s">
        <v>185</v>
      </c>
      <c r="F36" s="81" t="s">
        <v>66</v>
      </c>
      <c r="G36" s="82" t="s">
        <v>251</v>
      </c>
      <c r="I36" s="7"/>
      <c r="J36" s="29" t="s">
        <v>81</v>
      </c>
      <c r="K36" s="99" t="s">
        <v>68</v>
      </c>
      <c r="L36" s="11"/>
      <c r="N36" s="7"/>
      <c r="O36" s="29" t="s">
        <v>81</v>
      </c>
      <c r="P36" s="99" t="s">
        <v>68</v>
      </c>
      <c r="Q36" s="11"/>
      <c r="S36" s="7"/>
      <c r="T36" s="46"/>
      <c r="U36" s="101"/>
      <c r="V36" s="102"/>
      <c r="W36" s="11"/>
      <c r="Y36" s="7"/>
      <c r="Z36" s="46"/>
      <c r="AA36" s="101"/>
      <c r="AB36" s="102"/>
      <c r="AC36" s="11"/>
    </row>
    <row r="37" spans="3:29" x14ac:dyDescent="0.25">
      <c r="I37" s="7"/>
      <c r="J37" s="37"/>
      <c r="K37" s="103"/>
      <c r="L37" s="11"/>
      <c r="N37" s="7"/>
      <c r="O37" s="37"/>
      <c r="P37" s="103"/>
      <c r="Q37" s="11"/>
      <c r="S37" s="7"/>
      <c r="T37" s="58"/>
      <c r="U37" s="104"/>
      <c r="V37" s="105"/>
      <c r="W37" s="11"/>
      <c r="Y37" s="7"/>
      <c r="Z37" s="58"/>
      <c r="AA37" s="104"/>
      <c r="AB37" s="105"/>
      <c r="AC37" s="11"/>
    </row>
    <row r="38" spans="3:29" x14ac:dyDescent="0.25">
      <c r="I38" s="65"/>
      <c r="J38" s="66"/>
      <c r="K38" s="66"/>
      <c r="L38" s="67"/>
      <c r="N38" s="65"/>
      <c r="O38" s="66"/>
      <c r="P38" s="66"/>
      <c r="Q38" s="67"/>
      <c r="S38" s="65"/>
      <c r="T38" s="66"/>
      <c r="U38" s="66"/>
      <c r="V38" s="66"/>
      <c r="W38" s="67"/>
      <c r="Y38" s="65"/>
      <c r="Z38" s="66"/>
      <c r="AA38" s="66"/>
      <c r="AB38" s="66"/>
      <c r="AC38" s="67"/>
    </row>
    <row r="46" spans="3:29" x14ac:dyDescent="0.25">
      <c r="D46" s="7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Q32"/>
  <sheetViews>
    <sheetView showGridLines="0" workbookViewId="0"/>
  </sheetViews>
  <sheetFormatPr defaultRowHeight="15" x14ac:dyDescent="0.25"/>
  <cols>
    <col min="2" max="2" width="25.140625" bestFit="1" customWidth="1"/>
    <col min="3" max="3" width="32.85546875" bestFit="1" customWidth="1"/>
    <col min="5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5" max="15" width="4.7109375" customWidth="1"/>
    <col min="16" max="16" width="15.7109375" customWidth="1"/>
    <col min="17" max="17" width="12.7109375" customWidth="1"/>
    <col min="18" max="18" width="4.7109375" customWidth="1"/>
  </cols>
  <sheetData>
    <row r="2" spans="2:17" x14ac:dyDescent="0.25">
      <c r="E2" s="1"/>
      <c r="F2" s="2"/>
      <c r="G2" s="3"/>
      <c r="H2" s="4"/>
      <c r="I2" s="4"/>
      <c r="J2" s="4"/>
      <c r="K2" s="4"/>
      <c r="L2" s="4"/>
      <c r="M2" s="4"/>
      <c r="N2" s="5"/>
    </row>
    <row r="3" spans="2:17" x14ac:dyDescent="0.25">
      <c r="B3" t="s">
        <v>0</v>
      </c>
      <c r="C3" s="6" t="str">
        <f ca="1">_xll.meLWOCurveGeneratorCreate("USD_SOFR",B5,B6:C13,B15,B16:C30)</f>
        <v>USD_SOFR@5:1</v>
      </c>
      <c r="E3" s="7"/>
      <c r="F3" s="8" t="s">
        <v>1</v>
      </c>
      <c r="G3" s="9"/>
      <c r="H3" s="10" t="s">
        <v>2</v>
      </c>
      <c r="I3" s="8" t="s">
        <v>3</v>
      </c>
      <c r="J3" s="10"/>
      <c r="K3" s="10"/>
      <c r="L3" s="10"/>
      <c r="M3" s="10"/>
      <c r="N3" s="11"/>
    </row>
    <row r="4" spans="2:17" x14ac:dyDescent="0.25">
      <c r="E4" s="7" t="s">
        <v>2</v>
      </c>
      <c r="F4" s="9"/>
      <c r="G4" s="9"/>
      <c r="H4" s="10" t="s">
        <v>2</v>
      </c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1"/>
    </row>
    <row r="5" spans="2:17" x14ac:dyDescent="0.25">
      <c r="B5" s="13" t="s">
        <v>9</v>
      </c>
      <c r="C5" s="14"/>
      <c r="E5" s="7"/>
      <c r="F5" s="15" t="s">
        <v>10</v>
      </c>
      <c r="G5" s="16" t="s">
        <v>11</v>
      </c>
      <c r="H5" s="10" t="s">
        <v>2</v>
      </c>
      <c r="I5" s="17" t="s">
        <v>12</v>
      </c>
      <c r="J5" s="18">
        <v>1.5699999999999999E-2</v>
      </c>
      <c r="K5" s="19"/>
      <c r="L5" s="19"/>
      <c r="M5" s="20"/>
      <c r="N5" s="11"/>
    </row>
    <row r="6" spans="2:17" x14ac:dyDescent="0.25">
      <c r="B6" s="21" t="s">
        <v>13</v>
      </c>
      <c r="C6" s="22" t="s">
        <v>14</v>
      </c>
      <c r="E6" s="7"/>
      <c r="F6" s="23" t="s">
        <v>13</v>
      </c>
      <c r="G6" s="24" t="s">
        <v>14</v>
      </c>
      <c r="H6" s="10" t="s">
        <v>2</v>
      </c>
      <c r="I6" s="25" t="s">
        <v>15</v>
      </c>
      <c r="J6" s="26">
        <v>1.55E-2</v>
      </c>
      <c r="K6" s="27"/>
      <c r="L6" s="27"/>
      <c r="M6" s="28"/>
      <c r="N6" s="11"/>
    </row>
    <row r="7" spans="2:17" x14ac:dyDescent="0.25">
      <c r="B7" s="29" t="s">
        <v>16</v>
      </c>
      <c r="C7" s="30" t="s">
        <v>17</v>
      </c>
      <c r="E7" s="7"/>
      <c r="F7" s="23" t="s">
        <v>16</v>
      </c>
      <c r="G7" s="24" t="s">
        <v>17</v>
      </c>
      <c r="H7" s="10" t="s">
        <v>2</v>
      </c>
      <c r="I7" s="25" t="s">
        <v>18</v>
      </c>
      <c r="J7" s="31">
        <v>98.45</v>
      </c>
      <c r="K7" s="27">
        <f ca="1">_xll.meDateIMMNext($G$8)</f>
        <v>43817</v>
      </c>
      <c r="L7" s="27">
        <f ca="1">_xll.meDateIMMNext(K7)</f>
        <v>43908</v>
      </c>
      <c r="M7" s="32">
        <v>0</v>
      </c>
      <c r="N7" s="33" t="s">
        <v>19</v>
      </c>
      <c r="Q7" s="31"/>
    </row>
    <row r="8" spans="2:17" x14ac:dyDescent="0.25">
      <c r="B8" s="29" t="s">
        <v>20</v>
      </c>
      <c r="C8" s="30" t="s">
        <v>14</v>
      </c>
      <c r="E8" s="7"/>
      <c r="F8" s="34" t="s">
        <v>22</v>
      </c>
      <c r="G8" s="35">
        <f>COB</f>
        <v>43798</v>
      </c>
      <c r="H8" s="10" t="s">
        <v>2</v>
      </c>
      <c r="I8" s="25" t="s">
        <v>23</v>
      </c>
      <c r="J8" s="31">
        <v>98.484639999999985</v>
      </c>
      <c r="K8" s="27">
        <f t="shared" ref="K8:K10" ca="1" si="0">L7</f>
        <v>43908</v>
      </c>
      <c r="L8" s="27">
        <f ca="1">_xll.meDateIMMNext(K8)</f>
        <v>43999</v>
      </c>
      <c r="M8" s="32">
        <v>0</v>
      </c>
      <c r="N8" s="33" t="s">
        <v>19</v>
      </c>
      <c r="Q8" s="31"/>
    </row>
    <row r="9" spans="2:17" x14ac:dyDescent="0.25">
      <c r="B9" s="29" t="s">
        <v>24</v>
      </c>
      <c r="C9" s="30" t="s">
        <v>21</v>
      </c>
      <c r="E9" s="7"/>
      <c r="F9" s="9"/>
      <c r="G9" s="9"/>
      <c r="H9" s="10" t="s">
        <v>2</v>
      </c>
      <c r="I9" s="25" t="s">
        <v>25</v>
      </c>
      <c r="J9" s="31">
        <v>98.519279999999995</v>
      </c>
      <c r="K9" s="27">
        <f t="shared" ca="1" si="0"/>
        <v>43999</v>
      </c>
      <c r="L9" s="27">
        <f ca="1">_xll.meDateIMMNext(K9)</f>
        <v>44090</v>
      </c>
      <c r="M9" s="32">
        <v>0</v>
      </c>
      <c r="N9" s="33" t="s">
        <v>19</v>
      </c>
      <c r="Q9" s="31"/>
    </row>
    <row r="10" spans="2:17" x14ac:dyDescent="0.25">
      <c r="B10" s="29" t="s">
        <v>10</v>
      </c>
      <c r="C10" s="30" t="s">
        <v>11</v>
      </c>
      <c r="E10" s="7"/>
      <c r="F10" s="10"/>
      <c r="G10" s="10"/>
      <c r="H10" s="10" t="s">
        <v>2</v>
      </c>
      <c r="I10" s="25" t="s">
        <v>26</v>
      </c>
      <c r="J10" s="31">
        <v>98.553920000000005</v>
      </c>
      <c r="K10" s="27">
        <f t="shared" ca="1" si="0"/>
        <v>44090</v>
      </c>
      <c r="L10" s="27">
        <f ca="1">_xll.meDateIMMNext(K10)</f>
        <v>44181</v>
      </c>
      <c r="M10" s="32">
        <v>0</v>
      </c>
      <c r="N10" s="33" t="s">
        <v>19</v>
      </c>
      <c r="Q10" s="31"/>
    </row>
    <row r="11" spans="2:17" x14ac:dyDescent="0.25">
      <c r="B11" s="29" t="s">
        <v>27</v>
      </c>
      <c r="C11" s="72" t="s">
        <v>94</v>
      </c>
      <c r="E11" s="7"/>
      <c r="F11" s="36" t="s">
        <v>29</v>
      </c>
      <c r="G11" s="9"/>
      <c r="H11" s="10" t="s">
        <v>2</v>
      </c>
      <c r="I11" s="25" t="s">
        <v>30</v>
      </c>
      <c r="J11" s="26">
        <v>1.4460799999999999E-2</v>
      </c>
      <c r="K11" s="27"/>
      <c r="L11" s="27"/>
      <c r="M11" s="28"/>
      <c r="N11" s="11"/>
    </row>
    <row r="12" spans="2:17" x14ac:dyDescent="0.25">
      <c r="B12" s="29" t="s">
        <v>31</v>
      </c>
      <c r="C12" s="72" t="s">
        <v>94</v>
      </c>
      <c r="E12" s="7"/>
      <c r="F12" s="38" t="s">
        <v>32</v>
      </c>
      <c r="G12" s="39" t="s">
        <v>33</v>
      </c>
      <c r="H12" s="10" t="s">
        <v>2</v>
      </c>
      <c r="I12" s="25" t="s">
        <v>35</v>
      </c>
      <c r="J12" s="26">
        <v>1.47765E-2</v>
      </c>
      <c r="K12" s="27"/>
      <c r="L12" s="27"/>
      <c r="M12" s="28"/>
      <c r="N12" s="11"/>
    </row>
    <row r="13" spans="2:17" x14ac:dyDescent="0.25">
      <c r="B13" s="37" t="s">
        <v>95</v>
      </c>
      <c r="C13" s="74">
        <f ca="1">L9</f>
        <v>44090</v>
      </c>
      <c r="E13" s="7"/>
      <c r="F13" s="41" t="s">
        <v>34</v>
      </c>
      <c r="G13" s="42" t="str">
        <f ca="1">_xll.meLWOCurveMarketDataCreate(G12,F3,F5:G8,I3,I5:M30)</f>
        <v>USD_OIS_CURVE_MARKETDATA@6:1</v>
      </c>
      <c r="H13" s="10" t="s">
        <v>2</v>
      </c>
      <c r="I13" s="25" t="s">
        <v>36</v>
      </c>
      <c r="J13" s="26">
        <v>1.5301800000000001E-2</v>
      </c>
      <c r="K13" s="27"/>
      <c r="L13" s="27"/>
      <c r="M13" s="28"/>
      <c r="N13" s="11"/>
    </row>
    <row r="14" spans="2:17" x14ac:dyDescent="0.25">
      <c r="C14" s="40"/>
      <c r="E14" s="7"/>
      <c r="F14" s="10"/>
      <c r="G14" s="10"/>
      <c r="H14" s="10" t="s">
        <v>2</v>
      </c>
      <c r="I14" s="25" t="s">
        <v>39</v>
      </c>
      <c r="J14" s="26">
        <v>1.6184500000000001E-2</v>
      </c>
      <c r="K14" s="27"/>
      <c r="L14" s="27"/>
      <c r="M14" s="28"/>
      <c r="N14" s="11"/>
    </row>
    <row r="15" spans="2:17" x14ac:dyDescent="0.25">
      <c r="B15" s="13" t="s">
        <v>3</v>
      </c>
      <c r="C15" s="43"/>
      <c r="E15" s="7"/>
      <c r="F15" s="10"/>
      <c r="G15" s="10"/>
      <c r="H15" s="10" t="s">
        <v>2</v>
      </c>
      <c r="I15" s="25" t="s">
        <v>42</v>
      </c>
      <c r="J15" s="26">
        <v>1.6668100000000002E-2</v>
      </c>
      <c r="K15" s="27"/>
      <c r="L15" s="27"/>
      <c r="M15" s="28"/>
      <c r="N15" s="11"/>
    </row>
    <row r="16" spans="2:17" x14ac:dyDescent="0.25">
      <c r="B16" s="44" t="s">
        <v>37</v>
      </c>
      <c r="C16" s="45" t="s">
        <v>38</v>
      </c>
      <c r="E16" s="7"/>
      <c r="F16" s="10"/>
      <c r="G16" s="10"/>
      <c r="H16" s="10" t="s">
        <v>2</v>
      </c>
      <c r="I16" s="25" t="s">
        <v>46</v>
      </c>
      <c r="J16" s="26">
        <v>1.7191000000000001E-2</v>
      </c>
      <c r="K16" s="27"/>
      <c r="L16" s="27"/>
      <c r="M16" s="28"/>
      <c r="N16" s="11"/>
    </row>
    <row r="17" spans="2:14" x14ac:dyDescent="0.25">
      <c r="B17" s="46" t="s">
        <v>40</v>
      </c>
      <c r="C17" s="47" t="s">
        <v>41</v>
      </c>
      <c r="E17" s="7"/>
      <c r="F17" s="10"/>
      <c r="G17" s="10"/>
      <c r="H17" s="10" t="s">
        <v>2</v>
      </c>
      <c r="I17" s="25" t="s">
        <v>50</v>
      </c>
      <c r="J17" s="26">
        <v>1.77368E-2</v>
      </c>
      <c r="K17" s="27"/>
      <c r="L17" s="27"/>
      <c r="M17" s="28"/>
      <c r="N17" s="33"/>
    </row>
    <row r="18" spans="2:14" x14ac:dyDescent="0.25">
      <c r="B18" s="46" t="s">
        <v>43</v>
      </c>
      <c r="C18" s="47" t="s">
        <v>44</v>
      </c>
      <c r="E18" s="7"/>
      <c r="F18" s="36" t="s">
        <v>45</v>
      </c>
      <c r="G18" s="9"/>
      <c r="H18" s="10" t="s">
        <v>2</v>
      </c>
      <c r="I18" s="25" t="s">
        <v>54</v>
      </c>
      <c r="J18" s="26">
        <v>1.7927999999999999E-2</v>
      </c>
      <c r="K18" s="27"/>
      <c r="L18" s="27"/>
      <c r="M18" s="28"/>
      <c r="N18" s="33"/>
    </row>
    <row r="19" spans="2:14" x14ac:dyDescent="0.25">
      <c r="B19" s="46" t="s">
        <v>47</v>
      </c>
      <c r="C19" s="47" t="s">
        <v>48</v>
      </c>
      <c r="E19" s="7"/>
      <c r="F19" s="48" t="s">
        <v>32</v>
      </c>
      <c r="G19" s="49" t="s">
        <v>49</v>
      </c>
      <c r="H19" s="10" t="s">
        <v>2</v>
      </c>
      <c r="I19" s="25" t="s">
        <v>59</v>
      </c>
      <c r="J19" s="26">
        <v>1.7939799999999999E-2</v>
      </c>
      <c r="K19" s="27"/>
      <c r="L19" s="27"/>
      <c r="M19" s="28"/>
      <c r="N19" s="11"/>
    </row>
    <row r="20" spans="2:14" x14ac:dyDescent="0.25">
      <c r="B20" s="46" t="s">
        <v>51</v>
      </c>
      <c r="C20" s="47" t="s">
        <v>52</v>
      </c>
      <c r="E20" s="7"/>
      <c r="F20" s="50" t="s">
        <v>53</v>
      </c>
      <c r="G20" s="51" t="str">
        <f ca="1">C3</f>
        <v>USD_SOFR@5:1</v>
      </c>
      <c r="H20" s="10" t="s">
        <v>2</v>
      </c>
      <c r="I20" s="25" t="s">
        <v>63</v>
      </c>
      <c r="J20" s="26">
        <v>1.7733800000000001E-2</v>
      </c>
      <c r="K20" s="27"/>
      <c r="L20" s="27"/>
      <c r="M20" s="28"/>
      <c r="N20" s="11"/>
    </row>
    <row r="21" spans="2:14" x14ac:dyDescent="0.25">
      <c r="B21" s="46" t="s">
        <v>55</v>
      </c>
      <c r="C21" s="47" t="s">
        <v>56</v>
      </c>
      <c r="E21" s="7"/>
      <c r="F21" s="50" t="s">
        <v>57</v>
      </c>
      <c r="G21" s="51" t="s">
        <v>58</v>
      </c>
      <c r="H21" s="10" t="s">
        <v>2</v>
      </c>
      <c r="I21" s="25" t="s">
        <v>66</v>
      </c>
      <c r="J21" s="26">
        <v>1.73572E-2</v>
      </c>
      <c r="K21" s="27"/>
      <c r="L21" s="27"/>
      <c r="M21" s="28"/>
      <c r="N21" s="11"/>
    </row>
    <row r="22" spans="2:14" x14ac:dyDescent="0.25">
      <c r="B22" s="46" t="s">
        <v>60</v>
      </c>
      <c r="C22" s="47" t="s">
        <v>61</v>
      </c>
      <c r="E22" s="7"/>
      <c r="F22" s="52" t="s">
        <v>62</v>
      </c>
      <c r="G22" s="53"/>
      <c r="H22" s="10" t="s">
        <v>2</v>
      </c>
      <c r="N22" s="11"/>
    </row>
    <row r="23" spans="2:14" x14ac:dyDescent="0.25">
      <c r="B23" s="46" t="s">
        <v>64</v>
      </c>
      <c r="C23" s="47" t="s">
        <v>65</v>
      </c>
      <c r="E23" s="7"/>
      <c r="F23" s="10"/>
      <c r="G23" s="10"/>
      <c r="H23" s="10" t="s">
        <v>2</v>
      </c>
      <c r="I23" s="25"/>
      <c r="K23" s="27"/>
      <c r="L23" s="27"/>
      <c r="M23" s="28"/>
      <c r="N23" s="11"/>
    </row>
    <row r="24" spans="2:14" x14ac:dyDescent="0.25">
      <c r="B24" s="46" t="s">
        <v>67</v>
      </c>
      <c r="C24" s="47" t="s">
        <v>68</v>
      </c>
      <c r="E24" s="7"/>
      <c r="F24" s="10"/>
      <c r="G24" s="10"/>
      <c r="H24" s="10" t="s">
        <v>2</v>
      </c>
      <c r="I24" s="25"/>
      <c r="J24" s="26"/>
      <c r="K24" s="27"/>
      <c r="L24" s="27"/>
      <c r="M24" s="28"/>
      <c r="N24" s="11"/>
    </row>
    <row r="25" spans="2:14" x14ac:dyDescent="0.25">
      <c r="B25" s="46" t="s">
        <v>69</v>
      </c>
      <c r="C25" s="47" t="s">
        <v>70</v>
      </c>
      <c r="E25" s="7"/>
      <c r="F25" s="10"/>
      <c r="G25" s="10"/>
      <c r="H25" s="10" t="s">
        <v>2</v>
      </c>
      <c r="I25" s="25"/>
      <c r="J25" s="26"/>
      <c r="K25" s="27"/>
      <c r="L25" s="27"/>
      <c r="M25" s="28"/>
      <c r="N25" s="11"/>
    </row>
    <row r="26" spans="2:14" x14ac:dyDescent="0.25">
      <c r="B26" s="46" t="s">
        <v>71</v>
      </c>
      <c r="C26" s="47" t="s">
        <v>72</v>
      </c>
      <c r="E26" s="7"/>
      <c r="F26" s="36" t="s">
        <v>73</v>
      </c>
      <c r="G26" s="10"/>
      <c r="H26" s="10" t="s">
        <v>2</v>
      </c>
      <c r="I26" s="25"/>
      <c r="J26" s="26"/>
      <c r="K26" s="27"/>
      <c r="L26" s="27"/>
      <c r="M26" s="28"/>
      <c r="N26" s="11"/>
    </row>
    <row r="27" spans="2:14" x14ac:dyDescent="0.25">
      <c r="B27" s="46" t="s">
        <v>74</v>
      </c>
      <c r="C27" s="54">
        <v>1E-10</v>
      </c>
      <c r="E27" s="7"/>
      <c r="F27" s="44" t="s">
        <v>32</v>
      </c>
      <c r="G27" s="55" t="str">
        <f t="array" aca="1" ref="G27:G30" ca="1">_xll.meLWOCurveCalibrate(G19,G20,G13,G21,G22)</f>
        <v>CURVE_USDSOFR@7:1</v>
      </c>
      <c r="H27" s="10" t="s">
        <v>2</v>
      </c>
      <c r="I27" s="25"/>
      <c r="J27" s="26"/>
      <c r="K27" s="27"/>
      <c r="L27" s="27"/>
      <c r="M27" s="28"/>
      <c r="N27" s="11"/>
    </row>
    <row r="28" spans="2:14" x14ac:dyDescent="0.25">
      <c r="B28" s="46" t="s">
        <v>75</v>
      </c>
      <c r="C28" s="47" t="s">
        <v>76</v>
      </c>
      <c r="E28" s="7"/>
      <c r="F28" s="46" t="s">
        <v>77</v>
      </c>
      <c r="G28" s="47" t="str">
        <f ca="1"/>
        <v>USDYC</v>
      </c>
      <c r="H28" s="10" t="s">
        <v>2</v>
      </c>
      <c r="I28" s="25"/>
      <c r="J28" s="26"/>
      <c r="K28" s="27"/>
      <c r="L28" s="27"/>
      <c r="M28" s="28"/>
      <c r="N28" s="11"/>
    </row>
    <row r="29" spans="2:14" x14ac:dyDescent="0.25">
      <c r="B29" s="46" t="s">
        <v>78</v>
      </c>
      <c r="C29" s="47" t="s">
        <v>79</v>
      </c>
      <c r="E29" s="7"/>
      <c r="F29" s="46" t="s">
        <v>80</v>
      </c>
      <c r="G29" s="47" t="str">
        <f ca="1"/>
        <v>ARR:SOFR</v>
      </c>
      <c r="H29" s="10" t="s">
        <v>2</v>
      </c>
      <c r="I29" s="25"/>
      <c r="J29" s="26"/>
      <c r="K29" s="27"/>
      <c r="L29" s="27"/>
      <c r="M29" s="57"/>
      <c r="N29" s="11"/>
    </row>
    <row r="30" spans="2:14" x14ac:dyDescent="0.25">
      <c r="B30" s="58" t="s">
        <v>81</v>
      </c>
      <c r="C30" s="56" t="s">
        <v>82</v>
      </c>
      <c r="E30" s="7"/>
      <c r="F30" s="58" t="s">
        <v>83</v>
      </c>
      <c r="G30" s="56" t="str">
        <f ca="1"/>
        <v>1.08200 sec</v>
      </c>
      <c r="H30" s="10" t="s">
        <v>2</v>
      </c>
      <c r="I30" s="59"/>
      <c r="J30" s="60"/>
      <c r="K30" s="61"/>
      <c r="L30" s="61"/>
      <c r="M30" s="62"/>
      <c r="N30" s="11"/>
    </row>
    <row r="31" spans="2:14" x14ac:dyDescent="0.25">
      <c r="E31" s="7"/>
      <c r="F31" s="63" t="s">
        <v>84</v>
      </c>
      <c r="G31" s="64" t="b">
        <f ca="1">_xll.meLWOExists(G27,"CURVE")</f>
        <v>1</v>
      </c>
      <c r="H31" s="10"/>
      <c r="I31" s="10"/>
      <c r="J31" s="10"/>
      <c r="K31" s="10"/>
      <c r="L31" s="10"/>
      <c r="M31" s="10"/>
      <c r="N31" s="11"/>
    </row>
    <row r="32" spans="2:14" x14ac:dyDescent="0.25">
      <c r="E32" s="65"/>
      <c r="F32" s="66"/>
      <c r="G32" s="66"/>
      <c r="H32" s="66"/>
      <c r="I32" s="66"/>
      <c r="J32" s="66"/>
      <c r="K32" s="66"/>
      <c r="L32" s="66"/>
      <c r="M32" s="66"/>
      <c r="N32" s="6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Q32"/>
  <sheetViews>
    <sheetView showGridLines="0" workbookViewId="0"/>
  </sheetViews>
  <sheetFormatPr defaultRowHeight="15" x14ac:dyDescent="0.25"/>
  <cols>
    <col min="2" max="2" width="25.140625" bestFit="1" customWidth="1"/>
    <col min="3" max="3" width="36" customWidth="1"/>
    <col min="5" max="5" width="4.7109375" customWidth="1"/>
    <col min="6" max="6" width="21.42578125" bestFit="1" customWidth="1"/>
    <col min="7" max="7" width="41.85546875" bestFit="1" customWidth="1"/>
    <col min="8" max="8" width="4.7109375" customWidth="1"/>
    <col min="9" max="9" width="10.7109375" customWidth="1"/>
    <col min="10" max="10" width="12.140625" bestFit="1" customWidth="1"/>
    <col min="11" max="13" width="10.7109375" customWidth="1"/>
    <col min="15" max="15" width="4.7109375" customWidth="1"/>
    <col min="16" max="16" width="15.7109375" customWidth="1"/>
    <col min="17" max="17" width="12.7109375" customWidth="1"/>
    <col min="18" max="18" width="4.7109375" customWidth="1"/>
  </cols>
  <sheetData>
    <row r="2" spans="2:17" x14ac:dyDescent="0.25">
      <c r="E2" s="1"/>
      <c r="F2" s="2"/>
      <c r="G2" s="3"/>
      <c r="H2" s="4"/>
      <c r="I2" s="4"/>
      <c r="J2" s="4"/>
      <c r="K2" s="4"/>
      <c r="L2" s="4"/>
      <c r="M2" s="4"/>
      <c r="N2" s="5"/>
    </row>
    <row r="3" spans="2:17" x14ac:dyDescent="0.25">
      <c r="B3" t="s">
        <v>0</v>
      </c>
      <c r="C3" s="6" t="str">
        <f ca="1">_xll.meLWOCurveGeneratorCreate("USD_FEDFUNDS_WITH_RFR_DF",B5,B6:C13,B15,B16:C30)</f>
        <v>USD_FEDFUNDS_WITH_RFR_DF@8:1</v>
      </c>
      <c r="D3" t="s">
        <v>2</v>
      </c>
      <c r="E3" s="7" t="s">
        <v>2</v>
      </c>
      <c r="F3" s="8" t="s">
        <v>1</v>
      </c>
      <c r="G3" s="9"/>
      <c r="H3" s="10" t="s">
        <v>2</v>
      </c>
      <c r="I3" s="8" t="s">
        <v>3</v>
      </c>
      <c r="J3" s="10"/>
      <c r="K3" s="10"/>
      <c r="L3" s="10"/>
      <c r="M3" s="10"/>
      <c r="N3" s="11"/>
    </row>
    <row r="4" spans="2:17" x14ac:dyDescent="0.25">
      <c r="E4" s="7" t="s">
        <v>2</v>
      </c>
      <c r="F4" s="9"/>
      <c r="G4" s="9"/>
      <c r="H4" s="10" t="s">
        <v>2</v>
      </c>
      <c r="I4" s="12" t="s">
        <v>4</v>
      </c>
      <c r="J4" s="12" t="s">
        <v>5</v>
      </c>
      <c r="K4" s="12" t="s">
        <v>6</v>
      </c>
      <c r="L4" s="12" t="s">
        <v>7</v>
      </c>
      <c r="M4" s="12" t="s">
        <v>8</v>
      </c>
      <c r="N4" s="11"/>
    </row>
    <row r="5" spans="2:17" x14ac:dyDescent="0.25">
      <c r="B5" s="13" t="s">
        <v>9</v>
      </c>
      <c r="C5" s="14"/>
      <c r="E5" s="7"/>
      <c r="F5" s="15" t="s">
        <v>10</v>
      </c>
      <c r="G5" s="16" t="s">
        <v>11</v>
      </c>
      <c r="H5" s="10" t="s">
        <v>2</v>
      </c>
      <c r="I5" s="17" t="s">
        <v>12</v>
      </c>
      <c r="J5" s="18">
        <v>1.55E-2</v>
      </c>
      <c r="K5" s="19"/>
      <c r="L5" s="19"/>
      <c r="M5" s="20"/>
      <c r="N5" s="11"/>
    </row>
    <row r="6" spans="2:17" x14ac:dyDescent="0.25">
      <c r="B6" s="21" t="s">
        <v>13</v>
      </c>
      <c r="C6" s="22" t="s">
        <v>3</v>
      </c>
      <c r="E6" s="7"/>
      <c r="F6" s="23" t="s">
        <v>13</v>
      </c>
      <c r="G6" s="24" t="s">
        <v>3</v>
      </c>
      <c r="H6" s="10" t="s">
        <v>2</v>
      </c>
      <c r="I6" s="25" t="s">
        <v>15</v>
      </c>
      <c r="J6" s="26">
        <v>1.5654600000000001E-2</v>
      </c>
      <c r="K6" s="27"/>
      <c r="L6" s="27"/>
      <c r="M6" s="28"/>
      <c r="N6" s="11"/>
    </row>
    <row r="7" spans="2:17" x14ac:dyDescent="0.25">
      <c r="B7" s="29" t="s">
        <v>16</v>
      </c>
      <c r="C7" s="30" t="s">
        <v>17</v>
      </c>
      <c r="E7" s="7"/>
      <c r="F7" s="23" t="s">
        <v>16</v>
      </c>
      <c r="G7" s="24" t="s">
        <v>17</v>
      </c>
      <c r="H7" s="10" t="s">
        <v>2</v>
      </c>
      <c r="I7" s="25" t="s">
        <v>85</v>
      </c>
      <c r="J7" s="26">
        <v>1.52E-2</v>
      </c>
      <c r="K7" s="27">
        <f ca="1">USD_SOFR_CURVE!K7</f>
        <v>43817</v>
      </c>
      <c r="L7" s="27">
        <f ca="1">USD_SOFR_CURVE!L7</f>
        <v>43908</v>
      </c>
      <c r="M7" s="32"/>
      <c r="N7" s="33" t="s">
        <v>86</v>
      </c>
    </row>
    <row r="8" spans="2:17" x14ac:dyDescent="0.25">
      <c r="B8" s="29" t="s">
        <v>20</v>
      </c>
      <c r="C8" s="30" t="s">
        <v>3</v>
      </c>
      <c r="E8" s="7"/>
      <c r="F8" s="34" t="s">
        <v>22</v>
      </c>
      <c r="G8" s="35">
        <f>COB</f>
        <v>43798</v>
      </c>
      <c r="H8" s="10" t="s">
        <v>2</v>
      </c>
      <c r="I8" s="25" t="s">
        <v>87</v>
      </c>
      <c r="J8" s="26">
        <v>1.4800000000000001E-2</v>
      </c>
      <c r="K8" s="27">
        <f ca="1">USD_SOFR_CURVE!K8</f>
        <v>43908</v>
      </c>
      <c r="L8" s="27">
        <f ca="1">USD_SOFR_CURVE!L8</f>
        <v>43999</v>
      </c>
      <c r="M8" s="32"/>
      <c r="N8" s="33" t="s">
        <v>86</v>
      </c>
      <c r="Q8" s="73"/>
    </row>
    <row r="9" spans="2:17" x14ac:dyDescent="0.25">
      <c r="B9" s="29" t="s">
        <v>24</v>
      </c>
      <c r="C9" s="30" t="s">
        <v>363</v>
      </c>
      <c r="E9" s="7"/>
      <c r="F9" s="9"/>
      <c r="G9" s="9"/>
      <c r="H9" s="10" t="s">
        <v>2</v>
      </c>
      <c r="I9" s="25" t="s">
        <v>88</v>
      </c>
      <c r="J9" s="26">
        <v>1.4500000000000001E-2</v>
      </c>
      <c r="K9" s="27">
        <f ca="1">USD_SOFR_CURVE!K9</f>
        <v>43999</v>
      </c>
      <c r="L9" s="27">
        <f ca="1">USD_SOFR_CURVE!L9</f>
        <v>44090</v>
      </c>
      <c r="M9" s="32"/>
      <c r="N9" s="33" t="s">
        <v>86</v>
      </c>
      <c r="Q9" s="73"/>
    </row>
    <row r="10" spans="2:17" x14ac:dyDescent="0.25">
      <c r="B10" s="29" t="s">
        <v>10</v>
      </c>
      <c r="C10" s="30" t="s">
        <v>11</v>
      </c>
      <c r="E10" s="7"/>
      <c r="F10" s="10"/>
      <c r="G10" s="10"/>
      <c r="H10" s="10" t="s">
        <v>2</v>
      </c>
      <c r="I10" s="25" t="s">
        <v>89</v>
      </c>
      <c r="J10" s="26">
        <v>1.435E-2</v>
      </c>
      <c r="K10" s="27">
        <f ca="1">USD_SOFR_CURVE!K10</f>
        <v>44090</v>
      </c>
      <c r="L10" s="27">
        <f ca="1">USD_SOFR_CURVE!L10</f>
        <v>44181</v>
      </c>
      <c r="M10" s="32"/>
      <c r="N10" s="33" t="s">
        <v>86</v>
      </c>
      <c r="Q10" s="73"/>
    </row>
    <row r="11" spans="2:17" x14ac:dyDescent="0.25">
      <c r="B11" s="29" t="s">
        <v>27</v>
      </c>
      <c r="C11" s="30" t="s">
        <v>28</v>
      </c>
      <c r="E11" s="7"/>
      <c r="F11" s="36" t="s">
        <v>29</v>
      </c>
      <c r="G11" s="9"/>
      <c r="H11" s="10" t="s">
        <v>2</v>
      </c>
      <c r="I11" s="25" t="s">
        <v>30</v>
      </c>
      <c r="J11" s="26">
        <v>1.4330000000000001E-2</v>
      </c>
      <c r="K11" s="27"/>
      <c r="L11" s="27"/>
      <c r="M11" s="28"/>
      <c r="N11" s="11"/>
    </row>
    <row r="12" spans="2:17" x14ac:dyDescent="0.25">
      <c r="B12" s="29" t="s">
        <v>31</v>
      </c>
      <c r="C12" s="30" t="s">
        <v>28</v>
      </c>
      <c r="E12" s="7"/>
      <c r="F12" s="38" t="s">
        <v>32</v>
      </c>
      <c r="G12" s="39" t="s">
        <v>33</v>
      </c>
      <c r="H12" s="10" t="s">
        <v>2</v>
      </c>
      <c r="I12" s="25" t="s">
        <v>35</v>
      </c>
      <c r="J12" s="26">
        <v>1.4534399999999999E-2</v>
      </c>
      <c r="K12" s="27"/>
      <c r="L12" s="27"/>
      <c r="M12" s="28"/>
      <c r="N12" s="11"/>
    </row>
    <row r="13" spans="2:17" x14ac:dyDescent="0.25">
      <c r="B13" s="37" t="s">
        <v>90</v>
      </c>
      <c r="C13" s="68" t="s">
        <v>21</v>
      </c>
      <c r="E13" s="7"/>
      <c r="F13" s="41" t="s">
        <v>34</v>
      </c>
      <c r="G13" s="42" t="str">
        <f ca="1">_xll.meLWOCurveMarketDataCreate(G12,F3,F5:G8,I3,I5:M30)</f>
        <v>USD_OIS_CURVE_MARKETDATA@9:1</v>
      </c>
      <c r="H13" s="10" t="s">
        <v>2</v>
      </c>
      <c r="I13" s="25" t="s">
        <v>36</v>
      </c>
      <c r="J13" s="26">
        <v>1.5085100000000001E-2</v>
      </c>
      <c r="K13" s="27"/>
      <c r="L13" s="27"/>
      <c r="M13" s="28"/>
      <c r="N13" s="11"/>
    </row>
    <row r="14" spans="2:17" x14ac:dyDescent="0.25">
      <c r="C14" s="40"/>
      <c r="E14" s="7"/>
      <c r="F14" s="10"/>
      <c r="G14" s="10"/>
      <c r="H14" s="10" t="s">
        <v>2</v>
      </c>
      <c r="I14" s="25" t="s">
        <v>39</v>
      </c>
      <c r="J14" s="26">
        <v>1.5984399999999999E-2</v>
      </c>
      <c r="K14" s="27"/>
      <c r="L14" s="27"/>
      <c r="M14" s="28"/>
      <c r="N14" s="11"/>
    </row>
    <row r="15" spans="2:17" x14ac:dyDescent="0.25">
      <c r="B15" s="13" t="s">
        <v>3</v>
      </c>
      <c r="C15" s="43"/>
      <c r="E15" s="7"/>
      <c r="F15" s="10"/>
      <c r="G15" s="10"/>
      <c r="H15" s="10" t="s">
        <v>2</v>
      </c>
      <c r="I15" s="25" t="s">
        <v>42</v>
      </c>
      <c r="J15" s="26">
        <v>1.6479299999999999E-2</v>
      </c>
      <c r="K15" s="27"/>
      <c r="L15" s="27"/>
      <c r="M15" s="28"/>
      <c r="N15" s="11"/>
    </row>
    <row r="16" spans="2:17" x14ac:dyDescent="0.25">
      <c r="B16" s="44" t="s">
        <v>37</v>
      </c>
      <c r="C16" s="45" t="s">
        <v>38</v>
      </c>
      <c r="E16" s="7"/>
      <c r="F16" s="10"/>
      <c r="G16" s="10"/>
      <c r="H16" s="10" t="s">
        <v>2</v>
      </c>
      <c r="I16" s="25" t="s">
        <v>46</v>
      </c>
      <c r="J16" s="26">
        <v>1.7012300000000001E-2</v>
      </c>
      <c r="K16" s="27"/>
      <c r="L16" s="27"/>
      <c r="M16" s="28"/>
      <c r="N16" s="11"/>
    </row>
    <row r="17" spans="2:14" x14ac:dyDescent="0.25">
      <c r="B17" s="46" t="s">
        <v>40</v>
      </c>
      <c r="C17" s="47" t="s">
        <v>41</v>
      </c>
      <c r="E17" s="7"/>
      <c r="F17" s="10"/>
      <c r="G17" s="10"/>
      <c r="H17" s="10" t="s">
        <v>2</v>
      </c>
      <c r="I17" s="25" t="s">
        <v>50</v>
      </c>
      <c r="J17" s="26">
        <v>1.75687E-2</v>
      </c>
      <c r="K17" s="27"/>
      <c r="L17" s="27"/>
      <c r="M17" s="28"/>
      <c r="N17" s="33"/>
    </row>
    <row r="18" spans="2:14" x14ac:dyDescent="0.25">
      <c r="B18" s="46" t="s">
        <v>43</v>
      </c>
      <c r="C18" s="47" t="s">
        <v>44</v>
      </c>
      <c r="E18" s="7"/>
      <c r="F18" s="36" t="s">
        <v>45</v>
      </c>
      <c r="G18" s="9"/>
      <c r="H18" s="10" t="s">
        <v>2</v>
      </c>
      <c r="I18" s="25" t="s">
        <v>54</v>
      </c>
      <c r="J18" s="26">
        <v>1.3831423343814556E-2</v>
      </c>
      <c r="K18" s="27"/>
      <c r="L18" s="27"/>
      <c r="M18" s="28"/>
      <c r="N18" s="33"/>
    </row>
    <row r="19" spans="2:14" x14ac:dyDescent="0.25">
      <c r="B19" s="46" t="s">
        <v>47</v>
      </c>
      <c r="C19" s="47" t="s">
        <v>48</v>
      </c>
      <c r="E19" s="7"/>
      <c r="F19" s="48" t="s">
        <v>32</v>
      </c>
      <c r="G19" s="49" t="s">
        <v>91</v>
      </c>
      <c r="H19" s="10" t="s">
        <v>2</v>
      </c>
      <c r="I19" s="25" t="s">
        <v>59</v>
      </c>
      <c r="J19" s="26">
        <v>1.7790199999999999E-2</v>
      </c>
      <c r="K19" s="27"/>
      <c r="L19" s="27"/>
      <c r="M19" s="28"/>
      <c r="N19" s="11"/>
    </row>
    <row r="20" spans="2:14" x14ac:dyDescent="0.25">
      <c r="B20" s="46" t="s">
        <v>51</v>
      </c>
      <c r="C20" s="47" t="s">
        <v>52</v>
      </c>
      <c r="E20" s="7"/>
      <c r="F20" s="50" t="s">
        <v>53</v>
      </c>
      <c r="G20" s="51" t="str">
        <f ca="1">C3</f>
        <v>USD_FEDFUNDS_WITH_RFR_DF@8:1</v>
      </c>
      <c r="H20" s="10" t="s">
        <v>2</v>
      </c>
      <c r="I20" s="25" t="s">
        <v>63</v>
      </c>
      <c r="J20" s="26">
        <v>1.7577760000000001E-2</v>
      </c>
      <c r="K20" s="27"/>
      <c r="L20" s="27"/>
      <c r="M20" s="28"/>
      <c r="N20" s="11"/>
    </row>
    <row r="21" spans="2:14" x14ac:dyDescent="0.25">
      <c r="B21" s="46" t="s">
        <v>55</v>
      </c>
      <c r="C21" s="47" t="s">
        <v>56</v>
      </c>
      <c r="E21" s="7"/>
      <c r="F21" s="50" t="s">
        <v>57</v>
      </c>
      <c r="G21" s="51" t="s">
        <v>58</v>
      </c>
      <c r="H21" s="10" t="s">
        <v>2</v>
      </c>
      <c r="I21" s="25" t="s">
        <v>66</v>
      </c>
      <c r="J21" s="26">
        <v>1.7205100000000001E-2</v>
      </c>
      <c r="K21" s="27"/>
      <c r="L21" s="27"/>
      <c r="M21" s="28"/>
      <c r="N21" s="11"/>
    </row>
    <row r="22" spans="2:14" x14ac:dyDescent="0.25">
      <c r="B22" s="46" t="s">
        <v>60</v>
      </c>
      <c r="C22" s="47" t="s">
        <v>61</v>
      </c>
      <c r="E22" s="7"/>
      <c r="F22" s="52" t="s">
        <v>62</v>
      </c>
      <c r="G22" s="53"/>
      <c r="H22" s="10" t="s">
        <v>2</v>
      </c>
      <c r="N22" s="11"/>
    </row>
    <row r="23" spans="2:14" x14ac:dyDescent="0.25">
      <c r="B23" s="46" t="s">
        <v>64</v>
      </c>
      <c r="C23" s="47" t="s">
        <v>65</v>
      </c>
      <c r="E23" s="7"/>
      <c r="F23" s="10"/>
      <c r="G23" s="10"/>
      <c r="H23" s="10" t="s">
        <v>2</v>
      </c>
      <c r="I23" s="25"/>
      <c r="K23" s="27"/>
      <c r="L23" s="27"/>
      <c r="M23" s="28"/>
      <c r="N23" s="11"/>
    </row>
    <row r="24" spans="2:14" x14ac:dyDescent="0.25">
      <c r="B24" s="46" t="s">
        <v>67</v>
      </c>
      <c r="C24" s="47" t="s">
        <v>68</v>
      </c>
      <c r="E24" s="7"/>
      <c r="F24" s="10"/>
      <c r="G24" s="10"/>
      <c r="H24" s="10" t="s">
        <v>2</v>
      </c>
      <c r="I24" s="25"/>
      <c r="J24" s="26"/>
      <c r="K24" s="27"/>
      <c r="L24" s="27"/>
      <c r="M24" s="28"/>
      <c r="N24" s="11"/>
    </row>
    <row r="25" spans="2:14" x14ac:dyDescent="0.25">
      <c r="B25" s="46" t="s">
        <v>69</v>
      </c>
      <c r="C25" s="47" t="s">
        <v>70</v>
      </c>
      <c r="E25" s="7"/>
      <c r="F25" s="10"/>
      <c r="G25" s="10"/>
      <c r="H25" s="10" t="s">
        <v>2</v>
      </c>
      <c r="I25" s="25"/>
      <c r="J25" s="26"/>
      <c r="K25" s="27"/>
      <c r="L25" s="27"/>
      <c r="M25" s="28"/>
      <c r="N25" s="11"/>
    </row>
    <row r="26" spans="2:14" x14ac:dyDescent="0.25">
      <c r="B26" s="46" t="s">
        <v>71</v>
      </c>
      <c r="C26" s="47" t="s">
        <v>72</v>
      </c>
      <c r="E26" s="7"/>
      <c r="F26" s="36" t="s">
        <v>73</v>
      </c>
      <c r="G26" s="10"/>
      <c r="H26" s="10" t="s">
        <v>2</v>
      </c>
      <c r="I26" s="25"/>
      <c r="J26" s="26"/>
      <c r="K26" s="27"/>
      <c r="L26" s="27"/>
      <c r="M26" s="28"/>
      <c r="N26" s="11"/>
    </row>
    <row r="27" spans="2:14" x14ac:dyDescent="0.25">
      <c r="B27" s="46" t="s">
        <v>74</v>
      </c>
      <c r="C27" s="54">
        <v>1E-10</v>
      </c>
      <c r="E27" s="7"/>
      <c r="F27" s="44" t="s">
        <v>32</v>
      </c>
      <c r="G27" s="55" t="str">
        <f t="array" aca="1" ref="G27:G30" ca="1">IF(USD_SOFR_CURVE!$G$31,_xll.meLWOCurveCalibrate(G19,G20,G13,G21,G22),"LOAD USD SOFR CURVE")</f>
        <v>CURVE_USDOIS@10:1</v>
      </c>
      <c r="H27" s="10" t="s">
        <v>2</v>
      </c>
      <c r="I27" s="25"/>
      <c r="J27" s="26"/>
      <c r="K27" s="27"/>
      <c r="L27" s="27"/>
      <c r="M27" s="28"/>
      <c r="N27" s="11"/>
    </row>
    <row r="28" spans="2:14" x14ac:dyDescent="0.25">
      <c r="B28" s="46" t="s">
        <v>75</v>
      </c>
      <c r="C28" s="47" t="s">
        <v>76</v>
      </c>
      <c r="E28" s="7"/>
      <c r="F28" s="46" t="s">
        <v>77</v>
      </c>
      <c r="G28" s="47" t="str">
        <f ca="1"/>
        <v>USDYC</v>
      </c>
      <c r="H28" s="10" t="s">
        <v>2</v>
      </c>
      <c r="I28" s="25"/>
      <c r="J28" s="26"/>
      <c r="K28" s="27"/>
      <c r="L28" s="27"/>
      <c r="M28" s="28"/>
      <c r="N28" s="11"/>
    </row>
    <row r="29" spans="2:14" x14ac:dyDescent="0.25">
      <c r="B29" s="46" t="s">
        <v>78</v>
      </c>
      <c r="C29" s="47" t="s">
        <v>79</v>
      </c>
      <c r="E29" s="7"/>
      <c r="F29" s="46" t="s">
        <v>80</v>
      </c>
      <c r="G29" s="47" t="str">
        <f ca="1"/>
        <v>OIS:FEDFUNDS</v>
      </c>
      <c r="H29" s="10" t="s">
        <v>2</v>
      </c>
      <c r="I29" s="25"/>
      <c r="J29" s="26"/>
      <c r="K29" s="27"/>
      <c r="L29" s="27"/>
      <c r="M29" s="57"/>
      <c r="N29" s="11"/>
    </row>
    <row r="30" spans="2:14" x14ac:dyDescent="0.25">
      <c r="B30" s="58" t="s">
        <v>81</v>
      </c>
      <c r="C30" s="56" t="s">
        <v>82</v>
      </c>
      <c r="E30" s="7"/>
      <c r="F30" s="58" t="s">
        <v>83</v>
      </c>
      <c r="G30" s="56" t="str">
        <f ca="1"/>
        <v>0.98000 sec</v>
      </c>
      <c r="H30" s="10" t="s">
        <v>2</v>
      </c>
      <c r="I30" s="59"/>
      <c r="J30" s="60"/>
      <c r="K30" s="61"/>
      <c r="L30" s="61"/>
      <c r="M30" s="62"/>
      <c r="N30" s="11"/>
    </row>
    <row r="31" spans="2:14" x14ac:dyDescent="0.25">
      <c r="E31" s="7"/>
      <c r="F31" s="63" t="s">
        <v>84</v>
      </c>
      <c r="G31" s="64" t="b">
        <f ca="1">_xll.meLWOExists(G27,"CURVE")</f>
        <v>1</v>
      </c>
      <c r="H31" s="10"/>
      <c r="I31" s="10"/>
      <c r="J31" s="10"/>
      <c r="K31" s="10"/>
      <c r="L31" s="10"/>
      <c r="M31" s="10"/>
      <c r="N31" s="11"/>
    </row>
    <row r="32" spans="2:14" x14ac:dyDescent="0.25">
      <c r="E32" s="65"/>
      <c r="F32" s="66"/>
      <c r="G32" s="66"/>
      <c r="H32" s="66"/>
      <c r="I32" s="66"/>
      <c r="J32" s="66"/>
      <c r="K32" s="66"/>
      <c r="L32" s="66"/>
      <c r="M32" s="66"/>
      <c r="N32" s="6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G130"/>
  <sheetViews>
    <sheetView showGridLines="0" workbookViewId="0"/>
  </sheetViews>
  <sheetFormatPr defaultRowHeight="15" x14ac:dyDescent="0.25"/>
  <cols>
    <col min="2" max="2" width="15.7109375" customWidth="1"/>
    <col min="5" max="5" width="15.7109375" customWidth="1"/>
    <col min="6" max="7" width="12.7109375" customWidth="1"/>
  </cols>
  <sheetData>
    <row r="2" spans="2:7" x14ac:dyDescent="0.25">
      <c r="B2" t="s">
        <v>92</v>
      </c>
      <c r="C2" t="s">
        <v>58</v>
      </c>
      <c r="E2" s="69" t="str">
        <f t="array" aca="1" ref="E2:G130" ca="1">_xll.meLWOCurveForwardRatesTable(C2,C3:C4)</f>
        <v>Fixing Dates</v>
      </c>
      <c r="F2" s="69" t="str">
        <f ca="1"/>
        <v>SOFR</v>
      </c>
      <c r="G2" s="69" t="str">
        <f ca="1"/>
        <v>FEDFUNDS</v>
      </c>
    </row>
    <row r="3" spans="2:7" x14ac:dyDescent="0.25">
      <c r="B3" t="s">
        <v>93</v>
      </c>
      <c r="C3" t="s">
        <v>21</v>
      </c>
      <c r="E3" s="70">
        <f ca="1"/>
        <v>43798</v>
      </c>
      <c r="F3" s="71">
        <f ca="1"/>
        <v>1.5700000000009595E-2</v>
      </c>
      <c r="G3" s="71">
        <f ca="1"/>
        <v>1.5500000000008285E-2</v>
      </c>
    </row>
    <row r="4" spans="2:7" x14ac:dyDescent="0.25">
      <c r="C4" t="s">
        <v>363</v>
      </c>
      <c r="E4" s="70">
        <f ca="1"/>
        <v>43829</v>
      </c>
      <c r="F4" s="71">
        <f ca="1"/>
        <v>1.5454320879095795E-2</v>
      </c>
      <c r="G4" s="71">
        <f ca="1"/>
        <v>1.520000000001962E-2</v>
      </c>
    </row>
    <row r="5" spans="2:7" x14ac:dyDescent="0.25">
      <c r="E5" s="70">
        <f ca="1"/>
        <v>43859</v>
      </c>
      <c r="F5" s="71">
        <f ca="1"/>
        <v>1.5340123076921284E-2</v>
      </c>
      <c r="G5" s="71">
        <f ca="1"/>
        <v>1.5200000000019696E-2</v>
      </c>
    </row>
    <row r="6" spans="2:7" x14ac:dyDescent="0.25">
      <c r="E6" s="70">
        <f ca="1"/>
        <v>43889</v>
      </c>
      <c r="F6" s="71">
        <f ca="1"/>
        <v>1.5225925274719951E-2</v>
      </c>
      <c r="G6" s="71">
        <f ca="1"/>
        <v>1.519999999999295E-2</v>
      </c>
    </row>
    <row r="7" spans="2:7" x14ac:dyDescent="0.25">
      <c r="E7" s="70">
        <f ca="1"/>
        <v>43920</v>
      </c>
      <c r="F7" s="71">
        <f ca="1"/>
        <v>1.5107920879131652E-2</v>
      </c>
      <c r="G7" s="71">
        <f ca="1"/>
        <v>1.4800000000017074E-2</v>
      </c>
    </row>
    <row r="8" spans="2:7" x14ac:dyDescent="0.25">
      <c r="E8" s="70">
        <f ca="1"/>
        <v>43950</v>
      </c>
      <c r="F8" s="71">
        <f ca="1"/>
        <v>1.4993723076957064E-2</v>
      </c>
      <c r="G8" s="71">
        <f ca="1"/>
        <v>1.4800000000017074E-2</v>
      </c>
    </row>
    <row r="9" spans="2:7" x14ac:dyDescent="0.25">
      <c r="E9" s="70">
        <f ca="1"/>
        <v>43980</v>
      </c>
      <c r="F9" s="71">
        <f ca="1"/>
        <v>1.4879525274729185E-2</v>
      </c>
      <c r="G9" s="71">
        <f ca="1"/>
        <v>1.4799999999990428E-2</v>
      </c>
    </row>
    <row r="10" spans="2:7" x14ac:dyDescent="0.25">
      <c r="E10" s="70">
        <f ca="1"/>
        <v>44011</v>
      </c>
      <c r="F10" s="71">
        <f ca="1"/>
        <v>1.4761520879087494E-2</v>
      </c>
      <c r="G10" s="71">
        <f ca="1"/>
        <v>1.449999999997514E-2</v>
      </c>
    </row>
    <row r="11" spans="2:7" x14ac:dyDescent="0.25">
      <c r="E11" s="70">
        <f ca="1"/>
        <v>44041</v>
      </c>
      <c r="F11" s="71">
        <f ca="1"/>
        <v>1.4647323076912907E-2</v>
      </c>
      <c r="G11" s="71">
        <f ca="1"/>
        <v>1.449999999997514E-2</v>
      </c>
    </row>
    <row r="12" spans="2:7" x14ac:dyDescent="0.25">
      <c r="E12" s="70">
        <f ca="1"/>
        <v>44074</v>
      </c>
      <c r="F12" s="71">
        <f ca="1"/>
        <v>1.452170549449688E-2</v>
      </c>
      <c r="G12" s="71">
        <f ca="1"/>
        <v>1.449999999997514E-2</v>
      </c>
    </row>
    <row r="13" spans="2:7" x14ac:dyDescent="0.25">
      <c r="E13" s="70">
        <f ca="1"/>
        <v>44103</v>
      </c>
      <c r="F13" s="71">
        <f ca="1"/>
        <v>1.4485839617348669E-2</v>
      </c>
      <c r="G13" s="71">
        <f ca="1"/>
        <v>1.4350000000034108E-2</v>
      </c>
    </row>
    <row r="14" spans="2:7" x14ac:dyDescent="0.25">
      <c r="E14" s="70">
        <f ca="1"/>
        <v>44133</v>
      </c>
      <c r="F14" s="71">
        <f ca="1"/>
        <v>1.4486311163590723E-2</v>
      </c>
      <c r="G14" s="71">
        <f ca="1"/>
        <v>1.4350000000034108E-2</v>
      </c>
    </row>
    <row r="15" spans="2:7" x14ac:dyDescent="0.25">
      <c r="E15" s="70">
        <f ca="1"/>
        <v>44165</v>
      </c>
      <c r="F15" s="71">
        <f ca="1"/>
        <v>1.4415498776996268E-2</v>
      </c>
      <c r="G15" s="71">
        <f ca="1"/>
        <v>1.4350000000034108E-2</v>
      </c>
    </row>
    <row r="16" spans="2:7" x14ac:dyDescent="0.25">
      <c r="E16" s="70">
        <f ca="1"/>
        <v>44194</v>
      </c>
      <c r="F16" s="71">
        <f ca="1"/>
        <v>1.4316869737420796E-2</v>
      </c>
      <c r="G16" s="71">
        <f ca="1"/>
        <v>1.4294876500189397E-2</v>
      </c>
    </row>
    <row r="17" spans="5:7" x14ac:dyDescent="0.25">
      <c r="E17" s="70">
        <f ca="1"/>
        <v>44225</v>
      </c>
      <c r="F17" s="71">
        <f ca="1"/>
        <v>1.4219526734269345E-2</v>
      </c>
      <c r="G17" s="71">
        <f ca="1"/>
        <v>1.4176210387892902E-2</v>
      </c>
    </row>
    <row r="18" spans="5:7" x14ac:dyDescent="0.25">
      <c r="E18" s="70">
        <f ca="1"/>
        <v>44253</v>
      </c>
      <c r="F18" s="71">
        <f ca="1"/>
        <v>1.4143552228729256E-2</v>
      </c>
      <c r="G18" s="71">
        <f ca="1"/>
        <v>1.4081801532652755E-2</v>
      </c>
    </row>
    <row r="19" spans="5:7" x14ac:dyDescent="0.25">
      <c r="E19" s="70">
        <f ca="1"/>
        <v>44284</v>
      </c>
      <c r="F19" s="71">
        <f ca="1"/>
        <v>1.4071695625128606E-2</v>
      </c>
      <c r="G19" s="71">
        <f ca="1"/>
        <v>1.3990431861730152E-2</v>
      </c>
    </row>
    <row r="20" spans="5:7" x14ac:dyDescent="0.25">
      <c r="E20" s="70">
        <f ca="1"/>
        <v>44315</v>
      </c>
      <c r="F20" s="71">
        <f ca="1"/>
        <v>1.4009049103878063E-2</v>
      </c>
      <c r="G20" s="71">
        <f ca="1"/>
        <v>1.3907870666729542E-2</v>
      </c>
    </row>
    <row r="21" spans="5:7" x14ac:dyDescent="0.25">
      <c r="E21" s="70">
        <f ca="1"/>
        <v>44347</v>
      </c>
      <c r="F21" s="71">
        <f ca="1"/>
        <v>1.3956196455939868E-2</v>
      </c>
      <c r="G21" s="71">
        <f ca="1"/>
        <v>1.3834733333899556E-2</v>
      </c>
    </row>
    <row r="22" spans="5:7" x14ac:dyDescent="0.25">
      <c r="E22" s="70">
        <f ca="1"/>
        <v>44376</v>
      </c>
      <c r="F22" s="71">
        <f ca="1"/>
        <v>1.3918716501759626E-2</v>
      </c>
      <c r="G22" s="71">
        <f ca="1"/>
        <v>1.3779110858314118E-2</v>
      </c>
    </row>
    <row r="23" spans="5:7" x14ac:dyDescent="0.25">
      <c r="E23" s="70">
        <f ca="1"/>
        <v>44406</v>
      </c>
      <c r="F23" s="71">
        <f ca="1"/>
        <v>1.3890417580153573E-2</v>
      </c>
      <c r="G23" s="71">
        <f ca="1"/>
        <v>1.3732285676342264E-2</v>
      </c>
    </row>
    <row r="24" spans="5:7" x14ac:dyDescent="0.25">
      <c r="E24" s="70">
        <f ca="1"/>
        <v>44438</v>
      </c>
      <c r="F24" s="71">
        <f ca="1"/>
        <v>1.3872027434587202E-2</v>
      </c>
      <c r="G24" s="71">
        <f ca="1"/>
        <v>1.3694406501265681E-2</v>
      </c>
    </row>
    <row r="25" spans="5:7" x14ac:dyDescent="0.25">
      <c r="E25" s="70">
        <f ca="1"/>
        <v>44468</v>
      </c>
      <c r="F25" s="71">
        <f ca="1"/>
        <v>1.3865897514095997E-2</v>
      </c>
      <c r="G25" s="71">
        <f ca="1"/>
        <v>1.3670261871530136E-2</v>
      </c>
    </row>
    <row r="26" spans="5:7" x14ac:dyDescent="0.25">
      <c r="E26" s="70">
        <f ca="1"/>
        <v>44498</v>
      </c>
      <c r="F26" s="71">
        <f ca="1"/>
        <v>1.387145194855504E-2</v>
      </c>
      <c r="G26" s="71">
        <f ca="1"/>
        <v>1.3657446162209701E-2</v>
      </c>
    </row>
    <row r="27" spans="5:7" x14ac:dyDescent="0.25">
      <c r="E27" s="70">
        <f ca="1"/>
        <v>44529</v>
      </c>
      <c r="F27" s="71">
        <f ca="1"/>
        <v>1.3886803149798559E-2</v>
      </c>
      <c r="G27" s="71">
        <f ca="1"/>
        <v>1.3655305302027236E-2</v>
      </c>
    </row>
    <row r="28" spans="5:7" x14ac:dyDescent="0.25">
      <c r="E28" s="70">
        <f ca="1"/>
        <v>44559</v>
      </c>
      <c r="F28" s="71">
        <f ca="1"/>
        <v>1.3911080099449129E-2</v>
      </c>
      <c r="G28" s="71">
        <f ca="1"/>
        <v>1.3662730817989348E-2</v>
      </c>
    </row>
    <row r="29" spans="5:7" x14ac:dyDescent="0.25">
      <c r="E29" s="70">
        <f ca="1"/>
        <v>44592</v>
      </c>
      <c r="F29" s="71">
        <f ca="1"/>
        <v>1.3943013797135301E-2</v>
      </c>
      <c r="G29" s="71">
        <f ca="1"/>
        <v>1.3677617909468913E-2</v>
      </c>
    </row>
    <row r="30" spans="5:7" x14ac:dyDescent="0.25">
      <c r="E30" s="70">
        <f ca="1"/>
        <v>44620</v>
      </c>
      <c r="F30" s="71">
        <f ca="1"/>
        <v>1.3974385099970782E-2</v>
      </c>
      <c r="G30" s="71">
        <f ca="1"/>
        <v>1.3695761237029251E-2</v>
      </c>
    </row>
    <row r="31" spans="5:7" x14ac:dyDescent="0.25">
      <c r="E31" s="70">
        <f ca="1"/>
        <v>44649</v>
      </c>
      <c r="F31" s="71">
        <f ca="1"/>
        <v>1.4011034483258961E-2</v>
      </c>
      <c r="G31" s="71">
        <f ca="1"/>
        <v>1.371991126500665E-2</v>
      </c>
    </row>
    <row r="32" spans="5:7" x14ac:dyDescent="0.25">
      <c r="E32" s="70">
        <f ca="1"/>
        <v>44680</v>
      </c>
      <c r="F32" s="71">
        <f ca="1"/>
        <v>1.4056958236805578E-2</v>
      </c>
      <c r="G32" s="71">
        <f ca="1"/>
        <v>1.3753443828932226E-2</v>
      </c>
    </row>
    <row r="33" spans="5:7" x14ac:dyDescent="0.25">
      <c r="E33" s="70">
        <f ca="1"/>
        <v>44711</v>
      </c>
      <c r="F33" s="71">
        <f ca="1"/>
        <v>1.4103667541283166E-2</v>
      </c>
      <c r="G33" s="71">
        <f ca="1"/>
        <v>1.378994361700419E-2</v>
      </c>
    </row>
    <row r="34" spans="5:7" x14ac:dyDescent="0.25">
      <c r="E34" s="70">
        <f ca="1"/>
        <v>44741</v>
      </c>
      <c r="F34" s="71">
        <f ca="1"/>
        <v>1.4155519680585421E-2</v>
      </c>
      <c r="G34" s="71">
        <f ca="1"/>
        <v>1.3832887669158515E-2</v>
      </c>
    </row>
    <row r="35" spans="5:7" x14ac:dyDescent="0.25">
      <c r="E35" s="70">
        <f ca="1"/>
        <v>44771</v>
      </c>
      <c r="F35" s="71">
        <f ca="1"/>
        <v>1.4214510937398167E-2</v>
      </c>
      <c r="G35" s="71">
        <f ca="1"/>
        <v>1.3884045788765724E-2</v>
      </c>
    </row>
    <row r="36" spans="5:7" x14ac:dyDescent="0.25">
      <c r="E36" s="70">
        <f ca="1"/>
        <v>44802</v>
      </c>
      <c r="F36" s="71">
        <f ca="1"/>
        <v>1.4275205776419548E-2</v>
      </c>
      <c r="G36" s="71">
        <f ca="1"/>
        <v>1.3938567749924908E-2</v>
      </c>
    </row>
    <row r="37" spans="5:7" x14ac:dyDescent="0.25">
      <c r="E37" s="70">
        <f ca="1"/>
        <v>44833</v>
      </c>
      <c r="F37" s="71">
        <f ca="1"/>
        <v>1.4343401043692744E-2</v>
      </c>
      <c r="G37" s="71">
        <f ca="1"/>
        <v>1.4001767293363493E-2</v>
      </c>
    </row>
    <row r="38" spans="5:7" x14ac:dyDescent="0.25">
      <c r="E38" s="70">
        <f ca="1"/>
        <v>44865</v>
      </c>
      <c r="F38" s="71">
        <f ca="1"/>
        <v>1.4419041767777026E-2</v>
      </c>
      <c r="G38" s="71">
        <f ca="1"/>
        <v>1.4073759870463271E-2</v>
      </c>
    </row>
    <row r="39" spans="5:7" x14ac:dyDescent="0.25">
      <c r="E39" s="70">
        <f ca="1"/>
        <v>44894</v>
      </c>
      <c r="F39" s="71">
        <f ca="1"/>
        <v>1.449221737774847E-2</v>
      </c>
      <c r="G39" s="71">
        <f ca="1"/>
        <v>1.4144958969959426E-2</v>
      </c>
    </row>
    <row r="40" spans="5:7" x14ac:dyDescent="0.25">
      <c r="E40" s="70">
        <f ca="1"/>
        <v>44924</v>
      </c>
      <c r="F40" s="71">
        <f ca="1"/>
        <v>1.4571069133992916E-2</v>
      </c>
      <c r="G40" s="71">
        <f ca="1"/>
        <v>1.4222748561447724E-2</v>
      </c>
    </row>
    <row r="41" spans="5:7" x14ac:dyDescent="0.25">
      <c r="E41" s="70">
        <f ca="1"/>
        <v>44956</v>
      </c>
      <c r="F41" s="71">
        <f ca="1"/>
        <v>1.4655530818918957E-2</v>
      </c>
      <c r="G41" s="71">
        <f ca="1"/>
        <v>1.4306429011696814E-2</v>
      </c>
    </row>
    <row r="42" spans="5:7" x14ac:dyDescent="0.25">
      <c r="E42" s="70">
        <f ca="1"/>
        <v>44985</v>
      </c>
      <c r="F42" s="71">
        <f ca="1"/>
        <v>1.4732319245336408E-2</v>
      </c>
      <c r="G42" s="71">
        <f ca="1"/>
        <v>1.438280750666548E-2</v>
      </c>
    </row>
    <row r="43" spans="5:7" x14ac:dyDescent="0.25">
      <c r="E43" s="70">
        <f ca="1"/>
        <v>45014</v>
      </c>
      <c r="F43" s="71">
        <f ca="1"/>
        <v>1.4809342623092244E-2</v>
      </c>
      <c r="G43" s="71">
        <f ca="1"/>
        <v>1.4459705704474909E-2</v>
      </c>
    </row>
    <row r="44" spans="5:7" x14ac:dyDescent="0.25">
      <c r="E44" s="70">
        <f ca="1"/>
        <v>45044</v>
      </c>
      <c r="F44" s="71">
        <f ca="1"/>
        <v>1.4892556084467098E-2</v>
      </c>
      <c r="G44" s="71">
        <f ca="1"/>
        <v>1.4543073278172666E-2</v>
      </c>
    </row>
    <row r="45" spans="5:7" x14ac:dyDescent="0.25">
      <c r="E45" s="70">
        <f ca="1"/>
        <v>45075</v>
      </c>
      <c r="F45" s="71">
        <f ca="1"/>
        <v>1.4972132811861326E-2</v>
      </c>
      <c r="G45" s="71">
        <f ca="1"/>
        <v>1.4623167943899115E-2</v>
      </c>
    </row>
    <row r="46" spans="5:7" x14ac:dyDescent="0.25">
      <c r="E46" s="70">
        <f ca="1"/>
        <v>45106</v>
      </c>
      <c r="F46" s="71">
        <f ca="1"/>
        <v>1.5055269717860807E-2</v>
      </c>
      <c r="G46" s="71">
        <f ca="1"/>
        <v>1.4707135498488507E-2</v>
      </c>
    </row>
    <row r="47" spans="5:7" x14ac:dyDescent="0.25">
      <c r="E47" s="70">
        <f ca="1"/>
        <v>45138</v>
      </c>
      <c r="F47" s="71">
        <f ca="1"/>
        <v>1.5141379856000779E-2</v>
      </c>
      <c r="G47" s="71">
        <f ca="1"/>
        <v>1.4794451193083143E-2</v>
      </c>
    </row>
    <row r="48" spans="5:7" x14ac:dyDescent="0.25">
      <c r="E48" s="70">
        <f ca="1"/>
        <v>45167</v>
      </c>
      <c r="F48" s="71">
        <f ca="1"/>
        <v>1.521967508078431E-2</v>
      </c>
      <c r="G48" s="71">
        <f ca="1"/>
        <v>1.4874145992642748E-2</v>
      </c>
    </row>
    <row r="49" spans="5:7" x14ac:dyDescent="0.25">
      <c r="E49" s="70">
        <f ca="1"/>
        <v>45198</v>
      </c>
      <c r="F49" s="71">
        <f ca="1"/>
        <v>1.5307007798375292E-2</v>
      </c>
      <c r="G49" s="71">
        <f ca="1"/>
        <v>1.4963334882276467E-2</v>
      </c>
    </row>
    <row r="50" spans="5:7" x14ac:dyDescent="0.25">
      <c r="E50" s="70">
        <f ca="1"/>
        <v>45229</v>
      </c>
      <c r="F50" s="71">
        <f ca="1"/>
        <v>1.5387897009491225E-2</v>
      </c>
      <c r="G50" s="71">
        <f ca="1"/>
        <v>1.5046346247098495E-2</v>
      </c>
    </row>
    <row r="51" spans="5:7" x14ac:dyDescent="0.25">
      <c r="E51" s="70">
        <f ca="1"/>
        <v>45259</v>
      </c>
      <c r="F51" s="71">
        <f ca="1"/>
        <v>1.5469706439603966E-2</v>
      </c>
      <c r="G51" s="71">
        <f ca="1"/>
        <v>1.513056645414926E-2</v>
      </c>
    </row>
    <row r="52" spans="5:7" x14ac:dyDescent="0.25">
      <c r="E52" s="70">
        <f ca="1"/>
        <v>45289</v>
      </c>
      <c r="F52" s="71">
        <f ca="1"/>
        <v>1.5553587196527666E-2</v>
      </c>
      <c r="G52" s="71">
        <f ca="1"/>
        <v>1.5217421688564013E-2</v>
      </c>
    </row>
    <row r="53" spans="5:7" x14ac:dyDescent="0.25">
      <c r="E53" s="70">
        <f ca="1"/>
        <v>45320</v>
      </c>
      <c r="F53" s="71">
        <f ca="1"/>
        <v>1.5629554725811512E-2</v>
      </c>
      <c r="G53" s="71">
        <f ca="1"/>
        <v>1.5297106603820167E-2</v>
      </c>
    </row>
    <row r="54" spans="5:7" x14ac:dyDescent="0.25">
      <c r="E54" s="70">
        <f ca="1"/>
        <v>45351</v>
      </c>
      <c r="F54" s="71">
        <f ca="1"/>
        <v>1.5704662295894858E-2</v>
      </c>
      <c r="G54" s="71">
        <f ca="1"/>
        <v>1.5376845026245105E-2</v>
      </c>
    </row>
    <row r="55" spans="5:7" x14ac:dyDescent="0.25">
      <c r="E55" s="70">
        <f ca="1"/>
        <v>45380</v>
      </c>
      <c r="F55" s="71">
        <f ca="1"/>
        <v>1.5774063118981559E-2</v>
      </c>
      <c r="G55" s="71">
        <f ca="1"/>
        <v>1.5451496869377291E-2</v>
      </c>
    </row>
    <row r="56" spans="5:7" x14ac:dyDescent="0.25">
      <c r="E56" s="70">
        <f ca="1"/>
        <v>45411</v>
      </c>
      <c r="F56" s="71">
        <f ca="1"/>
        <v>1.5838155895104587E-2</v>
      </c>
      <c r="G56" s="71">
        <f ca="1"/>
        <v>1.552168487539453E-2</v>
      </c>
    </row>
    <row r="57" spans="5:7" x14ac:dyDescent="0.25">
      <c r="E57" s="70">
        <f ca="1"/>
        <v>45441</v>
      </c>
      <c r="F57" s="71">
        <f ca="1"/>
        <v>1.5898989274243758E-2</v>
      </c>
      <c r="G57" s="71">
        <f ca="1"/>
        <v>1.5589379316971791E-2</v>
      </c>
    </row>
    <row r="58" spans="5:7" x14ac:dyDescent="0.25">
      <c r="E58" s="70">
        <f ca="1"/>
        <v>45471</v>
      </c>
      <c r="F58" s="71">
        <f ca="1"/>
        <v>1.5958385705373872E-2</v>
      </c>
      <c r="G58" s="71">
        <f ca="1"/>
        <v>1.565667795605663E-2</v>
      </c>
    </row>
    <row r="59" spans="5:7" x14ac:dyDescent="0.25">
      <c r="E59" s="70">
        <f ca="1"/>
        <v>45502</v>
      </c>
      <c r="F59" s="71">
        <f ca="1"/>
        <v>1.6010419567316476E-2</v>
      </c>
      <c r="G59" s="71">
        <f ca="1"/>
        <v>1.5717227130347747E-2</v>
      </c>
    </row>
    <row r="60" spans="5:7" x14ac:dyDescent="0.25">
      <c r="E60" s="70">
        <f ca="1"/>
        <v>45533</v>
      </c>
      <c r="F60" s="71">
        <f ca="1"/>
        <v>1.6060701788743043E-2</v>
      </c>
      <c r="G60" s="71">
        <f ca="1"/>
        <v>1.577713025784613E-2</v>
      </c>
    </row>
    <row r="61" spans="5:7" x14ac:dyDescent="0.25">
      <c r="E61" s="70">
        <f ca="1"/>
        <v>45565</v>
      </c>
      <c r="F61" s="71">
        <f ca="1"/>
        <v>1.6108087073793666E-2</v>
      </c>
      <c r="G61" s="71">
        <f ca="1"/>
        <v>1.5835357293354248E-2</v>
      </c>
    </row>
    <row r="62" spans="5:7" x14ac:dyDescent="0.25">
      <c r="E62" s="70">
        <f ca="1"/>
        <v>45594</v>
      </c>
      <c r="F62" s="71">
        <f ca="1"/>
        <v>1.6147042969348189E-2</v>
      </c>
      <c r="G62" s="71">
        <f ca="1"/>
        <v>1.5884942317206205E-2</v>
      </c>
    </row>
    <row r="63" spans="5:7" x14ac:dyDescent="0.25">
      <c r="E63" s="70">
        <f ca="1"/>
        <v>45625</v>
      </c>
      <c r="F63" s="71">
        <f ca="1"/>
        <v>1.6186331014643538E-2</v>
      </c>
      <c r="G63" s="71">
        <f ca="1"/>
        <v>1.5936829476546972E-2</v>
      </c>
    </row>
    <row r="64" spans="5:7" x14ac:dyDescent="0.25">
      <c r="E64" s="70">
        <f ca="1"/>
        <v>45656</v>
      </c>
      <c r="F64" s="71">
        <f ca="1"/>
        <v>1.6219575315077769E-2</v>
      </c>
      <c r="G64" s="71">
        <f ca="1"/>
        <v>1.5982257163707329E-2</v>
      </c>
    </row>
    <row r="65" spans="5:7" x14ac:dyDescent="0.25">
      <c r="E65" s="70">
        <f ca="1"/>
        <v>45686</v>
      </c>
      <c r="F65" s="71">
        <f ca="1"/>
        <v>1.6254316411957064E-2</v>
      </c>
      <c r="G65" s="71">
        <f ca="1"/>
        <v>1.6028740215914671E-2</v>
      </c>
    </row>
    <row r="66" spans="5:7" x14ac:dyDescent="0.25">
      <c r="E66" s="70">
        <f ca="1"/>
        <v>45716</v>
      </c>
      <c r="F66" s="71">
        <f ca="1"/>
        <v>1.629178519192561E-2</v>
      </c>
      <c r="G66" s="71">
        <f ca="1"/>
        <v>1.6077875310810709E-2</v>
      </c>
    </row>
    <row r="67" spans="5:7" x14ac:dyDescent="0.25">
      <c r="E67" s="70">
        <f ca="1"/>
        <v>45747</v>
      </c>
      <c r="F67" s="71">
        <f ca="1"/>
        <v>1.6327403718318867E-2</v>
      </c>
      <c r="G67" s="71">
        <f ca="1"/>
        <v>1.6124386479538764E-2</v>
      </c>
    </row>
    <row r="68" spans="5:7" x14ac:dyDescent="0.25">
      <c r="E68" s="70">
        <f ca="1"/>
        <v>45776</v>
      </c>
      <c r="F68" s="71">
        <f ca="1"/>
        <v>1.6363309017857663E-2</v>
      </c>
      <c r="G68" s="71">
        <f ca="1"/>
        <v>1.6170393281911701E-2</v>
      </c>
    </row>
    <row r="69" spans="5:7" x14ac:dyDescent="0.25">
      <c r="E69" s="70">
        <f ca="1"/>
        <v>45806</v>
      </c>
      <c r="F69" s="71">
        <f ca="1"/>
        <v>1.6401244022030349E-2</v>
      </c>
      <c r="G69" s="71">
        <f ca="1"/>
        <v>1.6218352496426242E-2</v>
      </c>
    </row>
    <row r="70" spans="5:7" x14ac:dyDescent="0.25">
      <c r="E70" s="70">
        <f ca="1"/>
        <v>45838</v>
      </c>
      <c r="F70" s="71">
        <f ca="1"/>
        <v>1.6442600211868299E-2</v>
      </c>
      <c r="G70" s="71">
        <f ca="1"/>
        <v>1.6269921556893323E-2</v>
      </c>
    </row>
    <row r="71" spans="5:7" x14ac:dyDescent="0.25">
      <c r="E71" s="70">
        <f ca="1"/>
        <v>45867</v>
      </c>
      <c r="F71" s="71">
        <f ca="1"/>
        <v>1.6480879158355586E-2</v>
      </c>
      <c r="G71" s="71">
        <f ca="1"/>
        <v>1.6317025986844706E-2</v>
      </c>
    </row>
    <row r="72" spans="5:7" x14ac:dyDescent="0.25">
      <c r="E72" s="70">
        <f ca="1"/>
        <v>45898</v>
      </c>
      <c r="F72" s="71">
        <f ca="1"/>
        <v>1.6524764417037718E-2</v>
      </c>
      <c r="G72" s="71">
        <f ca="1"/>
        <v>1.6370158414504028E-2</v>
      </c>
    </row>
    <row r="73" spans="5:7" x14ac:dyDescent="0.25">
      <c r="E73" s="70">
        <f ca="1"/>
        <v>45929</v>
      </c>
      <c r="F73" s="71">
        <f ca="1"/>
        <v>1.6565287259823945E-2</v>
      </c>
      <c r="G73" s="71">
        <f ca="1"/>
        <v>1.6418921192637645E-2</v>
      </c>
    </row>
    <row r="74" spans="5:7" x14ac:dyDescent="0.25">
      <c r="E74" s="70">
        <f ca="1"/>
        <v>45959</v>
      </c>
      <c r="F74" s="71">
        <f ca="1"/>
        <v>1.6607396613353358E-2</v>
      </c>
      <c r="G74" s="71">
        <f ca="1"/>
        <v>1.6468811546650947E-2</v>
      </c>
    </row>
    <row r="75" spans="5:7" x14ac:dyDescent="0.25">
      <c r="E75" s="70">
        <f ca="1"/>
        <v>45989</v>
      </c>
      <c r="F75" s="71">
        <f ca="1"/>
        <v>1.6652554630357367E-2</v>
      </c>
      <c r="G75" s="71">
        <f ca="1"/>
        <v>1.652152803305201E-2</v>
      </c>
    </row>
    <row r="76" spans="5:7" x14ac:dyDescent="0.25">
      <c r="E76" s="70">
        <f ca="1"/>
        <v>46020</v>
      </c>
      <c r="F76" s="71">
        <f ca="1"/>
        <v>1.6696113782324558E-2</v>
      </c>
      <c r="G76" s="71">
        <f ca="1"/>
        <v>1.6571723900569647E-2</v>
      </c>
    </row>
    <row r="77" spans="5:7" x14ac:dyDescent="0.25">
      <c r="E77" s="70">
        <f ca="1"/>
        <v>46051</v>
      </c>
      <c r="F77" s="71">
        <f ca="1"/>
        <v>1.6744209122515025E-2</v>
      </c>
      <c r="G77" s="71">
        <f ca="1"/>
        <v>1.6625532178163257E-2</v>
      </c>
    </row>
    <row r="78" spans="5:7" x14ac:dyDescent="0.25">
      <c r="E78" s="70">
        <f ca="1"/>
        <v>46080</v>
      </c>
      <c r="F78" s="71">
        <f ca="1"/>
        <v>1.6793773133220443E-2</v>
      </c>
      <c r="G78" s="71">
        <f ca="1"/>
        <v>1.6679507505354133E-2</v>
      </c>
    </row>
    <row r="79" spans="5:7" x14ac:dyDescent="0.25">
      <c r="E79" s="70">
        <f ca="1"/>
        <v>46111</v>
      </c>
      <c r="F79" s="71">
        <f ca="1"/>
        <v>1.6843980625489006E-2</v>
      </c>
      <c r="G79" s="71">
        <f ca="1"/>
        <v>1.673305406123498E-2</v>
      </c>
    </row>
    <row r="80" spans="5:7" x14ac:dyDescent="0.25">
      <c r="E80" s="70">
        <f ca="1"/>
        <v>46141</v>
      </c>
      <c r="F80" s="71">
        <f ca="1"/>
        <v>1.6897196662111744E-2</v>
      </c>
      <c r="G80" s="71">
        <f ca="1"/>
        <v>1.6788497683973249E-2</v>
      </c>
    </row>
    <row r="81" spans="5:7" x14ac:dyDescent="0.25">
      <c r="E81" s="70">
        <f ca="1"/>
        <v>46171</v>
      </c>
      <c r="F81" s="71">
        <f ca="1"/>
        <v>1.6955336182507962E-2</v>
      </c>
      <c r="G81" s="71">
        <f ca="1"/>
        <v>1.684776585599497E-2</v>
      </c>
    </row>
    <row r="82" spans="5:7" x14ac:dyDescent="0.25">
      <c r="E82" s="70">
        <f ca="1"/>
        <v>46202</v>
      </c>
      <c r="F82" s="71">
        <f ca="1"/>
        <v>1.7012314985385694E-2</v>
      </c>
      <c r="G82" s="71">
        <f ca="1"/>
        <v>1.6904725962414976E-2</v>
      </c>
    </row>
    <row r="83" spans="5:7" x14ac:dyDescent="0.25">
      <c r="E83" s="70">
        <f ca="1"/>
        <v>46232</v>
      </c>
      <c r="F83" s="71">
        <f ca="1"/>
        <v>1.7072356367166638E-2</v>
      </c>
      <c r="G83" s="71">
        <f ca="1"/>
        <v>1.696361863946462E-2</v>
      </c>
    </row>
    <row r="84" spans="5:7" x14ac:dyDescent="0.25">
      <c r="E84" s="70">
        <f ca="1"/>
        <v>46265</v>
      </c>
      <c r="F84" s="71">
        <f ca="1"/>
        <v>1.7141031594916669E-2</v>
      </c>
      <c r="G84" s="71">
        <f ca="1"/>
        <v>1.7029729593461281E-2</v>
      </c>
    </row>
    <row r="85" spans="5:7" x14ac:dyDescent="0.25">
      <c r="E85" s="70">
        <f ca="1"/>
        <v>46294</v>
      </c>
      <c r="F85" s="71">
        <f ca="1"/>
        <v>1.7203670390666982E-2</v>
      </c>
      <c r="G85" s="71">
        <f ca="1"/>
        <v>1.7088983386933116E-2</v>
      </c>
    </row>
    <row r="86" spans="5:7" x14ac:dyDescent="0.25">
      <c r="E86" s="70">
        <f ca="1"/>
        <v>46324</v>
      </c>
      <c r="F86" s="71">
        <f ca="1"/>
        <v>1.7270734876546144E-2</v>
      </c>
      <c r="G86" s="71">
        <f ca="1"/>
        <v>1.715142557834513E-2</v>
      </c>
    </row>
    <row r="87" spans="5:7" x14ac:dyDescent="0.25">
      <c r="E87" s="70">
        <f ca="1"/>
        <v>46356</v>
      </c>
      <c r="F87" s="71">
        <f ca="1"/>
        <v>1.7344825183395817E-2</v>
      </c>
      <c r="G87" s="71">
        <f ca="1"/>
        <v>1.7219321923771042E-2</v>
      </c>
    </row>
    <row r="88" spans="5:7" x14ac:dyDescent="0.25">
      <c r="E88" s="70">
        <f ca="1"/>
        <v>46385</v>
      </c>
      <c r="F88" s="71">
        <f ca="1"/>
        <v>1.7413086646677674E-2</v>
      </c>
      <c r="G88" s="71">
        <f ca="1"/>
        <v>1.728139700636518E-2</v>
      </c>
    </row>
    <row r="89" spans="5:7" x14ac:dyDescent="0.25">
      <c r="E89" s="70">
        <f ca="1"/>
        <v>46416</v>
      </c>
      <c r="F89" s="71">
        <f ca="1"/>
        <v>1.7488538644076197E-2</v>
      </c>
      <c r="G89" s="71">
        <f ca="1"/>
        <v>1.7350308280520668E-2</v>
      </c>
    </row>
    <row r="90" spans="5:7" x14ac:dyDescent="0.25">
      <c r="E90" s="70">
        <f ca="1"/>
        <v>46444</v>
      </c>
      <c r="F90" s="71">
        <f ca="1"/>
        <v>1.7553189122593529E-2</v>
      </c>
      <c r="G90" s="71">
        <f ca="1"/>
        <v>1.7409510120804071E-2</v>
      </c>
    </row>
    <row r="91" spans="5:7" x14ac:dyDescent="0.25">
      <c r="E91" s="70">
        <f ca="1"/>
        <v>46475</v>
      </c>
      <c r="F91" s="71">
        <f ca="1"/>
        <v>1.762093589497029E-2</v>
      </c>
      <c r="G91" s="71">
        <f ca="1"/>
        <v>1.7471707910201074E-2</v>
      </c>
    </row>
    <row r="92" spans="5:7" x14ac:dyDescent="0.25">
      <c r="E92" s="70">
        <f ca="1"/>
        <v>46506</v>
      </c>
      <c r="F92" s="71">
        <f ca="1"/>
        <v>1.7691104636347609E-2</v>
      </c>
      <c r="G92" s="71">
        <f ca="1"/>
        <v>1.7536428235140379E-2</v>
      </c>
    </row>
    <row r="93" spans="5:7" x14ac:dyDescent="0.25">
      <c r="E93" s="70">
        <f ca="1"/>
        <v>46538</v>
      </c>
      <c r="F93" s="71">
        <f ca="1"/>
        <v>1.7762764637720418E-2</v>
      </c>
      <c r="G93" s="71">
        <f ca="1"/>
        <v>1.7602785593708339E-2</v>
      </c>
    </row>
    <row r="94" spans="5:7" x14ac:dyDescent="0.25">
      <c r="E94" s="70">
        <f ca="1"/>
        <v>46567</v>
      </c>
      <c r="F94" s="71">
        <f ca="1"/>
        <v>1.7827025084843896E-2</v>
      </c>
      <c r="G94" s="71">
        <f ca="1"/>
        <v>1.7662524302887742E-2</v>
      </c>
    </row>
    <row r="95" spans="5:7" x14ac:dyDescent="0.25">
      <c r="E95" s="70">
        <f ca="1"/>
        <v>46597</v>
      </c>
      <c r="F95" s="71">
        <f ca="1"/>
        <v>1.7892815778862297E-2</v>
      </c>
      <c r="G95" s="71">
        <f ca="1"/>
        <v>1.7723922933872826E-2</v>
      </c>
    </row>
    <row r="96" spans="5:7" x14ac:dyDescent="0.25">
      <c r="E96" s="70">
        <f ca="1"/>
        <v>46629</v>
      </c>
      <c r="F96" s="71">
        <f ca="1"/>
        <v>1.7962219649512882E-2</v>
      </c>
      <c r="G96" s="71">
        <f ca="1"/>
        <v>1.7788963946288726E-2</v>
      </c>
    </row>
    <row r="97" spans="5:7" x14ac:dyDescent="0.25">
      <c r="E97" s="70">
        <f ca="1"/>
        <v>46659</v>
      </c>
      <c r="F97" s="71">
        <f ca="1"/>
        <v>1.8026557034446736E-2</v>
      </c>
      <c r="G97" s="71">
        <f ca="1"/>
        <v>1.7849514845537637E-2</v>
      </c>
    </row>
    <row r="98" spans="5:7" x14ac:dyDescent="0.25">
      <c r="E98" s="70">
        <f ca="1"/>
        <v>46689</v>
      </c>
      <c r="F98" s="71">
        <f ca="1"/>
        <v>1.8093202754909058E-2</v>
      </c>
      <c r="G98" s="71">
        <f ca="1"/>
        <v>1.7912540549953036E-2</v>
      </c>
    </row>
    <row r="99" spans="5:7" x14ac:dyDescent="0.25">
      <c r="E99" s="70">
        <f ca="1"/>
        <v>46720</v>
      </c>
      <c r="F99" s="71">
        <f ca="1"/>
        <v>1.8155184532231305E-2</v>
      </c>
      <c r="G99" s="71">
        <f ca="1"/>
        <v>1.7971356854831002E-2</v>
      </c>
    </row>
    <row r="100" spans="5:7" x14ac:dyDescent="0.25">
      <c r="E100" s="70">
        <f ca="1"/>
        <v>46750</v>
      </c>
      <c r="F100" s="71">
        <f ca="1"/>
        <v>1.8217086889539751E-2</v>
      </c>
      <c r="G100" s="71">
        <f ca="1"/>
        <v>1.803048697993577E-2</v>
      </c>
    </row>
    <row r="101" spans="5:7" x14ac:dyDescent="0.25">
      <c r="E101" s="70">
        <f ca="1"/>
        <v>46783</v>
      </c>
      <c r="F101" s="71">
        <f ca="1"/>
        <v>1.8283546304551007E-2</v>
      </c>
      <c r="G101" s="71">
        <f ca="1"/>
        <v>1.8094575170770014E-2</v>
      </c>
    </row>
    <row r="102" spans="5:7" x14ac:dyDescent="0.25">
      <c r="E102" s="70">
        <f ca="1"/>
        <v>46812</v>
      </c>
      <c r="F102" s="71">
        <f ca="1"/>
        <v>1.834052438592406E-2</v>
      </c>
      <c r="G102" s="71">
        <f ca="1"/>
        <v>1.8150061578878156E-2</v>
      </c>
    </row>
    <row r="103" spans="5:7" x14ac:dyDescent="0.25">
      <c r="E103" s="70">
        <f ca="1"/>
        <v>46841</v>
      </c>
      <c r="F103" s="71">
        <f ca="1"/>
        <v>1.8396160647521819E-2</v>
      </c>
      <c r="G103" s="71">
        <f ca="1"/>
        <v>1.8204763564459367E-2</v>
      </c>
    </row>
    <row r="104" spans="5:7" x14ac:dyDescent="0.25">
      <c r="E104" s="70">
        <f ca="1"/>
        <v>46871</v>
      </c>
      <c r="F104" s="71">
        <f ca="1"/>
        <v>1.845508661142075E-2</v>
      </c>
      <c r="G104" s="71">
        <f ca="1"/>
        <v>1.8263291667094322E-2</v>
      </c>
    </row>
    <row r="105" spans="5:7" x14ac:dyDescent="0.25">
      <c r="E105" s="70">
        <f ca="1"/>
        <v>46902</v>
      </c>
      <c r="F105" s="71">
        <f ca="1"/>
        <v>1.8508773650044878E-2</v>
      </c>
      <c r="G105" s="71">
        <f ca="1"/>
        <v>1.8317245730760569E-2</v>
      </c>
    </row>
    <row r="106" spans="5:7" x14ac:dyDescent="0.25">
      <c r="E106" s="70">
        <f ca="1"/>
        <v>46933</v>
      </c>
      <c r="F106" s="71">
        <f ca="1"/>
        <v>1.8563690717510271E-2</v>
      </c>
      <c r="G106" s="71">
        <f ca="1"/>
        <v>1.8373057298699532E-2</v>
      </c>
    </row>
    <row r="107" spans="5:7" x14ac:dyDescent="0.25">
      <c r="E107" s="70">
        <f ca="1"/>
        <v>46965</v>
      </c>
      <c r="F107" s="71">
        <f ca="1"/>
        <v>1.8618730737639953E-2</v>
      </c>
      <c r="G107" s="71">
        <f ca="1"/>
        <v>1.8429705891864108E-2</v>
      </c>
    </row>
    <row r="108" spans="5:7" x14ac:dyDescent="0.25">
      <c r="E108" s="70">
        <f ca="1"/>
        <v>46994</v>
      </c>
      <c r="F108" s="71">
        <f ca="1"/>
        <v>1.8667154972022284E-2</v>
      </c>
      <c r="G108" s="71">
        <f ca="1"/>
        <v>1.8480193066704894E-2</v>
      </c>
    </row>
    <row r="109" spans="5:7" x14ac:dyDescent="0.25">
      <c r="E109" s="70">
        <f ca="1"/>
        <v>47025</v>
      </c>
      <c r="F109" s="71">
        <f ca="1"/>
        <v>1.8719944641035723E-2</v>
      </c>
      <c r="G109" s="71">
        <f ca="1"/>
        <v>1.853591245109526E-2</v>
      </c>
    </row>
    <row r="110" spans="5:7" x14ac:dyDescent="0.25">
      <c r="E110" s="70">
        <f ca="1"/>
        <v>47056</v>
      </c>
      <c r="F110" s="71">
        <f ca="1"/>
        <v>1.8765999818022478E-2</v>
      </c>
      <c r="G110" s="71">
        <f ca="1"/>
        <v>1.8585395329537943E-2</v>
      </c>
    </row>
    <row r="111" spans="5:7" x14ac:dyDescent="0.25">
      <c r="E111" s="70">
        <f ca="1"/>
        <v>47086</v>
      </c>
      <c r="F111" s="71">
        <f ca="1"/>
        <v>1.8811517773894948E-2</v>
      </c>
      <c r="G111" s="71">
        <f ca="1"/>
        <v>1.8634950123394417E-2</v>
      </c>
    </row>
    <row r="112" spans="5:7" x14ac:dyDescent="0.25">
      <c r="E112" s="70">
        <f ca="1"/>
        <v>47116</v>
      </c>
      <c r="F112" s="71">
        <f ca="1"/>
        <v>1.8857716467969261E-2</v>
      </c>
      <c r="G112" s="71">
        <f ca="1"/>
        <v>1.8686069706418347E-2</v>
      </c>
    </row>
    <row r="113" spans="5:7" x14ac:dyDescent="0.25">
      <c r="E113" s="70">
        <f ca="1"/>
        <v>47147</v>
      </c>
      <c r="F113" s="71">
        <f ca="1"/>
        <v>1.8898340709535933E-2</v>
      </c>
      <c r="G113" s="71">
        <f ca="1"/>
        <v>1.8732404076621648E-2</v>
      </c>
    </row>
    <row r="114" spans="5:7" x14ac:dyDescent="0.25">
      <c r="E114" s="70">
        <f ca="1"/>
        <v>47177</v>
      </c>
      <c r="F114" s="71">
        <f ca="1"/>
        <v>1.8937825055728535E-2</v>
      </c>
      <c r="G114" s="71">
        <f ca="1"/>
        <v>1.8778488136629697E-2</v>
      </c>
    </row>
    <row r="115" spans="5:7" x14ac:dyDescent="0.25">
      <c r="E115" s="70">
        <f ca="1"/>
        <v>47206</v>
      </c>
      <c r="F115" s="71">
        <f ca="1"/>
        <v>1.897395881211553E-2</v>
      </c>
      <c r="G115" s="71">
        <f ca="1"/>
        <v>1.8821869417916914E-2</v>
      </c>
    </row>
    <row r="116" spans="5:7" x14ac:dyDescent="0.25">
      <c r="E116" s="70">
        <f ca="1"/>
        <v>47238</v>
      </c>
      <c r="F116" s="71">
        <f ca="1"/>
        <v>1.901149451362252E-2</v>
      </c>
      <c r="G116" s="71">
        <f ca="1"/>
        <v>1.8868398894028963E-2</v>
      </c>
    </row>
    <row r="117" spans="5:7" x14ac:dyDescent="0.25">
      <c r="E117" s="70">
        <f ca="1"/>
        <v>47267</v>
      </c>
      <c r="F117" s="71">
        <f ca="1"/>
        <v>1.9043380628970617E-2</v>
      </c>
      <c r="G117" s="71">
        <f ca="1"/>
        <v>1.8909344542820491E-2</v>
      </c>
    </row>
    <row r="118" spans="5:7" x14ac:dyDescent="0.25">
      <c r="E118" s="70">
        <f ca="1"/>
        <v>47298</v>
      </c>
      <c r="F118" s="71">
        <f ca="1"/>
        <v>1.9077208699635265E-2</v>
      </c>
      <c r="G118" s="71">
        <f ca="1"/>
        <v>1.895416634938011E-2</v>
      </c>
    </row>
    <row r="119" spans="5:7" x14ac:dyDescent="0.25">
      <c r="E119" s="70">
        <f ca="1"/>
        <v>47329</v>
      </c>
      <c r="F119" s="71">
        <f ca="1"/>
        <v>1.9104695760742484E-2</v>
      </c>
      <c r="G119" s="71">
        <f ca="1"/>
        <v>1.8992952912727873E-2</v>
      </c>
    </row>
    <row r="120" spans="5:7" x14ac:dyDescent="0.25">
      <c r="E120" s="70">
        <f ca="1"/>
        <v>47359</v>
      </c>
      <c r="F120" s="71">
        <f ca="1"/>
        <v>1.91309817914668E-2</v>
      </c>
      <c r="G120" s="71">
        <f ca="1"/>
        <v>1.9031469117685475E-2</v>
      </c>
    </row>
    <row r="121" spans="5:7" x14ac:dyDescent="0.25">
      <c r="E121" s="70">
        <f ca="1"/>
        <v>47389</v>
      </c>
      <c r="F121" s="71">
        <f ca="1"/>
        <v>1.9156824473399704E-2</v>
      </c>
      <c r="G121" s="71">
        <f ca="1"/>
        <v>1.9070938365014473E-2</v>
      </c>
    </row>
    <row r="122" spans="5:7" x14ac:dyDescent="0.25">
      <c r="E122" s="70">
        <f ca="1"/>
        <v>47420</v>
      </c>
      <c r="F122" s="71">
        <f ca="1"/>
        <v>1.9177552011467144E-2</v>
      </c>
      <c r="G122" s="71">
        <f ca="1"/>
        <v>1.9105841748859115E-2</v>
      </c>
    </row>
    <row r="123" spans="5:7" x14ac:dyDescent="0.25">
      <c r="E123" s="70">
        <f ca="1"/>
        <v>47451</v>
      </c>
      <c r="F123" s="71">
        <f ca="1"/>
        <v>1.9197654012878314E-2</v>
      </c>
      <c r="G123" s="71">
        <f ca="1"/>
        <v>1.9141593658040031E-2</v>
      </c>
    </row>
    <row r="124" spans="5:7" x14ac:dyDescent="0.25">
      <c r="E124" s="70" t="e">
        <f ca="1"/>
        <v>#N/A</v>
      </c>
      <c r="F124" s="71" t="e">
        <f ca="1"/>
        <v>#N/A</v>
      </c>
      <c r="G124" s="71" t="e">
        <f ca="1"/>
        <v>#N/A</v>
      </c>
    </row>
    <row r="125" spans="5:7" x14ac:dyDescent="0.25">
      <c r="E125" s="70" t="e">
        <f ca="1"/>
        <v>#N/A</v>
      </c>
      <c r="F125" s="71" t="e">
        <f ca="1"/>
        <v>#N/A</v>
      </c>
      <c r="G125" s="71" t="e">
        <f ca="1"/>
        <v>#N/A</v>
      </c>
    </row>
    <row r="126" spans="5:7" x14ac:dyDescent="0.25">
      <c r="E126" s="70" t="e">
        <f ca="1"/>
        <v>#N/A</v>
      </c>
      <c r="F126" s="71" t="e">
        <f ca="1"/>
        <v>#N/A</v>
      </c>
      <c r="G126" s="71" t="e">
        <f ca="1"/>
        <v>#N/A</v>
      </c>
    </row>
    <row r="127" spans="5:7" x14ac:dyDescent="0.25">
      <c r="E127" s="70" t="e">
        <f ca="1"/>
        <v>#N/A</v>
      </c>
      <c r="F127" s="71" t="e">
        <f ca="1"/>
        <v>#N/A</v>
      </c>
      <c r="G127" s="71" t="e">
        <f ca="1"/>
        <v>#N/A</v>
      </c>
    </row>
    <row r="128" spans="5:7" x14ac:dyDescent="0.25">
      <c r="E128" s="70" t="e">
        <f ca="1"/>
        <v>#N/A</v>
      </c>
      <c r="F128" s="71" t="e">
        <f ca="1"/>
        <v>#N/A</v>
      </c>
      <c r="G128" s="71" t="e">
        <f ca="1"/>
        <v>#N/A</v>
      </c>
    </row>
    <row r="129" spans="5:7" x14ac:dyDescent="0.25">
      <c r="E129" s="70" t="e">
        <f ca="1"/>
        <v>#N/A</v>
      </c>
      <c r="F129" s="71" t="e">
        <f ca="1"/>
        <v>#N/A</v>
      </c>
      <c r="G129" s="71" t="e">
        <f ca="1"/>
        <v>#N/A</v>
      </c>
    </row>
    <row r="130" spans="5:7" x14ac:dyDescent="0.25">
      <c r="E130" s="70" t="e">
        <f ca="1"/>
        <v>#N/A</v>
      </c>
      <c r="F130" s="71" t="e">
        <f ca="1"/>
        <v>#N/A</v>
      </c>
      <c r="G130" s="71" t="e">
        <f ca="1"/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3"/>
  </sheetPr>
  <dimension ref="B1:M40"/>
  <sheetViews>
    <sheetView showGridLines="0" workbookViewId="0"/>
  </sheetViews>
  <sheetFormatPr defaultRowHeight="15" x14ac:dyDescent="0.25"/>
  <cols>
    <col min="1" max="2" width="2.7109375" customWidth="1"/>
    <col min="3" max="3" width="30.7109375" customWidth="1"/>
    <col min="4" max="4" width="34.5703125" customWidth="1"/>
    <col min="5" max="5" width="2.7109375" customWidth="1"/>
    <col min="6" max="6" width="10.7109375" customWidth="1"/>
    <col min="7" max="7" width="15.7109375" customWidth="1"/>
    <col min="8" max="10" width="9.28515625" customWidth="1"/>
    <col min="11" max="11" width="2.7109375" customWidth="1"/>
    <col min="12" max="13" width="9.85546875" bestFit="1" customWidth="1"/>
  </cols>
  <sheetData>
    <row r="1" spans="2:13" x14ac:dyDescent="0.25">
      <c r="F1" s="76"/>
    </row>
    <row r="2" spans="2:13" x14ac:dyDescent="0.25">
      <c r="B2" s="106"/>
      <c r="D2" s="107"/>
      <c r="G2" s="108"/>
    </row>
    <row r="3" spans="2:13" x14ac:dyDescent="0.25">
      <c r="B3" s="1"/>
      <c r="C3" s="2"/>
      <c r="D3" s="3"/>
      <c r="E3" s="4"/>
      <c r="F3" s="4"/>
      <c r="G3" s="4"/>
      <c r="H3" s="4"/>
      <c r="I3" s="4"/>
      <c r="J3" s="4"/>
      <c r="K3" s="5"/>
    </row>
    <row r="4" spans="2:13" x14ac:dyDescent="0.25">
      <c r="B4" s="7"/>
      <c r="C4" s="8" t="s">
        <v>1</v>
      </c>
      <c r="D4" s="9"/>
      <c r="E4" s="10"/>
      <c r="F4" s="109" t="s">
        <v>3</v>
      </c>
      <c r="G4" s="110"/>
      <c r="H4" s="111"/>
      <c r="I4" s="111"/>
      <c r="J4" s="111"/>
      <c r="K4" s="11"/>
    </row>
    <row r="5" spans="2:13" x14ac:dyDescent="0.25">
      <c r="B5" s="7" t="s">
        <v>2</v>
      </c>
      <c r="C5" s="9"/>
      <c r="D5" s="9"/>
      <c r="E5" s="10" t="s">
        <v>2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191</v>
      </c>
      <c r="K5" s="11"/>
    </row>
    <row r="6" spans="2:13" x14ac:dyDescent="0.25">
      <c r="B6" s="7"/>
      <c r="C6" s="15" t="s">
        <v>10</v>
      </c>
      <c r="D6" s="16" t="s">
        <v>134</v>
      </c>
      <c r="E6" s="10" t="s">
        <v>2</v>
      </c>
      <c r="F6" s="204" t="s">
        <v>100</v>
      </c>
      <c r="G6" s="170">
        <v>-5.3100000000000005E-3</v>
      </c>
      <c r="H6" s="19"/>
      <c r="I6" s="27"/>
      <c r="J6" s="28" t="b">
        <v>1</v>
      </c>
      <c r="K6" s="11"/>
      <c r="M6" s="163"/>
    </row>
    <row r="7" spans="2:13" x14ac:dyDescent="0.25">
      <c r="B7" s="7"/>
      <c r="C7" s="23" t="s">
        <v>13</v>
      </c>
      <c r="D7" s="24" t="s">
        <v>14</v>
      </c>
      <c r="E7" s="10" t="s">
        <v>2</v>
      </c>
      <c r="F7" s="201" t="s">
        <v>103</v>
      </c>
      <c r="G7" s="171">
        <v>-5.3100000000000005E-3</v>
      </c>
      <c r="H7" s="27"/>
      <c r="I7" s="27"/>
      <c r="J7" s="28" t="b">
        <v>1</v>
      </c>
      <c r="K7" s="11"/>
      <c r="L7" s="73"/>
      <c r="M7" s="73"/>
    </row>
    <row r="8" spans="2:13" x14ac:dyDescent="0.25">
      <c r="B8" s="7"/>
      <c r="C8" s="23" t="s">
        <v>16</v>
      </c>
      <c r="D8" s="24" t="s">
        <v>17</v>
      </c>
      <c r="E8" s="10" t="s">
        <v>2</v>
      </c>
      <c r="F8" s="201" t="s">
        <v>110</v>
      </c>
      <c r="G8" s="171">
        <v>-5.3200000000000001E-3</v>
      </c>
      <c r="H8" s="27"/>
      <c r="I8" s="27"/>
      <c r="J8" s="28" t="b">
        <v>1</v>
      </c>
      <c r="K8" s="11"/>
      <c r="L8" s="73"/>
    </row>
    <row r="9" spans="2:13" x14ac:dyDescent="0.25">
      <c r="B9" s="7"/>
      <c r="C9" s="34" t="s">
        <v>22</v>
      </c>
      <c r="D9" s="112">
        <f>COB</f>
        <v>43798</v>
      </c>
      <c r="E9" s="10" t="s">
        <v>2</v>
      </c>
      <c r="F9" s="201" t="s">
        <v>112</v>
      </c>
      <c r="G9" s="171">
        <v>-5.3150000000000003E-3</v>
      </c>
      <c r="H9" s="27"/>
      <c r="I9" s="27"/>
      <c r="J9" s="28" t="b">
        <v>1</v>
      </c>
      <c r="K9" s="11"/>
      <c r="L9" s="73"/>
    </row>
    <row r="10" spans="2:13" x14ac:dyDescent="0.25">
      <c r="B10" s="7"/>
      <c r="C10" s="9"/>
      <c r="D10" s="9"/>
      <c r="E10" s="10" t="s">
        <v>2</v>
      </c>
      <c r="F10" s="201" t="s">
        <v>114</v>
      </c>
      <c r="G10" s="171">
        <v>-5.3500000000000006E-3</v>
      </c>
      <c r="H10" s="27"/>
      <c r="I10" s="27"/>
      <c r="J10" s="28" t="b">
        <v>1</v>
      </c>
      <c r="K10" s="11"/>
      <c r="L10" s="73"/>
    </row>
    <row r="11" spans="2:13" x14ac:dyDescent="0.25">
      <c r="B11" s="7"/>
      <c r="C11" s="10"/>
      <c r="D11" s="10"/>
      <c r="E11" s="10" t="s">
        <v>2</v>
      </c>
      <c r="F11" s="201" t="s">
        <v>116</v>
      </c>
      <c r="G11" s="171">
        <v>-5.3790000000000001E-3</v>
      </c>
      <c r="H11" s="27"/>
      <c r="I11" s="27"/>
      <c r="J11" s="28" t="b">
        <v>1</v>
      </c>
      <c r="K11" s="11"/>
      <c r="L11" s="73"/>
    </row>
    <row r="12" spans="2:13" x14ac:dyDescent="0.25">
      <c r="B12" s="7"/>
      <c r="C12" s="113" t="s">
        <v>29</v>
      </c>
      <c r="D12" s="9"/>
      <c r="E12" s="10" t="s">
        <v>2</v>
      </c>
      <c r="F12" s="201" t="s">
        <v>121</v>
      </c>
      <c r="G12" s="171">
        <v>-5.4050000000000001E-3</v>
      </c>
      <c r="H12" s="27"/>
      <c r="I12" s="27"/>
      <c r="J12" s="28" t="b">
        <v>1</v>
      </c>
      <c r="K12" s="11"/>
      <c r="L12" s="73"/>
    </row>
    <row r="13" spans="2:13" x14ac:dyDescent="0.25">
      <c r="B13" s="7"/>
      <c r="C13" s="38" t="s">
        <v>32</v>
      </c>
      <c r="D13" s="39" t="s">
        <v>213</v>
      </c>
      <c r="E13" s="10" t="s">
        <v>2</v>
      </c>
      <c r="F13" s="201" t="s">
        <v>125</v>
      </c>
      <c r="G13" s="171">
        <v>-5.4339999999999996E-3</v>
      </c>
      <c r="H13" s="27"/>
      <c r="I13" s="27"/>
      <c r="J13" s="28" t="b">
        <v>1</v>
      </c>
      <c r="K13" s="11"/>
      <c r="L13" s="73"/>
    </row>
    <row r="14" spans="2:13" x14ac:dyDescent="0.25">
      <c r="B14" s="7"/>
      <c r="C14" s="41" t="s">
        <v>34</v>
      </c>
      <c r="D14" s="114" t="str">
        <f ca="1">_xll.meLWOCurveMarketDataCreate(D13,C4,C6:D9,F4,F6:J38)</f>
        <v>EUR_ESTR_CURVE_MARKETDATA@11:1</v>
      </c>
      <c r="E14" s="10" t="s">
        <v>2</v>
      </c>
      <c r="F14" s="201" t="s">
        <v>256</v>
      </c>
      <c r="G14" s="171">
        <v>-5.4600000000000004E-3</v>
      </c>
      <c r="H14" s="27"/>
      <c r="I14" s="27"/>
      <c r="J14" s="28" t="b">
        <v>1</v>
      </c>
      <c r="K14" s="11"/>
      <c r="L14" s="73"/>
    </row>
    <row r="15" spans="2:13" x14ac:dyDescent="0.25">
      <c r="B15" s="7"/>
      <c r="C15" s="115"/>
      <c r="D15" s="9"/>
      <c r="E15" s="10" t="s">
        <v>2</v>
      </c>
      <c r="F15" s="201" t="s">
        <v>255</v>
      </c>
      <c r="G15" s="171">
        <v>-5.4900000000000001E-3</v>
      </c>
      <c r="H15" s="27"/>
      <c r="I15" s="27"/>
      <c r="J15" s="28" t="b">
        <v>1</v>
      </c>
      <c r="K15" s="11"/>
      <c r="L15" s="73"/>
    </row>
    <row r="16" spans="2:13" x14ac:dyDescent="0.25">
      <c r="B16" s="7"/>
      <c r="C16" s="36" t="s">
        <v>45</v>
      </c>
      <c r="D16" s="9"/>
      <c r="E16" s="10" t="s">
        <v>2</v>
      </c>
      <c r="F16" s="201" t="s">
        <v>254</v>
      </c>
      <c r="G16" s="171">
        <v>-5.5149999999999999E-3</v>
      </c>
      <c r="H16" s="27"/>
      <c r="I16" s="27"/>
      <c r="J16" s="28" t="b">
        <v>1</v>
      </c>
      <c r="K16" s="11"/>
      <c r="L16" s="73"/>
    </row>
    <row r="17" spans="2:12" x14ac:dyDescent="0.25">
      <c r="B17" s="7"/>
      <c r="C17" s="48" t="s">
        <v>32</v>
      </c>
      <c r="D17" s="49" t="s">
        <v>214</v>
      </c>
      <c r="E17" s="10" t="s">
        <v>2</v>
      </c>
      <c r="F17" s="201" t="s">
        <v>253</v>
      </c>
      <c r="G17" s="171">
        <v>-5.5440000000000003E-3</v>
      </c>
      <c r="H17" s="27"/>
      <c r="I17" s="27"/>
      <c r="J17" s="28" t="b">
        <v>1</v>
      </c>
      <c r="K17" s="11"/>
      <c r="L17" s="73"/>
    </row>
    <row r="18" spans="2:12" x14ac:dyDescent="0.25">
      <c r="B18" s="7"/>
      <c r="C18" s="50" t="s">
        <v>53</v>
      </c>
      <c r="D18" s="116" t="str">
        <f ca="1">CURVE_GENERATOR_ESTR</f>
        <v>EUR_ESTR_CURVE_GENERATOR@2:2</v>
      </c>
      <c r="E18" s="10" t="s">
        <v>2</v>
      </c>
      <c r="F18" s="201" t="s">
        <v>252</v>
      </c>
      <c r="G18" s="171">
        <v>-5.5649999999999996E-3</v>
      </c>
      <c r="H18" s="27"/>
      <c r="I18" s="27"/>
      <c r="J18" s="28" t="b">
        <v>1</v>
      </c>
      <c r="K18" s="11"/>
      <c r="L18" s="73"/>
    </row>
    <row r="19" spans="2:12" x14ac:dyDescent="0.25">
      <c r="B19" s="7"/>
      <c r="C19" s="50" t="s">
        <v>57</v>
      </c>
      <c r="D19" s="51" t="s">
        <v>194</v>
      </c>
      <c r="E19" s="10" t="s">
        <v>2</v>
      </c>
      <c r="F19" s="201" t="s">
        <v>129</v>
      </c>
      <c r="G19" s="171">
        <v>-5.5899999999999995E-3</v>
      </c>
      <c r="H19" s="27"/>
      <c r="I19" s="27"/>
      <c r="J19" s="28" t="b">
        <v>1</v>
      </c>
      <c r="K19" s="11"/>
      <c r="L19" s="73"/>
    </row>
    <row r="20" spans="2:12" x14ac:dyDescent="0.25">
      <c r="B20" s="7"/>
      <c r="C20" s="52" t="s">
        <v>62</v>
      </c>
      <c r="D20" s="53"/>
      <c r="E20" s="10" t="s">
        <v>2</v>
      </c>
      <c r="F20" s="201" t="s">
        <v>132</v>
      </c>
      <c r="G20" s="171">
        <v>-5.6899999999999997E-3</v>
      </c>
      <c r="H20" s="27"/>
      <c r="I20" s="27"/>
      <c r="J20" s="28" t="b">
        <v>1</v>
      </c>
      <c r="K20" s="11"/>
      <c r="L20" s="73"/>
    </row>
    <row r="21" spans="2:12" x14ac:dyDescent="0.25">
      <c r="B21" s="7"/>
      <c r="C21" s="10"/>
      <c r="D21" s="10"/>
      <c r="E21" s="10" t="s">
        <v>2</v>
      </c>
      <c r="F21" s="201" t="s">
        <v>30</v>
      </c>
      <c r="G21" s="171">
        <v>-5.7229999999999998E-3</v>
      </c>
      <c r="H21" s="27"/>
      <c r="I21" s="27"/>
      <c r="J21" s="28" t="b">
        <v>1</v>
      </c>
      <c r="K21" s="11"/>
      <c r="L21" s="73"/>
    </row>
    <row r="22" spans="2:12" x14ac:dyDescent="0.25">
      <c r="B22" s="7"/>
      <c r="C22" s="36" t="s">
        <v>73</v>
      </c>
      <c r="D22" s="10"/>
      <c r="E22" s="10" t="s">
        <v>2</v>
      </c>
      <c r="F22" s="201" t="s">
        <v>140</v>
      </c>
      <c r="G22" s="171">
        <v>-5.6119999999999998E-3</v>
      </c>
      <c r="H22" s="27"/>
      <c r="I22" s="27"/>
      <c r="J22" s="28" t="b">
        <v>1</v>
      </c>
      <c r="K22" s="11"/>
      <c r="L22" s="73"/>
    </row>
    <row r="23" spans="2:12" x14ac:dyDescent="0.25">
      <c r="B23" s="7"/>
      <c r="C23" s="44" t="s">
        <v>32</v>
      </c>
      <c r="D23" s="55" t="str">
        <f t="array" aca="1" ref="D23:D26" ca="1">IF(USD_SOFR_CURVE!$G$31,_xll.meLWOCurveCalibrate(D17,D18,D14,D19,D20),"LOAD USD SOFR CURVE")</f>
        <v>EUR_ESTR_CURVE@12:1</v>
      </c>
      <c r="E23" s="10" t="s">
        <v>2</v>
      </c>
      <c r="F23" s="201" t="s">
        <v>143</v>
      </c>
      <c r="G23" s="171">
        <v>-5.3429999999999997E-3</v>
      </c>
      <c r="H23" s="27"/>
      <c r="I23" s="27"/>
      <c r="J23" s="28" t="b">
        <v>1</v>
      </c>
      <c r="K23" s="11"/>
      <c r="L23" s="73"/>
    </row>
    <row r="24" spans="2:12" x14ac:dyDescent="0.25">
      <c r="B24" s="7"/>
      <c r="C24" s="46" t="s">
        <v>77</v>
      </c>
      <c r="D24" s="47" t="str">
        <f ca="1"/>
        <v>EURYC</v>
      </c>
      <c r="E24" s="10" t="s">
        <v>2</v>
      </c>
      <c r="F24" s="201" t="s">
        <v>35</v>
      </c>
      <c r="G24" s="171">
        <v>-4.9620000000000003E-3</v>
      </c>
      <c r="H24" s="27"/>
      <c r="I24" s="27"/>
      <c r="J24" s="28" t="b">
        <v>1</v>
      </c>
      <c r="K24" s="11"/>
      <c r="L24" s="73"/>
    </row>
    <row r="25" spans="2:12" x14ac:dyDescent="0.25">
      <c r="B25" s="7"/>
      <c r="C25" s="46" t="s">
        <v>80</v>
      </c>
      <c r="D25" s="47" t="str">
        <f ca="1"/>
        <v>ARR:ESTR</v>
      </c>
      <c r="E25" s="10" t="s">
        <v>2</v>
      </c>
      <c r="F25" s="201" t="s">
        <v>148</v>
      </c>
      <c r="G25" s="171">
        <v>-4.4709999999999993E-3</v>
      </c>
      <c r="H25" s="27"/>
      <c r="I25" s="27"/>
      <c r="J25" s="28" t="b">
        <v>1</v>
      </c>
      <c r="K25" s="11"/>
      <c r="L25" s="73"/>
    </row>
    <row r="26" spans="2:12" x14ac:dyDescent="0.25">
      <c r="B26" s="7"/>
      <c r="C26" s="58" t="s">
        <v>83</v>
      </c>
      <c r="D26" s="56" t="str">
        <f ca="1"/>
        <v>2.10600 sec</v>
      </c>
      <c r="E26" s="10"/>
      <c r="F26" s="201" t="s">
        <v>36</v>
      </c>
      <c r="G26" s="171">
        <v>-3.9450000000000006E-3</v>
      </c>
      <c r="H26" s="27"/>
      <c r="I26" s="27"/>
      <c r="J26" s="28" t="b">
        <v>1</v>
      </c>
      <c r="K26" s="11"/>
      <c r="L26" s="73"/>
    </row>
    <row r="27" spans="2:12" x14ac:dyDescent="0.25">
      <c r="B27" s="7"/>
      <c r="C27" s="63" t="s">
        <v>84</v>
      </c>
      <c r="D27" s="64" t="b">
        <f ca="1">_xll.meLWOExists(D23,"CURVE")</f>
        <v>1</v>
      </c>
      <c r="E27" s="10"/>
      <c r="F27" s="201" t="s">
        <v>154</v>
      </c>
      <c r="G27" s="171">
        <v>-3.3500000000000001E-3</v>
      </c>
      <c r="H27" s="27"/>
      <c r="I27" s="27"/>
      <c r="J27" s="28" t="b">
        <v>1</v>
      </c>
      <c r="K27" s="11"/>
      <c r="L27" s="73"/>
    </row>
    <row r="28" spans="2:12" x14ac:dyDescent="0.25">
      <c r="B28" s="7"/>
      <c r="C28" s="10"/>
      <c r="D28" s="10"/>
      <c r="E28" s="10"/>
      <c r="F28" s="201" t="s">
        <v>158</v>
      </c>
      <c r="G28" s="171">
        <v>-2.7400000000000002E-3</v>
      </c>
      <c r="H28" s="27"/>
      <c r="I28" s="27"/>
      <c r="J28" s="28" t="b">
        <v>1</v>
      </c>
      <c r="K28" s="11"/>
      <c r="L28" s="73"/>
    </row>
    <row r="29" spans="2:12" x14ac:dyDescent="0.25">
      <c r="B29" s="7"/>
      <c r="C29" s="10"/>
      <c r="D29" s="10"/>
      <c r="E29" s="10"/>
      <c r="F29" s="201" t="s">
        <v>39</v>
      </c>
      <c r="G29" s="171">
        <v>-2.1400000000000004E-3</v>
      </c>
      <c r="H29" s="27"/>
      <c r="I29" s="27"/>
      <c r="J29" s="28" t="b">
        <v>1</v>
      </c>
      <c r="K29" s="11"/>
      <c r="L29" s="73"/>
    </row>
    <row r="30" spans="2:12" x14ac:dyDescent="0.25">
      <c r="B30" s="7"/>
      <c r="C30" s="10"/>
      <c r="D30" s="10"/>
      <c r="E30" s="10"/>
      <c r="F30" s="201" t="s">
        <v>163</v>
      </c>
      <c r="G30" s="171">
        <v>-1.555E-3</v>
      </c>
      <c r="H30" s="27"/>
      <c r="I30" s="27"/>
      <c r="J30" s="28" t="b">
        <v>1</v>
      </c>
      <c r="K30" s="11"/>
      <c r="L30" s="73"/>
    </row>
    <row r="31" spans="2:12" x14ac:dyDescent="0.25">
      <c r="B31" s="7"/>
      <c r="C31" s="10"/>
      <c r="D31" s="10"/>
      <c r="E31" s="10"/>
      <c r="F31" s="201" t="s">
        <v>42</v>
      </c>
      <c r="G31" s="171">
        <v>-1.0070000000000001E-3</v>
      </c>
      <c r="H31" s="27"/>
      <c r="I31" s="27"/>
      <c r="J31" s="28" t="b">
        <v>1</v>
      </c>
      <c r="K31" s="11"/>
      <c r="L31" s="73"/>
    </row>
    <row r="32" spans="2:12" x14ac:dyDescent="0.25">
      <c r="B32" s="7"/>
      <c r="C32" s="10"/>
      <c r="D32" s="10"/>
      <c r="E32" s="10" t="s">
        <v>2</v>
      </c>
      <c r="F32" s="201" t="s">
        <v>46</v>
      </c>
      <c r="G32" s="171">
        <v>4.4500000000000008E-4</v>
      </c>
      <c r="H32" s="27"/>
      <c r="I32" s="27"/>
      <c r="J32" s="28" t="b">
        <v>1</v>
      </c>
      <c r="K32" s="11"/>
      <c r="L32" s="73"/>
    </row>
    <row r="33" spans="2:12" x14ac:dyDescent="0.25">
      <c r="B33" s="7"/>
      <c r="C33" s="10"/>
      <c r="D33" s="10"/>
      <c r="E33" s="10" t="s">
        <v>2</v>
      </c>
      <c r="F33" s="201" t="s">
        <v>50</v>
      </c>
      <c r="G33" s="171">
        <v>1.8400000000000001E-3</v>
      </c>
      <c r="H33" s="27"/>
      <c r="I33" s="27"/>
      <c r="J33" s="28" t="b">
        <v>1</v>
      </c>
      <c r="K33" s="11"/>
      <c r="L33" s="73"/>
    </row>
    <row r="34" spans="2:12" x14ac:dyDescent="0.25">
      <c r="B34" s="7"/>
      <c r="C34" s="10"/>
      <c r="D34" s="10"/>
      <c r="E34" s="10" t="s">
        <v>2</v>
      </c>
      <c r="F34" s="201" t="s">
        <v>54</v>
      </c>
      <c r="G34" s="171">
        <v>2.32E-3</v>
      </c>
      <c r="H34" s="27"/>
      <c r="I34" s="27"/>
      <c r="J34" s="28" t="b">
        <v>1</v>
      </c>
      <c r="K34" s="11"/>
      <c r="L34" s="73"/>
    </row>
    <row r="35" spans="2:12" x14ac:dyDescent="0.25">
      <c r="B35" s="7"/>
      <c r="C35" s="10"/>
      <c r="D35" s="10"/>
      <c r="E35" s="10" t="s">
        <v>2</v>
      </c>
      <c r="F35" s="201" t="s">
        <v>59</v>
      </c>
      <c r="G35" s="171">
        <v>2.3549999999999999E-3</v>
      </c>
      <c r="H35" s="27"/>
      <c r="I35" s="27"/>
      <c r="J35" s="28" t="b">
        <v>1</v>
      </c>
      <c r="K35" s="11"/>
      <c r="L35" s="73"/>
    </row>
    <row r="36" spans="2:12" x14ac:dyDescent="0.25">
      <c r="B36" s="7"/>
      <c r="C36" s="10"/>
      <c r="D36" s="10"/>
      <c r="E36" s="10" t="s">
        <v>2</v>
      </c>
      <c r="F36" s="201" t="s">
        <v>63</v>
      </c>
      <c r="G36" s="171">
        <v>1.9870000000000001E-3</v>
      </c>
      <c r="H36" s="27"/>
      <c r="I36" s="27"/>
      <c r="J36" s="28" t="b">
        <v>1</v>
      </c>
      <c r="K36" s="11"/>
      <c r="L36" s="73"/>
    </row>
    <row r="37" spans="2:12" x14ac:dyDescent="0.25">
      <c r="B37" s="7"/>
      <c r="C37" s="10"/>
      <c r="D37" s="10"/>
      <c r="E37" s="10" t="s">
        <v>2</v>
      </c>
      <c r="F37" s="201" t="s">
        <v>66</v>
      </c>
      <c r="G37" s="171">
        <v>1.48E-3</v>
      </c>
      <c r="H37" s="27"/>
      <c r="I37" s="27"/>
      <c r="J37" s="28" t="b">
        <v>1</v>
      </c>
      <c r="K37" s="11"/>
      <c r="L37" s="73"/>
    </row>
    <row r="38" spans="2:12" x14ac:dyDescent="0.25">
      <c r="B38" s="7"/>
      <c r="C38" s="10"/>
      <c r="D38" s="10"/>
      <c r="E38" s="10"/>
      <c r="F38" s="59"/>
      <c r="G38" s="172"/>
      <c r="H38" s="61"/>
      <c r="I38" s="61"/>
      <c r="J38" s="62"/>
      <c r="K38" s="11"/>
      <c r="L38" s="73"/>
    </row>
    <row r="39" spans="2:12" x14ac:dyDescent="0.25">
      <c r="B39" s="7"/>
      <c r="C39" s="10"/>
      <c r="D39" s="10"/>
      <c r="E39" s="10"/>
      <c r="F39" s="10"/>
      <c r="G39" s="10"/>
      <c r="H39" s="10"/>
      <c r="I39" s="10"/>
      <c r="J39" s="10"/>
      <c r="K39" s="11"/>
    </row>
    <row r="40" spans="2:12" x14ac:dyDescent="0.25">
      <c r="B40" s="65"/>
      <c r="C40" s="66"/>
      <c r="D40" s="66"/>
      <c r="E40" s="66"/>
      <c r="F40" s="66"/>
      <c r="G40" s="66"/>
      <c r="H40" s="66"/>
      <c r="I40" s="66"/>
      <c r="J40" s="66"/>
      <c r="K40" s="6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/>
  </sheetPr>
  <dimension ref="C1:P41"/>
  <sheetViews>
    <sheetView showGridLines="0" workbookViewId="0"/>
  </sheetViews>
  <sheetFormatPr defaultRowHeight="15" x14ac:dyDescent="0.25"/>
  <cols>
    <col min="1" max="1" width="2.7109375" customWidth="1"/>
    <col min="3" max="3" width="2.7109375" customWidth="1"/>
    <col min="4" max="4" width="30.7109375" customWidth="1"/>
    <col min="5" max="5" width="35.7109375" customWidth="1"/>
    <col min="6" max="6" width="2.7109375" customWidth="1"/>
    <col min="7" max="7" width="10.7109375" customWidth="1"/>
    <col min="8" max="8" width="15.7109375" customWidth="1"/>
    <col min="9" max="11" width="9.28515625" customWidth="1"/>
    <col min="12" max="12" width="2.7109375" customWidth="1"/>
    <col min="13" max="13" width="9.85546875" bestFit="1" customWidth="1"/>
    <col min="15" max="16" width="9.85546875" bestFit="1" customWidth="1"/>
  </cols>
  <sheetData>
    <row r="1" spans="3:16" x14ac:dyDescent="0.25">
      <c r="G1" s="76"/>
    </row>
    <row r="2" spans="3:16" x14ac:dyDescent="0.25">
      <c r="C2" s="106"/>
      <c r="E2" s="107"/>
      <c r="H2" s="108"/>
    </row>
    <row r="3" spans="3:16" x14ac:dyDescent="0.25">
      <c r="C3" s="1"/>
      <c r="D3" s="2"/>
      <c r="E3" s="3"/>
      <c r="F3" s="4"/>
      <c r="G3" s="4"/>
      <c r="H3" s="4"/>
      <c r="I3" s="4"/>
      <c r="J3" s="4"/>
      <c r="K3" s="4"/>
      <c r="L3" s="5"/>
    </row>
    <row r="4" spans="3:16" x14ac:dyDescent="0.25">
      <c r="C4" s="7"/>
      <c r="D4" s="8" t="s">
        <v>1</v>
      </c>
      <c r="E4" s="9"/>
      <c r="F4" s="10"/>
      <c r="G4" s="109" t="s">
        <v>3</v>
      </c>
      <c r="H4" s="110"/>
      <c r="I4" s="111"/>
      <c r="J4" s="111"/>
      <c r="K4" s="111"/>
      <c r="L4" s="11"/>
      <c r="N4" s="173" t="s">
        <v>262</v>
      </c>
    </row>
    <row r="5" spans="3:16" x14ac:dyDescent="0.25">
      <c r="C5" s="7" t="s">
        <v>2</v>
      </c>
      <c r="D5" s="9"/>
      <c r="E5" s="9"/>
      <c r="F5" s="10" t="s">
        <v>2</v>
      </c>
      <c r="G5" s="12" t="s">
        <v>4</v>
      </c>
      <c r="H5" s="12" t="s">
        <v>5</v>
      </c>
      <c r="I5" s="12" t="s">
        <v>6</v>
      </c>
      <c r="J5" s="12" t="s">
        <v>7</v>
      </c>
      <c r="K5" s="12" t="s">
        <v>191</v>
      </c>
      <c r="L5" s="11"/>
    </row>
    <row r="6" spans="3:16" x14ac:dyDescent="0.25">
      <c r="C6" s="7"/>
      <c r="D6" s="15" t="s">
        <v>10</v>
      </c>
      <c r="E6" s="16" t="s">
        <v>134</v>
      </c>
      <c r="F6" s="10" t="s">
        <v>2</v>
      </c>
      <c r="G6" s="204" t="str">
        <f>SETTINGS!C5</f>
        <v>1D</v>
      </c>
      <c r="H6" s="170">
        <f>_xll.BDP(SETTINGS!D5,"PX_LAST")%</f>
        <v>-4.4600000000000004E-3</v>
      </c>
      <c r="I6" s="205"/>
      <c r="J6" s="206"/>
      <c r="K6" s="28" t="b">
        <v>1</v>
      </c>
      <c r="L6" s="11"/>
      <c r="N6" s="207" t="str">
        <f>EUR_ESTR_CURVE!F6</f>
        <v>1D</v>
      </c>
      <c r="O6" s="208">
        <f>EUR_ESTR_CURVE!G6</f>
        <v>-5.3100000000000005E-3</v>
      </c>
      <c r="P6" s="209">
        <f t="shared" ref="P6:P37" si="0">H6-O6</f>
        <v>8.5000000000000006E-4</v>
      </c>
    </row>
    <row r="7" spans="3:16" x14ac:dyDescent="0.25">
      <c r="C7" s="7"/>
      <c r="D7" s="23" t="s">
        <v>13</v>
      </c>
      <c r="E7" s="24" t="s">
        <v>3</v>
      </c>
      <c r="F7" s="10" t="s">
        <v>2</v>
      </c>
      <c r="G7" s="201" t="str">
        <f>SETTINGS!C6</f>
        <v>2W</v>
      </c>
      <c r="H7" s="171">
        <f>_xll.BDP(SETTINGS!D6,"PX_LAST")%</f>
        <v>-4.4600000000000004E-3</v>
      </c>
      <c r="I7" s="206"/>
      <c r="J7" s="206"/>
      <c r="K7" s="28" t="b">
        <v>1</v>
      </c>
      <c r="L7" s="11"/>
      <c r="M7" s="73"/>
      <c r="N7" s="207" t="str">
        <f>EUR_ESTR_CURVE!F7</f>
        <v>2W</v>
      </c>
      <c r="O7" s="208">
        <f>EUR_ESTR_CURVE!G7</f>
        <v>-5.3100000000000005E-3</v>
      </c>
      <c r="P7" s="209">
        <f t="shared" si="0"/>
        <v>8.5000000000000006E-4</v>
      </c>
    </row>
    <row r="8" spans="3:16" x14ac:dyDescent="0.25">
      <c r="C8" s="7"/>
      <c r="D8" s="23" t="s">
        <v>16</v>
      </c>
      <c r="E8" s="24" t="s">
        <v>17</v>
      </c>
      <c r="F8" s="10" t="s">
        <v>2</v>
      </c>
      <c r="G8" s="201" t="str">
        <f>SETTINGS!C7</f>
        <v>1M</v>
      </c>
      <c r="H8" s="171">
        <f>_xll.BDP(SETTINGS!D7,"PX_LAST")%</f>
        <v>-4.47E-3</v>
      </c>
      <c r="I8" s="206"/>
      <c r="J8" s="206"/>
      <c r="K8" s="28" t="b">
        <v>1</v>
      </c>
      <c r="L8" s="11"/>
      <c r="M8" s="73"/>
      <c r="N8" s="207" t="str">
        <f>EUR_ESTR_CURVE!F8</f>
        <v>1M</v>
      </c>
      <c r="O8" s="208">
        <f>EUR_ESTR_CURVE!G8</f>
        <v>-5.3200000000000001E-3</v>
      </c>
      <c r="P8" s="209">
        <f t="shared" si="0"/>
        <v>8.5000000000000006E-4</v>
      </c>
    </row>
    <row r="9" spans="3:16" x14ac:dyDescent="0.25">
      <c r="C9" s="7"/>
      <c r="D9" s="34" t="s">
        <v>22</v>
      </c>
      <c r="E9" s="112">
        <f>COB</f>
        <v>43798</v>
      </c>
      <c r="F9" s="10" t="s">
        <v>2</v>
      </c>
      <c r="G9" s="201" t="str">
        <f>SETTINGS!C8</f>
        <v>2M</v>
      </c>
      <c r="H9" s="171">
        <f>_xll.BDP(SETTINGS!D8,"PX_LAST")%</f>
        <v>-4.4770000000000001E-3</v>
      </c>
      <c r="I9" s="206"/>
      <c r="J9" s="206"/>
      <c r="K9" s="28" t="b">
        <v>1</v>
      </c>
      <c r="L9" s="11"/>
      <c r="M9" s="73"/>
      <c r="N9" s="207" t="str">
        <f>EUR_ESTR_CURVE!F9</f>
        <v>2M</v>
      </c>
      <c r="O9" s="208">
        <f>EUR_ESTR_CURVE!G9</f>
        <v>-5.3150000000000003E-3</v>
      </c>
      <c r="P9" s="209">
        <f t="shared" si="0"/>
        <v>8.380000000000002E-4</v>
      </c>
    </row>
    <row r="10" spans="3:16" x14ac:dyDescent="0.25">
      <c r="C10" s="7"/>
      <c r="D10" s="9"/>
      <c r="E10" s="9"/>
      <c r="F10" s="10" t="s">
        <v>2</v>
      </c>
      <c r="G10" s="201" t="str">
        <f>SETTINGS!C9</f>
        <v>3M</v>
      </c>
      <c r="H10" s="171">
        <f>_xll.BDP(SETTINGS!D9,"PX_LAST")%</f>
        <v>-4.5000000000000005E-3</v>
      </c>
      <c r="I10" s="206"/>
      <c r="J10" s="206"/>
      <c r="K10" s="28" t="b">
        <v>1</v>
      </c>
      <c r="L10" s="11"/>
      <c r="M10" s="73"/>
      <c r="N10" s="207" t="str">
        <f>EUR_ESTR_CURVE!F10</f>
        <v>3M</v>
      </c>
      <c r="O10" s="208">
        <f>EUR_ESTR_CURVE!G10</f>
        <v>-5.3500000000000006E-3</v>
      </c>
      <c r="P10" s="209">
        <f t="shared" si="0"/>
        <v>8.5000000000000006E-4</v>
      </c>
    </row>
    <row r="11" spans="3:16" x14ac:dyDescent="0.25">
      <c r="C11" s="7"/>
      <c r="D11" s="10"/>
      <c r="E11" s="10"/>
      <c r="F11" s="10" t="s">
        <v>2</v>
      </c>
      <c r="G11" s="201" t="str">
        <f>SETTINGS!C10</f>
        <v>4M</v>
      </c>
      <c r="H11" s="171">
        <f>_xll.BDP(SETTINGS!D10,"PX_LAST")%</f>
        <v>-4.5269999999999998E-3</v>
      </c>
      <c r="I11" s="206"/>
      <c r="J11" s="206"/>
      <c r="K11" s="28" t="b">
        <v>1</v>
      </c>
      <c r="L11" s="11"/>
      <c r="M11" s="73"/>
      <c r="N11" s="207" t="str">
        <f>EUR_ESTR_CURVE!F11</f>
        <v>4M</v>
      </c>
      <c r="O11" s="208">
        <f>EUR_ESTR_CURVE!G11</f>
        <v>-5.3790000000000001E-3</v>
      </c>
      <c r="P11" s="209">
        <f t="shared" si="0"/>
        <v>8.5200000000000033E-4</v>
      </c>
    </row>
    <row r="12" spans="3:16" x14ac:dyDescent="0.25">
      <c r="C12" s="7"/>
      <c r="D12" s="113" t="s">
        <v>29</v>
      </c>
      <c r="E12" s="9"/>
      <c r="F12" s="10" t="s">
        <v>2</v>
      </c>
      <c r="G12" s="201" t="str">
        <f>SETTINGS!C11</f>
        <v>5M</v>
      </c>
      <c r="H12" s="171">
        <f>_xll.BDP(SETTINGS!D11,"PX_LAST")%</f>
        <v>-4.555E-3</v>
      </c>
      <c r="I12" s="206"/>
      <c r="J12" s="206"/>
      <c r="K12" s="28" t="b">
        <v>1</v>
      </c>
      <c r="L12" s="11"/>
      <c r="M12" s="73"/>
      <c r="N12" s="207" t="str">
        <f>EUR_ESTR_CURVE!F12</f>
        <v>5M</v>
      </c>
      <c r="O12" s="208">
        <f>EUR_ESTR_CURVE!G12</f>
        <v>-5.4050000000000001E-3</v>
      </c>
      <c r="P12" s="209">
        <f t="shared" si="0"/>
        <v>8.5000000000000006E-4</v>
      </c>
    </row>
    <row r="13" spans="3:16" x14ac:dyDescent="0.25">
      <c r="C13" s="7"/>
      <c r="D13" s="38" t="s">
        <v>32</v>
      </c>
      <c r="E13" s="39" t="s">
        <v>192</v>
      </c>
      <c r="F13" s="10" t="s">
        <v>2</v>
      </c>
      <c r="G13" s="201" t="str">
        <f>SETTINGS!C12</f>
        <v>6M</v>
      </c>
      <c r="H13" s="171">
        <f>_xll.BDP(SETTINGS!D12,"PX_LAST")%</f>
        <v>-4.5760000000000002E-3</v>
      </c>
      <c r="I13" s="206"/>
      <c r="J13" s="206"/>
      <c r="K13" s="28" t="b">
        <v>1</v>
      </c>
      <c r="L13" s="11"/>
      <c r="M13" s="73"/>
      <c r="N13" s="207" t="str">
        <f>EUR_ESTR_CURVE!F13</f>
        <v>6M</v>
      </c>
      <c r="O13" s="208">
        <f>EUR_ESTR_CURVE!G13</f>
        <v>-5.4339999999999996E-3</v>
      </c>
      <c r="P13" s="209">
        <f t="shared" si="0"/>
        <v>8.5799999999999939E-4</v>
      </c>
    </row>
    <row r="14" spans="3:16" x14ac:dyDescent="0.25">
      <c r="C14" s="7"/>
      <c r="D14" s="41" t="s">
        <v>34</v>
      </c>
      <c r="E14" s="114" t="str">
        <f ca="1">_xll.meLWOCurveMarketDataCreate(E13,D4,D6:E9,G4,G6:K39)</f>
        <v>EUR_EONIA_CURVE_MARKETDATA@13:1</v>
      </c>
      <c r="F14" s="10" t="s">
        <v>2</v>
      </c>
      <c r="G14" s="201" t="str">
        <f>SETTINGS!C13</f>
        <v>7M</v>
      </c>
      <c r="H14" s="171">
        <f>_xll.BDP(SETTINGS!D13,"PX_LAST")%</f>
        <v>-4.6029999999999995E-3</v>
      </c>
      <c r="I14" s="206"/>
      <c r="J14" s="206"/>
      <c r="K14" s="28" t="b">
        <v>1</v>
      </c>
      <c r="L14" s="11"/>
      <c r="M14" s="73"/>
      <c r="N14" s="207" t="str">
        <f>EUR_ESTR_CURVE!F14</f>
        <v>7M</v>
      </c>
      <c r="O14" s="208">
        <f>EUR_ESTR_CURVE!G14</f>
        <v>-5.4600000000000004E-3</v>
      </c>
      <c r="P14" s="209">
        <f t="shared" si="0"/>
        <v>8.5700000000000099E-4</v>
      </c>
    </row>
    <row r="15" spans="3:16" x14ac:dyDescent="0.25">
      <c r="C15" s="7"/>
      <c r="D15" s="115"/>
      <c r="E15" s="9"/>
      <c r="F15" s="10" t="s">
        <v>2</v>
      </c>
      <c r="G15" s="201" t="str">
        <f>SETTINGS!C14</f>
        <v>8M</v>
      </c>
      <c r="H15" s="171">
        <f>_xll.BDP(SETTINGS!D14,"PX_LAST")%</f>
        <v>-4.6319999999999998E-3</v>
      </c>
      <c r="I15" s="206"/>
      <c r="J15" s="206"/>
      <c r="K15" s="28" t="b">
        <v>1</v>
      </c>
      <c r="L15" s="11"/>
      <c r="M15" s="73"/>
      <c r="N15" s="207" t="str">
        <f>EUR_ESTR_CURVE!F15</f>
        <v>8M</v>
      </c>
      <c r="O15" s="208">
        <f>EUR_ESTR_CURVE!G15</f>
        <v>-5.4900000000000001E-3</v>
      </c>
      <c r="P15" s="209">
        <f t="shared" si="0"/>
        <v>8.5800000000000026E-4</v>
      </c>
    </row>
    <row r="16" spans="3:16" x14ac:dyDescent="0.25">
      <c r="C16" s="7"/>
      <c r="D16" s="115"/>
      <c r="E16" s="9"/>
      <c r="F16" s="10" t="s">
        <v>2</v>
      </c>
      <c r="G16" s="201" t="str">
        <f>SETTINGS!C15</f>
        <v>9M</v>
      </c>
      <c r="H16" s="171">
        <f>_xll.BDP(SETTINGS!D15,"PX_LAST")%</f>
        <v>-4.6569999999999997E-3</v>
      </c>
      <c r="I16" s="206"/>
      <c r="J16" s="206"/>
      <c r="K16" s="28" t="b">
        <v>1</v>
      </c>
      <c r="L16" s="11"/>
      <c r="M16" s="73"/>
      <c r="N16" s="207" t="str">
        <f>EUR_ESTR_CURVE!F16</f>
        <v>9M</v>
      </c>
      <c r="O16" s="208">
        <f>EUR_ESTR_CURVE!G16</f>
        <v>-5.5149999999999999E-3</v>
      </c>
      <c r="P16" s="209">
        <f t="shared" si="0"/>
        <v>8.5800000000000026E-4</v>
      </c>
    </row>
    <row r="17" spans="3:16" x14ac:dyDescent="0.25">
      <c r="C17" s="7"/>
      <c r="D17" s="115"/>
      <c r="E17" s="9"/>
      <c r="F17" s="10" t="s">
        <v>2</v>
      </c>
      <c r="G17" s="201" t="str">
        <f>SETTINGS!C16</f>
        <v>10M</v>
      </c>
      <c r="H17" s="171">
        <f>_xll.BDP(SETTINGS!D16,"PX_LAST")%</f>
        <v>-4.6800000000000001E-3</v>
      </c>
      <c r="I17" s="206"/>
      <c r="J17" s="206"/>
      <c r="K17" s="28" t="b">
        <v>1</v>
      </c>
      <c r="L17" s="11"/>
      <c r="M17" s="73"/>
      <c r="N17" s="207" t="str">
        <f>EUR_ESTR_CURVE!F17</f>
        <v>10M</v>
      </c>
      <c r="O17" s="208">
        <f>EUR_ESTR_CURVE!G17</f>
        <v>-5.5440000000000003E-3</v>
      </c>
      <c r="P17" s="209">
        <f t="shared" si="0"/>
        <v>8.6400000000000018E-4</v>
      </c>
    </row>
    <row r="18" spans="3:16" x14ac:dyDescent="0.25">
      <c r="C18" s="7"/>
      <c r="D18" s="115"/>
      <c r="E18" s="9"/>
      <c r="F18" s="10" t="s">
        <v>2</v>
      </c>
      <c r="G18" s="201" t="str">
        <f>SETTINGS!C17</f>
        <v>11M</v>
      </c>
      <c r="H18" s="171">
        <f>_xll.BDP(SETTINGS!D17,"PX_LAST")%</f>
        <v>-4.7010000000000003E-3</v>
      </c>
      <c r="I18" s="206"/>
      <c r="J18" s="206"/>
      <c r="K18" s="28" t="b">
        <v>1</v>
      </c>
      <c r="L18" s="11"/>
      <c r="M18" s="73"/>
      <c r="N18" s="207" t="str">
        <f>EUR_ESTR_CURVE!F18</f>
        <v>11M</v>
      </c>
      <c r="O18" s="208">
        <f>EUR_ESTR_CURVE!G18</f>
        <v>-5.5649999999999996E-3</v>
      </c>
      <c r="P18" s="209">
        <f t="shared" si="0"/>
        <v>8.6399999999999932E-4</v>
      </c>
    </row>
    <row r="19" spans="3:16" x14ac:dyDescent="0.25">
      <c r="C19" s="7"/>
      <c r="D19" s="115"/>
      <c r="E19" s="9"/>
      <c r="F19" s="10" t="s">
        <v>2</v>
      </c>
      <c r="G19" s="201" t="str">
        <f>SETTINGS!C18</f>
        <v>1Y</v>
      </c>
      <c r="H19" s="171">
        <f>_xll.BDP(SETTINGS!D18,"PX_LAST")%</f>
        <v>-4.7299999999999998E-3</v>
      </c>
      <c r="I19" s="206"/>
      <c r="J19" s="206"/>
      <c r="K19" s="28" t="b">
        <v>1</v>
      </c>
      <c r="L19" s="11"/>
      <c r="M19" s="73"/>
      <c r="N19" s="207" t="str">
        <f>EUR_ESTR_CURVE!F19</f>
        <v>1Y</v>
      </c>
      <c r="O19" s="208">
        <f>EUR_ESTR_CURVE!G19</f>
        <v>-5.5899999999999995E-3</v>
      </c>
      <c r="P19" s="209">
        <f t="shared" si="0"/>
        <v>8.5999999999999965E-4</v>
      </c>
    </row>
    <row r="20" spans="3:16" x14ac:dyDescent="0.25">
      <c r="C20" s="7"/>
      <c r="D20" s="36" t="s">
        <v>45</v>
      </c>
      <c r="E20" s="9"/>
      <c r="F20" s="10" t="s">
        <v>2</v>
      </c>
      <c r="G20" s="201" t="str">
        <f>SETTINGS!C19</f>
        <v>18M</v>
      </c>
      <c r="H20" s="171">
        <f>_xll.BDP(SETTINGS!D19,"PX_LAST")%</f>
        <v>-4.8240000000000002E-3</v>
      </c>
      <c r="I20" s="206"/>
      <c r="J20" s="206"/>
      <c r="K20" s="28" t="b">
        <v>1</v>
      </c>
      <c r="L20" s="11"/>
      <c r="M20" s="73"/>
      <c r="N20" s="207" t="str">
        <f>EUR_ESTR_CURVE!F20</f>
        <v>18M</v>
      </c>
      <c r="O20" s="208">
        <f>EUR_ESTR_CURVE!G20</f>
        <v>-5.6899999999999997E-3</v>
      </c>
      <c r="P20" s="209">
        <f t="shared" si="0"/>
        <v>8.6599999999999958E-4</v>
      </c>
    </row>
    <row r="21" spans="3:16" x14ac:dyDescent="0.25">
      <c r="C21" s="7"/>
      <c r="D21" s="48" t="s">
        <v>32</v>
      </c>
      <c r="E21" s="49" t="s">
        <v>193</v>
      </c>
      <c r="F21" s="10" t="s">
        <v>2</v>
      </c>
      <c r="G21" s="201" t="str">
        <f>SETTINGS!C20</f>
        <v>2Y</v>
      </c>
      <c r="H21" s="171">
        <f>_xll.BDP(SETTINGS!D20,"PX_LAST")%</f>
        <v>-4.8509999999999994E-3</v>
      </c>
      <c r="I21" s="206"/>
      <c r="J21" s="206"/>
      <c r="K21" s="28" t="b">
        <v>1</v>
      </c>
      <c r="L21" s="11"/>
      <c r="M21" s="73"/>
      <c r="N21" s="207" t="str">
        <f>EUR_ESTR_CURVE!F21</f>
        <v>2Y</v>
      </c>
      <c r="O21" s="208">
        <f>EUR_ESTR_CURVE!G21</f>
        <v>-5.7229999999999998E-3</v>
      </c>
      <c r="P21" s="209">
        <f t="shared" si="0"/>
        <v>8.7200000000000038E-4</v>
      </c>
    </row>
    <row r="22" spans="3:16" x14ac:dyDescent="0.25">
      <c r="C22" s="7"/>
      <c r="D22" s="50" t="s">
        <v>53</v>
      </c>
      <c r="E22" s="116" t="str">
        <f ca="1">CURVE_GENERATOR_EONIA</f>
        <v>EUR_EONIA_CURVE_GENERATOR@3:2</v>
      </c>
      <c r="F22" s="10" t="s">
        <v>2</v>
      </c>
      <c r="G22" s="201" t="str">
        <f>SETTINGS!C21</f>
        <v>3Y</v>
      </c>
      <c r="H22" s="171">
        <f>_xll.BDP(SETTINGS!D21,"PX_LAST")%</f>
        <v>-4.7410000000000004E-3</v>
      </c>
      <c r="I22" s="206"/>
      <c r="J22" s="206"/>
      <c r="K22" s="28" t="b">
        <v>1</v>
      </c>
      <c r="L22" s="11"/>
      <c r="M22" s="73"/>
      <c r="N22" s="207" t="str">
        <f>EUR_ESTR_CURVE!F22</f>
        <v>3Y</v>
      </c>
      <c r="O22" s="208">
        <f>EUR_ESTR_CURVE!G22</f>
        <v>-5.6119999999999998E-3</v>
      </c>
      <c r="P22" s="209">
        <f t="shared" si="0"/>
        <v>8.7099999999999938E-4</v>
      </c>
    </row>
    <row r="23" spans="3:16" x14ac:dyDescent="0.25">
      <c r="C23" s="7"/>
      <c r="D23" s="50" t="s">
        <v>57</v>
      </c>
      <c r="E23" s="51" t="s">
        <v>194</v>
      </c>
      <c r="F23" s="10" t="s">
        <v>2</v>
      </c>
      <c r="G23" s="201" t="str">
        <f>SETTINGS!C22</f>
        <v>4Y</v>
      </c>
      <c r="H23" s="171">
        <f>_xll.BDP(SETTINGS!D22,"PX_LAST")%</f>
        <v>-4.47E-3</v>
      </c>
      <c r="I23" s="206"/>
      <c r="J23" s="206"/>
      <c r="K23" s="28" t="b">
        <v>1</v>
      </c>
      <c r="L23" s="11"/>
      <c r="M23" s="73"/>
      <c r="N23" s="207" t="str">
        <f>EUR_ESTR_CURVE!F23</f>
        <v>4Y</v>
      </c>
      <c r="O23" s="208">
        <f>EUR_ESTR_CURVE!G23</f>
        <v>-5.3429999999999997E-3</v>
      </c>
      <c r="P23" s="209">
        <f t="shared" si="0"/>
        <v>8.7299999999999964E-4</v>
      </c>
    </row>
    <row r="24" spans="3:16" x14ac:dyDescent="0.25">
      <c r="C24" s="7"/>
      <c r="D24" s="52" t="s">
        <v>62</v>
      </c>
      <c r="E24" s="53"/>
      <c r="F24" s="10" t="s">
        <v>2</v>
      </c>
      <c r="G24" s="201" t="str">
        <f>SETTINGS!C23</f>
        <v>5Y</v>
      </c>
      <c r="H24" s="171">
        <f>_xll.BDP(SETTINGS!D23,"PX_LAST")%</f>
        <v>-4.0920000000000002E-3</v>
      </c>
      <c r="I24" s="206"/>
      <c r="J24" s="206"/>
      <c r="K24" s="28" t="b">
        <v>1</v>
      </c>
      <c r="L24" s="11"/>
      <c r="M24" s="73"/>
      <c r="N24" s="207" t="str">
        <f>EUR_ESTR_CURVE!F24</f>
        <v>5Y</v>
      </c>
      <c r="O24" s="208">
        <f>EUR_ESTR_CURVE!G24</f>
        <v>-4.9620000000000003E-3</v>
      </c>
      <c r="P24" s="209">
        <f t="shared" si="0"/>
        <v>8.7000000000000011E-4</v>
      </c>
    </row>
    <row r="25" spans="3:16" x14ac:dyDescent="0.25">
      <c r="C25" s="7"/>
      <c r="D25" s="10"/>
      <c r="E25" s="10"/>
      <c r="F25" s="10" t="s">
        <v>2</v>
      </c>
      <c r="G25" s="201" t="str">
        <f>SETTINGS!C24</f>
        <v>6Y</v>
      </c>
      <c r="H25" s="171">
        <f>_xll.BDP(SETTINGS!D24,"PX_LAST")%</f>
        <v>-3.6080000000000001E-3</v>
      </c>
      <c r="I25" s="206"/>
      <c r="J25" s="206"/>
      <c r="K25" s="28" t="b">
        <v>1</v>
      </c>
      <c r="L25" s="11"/>
      <c r="M25" s="73"/>
      <c r="N25" s="207" t="str">
        <f>EUR_ESTR_CURVE!F25</f>
        <v>6Y</v>
      </c>
      <c r="O25" s="208">
        <f>EUR_ESTR_CURVE!G25</f>
        <v>-4.4709999999999993E-3</v>
      </c>
      <c r="P25" s="209">
        <f t="shared" si="0"/>
        <v>8.6299999999999918E-4</v>
      </c>
    </row>
    <row r="26" spans="3:16" x14ac:dyDescent="0.25">
      <c r="C26" s="7"/>
      <c r="D26" s="10"/>
      <c r="E26" s="10"/>
      <c r="F26" s="10" t="s">
        <v>2</v>
      </c>
      <c r="G26" s="201" t="str">
        <f>SETTINGS!C25</f>
        <v>7Y</v>
      </c>
      <c r="H26" s="171">
        <f>_xll.BDP(SETTINGS!D25,"PX_LAST")%</f>
        <v>-3.0799999999999998E-3</v>
      </c>
      <c r="I26" s="206"/>
      <c r="J26" s="206"/>
      <c r="K26" s="28" t="b">
        <v>1</v>
      </c>
      <c r="L26" s="11"/>
      <c r="M26" s="73"/>
      <c r="N26" s="207" t="str">
        <f>EUR_ESTR_CURVE!F26</f>
        <v>7Y</v>
      </c>
      <c r="O26" s="208">
        <f>EUR_ESTR_CURVE!G26</f>
        <v>-3.9450000000000006E-3</v>
      </c>
      <c r="P26" s="209">
        <f t="shared" si="0"/>
        <v>8.6500000000000075E-4</v>
      </c>
    </row>
    <row r="27" spans="3:16" x14ac:dyDescent="0.25">
      <c r="C27" s="7"/>
      <c r="D27" s="36" t="s">
        <v>73</v>
      </c>
      <c r="E27" s="10"/>
      <c r="F27" s="10" t="s">
        <v>2</v>
      </c>
      <c r="G27" s="201" t="str">
        <f>SETTINGS!C26</f>
        <v>8Y</v>
      </c>
      <c r="H27" s="171">
        <f>_xll.BDP(SETTINGS!D26,"PX_LAST")%</f>
        <v>-2.4909999999999997E-3</v>
      </c>
      <c r="I27" s="206"/>
      <c r="J27" s="206"/>
      <c r="K27" s="28" t="b">
        <v>1</v>
      </c>
      <c r="L27" s="11"/>
      <c r="M27" s="73"/>
      <c r="N27" s="207" t="str">
        <f>EUR_ESTR_CURVE!F27</f>
        <v>8Y</v>
      </c>
      <c r="O27" s="208">
        <f>EUR_ESTR_CURVE!G27</f>
        <v>-3.3500000000000001E-3</v>
      </c>
      <c r="P27" s="209">
        <f t="shared" si="0"/>
        <v>8.5900000000000039E-4</v>
      </c>
    </row>
    <row r="28" spans="3:16" x14ac:dyDescent="0.25">
      <c r="C28" s="7"/>
      <c r="D28" s="44" t="s">
        <v>32</v>
      </c>
      <c r="E28" s="55" t="str">
        <f t="array" aca="1" ref="E28:E31" ca="1">IF(EUR_ESTR_CURVE!$D$27,_xll.meLWOCurveCalibrate(E21,E22,E14,E23,E24),"LOAD EONIA CURVE")</f>
        <v>EUR_EONIA_CURVE@14:1</v>
      </c>
      <c r="F28" s="10" t="s">
        <v>2</v>
      </c>
      <c r="G28" s="201" t="str">
        <f>SETTINGS!C27</f>
        <v>9Y</v>
      </c>
      <c r="H28" s="171">
        <f>_xll.BDP(SETTINGS!D27,"PX_LAST")%</f>
        <v>-1.8940000000000001E-3</v>
      </c>
      <c r="I28" s="206"/>
      <c r="J28" s="206"/>
      <c r="K28" s="28" t="b">
        <v>1</v>
      </c>
      <c r="L28" s="11"/>
      <c r="M28" s="73"/>
      <c r="N28" s="207" t="str">
        <f>EUR_ESTR_CURVE!F28</f>
        <v>9Y</v>
      </c>
      <c r="O28" s="208">
        <f>EUR_ESTR_CURVE!G28</f>
        <v>-2.7400000000000002E-3</v>
      </c>
      <c r="P28" s="209">
        <f t="shared" si="0"/>
        <v>8.4600000000000018E-4</v>
      </c>
    </row>
    <row r="29" spans="3:16" x14ac:dyDescent="0.25">
      <c r="C29" s="7"/>
      <c r="D29" s="46" t="s">
        <v>77</v>
      </c>
      <c r="E29" s="47" t="str">
        <f ca="1"/>
        <v>EURYC</v>
      </c>
      <c r="F29" s="10" t="s">
        <v>2</v>
      </c>
      <c r="G29" s="201" t="str">
        <f>SETTINGS!C28</f>
        <v>10Y</v>
      </c>
      <c r="H29" s="171">
        <f>_xll.BDP(SETTINGS!D28,"PX_LAST")%</f>
        <v>-1.3009999999999999E-3</v>
      </c>
      <c r="I29" s="206"/>
      <c r="J29" s="206"/>
      <c r="K29" s="28" t="b">
        <v>1</v>
      </c>
      <c r="L29" s="11"/>
      <c r="M29" s="73"/>
      <c r="N29" s="207" t="str">
        <f>EUR_ESTR_CURVE!F29</f>
        <v>10Y</v>
      </c>
      <c r="O29" s="208">
        <f>EUR_ESTR_CURVE!G29</f>
        <v>-2.1400000000000004E-3</v>
      </c>
      <c r="P29" s="209">
        <f t="shared" si="0"/>
        <v>8.3900000000000055E-4</v>
      </c>
    </row>
    <row r="30" spans="3:16" x14ac:dyDescent="0.25">
      <c r="C30" s="7"/>
      <c r="D30" s="46" t="s">
        <v>80</v>
      </c>
      <c r="E30" s="47" t="str">
        <f ca="1"/>
        <v>OIS:EONIA</v>
      </c>
      <c r="F30" s="10" t="s">
        <v>2</v>
      </c>
      <c r="G30" s="201" t="str">
        <f>SETTINGS!C29</f>
        <v>11Y</v>
      </c>
      <c r="H30" s="171">
        <f>_xll.BDP(SETTINGS!D29,"PX_LAST")%</f>
        <v>-7.1699999999999997E-4</v>
      </c>
      <c r="I30" s="206"/>
      <c r="J30" s="206"/>
      <c r="K30" s="28" t="b">
        <v>1</v>
      </c>
      <c r="L30" s="11"/>
      <c r="M30" s="73"/>
      <c r="N30" s="207" t="str">
        <f>EUR_ESTR_CURVE!F30</f>
        <v>11Y</v>
      </c>
      <c r="O30" s="208">
        <f>EUR_ESTR_CURVE!G30</f>
        <v>-1.555E-3</v>
      </c>
      <c r="P30" s="209">
        <f t="shared" si="0"/>
        <v>8.3799999999999999E-4</v>
      </c>
    </row>
    <row r="31" spans="3:16" x14ac:dyDescent="0.25">
      <c r="C31" s="7"/>
      <c r="D31" s="58" t="s">
        <v>83</v>
      </c>
      <c r="E31" s="56" t="str">
        <f ca="1"/>
        <v>2.27300 sec</v>
      </c>
      <c r="F31" s="10" t="s">
        <v>2</v>
      </c>
      <c r="G31" s="201" t="str">
        <f>SETTINGS!C30</f>
        <v>12Y</v>
      </c>
      <c r="H31" s="171">
        <f>_xll.BDP(SETTINGS!D30,"PX_LAST")%</f>
        <v>-1.6699999999999999E-4</v>
      </c>
      <c r="I31" s="206"/>
      <c r="J31" s="206"/>
      <c r="K31" s="28" t="b">
        <v>1</v>
      </c>
      <c r="L31" s="11"/>
      <c r="M31" s="73"/>
      <c r="N31" s="207" t="str">
        <f>EUR_ESTR_CURVE!F31</f>
        <v>12Y</v>
      </c>
      <c r="O31" s="208">
        <f>EUR_ESTR_CURVE!G31</f>
        <v>-1.0070000000000001E-3</v>
      </c>
      <c r="P31" s="209">
        <f t="shared" si="0"/>
        <v>8.4000000000000003E-4</v>
      </c>
    </row>
    <row r="32" spans="3:16" x14ac:dyDescent="0.25">
      <c r="C32" s="7"/>
      <c r="D32" s="63" t="s">
        <v>84</v>
      </c>
      <c r="E32" s="64" t="b">
        <f ca="1">_xll.meLWOExists(E28,"CURVE")</f>
        <v>1</v>
      </c>
      <c r="F32" s="10"/>
      <c r="G32" s="201" t="str">
        <f>SETTINGS!C31</f>
        <v>15Y</v>
      </c>
      <c r="H32" s="171">
        <f>_xll.BDP(SETTINGS!D31,"PX_LAST")%</f>
        <v>1.2700000000000001E-3</v>
      </c>
      <c r="I32" s="206"/>
      <c r="J32" s="206"/>
      <c r="K32" s="28" t="b">
        <v>1</v>
      </c>
      <c r="L32" s="11"/>
      <c r="M32" s="73"/>
      <c r="N32" s="207" t="str">
        <f>EUR_ESTR_CURVE!F32</f>
        <v>15Y</v>
      </c>
      <c r="O32" s="208">
        <f>EUR_ESTR_CURVE!G32</f>
        <v>4.4500000000000008E-4</v>
      </c>
      <c r="P32" s="209">
        <f t="shared" si="0"/>
        <v>8.25E-4</v>
      </c>
    </row>
    <row r="33" spans="3:16" x14ac:dyDescent="0.25">
      <c r="C33" s="7"/>
      <c r="D33" s="10"/>
      <c r="E33" s="10"/>
      <c r="F33" s="10"/>
      <c r="G33" s="201" t="str">
        <f>SETTINGS!C32</f>
        <v>20Y</v>
      </c>
      <c r="H33" s="171">
        <f>_xll.BDP(SETTINGS!D32,"PX_LAST")%</f>
        <v>2.6750000000000003E-3</v>
      </c>
      <c r="I33" s="206"/>
      <c r="J33" s="206"/>
      <c r="K33" s="28" t="b">
        <v>1</v>
      </c>
      <c r="L33" s="11"/>
      <c r="M33" s="73"/>
      <c r="N33" s="207" t="str">
        <f>EUR_ESTR_CURVE!F33</f>
        <v>20Y</v>
      </c>
      <c r="O33" s="208">
        <f>EUR_ESTR_CURVE!G33</f>
        <v>1.8400000000000001E-3</v>
      </c>
      <c r="P33" s="209">
        <f t="shared" si="0"/>
        <v>8.3500000000000024E-4</v>
      </c>
    </row>
    <row r="34" spans="3:16" x14ac:dyDescent="0.25">
      <c r="C34" s="7"/>
      <c r="D34" s="10"/>
      <c r="E34" s="10"/>
      <c r="F34" s="10"/>
      <c r="G34" s="201" t="str">
        <f>SETTINGS!C33</f>
        <v>25Y</v>
      </c>
      <c r="H34" s="171">
        <f>_xll.BDP(SETTINGS!D33,"PX_LAST")%</f>
        <v>3.15E-3</v>
      </c>
      <c r="I34" s="206"/>
      <c r="J34" s="206"/>
      <c r="K34" s="28" t="b">
        <v>1</v>
      </c>
      <c r="L34" s="11"/>
      <c r="M34" s="73"/>
      <c r="N34" s="207" t="str">
        <f>EUR_ESTR_CURVE!F34</f>
        <v>25Y</v>
      </c>
      <c r="O34" s="208">
        <f>EUR_ESTR_CURVE!G34</f>
        <v>2.32E-3</v>
      </c>
      <c r="P34" s="209">
        <f t="shared" si="0"/>
        <v>8.3000000000000001E-4</v>
      </c>
    </row>
    <row r="35" spans="3:16" x14ac:dyDescent="0.25">
      <c r="C35" s="7"/>
      <c r="D35" s="10"/>
      <c r="E35" s="10"/>
      <c r="F35" s="10"/>
      <c r="G35" s="201" t="str">
        <f>SETTINGS!C34</f>
        <v>30Y</v>
      </c>
      <c r="H35" s="171">
        <f>_xll.BDP(SETTINGS!D34,"PX_LAST")%</f>
        <v>3.1769999999999997E-3</v>
      </c>
      <c r="I35" s="206"/>
      <c r="J35" s="206"/>
      <c r="K35" s="28" t="b">
        <v>1</v>
      </c>
      <c r="L35" s="11"/>
      <c r="M35" s="73"/>
      <c r="N35" s="207" t="str">
        <f>EUR_ESTR_CURVE!F35</f>
        <v>30Y</v>
      </c>
      <c r="O35" s="208">
        <f>EUR_ESTR_CURVE!G35</f>
        <v>2.3549999999999999E-3</v>
      </c>
      <c r="P35" s="209">
        <f t="shared" si="0"/>
        <v>8.2199999999999981E-4</v>
      </c>
    </row>
    <row r="36" spans="3:16" x14ac:dyDescent="0.25">
      <c r="C36" s="7"/>
      <c r="D36" s="10"/>
      <c r="E36" s="10"/>
      <c r="F36" s="10"/>
      <c r="G36" s="201" t="str">
        <f>SETTINGS!C35</f>
        <v>40Y</v>
      </c>
      <c r="H36" s="171">
        <f>_xll.BDP(SETTINGS!D35,"PX_LAST")%</f>
        <v>2.8319999999999999E-3</v>
      </c>
      <c r="I36" s="206"/>
      <c r="J36" s="206"/>
      <c r="K36" s="28" t="b">
        <v>1</v>
      </c>
      <c r="L36" s="11"/>
      <c r="M36" s="73"/>
      <c r="N36" s="207" t="str">
        <f>EUR_ESTR_CURVE!F36</f>
        <v>40Y</v>
      </c>
      <c r="O36" s="208">
        <f>EUR_ESTR_CURVE!G36</f>
        <v>1.9870000000000001E-3</v>
      </c>
      <c r="P36" s="209">
        <f t="shared" si="0"/>
        <v>8.4499999999999983E-4</v>
      </c>
    </row>
    <row r="37" spans="3:16" x14ac:dyDescent="0.25">
      <c r="C37" s="7"/>
      <c r="D37" s="10"/>
      <c r="E37" s="10"/>
      <c r="F37" s="10"/>
      <c r="G37" s="201" t="str">
        <f>SETTINGS!C36</f>
        <v>50Y</v>
      </c>
      <c r="H37" s="171">
        <f>_xll.BDP(SETTINGS!D36,"PX_LAST")%</f>
        <v>2.33E-3</v>
      </c>
      <c r="I37" s="206"/>
      <c r="J37" s="206"/>
      <c r="K37" s="28" t="b">
        <v>1</v>
      </c>
      <c r="L37" s="11"/>
      <c r="M37" s="73"/>
      <c r="N37" s="207" t="str">
        <f>EUR_ESTR_CURVE!F37</f>
        <v>50Y</v>
      </c>
      <c r="O37" s="208">
        <f>EUR_ESTR_CURVE!G37</f>
        <v>1.48E-3</v>
      </c>
      <c r="P37" s="209">
        <f t="shared" si="0"/>
        <v>8.5000000000000006E-4</v>
      </c>
    </row>
    <row r="38" spans="3:16" x14ac:dyDescent="0.25">
      <c r="C38" s="7"/>
      <c r="D38" s="10"/>
      <c r="E38" s="10"/>
      <c r="F38" s="10"/>
      <c r="G38" s="25"/>
      <c r="H38" s="171"/>
      <c r="I38" s="27"/>
      <c r="J38" s="27"/>
      <c r="K38" s="57"/>
      <c r="L38" s="11"/>
      <c r="M38" s="73"/>
    </row>
    <row r="39" spans="3:16" x14ac:dyDescent="0.25">
      <c r="C39" s="7"/>
      <c r="D39" s="10"/>
      <c r="E39" s="10"/>
      <c r="F39" s="10"/>
      <c r="G39" s="59"/>
      <c r="H39" s="172"/>
      <c r="I39" s="61"/>
      <c r="J39" s="61"/>
      <c r="K39" s="62"/>
      <c r="L39" s="11"/>
      <c r="M39" s="73"/>
    </row>
    <row r="40" spans="3:16" x14ac:dyDescent="0.25">
      <c r="C40" s="7"/>
      <c r="D40" s="10"/>
      <c r="E40" s="10"/>
      <c r="F40" s="10"/>
      <c r="G40" s="10"/>
      <c r="H40" s="10"/>
      <c r="I40" s="10"/>
      <c r="J40" s="10"/>
      <c r="K40" s="10"/>
      <c r="L40" s="11"/>
    </row>
    <row r="41" spans="3:16" x14ac:dyDescent="0.25">
      <c r="C41" s="65"/>
      <c r="D41" s="66"/>
      <c r="E41" s="66"/>
      <c r="F41" s="66"/>
      <c r="G41" s="66"/>
      <c r="H41" s="66"/>
      <c r="I41" s="66"/>
      <c r="J41" s="66"/>
      <c r="K41" s="66"/>
      <c r="L41" s="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2:G130"/>
  <sheetViews>
    <sheetView showGridLines="0" zoomScaleNormal="100" workbookViewId="0"/>
  </sheetViews>
  <sheetFormatPr defaultRowHeight="15" x14ac:dyDescent="0.25"/>
  <cols>
    <col min="2" max="2" width="15.7109375" customWidth="1"/>
    <col min="5" max="5" width="15.7109375" customWidth="1"/>
    <col min="6" max="7" width="12.7109375" customWidth="1"/>
  </cols>
  <sheetData>
    <row r="2" spans="2:7" x14ac:dyDescent="0.25">
      <c r="B2" t="s">
        <v>92</v>
      </c>
      <c r="C2" t="s">
        <v>194</v>
      </c>
      <c r="E2" s="69" t="str">
        <f t="array" aca="1" ref="E2:G130" ca="1">_xll.meLWOCurveForwardRatesTable(C2,C3:C4)</f>
        <v>Fixing Dates</v>
      </c>
      <c r="F2" s="69" t="str">
        <f ca="1"/>
        <v>EONIA</v>
      </c>
      <c r="G2" s="69" t="str">
        <f ca="1"/>
        <v>ESTR</v>
      </c>
    </row>
    <row r="3" spans="2:7" x14ac:dyDescent="0.25">
      <c r="B3" t="s">
        <v>93</v>
      </c>
      <c r="C3" t="s">
        <v>128</v>
      </c>
      <c r="E3" s="70">
        <f ca="1"/>
        <v>43798</v>
      </c>
      <c r="F3" s="71">
        <f ca="1"/>
        <v>-4.4599447448634422E-3</v>
      </c>
      <c r="G3" s="71">
        <f ca="1"/>
        <v>-5.3099216767149571E-3</v>
      </c>
    </row>
    <row r="4" spans="2:7" x14ac:dyDescent="0.25">
      <c r="C4" t="s">
        <v>219</v>
      </c>
      <c r="E4" s="70">
        <f ca="1"/>
        <v>43829</v>
      </c>
      <c r="F4" s="71">
        <f ca="1"/>
        <v>-4.4828280881770094E-3</v>
      </c>
      <c r="G4" s="71">
        <f ca="1"/>
        <v>-5.3285470791353184E-3</v>
      </c>
    </row>
    <row r="5" spans="2:7" x14ac:dyDescent="0.25">
      <c r="E5" s="70">
        <f ca="1"/>
        <v>43859</v>
      </c>
      <c r="F5" s="71">
        <f ca="1"/>
        <v>-4.5016587996871294E-3</v>
      </c>
      <c r="G5" s="71">
        <f ca="1"/>
        <v>-5.3372257876471898E-3</v>
      </c>
    </row>
    <row r="6" spans="2:7" x14ac:dyDescent="0.25">
      <c r="E6" s="70">
        <f ca="1"/>
        <v>43889</v>
      </c>
      <c r="F6" s="71">
        <f ca="1"/>
        <v>-4.5793314219810671E-3</v>
      </c>
      <c r="G6" s="71">
        <f ca="1"/>
        <v>-5.4637483511798916E-3</v>
      </c>
    </row>
    <row r="7" spans="2:7" x14ac:dyDescent="0.25">
      <c r="E7" s="70">
        <f ca="1"/>
        <v>43920</v>
      </c>
      <c r="F7" s="71">
        <f ca="1"/>
        <v>-4.6389778241584688E-3</v>
      </c>
      <c r="G7" s="71">
        <f ca="1"/>
        <v>-5.482616452354724E-3</v>
      </c>
    </row>
    <row r="8" spans="2:7" x14ac:dyDescent="0.25">
      <c r="E8" s="70">
        <f ca="1"/>
        <v>43950</v>
      </c>
      <c r="F8" s="71">
        <f ca="1"/>
        <v>-4.6822878687891199E-3</v>
      </c>
      <c r="G8" s="71">
        <f ca="1"/>
        <v>-5.5464098157864882E-3</v>
      </c>
    </row>
    <row r="9" spans="2:7" x14ac:dyDescent="0.25">
      <c r="E9" s="70">
        <f ca="1"/>
        <v>43980</v>
      </c>
      <c r="F9" s="71">
        <f ca="1"/>
        <v>-4.7163147248286017E-3</v>
      </c>
      <c r="G9" s="71">
        <f ca="1"/>
        <v>-5.6126431962866463E-3</v>
      </c>
    </row>
    <row r="10" spans="2:7" x14ac:dyDescent="0.25">
      <c r="E10" s="70">
        <f ca="1"/>
        <v>44011</v>
      </c>
      <c r="F10" s="71">
        <f ca="1"/>
        <v>-4.8132210516049941E-3</v>
      </c>
      <c r="G10" s="71">
        <f ca="1"/>
        <v>-5.6645609177685885E-3</v>
      </c>
    </row>
    <row r="11" spans="2:7" x14ac:dyDescent="0.25">
      <c r="E11" s="70">
        <f ca="1"/>
        <v>44041</v>
      </c>
      <c r="F11" s="71">
        <f ca="1"/>
        <v>-4.8582691180820876E-3</v>
      </c>
      <c r="G11" s="71">
        <f ca="1"/>
        <v>-5.7278962272855538E-3</v>
      </c>
    </row>
    <row r="12" spans="2:7" x14ac:dyDescent="0.25">
      <c r="E12" s="70">
        <f ca="1"/>
        <v>44074</v>
      </c>
      <c r="F12" s="71">
        <f ca="1"/>
        <v>-4.8803114490825368E-3</v>
      </c>
      <c r="G12" s="71">
        <f ca="1"/>
        <v>-5.7674318910283726E-3</v>
      </c>
    </row>
    <row r="13" spans="2:7" x14ac:dyDescent="0.25">
      <c r="E13" s="70">
        <f ca="1"/>
        <v>44103</v>
      </c>
      <c r="F13" s="71">
        <f ca="1"/>
        <v>-4.9034163903627533E-3</v>
      </c>
      <c r="G13" s="71">
        <f ca="1"/>
        <v>-5.8285866275032058E-3</v>
      </c>
    </row>
    <row r="14" spans="2:7" x14ac:dyDescent="0.25">
      <c r="E14" s="70">
        <f ca="1"/>
        <v>44133</v>
      </c>
      <c r="F14" s="71">
        <f ca="1"/>
        <v>-4.9848391587703662E-3</v>
      </c>
      <c r="G14" s="71">
        <f ca="1"/>
        <v>-5.8323824534367782E-3</v>
      </c>
    </row>
    <row r="15" spans="2:7" x14ac:dyDescent="0.25">
      <c r="E15" s="70">
        <f ca="1"/>
        <v>44165</v>
      </c>
      <c r="F15" s="71">
        <f ca="1"/>
        <v>-5.1020875916130319E-3</v>
      </c>
      <c r="G15" s="71">
        <f ca="1"/>
        <v>-5.9239411190859168E-3</v>
      </c>
    </row>
    <row r="16" spans="2:7" x14ac:dyDescent="0.25">
      <c r="E16" s="70">
        <f ca="1"/>
        <v>44194</v>
      </c>
      <c r="F16" s="71">
        <f ca="1"/>
        <v>-5.0653440733850101E-3</v>
      </c>
      <c r="G16" s="71">
        <f ca="1"/>
        <v>-5.9130274612284803E-3</v>
      </c>
    </row>
    <row r="17" spans="5:7" x14ac:dyDescent="0.25">
      <c r="E17" s="70">
        <f ca="1"/>
        <v>44225</v>
      </c>
      <c r="F17" s="71">
        <f ca="1"/>
        <v>-5.0320195570652442E-3</v>
      </c>
      <c r="G17" s="71">
        <f ca="1"/>
        <v>-5.9029322440595985E-3</v>
      </c>
    </row>
    <row r="18" spans="5:7" x14ac:dyDescent="0.25">
      <c r="E18" s="70">
        <f ca="1"/>
        <v>44253</v>
      </c>
      <c r="F18" s="71">
        <f ca="1"/>
        <v>-5.0100552647869461E-3</v>
      </c>
      <c r="G18" s="71">
        <f ca="1"/>
        <v>-5.8965036461256157E-3</v>
      </c>
    </row>
    <row r="19" spans="5:7" x14ac:dyDescent="0.25">
      <c r="E19" s="70">
        <f ca="1"/>
        <v>44284</v>
      </c>
      <c r="F19" s="71">
        <f ca="1"/>
        <v>-4.9939656721154253E-3</v>
      </c>
      <c r="G19" s="71">
        <f ca="1"/>
        <v>-5.8921100758846587E-3</v>
      </c>
    </row>
    <row r="20" spans="5:7" x14ac:dyDescent="0.25">
      <c r="E20" s="70">
        <f ca="1"/>
        <v>44315</v>
      </c>
      <c r="F20" s="71">
        <f ca="1"/>
        <v>-4.9852749182388752E-3</v>
      </c>
      <c r="G20" s="71">
        <f ca="1"/>
        <v>-5.8900730848687952E-3</v>
      </c>
    </row>
    <row r="21" spans="5:7" x14ac:dyDescent="0.25">
      <c r="E21" s="70">
        <f ca="1"/>
        <v>44347</v>
      </c>
      <c r="F21" s="71">
        <f ca="1"/>
        <v>-4.9848225421023247E-3</v>
      </c>
      <c r="G21" s="71">
        <f ca="1"/>
        <v>-5.8907386375217849E-3</v>
      </c>
    </row>
    <row r="22" spans="5:7" x14ac:dyDescent="0.25">
      <c r="E22" s="70">
        <f ca="1"/>
        <v>44376</v>
      </c>
      <c r="F22" s="71">
        <f ca="1"/>
        <v>-4.9858521355528214E-3</v>
      </c>
      <c r="G22" s="71">
        <f ca="1"/>
        <v>-5.8895923402646697E-3</v>
      </c>
    </row>
    <row r="23" spans="5:7" x14ac:dyDescent="0.25">
      <c r="E23" s="70">
        <f ca="1"/>
        <v>44406</v>
      </c>
      <c r="F23" s="71">
        <f ca="1"/>
        <v>-4.9792641783330711E-3</v>
      </c>
      <c r="G23" s="71">
        <f ca="1"/>
        <v>-5.880360266838934E-3</v>
      </c>
    </row>
    <row r="24" spans="5:7" x14ac:dyDescent="0.25">
      <c r="E24" s="70">
        <f ca="1"/>
        <v>44438</v>
      </c>
      <c r="F24" s="71">
        <f ca="1"/>
        <v>-4.9636101638084358E-3</v>
      </c>
      <c r="G24" s="71">
        <f ca="1"/>
        <v>-5.8614679216706586E-3</v>
      </c>
    </row>
    <row r="25" spans="5:7" x14ac:dyDescent="0.25">
      <c r="E25" s="70">
        <f ca="1"/>
        <v>44468</v>
      </c>
      <c r="F25" s="71">
        <f ca="1"/>
        <v>-4.9408604863865509E-3</v>
      </c>
      <c r="G25" s="71">
        <f ca="1"/>
        <v>-5.8352937317352124E-3</v>
      </c>
    </row>
    <row r="26" spans="5:7" x14ac:dyDescent="0.25">
      <c r="E26" s="70">
        <f ca="1"/>
        <v>44498</v>
      </c>
      <c r="F26" s="71">
        <f ca="1"/>
        <v>-4.9090879222735313E-3</v>
      </c>
      <c r="G26" s="71">
        <f ca="1"/>
        <v>-5.7995641174146892E-3</v>
      </c>
    </row>
    <row r="27" spans="5:7" x14ac:dyDescent="0.25">
      <c r="E27" s="70">
        <f ca="1"/>
        <v>44529</v>
      </c>
      <c r="F27" s="71">
        <f ca="1"/>
        <v>-4.8705602295307134E-3</v>
      </c>
      <c r="G27" s="71">
        <f ca="1"/>
        <v>-5.7568833688126583E-3</v>
      </c>
    </row>
    <row r="28" spans="5:7" x14ac:dyDescent="0.25">
      <c r="E28" s="70">
        <f ca="1"/>
        <v>44559</v>
      </c>
      <c r="F28" s="71">
        <f ca="1"/>
        <v>-4.8261839952435E-3</v>
      </c>
      <c r="G28" s="71">
        <f ca="1"/>
        <v>-5.7083315470096907E-3</v>
      </c>
    </row>
    <row r="29" spans="5:7" x14ac:dyDescent="0.25">
      <c r="E29" s="70">
        <f ca="1"/>
        <v>44592</v>
      </c>
      <c r="F29" s="71">
        <f ca="1"/>
        <v>-4.7742695417874077E-3</v>
      </c>
      <c r="G29" s="71">
        <f ca="1"/>
        <v>-5.6524922926293386E-3</v>
      </c>
    </row>
    <row r="30" spans="5:7" x14ac:dyDescent="0.25">
      <c r="E30" s="70">
        <f ca="1"/>
        <v>44620</v>
      </c>
      <c r="F30" s="71">
        <f ca="1"/>
        <v>-4.727708899805466E-3</v>
      </c>
      <c r="G30" s="71">
        <f ca="1"/>
        <v>-5.6031561107694671E-3</v>
      </c>
    </row>
    <row r="31" spans="5:7" x14ac:dyDescent="0.25">
      <c r="E31" s="70">
        <f ca="1"/>
        <v>44649</v>
      </c>
      <c r="F31" s="71">
        <f ca="1"/>
        <v>-4.6770575743915353E-3</v>
      </c>
      <c r="G31" s="71">
        <f ca="1"/>
        <v>-5.5501665080637452E-3</v>
      </c>
    </row>
    <row r="32" spans="5:7" x14ac:dyDescent="0.25">
      <c r="E32" s="70">
        <f ca="1"/>
        <v>44680</v>
      </c>
      <c r="F32" s="71">
        <f ca="1"/>
        <v>-4.618243032061836E-3</v>
      </c>
      <c r="G32" s="71">
        <f ca="1"/>
        <v>-5.4893805847022938E-3</v>
      </c>
    </row>
    <row r="33" spans="5:7" x14ac:dyDescent="0.25">
      <c r="E33" s="70">
        <f ca="1"/>
        <v>44711</v>
      </c>
      <c r="F33" s="71">
        <f ca="1"/>
        <v>-4.5604963514378647E-3</v>
      </c>
      <c r="G33" s="71">
        <f ca="1"/>
        <v>-5.4304355515544436E-3</v>
      </c>
    </row>
    <row r="34" spans="5:7" x14ac:dyDescent="0.25">
      <c r="E34" s="70">
        <f ca="1"/>
        <v>44741</v>
      </c>
      <c r="F34" s="71">
        <f ca="1"/>
        <v>-4.5000559326480328E-3</v>
      </c>
      <c r="G34" s="71">
        <f ca="1"/>
        <v>-5.3693556181233695E-3</v>
      </c>
    </row>
    <row r="35" spans="5:7" x14ac:dyDescent="0.25">
      <c r="E35" s="70">
        <f ca="1"/>
        <v>44771</v>
      </c>
      <c r="F35" s="71">
        <f ca="1"/>
        <v>-4.4347818768475534E-3</v>
      </c>
      <c r="G35" s="71">
        <f ca="1"/>
        <v>-5.3040096901080438E-3</v>
      </c>
    </row>
    <row r="36" spans="5:7" x14ac:dyDescent="0.25">
      <c r="E36" s="70">
        <f ca="1"/>
        <v>44802</v>
      </c>
      <c r="F36" s="71">
        <f ca="1"/>
        <v>-4.3690516948702452E-3</v>
      </c>
      <c r="G36" s="71">
        <f ca="1"/>
        <v>-5.2388480502507844E-3</v>
      </c>
    </row>
    <row r="37" spans="5:7" x14ac:dyDescent="0.25">
      <c r="E37" s="70">
        <f ca="1"/>
        <v>44833</v>
      </c>
      <c r="F37" s="71">
        <f ca="1"/>
        <v>-4.2983158816634216E-3</v>
      </c>
      <c r="G37" s="71">
        <f ca="1"/>
        <v>-5.1692874060061027E-3</v>
      </c>
    </row>
    <row r="38" spans="5:7" x14ac:dyDescent="0.25">
      <c r="E38" s="70">
        <f ca="1"/>
        <v>44865</v>
      </c>
      <c r="F38" s="71">
        <f ca="1"/>
        <v>-4.2223619322934317E-3</v>
      </c>
      <c r="G38" s="71">
        <f ca="1"/>
        <v>-5.0951985078295974E-3</v>
      </c>
    </row>
    <row r="39" spans="5:7" x14ac:dyDescent="0.25">
      <c r="E39" s="70">
        <f ca="1"/>
        <v>44894</v>
      </c>
      <c r="F39" s="71">
        <f ca="1"/>
        <v>-4.1509546086793284E-3</v>
      </c>
      <c r="G39" s="71">
        <f ca="1"/>
        <v>-5.0260533296065018E-3</v>
      </c>
    </row>
    <row r="40" spans="5:7" x14ac:dyDescent="0.25">
      <c r="E40" s="70">
        <f ca="1"/>
        <v>44924</v>
      </c>
      <c r="F40" s="71">
        <f ca="1"/>
        <v>-4.0752385917430948E-3</v>
      </c>
      <c r="G40" s="71">
        <f ca="1"/>
        <v>-4.9529254158420417E-3</v>
      </c>
    </row>
    <row r="41" spans="5:7" x14ac:dyDescent="0.25">
      <c r="E41" s="70">
        <f ca="1"/>
        <v>44956</v>
      </c>
      <c r="F41" s="71">
        <f ca="1"/>
        <v>-3.9939539486067016E-3</v>
      </c>
      <c r="G41" s="71">
        <f ca="1"/>
        <v>-4.8739893034755073E-3</v>
      </c>
    </row>
    <row r="42" spans="5:7" x14ac:dyDescent="0.25">
      <c r="E42" s="70">
        <f ca="1"/>
        <v>44985</v>
      </c>
      <c r="F42" s="71">
        <f ca="1"/>
        <v>-3.9198594328837683E-3</v>
      </c>
      <c r="G42" s="71">
        <f ca="1"/>
        <v>-4.801640971030547E-3</v>
      </c>
    </row>
    <row r="43" spans="5:7" x14ac:dyDescent="0.25">
      <c r="E43" s="70">
        <f ca="1"/>
        <v>45014</v>
      </c>
      <c r="F43" s="71">
        <f ca="1"/>
        <v>-3.8453549864714415E-3</v>
      </c>
      <c r="G43" s="71">
        <f ca="1"/>
        <v>-4.7285201217750648E-3</v>
      </c>
    </row>
    <row r="44" spans="5:7" x14ac:dyDescent="0.25">
      <c r="E44" s="70">
        <f ca="1"/>
        <v>45044</v>
      </c>
      <c r="F44" s="71">
        <f ca="1"/>
        <v>-3.7652185580183818E-3</v>
      </c>
      <c r="G44" s="71">
        <f ca="1"/>
        <v>-4.6494417816589527E-3</v>
      </c>
    </row>
    <row r="45" spans="5:7" x14ac:dyDescent="0.25">
      <c r="E45" s="70">
        <f ca="1"/>
        <v>45075</v>
      </c>
      <c r="F45" s="71">
        <f ca="1"/>
        <v>-3.6872972003720991E-3</v>
      </c>
      <c r="G45" s="71">
        <f ca="1"/>
        <v>-4.5721924787445354E-3</v>
      </c>
    </row>
    <row r="46" spans="5:7" x14ac:dyDescent="0.25">
      <c r="E46" s="70">
        <f ca="1"/>
        <v>45106</v>
      </c>
      <c r="F46" s="71">
        <f ca="1"/>
        <v>-3.6062738925490964E-3</v>
      </c>
      <c r="G46" s="71">
        <f ca="1"/>
        <v>-4.4914370018789441E-3</v>
      </c>
    </row>
    <row r="47" spans="5:7" x14ac:dyDescent="0.25">
      <c r="E47" s="70">
        <f ca="1"/>
        <v>45138</v>
      </c>
      <c r="F47" s="71">
        <f ca="1"/>
        <v>-3.5221414598885074E-3</v>
      </c>
      <c r="G47" s="71">
        <f ca="1"/>
        <v>-4.4071500021392197E-3</v>
      </c>
    </row>
    <row r="48" spans="5:7" x14ac:dyDescent="0.25">
      <c r="E48" s="70">
        <f ca="1"/>
        <v>45167</v>
      </c>
      <c r="F48" s="71">
        <f ca="1"/>
        <v>-3.4454606859180125E-3</v>
      </c>
      <c r="G48" s="71">
        <f ca="1"/>
        <v>-4.3299516467510003E-3</v>
      </c>
    </row>
    <row r="49" spans="5:7" x14ac:dyDescent="0.25">
      <c r="E49" s="70">
        <f ca="1"/>
        <v>45198</v>
      </c>
      <c r="F49" s="71">
        <f ca="1"/>
        <v>-3.3603339105825591E-3</v>
      </c>
      <c r="G49" s="71">
        <f ca="1"/>
        <v>-4.2438191609273238E-3</v>
      </c>
    </row>
    <row r="50" spans="5:7" x14ac:dyDescent="0.25">
      <c r="E50" s="70">
        <f ca="1"/>
        <v>45229</v>
      </c>
      <c r="F50" s="71">
        <f ca="1"/>
        <v>-3.2801282962591333E-3</v>
      </c>
      <c r="G50" s="71">
        <f ca="1"/>
        <v>-4.1623116329603397E-3</v>
      </c>
    </row>
    <row r="51" spans="5:7" x14ac:dyDescent="0.25">
      <c r="E51" s="70">
        <f ca="1"/>
        <v>45259</v>
      </c>
      <c r="F51" s="71">
        <f ca="1"/>
        <v>-3.1994445422616992E-3</v>
      </c>
      <c r="G51" s="71">
        <f ca="1"/>
        <v>-4.0799250780627636E-3</v>
      </c>
    </row>
    <row r="52" spans="5:7" x14ac:dyDescent="0.25">
      <c r="E52" s="70">
        <f ca="1"/>
        <v>45289</v>
      </c>
      <c r="F52" s="71">
        <f ca="1"/>
        <v>-3.1142190720199864E-3</v>
      </c>
      <c r="G52" s="71">
        <f ca="1"/>
        <v>-3.9925492469181879E-3</v>
      </c>
    </row>
    <row r="53" spans="5:7" x14ac:dyDescent="0.25">
      <c r="E53" s="70">
        <f ca="1"/>
        <v>45320</v>
      </c>
      <c r="F53" s="71">
        <f ca="1"/>
        <v>-3.0278556262657804E-3</v>
      </c>
      <c r="G53" s="71">
        <f ca="1"/>
        <v>-3.9038231134919939E-3</v>
      </c>
    </row>
    <row r="54" spans="5:7" x14ac:dyDescent="0.25">
      <c r="E54" s="70">
        <f ca="1"/>
        <v>45351</v>
      </c>
      <c r="F54" s="71">
        <f ca="1"/>
        <v>-2.9344727097462631E-3</v>
      </c>
      <c r="G54" s="71">
        <f ca="1"/>
        <v>-3.8076565126094592E-3</v>
      </c>
    </row>
    <row r="55" spans="5:7" x14ac:dyDescent="0.25">
      <c r="E55" s="70">
        <f ca="1"/>
        <v>45380</v>
      </c>
      <c r="F55" s="71">
        <f ca="1"/>
        <v>-2.8401014914926585E-3</v>
      </c>
      <c r="G55" s="71">
        <f ca="1"/>
        <v>-3.7102631898557779E-3</v>
      </c>
    </row>
    <row r="56" spans="5:7" x14ac:dyDescent="0.25">
      <c r="E56" s="70">
        <f ca="1"/>
        <v>45411</v>
      </c>
      <c r="F56" s="71">
        <f ca="1"/>
        <v>-2.7418679630737564E-3</v>
      </c>
      <c r="G56" s="71">
        <f ca="1"/>
        <v>-3.6087337158135966E-3</v>
      </c>
    </row>
    <row r="57" spans="5:7" x14ac:dyDescent="0.25">
      <c r="E57" s="70">
        <f ca="1"/>
        <v>45441</v>
      </c>
      <c r="F57" s="71">
        <f ca="1"/>
        <v>-2.6397018120554046E-3</v>
      </c>
      <c r="G57" s="71">
        <f ca="1"/>
        <v>-3.5029513009871178E-3</v>
      </c>
    </row>
    <row r="58" spans="5:7" x14ac:dyDescent="0.25">
      <c r="E58" s="70">
        <f ca="1"/>
        <v>45471</v>
      </c>
      <c r="F58" s="71">
        <f ca="1"/>
        <v>-2.5300054939724056E-3</v>
      </c>
      <c r="G58" s="71">
        <f ca="1"/>
        <v>-3.3891855838195629E-3</v>
      </c>
    </row>
    <row r="59" spans="5:7" x14ac:dyDescent="0.25">
      <c r="E59" s="70">
        <f ca="1"/>
        <v>45502</v>
      </c>
      <c r="F59" s="71">
        <f ca="1"/>
        <v>-2.4199132246453606E-3</v>
      </c>
      <c r="G59" s="71">
        <f ca="1"/>
        <v>-3.2748764371920225E-3</v>
      </c>
    </row>
    <row r="60" spans="5:7" x14ac:dyDescent="0.25">
      <c r="E60" s="70">
        <f ca="1"/>
        <v>45533</v>
      </c>
      <c r="F60" s="71">
        <f ca="1"/>
        <v>-2.3020267862742679E-3</v>
      </c>
      <c r="G60" s="71">
        <f ca="1"/>
        <v>-3.1523021810869346E-3</v>
      </c>
    </row>
    <row r="61" spans="5:7" x14ac:dyDescent="0.25">
      <c r="E61" s="70">
        <f ca="1"/>
        <v>45565</v>
      </c>
      <c r="F61" s="71">
        <f ca="1"/>
        <v>-2.1759614901114485E-3</v>
      </c>
      <c r="G61" s="71">
        <f ca="1"/>
        <v>-3.0210626950073201E-3</v>
      </c>
    </row>
    <row r="62" spans="5:7" x14ac:dyDescent="0.25">
      <c r="E62" s="70">
        <f ca="1"/>
        <v>45594</v>
      </c>
      <c r="F62" s="71">
        <f ca="1"/>
        <v>-2.0578743494862359E-3</v>
      </c>
      <c r="G62" s="71">
        <f ca="1"/>
        <v>-2.8979935034905441E-3</v>
      </c>
    </row>
    <row r="63" spans="5:7" x14ac:dyDescent="0.25">
      <c r="E63" s="70">
        <f ca="1"/>
        <v>45625</v>
      </c>
      <c r="F63" s="71">
        <f ca="1"/>
        <v>-1.9233207479186758E-3</v>
      </c>
      <c r="G63" s="71">
        <f ca="1"/>
        <v>-2.7576094879845814E-3</v>
      </c>
    </row>
    <row r="64" spans="5:7" x14ac:dyDescent="0.25">
      <c r="E64" s="70">
        <f ca="1"/>
        <v>45656</v>
      </c>
      <c r="F64" s="71">
        <f ca="1"/>
        <v>-1.7962045066924497E-3</v>
      </c>
      <c r="G64" s="71">
        <f ca="1"/>
        <v>-2.6253831877691551E-3</v>
      </c>
    </row>
    <row r="65" spans="5:7" x14ac:dyDescent="0.25">
      <c r="E65" s="70">
        <f ca="1"/>
        <v>45686</v>
      </c>
      <c r="F65" s="71">
        <f ca="1"/>
        <v>-1.6723846303803814E-3</v>
      </c>
      <c r="G65" s="71">
        <f ca="1"/>
        <v>-2.4976643289202544E-3</v>
      </c>
    </row>
    <row r="66" spans="5:7" x14ac:dyDescent="0.25">
      <c r="E66" s="70">
        <f ca="1"/>
        <v>45716</v>
      </c>
      <c r="F66" s="71">
        <f ca="1"/>
        <v>-1.5479280328455699E-3</v>
      </c>
      <c r="G66" s="71">
        <f ca="1"/>
        <v>-2.370457411120401E-3</v>
      </c>
    </row>
    <row r="67" spans="5:7" x14ac:dyDescent="0.25">
      <c r="E67" s="70">
        <f ca="1"/>
        <v>45747</v>
      </c>
      <c r="F67" s="71">
        <f ca="1"/>
        <v>-1.4308745521238713E-3</v>
      </c>
      <c r="G67" s="71">
        <f ca="1"/>
        <v>-2.2520025561952681E-3</v>
      </c>
    </row>
    <row r="68" spans="5:7" x14ac:dyDescent="0.25">
      <c r="E68" s="70">
        <f ca="1"/>
        <v>45776</v>
      </c>
      <c r="F68" s="71">
        <f ca="1"/>
        <v>-1.3208708626468661E-3</v>
      </c>
      <c r="G68" s="71">
        <f ca="1"/>
        <v>-2.1417968022733494E-3</v>
      </c>
    </row>
    <row r="69" spans="5:7" x14ac:dyDescent="0.25">
      <c r="E69" s="70">
        <f ca="1"/>
        <v>45806</v>
      </c>
      <c r="F69" s="71">
        <f ca="1"/>
        <v>-1.2103313129328325E-3</v>
      </c>
      <c r="G69" s="71">
        <f ca="1"/>
        <v>-2.0322473139119542E-3</v>
      </c>
    </row>
    <row r="70" spans="5:7" x14ac:dyDescent="0.25">
      <c r="E70" s="70">
        <f ca="1"/>
        <v>45838</v>
      </c>
      <c r="F70" s="71">
        <f ca="1"/>
        <v>-1.0960687178675614E-3</v>
      </c>
      <c r="G70" s="71">
        <f ca="1"/>
        <v>-1.9203829761596876E-3</v>
      </c>
    </row>
    <row r="71" spans="5:7" x14ac:dyDescent="0.25">
      <c r="E71" s="70">
        <f ca="1"/>
        <v>45867</v>
      </c>
      <c r="F71" s="71">
        <f ca="1"/>
        <v>-9.9576525748974439E-4</v>
      </c>
      <c r="G71" s="71">
        <f ca="1"/>
        <v>-1.8234481099452173E-3</v>
      </c>
    </row>
    <row r="72" spans="5:7" x14ac:dyDescent="0.25">
      <c r="E72" s="70">
        <f ca="1"/>
        <v>45898</v>
      </c>
      <c r="F72" s="71">
        <f ca="1"/>
        <v>-8.886632200377333E-4</v>
      </c>
      <c r="G72" s="71">
        <f ca="1"/>
        <v>-1.7213747082943907E-3</v>
      </c>
    </row>
    <row r="73" spans="5:7" x14ac:dyDescent="0.25">
      <c r="E73" s="70">
        <f ca="1"/>
        <v>45929</v>
      </c>
      <c r="F73" s="71">
        <f ca="1"/>
        <v>-7.9166318916344799E-4</v>
      </c>
      <c r="G73" s="71">
        <f ca="1"/>
        <v>-1.6303534745440668E-3</v>
      </c>
    </row>
    <row r="74" spans="5:7" x14ac:dyDescent="0.25">
      <c r="E74" s="70">
        <f ca="1"/>
        <v>45959</v>
      </c>
      <c r="F74" s="71">
        <f ca="1"/>
        <v>-6.9795520371241119E-4</v>
      </c>
      <c r="G74" s="71">
        <f ca="1"/>
        <v>-1.5438305463224859E-3</v>
      </c>
    </row>
    <row r="75" spans="5:7" x14ac:dyDescent="0.25">
      <c r="E75" s="70">
        <f ca="1"/>
        <v>45989</v>
      </c>
      <c r="F75" s="71">
        <f ca="1"/>
        <v>-6.0458012596246275E-4</v>
      </c>
      <c r="G75" s="71">
        <f ca="1"/>
        <v>-1.4591473798698238E-3</v>
      </c>
    </row>
    <row r="76" spans="5:7" x14ac:dyDescent="0.25">
      <c r="E76" s="70">
        <f ca="1"/>
        <v>46020</v>
      </c>
      <c r="F76" s="71">
        <f ca="1"/>
        <v>-5.1443548652949165E-4</v>
      </c>
      <c r="G76" s="71">
        <f ca="1"/>
        <v>-1.3776366465603237E-3</v>
      </c>
    </row>
    <row r="77" spans="5:7" x14ac:dyDescent="0.25">
      <c r="E77" s="70">
        <f ca="1"/>
        <v>46051</v>
      </c>
      <c r="F77" s="71">
        <f ca="1"/>
        <v>-4.1638514328486007E-4</v>
      </c>
      <c r="G77" s="71">
        <f ca="1"/>
        <v>-1.2870579868275883E-3</v>
      </c>
    </row>
    <row r="78" spans="5:7" x14ac:dyDescent="0.25">
      <c r="E78" s="70">
        <f ca="1"/>
        <v>46080</v>
      </c>
      <c r="F78" s="71">
        <f ca="1"/>
        <v>-3.1669627972073599E-4</v>
      </c>
      <c r="G78" s="71">
        <f ca="1"/>
        <v>-1.1931813330700552E-3</v>
      </c>
    </row>
    <row r="79" spans="5:7" x14ac:dyDescent="0.25">
      <c r="E79" s="70">
        <f ca="1"/>
        <v>46111</v>
      </c>
      <c r="F79" s="71">
        <f ca="1"/>
        <v>-2.1228881364795406E-4</v>
      </c>
      <c r="G79" s="71">
        <f ca="1"/>
        <v>-1.0932056411714864E-3</v>
      </c>
    </row>
    <row r="80" spans="5:7" x14ac:dyDescent="0.25">
      <c r="E80" s="70">
        <f ca="1"/>
        <v>46141</v>
      </c>
      <c r="F80" s="71">
        <f ca="1"/>
        <v>-1.0315434750387008E-4</v>
      </c>
      <c r="G80" s="71">
        <f ca="1"/>
        <v>-9.8711208411222419E-4</v>
      </c>
    </row>
    <row r="81" spans="5:7" x14ac:dyDescent="0.25">
      <c r="E81" s="70">
        <f ca="1"/>
        <v>46171</v>
      </c>
      <c r="F81" s="71">
        <f ca="1"/>
        <v>1.4586441334785978E-5</v>
      </c>
      <c r="G81" s="71">
        <f ca="1"/>
        <v>-8.7105633272970787E-4</v>
      </c>
    </row>
    <row r="82" spans="5:7" x14ac:dyDescent="0.25">
      <c r="E82" s="70">
        <f ca="1"/>
        <v>46202</v>
      </c>
      <c r="F82" s="71">
        <f ca="1"/>
        <v>1.3333549856222552E-4</v>
      </c>
      <c r="G82" s="71">
        <f ca="1"/>
        <v>-7.5253738888404558E-4</v>
      </c>
    </row>
    <row r="83" spans="5:7" x14ac:dyDescent="0.25">
      <c r="E83" s="70">
        <f ca="1"/>
        <v>46232</v>
      </c>
      <c r="F83" s="71">
        <f ca="1"/>
        <v>2.5682095146524621E-4</v>
      </c>
      <c r="G83" s="71">
        <f ca="1"/>
        <v>-6.2789855954638221E-4</v>
      </c>
    </row>
    <row r="84" spans="5:7" x14ac:dyDescent="0.25">
      <c r="E84" s="70">
        <f ca="1"/>
        <v>46265</v>
      </c>
      <c r="F84" s="71">
        <f ca="1"/>
        <v>3.9812840176629404E-4</v>
      </c>
      <c r="G84" s="71">
        <f ca="1"/>
        <v>-4.8372944701843411E-4</v>
      </c>
    </row>
    <row r="85" spans="5:7" x14ac:dyDescent="0.25">
      <c r="E85" s="70">
        <f ca="1"/>
        <v>46294</v>
      </c>
      <c r="F85" s="71">
        <f ca="1"/>
        <v>5.2704607278472875E-4</v>
      </c>
      <c r="G85" s="71">
        <f ca="1"/>
        <v>-3.5092085165727889E-4</v>
      </c>
    </row>
    <row r="86" spans="5:7" x14ac:dyDescent="0.25">
      <c r="E86" s="70">
        <f ca="1"/>
        <v>46324</v>
      </c>
      <c r="F86" s="71">
        <f ca="1"/>
        <v>6.6507898492485656E-4</v>
      </c>
      <c r="G86" s="71">
        <f ca="1"/>
        <v>-2.0750946545075119E-4</v>
      </c>
    </row>
    <row r="87" spans="5:7" x14ac:dyDescent="0.25">
      <c r="E87" s="70">
        <f ca="1"/>
        <v>46356</v>
      </c>
      <c r="F87" s="71">
        <f ca="1"/>
        <v>8.1755487427935243E-4</v>
      </c>
      <c r="G87" s="71">
        <f ca="1"/>
        <v>-4.778078352973089E-5</v>
      </c>
    </row>
    <row r="88" spans="5:7" x14ac:dyDescent="0.25">
      <c r="E88" s="70">
        <f ca="1"/>
        <v>46385</v>
      </c>
      <c r="F88" s="71">
        <f ca="1"/>
        <v>9.5673249730572933E-4</v>
      </c>
      <c r="G88" s="71">
        <f ca="1"/>
        <v>9.8811860134147094E-5</v>
      </c>
    </row>
    <row r="89" spans="5:7" x14ac:dyDescent="0.25">
      <c r="E89" s="70">
        <f ca="1"/>
        <v>46416</v>
      </c>
      <c r="F89" s="71">
        <f ca="1"/>
        <v>1.1052791446352632E-3</v>
      </c>
      <c r="G89" s="71">
        <f ca="1"/>
        <v>2.5562070772088111E-4</v>
      </c>
    </row>
    <row r="90" spans="5:7" x14ac:dyDescent="0.25">
      <c r="E90" s="70">
        <f ca="1"/>
        <v>46444</v>
      </c>
      <c r="F90" s="71">
        <f ca="1"/>
        <v>1.2308988955833044E-3</v>
      </c>
      <c r="G90" s="71">
        <f ca="1"/>
        <v>3.8854117139661983E-4</v>
      </c>
    </row>
    <row r="91" spans="5:7" x14ac:dyDescent="0.25">
      <c r="E91" s="70">
        <f ca="1"/>
        <v>46475</v>
      </c>
      <c r="F91" s="71">
        <f ca="1"/>
        <v>1.3609771838305567E-3</v>
      </c>
      <c r="G91" s="71">
        <f ca="1"/>
        <v>5.2651938672979113E-4</v>
      </c>
    </row>
    <row r="92" spans="5:7" x14ac:dyDescent="0.25">
      <c r="E92" s="70">
        <f ca="1"/>
        <v>46506</v>
      </c>
      <c r="F92" s="71">
        <f ca="1"/>
        <v>1.4904938375523871E-3</v>
      </c>
      <c r="G92" s="71">
        <f ca="1"/>
        <v>6.6427705768024752E-4</v>
      </c>
    </row>
    <row r="93" spans="5:7" x14ac:dyDescent="0.25">
      <c r="E93" s="70">
        <f ca="1"/>
        <v>46538</v>
      </c>
      <c r="F93" s="71">
        <f ca="1"/>
        <v>1.6189663507401831E-3</v>
      </c>
      <c r="G93" s="71">
        <f ca="1"/>
        <v>8.0134558772636223E-4</v>
      </c>
    </row>
    <row r="94" spans="5:7" x14ac:dyDescent="0.25">
      <c r="E94" s="70">
        <f ca="1"/>
        <v>46567</v>
      </c>
      <c r="F94" s="71">
        <f ca="1"/>
        <v>1.7308134872526318E-3</v>
      </c>
      <c r="G94" s="71">
        <f ca="1"/>
        <v>9.2106291753587567E-4</v>
      </c>
    </row>
    <row r="95" spans="5:7" x14ac:dyDescent="0.25">
      <c r="E95" s="70">
        <f ca="1"/>
        <v>46597</v>
      </c>
      <c r="F95" s="71">
        <f ca="1"/>
        <v>1.8419344850964759E-3</v>
      </c>
      <c r="G95" s="71">
        <f ca="1"/>
        <v>1.0404073676186266E-3</v>
      </c>
    </row>
    <row r="96" spans="5:7" x14ac:dyDescent="0.25">
      <c r="E96" s="70">
        <f ca="1"/>
        <v>46629</v>
      </c>
      <c r="F96" s="71">
        <f ca="1"/>
        <v>1.9553268335673478E-3</v>
      </c>
      <c r="G96" s="71">
        <f ca="1"/>
        <v>1.1626651339293427E-3</v>
      </c>
    </row>
    <row r="97" spans="5:7" x14ac:dyDescent="0.25">
      <c r="E97" s="70">
        <f ca="1"/>
        <v>46659</v>
      </c>
      <c r="F97" s="71">
        <f ca="1"/>
        <v>2.0568163377273747E-3</v>
      </c>
      <c r="G97" s="71">
        <f ca="1"/>
        <v>1.2725556813107063E-3</v>
      </c>
    </row>
    <row r="98" spans="5:7" x14ac:dyDescent="0.25">
      <c r="E98" s="70">
        <f ca="1"/>
        <v>46689</v>
      </c>
      <c r="F98" s="71">
        <f ca="1"/>
        <v>2.1568033290805216E-3</v>
      </c>
      <c r="G98" s="71">
        <f ca="1"/>
        <v>1.3813092327017501E-3</v>
      </c>
    </row>
    <row r="99" spans="5:7" x14ac:dyDescent="0.25">
      <c r="E99" s="70">
        <f ca="1"/>
        <v>46720</v>
      </c>
      <c r="F99" s="71">
        <f ca="1"/>
        <v>2.2488031909439804E-3</v>
      </c>
      <c r="G99" s="71">
        <f ca="1"/>
        <v>1.4818995990324934E-3</v>
      </c>
    </row>
    <row r="100" spans="5:7" x14ac:dyDescent="0.25">
      <c r="E100" s="70">
        <f ca="1"/>
        <v>46750</v>
      </c>
      <c r="F100" s="71">
        <f ca="1"/>
        <v>2.3384143714185409E-3</v>
      </c>
      <c r="G100" s="71">
        <f ca="1"/>
        <v>1.5797111668367253E-3</v>
      </c>
    </row>
    <row r="101" spans="5:7" x14ac:dyDescent="0.25">
      <c r="E101" s="70">
        <f ca="1"/>
        <v>46783</v>
      </c>
      <c r="F101" s="71">
        <f ca="1"/>
        <v>2.4382583275613452E-3</v>
      </c>
      <c r="G101" s="71">
        <f ca="1"/>
        <v>1.6872867562331556E-3</v>
      </c>
    </row>
    <row r="102" spans="5:7" x14ac:dyDescent="0.25">
      <c r="E102" s="70">
        <f ca="1"/>
        <v>46812</v>
      </c>
      <c r="F102" s="71">
        <f ca="1"/>
        <v>2.5271405764822276E-3</v>
      </c>
      <c r="G102" s="71">
        <f ca="1"/>
        <v>1.7818403814026651E-3</v>
      </c>
    </row>
    <row r="103" spans="5:7" x14ac:dyDescent="0.25">
      <c r="E103" s="70">
        <f ca="1"/>
        <v>46841</v>
      </c>
      <c r="F103" s="71">
        <f ca="1"/>
        <v>2.6170926963149728E-3</v>
      </c>
      <c r="G103" s="71">
        <f ca="1"/>
        <v>1.8764126371092879E-3</v>
      </c>
    </row>
    <row r="104" spans="5:7" x14ac:dyDescent="0.25">
      <c r="E104" s="70">
        <f ca="1"/>
        <v>46871</v>
      </c>
      <c r="F104" s="71">
        <f ca="1"/>
        <v>2.7144555884641031E-3</v>
      </c>
      <c r="G104" s="71">
        <f ca="1"/>
        <v>1.977541035884768E-3</v>
      </c>
    </row>
    <row r="105" spans="5:7" x14ac:dyDescent="0.25">
      <c r="E105" s="70">
        <f ca="1"/>
        <v>46902</v>
      </c>
      <c r="F105" s="71">
        <f ca="1"/>
        <v>2.8098070471123163E-3</v>
      </c>
      <c r="G105" s="71">
        <f ca="1"/>
        <v>2.0754109435025068E-3</v>
      </c>
    </row>
    <row r="106" spans="5:7" x14ac:dyDescent="0.25">
      <c r="E106" s="70">
        <f ca="1"/>
        <v>46933</v>
      </c>
      <c r="F106" s="71">
        <f ca="1"/>
        <v>2.9095714602448046E-3</v>
      </c>
      <c r="G106" s="71">
        <f ca="1"/>
        <v>2.176582934368895E-3</v>
      </c>
    </row>
    <row r="107" spans="5:7" x14ac:dyDescent="0.25">
      <c r="E107" s="70">
        <f ca="1"/>
        <v>46965</v>
      </c>
      <c r="F107" s="71">
        <f ca="1"/>
        <v>3.0138511813410937E-3</v>
      </c>
      <c r="G107" s="71">
        <f ca="1"/>
        <v>2.2810517170320553E-3</v>
      </c>
    </row>
    <row r="108" spans="5:7" x14ac:dyDescent="0.25">
      <c r="E108" s="70">
        <f ca="1"/>
        <v>46994</v>
      </c>
      <c r="F108" s="71">
        <f ca="1"/>
        <v>3.1094963739870109E-3</v>
      </c>
      <c r="G108" s="71">
        <f ca="1"/>
        <v>2.375758077386065E-3</v>
      </c>
    </row>
    <row r="109" spans="5:7" x14ac:dyDescent="0.25">
      <c r="E109" s="70">
        <f ca="1"/>
        <v>47025</v>
      </c>
      <c r="F109" s="71">
        <f ca="1"/>
        <v>3.2163288973221125E-3</v>
      </c>
      <c r="G109" s="71">
        <f ca="1"/>
        <v>2.4803162301891024E-3</v>
      </c>
    </row>
    <row r="110" spans="5:7" x14ac:dyDescent="0.25">
      <c r="E110" s="70">
        <f ca="1"/>
        <v>47056</v>
      </c>
      <c r="F110" s="71">
        <f ca="1"/>
        <v>3.3176360044800332E-3</v>
      </c>
      <c r="G110" s="71">
        <f ca="1"/>
        <v>2.5783445907125138E-3</v>
      </c>
    </row>
    <row r="111" spans="5:7" x14ac:dyDescent="0.25">
      <c r="E111" s="70">
        <f ca="1"/>
        <v>47086</v>
      </c>
      <c r="F111" s="71">
        <f ca="1"/>
        <v>3.4201453187948853E-3</v>
      </c>
      <c r="G111" s="71">
        <f ca="1"/>
        <v>2.6764295113763915E-3</v>
      </c>
    </row>
    <row r="112" spans="5:7" x14ac:dyDescent="0.25">
      <c r="E112" s="70">
        <f ca="1"/>
        <v>47116</v>
      </c>
      <c r="F112" s="71">
        <f ca="1"/>
        <v>3.526599157659605E-3</v>
      </c>
      <c r="G112" s="71">
        <f ca="1"/>
        <v>2.7775942689613389E-3</v>
      </c>
    </row>
    <row r="113" spans="5:7" x14ac:dyDescent="0.25">
      <c r="E113" s="70">
        <f ca="1"/>
        <v>47147</v>
      </c>
      <c r="F113" s="71">
        <f ca="1"/>
        <v>3.6288352066454633E-3</v>
      </c>
      <c r="G113" s="71">
        <f ca="1"/>
        <v>2.8748416567299043E-3</v>
      </c>
    </row>
    <row r="114" spans="5:7" x14ac:dyDescent="0.25">
      <c r="E114" s="70">
        <f ca="1"/>
        <v>47177</v>
      </c>
      <c r="F114" s="71">
        <f ca="1"/>
        <v>3.7303821742001582E-3</v>
      </c>
      <c r="G114" s="71">
        <f ca="1"/>
        <v>2.9715027785566024E-3</v>
      </c>
    </row>
    <row r="115" spans="5:7" x14ac:dyDescent="0.25">
      <c r="E115" s="70">
        <f ca="1"/>
        <v>47206</v>
      </c>
      <c r="F115" s="71">
        <f ca="1"/>
        <v>3.8278581857025939E-3</v>
      </c>
      <c r="G115" s="71">
        <f ca="1"/>
        <v>3.0643660364399676E-3</v>
      </c>
    </row>
    <row r="116" spans="5:7" x14ac:dyDescent="0.25">
      <c r="E116" s="70">
        <f ca="1"/>
        <v>47238</v>
      </c>
      <c r="F116" s="71">
        <f ca="1"/>
        <v>3.9346369562481233E-3</v>
      </c>
      <c r="G116" s="71">
        <f ca="1"/>
        <v>3.166180725439676E-3</v>
      </c>
    </row>
    <row r="117" spans="5:7" x14ac:dyDescent="0.25">
      <c r="E117" s="70">
        <f ca="1"/>
        <v>47267</v>
      </c>
      <c r="F117" s="71">
        <f ca="1"/>
        <v>4.0306989514864808E-3</v>
      </c>
      <c r="G117" s="71">
        <f ca="1"/>
        <v>3.2578581760306828E-3</v>
      </c>
    </row>
    <row r="118" spans="5:7" x14ac:dyDescent="0.25">
      <c r="E118" s="70">
        <f ca="1"/>
        <v>47298</v>
      </c>
      <c r="F118" s="71">
        <f ca="1"/>
        <v>4.1359679427703999E-3</v>
      </c>
      <c r="G118" s="71">
        <f ca="1"/>
        <v>3.3583989958602422E-3</v>
      </c>
    </row>
    <row r="119" spans="5:7" x14ac:dyDescent="0.25">
      <c r="E119" s="70">
        <f ca="1"/>
        <v>47329</v>
      </c>
      <c r="F119" s="71">
        <f ca="1"/>
        <v>4.2338264740486896E-3</v>
      </c>
      <c r="G119" s="71">
        <f ca="1"/>
        <v>3.4519764239865514E-3</v>
      </c>
    </row>
    <row r="120" spans="5:7" x14ac:dyDescent="0.25">
      <c r="E120" s="70">
        <f ca="1"/>
        <v>47359</v>
      </c>
      <c r="F120" s="71">
        <f ca="1"/>
        <v>4.3310178734600026E-3</v>
      </c>
      <c r="G120" s="71">
        <f ca="1"/>
        <v>3.5449871175358616E-3</v>
      </c>
    </row>
    <row r="121" spans="5:7" x14ac:dyDescent="0.25">
      <c r="E121" s="70">
        <f ca="1"/>
        <v>47389</v>
      </c>
      <c r="F121" s="71">
        <f ca="1"/>
        <v>4.430754100948316E-3</v>
      </c>
      <c r="G121" s="71">
        <f ca="1"/>
        <v>3.6405082012704718E-3</v>
      </c>
    </row>
    <row r="122" spans="5:7" x14ac:dyDescent="0.25">
      <c r="E122" s="70">
        <f ca="1"/>
        <v>47420</v>
      </c>
      <c r="F122" s="71">
        <f ca="1"/>
        <v>4.5264425022594973E-3</v>
      </c>
      <c r="G122" s="71">
        <f ca="1"/>
        <v>3.7322710137673012E-3</v>
      </c>
    </row>
    <row r="123" spans="5:7" x14ac:dyDescent="0.25">
      <c r="E123" s="70">
        <f ca="1"/>
        <v>47451</v>
      </c>
      <c r="F123" s="71">
        <f ca="1"/>
        <v>4.624629958662029E-3</v>
      </c>
      <c r="G123" s="71">
        <f ca="1"/>
        <v>3.8265067184444904E-3</v>
      </c>
    </row>
    <row r="124" spans="5:7" x14ac:dyDescent="0.25">
      <c r="E124" s="70" t="e">
        <f ca="1"/>
        <v>#N/A</v>
      </c>
      <c r="F124" s="71" t="e">
        <f ca="1"/>
        <v>#N/A</v>
      </c>
      <c r="G124" s="71" t="e">
        <f ca="1"/>
        <v>#N/A</v>
      </c>
    </row>
    <row r="125" spans="5:7" x14ac:dyDescent="0.25">
      <c r="E125" s="70" t="e">
        <f ca="1"/>
        <v>#N/A</v>
      </c>
      <c r="F125" s="71" t="e">
        <f ca="1"/>
        <v>#N/A</v>
      </c>
      <c r="G125" s="71" t="e">
        <f ca="1"/>
        <v>#N/A</v>
      </c>
    </row>
    <row r="126" spans="5:7" x14ac:dyDescent="0.25">
      <c r="E126" s="70" t="e">
        <f ca="1"/>
        <v>#N/A</v>
      </c>
      <c r="F126" s="71" t="e">
        <f ca="1"/>
        <v>#N/A</v>
      </c>
      <c r="G126" s="71" t="e">
        <f ca="1"/>
        <v>#N/A</v>
      </c>
    </row>
    <row r="127" spans="5:7" x14ac:dyDescent="0.25">
      <c r="E127" s="70" t="e">
        <f ca="1"/>
        <v>#N/A</v>
      </c>
      <c r="F127" s="71" t="e">
        <f ca="1"/>
        <v>#N/A</v>
      </c>
      <c r="G127" s="71" t="e">
        <f ca="1"/>
        <v>#N/A</v>
      </c>
    </row>
    <row r="128" spans="5:7" x14ac:dyDescent="0.25">
      <c r="E128" s="70" t="e">
        <f ca="1"/>
        <v>#N/A</v>
      </c>
      <c r="F128" s="71" t="e">
        <f ca="1"/>
        <v>#N/A</v>
      </c>
      <c r="G128" s="71" t="e">
        <f ca="1"/>
        <v>#N/A</v>
      </c>
    </row>
    <row r="129" spans="5:7" x14ac:dyDescent="0.25">
      <c r="E129" s="70" t="e">
        <f ca="1"/>
        <v>#N/A</v>
      </c>
      <c r="F129" s="71" t="e">
        <f ca="1"/>
        <v>#N/A</v>
      </c>
      <c r="G129" s="71" t="e">
        <f ca="1"/>
        <v>#N/A</v>
      </c>
    </row>
    <row r="130" spans="5:7" x14ac:dyDescent="0.25">
      <c r="E130" s="70" t="e">
        <f ca="1"/>
        <v>#N/A</v>
      </c>
      <c r="F130" s="71" t="e">
        <f ca="1"/>
        <v>#N/A</v>
      </c>
      <c r="G130" s="71" t="e">
        <f ca="1"/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7030A0"/>
  </sheetPr>
  <dimension ref="A1:N90"/>
  <sheetViews>
    <sheetView showGridLines="0" workbookViewId="0"/>
  </sheetViews>
  <sheetFormatPr defaultRowHeight="15" x14ac:dyDescent="0.25"/>
  <cols>
    <col min="1" max="1" width="4.7109375" customWidth="1"/>
    <col min="2" max="2" width="26.85546875" style="175" bestFit="1" customWidth="1"/>
    <col min="3" max="3" width="25.140625" style="175" bestFit="1" customWidth="1"/>
    <col min="4" max="4" width="9.140625" style="175" customWidth="1"/>
    <col min="5" max="5" width="21.85546875" customWidth="1"/>
    <col min="6" max="6" width="34.7109375" bestFit="1" customWidth="1"/>
    <col min="12" max="13" width="10.7109375" customWidth="1"/>
  </cols>
  <sheetData>
    <row r="1" spans="1:13" x14ac:dyDescent="0.25">
      <c r="A1" s="174"/>
      <c r="B1" s="210"/>
      <c r="C1" s="210"/>
      <c r="D1" s="210"/>
    </row>
    <row r="2" spans="1:13" x14ac:dyDescent="0.25">
      <c r="B2" s="175" t="s">
        <v>0</v>
      </c>
      <c r="C2" s="225" t="str">
        <f ca="1">_xll.meLWOCurveGeneratorCreate("ESTR_SOFR_XCCY",B4,B5:C16,B18,B19:C57,B59,B60:C68)</f>
        <v>ESTR_SOFR_XCCY@15:8</v>
      </c>
      <c r="E2" s="79" t="s">
        <v>1</v>
      </c>
      <c r="F2" s="175"/>
      <c r="H2" s="176" t="s">
        <v>263</v>
      </c>
      <c r="L2" s="176" t="s">
        <v>264</v>
      </c>
      <c r="M2" s="177"/>
    </row>
    <row r="3" spans="1:13" x14ac:dyDescent="0.25">
      <c r="E3" s="44" t="s">
        <v>10</v>
      </c>
      <c r="F3" s="178" t="s">
        <v>134</v>
      </c>
      <c r="H3" s="179" t="s">
        <v>265</v>
      </c>
      <c r="I3" s="180" t="s">
        <v>266</v>
      </c>
      <c r="J3" s="181" t="s">
        <v>5</v>
      </c>
      <c r="L3" s="182" t="s">
        <v>4</v>
      </c>
      <c r="M3" s="183" t="s">
        <v>5</v>
      </c>
    </row>
    <row r="4" spans="1:13" x14ac:dyDescent="0.25">
      <c r="B4" s="119" t="s">
        <v>9</v>
      </c>
      <c r="C4" s="175" t="s">
        <v>157</v>
      </c>
      <c r="E4" s="46" t="s">
        <v>13</v>
      </c>
      <c r="F4" s="184" t="s">
        <v>267</v>
      </c>
      <c r="H4" s="197" t="s">
        <v>134</v>
      </c>
      <c r="I4" s="202" t="s">
        <v>11</v>
      </c>
      <c r="J4" s="270">
        <v>1.1005499999999999</v>
      </c>
      <c r="L4" s="195" t="s">
        <v>129</v>
      </c>
      <c r="M4" s="280">
        <v>-1.1000000000000001E-3</v>
      </c>
    </row>
    <row r="5" spans="1:13" x14ac:dyDescent="0.25">
      <c r="B5" s="211" t="s">
        <v>13</v>
      </c>
      <c r="C5" s="212" t="s">
        <v>267</v>
      </c>
      <c r="E5" s="46" t="s">
        <v>16</v>
      </c>
      <c r="F5" s="184" t="s">
        <v>268</v>
      </c>
      <c r="L5" s="195" t="s">
        <v>30</v>
      </c>
      <c r="M5" s="280">
        <v>-1.175E-3</v>
      </c>
    </row>
    <row r="6" spans="1:13" x14ac:dyDescent="0.25">
      <c r="B6" s="213" t="s">
        <v>16</v>
      </c>
      <c r="C6" s="214" t="s">
        <v>268</v>
      </c>
      <c r="E6" s="58" t="s">
        <v>22</v>
      </c>
      <c r="F6" s="186">
        <f>COB</f>
        <v>43798</v>
      </c>
      <c r="L6" s="195" t="s">
        <v>140</v>
      </c>
      <c r="M6" s="280">
        <v>-1.2125E-3</v>
      </c>
    </row>
    <row r="7" spans="1:13" x14ac:dyDescent="0.25">
      <c r="B7" s="213" t="s">
        <v>20</v>
      </c>
      <c r="C7" s="214" t="s">
        <v>272</v>
      </c>
      <c r="F7" s="175"/>
      <c r="H7" s="176" t="s">
        <v>269</v>
      </c>
      <c r="L7" s="195" t="s">
        <v>143</v>
      </c>
      <c r="M7" s="280">
        <v>-1.2625E-3</v>
      </c>
    </row>
    <row r="8" spans="1:13" x14ac:dyDescent="0.25">
      <c r="B8" s="213" t="s">
        <v>24</v>
      </c>
      <c r="C8" s="214" t="s">
        <v>332</v>
      </c>
      <c r="E8" s="76" t="s">
        <v>270</v>
      </c>
      <c r="F8" s="175"/>
      <c r="H8" s="182" t="s">
        <v>4</v>
      </c>
      <c r="I8" s="187" t="s">
        <v>5</v>
      </c>
      <c r="J8" s="183"/>
      <c r="L8" s="195" t="s">
        <v>35</v>
      </c>
      <c r="M8" s="280">
        <v>-1.3125000000000001E-3</v>
      </c>
    </row>
    <row r="9" spans="1:13" x14ac:dyDescent="0.25">
      <c r="B9" s="213" t="s">
        <v>10</v>
      </c>
      <c r="C9" s="214" t="s">
        <v>134</v>
      </c>
      <c r="E9" s="44" t="s">
        <v>32</v>
      </c>
      <c r="F9" s="178" t="s">
        <v>271</v>
      </c>
      <c r="H9" s="195" t="s">
        <v>12</v>
      </c>
      <c r="I9" s="203">
        <v>1.948</v>
      </c>
      <c r="J9" s="189"/>
      <c r="L9" s="195" t="s">
        <v>148</v>
      </c>
      <c r="M9" s="280">
        <v>-1.3749999999999999E-3</v>
      </c>
    </row>
    <row r="10" spans="1:13" x14ac:dyDescent="0.25">
      <c r="B10" s="213" t="s">
        <v>27</v>
      </c>
      <c r="C10" s="214" t="s">
        <v>28</v>
      </c>
      <c r="E10" s="46" t="s">
        <v>34</v>
      </c>
      <c r="F10" s="190" t="str">
        <f ca="1">_xll.meLWOCurveMarketDataCreate(F9,E2,E3:F6,H2,H4:J4,H7,H9:I23,L2,L4:M23)</f>
        <v>EUR_XCCYBASIS_MARKETDATA@16:8</v>
      </c>
      <c r="H10" s="195" t="s">
        <v>324</v>
      </c>
      <c r="I10" s="203">
        <v>0.65</v>
      </c>
      <c r="J10" s="189"/>
      <c r="L10" s="195" t="s">
        <v>36</v>
      </c>
      <c r="M10" s="280">
        <v>-1.4375E-3</v>
      </c>
    </row>
    <row r="11" spans="1:13" x14ac:dyDescent="0.25">
      <c r="B11" s="213" t="s">
        <v>31</v>
      </c>
      <c r="C11" s="214" t="s">
        <v>28</v>
      </c>
      <c r="E11" s="58"/>
      <c r="F11" s="191"/>
      <c r="H11" s="195" t="s">
        <v>15</v>
      </c>
      <c r="I11" s="203">
        <v>4.63</v>
      </c>
      <c r="J11" s="189"/>
      <c r="L11" s="195" t="s">
        <v>154</v>
      </c>
      <c r="M11" s="280">
        <v>-1.4875000000000001E-3</v>
      </c>
    </row>
    <row r="12" spans="1:13" x14ac:dyDescent="0.25">
      <c r="B12" s="213" t="s">
        <v>280</v>
      </c>
      <c r="C12" s="214" t="s">
        <v>28</v>
      </c>
      <c r="F12" s="175"/>
      <c r="H12" s="195" t="s">
        <v>103</v>
      </c>
      <c r="I12" s="203">
        <v>9.31</v>
      </c>
      <c r="J12" s="189"/>
      <c r="L12" s="195" t="s">
        <v>158</v>
      </c>
      <c r="M12" s="280">
        <v>-1.5125E-3</v>
      </c>
    </row>
    <row r="13" spans="1:13" x14ac:dyDescent="0.25">
      <c r="B13" s="213" t="s">
        <v>326</v>
      </c>
      <c r="C13" s="214" t="s">
        <v>82</v>
      </c>
      <c r="E13" s="76" t="s">
        <v>273</v>
      </c>
      <c r="F13" s="175"/>
      <c r="H13" s="195" t="s">
        <v>325</v>
      </c>
      <c r="I13" s="203">
        <v>14.02</v>
      </c>
      <c r="J13" s="189"/>
      <c r="L13" s="195" t="s">
        <v>39</v>
      </c>
      <c r="M13" s="280">
        <v>-1.5375E-3</v>
      </c>
    </row>
    <row r="14" spans="1:13" x14ac:dyDescent="0.25">
      <c r="B14" s="213" t="s">
        <v>281</v>
      </c>
      <c r="C14" s="214" t="s">
        <v>68</v>
      </c>
      <c r="E14" s="44" t="s">
        <v>274</v>
      </c>
      <c r="F14" s="178" t="s">
        <v>275</v>
      </c>
      <c r="H14" s="195" t="s">
        <v>110</v>
      </c>
      <c r="I14" s="203">
        <v>27.49</v>
      </c>
      <c r="J14" s="189"/>
      <c r="L14" s="195" t="s">
        <v>42</v>
      </c>
      <c r="M14" s="280">
        <v>-1.5E-3</v>
      </c>
    </row>
    <row r="15" spans="1:13" x14ac:dyDescent="0.25">
      <c r="B15" s="213" t="s">
        <v>282</v>
      </c>
      <c r="C15" s="214" t="b">
        <v>0</v>
      </c>
      <c r="E15" s="46" t="s">
        <v>276</v>
      </c>
      <c r="F15" s="226" t="str">
        <f ca="1">$C$2</f>
        <v>ESTR_SOFR_XCCY@15:8</v>
      </c>
      <c r="H15" s="195" t="s">
        <v>112</v>
      </c>
      <c r="I15" s="203">
        <v>49</v>
      </c>
      <c r="J15" s="189"/>
      <c r="L15" s="195" t="s">
        <v>46</v>
      </c>
      <c r="M15" s="280">
        <v>-1.3125000000000001E-3</v>
      </c>
    </row>
    <row r="16" spans="1:13" x14ac:dyDescent="0.25">
      <c r="B16" s="215" t="s">
        <v>327</v>
      </c>
      <c r="C16" s="216" t="s">
        <v>82</v>
      </c>
      <c r="E16" s="46" t="s">
        <v>277</v>
      </c>
      <c r="F16" s="184" t="s">
        <v>194</v>
      </c>
      <c r="H16" s="195" t="s">
        <v>114</v>
      </c>
      <c r="I16" s="203">
        <v>69</v>
      </c>
      <c r="J16" s="189"/>
      <c r="L16" s="195" t="s">
        <v>50</v>
      </c>
      <c r="M16" s="280">
        <v>-7.6250000000000005E-4</v>
      </c>
    </row>
    <row r="17" spans="2:14" x14ac:dyDescent="0.25">
      <c r="B17" s="175" t="s">
        <v>157</v>
      </c>
      <c r="C17" s="175" t="s">
        <v>157</v>
      </c>
      <c r="E17" s="58" t="s">
        <v>278</v>
      </c>
      <c r="F17" s="191" t="s">
        <v>58</v>
      </c>
      <c r="H17" s="195" t="s">
        <v>116</v>
      </c>
      <c r="I17" s="203">
        <v>90.65</v>
      </c>
      <c r="J17" s="189"/>
      <c r="L17" s="195" t="s">
        <v>54</v>
      </c>
      <c r="M17" s="280">
        <v>-2.375E-4</v>
      </c>
    </row>
    <row r="18" spans="2:14" x14ac:dyDescent="0.25">
      <c r="B18" s="119" t="s">
        <v>264</v>
      </c>
      <c r="C18" s="175" t="s">
        <v>157</v>
      </c>
      <c r="F18" s="175"/>
      <c r="H18" s="195" t="s">
        <v>121</v>
      </c>
      <c r="I18" s="203">
        <v>111.65</v>
      </c>
      <c r="J18" s="189"/>
      <c r="L18" s="195" t="s">
        <v>59</v>
      </c>
      <c r="M18" s="280">
        <v>1.4999999999999999E-4</v>
      </c>
    </row>
    <row r="19" spans="2:14" x14ac:dyDescent="0.25">
      <c r="B19" s="217" t="s">
        <v>289</v>
      </c>
      <c r="C19" s="218" t="s">
        <v>272</v>
      </c>
      <c r="E19" s="76" t="s">
        <v>279</v>
      </c>
      <c r="F19" s="175"/>
      <c r="H19" s="195" t="s">
        <v>125</v>
      </c>
      <c r="I19" s="203">
        <v>131.85</v>
      </c>
      <c r="J19" s="189"/>
      <c r="L19" s="195" t="s">
        <v>63</v>
      </c>
      <c r="M19" s="280">
        <v>1.4999999999999999E-4</v>
      </c>
      <c r="N19" s="82"/>
    </row>
    <row r="20" spans="2:14" x14ac:dyDescent="0.25">
      <c r="B20" s="219" t="s">
        <v>290</v>
      </c>
      <c r="C20" s="220" t="s">
        <v>68</v>
      </c>
      <c r="E20" s="44" t="s">
        <v>32</v>
      </c>
      <c r="F20" s="192" t="str">
        <f t="array" aca="1" ref="F20:F23" ca="1">IF(EUR_ESTR_CURVE!$D$27,_xll.meLWOCurveCalibrate($F$14,$F$15,$F$10,$F$16,$F$17),"LOAD ESTR CURVE")</f>
        <v>EUR_XCCY_CURVE@17:8</v>
      </c>
      <c r="G20" t="s">
        <v>2</v>
      </c>
      <c r="H20" s="195" t="s">
        <v>254</v>
      </c>
      <c r="I20" s="203">
        <v>193.54</v>
      </c>
      <c r="J20" s="189"/>
      <c r="L20" s="195" t="s">
        <v>66</v>
      </c>
      <c r="M20" s="280">
        <v>1.4999999999999999E-4</v>
      </c>
      <c r="N20" s="82"/>
    </row>
    <row r="21" spans="2:14" x14ac:dyDescent="0.25">
      <c r="B21" s="219" t="s">
        <v>291</v>
      </c>
      <c r="C21" s="220" t="s">
        <v>358</v>
      </c>
      <c r="E21" s="46" t="s">
        <v>77</v>
      </c>
      <c r="F21" s="193" t="str">
        <f ca="1"/>
        <v>EURYC</v>
      </c>
      <c r="G21" t="s">
        <v>2</v>
      </c>
      <c r="H21" s="185"/>
      <c r="I21" s="188"/>
      <c r="J21" s="189"/>
      <c r="L21" s="195"/>
      <c r="M21" s="280"/>
      <c r="N21" s="82"/>
    </row>
    <row r="22" spans="2:14" x14ac:dyDescent="0.25">
      <c r="B22" s="219" t="s">
        <v>292</v>
      </c>
      <c r="C22" s="220" t="s">
        <v>41</v>
      </c>
      <c r="E22" s="46" t="s">
        <v>80</v>
      </c>
      <c r="F22" s="193" t="str">
        <f ca="1"/>
        <v>XccyBasis:ESTRDF_SOFRCSA</v>
      </c>
      <c r="G22" t="s">
        <v>2</v>
      </c>
      <c r="H22" s="185"/>
      <c r="I22" s="188"/>
      <c r="J22" s="189"/>
      <c r="L22" s="195"/>
      <c r="M22" s="280"/>
    </row>
    <row r="23" spans="2:14" x14ac:dyDescent="0.25">
      <c r="B23" s="219" t="s">
        <v>293</v>
      </c>
      <c r="C23" s="220" t="s">
        <v>268</v>
      </c>
      <c r="E23" s="58" t="s">
        <v>83</v>
      </c>
      <c r="F23" s="194" t="str">
        <f ca="1"/>
        <v>0.37700 sec</v>
      </c>
      <c r="G23" s="196" t="s">
        <v>2</v>
      </c>
      <c r="H23" s="197"/>
      <c r="I23" s="198"/>
      <c r="J23" s="199"/>
      <c r="L23" s="197"/>
      <c r="M23" s="281"/>
    </row>
    <row r="24" spans="2:14" x14ac:dyDescent="0.25">
      <c r="B24" s="219" t="s">
        <v>294</v>
      </c>
      <c r="C24" s="220" t="s">
        <v>61</v>
      </c>
      <c r="E24" s="196" t="s">
        <v>283</v>
      </c>
      <c r="F24" s="200" t="b">
        <v>1</v>
      </c>
      <c r="L24" s="81"/>
      <c r="M24" s="81"/>
    </row>
    <row r="25" spans="2:14" x14ac:dyDescent="0.25">
      <c r="B25" s="219" t="s">
        <v>295</v>
      </c>
      <c r="C25" s="220" t="s">
        <v>52</v>
      </c>
    </row>
    <row r="26" spans="2:14" x14ac:dyDescent="0.25">
      <c r="B26" s="223" t="s">
        <v>297</v>
      </c>
      <c r="C26" s="224" t="s">
        <v>219</v>
      </c>
    </row>
    <row r="27" spans="2:14" x14ac:dyDescent="0.25">
      <c r="B27" s="223" t="s">
        <v>296</v>
      </c>
      <c r="C27" s="224" t="s">
        <v>219</v>
      </c>
    </row>
    <row r="28" spans="2:14" x14ac:dyDescent="0.25">
      <c r="B28" s="223" t="s">
        <v>298</v>
      </c>
      <c r="C28" s="224" t="s">
        <v>114</v>
      </c>
    </row>
    <row r="29" spans="2:14" x14ac:dyDescent="0.25">
      <c r="B29" s="219" t="s">
        <v>299</v>
      </c>
      <c r="C29" s="220" t="s">
        <v>41</v>
      </c>
    </row>
    <row r="30" spans="2:14" x14ac:dyDescent="0.25">
      <c r="B30" s="219" t="s">
        <v>300</v>
      </c>
      <c r="C30" s="220" t="s">
        <v>358</v>
      </c>
    </row>
    <row r="31" spans="2:14" x14ac:dyDescent="0.25">
      <c r="B31" s="219" t="s">
        <v>301</v>
      </c>
      <c r="C31" s="220" t="s">
        <v>328</v>
      </c>
    </row>
    <row r="32" spans="2:14" x14ac:dyDescent="0.25">
      <c r="B32" s="219" t="s">
        <v>302</v>
      </c>
      <c r="C32" s="220" t="s">
        <v>358</v>
      </c>
    </row>
    <row r="33" spans="2:3" ht="15" customHeight="1" x14ac:dyDescent="0.25">
      <c r="B33" s="219" t="s">
        <v>303</v>
      </c>
      <c r="C33" s="220">
        <v>0</v>
      </c>
    </row>
    <row r="34" spans="2:3" x14ac:dyDescent="0.25">
      <c r="B34" s="219" t="s">
        <v>304</v>
      </c>
      <c r="C34" s="220" t="s">
        <v>61</v>
      </c>
    </row>
    <row r="35" spans="2:3" x14ac:dyDescent="0.25">
      <c r="B35" s="219" t="s">
        <v>305</v>
      </c>
      <c r="C35" s="220" t="s">
        <v>358</v>
      </c>
    </row>
    <row r="36" spans="2:3" x14ac:dyDescent="0.25">
      <c r="B36" s="219" t="s">
        <v>306</v>
      </c>
      <c r="C36" s="220" t="s">
        <v>41</v>
      </c>
    </row>
    <row r="37" spans="2:3" x14ac:dyDescent="0.25">
      <c r="B37" s="219" t="s">
        <v>307</v>
      </c>
      <c r="C37" s="220" t="s">
        <v>268</v>
      </c>
    </row>
    <row r="38" spans="2:3" x14ac:dyDescent="0.25">
      <c r="B38" s="219" t="s">
        <v>308</v>
      </c>
      <c r="C38" s="220" t="s">
        <v>61</v>
      </c>
    </row>
    <row r="39" spans="2:3" x14ac:dyDescent="0.25">
      <c r="B39" s="219" t="s">
        <v>309</v>
      </c>
      <c r="C39" s="220" t="s">
        <v>52</v>
      </c>
    </row>
    <row r="40" spans="2:3" x14ac:dyDescent="0.25">
      <c r="B40" s="223" t="s">
        <v>310</v>
      </c>
      <c r="C40" s="224" t="s">
        <v>364</v>
      </c>
    </row>
    <row r="41" spans="2:3" x14ac:dyDescent="0.25">
      <c r="B41" s="223" t="s">
        <v>329</v>
      </c>
      <c r="C41" s="224" t="s">
        <v>364</v>
      </c>
    </row>
    <row r="42" spans="2:3" x14ac:dyDescent="0.25">
      <c r="B42" s="223" t="s">
        <v>311</v>
      </c>
      <c r="C42" s="224" t="s">
        <v>114</v>
      </c>
    </row>
    <row r="43" spans="2:3" x14ac:dyDescent="0.25">
      <c r="B43" s="219" t="s">
        <v>312</v>
      </c>
      <c r="C43" s="220" t="s">
        <v>41</v>
      </c>
    </row>
    <row r="44" spans="2:3" x14ac:dyDescent="0.25">
      <c r="B44" s="219" t="s">
        <v>313</v>
      </c>
      <c r="C44" s="220" t="s">
        <v>358</v>
      </c>
    </row>
    <row r="45" spans="2:3" x14ac:dyDescent="0.25">
      <c r="B45" s="219" t="s">
        <v>314</v>
      </c>
      <c r="C45" s="220" t="s">
        <v>328</v>
      </c>
    </row>
    <row r="46" spans="2:3" x14ac:dyDescent="0.25">
      <c r="B46" s="219" t="s">
        <v>315</v>
      </c>
      <c r="C46" s="220" t="s">
        <v>358</v>
      </c>
    </row>
    <row r="47" spans="2:3" x14ac:dyDescent="0.25">
      <c r="B47" s="219" t="s">
        <v>316</v>
      </c>
      <c r="C47" s="220">
        <v>0</v>
      </c>
    </row>
    <row r="48" spans="2:3" x14ac:dyDescent="0.25">
      <c r="B48" s="219" t="s">
        <v>317</v>
      </c>
      <c r="C48" s="220" t="s">
        <v>61</v>
      </c>
    </row>
    <row r="49" spans="2:3" ht="15" customHeight="1" x14ac:dyDescent="0.25">
      <c r="B49" s="219" t="s">
        <v>318</v>
      </c>
      <c r="C49" s="220" t="s">
        <v>319</v>
      </c>
    </row>
    <row r="50" spans="2:3" x14ac:dyDescent="0.25">
      <c r="B50" s="219" t="s">
        <v>320</v>
      </c>
      <c r="C50" s="220" t="s">
        <v>68</v>
      </c>
    </row>
    <row r="51" spans="2:3" x14ac:dyDescent="0.25">
      <c r="B51" s="219" t="s">
        <v>321</v>
      </c>
      <c r="C51" s="220" t="s">
        <v>28</v>
      </c>
    </row>
    <row r="52" spans="2:3" x14ac:dyDescent="0.25">
      <c r="B52" s="219" t="s">
        <v>323</v>
      </c>
      <c r="C52" s="220" t="s">
        <v>68</v>
      </c>
    </row>
    <row r="53" spans="2:3" x14ac:dyDescent="0.25">
      <c r="B53" s="223" t="s">
        <v>330</v>
      </c>
      <c r="C53" s="224" t="s">
        <v>114</v>
      </c>
    </row>
    <row r="54" spans="2:3" x14ac:dyDescent="0.25">
      <c r="B54" s="219" t="s">
        <v>322</v>
      </c>
      <c r="C54" s="220" t="s">
        <v>82</v>
      </c>
    </row>
    <row r="55" spans="2:3" x14ac:dyDescent="0.25">
      <c r="B55" s="219" t="s">
        <v>74</v>
      </c>
      <c r="C55" s="220">
        <v>1.0000000000000003E-9</v>
      </c>
    </row>
    <row r="56" spans="2:3" x14ac:dyDescent="0.25">
      <c r="B56" s="219" t="s">
        <v>75</v>
      </c>
      <c r="C56" s="220">
        <v>1000</v>
      </c>
    </row>
    <row r="57" spans="2:3" x14ac:dyDescent="0.25">
      <c r="B57" s="221" t="s">
        <v>331</v>
      </c>
      <c r="C57" s="222" t="s">
        <v>82</v>
      </c>
    </row>
    <row r="58" spans="2:3" x14ac:dyDescent="0.25">
      <c r="B58" s="175" t="s">
        <v>157</v>
      </c>
      <c r="C58" s="175" t="s">
        <v>157</v>
      </c>
    </row>
    <row r="59" spans="2:3" x14ac:dyDescent="0.25">
      <c r="B59" s="119" t="s">
        <v>269</v>
      </c>
      <c r="C59" s="175" t="s">
        <v>157</v>
      </c>
    </row>
    <row r="60" spans="2:3" x14ac:dyDescent="0.25">
      <c r="B60" s="211" t="s">
        <v>37</v>
      </c>
      <c r="C60" s="212" t="s">
        <v>358</v>
      </c>
    </row>
    <row r="61" spans="2:3" x14ac:dyDescent="0.25">
      <c r="B61" s="213" t="s">
        <v>51</v>
      </c>
      <c r="C61" s="214">
        <v>2</v>
      </c>
    </row>
    <row r="62" spans="2:3" x14ac:dyDescent="0.25">
      <c r="B62" s="213" t="s">
        <v>60</v>
      </c>
      <c r="C62" s="214" t="s">
        <v>284</v>
      </c>
    </row>
    <row r="63" spans="2:3" x14ac:dyDescent="0.25">
      <c r="B63" s="213" t="s">
        <v>67</v>
      </c>
      <c r="C63" s="214" t="s">
        <v>68</v>
      </c>
    </row>
    <row r="64" spans="2:3" x14ac:dyDescent="0.25">
      <c r="B64" s="213" t="s">
        <v>64</v>
      </c>
      <c r="C64" s="214">
        <v>31</v>
      </c>
    </row>
    <row r="65" spans="2:3" x14ac:dyDescent="0.25">
      <c r="B65" s="213" t="s">
        <v>285</v>
      </c>
      <c r="C65" s="214">
        <v>10000</v>
      </c>
    </row>
    <row r="66" spans="2:3" x14ac:dyDescent="0.25">
      <c r="B66" s="213" t="s">
        <v>286</v>
      </c>
      <c r="C66" s="214" t="s">
        <v>82</v>
      </c>
    </row>
    <row r="67" spans="2:3" x14ac:dyDescent="0.25">
      <c r="B67" s="213" t="s">
        <v>43</v>
      </c>
      <c r="C67" s="214" t="s">
        <v>287</v>
      </c>
    </row>
    <row r="68" spans="2:3" x14ac:dyDescent="0.25">
      <c r="B68" s="215" t="s">
        <v>288</v>
      </c>
      <c r="C68" s="216" t="s">
        <v>82</v>
      </c>
    </row>
    <row r="76" spans="2:3" ht="15" customHeight="1" x14ac:dyDescent="0.25"/>
    <row r="90" ht="15" customHeight="1" x14ac:dyDescent="0.25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G130"/>
  <sheetViews>
    <sheetView showGridLines="0" zoomScaleNormal="100" workbookViewId="0"/>
  </sheetViews>
  <sheetFormatPr defaultRowHeight="15" x14ac:dyDescent="0.25"/>
  <cols>
    <col min="2" max="2" width="15.7109375" customWidth="1"/>
    <col min="5" max="5" width="15.7109375" customWidth="1"/>
    <col min="6" max="6" width="12.7109375" customWidth="1"/>
    <col min="7" max="7" width="15.140625" bestFit="1" customWidth="1"/>
  </cols>
  <sheetData>
    <row r="2" spans="2:7" x14ac:dyDescent="0.25">
      <c r="B2" t="s">
        <v>92</v>
      </c>
      <c r="C2" t="s">
        <v>194</v>
      </c>
      <c r="E2" s="69" t="str">
        <f t="array" aca="1" ref="E2:G130" ca="1">_xll.meLWOCurveDiscountFactorsTable(C2,C3:C4,"0D","30Y",,,,"QUARTERLY")</f>
        <v>Payment Dates</v>
      </c>
      <c r="F2" s="69" t="str">
        <f ca="1"/>
        <v>ESTR</v>
      </c>
      <c r="G2" s="69" t="str">
        <f ca="1"/>
        <v>ESTRDF_SOFRCSA</v>
      </c>
    </row>
    <row r="3" spans="2:7" x14ac:dyDescent="0.25">
      <c r="B3" t="s">
        <v>93</v>
      </c>
      <c r="C3" t="s">
        <v>219</v>
      </c>
      <c r="E3" s="70">
        <f ca="1"/>
        <v>43798</v>
      </c>
      <c r="F3" s="227">
        <f ca="1"/>
        <v>1</v>
      </c>
      <c r="G3" s="227">
        <f ca="1"/>
        <v>1</v>
      </c>
    </row>
    <row r="4" spans="2:7" x14ac:dyDescent="0.25">
      <c r="C4" t="s">
        <v>332</v>
      </c>
      <c r="E4" s="70">
        <f ca="1"/>
        <v>43889</v>
      </c>
      <c r="F4" s="227">
        <f ca="1"/>
        <v>1.001352478196003</v>
      </c>
      <c r="G4" s="227">
        <f ca="1"/>
        <v>1.0016636065721856</v>
      </c>
    </row>
    <row r="5" spans="2:7" x14ac:dyDescent="0.25">
      <c r="E5" s="70">
        <f ca="1"/>
        <v>43980</v>
      </c>
      <c r="F5" s="227">
        <f ca="1"/>
        <v>1.0027509235166703</v>
      </c>
      <c r="G5" s="227">
        <f ca="1"/>
        <v>1.0033425324013572</v>
      </c>
    </row>
    <row r="6" spans="2:7" x14ac:dyDescent="0.25">
      <c r="E6" s="70">
        <f ca="1"/>
        <v>44074</v>
      </c>
      <c r="F6" s="227">
        <f ca="1"/>
        <v>1.0042416152762192</v>
      </c>
      <c r="G6" s="227">
        <f ca="1"/>
        <v>1.0051063118743293</v>
      </c>
    </row>
    <row r="7" spans="2:7" x14ac:dyDescent="0.25">
      <c r="E7" s="70">
        <f ca="1"/>
        <v>44165</v>
      </c>
      <c r="F7" s="227">
        <f ca="1"/>
        <v>1.0057253396320354</v>
      </c>
      <c r="G7" s="227">
        <f ca="1"/>
        <v>1.0068554447575417</v>
      </c>
    </row>
    <row r="8" spans="2:7" x14ac:dyDescent="0.25">
      <c r="E8" s="70">
        <f ca="1"/>
        <v>44253</v>
      </c>
      <c r="F8" s="227">
        <f ca="1"/>
        <v>1.0071791002149988</v>
      </c>
      <c r="G8" s="227">
        <f ca="1"/>
        <v>1.0085926756324495</v>
      </c>
    </row>
    <row r="9" spans="2:7" x14ac:dyDescent="0.25">
      <c r="E9" s="70">
        <f ca="1"/>
        <v>44347</v>
      </c>
      <c r="F9" s="227">
        <f ca="1"/>
        <v>1.0087297572406919</v>
      </c>
      <c r="G9" s="227">
        <f ca="1"/>
        <v>1.0104805867897177</v>
      </c>
    </row>
    <row r="10" spans="2:7" x14ac:dyDescent="0.25">
      <c r="E10" s="70">
        <f ca="1"/>
        <v>44438</v>
      </c>
      <c r="F10" s="227">
        <f ca="1"/>
        <v>1.0102308422863031</v>
      </c>
      <c r="G10" s="227">
        <f ca="1"/>
        <v>1.012316460809084</v>
      </c>
    </row>
    <row r="11" spans="2:7" x14ac:dyDescent="0.25">
      <c r="E11" s="70">
        <f ca="1"/>
        <v>44529</v>
      </c>
      <c r="F11" s="227">
        <f ca="1"/>
        <v>1.0117171457270642</v>
      </c>
      <c r="G11" s="227">
        <f ca="1"/>
        <v>1.0141368714626979</v>
      </c>
    </row>
    <row r="12" spans="2:7" x14ac:dyDescent="0.25">
      <c r="E12" s="70">
        <f ca="1"/>
        <v>44620</v>
      </c>
      <c r="F12" s="227">
        <f ca="1"/>
        <v>1.0131714334599971</v>
      </c>
      <c r="G12" s="227">
        <f ca="1"/>
        <v>1.0159221735985715</v>
      </c>
    </row>
    <row r="13" spans="2:7" x14ac:dyDescent="0.25">
      <c r="E13" s="70">
        <f ca="1"/>
        <v>44711</v>
      </c>
      <c r="F13" s="227">
        <f ca="1"/>
        <v>1.0145859686247445</v>
      </c>
      <c r="G13" s="227">
        <f ca="1"/>
        <v>1.0176678647387838</v>
      </c>
    </row>
    <row r="14" spans="2:7" x14ac:dyDescent="0.25">
      <c r="E14" s="70">
        <f ca="1"/>
        <v>44802</v>
      </c>
      <c r="F14" s="227">
        <f ca="1"/>
        <v>1.0159557226443099</v>
      </c>
      <c r="G14" s="227">
        <f ca="1"/>
        <v>1.0193732429311009</v>
      </c>
    </row>
    <row r="15" spans="2:7" x14ac:dyDescent="0.25">
      <c r="E15" s="70">
        <f ca="1"/>
        <v>44894</v>
      </c>
      <c r="F15" s="227">
        <f ca="1"/>
        <v>1.0172898766187151</v>
      </c>
      <c r="G15" s="227">
        <f ca="1"/>
        <v>1.0210556670017015</v>
      </c>
    </row>
    <row r="16" spans="2:7" x14ac:dyDescent="0.25">
      <c r="E16" s="70">
        <f ca="1"/>
        <v>44985</v>
      </c>
      <c r="F16" s="227">
        <f ca="1"/>
        <v>1.018554740832839</v>
      </c>
      <c r="G16" s="227">
        <f ca="1"/>
        <v>1.022677215541723</v>
      </c>
    </row>
    <row r="17" spans="5:7" x14ac:dyDescent="0.25">
      <c r="E17" s="70">
        <f ca="1"/>
        <v>45075</v>
      </c>
      <c r="F17" s="227">
        <f ca="1"/>
        <v>1.0197494014580013</v>
      </c>
      <c r="G17" s="227">
        <f ca="1"/>
        <v>1.0242354459065171</v>
      </c>
    </row>
    <row r="18" spans="5:7" x14ac:dyDescent="0.25">
      <c r="E18" s="70">
        <f ca="1"/>
        <v>45167</v>
      </c>
      <c r="F18" s="227">
        <f ca="1"/>
        <v>1.0209105423153921</v>
      </c>
      <c r="G18" s="227">
        <f ca="1"/>
        <v>1.0257769120434379</v>
      </c>
    </row>
    <row r="19" spans="5:7" x14ac:dyDescent="0.25">
      <c r="E19" s="70">
        <f ca="1"/>
        <v>45259</v>
      </c>
      <c r="F19" s="227">
        <f ca="1"/>
        <v>1.0220087285871369</v>
      </c>
      <c r="G19" s="227">
        <f ca="1"/>
        <v>1.0272617101037711</v>
      </c>
    </row>
    <row r="20" spans="5:7" x14ac:dyDescent="0.25">
      <c r="E20" s="70">
        <f ca="1"/>
        <v>45351</v>
      </c>
      <c r="F20" s="227">
        <f ca="1"/>
        <v>1.0230405401818998</v>
      </c>
      <c r="G20" s="227">
        <f ca="1"/>
        <v>1.0286845794492396</v>
      </c>
    </row>
    <row r="21" spans="5:7" x14ac:dyDescent="0.25">
      <c r="E21" s="70">
        <f ca="1"/>
        <v>45441</v>
      </c>
      <c r="F21" s="227">
        <f ca="1"/>
        <v>1.0239770956630976</v>
      </c>
      <c r="G21" s="227">
        <f ca="1"/>
        <v>1.0300096127166785</v>
      </c>
    </row>
    <row r="22" spans="5:7" x14ac:dyDescent="0.25">
      <c r="E22" s="70">
        <f ca="1"/>
        <v>45533</v>
      </c>
      <c r="F22" s="227">
        <f ca="1"/>
        <v>1.0248496163187775</v>
      </c>
      <c r="G22" s="227">
        <f ca="1"/>
        <v>1.0312880484319642</v>
      </c>
    </row>
    <row r="23" spans="5:7" x14ac:dyDescent="0.25">
      <c r="E23" s="70">
        <f ca="1"/>
        <v>45625</v>
      </c>
      <c r="F23" s="227">
        <f ca="1"/>
        <v>1.02562583946945</v>
      </c>
      <c r="G23" s="227">
        <f ca="1"/>
        <v>1.0324818490269434</v>
      </c>
    </row>
    <row r="24" spans="5:7" x14ac:dyDescent="0.25">
      <c r="E24" s="70">
        <f ca="1"/>
        <v>45716</v>
      </c>
      <c r="F24" s="227">
        <f ca="1"/>
        <v>1.026291556038041</v>
      </c>
      <c r="G24" s="227">
        <f ca="1"/>
        <v>1.0335744579954718</v>
      </c>
    </row>
    <row r="25" spans="5:7" x14ac:dyDescent="0.25">
      <c r="E25" s="70">
        <f ca="1"/>
        <v>45806</v>
      </c>
      <c r="F25" s="227">
        <f ca="1"/>
        <v>1.0268566542648938</v>
      </c>
      <c r="G25" s="227">
        <f ca="1"/>
        <v>1.0345746510383269</v>
      </c>
    </row>
    <row r="26" spans="5:7" x14ac:dyDescent="0.25">
      <c r="E26" s="70">
        <f ca="1"/>
        <v>45898</v>
      </c>
      <c r="F26" s="227">
        <f ca="1"/>
        <v>1.0273492035245775</v>
      </c>
      <c r="G26" s="227">
        <f ca="1"/>
        <v>1.0355233117189182</v>
      </c>
    </row>
    <row r="27" spans="5:7" x14ac:dyDescent="0.25">
      <c r="E27" s="70">
        <f ca="1"/>
        <v>45989</v>
      </c>
      <c r="F27" s="227">
        <f ca="1"/>
        <v>1.0277624928469893</v>
      </c>
      <c r="G27" s="227">
        <f ca="1"/>
        <v>1.0363971956847875</v>
      </c>
    </row>
    <row r="28" spans="5:7" x14ac:dyDescent="0.25">
      <c r="E28" s="70">
        <f ca="1"/>
        <v>46080</v>
      </c>
      <c r="F28" s="227">
        <f ca="1"/>
        <v>1.0281094304946179</v>
      </c>
      <c r="G28" s="227">
        <f ca="1"/>
        <v>1.0372118703856279</v>
      </c>
    </row>
    <row r="29" spans="5:7" x14ac:dyDescent="0.25">
      <c r="E29" s="70">
        <f ca="1"/>
        <v>46171</v>
      </c>
      <c r="F29" s="227">
        <f ca="1"/>
        <v>1.0283802942434983</v>
      </c>
      <c r="G29" s="227">
        <f ca="1"/>
        <v>1.0379561550074285</v>
      </c>
    </row>
    <row r="30" spans="5:7" x14ac:dyDescent="0.25">
      <c r="E30" s="70">
        <f ca="1"/>
        <v>46265</v>
      </c>
      <c r="F30" s="227">
        <f ca="1"/>
        <v>1.0285646247787348</v>
      </c>
      <c r="G30" s="227">
        <f ca="1"/>
        <v>1.0386349088079256</v>
      </c>
    </row>
    <row r="31" spans="5:7" x14ac:dyDescent="0.25">
      <c r="E31" s="70">
        <f ca="1"/>
        <v>46356</v>
      </c>
      <c r="F31" s="227">
        <f ca="1"/>
        <v>1.0286355673698018</v>
      </c>
      <c r="G31" s="227">
        <f ca="1"/>
        <v>1.0391891444318588</v>
      </c>
    </row>
    <row r="32" spans="5:7" x14ac:dyDescent="0.25">
      <c r="E32" s="70">
        <f ca="1"/>
        <v>46444</v>
      </c>
      <c r="F32" s="227">
        <f ca="1"/>
        <v>1.0285931076018791</v>
      </c>
      <c r="G32" s="227">
        <f ca="1"/>
        <v>1.039617455724549</v>
      </c>
    </row>
    <row r="33" spans="5:7" x14ac:dyDescent="0.25">
      <c r="E33" s="70">
        <f ca="1"/>
        <v>46538</v>
      </c>
      <c r="F33" s="227">
        <f ca="1"/>
        <v>1.0284335491066716</v>
      </c>
      <c r="G33" s="227">
        <f ca="1"/>
        <v>1.0399598933100573</v>
      </c>
    </row>
    <row r="34" spans="5:7" x14ac:dyDescent="0.25">
      <c r="E34" s="70">
        <f ca="1"/>
        <v>46629</v>
      </c>
      <c r="F34" s="227">
        <f ca="1"/>
        <v>1.0281778980952567</v>
      </c>
      <c r="G34" s="227">
        <f ca="1"/>
        <v>1.0401835450555592</v>
      </c>
    </row>
    <row r="35" spans="5:7" x14ac:dyDescent="0.25">
      <c r="E35" s="70">
        <f ca="1"/>
        <v>46720</v>
      </c>
      <c r="F35" s="227">
        <f ca="1"/>
        <v>1.0278338392829398</v>
      </c>
      <c r="G35" s="227">
        <f ca="1"/>
        <v>1.0403064818485526</v>
      </c>
    </row>
    <row r="36" spans="5:7" x14ac:dyDescent="0.25">
      <c r="E36" s="70">
        <f ca="1"/>
        <v>46812</v>
      </c>
      <c r="F36" s="227">
        <f ca="1"/>
        <v>1.0274057158734793</v>
      </c>
      <c r="G36" s="227">
        <f ca="1"/>
        <v>1.0403342365729404</v>
      </c>
    </row>
    <row r="37" spans="5:7" x14ac:dyDescent="0.25">
      <c r="E37" s="70">
        <f ca="1"/>
        <v>46902</v>
      </c>
      <c r="F37" s="227">
        <f ca="1"/>
        <v>1.0269108895852577</v>
      </c>
      <c r="G37" s="227">
        <f ca="1"/>
        <v>1.0402745862343223</v>
      </c>
    </row>
    <row r="38" spans="5:7" x14ac:dyDescent="0.25">
      <c r="E38" s="70">
        <f ca="1"/>
        <v>46994</v>
      </c>
      <c r="F38" s="227">
        <f ca="1"/>
        <v>1.0263274255795127</v>
      </c>
      <c r="G38" s="227">
        <f ca="1"/>
        <v>1.0401325663726861</v>
      </c>
    </row>
    <row r="39" spans="5:7" x14ac:dyDescent="0.25">
      <c r="E39" s="70">
        <f ca="1"/>
        <v>47086</v>
      </c>
      <c r="F39" s="227">
        <f ca="1"/>
        <v>1.0256655247069391</v>
      </c>
      <c r="G39" s="227">
        <f ca="1"/>
        <v>1.039916399240373</v>
      </c>
    </row>
    <row r="40" spans="5:7" x14ac:dyDescent="0.25">
      <c r="E40" s="70">
        <f ca="1"/>
        <v>47177</v>
      </c>
      <c r="F40" s="227">
        <f ca="1"/>
        <v>1.0249339320991506</v>
      </c>
      <c r="G40" s="227">
        <f ca="1"/>
        <v>1.0396350999868975</v>
      </c>
    </row>
    <row r="41" spans="5:7" x14ac:dyDescent="0.25">
      <c r="E41" s="70">
        <f ca="1"/>
        <v>47267</v>
      </c>
      <c r="F41" s="227">
        <f ca="1"/>
        <v>1.0241364522451941</v>
      </c>
      <c r="G41" s="227">
        <f ca="1"/>
        <v>1.0392873983732198</v>
      </c>
    </row>
    <row r="42" spans="5:7" x14ac:dyDescent="0.25">
      <c r="E42" s="70">
        <f ca="1"/>
        <v>47359</v>
      </c>
      <c r="F42" s="227">
        <f ca="1"/>
        <v>1.0232468955245861</v>
      </c>
      <c r="G42" s="227">
        <f ca="1"/>
        <v>1.0388546807204593</v>
      </c>
    </row>
    <row r="43" spans="5:7" x14ac:dyDescent="0.25">
      <c r="E43" s="70">
        <f ca="1"/>
        <v>47451</v>
      </c>
      <c r="F43" s="227">
        <f ca="1"/>
        <v>1.0222838226052156</v>
      </c>
      <c r="G43" s="227">
        <f ca="1"/>
        <v>1.0383379057801663</v>
      </c>
    </row>
    <row r="44" spans="5:7" x14ac:dyDescent="0.25">
      <c r="E44" s="70">
        <f ca="1"/>
        <v>47542</v>
      </c>
      <c r="F44" s="227">
        <f ca="1"/>
        <v>1.0212614176014883</v>
      </c>
      <c r="G44" s="227">
        <f ca="1"/>
        <v>1.0377396108742281</v>
      </c>
    </row>
    <row r="45" spans="5:7" x14ac:dyDescent="0.25">
      <c r="E45" s="70">
        <f ca="1"/>
        <v>47632</v>
      </c>
      <c r="F45" s="227">
        <f ca="1"/>
        <v>1.0201883921752688</v>
      </c>
      <c r="G45" s="227">
        <f ca="1"/>
        <v>1.0370637395006554</v>
      </c>
    </row>
    <row r="46" spans="5:7" x14ac:dyDescent="0.25">
      <c r="E46" s="70">
        <f ca="1"/>
        <v>47724</v>
      </c>
      <c r="F46" s="227">
        <f ca="1"/>
        <v>1.019035728688191</v>
      </c>
      <c r="G46" s="227">
        <f ca="1"/>
        <v>1.036288891867073</v>
      </c>
    </row>
    <row r="47" spans="5:7" x14ac:dyDescent="0.25">
      <c r="E47" s="70">
        <f ca="1"/>
        <v>47816</v>
      </c>
      <c r="F47" s="227">
        <f ca="1"/>
        <v>1.0178345600284264</v>
      </c>
      <c r="G47" s="227">
        <f ca="1"/>
        <v>1.0354317553425976</v>
      </c>
    </row>
    <row r="48" spans="5:7" x14ac:dyDescent="0.25">
      <c r="E48" s="70">
        <f ca="1"/>
        <v>47907</v>
      </c>
      <c r="F48" s="227">
        <f ca="1"/>
        <v>1.016604905921251</v>
      </c>
      <c r="G48" s="227">
        <f ca="1"/>
        <v>1.0345055529059002</v>
      </c>
    </row>
    <row r="49" spans="5:7" x14ac:dyDescent="0.25">
      <c r="E49" s="70">
        <f ca="1"/>
        <v>47997</v>
      </c>
      <c r="F49" s="227">
        <f ca="1"/>
        <v>1.0153468391037865</v>
      </c>
      <c r="G49" s="227">
        <f ca="1"/>
        <v>1.0335153591316733</v>
      </c>
    </row>
    <row r="50" spans="5:7" x14ac:dyDescent="0.25">
      <c r="E50" s="70">
        <f ca="1"/>
        <v>48089</v>
      </c>
      <c r="F50" s="227">
        <f ca="1"/>
        <v>1.0140142248853095</v>
      </c>
      <c r="G50" s="227">
        <f ca="1"/>
        <v>1.0324295069222675</v>
      </c>
    </row>
    <row r="51" spans="5:7" x14ac:dyDescent="0.25">
      <c r="E51" s="70">
        <f ca="1"/>
        <v>48180</v>
      </c>
      <c r="F51" s="227">
        <f ca="1"/>
        <v>1.0126462807818517</v>
      </c>
      <c r="G51" s="227">
        <f ca="1"/>
        <v>1.0312847779907619</v>
      </c>
    </row>
    <row r="52" spans="5:7" x14ac:dyDescent="0.25">
      <c r="E52" s="70">
        <f ca="1"/>
        <v>48271</v>
      </c>
      <c r="F52" s="227">
        <f ca="1"/>
        <v>1.0112263915710373</v>
      </c>
      <c r="G52" s="227">
        <f ca="1"/>
        <v>1.0300725418214696</v>
      </c>
    </row>
    <row r="53" spans="5:7" x14ac:dyDescent="0.25">
      <c r="E53" s="70">
        <f ca="1"/>
        <v>48365</v>
      </c>
      <c r="F53" s="227">
        <f ca="1"/>
        <v>1.0097079842850007</v>
      </c>
      <c r="G53" s="227">
        <f ca="1"/>
        <v>1.0287533101890864</v>
      </c>
    </row>
    <row r="54" spans="5:7" x14ac:dyDescent="0.25">
      <c r="E54" s="70">
        <f ca="1"/>
        <v>48456</v>
      </c>
      <c r="F54" s="227">
        <f ca="1"/>
        <v>1.0081922319979135</v>
      </c>
      <c r="G54" s="227">
        <f ca="1"/>
        <v>1.0274152272628201</v>
      </c>
    </row>
    <row r="55" spans="5:7" x14ac:dyDescent="0.25">
      <c r="E55" s="70">
        <f ca="1"/>
        <v>48547</v>
      </c>
      <c r="F55" s="227">
        <f ca="1"/>
        <v>1.0066356023752303</v>
      </c>
      <c r="G55" s="227">
        <f ca="1"/>
        <v>1.026021044470885</v>
      </c>
    </row>
    <row r="56" spans="5:7" x14ac:dyDescent="0.25">
      <c r="E56" s="70">
        <f ca="1"/>
        <v>48638</v>
      </c>
      <c r="F56" s="227">
        <f ca="1"/>
        <v>1.0050423898349297</v>
      </c>
      <c r="G56" s="227">
        <f ca="1"/>
        <v>1.0245745759314109</v>
      </c>
    </row>
    <row r="57" spans="5:7" x14ac:dyDescent="0.25">
      <c r="E57" s="70">
        <f ca="1"/>
        <v>48729</v>
      </c>
      <c r="F57" s="227">
        <f ca="1"/>
        <v>1.0034175972607693</v>
      </c>
      <c r="G57" s="227">
        <f ca="1"/>
        <v>1.0230796239072979</v>
      </c>
    </row>
    <row r="58" spans="5:7" x14ac:dyDescent="0.25">
      <c r="E58" s="70">
        <f ca="1"/>
        <v>48820</v>
      </c>
      <c r="F58" s="227">
        <f ca="1"/>
        <v>1.0017664295631223</v>
      </c>
      <c r="G58" s="227">
        <f ca="1"/>
        <v>1.0215399769882882</v>
      </c>
    </row>
    <row r="59" spans="5:7" x14ac:dyDescent="0.25">
      <c r="E59" s="70">
        <f ca="1"/>
        <v>48912</v>
      </c>
      <c r="F59" s="227">
        <f ca="1"/>
        <v>1.0000756161110058</v>
      </c>
      <c r="G59" s="227">
        <f ca="1"/>
        <v>1.0199418262173652</v>
      </c>
    </row>
    <row r="60" spans="5:7" x14ac:dyDescent="0.25">
      <c r="E60" s="70">
        <f ca="1"/>
        <v>49003</v>
      </c>
      <c r="F60" s="227">
        <f ca="1"/>
        <v>0.99838727416623574</v>
      </c>
      <c r="G60" s="227">
        <f ca="1"/>
        <v>1.018323704727242</v>
      </c>
    </row>
    <row r="61" spans="5:7" x14ac:dyDescent="0.25">
      <c r="E61" s="70">
        <f ca="1"/>
        <v>49093</v>
      </c>
      <c r="F61" s="227">
        <f ca="1"/>
        <v>0.99670766533017574</v>
      </c>
      <c r="G61" s="227">
        <f ca="1"/>
        <v>1.0166905134076318</v>
      </c>
    </row>
    <row r="62" spans="5:7" x14ac:dyDescent="0.25">
      <c r="E62" s="70">
        <f ca="1"/>
        <v>49185</v>
      </c>
      <c r="F62" s="227">
        <f ca="1"/>
        <v>0.99498670219209184</v>
      </c>
      <c r="G62" s="227">
        <f ca="1"/>
        <v>1.014991021193719</v>
      </c>
    </row>
    <row r="63" spans="5:7" x14ac:dyDescent="0.25">
      <c r="E63" s="70">
        <f ca="1"/>
        <v>49277</v>
      </c>
      <c r="F63" s="227">
        <f ca="1"/>
        <v>0.99326781836864231</v>
      </c>
      <c r="G63" s="227">
        <f ca="1"/>
        <v>1.013264984603522</v>
      </c>
    </row>
    <row r="64" spans="5:7" x14ac:dyDescent="0.25">
      <c r="E64" s="70">
        <f ca="1"/>
        <v>49368</v>
      </c>
      <c r="F64" s="227">
        <f ca="1"/>
        <v>0.99157511497503947</v>
      </c>
      <c r="G64" s="227">
        <f ca="1"/>
        <v>1.0115350882763208</v>
      </c>
    </row>
    <row r="65" spans="5:7" x14ac:dyDescent="0.25">
      <c r="E65" s="70">
        <f ca="1"/>
        <v>49458</v>
      </c>
      <c r="F65" s="227">
        <f ca="1"/>
        <v>0.98991074896670417</v>
      </c>
      <c r="G65" s="227">
        <f ca="1"/>
        <v>1.0098045381917822</v>
      </c>
    </row>
    <row r="66" spans="5:7" x14ac:dyDescent="0.25">
      <c r="E66" s="70">
        <f ca="1"/>
        <v>49550</v>
      </c>
      <c r="F66" s="227">
        <f ca="1"/>
        <v>0.98822098435715755</v>
      </c>
      <c r="G66" s="227">
        <f ca="1"/>
        <v>1.0080176008439574</v>
      </c>
    </row>
    <row r="67" spans="5:7" x14ac:dyDescent="0.25">
      <c r="E67" s="70">
        <f ca="1"/>
        <v>49642</v>
      </c>
      <c r="F67" s="227">
        <f ca="1"/>
        <v>0.98654453718696833</v>
      </c>
      <c r="G67" s="227">
        <f ca="1"/>
        <v>1.0062148359772098</v>
      </c>
    </row>
    <row r="68" spans="5:7" x14ac:dyDescent="0.25">
      <c r="E68" s="70">
        <f ca="1"/>
        <v>49734</v>
      </c>
      <c r="F68" s="227">
        <f ca="1"/>
        <v>0.98488295750613553</v>
      </c>
      <c r="G68" s="227">
        <f ca="1"/>
        <v>1.004398545540693</v>
      </c>
    </row>
    <row r="69" spans="5:7" x14ac:dyDescent="0.25">
      <c r="E69" s="70">
        <f ca="1"/>
        <v>49824</v>
      </c>
      <c r="F69" s="227">
        <f ca="1"/>
        <v>0.9832730927346337</v>
      </c>
      <c r="G69" s="227">
        <f ca="1"/>
        <v>1.0026108485742695</v>
      </c>
    </row>
    <row r="70" spans="5:7" x14ac:dyDescent="0.25">
      <c r="E70" s="70">
        <f ca="1"/>
        <v>49916</v>
      </c>
      <c r="F70" s="227">
        <f ca="1"/>
        <v>0.981644544843287</v>
      </c>
      <c r="G70" s="227">
        <f ca="1"/>
        <v>1.0007745220276665</v>
      </c>
    </row>
    <row r="71" spans="5:7" x14ac:dyDescent="0.25">
      <c r="E71" s="70">
        <f ca="1"/>
        <v>50007</v>
      </c>
      <c r="F71" s="227">
        <f ca="1"/>
        <v>0.98005183839510468</v>
      </c>
      <c r="G71" s="227">
        <f ca="1"/>
        <v>0.9989514955770834</v>
      </c>
    </row>
    <row r="72" spans="5:7" x14ac:dyDescent="0.25">
      <c r="E72" s="70">
        <f ca="1"/>
        <v>50098</v>
      </c>
      <c r="F72" s="227">
        <f ca="1"/>
        <v>0.97847826735859411</v>
      </c>
      <c r="G72" s="227">
        <f ca="1"/>
        <v>0.99712402075648665</v>
      </c>
    </row>
    <row r="73" spans="5:7" x14ac:dyDescent="0.25">
      <c r="E73" s="70">
        <f ca="1"/>
        <v>50189</v>
      </c>
      <c r="F73" s="227">
        <f ca="1"/>
        <v>0.97692471329677733</v>
      </c>
      <c r="G73" s="227">
        <f ca="1"/>
        <v>0.99529424932265298</v>
      </c>
    </row>
    <row r="74" spans="5:7" x14ac:dyDescent="0.25">
      <c r="E74" s="70">
        <f ca="1"/>
        <v>50283</v>
      </c>
      <c r="F74" s="227">
        <f ca="1"/>
        <v>0.97534183131281948</v>
      </c>
      <c r="G74" s="227">
        <f ca="1"/>
        <v>0.99340401184355664</v>
      </c>
    </row>
    <row r="75" spans="5:7" x14ac:dyDescent="0.25">
      <c r="E75" s="70">
        <f ca="1"/>
        <v>50374</v>
      </c>
      <c r="F75" s="227">
        <f ca="1"/>
        <v>0.97383149908128397</v>
      </c>
      <c r="G75" s="227">
        <f ca="1"/>
        <v>0.99157614079206502</v>
      </c>
    </row>
    <row r="76" spans="5:7" x14ac:dyDescent="0.25">
      <c r="E76" s="70">
        <f ca="1"/>
        <v>50462</v>
      </c>
      <c r="F76" s="227">
        <f ca="1"/>
        <v>0.97239230851339897</v>
      </c>
      <c r="G76" s="227">
        <f ca="1"/>
        <v>0.98981243959686949</v>
      </c>
    </row>
    <row r="77" spans="5:7" x14ac:dyDescent="0.25">
      <c r="E77" s="70">
        <f ca="1"/>
        <v>50556</v>
      </c>
      <c r="F77" s="227">
        <f ca="1"/>
        <v>0.97087875285398384</v>
      </c>
      <c r="G77" s="227">
        <f ca="1"/>
        <v>0.98793489112727562</v>
      </c>
    </row>
    <row r="78" spans="5:7" x14ac:dyDescent="0.25">
      <c r="E78" s="70">
        <f ca="1"/>
        <v>50647</v>
      </c>
      <c r="F78" s="227">
        <f ca="1"/>
        <v>0.96943738658989376</v>
      </c>
      <c r="G78" s="227">
        <f ca="1"/>
        <v>0.98612567530219064</v>
      </c>
    </row>
    <row r="79" spans="5:7" x14ac:dyDescent="0.25">
      <c r="E79" s="70">
        <f ca="1"/>
        <v>50738</v>
      </c>
      <c r="F79" s="227">
        <f ca="1"/>
        <v>0.96802001678519911</v>
      </c>
      <c r="G79" s="227">
        <f ca="1"/>
        <v>0.98432681520205101</v>
      </c>
    </row>
    <row r="80" spans="5:7" x14ac:dyDescent="0.25">
      <c r="E80" s="70">
        <f ca="1"/>
        <v>50829</v>
      </c>
      <c r="F80" s="227">
        <f ca="1"/>
        <v>0.96662709154458837</v>
      </c>
      <c r="G80" s="227">
        <f ca="1"/>
        <v>0.98254035428123598</v>
      </c>
    </row>
    <row r="81" spans="5:7" x14ac:dyDescent="0.25">
      <c r="E81" s="70">
        <f ca="1"/>
        <v>50920</v>
      </c>
      <c r="F81" s="227">
        <f ca="1"/>
        <v>0.96525884985183608</v>
      </c>
      <c r="G81" s="227">
        <f ca="1"/>
        <v>0.98076832120779545</v>
      </c>
    </row>
    <row r="82" spans="5:7" x14ac:dyDescent="0.25">
      <c r="E82" s="70">
        <f ca="1"/>
        <v>51011</v>
      </c>
      <c r="F82" s="227">
        <f ca="1"/>
        <v>0.96391547105764441</v>
      </c>
      <c r="G82" s="227">
        <f ca="1"/>
        <v>0.97901273014215451</v>
      </c>
    </row>
    <row r="83" spans="5:7" x14ac:dyDescent="0.25">
      <c r="E83" s="70">
        <f ca="1"/>
        <v>51103</v>
      </c>
      <c r="F83" s="227">
        <f ca="1"/>
        <v>0.9625827870680318</v>
      </c>
      <c r="G83" s="227">
        <f ca="1"/>
        <v>0.97725660136476222</v>
      </c>
    </row>
    <row r="84" spans="5:7" x14ac:dyDescent="0.25">
      <c r="E84" s="70">
        <f ca="1"/>
        <v>51195</v>
      </c>
      <c r="F84" s="227">
        <f ca="1"/>
        <v>0.96127589638117206</v>
      </c>
      <c r="G84" s="227">
        <f ca="1"/>
        <v>0.97552098333903048</v>
      </c>
    </row>
    <row r="85" spans="5:7" x14ac:dyDescent="0.25">
      <c r="E85" s="70">
        <f ca="1"/>
        <v>51285</v>
      </c>
      <c r="F85" s="227">
        <f ca="1"/>
        <v>0.96002262206358135</v>
      </c>
      <c r="G85" s="227">
        <f ca="1"/>
        <v>0.97384303073853484</v>
      </c>
    </row>
    <row r="86" spans="5:7" x14ac:dyDescent="0.25">
      <c r="E86" s="70">
        <f ca="1"/>
        <v>51377</v>
      </c>
      <c r="F86" s="227">
        <f ca="1"/>
        <v>0.95876753395401992</v>
      </c>
      <c r="G86" s="227">
        <f ca="1"/>
        <v>0.97214787216678555</v>
      </c>
    </row>
    <row r="87" spans="5:7" x14ac:dyDescent="0.25">
      <c r="E87" s="70">
        <f ca="1"/>
        <v>51469</v>
      </c>
      <c r="F87" s="227">
        <f ca="1"/>
        <v>0.9575390426119067</v>
      </c>
      <c r="G87" s="227">
        <f ca="1"/>
        <v>0.97047271980794547</v>
      </c>
    </row>
    <row r="88" spans="5:7" x14ac:dyDescent="0.25">
      <c r="E88" s="70">
        <f ca="1"/>
        <v>51560</v>
      </c>
      <c r="F88" s="227">
        <f ca="1"/>
        <v>0.95635030686760836</v>
      </c>
      <c r="G88" s="227">
        <f ca="1"/>
        <v>0.96883516680622639</v>
      </c>
    </row>
    <row r="89" spans="5:7" x14ac:dyDescent="0.25">
      <c r="E89" s="70">
        <f ca="1"/>
        <v>51650</v>
      </c>
      <c r="F89" s="227">
        <f ca="1"/>
        <v>0.9552005453493666</v>
      </c>
      <c r="G89" s="227">
        <f ca="1"/>
        <v>0.9672342981767369</v>
      </c>
    </row>
    <row r="90" spans="5:7" x14ac:dyDescent="0.25">
      <c r="E90" s="70">
        <f ca="1"/>
        <v>51742</v>
      </c>
      <c r="F90" s="227">
        <f ca="1"/>
        <v>0.95405190986255872</v>
      </c>
      <c r="G90" s="227">
        <f ca="1"/>
        <v>0.96561678030460474</v>
      </c>
    </row>
    <row r="91" spans="5:7" x14ac:dyDescent="0.25">
      <c r="E91" s="70">
        <f ca="1"/>
        <v>51834</v>
      </c>
      <c r="F91" s="227">
        <f ca="1"/>
        <v>0.95293028738704244</v>
      </c>
      <c r="G91" s="227">
        <f ca="1"/>
        <v>0.96401810974799951</v>
      </c>
    </row>
    <row r="92" spans="5:7" x14ac:dyDescent="0.25">
      <c r="E92" s="70">
        <f ca="1"/>
        <v>51925</v>
      </c>
      <c r="F92" s="227">
        <f ca="1"/>
        <v>0.95184744080368233</v>
      </c>
      <c r="G92" s="227">
        <f ca="1"/>
        <v>0.9624550768957818</v>
      </c>
    </row>
    <row r="93" spans="5:7" x14ac:dyDescent="0.25">
      <c r="E93" s="70">
        <f ca="1"/>
        <v>52015</v>
      </c>
      <c r="F93" s="227">
        <f ca="1"/>
        <v>0.95080236106441651</v>
      </c>
      <c r="G93" s="227">
        <f ca="1"/>
        <v>0.96092681310420613</v>
      </c>
    </row>
    <row r="94" spans="5:7" x14ac:dyDescent="0.25">
      <c r="E94" s="70">
        <f ca="1"/>
        <v>52107</v>
      </c>
      <c r="F94" s="227">
        <f ca="1"/>
        <v>0.94976046052759544</v>
      </c>
      <c r="G94" s="227">
        <f ca="1"/>
        <v>0.95938239590435126</v>
      </c>
    </row>
    <row r="95" spans="5:7" x14ac:dyDescent="0.25">
      <c r="E95" s="70">
        <f ca="1"/>
        <v>52198</v>
      </c>
      <c r="F95" s="227">
        <f ca="1"/>
        <v>0.94875596054458788</v>
      </c>
      <c r="G95" s="227">
        <f ca="1"/>
        <v>0.95787220560485253</v>
      </c>
    </row>
    <row r="96" spans="5:7" x14ac:dyDescent="0.25">
      <c r="E96" s="70">
        <f ca="1"/>
        <v>52289</v>
      </c>
      <c r="F96" s="227">
        <f ca="1"/>
        <v>0.94777717927650995</v>
      </c>
      <c r="G96" s="227">
        <f ca="1"/>
        <v>0.95637909095372242</v>
      </c>
    </row>
    <row r="97" spans="5:7" x14ac:dyDescent="0.25">
      <c r="E97" s="70">
        <f ca="1"/>
        <v>52380</v>
      </c>
      <c r="F97" s="227">
        <f ca="1"/>
        <v>0.94682375902367566</v>
      </c>
      <c r="G97" s="227">
        <f ca="1"/>
        <v>0.95490278624579761</v>
      </c>
    </row>
    <row r="98" spans="5:7" x14ac:dyDescent="0.25">
      <c r="E98" s="70">
        <f ca="1"/>
        <v>52474</v>
      </c>
      <c r="F98" s="227">
        <f ca="1"/>
        <v>0.94586511148874031</v>
      </c>
      <c r="G98" s="227">
        <f ca="1"/>
        <v>0.95339518265893741</v>
      </c>
    </row>
    <row r="99" spans="5:7" x14ac:dyDescent="0.25">
      <c r="E99" s="70">
        <f ca="1"/>
        <v>52565</v>
      </c>
      <c r="F99" s="227">
        <f ca="1"/>
        <v>0.9449620157318297</v>
      </c>
      <c r="G99" s="227">
        <f ca="1"/>
        <v>0.9519522414191629</v>
      </c>
    </row>
    <row r="100" spans="5:7" x14ac:dyDescent="0.25">
      <c r="E100" s="70">
        <f ca="1"/>
        <v>52656</v>
      </c>
      <c r="F100" s="227">
        <f ca="1"/>
        <v>0.94408303370806734</v>
      </c>
      <c r="G100" s="227">
        <f ca="1"/>
        <v>0.95052531678882379</v>
      </c>
    </row>
    <row r="101" spans="5:7" x14ac:dyDescent="0.25">
      <c r="E101" s="70">
        <f ca="1"/>
        <v>52747</v>
      </c>
      <c r="F101" s="227">
        <f ca="1"/>
        <v>0.94322758292203268</v>
      </c>
      <c r="G101" s="227">
        <f ca="1"/>
        <v>0.94911415120212561</v>
      </c>
    </row>
    <row r="102" spans="5:7" x14ac:dyDescent="0.25">
      <c r="E102" s="70">
        <f ca="1"/>
        <v>52838</v>
      </c>
      <c r="F102" s="227">
        <f ca="1"/>
        <v>0.94239503984802631</v>
      </c>
      <c r="G102" s="227">
        <f ca="1"/>
        <v>0.94771848901678424</v>
      </c>
    </row>
    <row r="103" spans="5:7" x14ac:dyDescent="0.25">
      <c r="E103" s="70">
        <f ca="1"/>
        <v>52930</v>
      </c>
      <c r="F103" s="227">
        <f ca="1"/>
        <v>0.94157599847948992</v>
      </c>
      <c r="G103" s="227">
        <f ca="1"/>
        <v>0.94632299087824678</v>
      </c>
    </row>
    <row r="104" spans="5:7" x14ac:dyDescent="0.25">
      <c r="E104" s="70">
        <f ca="1"/>
        <v>53021</v>
      </c>
      <c r="F104" s="227">
        <f ca="1"/>
        <v>0.94078769432238007</v>
      </c>
      <c r="G104" s="227">
        <f ca="1"/>
        <v>0.94495801678555125</v>
      </c>
    </row>
    <row r="105" spans="5:7" x14ac:dyDescent="0.25">
      <c r="E105" s="70">
        <f ca="1"/>
        <v>53111</v>
      </c>
      <c r="F105" s="227">
        <f ca="1"/>
        <v>0.94002914094813561</v>
      </c>
      <c r="G105" s="227">
        <f ca="1"/>
        <v>0.94362417339706728</v>
      </c>
    </row>
    <row r="106" spans="5:7" x14ac:dyDescent="0.25">
      <c r="E106" s="70">
        <f ca="1"/>
        <v>53203</v>
      </c>
      <c r="F106" s="227">
        <f ca="1"/>
        <v>0.93927521919223811</v>
      </c>
      <c r="G106" s="227">
        <f ca="1"/>
        <v>0.94227868874523324</v>
      </c>
    </row>
    <row r="107" spans="5:7" x14ac:dyDescent="0.25">
      <c r="E107" s="70">
        <f ca="1"/>
        <v>53295</v>
      </c>
      <c r="F107" s="227">
        <f ca="1"/>
        <v>0.93854283173731945</v>
      </c>
      <c r="G107" s="227">
        <f ca="1"/>
        <v>0.94095283402875018</v>
      </c>
    </row>
    <row r="108" spans="5:7" x14ac:dyDescent="0.25">
      <c r="E108" s="70">
        <f ca="1"/>
        <v>53386</v>
      </c>
      <c r="F108" s="227">
        <f ca="1"/>
        <v>0.93783938525102928</v>
      </c>
      <c r="G108" s="227">
        <f ca="1"/>
        <v>0.93966210895089164</v>
      </c>
    </row>
    <row r="109" spans="5:7" x14ac:dyDescent="0.25">
      <c r="E109" s="70">
        <f ca="1"/>
        <v>53476</v>
      </c>
      <c r="F109" s="227">
        <f ca="1"/>
        <v>0.93716391732912585</v>
      </c>
      <c r="G109" s="227">
        <f ca="1"/>
        <v>0.93840719400671624</v>
      </c>
    </row>
    <row r="110" spans="5:7" x14ac:dyDescent="0.25">
      <c r="E110" s="70">
        <f ca="1"/>
        <v>53568</v>
      </c>
      <c r="F110" s="227">
        <f ca="1"/>
        <v>0.93649394607534253</v>
      </c>
      <c r="G110" s="227">
        <f ca="1"/>
        <v>0.93714801227769029</v>
      </c>
    </row>
    <row r="111" spans="5:7" x14ac:dyDescent="0.25">
      <c r="E111" s="70">
        <f ca="1"/>
        <v>53660</v>
      </c>
      <c r="F111" s="227">
        <f ca="1"/>
        <v>0.93584439711007994</v>
      </c>
      <c r="G111" s="227">
        <f ca="1"/>
        <v>0.93591411564545224</v>
      </c>
    </row>
    <row r="112" spans="5:7" x14ac:dyDescent="0.25">
      <c r="E112" s="70">
        <f ca="1"/>
        <v>53751</v>
      </c>
      <c r="F112" s="227">
        <f ca="1"/>
        <v>0.93522167460720251</v>
      </c>
      <c r="G112" s="227">
        <f ca="1"/>
        <v>0.93471988698369601</v>
      </c>
    </row>
    <row r="113" spans="5:7" x14ac:dyDescent="0.25">
      <c r="E113" s="70">
        <f ca="1"/>
        <v>53841</v>
      </c>
      <c r="F113" s="227">
        <f ca="1"/>
        <v>0.93462473405048174</v>
      </c>
      <c r="G113" s="227">
        <f ca="1"/>
        <v>0.93356580193509042</v>
      </c>
    </row>
    <row r="114" spans="5:7" x14ac:dyDescent="0.25">
      <c r="E114" s="70">
        <f ca="1"/>
        <v>53933</v>
      </c>
      <c r="F114" s="227">
        <f ca="1"/>
        <v>0.93403356304638074</v>
      </c>
      <c r="G114" s="227">
        <f ca="1"/>
        <v>0.93241521256008009</v>
      </c>
    </row>
    <row r="115" spans="5:7" x14ac:dyDescent="0.25">
      <c r="E115" s="70">
        <f ca="1"/>
        <v>54025</v>
      </c>
      <c r="F115" s="227">
        <f ca="1"/>
        <v>0.93346119800361449</v>
      </c>
      <c r="G115" s="227">
        <f ca="1"/>
        <v>0.93129546963834664</v>
      </c>
    </row>
    <row r="116" spans="5:7" x14ac:dyDescent="0.25">
      <c r="E116" s="70">
        <f ca="1"/>
        <v>54116</v>
      </c>
      <c r="F116" s="227">
        <f ca="1"/>
        <v>0.93291310463610733</v>
      </c>
      <c r="G116" s="227">
        <f ca="1"/>
        <v>0.93021960573301432</v>
      </c>
    </row>
    <row r="117" spans="5:7" x14ac:dyDescent="0.25">
      <c r="E117" s="70">
        <f ca="1"/>
        <v>54207</v>
      </c>
      <c r="F117" s="227">
        <f ca="1"/>
        <v>0.93238243644647456</v>
      </c>
      <c r="G117" s="227">
        <f ca="1"/>
        <v>0.92917662300067316</v>
      </c>
    </row>
    <row r="118" spans="5:7" x14ac:dyDescent="0.25">
      <c r="E118" s="70">
        <f ca="1"/>
        <v>54301</v>
      </c>
      <c r="F118" s="227">
        <f ca="1"/>
        <v>0.93185198861929452</v>
      </c>
      <c r="G118" s="227">
        <f ca="1"/>
        <v>0.92813520209322653</v>
      </c>
    </row>
    <row r="119" spans="5:7" x14ac:dyDescent="0.25">
      <c r="E119" s="70">
        <f ca="1"/>
        <v>54392</v>
      </c>
      <c r="F119" s="227">
        <f ca="1"/>
        <v>0.93135505666712426</v>
      </c>
      <c r="G119" s="227">
        <f ca="1"/>
        <v>0.92716318947574594</v>
      </c>
    </row>
    <row r="120" spans="5:7" x14ac:dyDescent="0.25">
      <c r="E120" s="70">
        <f ca="1"/>
        <v>54480</v>
      </c>
      <c r="F120" s="227">
        <f ca="1"/>
        <v>0.93088948829118057</v>
      </c>
      <c r="G120" s="227">
        <f ca="1"/>
        <v>0.92625833429778026</v>
      </c>
    </row>
    <row r="121" spans="5:7" x14ac:dyDescent="0.25">
      <c r="E121" s="70">
        <f ca="1"/>
        <v>54574</v>
      </c>
      <c r="F121" s="227">
        <f ca="1"/>
        <v>0.93040777326201407</v>
      </c>
      <c r="G121" s="227">
        <f ca="1"/>
        <v>0.92533129633373568</v>
      </c>
    </row>
    <row r="122" spans="5:7" x14ac:dyDescent="0.25">
      <c r="E122" s="70">
        <f ca="1"/>
        <v>54665</v>
      </c>
      <c r="F122" s="227">
        <f ca="1"/>
        <v>0.9299560919282035</v>
      </c>
      <c r="G122" s="227">
        <f ca="1"/>
        <v>0.92447407925314029</v>
      </c>
    </row>
    <row r="123" spans="5:7" x14ac:dyDescent="0.25">
      <c r="E123" s="70">
        <f ca="1"/>
        <v>54756</v>
      </c>
      <c r="F123" s="227">
        <f ca="1"/>
        <v>0.9295181484459607</v>
      </c>
      <c r="G123" s="227">
        <f ca="1"/>
        <v>0.92365778976716628</v>
      </c>
    </row>
    <row r="124" spans="5:7" x14ac:dyDescent="0.25">
      <c r="E124" s="70" t="e">
        <f ca="1"/>
        <v>#N/A</v>
      </c>
      <c r="F124" s="227" t="e">
        <f ca="1"/>
        <v>#N/A</v>
      </c>
      <c r="G124" s="227" t="e">
        <f ca="1"/>
        <v>#N/A</v>
      </c>
    </row>
    <row r="125" spans="5:7" x14ac:dyDescent="0.25">
      <c r="E125" s="70" t="e">
        <f ca="1"/>
        <v>#N/A</v>
      </c>
      <c r="F125" s="227" t="e">
        <f ca="1"/>
        <v>#N/A</v>
      </c>
      <c r="G125" s="227" t="e">
        <f ca="1"/>
        <v>#N/A</v>
      </c>
    </row>
    <row r="126" spans="5:7" x14ac:dyDescent="0.25">
      <c r="E126" s="70" t="e">
        <f ca="1"/>
        <v>#N/A</v>
      </c>
      <c r="F126" s="227" t="e">
        <f ca="1"/>
        <v>#N/A</v>
      </c>
      <c r="G126" s="227" t="e">
        <f ca="1"/>
        <v>#N/A</v>
      </c>
    </row>
    <row r="127" spans="5:7" x14ac:dyDescent="0.25">
      <c r="E127" s="70" t="e">
        <f ca="1"/>
        <v>#N/A</v>
      </c>
      <c r="F127" s="227" t="e">
        <f ca="1"/>
        <v>#N/A</v>
      </c>
      <c r="G127" s="227" t="e">
        <f ca="1"/>
        <v>#N/A</v>
      </c>
    </row>
    <row r="128" spans="5:7" x14ac:dyDescent="0.25">
      <c r="E128" s="70" t="e">
        <f ca="1"/>
        <v>#N/A</v>
      </c>
      <c r="F128" s="227" t="e">
        <f ca="1"/>
        <v>#N/A</v>
      </c>
      <c r="G128" s="227" t="e">
        <f ca="1"/>
        <v>#N/A</v>
      </c>
    </row>
    <row r="129" spans="5:7" x14ac:dyDescent="0.25">
      <c r="E129" s="70" t="e">
        <f ca="1"/>
        <v>#N/A</v>
      </c>
      <c r="F129" s="227" t="e">
        <f ca="1"/>
        <v>#N/A</v>
      </c>
      <c r="G129" s="227" t="e">
        <f ca="1"/>
        <v>#N/A</v>
      </c>
    </row>
    <row r="130" spans="5:7" x14ac:dyDescent="0.25">
      <c r="E130" s="70" t="e">
        <f ca="1"/>
        <v>#N/A</v>
      </c>
      <c r="F130" s="227" t="e">
        <f ca="1"/>
        <v>#N/A</v>
      </c>
      <c r="G130" s="227" t="e">
        <f ca="1"/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41"/>
  <sheetViews>
    <sheetView showGridLines="0" tabSelected="1" topLeftCell="E1" workbookViewId="0">
      <selection activeCell="E1" sqref="E1"/>
    </sheetView>
  </sheetViews>
  <sheetFormatPr defaultRowHeight="15" outlineLevelCol="1" x14ac:dyDescent="0.25"/>
  <cols>
    <col min="1" max="1" width="0" hidden="1" customWidth="1" outlineLevel="1"/>
    <col min="2" max="2" width="13.140625" hidden="1" customWidth="1" outlineLevel="1"/>
    <col min="3" max="3" width="12.42578125" hidden="1" customWidth="1" outlineLevel="1"/>
    <col min="4" max="4" width="17" hidden="1" customWidth="1" outlineLevel="1"/>
    <col min="5" max="5" width="9.140625" collapsed="1"/>
    <col min="6" max="6" width="13.5703125" customWidth="1"/>
    <col min="8" max="8" width="27" bestFit="1" customWidth="1"/>
    <col min="11" max="12" width="12" bestFit="1" customWidth="1"/>
    <col min="14" max="14" width="28.7109375" customWidth="1"/>
    <col min="15" max="17" width="12.7109375" customWidth="1"/>
    <col min="19" max="19" width="21.85546875" bestFit="1" customWidth="1"/>
    <col min="20" max="20" width="14.5703125" customWidth="1"/>
    <col min="21" max="21" width="17.42578125" bestFit="1" customWidth="1"/>
    <col min="22" max="22" width="36.42578125" bestFit="1" customWidth="1"/>
    <col min="23" max="24" width="17.42578125" bestFit="1" customWidth="1"/>
    <col min="25" max="25" width="14.5703125" bestFit="1" customWidth="1"/>
  </cols>
  <sheetData>
    <row r="1" spans="2:24" x14ac:dyDescent="0.25">
      <c r="E1" s="76" t="s">
        <v>365</v>
      </c>
    </row>
    <row r="3" spans="2:24" x14ac:dyDescent="0.25">
      <c r="B3" s="119" t="s">
        <v>196</v>
      </c>
      <c r="C3" s="119"/>
      <c r="F3" s="120" t="s">
        <v>357</v>
      </c>
      <c r="O3" s="264"/>
    </row>
    <row r="4" spans="2:24" x14ac:dyDescent="0.25">
      <c r="D4" s="121" t="s">
        <v>199</v>
      </c>
      <c r="H4" s="121" t="s">
        <v>200</v>
      </c>
    </row>
    <row r="5" spans="2:24" x14ac:dyDescent="0.25">
      <c r="B5" s="81" t="s">
        <v>201</v>
      </c>
      <c r="C5" s="81" t="s">
        <v>202</v>
      </c>
      <c r="D5" s="123" t="s">
        <v>203</v>
      </c>
      <c r="E5" s="123"/>
      <c r="F5" s="123" t="s">
        <v>201</v>
      </c>
      <c r="G5" s="81" t="s">
        <v>204</v>
      </c>
      <c r="H5" s="81" t="s">
        <v>205</v>
      </c>
      <c r="I5" s="81" t="s">
        <v>206</v>
      </c>
      <c r="J5" s="81" t="s">
        <v>207</v>
      </c>
      <c r="K5" s="81" t="s">
        <v>333</v>
      </c>
      <c r="L5" s="81" t="s">
        <v>334</v>
      </c>
      <c r="N5" s="175" t="s">
        <v>359</v>
      </c>
      <c r="O5" s="263" t="s">
        <v>360</v>
      </c>
      <c r="P5" s="263" t="s">
        <v>361</v>
      </c>
      <c r="Q5" s="262" t="s">
        <v>362</v>
      </c>
      <c r="S5" s="234" t="s">
        <v>349</v>
      </c>
      <c r="V5" s="261" t="str">
        <f ca="1">_xll.meLWOSwapGeneratorCreate("ESTR_USDSOFR_XCCY",V7:X41)</f>
        <v>ESTR_USDSOFR_XCCY@18:13</v>
      </c>
    </row>
    <row r="6" spans="2:24" x14ac:dyDescent="0.25">
      <c r="B6" s="125">
        <f ca="1">_xll.meDateFromTenor(COB,F6,"MOD_FOLLOWING",$C6,"")</f>
        <v>43802</v>
      </c>
      <c r="C6" s="126" t="s">
        <v>358</v>
      </c>
      <c r="D6" s="127">
        <f ca="1">_xll.meDateFromTenor(B6,G6,)</f>
        <v>44168</v>
      </c>
      <c r="E6" s="124">
        <v>1</v>
      </c>
      <c r="F6" s="129" t="s">
        <v>52</v>
      </c>
      <c r="G6" s="243" t="str">
        <f ca="1">ESTR_SOFR_XCCY_CURVE!L4</f>
        <v>1Y</v>
      </c>
      <c r="H6" s="228" t="str">
        <f t="shared" ref="H6:H20" ca="1" si="0">$V$5</f>
        <v>ESTR_USDSOFR_XCCY@18:13</v>
      </c>
      <c r="I6" s="132" t="s">
        <v>335</v>
      </c>
      <c r="J6" s="133">
        <v>1000000</v>
      </c>
      <c r="K6" s="230">
        <v>0</v>
      </c>
      <c r="L6" s="231">
        <v>0</v>
      </c>
      <c r="N6" s="265" t="str">
        <f ca="1">_xll.meLWOXccySwapCreateFromGenerator("ESTR_SOFR_XCCY_"&amp;$G6,$H6,I6,J6,B6,D6,K6,L6,,,,,$T$7,$T$14,$T$6,$T$8)</f>
        <v>ESTR_SOFR_XCCY_1Y@19:13</v>
      </c>
      <c r="O6" s="271">
        <f ca="1">_xll.meLWOXccySwapParSpread(N6,$S$12:$T$14,,"Leg1:Float")</f>
        <v>-10.999999999980432</v>
      </c>
      <c r="P6" s="272">
        <f ca="1">ESTR_SOFR_XCCY_CURVE!M4*10000</f>
        <v>-11</v>
      </c>
      <c r="Q6" s="273">
        <f t="shared" ref="Q6:Q20" ca="1" si="1">O6-P6</f>
        <v>1.9568346942833159E-11</v>
      </c>
      <c r="R6" t="s">
        <v>2</v>
      </c>
      <c r="S6" s="235" t="s">
        <v>350</v>
      </c>
      <c r="T6" s="236" t="b">
        <v>1</v>
      </c>
    </row>
    <row r="7" spans="2:24" x14ac:dyDescent="0.25">
      <c r="B7" s="138">
        <f ca="1">_xll.meDateFromTenor(COB,F7,"MOD_FOLLOWING",$C7,"")</f>
        <v>43802</v>
      </c>
      <c r="C7" s="139" t="s">
        <v>358</v>
      </c>
      <c r="D7" s="140">
        <f ca="1">_xll.meDateFromTenor(B7,G7,)</f>
        <v>44533</v>
      </c>
      <c r="E7">
        <f t="shared" ref="E7:E20" ca="1" si="2">E6+1</f>
        <v>2</v>
      </c>
      <c r="F7" s="141" t="s">
        <v>52</v>
      </c>
      <c r="G7" s="244" t="str">
        <f ca="1">ESTR_SOFR_XCCY_CURVE!L5</f>
        <v>2Y</v>
      </c>
      <c r="H7" s="229" t="str">
        <f t="shared" ca="1" si="0"/>
        <v>ESTR_USDSOFR_XCCY@18:13</v>
      </c>
      <c r="I7" s="144" t="s">
        <v>335</v>
      </c>
      <c r="J7" s="145">
        <v>1000000</v>
      </c>
      <c r="K7" s="232">
        <v>0</v>
      </c>
      <c r="L7" s="233">
        <v>0</v>
      </c>
      <c r="N7" s="266" t="str">
        <f ca="1">_xll.meLWOXccySwapCreateFromGenerator("ESTR_SOFR_XCCY_"&amp;$G7,$H7,I7,J7,B7,D7,K7,L7,,,,,$T$7,$T$14,$T$6,$T$8)</f>
        <v>ESTR_SOFR_XCCY_2Y@20:13</v>
      </c>
      <c r="O7" s="274">
        <f ca="1">_xll.meLWOXccySwapParSpread(N7,$S$12:$T$14,,"Leg1:Float")</f>
        <v>-11.749999999970978</v>
      </c>
      <c r="P7" s="275">
        <f ca="1">ESTR_SOFR_XCCY_CURVE!M5*10000</f>
        <v>-11.75</v>
      </c>
      <c r="Q7" s="276">
        <f t="shared" ca="1" si="1"/>
        <v>2.9022118042121292E-11</v>
      </c>
      <c r="R7" t="s">
        <v>2</v>
      </c>
      <c r="S7" s="237" t="s">
        <v>351</v>
      </c>
      <c r="T7" s="241" t="s">
        <v>11</v>
      </c>
      <c r="V7" s="251" t="s">
        <v>118</v>
      </c>
      <c r="W7" s="252" t="s">
        <v>336</v>
      </c>
      <c r="X7" s="253" t="s">
        <v>337</v>
      </c>
    </row>
    <row r="8" spans="2:24" x14ac:dyDescent="0.25">
      <c r="B8" s="138">
        <f ca="1">_xll.meDateFromTenor(COB,F8,"MOD_FOLLOWING",$C8,"")</f>
        <v>43802</v>
      </c>
      <c r="C8" s="139" t="s">
        <v>358</v>
      </c>
      <c r="D8" s="140">
        <f ca="1">_xll.meDateFromTenor(B8,G8,)</f>
        <v>44898</v>
      </c>
      <c r="E8">
        <f t="shared" ca="1" si="2"/>
        <v>3</v>
      </c>
      <c r="F8" s="141" t="s">
        <v>52</v>
      </c>
      <c r="G8" s="244" t="str">
        <f ca="1">ESTR_SOFR_XCCY_CURVE!L6</f>
        <v>3Y</v>
      </c>
      <c r="H8" s="229" t="str">
        <f t="shared" ca="1" si="0"/>
        <v>ESTR_USDSOFR_XCCY@18:13</v>
      </c>
      <c r="I8" s="144" t="s">
        <v>335</v>
      </c>
      <c r="J8" s="145">
        <v>1000000</v>
      </c>
      <c r="K8" s="232">
        <v>0</v>
      </c>
      <c r="L8" s="233">
        <v>0</v>
      </c>
      <c r="N8" s="266" t="str">
        <f ca="1">_xll.meLWOXccySwapCreateFromGenerator("ESTR_SOFR_XCCY_"&amp;$G8,$H8,I8,J8,B8,D8,K8,L8,,,,,$T$7,$T$14,$T$6,$T$8)</f>
        <v>ESTR_SOFR_XCCY_3Y@21:13</v>
      </c>
      <c r="O8" s="274">
        <f ca="1">_xll.meLWOXccySwapParSpread(N8,$S$12:$T$14,,"Leg1:Float")</f>
        <v>-12.123740992906237</v>
      </c>
      <c r="P8" s="275">
        <f ca="1">ESTR_SOFR_XCCY_CURVE!M6*10000</f>
        <v>-12.125</v>
      </c>
      <c r="Q8" s="276">
        <f t="shared" ca="1" si="1"/>
        <v>1.2590070937630315E-3</v>
      </c>
      <c r="R8" t="s">
        <v>2</v>
      </c>
      <c r="S8" s="238" t="s">
        <v>352</v>
      </c>
      <c r="T8" s="239" t="s">
        <v>120</v>
      </c>
      <c r="V8" s="254" t="s">
        <v>123</v>
      </c>
      <c r="W8" s="150" t="s">
        <v>124</v>
      </c>
      <c r="X8" s="255" t="s">
        <v>124</v>
      </c>
    </row>
    <row r="9" spans="2:24" x14ac:dyDescent="0.25">
      <c r="B9" s="138">
        <f ca="1">_xll.meDateFromTenor(COB,F9,"MOD_FOLLOWING",$C9,"")</f>
        <v>43802</v>
      </c>
      <c r="C9" s="139" t="s">
        <v>358</v>
      </c>
      <c r="D9" s="140">
        <f ca="1">_xll.meDateFromTenor(B9,G9,)</f>
        <v>45263</v>
      </c>
      <c r="E9">
        <f t="shared" ca="1" si="2"/>
        <v>4</v>
      </c>
      <c r="F9" s="141" t="s">
        <v>52</v>
      </c>
      <c r="G9" s="244" t="str">
        <f ca="1">ESTR_SOFR_XCCY_CURVE!L7</f>
        <v>4Y</v>
      </c>
      <c r="H9" s="229" t="str">
        <f t="shared" ca="1" si="0"/>
        <v>ESTR_USDSOFR_XCCY@18:13</v>
      </c>
      <c r="I9" s="144" t="s">
        <v>335</v>
      </c>
      <c r="J9" s="145">
        <v>1000000</v>
      </c>
      <c r="K9" s="232">
        <v>0</v>
      </c>
      <c r="L9" s="233">
        <v>0</v>
      </c>
      <c r="N9" s="266" t="str">
        <f ca="1">_xll.meLWOXccySwapCreateFromGenerator("ESTR_SOFR_XCCY_"&amp;$G9,$H9,I9,J9,B9,D9,K9,L9,,,,,$T$7,$T$14,$T$6,$T$8)</f>
        <v>ESTR_SOFR_XCCY_4Y@22:13</v>
      </c>
      <c r="O9" s="274">
        <f ca="1">_xll.meLWOXccySwapParSpread(N9,$S$12:$T$14,,"Leg1:Float")</f>
        <v>-12.620064618448957</v>
      </c>
      <c r="P9" s="275">
        <f ca="1">ESTR_SOFR_XCCY_CURVE!M7*10000</f>
        <v>-12.625</v>
      </c>
      <c r="Q9" s="276">
        <f t="shared" ca="1" si="1"/>
        <v>4.9353815510428944E-3</v>
      </c>
      <c r="R9" t="s">
        <v>2</v>
      </c>
      <c r="V9" s="254" t="s">
        <v>127</v>
      </c>
      <c r="W9" s="256" t="s">
        <v>219</v>
      </c>
      <c r="X9" s="257" t="s">
        <v>21</v>
      </c>
    </row>
    <row r="10" spans="2:24" x14ac:dyDescent="0.25">
      <c r="B10" s="138">
        <f ca="1">_xll.meDateFromTenor(COB,F10,"MOD_FOLLOWING",$C10,"")</f>
        <v>43802</v>
      </c>
      <c r="C10" s="139" t="s">
        <v>358</v>
      </c>
      <c r="D10" s="140">
        <f ca="1">_xll.meDateFromTenor(B10,G10,)</f>
        <v>45629</v>
      </c>
      <c r="E10">
        <f t="shared" ca="1" si="2"/>
        <v>5</v>
      </c>
      <c r="F10" s="141" t="s">
        <v>52</v>
      </c>
      <c r="G10" s="244" t="str">
        <f ca="1">ESTR_SOFR_XCCY_CURVE!L8</f>
        <v>5Y</v>
      </c>
      <c r="H10" s="229" t="str">
        <f t="shared" ca="1" si="0"/>
        <v>ESTR_USDSOFR_XCCY@18:13</v>
      </c>
      <c r="I10" s="144" t="s">
        <v>335</v>
      </c>
      <c r="J10" s="145">
        <v>1000000</v>
      </c>
      <c r="K10" s="232">
        <v>0</v>
      </c>
      <c r="L10" s="233">
        <v>0</v>
      </c>
      <c r="N10" s="266" t="str">
        <f ca="1">_xll.meLWOXccySwapCreateFromGenerator("ESTR_SOFR_XCCY_"&amp;$G10,$H10,I10,J10,B10,D10,K10,L10,,,,,$T$7,$T$14,$T$6,$T$8)</f>
        <v>ESTR_SOFR_XCCY_5Y@23:59</v>
      </c>
      <c r="O10" s="274">
        <f ca="1">_xll.meLWOXccySwapParSpread(N10,$S$12:$T$14,,"Leg1:Float")</f>
        <v>-13.120366400880872</v>
      </c>
      <c r="P10" s="275">
        <f ca="1">ESTR_SOFR_XCCY_CURVE!M8*10000</f>
        <v>-13.125</v>
      </c>
      <c r="Q10" s="276">
        <f t="shared" ca="1" si="1"/>
        <v>4.6335991191277515E-3</v>
      </c>
      <c r="R10" t="s">
        <v>2</v>
      </c>
      <c r="V10" s="254" t="s">
        <v>135</v>
      </c>
      <c r="W10" s="150" t="s">
        <v>157</v>
      </c>
      <c r="X10" s="255" t="s">
        <v>157</v>
      </c>
    </row>
    <row r="11" spans="2:24" x14ac:dyDescent="0.25">
      <c r="B11" s="138">
        <f ca="1">_xll.meDateFromTenor(COB,F11,"MOD_FOLLOWING",$C11,"")</f>
        <v>43802</v>
      </c>
      <c r="C11" s="139" t="s">
        <v>358</v>
      </c>
      <c r="D11" s="140">
        <f ca="1">_xll.meDateFromTenor(B11,G11,)</f>
        <v>45994</v>
      </c>
      <c r="E11">
        <f t="shared" ca="1" si="2"/>
        <v>6</v>
      </c>
      <c r="F11" s="141" t="s">
        <v>52</v>
      </c>
      <c r="G11" s="244" t="str">
        <f ca="1">ESTR_SOFR_XCCY_CURVE!L9</f>
        <v>6Y</v>
      </c>
      <c r="H11" s="229" t="str">
        <f t="shared" ca="1" si="0"/>
        <v>ESTR_USDSOFR_XCCY@18:13</v>
      </c>
      <c r="I11" s="144" t="s">
        <v>335</v>
      </c>
      <c r="J11" s="145">
        <v>1000000</v>
      </c>
      <c r="K11" s="232">
        <v>0</v>
      </c>
      <c r="L11" s="233">
        <v>0</v>
      </c>
      <c r="N11" s="266" t="str">
        <f ca="1">_xll.meLWOXccySwapCreateFromGenerator("ESTR_SOFR_XCCY_"&amp;$G11,$H11,I11,J11,B11,D11,K11,L11,,,,,$T$7,$T$14,$T$6,$T$8)</f>
        <v>ESTR_SOFR_XCCY_6Y@24:13</v>
      </c>
      <c r="O11" s="274">
        <f ca="1">_xll.meLWOXccySwapParSpread(N11,$S$12:$T$14,,"Leg1:Float")</f>
        <v>-13.746148697344514</v>
      </c>
      <c r="P11" s="275">
        <f ca="1">ESTR_SOFR_XCCY_CURVE!M9*10000</f>
        <v>-13.75</v>
      </c>
      <c r="Q11" s="276">
        <f t="shared" ca="1" si="1"/>
        <v>3.8513026554856111E-3</v>
      </c>
      <c r="R11" t="s">
        <v>2</v>
      </c>
      <c r="S11" s="76" t="s">
        <v>353</v>
      </c>
      <c r="V11" s="254" t="s">
        <v>138</v>
      </c>
      <c r="W11" s="150" t="s">
        <v>338</v>
      </c>
      <c r="X11" s="255" t="s">
        <v>338</v>
      </c>
    </row>
    <row r="12" spans="2:24" x14ac:dyDescent="0.25">
      <c r="B12" s="138">
        <f ca="1">_xll.meDateFromTenor(COB,F12,"MOD_FOLLOWING",$C12,"")</f>
        <v>43802</v>
      </c>
      <c r="C12" s="139" t="s">
        <v>358</v>
      </c>
      <c r="D12" s="140">
        <f ca="1">_xll.meDateFromTenor(B12,G12,)</f>
        <v>46359</v>
      </c>
      <c r="E12">
        <f t="shared" ca="1" si="2"/>
        <v>7</v>
      </c>
      <c r="F12" s="141" t="s">
        <v>52</v>
      </c>
      <c r="G12" s="244" t="str">
        <f ca="1">ESTR_SOFR_XCCY_CURVE!L10</f>
        <v>7Y</v>
      </c>
      <c r="H12" s="229" t="str">
        <f t="shared" ca="1" si="0"/>
        <v>ESTR_USDSOFR_XCCY@18:13</v>
      </c>
      <c r="I12" s="144" t="s">
        <v>335</v>
      </c>
      <c r="J12" s="145">
        <v>1000000</v>
      </c>
      <c r="K12" s="232">
        <v>0</v>
      </c>
      <c r="L12" s="233">
        <v>0</v>
      </c>
      <c r="N12" s="266" t="str">
        <f ca="1">_xll.meLWOXccySwapCreateFromGenerator("ESTR_SOFR_XCCY_"&amp;$G12,$H12,I12,J12,B12,D12,K12,L12,,,,,$T$7,$T$14,$T$6,$T$8)</f>
        <v>ESTR_SOFR_XCCY_7Y@25:13</v>
      </c>
      <c r="O12" s="274">
        <f ca="1">_xll.meLWOXccySwapParSpread(N12,$S$12:$T$14,,"Leg1:Float")</f>
        <v>-14.371706471688753</v>
      </c>
      <c r="P12" s="275">
        <f ca="1">ESTR_SOFR_XCCY_CURVE!M10*10000</f>
        <v>-14.375</v>
      </c>
      <c r="Q12" s="276">
        <f t="shared" ca="1" si="1"/>
        <v>3.2935283112465186E-3</v>
      </c>
      <c r="R12" t="s">
        <v>2</v>
      </c>
      <c r="S12" s="235" t="s">
        <v>354</v>
      </c>
      <c r="T12" s="90" t="s">
        <v>194</v>
      </c>
      <c r="V12" s="254" t="s">
        <v>131</v>
      </c>
      <c r="W12" s="256" t="s">
        <v>332</v>
      </c>
      <c r="X12" s="257" t="s">
        <v>21</v>
      </c>
    </row>
    <row r="13" spans="2:24" x14ac:dyDescent="0.25">
      <c r="B13" s="138">
        <f ca="1">_xll.meDateFromTenor(COB,F13,"MOD_FOLLOWING",$C13,"")</f>
        <v>43802</v>
      </c>
      <c r="C13" s="139" t="s">
        <v>358</v>
      </c>
      <c r="D13" s="140">
        <f ca="1">_xll.meDateFromTenor(B13,G13,)</f>
        <v>46724</v>
      </c>
      <c r="E13">
        <f t="shared" ca="1" si="2"/>
        <v>8</v>
      </c>
      <c r="F13" s="141" t="s">
        <v>52</v>
      </c>
      <c r="G13" s="244" t="str">
        <f ca="1">ESTR_SOFR_XCCY_CURVE!L11</f>
        <v>8Y</v>
      </c>
      <c r="H13" s="229" t="str">
        <f t="shared" ca="1" si="0"/>
        <v>ESTR_USDSOFR_XCCY@18:13</v>
      </c>
      <c r="I13" s="144" t="s">
        <v>335</v>
      </c>
      <c r="J13" s="145">
        <v>1000000</v>
      </c>
      <c r="K13" s="232">
        <v>0</v>
      </c>
      <c r="L13" s="233">
        <v>0</v>
      </c>
      <c r="N13" s="266" t="str">
        <f ca="1">_xll.meLWOXccySwapCreateFromGenerator("ESTR_SOFR_XCCY_"&amp;$G13,$H13,I13,J13,B13,D13,K13,L13,,,,,$T$7,$T$14,$T$6,$T$8)</f>
        <v>ESTR_SOFR_XCCY_8Y@26:13</v>
      </c>
      <c r="O13" s="274">
        <f ca="1">_xll.meLWOXccySwapParSpread(N13,$S$12:$T$14,,"Leg1:Float")</f>
        <v>-14.872123736034846</v>
      </c>
      <c r="P13" s="275">
        <f ca="1">ESTR_SOFR_XCCY_CURVE!M11*10000</f>
        <v>-14.875000000000002</v>
      </c>
      <c r="Q13" s="276">
        <f t="shared" ca="1" si="1"/>
        <v>2.8762639651560562E-3</v>
      </c>
      <c r="R13" t="s">
        <v>2</v>
      </c>
      <c r="S13" s="237" t="s">
        <v>120</v>
      </c>
      <c r="T13" s="240" t="s">
        <v>58</v>
      </c>
      <c r="V13" s="254" t="s">
        <v>139</v>
      </c>
      <c r="W13" s="150" t="s">
        <v>134</v>
      </c>
      <c r="X13" s="255" t="s">
        <v>11</v>
      </c>
    </row>
    <row r="14" spans="2:24" x14ac:dyDescent="0.25">
      <c r="B14" s="138">
        <f ca="1">_xll.meDateFromTenor(COB,F14,"MOD_FOLLOWING",$C14,"")</f>
        <v>43802</v>
      </c>
      <c r="C14" s="139" t="s">
        <v>358</v>
      </c>
      <c r="D14" s="140">
        <f ca="1">_xll.meDateFromTenor(B14,G14,)</f>
        <v>47090</v>
      </c>
      <c r="E14">
        <f t="shared" ca="1" si="2"/>
        <v>9</v>
      </c>
      <c r="F14" s="141" t="s">
        <v>52</v>
      </c>
      <c r="G14" s="244" t="str">
        <f ca="1">ESTR_SOFR_XCCY_CURVE!L12</f>
        <v>9Y</v>
      </c>
      <c r="H14" s="229" t="str">
        <f t="shared" ca="1" si="0"/>
        <v>ESTR_USDSOFR_XCCY@18:13</v>
      </c>
      <c r="I14" s="144" t="s">
        <v>335</v>
      </c>
      <c r="J14" s="145">
        <v>1000000</v>
      </c>
      <c r="K14" s="232">
        <v>0</v>
      </c>
      <c r="L14" s="233">
        <v>0</v>
      </c>
      <c r="N14" s="266" t="str">
        <f ca="1">_xll.meLWOXccySwapCreateFromGenerator("ESTR_SOFR_XCCY_"&amp;$G14,$H14,I14,J14,B14,D14,K14,L14,,,,,$T$7,$T$14,$T$6,$T$8)</f>
        <v>ESTR_SOFR_XCCY_9Y@27:13</v>
      </c>
      <c r="O14" s="274">
        <f ca="1">_xll.meLWOXccySwapParSpread(N14,$S$12:$T$14,,"Leg1:Float")</f>
        <v>-15.122101100600783</v>
      </c>
      <c r="P14" s="275">
        <f ca="1">ESTR_SOFR_XCCY_CURVE!M12*10000</f>
        <v>-15.125</v>
      </c>
      <c r="Q14" s="276">
        <f t="shared" ca="1" si="1"/>
        <v>2.8988993992165035E-3</v>
      </c>
      <c r="R14" t="s">
        <v>2</v>
      </c>
      <c r="S14" s="238" t="s">
        <v>355</v>
      </c>
      <c r="T14" s="242">
        <f ca="1">ESTR_SOFR_XCCY_CURVE!J4</f>
        <v>1.1005499999999999</v>
      </c>
      <c r="U14" s="76" t="s">
        <v>356</v>
      </c>
      <c r="V14" s="254" t="s">
        <v>142</v>
      </c>
      <c r="W14" s="150" t="s">
        <v>134</v>
      </c>
      <c r="X14" s="255" t="s">
        <v>11</v>
      </c>
    </row>
    <row r="15" spans="2:24" x14ac:dyDescent="0.25">
      <c r="B15" s="138">
        <f ca="1">_xll.meDateFromTenor(COB,F15,"MOD_FOLLOWING",$C15,"")</f>
        <v>43802</v>
      </c>
      <c r="C15" s="139" t="s">
        <v>358</v>
      </c>
      <c r="D15" s="140">
        <f ca="1">_xll.meDateFromTenor(B15,G15,)</f>
        <v>47455</v>
      </c>
      <c r="E15">
        <f t="shared" ca="1" si="2"/>
        <v>10</v>
      </c>
      <c r="F15" s="141" t="s">
        <v>52</v>
      </c>
      <c r="G15" s="244" t="str">
        <f ca="1">ESTR_SOFR_XCCY_CURVE!L13</f>
        <v>10Y</v>
      </c>
      <c r="H15" s="229" t="str">
        <f t="shared" ca="1" si="0"/>
        <v>ESTR_USDSOFR_XCCY@18:13</v>
      </c>
      <c r="I15" s="144" t="s">
        <v>335</v>
      </c>
      <c r="J15" s="145">
        <v>1000000</v>
      </c>
      <c r="K15" s="232">
        <v>0</v>
      </c>
      <c r="L15" s="233">
        <v>0</v>
      </c>
      <c r="N15" s="266" t="str">
        <f ca="1">_xll.meLWOXccySwapCreateFromGenerator("ESTR_SOFR_XCCY_"&amp;$G15,$H15,I15,J15,B15,D15,K15,L15,,,,,$T$7,$T$14,$T$6,$T$8)</f>
        <v>ESTR_SOFR_XCCY_10Y@28:13</v>
      </c>
      <c r="O15" s="274">
        <f ca="1">_xll.meLWOXccySwapParSpread(N15,$S$12:$T$14,,"Leg1:Float")</f>
        <v>-15.37191459175019</v>
      </c>
      <c r="P15" s="275">
        <f ca="1">ESTR_SOFR_XCCY_CURVE!M13*10000</f>
        <v>-15.375</v>
      </c>
      <c r="Q15" s="276">
        <f t="shared" ca="1" si="1"/>
        <v>3.0854082498095181E-3</v>
      </c>
      <c r="R15" t="s">
        <v>2</v>
      </c>
      <c r="V15" s="254" t="s">
        <v>145</v>
      </c>
      <c r="W15" s="150" t="s">
        <v>268</v>
      </c>
      <c r="X15" s="255" t="s">
        <v>268</v>
      </c>
    </row>
    <row r="16" spans="2:24" x14ac:dyDescent="0.25">
      <c r="B16" s="138">
        <f ca="1">_xll.meDateFromTenor(COB,F16,"MOD_FOLLOWING",$C16,"")</f>
        <v>43802</v>
      </c>
      <c r="C16" s="139" t="s">
        <v>358</v>
      </c>
      <c r="D16" s="140">
        <f ca="1">_xll.meDateFromTenor(B16,G16,)</f>
        <v>48185</v>
      </c>
      <c r="E16">
        <f t="shared" ca="1" si="2"/>
        <v>11</v>
      </c>
      <c r="F16" s="141" t="s">
        <v>52</v>
      </c>
      <c r="G16" s="244" t="str">
        <f ca="1">ESTR_SOFR_XCCY_CURVE!L14</f>
        <v>12Y</v>
      </c>
      <c r="H16" s="229" t="str">
        <f t="shared" ca="1" si="0"/>
        <v>ESTR_USDSOFR_XCCY@18:13</v>
      </c>
      <c r="I16" s="144" t="s">
        <v>335</v>
      </c>
      <c r="J16" s="145">
        <v>1000000</v>
      </c>
      <c r="K16" s="232">
        <v>0</v>
      </c>
      <c r="L16" s="233">
        <v>0</v>
      </c>
      <c r="N16" s="266" t="str">
        <f ca="1">_xll.meLWOXccySwapCreateFromGenerator("ESTR_SOFR_XCCY_"&amp;$G16,$H16,I16,J16,B16,D16,K16,L16,,,,,$T$7,$T$14,$T$6,$T$8)</f>
        <v>ESTR_SOFR_XCCY_12Y@29:13</v>
      </c>
      <c r="O16" s="274">
        <f ca="1">_xll.meLWOXccySwapParSpread(N16,$S$12:$T$14,,"Leg1:Float")</f>
        <v>-14.997269691210791</v>
      </c>
      <c r="P16" s="275">
        <f ca="1">ESTR_SOFR_XCCY_CURVE!M14*10000</f>
        <v>-15</v>
      </c>
      <c r="Q16" s="276">
        <f t="shared" ca="1" si="1"/>
        <v>2.7303087892089906E-3</v>
      </c>
      <c r="R16" t="s">
        <v>2</v>
      </c>
      <c r="V16" s="254" t="s">
        <v>147</v>
      </c>
      <c r="W16" s="150" t="s">
        <v>61</v>
      </c>
      <c r="X16" s="255" t="s">
        <v>61</v>
      </c>
    </row>
    <row r="17" spans="2:24" x14ac:dyDescent="0.25">
      <c r="B17" s="138">
        <f ca="1">_xll.meDateFromTenor(COB,F17,"MOD_FOLLOWING",$C17,"")</f>
        <v>43802</v>
      </c>
      <c r="C17" s="139" t="s">
        <v>358</v>
      </c>
      <c r="D17" s="140">
        <f ca="1">_xll.meDateFromTenor(B17,G17,)</f>
        <v>49281</v>
      </c>
      <c r="E17">
        <f t="shared" ca="1" si="2"/>
        <v>12</v>
      </c>
      <c r="F17" s="141" t="s">
        <v>52</v>
      </c>
      <c r="G17" s="244" t="str">
        <f ca="1">ESTR_SOFR_XCCY_CURVE!L15</f>
        <v>15Y</v>
      </c>
      <c r="H17" s="229" t="str">
        <f t="shared" ca="1" si="0"/>
        <v>ESTR_USDSOFR_XCCY@18:13</v>
      </c>
      <c r="I17" s="144" t="s">
        <v>335</v>
      </c>
      <c r="J17" s="145">
        <v>1000000</v>
      </c>
      <c r="K17" s="232">
        <v>0</v>
      </c>
      <c r="L17" s="233">
        <v>0</v>
      </c>
      <c r="N17" s="266" t="str">
        <f ca="1">_xll.meLWOXccySwapCreateFromGenerator("ESTR_SOFR_XCCY_"&amp;$G17,$H17,I17,J17,B17,D17,K17,L17,,,,,$T$7,$T$14,$T$6,$T$8)</f>
        <v>ESTR_SOFR_XCCY_15Y@30:13</v>
      </c>
      <c r="O17" s="274">
        <f ca="1">_xll.meLWOXccySwapParSpread(N17,$S$12:$T$14,,"Leg1:Float")</f>
        <v>-13.122294143450011</v>
      </c>
      <c r="P17" s="275">
        <f ca="1">ESTR_SOFR_XCCY_CURVE!M15*10000</f>
        <v>-13.125</v>
      </c>
      <c r="Q17" s="276">
        <f t="shared" ca="1" si="1"/>
        <v>2.7058565499888942E-3</v>
      </c>
      <c r="R17" t="s">
        <v>2</v>
      </c>
      <c r="V17" s="254" t="s">
        <v>151</v>
      </c>
      <c r="W17" s="268" t="s">
        <v>358</v>
      </c>
      <c r="X17" s="269" t="s">
        <v>358</v>
      </c>
    </row>
    <row r="18" spans="2:24" x14ac:dyDescent="0.25">
      <c r="B18" s="138">
        <f ca="1">_xll.meDateFromTenor(COB,F18,"MOD_FOLLOWING",$C18,"")</f>
        <v>43802</v>
      </c>
      <c r="C18" s="139" t="s">
        <v>358</v>
      </c>
      <c r="D18" s="140">
        <f ca="1">_xll.meDateFromTenor(B18,G18,)</f>
        <v>51107</v>
      </c>
      <c r="E18">
        <f t="shared" ca="1" si="2"/>
        <v>13</v>
      </c>
      <c r="F18" s="141" t="s">
        <v>52</v>
      </c>
      <c r="G18" s="244" t="str">
        <f ca="1">ESTR_SOFR_XCCY_CURVE!L16</f>
        <v>20Y</v>
      </c>
      <c r="H18" s="229" t="str">
        <f t="shared" ca="1" si="0"/>
        <v>ESTR_USDSOFR_XCCY@18:13</v>
      </c>
      <c r="I18" s="144" t="s">
        <v>335</v>
      </c>
      <c r="J18" s="145">
        <v>1000000</v>
      </c>
      <c r="K18" s="232">
        <v>0</v>
      </c>
      <c r="L18" s="233">
        <v>0</v>
      </c>
      <c r="N18" s="266" t="str">
        <f ca="1">_xll.meLWOXccySwapCreateFromGenerator("ESTR_SOFR_XCCY_"&amp;$G18,$H18,I18,J18,B18,D18,K18,L18,,,,,$T$7,$T$14,$T$6,$T$8)</f>
        <v>ESTR_SOFR_XCCY_20Y@31:13</v>
      </c>
      <c r="O18" s="274">
        <f ca="1">_xll.meLWOXccySwapParSpread(N18,$S$12:$T$14,,"Leg1:Float")</f>
        <v>-7.6227724224054221</v>
      </c>
      <c r="P18" s="275">
        <f ca="1">ESTR_SOFR_XCCY_CURVE!M16*10000</f>
        <v>-7.6250000000000009</v>
      </c>
      <c r="Q18" s="276">
        <f t="shared" ca="1" si="1"/>
        <v>2.2275775945788112E-3</v>
      </c>
      <c r="R18" t="s">
        <v>2</v>
      </c>
      <c r="V18" s="254" t="s">
        <v>153</v>
      </c>
      <c r="W18" s="150" t="s">
        <v>41</v>
      </c>
      <c r="X18" s="255" t="s">
        <v>41</v>
      </c>
    </row>
    <row r="19" spans="2:24" x14ac:dyDescent="0.25">
      <c r="B19" s="138">
        <f ca="1">_xll.meDateFromTenor(COB,F19,"MOD_FOLLOWING",$C19,"")</f>
        <v>43802</v>
      </c>
      <c r="C19" s="139" t="s">
        <v>358</v>
      </c>
      <c r="D19" s="140">
        <f ca="1">_xll.meDateFromTenor(B19,G19,)</f>
        <v>52934</v>
      </c>
      <c r="E19">
        <f t="shared" ca="1" si="2"/>
        <v>14</v>
      </c>
      <c r="F19" s="141" t="s">
        <v>52</v>
      </c>
      <c r="G19" s="244" t="str">
        <f ca="1">ESTR_SOFR_XCCY_CURVE!L17</f>
        <v>25Y</v>
      </c>
      <c r="H19" s="229" t="str">
        <f t="shared" ca="1" si="0"/>
        <v>ESTR_USDSOFR_XCCY@18:13</v>
      </c>
      <c r="I19" s="144" t="s">
        <v>335</v>
      </c>
      <c r="J19" s="145">
        <v>1000000</v>
      </c>
      <c r="K19" s="232">
        <v>0</v>
      </c>
      <c r="L19" s="233">
        <v>0</v>
      </c>
      <c r="N19" s="266" t="str">
        <f ca="1">_xll.meLWOXccySwapCreateFromGenerator("ESTR_SOFR_XCCY_"&amp;$G19,$H19,I19,J19,B19,D19,K19,L19,,,,,$T$7,$T$14,$T$6,$T$8)</f>
        <v>ESTR_SOFR_XCCY_25Y@32:13</v>
      </c>
      <c r="O19" s="274">
        <f ca="1">_xll.meLWOXccySwapParSpread(N19,$S$12:$T$14,,"Leg1:Float")</f>
        <v>-2.3731160654736136</v>
      </c>
      <c r="P19" s="275">
        <f ca="1">ESTR_SOFR_XCCY_CURVE!M17*10000</f>
        <v>-2.375</v>
      </c>
      <c r="Q19" s="276">
        <f t="shared" ca="1" si="1"/>
        <v>1.8839345263863549E-3</v>
      </c>
      <c r="R19" t="s">
        <v>2</v>
      </c>
      <c r="V19" s="254" t="s">
        <v>156</v>
      </c>
      <c r="W19" s="150" t="s">
        <v>157</v>
      </c>
      <c r="X19" s="255" t="s">
        <v>157</v>
      </c>
    </row>
    <row r="20" spans="2:24" x14ac:dyDescent="0.25">
      <c r="B20" s="151">
        <f ca="1">_xll.meDateFromTenor(COB,F20,"MOD_FOLLOWING",$C20,"")</f>
        <v>43802</v>
      </c>
      <c r="C20" s="152" t="s">
        <v>358</v>
      </c>
      <c r="D20" s="153">
        <f ca="1">_xll.meDateFromTenor(B20,G20,)</f>
        <v>54760</v>
      </c>
      <c r="E20">
        <f t="shared" ca="1" si="2"/>
        <v>15</v>
      </c>
      <c r="F20" s="154" t="s">
        <v>52</v>
      </c>
      <c r="G20" s="245" t="str">
        <f ca="1">ESTR_SOFR_XCCY_CURVE!L18</f>
        <v>30Y</v>
      </c>
      <c r="H20" s="246" t="str">
        <f t="shared" ca="1" si="0"/>
        <v>ESTR_USDSOFR_XCCY@18:13</v>
      </c>
      <c r="I20" s="157" t="s">
        <v>335</v>
      </c>
      <c r="J20" s="158">
        <v>1000000</v>
      </c>
      <c r="K20" s="247">
        <v>0</v>
      </c>
      <c r="L20" s="248">
        <v>0</v>
      </c>
      <c r="N20" s="267" t="str">
        <f ca="1">_xll.meLWOXccySwapCreateFromGenerator("ESTR_SOFR_XCCY_"&amp;$G20,$H20,I20,J20,B20,D20,K20,L20,,,,,$T$7,$T$14,$T$6,$T$8)</f>
        <v>ESTR_SOFR_XCCY_30Y@33:13</v>
      </c>
      <c r="O20" s="277">
        <f ca="1">_xll.meLWOXccySwapParSpread(N20,$S$12:$T$14,,"Leg1:Float")</f>
        <v>1.5017234544199396</v>
      </c>
      <c r="P20" s="278">
        <f ca="1">ESTR_SOFR_XCCY_CURVE!M18*10000</f>
        <v>1.4999999999999998</v>
      </c>
      <c r="Q20" s="279">
        <f t="shared" ca="1" si="1"/>
        <v>1.7234544199398183E-3</v>
      </c>
      <c r="R20" t="s">
        <v>2</v>
      </c>
      <c r="V20" s="254" t="s">
        <v>160</v>
      </c>
      <c r="W20" s="150" t="s">
        <v>61</v>
      </c>
      <c r="X20" s="255" t="s">
        <v>61</v>
      </c>
    </row>
    <row r="21" spans="2:24" x14ac:dyDescent="0.25">
      <c r="V21" s="254" t="s">
        <v>162</v>
      </c>
      <c r="W21" s="268" t="s">
        <v>358</v>
      </c>
      <c r="X21" s="269" t="s">
        <v>358</v>
      </c>
    </row>
    <row r="22" spans="2:24" x14ac:dyDescent="0.25">
      <c r="V22" s="254" t="s">
        <v>165</v>
      </c>
      <c r="W22" s="150" t="s">
        <v>166</v>
      </c>
      <c r="X22" s="255" t="s">
        <v>166</v>
      </c>
    </row>
    <row r="23" spans="2:24" x14ac:dyDescent="0.25">
      <c r="V23" s="254" t="s">
        <v>168</v>
      </c>
      <c r="W23" s="150" t="s">
        <v>157</v>
      </c>
      <c r="X23" s="255" t="s">
        <v>157</v>
      </c>
    </row>
    <row r="24" spans="2:24" x14ac:dyDescent="0.25">
      <c r="V24" s="254" t="s">
        <v>170</v>
      </c>
      <c r="W24" s="150" t="s">
        <v>157</v>
      </c>
      <c r="X24" s="255" t="s">
        <v>157</v>
      </c>
    </row>
    <row r="25" spans="2:24" x14ac:dyDescent="0.25">
      <c r="V25" s="254" t="s">
        <v>172</v>
      </c>
      <c r="W25" s="150" t="s">
        <v>173</v>
      </c>
      <c r="X25" s="255" t="s">
        <v>173</v>
      </c>
    </row>
    <row r="26" spans="2:24" x14ac:dyDescent="0.25">
      <c r="V26" s="254" t="s">
        <v>175</v>
      </c>
      <c r="W26" s="150" t="s">
        <v>339</v>
      </c>
      <c r="X26" s="255" t="s">
        <v>339</v>
      </c>
    </row>
    <row r="27" spans="2:24" x14ac:dyDescent="0.25">
      <c r="V27" s="254" t="s">
        <v>179</v>
      </c>
      <c r="W27" s="150" t="s">
        <v>61</v>
      </c>
      <c r="X27" s="255" t="s">
        <v>61</v>
      </c>
    </row>
    <row r="28" spans="2:24" x14ac:dyDescent="0.25">
      <c r="V28" s="254" t="s">
        <v>182</v>
      </c>
      <c r="W28" s="268" t="s">
        <v>358</v>
      </c>
      <c r="X28" s="269" t="s">
        <v>358</v>
      </c>
    </row>
    <row r="29" spans="2:24" x14ac:dyDescent="0.25">
      <c r="V29" s="254" t="s">
        <v>184</v>
      </c>
      <c r="W29" s="150" t="s">
        <v>166</v>
      </c>
      <c r="X29" s="255" t="s">
        <v>166</v>
      </c>
    </row>
    <row r="30" spans="2:24" x14ac:dyDescent="0.25">
      <c r="V30" s="254" t="s">
        <v>187</v>
      </c>
      <c r="W30" s="150" t="s">
        <v>157</v>
      </c>
      <c r="X30" s="255" t="s">
        <v>157</v>
      </c>
    </row>
    <row r="31" spans="2:24" x14ac:dyDescent="0.25">
      <c r="V31" s="254" t="s">
        <v>340</v>
      </c>
      <c r="W31" s="150" t="s">
        <v>157</v>
      </c>
      <c r="X31" s="255" t="s">
        <v>157</v>
      </c>
    </row>
    <row r="32" spans="2:24" x14ac:dyDescent="0.25">
      <c r="V32" s="254" t="s">
        <v>188</v>
      </c>
      <c r="W32" s="150" t="s">
        <v>189</v>
      </c>
      <c r="X32" s="255" t="s">
        <v>189</v>
      </c>
    </row>
    <row r="33" spans="22:24" x14ac:dyDescent="0.25">
      <c r="V33" s="254" t="s">
        <v>190</v>
      </c>
      <c r="W33" s="150" t="s">
        <v>189</v>
      </c>
      <c r="X33" s="255" t="s">
        <v>189</v>
      </c>
    </row>
    <row r="34" spans="22:24" x14ac:dyDescent="0.25">
      <c r="V34" s="254" t="s">
        <v>341</v>
      </c>
      <c r="W34" s="150" t="s">
        <v>157</v>
      </c>
      <c r="X34" s="255" t="s">
        <v>157</v>
      </c>
    </row>
    <row r="35" spans="22:24" x14ac:dyDescent="0.25">
      <c r="V35" s="254" t="s">
        <v>342</v>
      </c>
      <c r="W35" s="150" t="s">
        <v>157</v>
      </c>
      <c r="X35" s="255" t="s">
        <v>157</v>
      </c>
    </row>
    <row r="36" spans="22:24" x14ac:dyDescent="0.25">
      <c r="V36" s="254" t="s">
        <v>343</v>
      </c>
      <c r="W36" s="150" t="s">
        <v>157</v>
      </c>
      <c r="X36" s="255" t="s">
        <v>157</v>
      </c>
    </row>
    <row r="37" spans="22:24" x14ac:dyDescent="0.25">
      <c r="V37" s="254" t="s">
        <v>344</v>
      </c>
      <c r="W37" s="150" t="s">
        <v>157</v>
      </c>
      <c r="X37" s="255" t="s">
        <v>157</v>
      </c>
    </row>
    <row r="38" spans="22:24" x14ac:dyDescent="0.25">
      <c r="V38" s="254" t="s">
        <v>345</v>
      </c>
      <c r="W38" s="150" t="s">
        <v>157</v>
      </c>
      <c r="X38" s="255" t="s">
        <v>157</v>
      </c>
    </row>
    <row r="39" spans="22:24" x14ac:dyDescent="0.25">
      <c r="V39" s="254" t="s">
        <v>346</v>
      </c>
      <c r="W39" s="150" t="s">
        <v>157</v>
      </c>
      <c r="X39" s="255" t="s">
        <v>157</v>
      </c>
    </row>
    <row r="40" spans="22:24" x14ac:dyDescent="0.25">
      <c r="V40" s="254" t="s">
        <v>347</v>
      </c>
      <c r="W40" s="150" t="s">
        <v>157</v>
      </c>
      <c r="X40" s="255" t="s">
        <v>157</v>
      </c>
    </row>
    <row r="41" spans="22:24" x14ac:dyDescent="0.25">
      <c r="V41" s="258" t="s">
        <v>348</v>
      </c>
      <c r="W41" s="259" t="s">
        <v>157</v>
      </c>
      <c r="X41" s="260" t="s">
        <v>157</v>
      </c>
    </row>
  </sheetData>
  <dataValidations count="1">
    <dataValidation type="list" allowBlank="1" showInputMessage="1" showErrorMessage="1" sqref="T7">
      <formula1>"EUR,USD"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/>
  </sheetPr>
  <dimension ref="B2:R21"/>
  <sheetViews>
    <sheetView showGridLines="0" topLeftCell="E1" workbookViewId="0">
      <selection activeCell="P7" sqref="P7"/>
    </sheetView>
  </sheetViews>
  <sheetFormatPr defaultRowHeight="15" x14ac:dyDescent="0.25"/>
  <cols>
    <col min="1" max="1" width="4.7109375" customWidth="1"/>
    <col min="2" max="2" width="17" customWidth="1"/>
    <col min="3" max="3" width="8.85546875" bestFit="1" customWidth="1"/>
    <col min="4" max="4" width="16.7109375" customWidth="1"/>
    <col min="5" max="5" width="4.7109375" customWidth="1"/>
    <col min="6" max="6" width="12.7109375" customWidth="1"/>
    <col min="7" max="7" width="12" customWidth="1"/>
    <col min="8" max="8" width="25.28515625" bestFit="1" customWidth="1"/>
    <col min="9" max="9" width="12.7109375" customWidth="1"/>
    <col min="10" max="10" width="13.140625" customWidth="1"/>
    <col min="11" max="11" width="12.7109375" customWidth="1"/>
    <col min="12" max="12" width="17.85546875" customWidth="1"/>
    <col min="13" max="13" width="4.7109375" customWidth="1"/>
    <col min="14" max="14" width="34.5703125" bestFit="1" customWidth="1"/>
    <col min="15" max="15" width="15.28515625" bestFit="1" customWidth="1"/>
    <col min="16" max="16" width="11" customWidth="1"/>
    <col min="17" max="17" width="7.5703125" customWidth="1"/>
    <col min="18" max="19" width="12.7109375" customWidth="1"/>
  </cols>
  <sheetData>
    <row r="2" spans="2:18" x14ac:dyDescent="0.25">
      <c r="L2" s="69" t="s">
        <v>195</v>
      </c>
      <c r="M2" s="117"/>
    </row>
    <row r="3" spans="2:18" x14ac:dyDescent="0.25">
      <c r="L3" s="118">
        <v>8.5</v>
      </c>
      <c r="M3" s="117"/>
    </row>
    <row r="4" spans="2:18" x14ac:dyDescent="0.25">
      <c r="B4" s="119" t="s">
        <v>196</v>
      </c>
      <c r="C4" s="119"/>
      <c r="F4" s="120" t="s">
        <v>197</v>
      </c>
      <c r="M4" s="117"/>
      <c r="N4" s="119" t="s">
        <v>198</v>
      </c>
    </row>
    <row r="5" spans="2:18" x14ac:dyDescent="0.25">
      <c r="D5" s="121" t="s">
        <v>199</v>
      </c>
      <c r="H5" s="121" t="s">
        <v>200</v>
      </c>
      <c r="M5" s="117"/>
      <c r="P5" s="122"/>
    </row>
    <row r="6" spans="2:18" x14ac:dyDescent="0.25">
      <c r="B6" s="81" t="s">
        <v>201</v>
      </c>
      <c r="C6" s="81" t="s">
        <v>202</v>
      </c>
      <c r="D6" s="123" t="s">
        <v>203</v>
      </c>
      <c r="E6" s="123"/>
      <c r="F6" s="123" t="s">
        <v>201</v>
      </c>
      <c r="G6" s="81" t="s">
        <v>204</v>
      </c>
      <c r="H6" s="81" t="s">
        <v>205</v>
      </c>
      <c r="I6" s="81" t="s">
        <v>206</v>
      </c>
      <c r="J6" s="81" t="s">
        <v>207</v>
      </c>
      <c r="K6" s="81" t="s">
        <v>208</v>
      </c>
      <c r="L6" s="124" t="s">
        <v>209</v>
      </c>
      <c r="M6" s="117"/>
      <c r="N6" s="81" t="s">
        <v>210</v>
      </c>
      <c r="O6" s="81" t="s">
        <v>92</v>
      </c>
      <c r="P6" s="81" t="s">
        <v>211</v>
      </c>
    </row>
    <row r="7" spans="2:18" x14ac:dyDescent="0.25">
      <c r="B7" s="125">
        <f>_xll.meDateFromTenor(COB,F7,"MOD_FOLLOWING",C7,"")</f>
        <v>43802</v>
      </c>
      <c r="C7" s="126" t="s">
        <v>150</v>
      </c>
      <c r="D7" s="127">
        <f>_xll.meDateFromTenor(B7,G7,)</f>
        <v>43985</v>
      </c>
      <c r="E7" s="128"/>
      <c r="F7" s="129" t="s">
        <v>52</v>
      </c>
      <c r="G7" s="130" t="s">
        <v>125</v>
      </c>
      <c r="H7" s="131" t="str">
        <f t="shared" ref="H7:H20" ca="1" si="0">SWAP_GENERATOR_ESTR</f>
        <v>EUR_ESTR_SWAP@3:9</v>
      </c>
      <c r="I7" s="132" t="s">
        <v>212</v>
      </c>
      <c r="J7" s="133">
        <v>1000000</v>
      </c>
      <c r="K7" s="134">
        <v>0</v>
      </c>
      <c r="L7" s="135">
        <f t="shared" ref="L7:L20" si="1">$L$3</f>
        <v>8.5</v>
      </c>
      <c r="M7" s="117">
        <v>1</v>
      </c>
      <c r="N7" s="136" t="str">
        <f ca="1">_xll.meLWOSwapCreateFromGenerator("EONIA_IMPLIED_PAR_RATE_"&amp;G7,H7,I7,J7,B7,D7,K7,L7)</f>
        <v>EONIA_IMPLIED_PAR_RATE_6M@88:4</v>
      </c>
      <c r="O7" s="137" t="s">
        <v>194</v>
      </c>
      <c r="P7" s="165">
        <f ca="1">_xll.meLWOSwapParRate(N7,O7)</f>
        <v>-4.5861410780229789E-3</v>
      </c>
      <c r="R7" s="122"/>
    </row>
    <row r="8" spans="2:18" x14ac:dyDescent="0.25">
      <c r="B8" s="138">
        <f>_xll.meDateFromTenor(COB,F8,"MOD_FOLLOWING",C8,"")</f>
        <v>43802</v>
      </c>
      <c r="C8" s="139" t="s">
        <v>150</v>
      </c>
      <c r="D8" s="140">
        <f>_xll.meDateFromTenor(B8,G8,)</f>
        <v>44168</v>
      </c>
      <c r="F8" s="141" t="s">
        <v>52</v>
      </c>
      <c r="G8" s="142" t="s">
        <v>129</v>
      </c>
      <c r="H8" s="143" t="str">
        <f t="shared" ca="1" si="0"/>
        <v>EUR_ESTR_SWAP@3:9</v>
      </c>
      <c r="I8" s="144" t="s">
        <v>212</v>
      </c>
      <c r="J8" s="145">
        <v>1000000</v>
      </c>
      <c r="K8" s="146">
        <v>0</v>
      </c>
      <c r="L8" s="147">
        <f t="shared" si="1"/>
        <v>8.5</v>
      </c>
      <c r="M8" s="117">
        <v>2</v>
      </c>
      <c r="N8" s="148" t="str">
        <f ca="1">_xll.meLWOSwapCreateFromGenerator("EONIA_IMPLIED_PAR_RATE_"&amp;G8,H8,I8,J8,B8,D8,K8,L8)</f>
        <v>EONIA_IMPLIED_PAR_RATE_1Y@85:4</v>
      </c>
      <c r="O8" s="149" t="s">
        <v>194</v>
      </c>
      <c r="P8" s="166">
        <f ca="1">_xll.meLWOSwapParRate(N8,O8)</f>
        <v>-4.7444419454690705E-3</v>
      </c>
      <c r="R8" s="122"/>
    </row>
    <row r="9" spans="2:18" x14ac:dyDescent="0.25">
      <c r="B9" s="138">
        <f>_xll.meDateFromTenor(COB,F9,"MOD_FOLLOWING",C9,"")</f>
        <v>43802</v>
      </c>
      <c r="C9" s="139" t="s">
        <v>150</v>
      </c>
      <c r="D9" s="140">
        <f>_xll.meDateFromTenor(B9,G9,)</f>
        <v>44533</v>
      </c>
      <c r="E9" s="150"/>
      <c r="F9" s="141" t="s">
        <v>52</v>
      </c>
      <c r="G9" s="142" t="s">
        <v>30</v>
      </c>
      <c r="H9" s="143" t="str">
        <f t="shared" ca="1" si="0"/>
        <v>EUR_ESTR_SWAP@3:9</v>
      </c>
      <c r="I9" s="144" t="s">
        <v>212</v>
      </c>
      <c r="J9" s="145">
        <v>1000000</v>
      </c>
      <c r="K9" s="146">
        <v>0</v>
      </c>
      <c r="L9" s="147">
        <f t="shared" si="1"/>
        <v>8.5</v>
      </c>
      <c r="M9" s="117">
        <v>3</v>
      </c>
      <c r="N9" s="148" t="str">
        <f ca="1">_xll.meLWOSwapCreateFromGenerator("EONIA_IMPLIED_PAR_RATE_"&amp;G9,H9,I9,J9,B9,D9,K9,L9)</f>
        <v>EONIA_IMPLIED_PAR_RATE_2Y@94:4</v>
      </c>
      <c r="O9" s="149" t="s">
        <v>194</v>
      </c>
      <c r="P9" s="166">
        <f ca="1">_xll.meLWOSwapParRate(N9,O9)</f>
        <v>-4.8775499016339794E-3</v>
      </c>
      <c r="R9" s="122"/>
    </row>
    <row r="10" spans="2:18" x14ac:dyDescent="0.25">
      <c r="B10" s="138">
        <f>_xll.meDateFromTenor(COB,F10,"MOD_FOLLOWING",C10,"")</f>
        <v>43802</v>
      </c>
      <c r="C10" s="139" t="s">
        <v>150</v>
      </c>
      <c r="D10" s="140">
        <f>_xll.meDateFromTenor(B10,G10,)</f>
        <v>44898</v>
      </c>
      <c r="E10" s="150"/>
      <c r="F10" s="141" t="s">
        <v>52</v>
      </c>
      <c r="G10" s="142" t="s">
        <v>140</v>
      </c>
      <c r="H10" s="143" t="str">
        <f t="shared" ca="1" si="0"/>
        <v>EUR_ESTR_SWAP@3:9</v>
      </c>
      <c r="I10" s="144" t="s">
        <v>212</v>
      </c>
      <c r="J10" s="145">
        <v>1000000</v>
      </c>
      <c r="K10" s="146">
        <v>0</v>
      </c>
      <c r="L10" s="147">
        <f t="shared" si="1"/>
        <v>8.5</v>
      </c>
      <c r="M10" s="117">
        <v>4</v>
      </c>
      <c r="N10" s="148" t="str">
        <f ca="1">_xll.meLWOSwapCreateFromGenerator("EONIA_IMPLIED_PAR_RATE_"&amp;G10,H10,I10,J10,B10,D10,K10,L10)</f>
        <v>EONIA_IMPLIED_PAR_RATE_3Y@86:4</v>
      </c>
      <c r="O10" s="149" t="s">
        <v>194</v>
      </c>
      <c r="P10" s="166">
        <f ca="1">_xll.meLWOSwapParRate(N10,O10)</f>
        <v>-4.7664606310626736E-3</v>
      </c>
      <c r="R10" s="122"/>
    </row>
    <row r="11" spans="2:18" x14ac:dyDescent="0.25">
      <c r="B11" s="138">
        <f>_xll.meDateFromTenor(COB,F11,"MOD_FOLLOWING",C11,"")</f>
        <v>43802</v>
      </c>
      <c r="C11" s="139" t="s">
        <v>150</v>
      </c>
      <c r="D11" s="140">
        <f>_xll.meDateFromTenor(B11,G11,)</f>
        <v>45263</v>
      </c>
      <c r="E11" s="150"/>
      <c r="F11" s="141" t="s">
        <v>52</v>
      </c>
      <c r="G11" s="142" t="s">
        <v>143</v>
      </c>
      <c r="H11" s="143" t="str">
        <f t="shared" ca="1" si="0"/>
        <v>EUR_ESTR_SWAP@3:9</v>
      </c>
      <c r="I11" s="144" t="s">
        <v>212</v>
      </c>
      <c r="J11" s="145">
        <v>1000000</v>
      </c>
      <c r="K11" s="146">
        <v>0</v>
      </c>
      <c r="L11" s="147">
        <f t="shared" si="1"/>
        <v>8.5</v>
      </c>
      <c r="M11" s="117">
        <v>5</v>
      </c>
      <c r="N11" s="148" t="str">
        <f ca="1">_xll.meLWOSwapCreateFromGenerator("EONIA_IMPLIED_PAR_RATE_"&amp;G11,H11,I11,J11,B11,D11,K11,L11)</f>
        <v>EONIA_IMPLIED_PAR_RATE_4Y@83:4</v>
      </c>
      <c r="O11" s="149" t="s">
        <v>194</v>
      </c>
      <c r="P11" s="166">
        <f ca="1">_xll.meLWOSwapParRate(N11,O11)</f>
        <v>-4.4972244583098998E-3</v>
      </c>
      <c r="R11" s="122"/>
    </row>
    <row r="12" spans="2:18" x14ac:dyDescent="0.25">
      <c r="B12" s="138">
        <f>_xll.meDateFromTenor(COB,F12,"MOD_FOLLOWING",C12,"")</f>
        <v>43802</v>
      </c>
      <c r="C12" s="139" t="s">
        <v>150</v>
      </c>
      <c r="D12" s="140">
        <f>_xll.meDateFromTenor(B12,G12,)</f>
        <v>45629</v>
      </c>
      <c r="E12" s="150"/>
      <c r="F12" s="141" t="s">
        <v>52</v>
      </c>
      <c r="G12" s="142" t="s">
        <v>35</v>
      </c>
      <c r="H12" s="143" t="str">
        <f t="shared" ca="1" si="0"/>
        <v>EUR_ESTR_SWAP@3:9</v>
      </c>
      <c r="I12" s="144" t="s">
        <v>212</v>
      </c>
      <c r="J12" s="145">
        <v>1000000</v>
      </c>
      <c r="K12" s="146">
        <v>0</v>
      </c>
      <c r="L12" s="147">
        <f t="shared" si="1"/>
        <v>8.5</v>
      </c>
      <c r="M12" s="117">
        <v>6</v>
      </c>
      <c r="N12" s="148" t="str">
        <f ca="1">_xll.meLWOSwapCreateFromGenerator("EONIA_IMPLIED_PAR_RATE_"&amp;G12,H12,I12,J12,B12,D12,K12,L12)</f>
        <v>EONIA_IMPLIED_PAR_RATE_5Y@92:4</v>
      </c>
      <c r="O12" s="149" t="s">
        <v>194</v>
      </c>
      <c r="P12" s="166">
        <f ca="1">_xll.meLWOSwapParRate(N12,O12)</f>
        <v>-4.1158963193742961E-3</v>
      </c>
      <c r="R12" s="122"/>
    </row>
    <row r="13" spans="2:18" x14ac:dyDescent="0.25">
      <c r="B13" s="138">
        <f>_xll.meDateFromTenor(COB,F13,"MOD_FOLLOWING",C13,"")</f>
        <v>43802</v>
      </c>
      <c r="C13" s="139" t="s">
        <v>150</v>
      </c>
      <c r="D13" s="140">
        <f>_xll.meDateFromTenor(B13,G13,)</f>
        <v>45994</v>
      </c>
      <c r="E13" s="150"/>
      <c r="F13" s="141" t="s">
        <v>52</v>
      </c>
      <c r="G13" s="142" t="s">
        <v>148</v>
      </c>
      <c r="H13" s="143" t="str">
        <f t="shared" ca="1" si="0"/>
        <v>EUR_ESTR_SWAP@3:9</v>
      </c>
      <c r="I13" s="144" t="s">
        <v>212</v>
      </c>
      <c r="J13" s="145">
        <v>1000000</v>
      </c>
      <c r="K13" s="146">
        <v>0</v>
      </c>
      <c r="L13" s="147">
        <f t="shared" si="1"/>
        <v>8.5</v>
      </c>
      <c r="M13" s="117">
        <v>7</v>
      </c>
      <c r="N13" s="148" t="str">
        <f ca="1">_xll.meLWOSwapCreateFromGenerator("EONIA_IMPLIED_PAR_RATE_"&amp;G13,H13,I13,J13,B13,D13,K13,L13)</f>
        <v>EONIA_IMPLIED_PAR_RATE_6Y@91:4</v>
      </c>
      <c r="O13" s="149" t="s">
        <v>194</v>
      </c>
      <c r="P13" s="166">
        <f ca="1">_xll.meLWOSwapParRate(N13,O13)</f>
        <v>-3.6244743454833688E-3</v>
      </c>
      <c r="R13" s="122"/>
    </row>
    <row r="14" spans="2:18" x14ac:dyDescent="0.25">
      <c r="B14" s="138">
        <f>_xll.meDateFromTenor(COB,F14,"MOD_FOLLOWING",C14,"")</f>
        <v>43802</v>
      </c>
      <c r="C14" s="139" t="s">
        <v>150</v>
      </c>
      <c r="D14" s="140">
        <f>_xll.meDateFromTenor(B14,G14,)</f>
        <v>46359</v>
      </c>
      <c r="E14" s="150"/>
      <c r="F14" s="141" t="s">
        <v>52</v>
      </c>
      <c r="G14" s="142" t="s">
        <v>36</v>
      </c>
      <c r="H14" s="143" t="str">
        <f t="shared" ca="1" si="0"/>
        <v>EUR_ESTR_SWAP@3:9</v>
      </c>
      <c r="I14" s="144" t="s">
        <v>212</v>
      </c>
      <c r="J14" s="145">
        <v>1000000</v>
      </c>
      <c r="K14" s="146">
        <v>0</v>
      </c>
      <c r="L14" s="147">
        <f t="shared" si="1"/>
        <v>8.5</v>
      </c>
      <c r="M14" s="117">
        <v>8</v>
      </c>
      <c r="N14" s="148" t="str">
        <f ca="1">_xll.meLWOSwapCreateFromGenerator("EONIA_IMPLIED_PAR_RATE_"&amp;G14,H14,I14,J14,B14,D14,K14,L14)</f>
        <v>EONIA_IMPLIED_PAR_RATE_7Y@98:4</v>
      </c>
      <c r="O14" s="149" t="s">
        <v>194</v>
      </c>
      <c r="P14" s="166">
        <f ca="1">_xll.meLWOSwapParRate(N14,O14)</f>
        <v>-3.0980225926385721E-3</v>
      </c>
      <c r="R14" s="122"/>
    </row>
    <row r="15" spans="2:18" x14ac:dyDescent="0.25">
      <c r="B15" s="138">
        <f>_xll.meDateFromTenor(COB,F15,"MOD_FOLLOWING",C15,"")</f>
        <v>43802</v>
      </c>
      <c r="C15" s="139" t="s">
        <v>150</v>
      </c>
      <c r="D15" s="140">
        <f>_xll.meDateFromTenor(B15,G15,)</f>
        <v>46724</v>
      </c>
      <c r="E15" s="150"/>
      <c r="F15" s="141" t="s">
        <v>52</v>
      </c>
      <c r="G15" s="142" t="s">
        <v>154</v>
      </c>
      <c r="H15" s="143" t="str">
        <f t="shared" ca="1" si="0"/>
        <v>EUR_ESTR_SWAP@3:9</v>
      </c>
      <c r="I15" s="144" t="s">
        <v>212</v>
      </c>
      <c r="J15" s="145">
        <v>1000000</v>
      </c>
      <c r="K15" s="146">
        <v>0</v>
      </c>
      <c r="L15" s="147">
        <f t="shared" si="1"/>
        <v>8.5</v>
      </c>
      <c r="M15" s="117">
        <v>9</v>
      </c>
      <c r="N15" s="148" t="str">
        <f ca="1">_xll.meLWOSwapCreateFromGenerator("EONIA_IMPLIED_PAR_RATE_"&amp;G15,H15,I15,J15,B15,D15,K15,L15)</f>
        <v>EONIA_IMPLIED_PAR_RATE_8Y@93:4</v>
      </c>
      <c r="O15" s="149" t="s">
        <v>194</v>
      </c>
      <c r="P15" s="166">
        <f ca="1">_xll.meLWOSwapParRate(N15,O15)</f>
        <v>-2.5025118293856528E-3</v>
      </c>
      <c r="R15" s="122"/>
    </row>
    <row r="16" spans="2:18" x14ac:dyDescent="0.25">
      <c r="B16" s="138">
        <f>_xll.meDateFromTenor(COB,F16,"MOD_FOLLOWING",C16,"")</f>
        <v>43802</v>
      </c>
      <c r="C16" s="139" t="s">
        <v>150</v>
      </c>
      <c r="D16" s="140">
        <f>_xll.meDateFromTenor(B16,G16,)</f>
        <v>47090</v>
      </c>
      <c r="E16" s="150"/>
      <c r="F16" s="141" t="s">
        <v>52</v>
      </c>
      <c r="G16" s="142" t="s">
        <v>158</v>
      </c>
      <c r="H16" s="143" t="str">
        <f t="shared" ca="1" si="0"/>
        <v>EUR_ESTR_SWAP@3:9</v>
      </c>
      <c r="I16" s="144" t="s">
        <v>212</v>
      </c>
      <c r="J16" s="145">
        <v>1000000</v>
      </c>
      <c r="K16" s="146">
        <v>0</v>
      </c>
      <c r="L16" s="147">
        <f t="shared" si="1"/>
        <v>8.5</v>
      </c>
      <c r="M16" s="117">
        <v>9</v>
      </c>
      <c r="N16" s="148" t="str">
        <f ca="1">_xll.meLWOSwapCreateFromGenerator("EONIA_IMPLIED_PAR_RATE_"&amp;G16,H16,I16,J16,B16,D16,K16,L16)</f>
        <v>EONIA_IMPLIED_PAR_RATE_9Y@89:4</v>
      </c>
      <c r="O16" s="149" t="s">
        <v>194</v>
      </c>
      <c r="P16" s="166">
        <f ca="1">_xll.meLWOSwapParRate(N16,O16)</f>
        <v>-1.8919869781462112E-3</v>
      </c>
      <c r="R16" s="122"/>
    </row>
    <row r="17" spans="2:18" x14ac:dyDescent="0.25">
      <c r="B17" s="138">
        <f>_xll.meDateFromTenor(COB,F17,"MOD_FOLLOWING",C17,"")</f>
        <v>43802</v>
      </c>
      <c r="C17" s="139" t="s">
        <v>150</v>
      </c>
      <c r="D17" s="140">
        <f>_xll.meDateFromTenor(B17,G17,)</f>
        <v>47455</v>
      </c>
      <c r="E17" s="150"/>
      <c r="F17" s="141" t="s">
        <v>52</v>
      </c>
      <c r="G17" s="142" t="s">
        <v>39</v>
      </c>
      <c r="H17" s="143" t="str">
        <f t="shared" ca="1" si="0"/>
        <v>EUR_ESTR_SWAP@3:9</v>
      </c>
      <c r="I17" s="144" t="s">
        <v>212</v>
      </c>
      <c r="J17" s="145">
        <v>1000000</v>
      </c>
      <c r="K17" s="146">
        <v>0</v>
      </c>
      <c r="L17" s="147">
        <f t="shared" si="1"/>
        <v>8.5</v>
      </c>
      <c r="M17" s="117">
        <v>9</v>
      </c>
      <c r="N17" s="148" t="str">
        <f ca="1">_xll.meLWOSwapCreateFromGenerator("EONIA_IMPLIED_PAR_RATE_"&amp;G17,H17,I17,J17,B17,D17,K17,L17)</f>
        <v>EONIA_IMPLIED_PAR_RATE_10Y@84:4</v>
      </c>
      <c r="O17" s="149" t="s">
        <v>194</v>
      </c>
      <c r="P17" s="166">
        <f ca="1">_xll.meLWOSwapParRate(N17,O17)</f>
        <v>-1.2914731453694123E-3</v>
      </c>
      <c r="R17" s="122"/>
    </row>
    <row r="18" spans="2:18" ht="15.75" customHeight="1" x14ac:dyDescent="0.25">
      <c r="B18" s="138">
        <f>_xll.meDateFromTenor(COB,F18,"MOD_FOLLOWING",C18,"")</f>
        <v>43802</v>
      </c>
      <c r="C18" s="139" t="s">
        <v>150</v>
      </c>
      <c r="D18" s="140">
        <f>_xll.meDateFromTenor(B18,G18,)</f>
        <v>49281</v>
      </c>
      <c r="E18" s="150"/>
      <c r="F18" s="141" t="s">
        <v>52</v>
      </c>
      <c r="G18" s="142" t="s">
        <v>46</v>
      </c>
      <c r="H18" s="143" t="str">
        <f t="shared" ca="1" si="0"/>
        <v>EUR_ESTR_SWAP@3:9</v>
      </c>
      <c r="I18" s="144" t="s">
        <v>212</v>
      </c>
      <c r="J18" s="145">
        <v>1000000</v>
      </c>
      <c r="K18" s="146">
        <v>0</v>
      </c>
      <c r="L18" s="147">
        <f t="shared" si="1"/>
        <v>8.5</v>
      </c>
      <c r="M18" s="117">
        <v>9</v>
      </c>
      <c r="N18" s="148" t="str">
        <f ca="1">_xll.meLWOSwapCreateFromGenerator("EONIA_IMPLIED_PAR_RATE_"&amp;G18,H18,I18,J18,B18,D18,K18,L18)</f>
        <v>EONIA_IMPLIED_PAR_RATE_15Y@90:4</v>
      </c>
      <c r="O18" s="149" t="s">
        <v>194</v>
      </c>
      <c r="P18" s="166">
        <f ca="1">_xll.meLWOSwapParRate(N18,O18)</f>
        <v>1.2957465938747332E-3</v>
      </c>
      <c r="R18" s="122"/>
    </row>
    <row r="19" spans="2:18" ht="15.75" customHeight="1" x14ac:dyDescent="0.25">
      <c r="B19" s="138">
        <f>_xll.meDateFromTenor(COB,F19,"MOD_FOLLOWING",C19,"")</f>
        <v>43802</v>
      </c>
      <c r="C19" s="139" t="s">
        <v>150</v>
      </c>
      <c r="D19" s="140">
        <f>_xll.meDateFromTenor(B19,G19,)</f>
        <v>51107</v>
      </c>
      <c r="E19" s="150"/>
      <c r="F19" s="141" t="s">
        <v>52</v>
      </c>
      <c r="G19" s="142" t="s">
        <v>50</v>
      </c>
      <c r="H19" s="143" t="str">
        <f t="shared" ca="1" si="0"/>
        <v>EUR_ESTR_SWAP@3:9</v>
      </c>
      <c r="I19" s="144" t="s">
        <v>212</v>
      </c>
      <c r="J19" s="145">
        <v>1000000</v>
      </c>
      <c r="K19" s="146">
        <v>0</v>
      </c>
      <c r="L19" s="147">
        <f t="shared" si="1"/>
        <v>8.5</v>
      </c>
      <c r="M19" s="117">
        <v>9</v>
      </c>
      <c r="N19" s="148" t="str">
        <f ca="1">_xll.meLWOSwapCreateFromGenerator("EONIA_IMPLIED_PAR_RATE_"&amp;G19,H19,I19,J19,B19,D19,K19,L19)</f>
        <v>EONIA_IMPLIED_PAR_RATE_20Y@87:4</v>
      </c>
      <c r="O19" s="149" t="s">
        <v>194</v>
      </c>
      <c r="P19" s="166">
        <f ca="1">_xll.meLWOSwapParRate(N19,O19)</f>
        <v>2.6919441435959836E-3</v>
      </c>
      <c r="R19" s="122"/>
    </row>
    <row r="20" spans="2:18" x14ac:dyDescent="0.25">
      <c r="B20" s="151">
        <f>_xll.meDateFromTenor(COB,F20,"MOD_FOLLOWING",C20,"")</f>
        <v>43802</v>
      </c>
      <c r="C20" s="152" t="s">
        <v>150</v>
      </c>
      <c r="D20" s="153">
        <f>_xll.meDateFromTenor(B20,G20,)</f>
        <v>54760</v>
      </c>
      <c r="E20" s="150"/>
      <c r="F20" s="154" t="s">
        <v>52</v>
      </c>
      <c r="G20" s="155" t="s">
        <v>59</v>
      </c>
      <c r="H20" s="156" t="str">
        <f t="shared" ca="1" si="0"/>
        <v>EUR_ESTR_SWAP@3:9</v>
      </c>
      <c r="I20" s="157" t="s">
        <v>212</v>
      </c>
      <c r="J20" s="158">
        <v>1000000</v>
      </c>
      <c r="K20" s="159">
        <v>0</v>
      </c>
      <c r="L20" s="160">
        <f t="shared" si="1"/>
        <v>8.5</v>
      </c>
      <c r="M20" s="117">
        <v>10</v>
      </c>
      <c r="N20" s="161" t="str">
        <f ca="1">_xll.meLWOSwapCreateFromGenerator("EONIA_IMPLIED_PAR_RATE_"&amp;G20,H20,I20,J20,B20,D20,K20,L20)</f>
        <v>EONIA_IMPLIED_PAR_RATE_30Y@97:4</v>
      </c>
      <c r="O20" s="162" t="s">
        <v>194</v>
      </c>
      <c r="P20" s="167">
        <f ca="1">_xll.meLWOSwapParRate(N20,O20)</f>
        <v>3.2073854192896088E-3</v>
      </c>
      <c r="R20" s="122"/>
    </row>
    <row r="21" spans="2:18" x14ac:dyDescent="0.25">
      <c r="L21" s="16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SETTINGS</vt:lpstr>
      <vt:lpstr>USD_SOFR_CURVE</vt:lpstr>
      <vt:lpstr>USD_FEDFUNDS_RFR_DISCOUTING</vt:lpstr>
      <vt:lpstr>USD_FORWARDS</vt:lpstr>
      <vt:lpstr>EUR_ESTR_CURVE</vt:lpstr>
      <vt:lpstr>EUR_EONIA_RFR_DISCOUNTING</vt:lpstr>
      <vt:lpstr>EUR FORWARDS</vt:lpstr>
      <vt:lpstr>ESTR_SOFR_XCCY_CURVE</vt:lpstr>
      <vt:lpstr>ESTR_DISCOUNT_FACTORS</vt:lpstr>
      <vt:lpstr>ESTR_SOFR_XCCY</vt:lpstr>
      <vt:lpstr>EONIA_EQ_ESTR_PLUS_8.5</vt:lpstr>
      <vt:lpstr>COB</vt:lpstr>
      <vt:lpstr>CURVE_GENERATOR_EONIA</vt:lpstr>
      <vt:lpstr>CURVE_GENERATOR_ESTR</vt:lpstr>
      <vt:lpstr>isEURXccyLoaded</vt:lpstr>
      <vt:lpstr>SWAP_GENERATOR_EONIA</vt:lpstr>
      <vt:lpstr>SWAP_GENERATOR_ESTR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2019-11-07T17:11:32Z</dcterms:created>
  <dcterms:modified xsi:type="dcterms:W3CDTF">2019-11-29T12:03:45Z</dcterms:modified>
</cp:coreProperties>
</file>