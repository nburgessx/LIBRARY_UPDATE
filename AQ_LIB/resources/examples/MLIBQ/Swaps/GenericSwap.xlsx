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LIB\MLIBQ_DEV1\resource\examples\MLIBQ\Swaps\"/>
    </mc:Choice>
  </mc:AlternateContent>
  <bookViews>
    <workbookView xWindow="0" yWindow="0" windowWidth="28800" windowHeight="14160"/>
  </bookViews>
  <sheets>
    <sheet name="GENSWAP" sheetId="1" r:id="rId1"/>
  </sheets>
  <calcPr calcId="162913" calcMode="manual"/>
</workbook>
</file>

<file path=xl/calcChain.xml><?xml version="1.0" encoding="utf-8"?>
<calcChain xmlns="http://schemas.openxmlformats.org/spreadsheetml/2006/main">
  <c r="C20" i="1" l="1"/>
  <c r="D20" i="1" s="1"/>
  <c r="I6" i="1"/>
  <c r="H14" i="1" a="1"/>
  <c r="I7" i="1"/>
  <c r="H33" i="1" a="1"/>
  <c r="I34" i="1" l="1"/>
  <c r="M44" i="1"/>
  <c r="I36" i="1"/>
  <c r="L39" i="1"/>
  <c r="K34" i="1"/>
  <c r="J33" i="1"/>
  <c r="L37" i="1"/>
  <c r="K36" i="1"/>
  <c r="J35" i="1"/>
  <c r="I35" i="1"/>
  <c r="K35" i="1"/>
  <c r="H36" i="1"/>
  <c r="M38" i="1"/>
  <c r="H41" i="1"/>
  <c r="M35" i="1"/>
  <c r="M34" i="1"/>
  <c r="H39" i="1"/>
  <c r="M37" i="1"/>
  <c r="L36" i="1"/>
  <c r="J36" i="1"/>
  <c r="M36" i="1"/>
  <c r="J37" i="1"/>
  <c r="M42" i="1"/>
  <c r="J42" i="1"/>
  <c r="I37" i="1"/>
  <c r="K37" i="1"/>
  <c r="J40" i="1"/>
  <c r="I39" i="1"/>
  <c r="H38" i="1"/>
  <c r="M43" i="1"/>
  <c r="I38" i="1"/>
  <c r="L38" i="1"/>
  <c r="H33" i="1"/>
  <c r="L43" i="1"/>
  <c r="K38" i="1"/>
  <c r="I40" i="1"/>
  <c r="L41" i="1"/>
  <c r="K40" i="1"/>
  <c r="J39" i="1"/>
  <c r="I33" i="1"/>
  <c r="K39" i="1"/>
  <c r="H40" i="1"/>
  <c r="J34" i="1"/>
  <c r="L34" i="1"/>
  <c r="M39" i="1"/>
  <c r="I44" i="1"/>
  <c r="H43" i="1"/>
  <c r="M41" i="1"/>
  <c r="L40" i="1"/>
  <c r="J38" i="1"/>
  <c r="M40" i="1"/>
  <c r="J41" i="1"/>
  <c r="L35" i="1"/>
  <c r="L42" i="1"/>
  <c r="I41" i="1"/>
  <c r="L33" i="1"/>
  <c r="J44" i="1"/>
  <c r="I43" i="1"/>
  <c r="H42" i="1"/>
  <c r="K33" i="1"/>
  <c r="L44" i="1"/>
  <c r="I42" i="1"/>
  <c r="H44" i="1"/>
  <c r="H37" i="1"/>
  <c r="K41" i="1"/>
  <c r="K42" i="1"/>
  <c r="H35" i="1"/>
  <c r="M33" i="1"/>
  <c r="K44" i="1"/>
  <c r="J43" i="1"/>
  <c r="K43" i="1"/>
  <c r="H34" i="1"/>
  <c r="N14" i="1"/>
  <c r="H19" i="1"/>
  <c r="P23" i="1"/>
  <c r="J28" i="1"/>
  <c r="O17" i="1"/>
  <c r="Q26" i="1"/>
  <c r="T15" i="1"/>
  <c r="S16" i="1"/>
  <c r="M21" i="1"/>
  <c r="U25" i="1"/>
  <c r="O30" i="1"/>
  <c r="P14" i="1"/>
  <c r="J19" i="1"/>
  <c r="R23" i="1"/>
  <c r="L28" i="1"/>
  <c r="K23" i="1"/>
  <c r="L19" i="1"/>
  <c r="Q17" i="1"/>
  <c r="K22" i="1"/>
  <c r="S26" i="1"/>
  <c r="L14" i="1"/>
  <c r="T18" i="1"/>
  <c r="N23" i="1"/>
  <c r="H28" i="1"/>
  <c r="T23" i="1"/>
  <c r="J22" i="1"/>
  <c r="P29" i="1"/>
  <c r="I28" i="1"/>
  <c r="U26" i="1"/>
  <c r="J30" i="1"/>
  <c r="R27" i="1"/>
  <c r="P21" i="1"/>
  <c r="H15" i="1"/>
  <c r="P19" i="1"/>
  <c r="J24" i="1"/>
  <c r="R28" i="1"/>
  <c r="Q18" i="1"/>
  <c r="S27" i="1"/>
  <c r="H17" i="1"/>
  <c r="M17" i="1"/>
  <c r="U21" i="1"/>
  <c r="O26" i="1"/>
  <c r="K15" i="1"/>
  <c r="J15" i="1"/>
  <c r="R19" i="1"/>
  <c r="L24" i="1"/>
  <c r="T28" i="1"/>
  <c r="M24" i="1"/>
  <c r="N20" i="1"/>
  <c r="K18" i="1"/>
  <c r="S22" i="1"/>
  <c r="M27" i="1"/>
  <c r="T14" i="1"/>
  <c r="N19" i="1"/>
  <c r="H24" i="1"/>
  <c r="P28" i="1"/>
  <c r="J26" i="1"/>
  <c r="N24" i="1"/>
  <c r="Q20" i="1"/>
  <c r="M18" i="1"/>
  <c r="R22" i="1"/>
  <c r="O23" i="1"/>
  <c r="S15" i="1"/>
  <c r="M25" i="1"/>
  <c r="I22" i="1"/>
  <c r="L18" i="1"/>
  <c r="M22" i="1"/>
  <c r="P15" i="1"/>
  <c r="J20" i="1"/>
  <c r="R24" i="1"/>
  <c r="L29" i="1"/>
  <c r="M20" i="1"/>
  <c r="M28" i="1"/>
  <c r="R18" i="1"/>
  <c r="U17" i="1"/>
  <c r="O22" i="1"/>
  <c r="I27" i="1"/>
  <c r="U16" i="1"/>
  <c r="R15" i="1"/>
  <c r="L20" i="1"/>
  <c r="T24" i="1"/>
  <c r="N29" i="1"/>
  <c r="I26" i="1"/>
  <c r="K14" i="1"/>
  <c r="S18" i="1"/>
  <c r="M23" i="1"/>
  <c r="U27" i="1"/>
  <c r="N15" i="1"/>
  <c r="H20" i="1"/>
  <c r="P24" i="1"/>
  <c r="J29" i="1"/>
  <c r="N28" i="1"/>
  <c r="R26" i="1"/>
  <c r="K25" i="1"/>
  <c r="S21" i="1"/>
  <c r="L27" i="1"/>
  <c r="M30" i="1"/>
  <c r="H23" i="1"/>
  <c r="S20" i="1"/>
  <c r="P17" i="1"/>
  <c r="T22" i="1"/>
  <c r="P25" i="1"/>
  <c r="J16" i="1"/>
  <c r="R20" i="1"/>
  <c r="L25" i="1"/>
  <c r="T29" i="1"/>
  <c r="O21" i="1"/>
  <c r="U28" i="1"/>
  <c r="T19" i="1"/>
  <c r="O18" i="1"/>
  <c r="I23" i="1"/>
  <c r="Q27" i="1"/>
  <c r="I18" i="1"/>
  <c r="L16" i="1"/>
  <c r="T20" i="1"/>
  <c r="N25" i="1"/>
  <c r="H30" i="1"/>
  <c r="K27" i="1"/>
  <c r="S14" i="1"/>
  <c r="M19" i="1"/>
  <c r="U23" i="1"/>
  <c r="O28" i="1"/>
  <c r="H16" i="1"/>
  <c r="P20" i="1"/>
  <c r="J25" i="1"/>
  <c r="R29" i="1"/>
  <c r="R30" i="1"/>
  <c r="O19" i="1"/>
  <c r="O27" i="1"/>
  <c r="I24" i="1"/>
  <c r="I16" i="1"/>
  <c r="O15" i="1"/>
  <c r="N18" i="1"/>
  <c r="K16" i="1"/>
  <c r="J23" i="1"/>
  <c r="K26" i="1"/>
  <c r="K17" i="1"/>
  <c r="R16" i="1"/>
  <c r="L21" i="1"/>
  <c r="T25" i="1"/>
  <c r="N30" i="1"/>
  <c r="Q22" i="1"/>
  <c r="O29" i="1"/>
  <c r="O14" i="1"/>
  <c r="I19" i="1"/>
  <c r="Q23" i="1"/>
  <c r="K28" i="1"/>
  <c r="S19" i="1"/>
  <c r="T16" i="1"/>
  <c r="N21" i="1"/>
  <c r="H26" i="1"/>
  <c r="P30" i="1"/>
  <c r="R14" i="1"/>
  <c r="M15" i="1"/>
  <c r="U19" i="1"/>
  <c r="O24" i="1"/>
  <c r="I29" i="1"/>
  <c r="P16" i="1"/>
  <c r="J21" i="1"/>
  <c r="R25" i="1"/>
  <c r="L30" i="1"/>
  <c r="M26" i="1"/>
  <c r="Q24" i="1"/>
  <c r="Q16" i="1"/>
  <c r="Q28" i="1"/>
  <c r="U22" i="1"/>
  <c r="K21" i="1"/>
  <c r="P27" i="1"/>
  <c r="H14" i="1"/>
  <c r="S30" i="1"/>
  <c r="H25" i="1"/>
  <c r="L17" i="1"/>
  <c r="T21" i="1"/>
  <c r="N26" i="1"/>
  <c r="I14" i="1"/>
  <c r="S23" i="1"/>
  <c r="I30" i="1"/>
  <c r="I15" i="1"/>
  <c r="Q19" i="1"/>
  <c r="K24" i="1"/>
  <c r="S28" i="1"/>
  <c r="U20" i="1"/>
  <c r="N17" i="1"/>
  <c r="H22" i="1"/>
  <c r="P26" i="1"/>
  <c r="M16" i="1"/>
  <c r="L15" i="1"/>
  <c r="U15" i="1"/>
  <c r="O20" i="1"/>
  <c r="I25" i="1"/>
  <c r="Q29" i="1"/>
  <c r="J17" i="1"/>
  <c r="R21" i="1"/>
  <c r="L26" i="1"/>
  <c r="T30" i="1"/>
  <c r="U30" i="1"/>
  <c r="K29" i="1"/>
  <c r="L23" i="1"/>
  <c r="H29" i="1"/>
  <c r="S29" i="1"/>
  <c r="S25" i="1"/>
  <c r="J14" i="1"/>
  <c r="U29" i="1"/>
  <c r="I17" i="1"/>
  <c r="U18" i="1"/>
  <c r="T17" i="1"/>
  <c r="N22" i="1"/>
  <c r="H27" i="1"/>
  <c r="Q14" i="1"/>
  <c r="U24" i="1"/>
  <c r="Q30" i="1"/>
  <c r="Q15" i="1"/>
  <c r="K20" i="1"/>
  <c r="S24" i="1"/>
  <c r="M29" i="1"/>
  <c r="J18" i="1"/>
  <c r="H18" i="1"/>
  <c r="P22" i="1"/>
  <c r="J27" i="1"/>
  <c r="K19" i="1"/>
  <c r="N16" i="1"/>
  <c r="O16" i="1"/>
  <c r="I21" i="1"/>
  <c r="Q25" i="1"/>
  <c r="K30" i="1"/>
  <c r="R17" i="1"/>
  <c r="L22" i="1"/>
  <c r="T26" i="1"/>
  <c r="S17" i="1"/>
  <c r="M14" i="1"/>
  <c r="I20" i="1"/>
  <c r="T27" i="1"/>
  <c r="U14" i="1"/>
  <c r="H21" i="1"/>
  <c r="O25" i="1"/>
  <c r="P18" i="1"/>
  <c r="Q21" i="1"/>
  <c r="N27" i="1"/>
</calcChain>
</file>

<file path=xl/sharedStrings.xml><?xml version="1.0" encoding="utf-8"?>
<sst xmlns="http://schemas.openxmlformats.org/spreadsheetml/2006/main" count="115" uniqueCount="73">
  <si>
    <t>FloatSpread</t>
  </si>
  <si>
    <t>SwapName</t>
  </si>
  <si>
    <t>SwapCreation</t>
  </si>
  <si>
    <t>SwapParRate</t>
  </si>
  <si>
    <t>2Y</t>
  </si>
  <si>
    <t>FixedFloat</t>
  </si>
  <si>
    <t>CurveCollection</t>
  </si>
  <si>
    <t>USDYC</t>
  </si>
  <si>
    <t>ColumnList</t>
  </si>
  <si>
    <t>FixingDate</t>
  </si>
  <si>
    <t>FloatRate</t>
  </si>
  <si>
    <t>Coupon</t>
  </si>
  <si>
    <t>DiscountFactor</t>
  </si>
  <si>
    <t>CouponPV</t>
  </si>
  <si>
    <t>Cashflows: show only one leg, and subset of columns</t>
  </si>
  <si>
    <t>Cashflows: show all</t>
  </si>
  <si>
    <t>LEGTYPE</t>
  </si>
  <si>
    <t>Leg1:Fixed</t>
  </si>
  <si>
    <t>Leg2:Float</t>
  </si>
  <si>
    <t>FORECASTCURVE</t>
  </si>
  <si>
    <t/>
  </si>
  <si>
    <t>USD3ML</t>
  </si>
  <si>
    <t>COMPOUNDMETHOD</t>
  </si>
  <si>
    <t>NONE</t>
  </si>
  <si>
    <t>DISCOUNTCURVE</t>
  </si>
  <si>
    <t>USDOIS</t>
  </si>
  <si>
    <t>VALUATIONCURRENCY</t>
  </si>
  <si>
    <t>USD</t>
  </si>
  <si>
    <t>CURRENCY</t>
  </si>
  <si>
    <t>FIRSTFIXING</t>
  </si>
  <si>
    <t>LASTFIXING</t>
  </si>
  <si>
    <t>FIRSTSTUBCURVEINDEX</t>
  </si>
  <si>
    <t>NATURAL</t>
  </si>
  <si>
    <t>LASTSTUBCURVEINDEX</t>
  </si>
  <si>
    <t>NOTIONAL</t>
  </si>
  <si>
    <t>1000000</t>
  </si>
  <si>
    <t>NOTIONALEXCHANGE</t>
  </si>
  <si>
    <t>LEVERAGE</t>
  </si>
  <si>
    <t>1</t>
  </si>
  <si>
    <t>PAYRECEIVE</t>
  </si>
  <si>
    <t>PAY</t>
  </si>
  <si>
    <t>RECEIVE</t>
  </si>
  <si>
    <t>EFFECTIVEDATE</t>
  </si>
  <si>
    <t>MATURITYDATE</t>
  </si>
  <si>
    <t>ACCRUALFREQUENCY</t>
  </si>
  <si>
    <t>Semi-Annual</t>
  </si>
  <si>
    <t>Quarterly</t>
  </si>
  <si>
    <t>ACCRUALBUSINESSDAYADJUSTMENT</t>
  </si>
  <si>
    <t>MOD_FOLLOWING</t>
  </si>
  <si>
    <t>ACCRUALCALENDAR</t>
  </si>
  <si>
    <t>NYB:LNB</t>
  </si>
  <si>
    <t>ACCRUALDAYCOUNT</t>
  </si>
  <si>
    <t>30/360</t>
  </si>
  <si>
    <t>ACT/360</t>
  </si>
  <si>
    <t>PAYMENTFREQUENCY</t>
  </si>
  <si>
    <t>PAYMENTBUSINESSDAYADJUSTMENT</t>
  </si>
  <si>
    <t>PAYMENTCALENDAR</t>
  </si>
  <si>
    <t>PAYMENTLAG</t>
  </si>
  <si>
    <t>0D</t>
  </si>
  <si>
    <t>FIRSTSTUBDATE</t>
  </si>
  <si>
    <t>LASTSTUBDATE</t>
  </si>
  <si>
    <t>ROLLDAY</t>
  </si>
  <si>
    <t>NORMAL</t>
  </si>
  <si>
    <t>STUBTYPE</t>
  </si>
  <si>
    <t>ShortStart</t>
  </si>
  <si>
    <t>FIXINGBUSINESSDAYADJUSTMENT</t>
  </si>
  <si>
    <t>FIXINGCALENDAR</t>
  </si>
  <si>
    <t>FIXINGLAG</t>
  </si>
  <si>
    <t>FIXINGADVANCEORARREAR</t>
  </si>
  <si>
    <t>FIXEDRATE</t>
  </si>
  <si>
    <t>0.01</t>
  </si>
  <si>
    <t>FLOATSPREAD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</si>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</sst>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d\ d\-mmm\-yy"/>
    <numFmt numFmtId="165" formatCode="0.00000%"/>
    <numFmt numFmtId="166" formatCode="#,##0.0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NumberForma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left" vertical="center"/>
    </xf>
    <xf numFmtId="3" fontId="1" fillId="2" borderId="0" xfId="0" applyNumberFormat="1" applyFont="1" applyFill="1" applyBorder="1" applyAlignment="1">
      <alignment horizontal="left" vertical="center"/>
    </xf>
    <xf numFmtId="164" fontId="0" fillId="2" borderId="0" xfId="0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164" fontId="1" fillId="2" borderId="0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4" fontId="0" fillId="2" borderId="0" xfId="0" applyNumberFormat="1" applyFont="1" applyFill="1" applyBorder="1" applyAlignment="1">
      <alignment horizontal="left" vertical="center"/>
    </xf>
    <xf numFmtId="10" fontId="1" fillId="2" borderId="0" xfId="0" applyNumberFormat="1" applyFont="1" applyFill="1" applyBorder="1" applyAlignment="1">
      <alignment horizontal="left" vertical="center"/>
    </xf>
    <xf numFmtId="166" fontId="1" fillId="2" borderId="0" xfId="0" applyNumberFormat="1" applyFont="1" applyFill="1" applyBorder="1" applyAlignment="1">
      <alignment horizontal="left" vertical="center"/>
    </xf>
    <xf numFmtId="0" fontId="1" fillId="2" borderId="0" xfId="0" quotePrefix="1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14" fontId="0" fillId="2" borderId="0" xfId="0" applyNumberFormat="1" applyFill="1" applyBorder="1" applyAlignment="1">
      <alignment horizontal="left" vertical="center" wrapText="1"/>
    </xf>
    <xf numFmtId="14" fontId="1" fillId="2" borderId="0" xfId="0" applyNumberFormat="1" applyFont="1" applyFill="1" applyBorder="1" applyAlignment="1">
      <alignment horizontal="left" vertical="center"/>
    </xf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44"/>
  <sheetViews>
    <sheetView tabSelected="1" topLeftCell="A4" workbookViewId="0">
      <selection activeCell="P42" sqref="P42"/>
    </sheetView>
  </sheetViews>
  <sheetFormatPr defaultRowHeight="15" x14ac:dyDescent="0.25"/>
  <cols>
    <col min="2" max="2" width="20.85546875" customWidth="1"/>
    <col min="3" max="3" width="17.42578125" bestFit="1" customWidth="1"/>
    <col min="4" max="4" width="17.85546875" customWidth="1"/>
    <col min="8" max="8" width="13.85546875" customWidth="1"/>
  </cols>
  <sheetData>
    <row r="3" spans="2:21" x14ac:dyDescent="0.25">
      <c r="H3" t="s">
        <v>6</v>
      </c>
      <c r="I3" t="s">
        <v>7</v>
      </c>
    </row>
    <row r="5" spans="2:21" x14ac:dyDescent="0.25">
      <c r="H5" t="s">
        <v>1</v>
      </c>
      <c r="I5" t="s">
        <v>5</v>
      </c>
    </row>
    <row r="6" spans="2:21" x14ac:dyDescent="0.25">
      <c r="B6" s="2" t="s">
        <v>16</v>
      </c>
      <c r="C6" s="2" t="s">
        <v>17</v>
      </c>
      <c r="D6" s="2" t="s">
        <v>18</v>
      </c>
      <c r="H6" t="s">
        <v>2</v>
      </c>
      <c r="I6" t="str">
        <f ca="1">_xll.meLWOSwapCreate(I5,B6:D39)</f>
        <v>FIXEDFLOAT@15:1</v>
      </c>
    </row>
    <row r="7" spans="2:21" x14ac:dyDescent="0.25">
      <c r="B7" s="2" t="s">
        <v>19</v>
      </c>
      <c r="C7" s="2" t="s">
        <v>20</v>
      </c>
      <c r="D7" s="2" t="s">
        <v>21</v>
      </c>
      <c r="H7" t="s">
        <v>3</v>
      </c>
      <c r="I7" s="16">
        <f ca="1">_xll.meLWOSwapParRate(I6,$I$3)</f>
        <v>5.794791626688469E-3</v>
      </c>
    </row>
    <row r="8" spans="2:21" x14ac:dyDescent="0.25">
      <c r="B8" s="2" t="s">
        <v>22</v>
      </c>
      <c r="C8" s="2" t="s">
        <v>23</v>
      </c>
      <c r="D8" s="2" t="s">
        <v>23</v>
      </c>
    </row>
    <row r="9" spans="2:21" x14ac:dyDescent="0.25">
      <c r="B9" s="2" t="s">
        <v>24</v>
      </c>
      <c r="C9" s="2" t="s">
        <v>25</v>
      </c>
      <c r="D9" s="2" t="s">
        <v>25</v>
      </c>
    </row>
    <row r="10" spans="2:21" x14ac:dyDescent="0.25">
      <c r="B10" s="2" t="s">
        <v>26</v>
      </c>
      <c r="C10" s="2" t="s">
        <v>27</v>
      </c>
      <c r="D10" s="2" t="s">
        <v>27</v>
      </c>
    </row>
    <row r="11" spans="2:21" x14ac:dyDescent="0.25">
      <c r="B11" s="2" t="s">
        <v>28</v>
      </c>
      <c r="C11" s="1" t="s">
        <v>27</v>
      </c>
      <c r="D11" s="3" t="s">
        <v>27</v>
      </c>
    </row>
    <row r="12" spans="2:21" x14ac:dyDescent="0.25">
      <c r="B12" s="2" t="s">
        <v>29</v>
      </c>
      <c r="C12" s="1" t="s">
        <v>20</v>
      </c>
      <c r="D12" s="4" t="s">
        <v>20</v>
      </c>
    </row>
    <row r="13" spans="2:21" x14ac:dyDescent="0.25">
      <c r="B13" s="2" t="s">
        <v>30</v>
      </c>
      <c r="C13" s="1" t="s">
        <v>20</v>
      </c>
      <c r="D13" s="4" t="s">
        <v>20</v>
      </c>
      <c r="H13" t="s">
        <v>15</v>
      </c>
    </row>
    <row r="14" spans="2:21" x14ac:dyDescent="0.25">
      <c r="B14" s="2" t="s">
        <v>31</v>
      </c>
      <c r="C14" s="1" t="s">
        <v>20</v>
      </c>
      <c r="D14" s="4" t="s">
        <v>32</v>
      </c>
      <c r="H14" t="str">
        <f t="array" aca="1" ref="H14:U30" ca="1">_xll.meLWOSwapDisplayCashflows($I$6,$I$3)</f>
        <v>Leg1:Fixed Leg Schedule &amp; Cashflows</v>
      </c>
      <c r="I14" t="str">
        <f ca="1"/>
        <v/>
      </c>
      <c r="J14" t="str">
        <f ca="1"/>
        <v/>
      </c>
      <c r="K14" t="str">
        <f ca="1"/>
        <v/>
      </c>
      <c r="L14" t="str">
        <f ca="1"/>
        <v/>
      </c>
      <c r="M14" t="str">
        <f ca="1"/>
        <v/>
      </c>
      <c r="N14" t="str">
        <f ca="1"/>
        <v/>
      </c>
      <c r="O14" t="str">
        <f ca="1"/>
        <v/>
      </c>
      <c r="P14" t="str">
        <f ca="1"/>
        <v/>
      </c>
      <c r="Q14" t="str">
        <f ca="1"/>
        <v/>
      </c>
      <c r="R14" t="str">
        <f ca="1"/>
        <v/>
      </c>
      <c r="S14" t="str">
        <f ca="1"/>
        <v/>
      </c>
      <c r="T14" t="str">
        <f ca="1"/>
        <v/>
      </c>
      <c r="U14" t="str">
        <f ca="1"/>
        <v/>
      </c>
    </row>
    <row r="15" spans="2:21" x14ac:dyDescent="0.25">
      <c r="B15" s="2" t="s">
        <v>33</v>
      </c>
      <c r="C15" s="1" t="s">
        <v>20</v>
      </c>
      <c r="D15" s="4" t="s">
        <v>32</v>
      </c>
      <c r="H15" t="str">
        <f ca="1"/>
        <v>AccrualStart</v>
      </c>
      <c r="I15" t="str">
        <f ca="1"/>
        <v>AccrualEnd</v>
      </c>
      <c r="J15" t="str">
        <f ca="1"/>
        <v>AccrualDays</v>
      </c>
      <c r="K15" t="str">
        <f ca="1"/>
        <v>AccrualYearFractions</v>
      </c>
      <c r="L15" t="str">
        <f ca="1"/>
        <v>PaymentDate</v>
      </c>
      <c r="M15" t="str">
        <f ca="1"/>
        <v>Notional</v>
      </c>
      <c r="N15" t="str">
        <f ca="1"/>
        <v>NotionalExchange</v>
      </c>
      <c r="O15" t="str">
        <f ca="1"/>
        <v>Leverage</v>
      </c>
      <c r="P15" t="str">
        <f ca="1"/>
        <v>FixedRate</v>
      </c>
      <c r="Q15" t="str">
        <f ca="1"/>
        <v>Coupon</v>
      </c>
      <c r="R15" t="str">
        <f ca="1"/>
        <v>DiscountFactor</v>
      </c>
      <c r="S15" t="str">
        <f ca="1"/>
        <v>CouponPV</v>
      </c>
      <c r="T15" t="str">
        <f ca="1"/>
        <v/>
      </c>
      <c r="U15" t="str">
        <f ca="1"/>
        <v/>
      </c>
    </row>
    <row r="16" spans="2:21" x14ac:dyDescent="0.25">
      <c r="B16" s="2" t="s">
        <v>34</v>
      </c>
      <c r="C16" s="1" t="s">
        <v>35</v>
      </c>
      <c r="D16" s="5" t="s">
        <v>35</v>
      </c>
      <c r="H16">
        <f ca="1"/>
        <v>43896</v>
      </c>
      <c r="I16">
        <f ca="1"/>
        <v>44082</v>
      </c>
      <c r="J16">
        <f ca="1"/>
        <v>186</v>
      </c>
      <c r="K16">
        <f ca="1"/>
        <v>0.50555555555555554</v>
      </c>
      <c r="L16">
        <f ca="1"/>
        <v>44082</v>
      </c>
      <c r="M16">
        <f ca="1"/>
        <v>-1000000</v>
      </c>
      <c r="N16">
        <f ca="1"/>
        <v>0</v>
      </c>
      <c r="O16">
        <f ca="1"/>
        <v>1</v>
      </c>
      <c r="P16">
        <f ca="1"/>
        <v>0.01</v>
      </c>
      <c r="Q16">
        <f ca="1"/>
        <v>-5055.5555555555557</v>
      </c>
      <c r="R16">
        <f ca="1"/>
        <v>0.99776181357334925</v>
      </c>
      <c r="S16">
        <f ca="1"/>
        <v>-5044.2402797319328</v>
      </c>
      <c r="T16" t="str">
        <f ca="1"/>
        <v/>
      </c>
      <c r="U16" t="str">
        <f ca="1"/>
        <v/>
      </c>
    </row>
    <row r="17" spans="2:21" x14ac:dyDescent="0.25">
      <c r="B17" s="2" t="s">
        <v>36</v>
      </c>
      <c r="C17" s="1" t="s">
        <v>23</v>
      </c>
      <c r="D17" s="2" t="s">
        <v>23</v>
      </c>
      <c r="H17">
        <f ca="1"/>
        <v>44082</v>
      </c>
      <c r="I17">
        <f ca="1"/>
        <v>44263</v>
      </c>
      <c r="J17">
        <f ca="1"/>
        <v>181</v>
      </c>
      <c r="K17">
        <f ca="1"/>
        <v>0.5</v>
      </c>
      <c r="L17">
        <f ca="1"/>
        <v>44263</v>
      </c>
      <c r="M17">
        <f ca="1"/>
        <v>-1000000</v>
      </c>
      <c r="N17">
        <f ca="1"/>
        <v>0</v>
      </c>
      <c r="O17">
        <f ca="1"/>
        <v>1</v>
      </c>
      <c r="P17">
        <f ca="1"/>
        <v>0.01</v>
      </c>
      <c r="Q17">
        <f ca="1"/>
        <v>-5000</v>
      </c>
      <c r="R17">
        <f ca="1"/>
        <v>0.99692608790883985</v>
      </c>
      <c r="S17">
        <f ca="1"/>
        <v>-4984.6304395441994</v>
      </c>
      <c r="T17" t="str">
        <f ca="1"/>
        <v/>
      </c>
      <c r="U17" t="str">
        <f ca="1"/>
        <v/>
      </c>
    </row>
    <row r="18" spans="2:21" x14ac:dyDescent="0.25">
      <c r="B18" s="2" t="s">
        <v>37</v>
      </c>
      <c r="C18" s="1" t="s">
        <v>38</v>
      </c>
      <c r="D18" s="6" t="s">
        <v>38</v>
      </c>
      <c r="H18">
        <f ca="1"/>
        <v>44263</v>
      </c>
      <c r="I18">
        <f ca="1"/>
        <v>44446</v>
      </c>
      <c r="J18">
        <f ca="1"/>
        <v>183</v>
      </c>
      <c r="K18">
        <f ca="1"/>
        <v>0.49722222222222223</v>
      </c>
      <c r="L18">
        <f ca="1"/>
        <v>44446</v>
      </c>
      <c r="M18">
        <f ca="1"/>
        <v>-1000000</v>
      </c>
      <c r="N18">
        <f ca="1"/>
        <v>0</v>
      </c>
      <c r="O18">
        <f ca="1"/>
        <v>1</v>
      </c>
      <c r="P18">
        <f ca="1"/>
        <v>0.01</v>
      </c>
      <c r="Q18">
        <f ca="1"/>
        <v>-4972.2222222222226</v>
      </c>
      <c r="R18">
        <f ca="1"/>
        <v>0.99549748426029239</v>
      </c>
      <c r="S18">
        <f ca="1"/>
        <v>-4949.8347134053429</v>
      </c>
      <c r="T18" t="str">
        <f ca="1"/>
        <v/>
      </c>
      <c r="U18" t="str">
        <f ca="1"/>
        <v/>
      </c>
    </row>
    <row r="19" spans="2:21" x14ac:dyDescent="0.25">
      <c r="B19" s="2" t="s">
        <v>39</v>
      </c>
      <c r="C19" s="1" t="s">
        <v>40</v>
      </c>
      <c r="D19" s="7" t="s">
        <v>41</v>
      </c>
      <c r="H19">
        <f ca="1"/>
        <v>44446</v>
      </c>
      <c r="I19">
        <f ca="1"/>
        <v>44627</v>
      </c>
      <c r="J19">
        <f ca="1"/>
        <v>181</v>
      </c>
      <c r="K19">
        <f ca="1"/>
        <v>0.5</v>
      </c>
      <c r="L19">
        <f ca="1"/>
        <v>44627</v>
      </c>
      <c r="M19">
        <f ca="1"/>
        <v>-1000000</v>
      </c>
      <c r="N19">
        <f ca="1"/>
        <v>0</v>
      </c>
      <c r="O19">
        <f ca="1"/>
        <v>1</v>
      </c>
      <c r="P19">
        <f ca="1"/>
        <v>0.01</v>
      </c>
      <c r="Q19">
        <f ca="1"/>
        <v>-5000</v>
      </c>
      <c r="R19">
        <f ca="1"/>
        <v>0.99446689827648405</v>
      </c>
      <c r="S19">
        <f ca="1"/>
        <v>-4972.3344913824203</v>
      </c>
      <c r="T19" t="str">
        <f ca="1"/>
        <v/>
      </c>
      <c r="U19" t="str">
        <f ca="1"/>
        <v/>
      </c>
    </row>
    <row r="20" spans="2:21" x14ac:dyDescent="0.25">
      <c r="B20" s="2" t="s">
        <v>42</v>
      </c>
      <c r="C20" s="14">
        <f ca="1">TODAY()</f>
        <v>43896</v>
      </c>
      <c r="D20" s="15">
        <f ca="1">C20</f>
        <v>43896</v>
      </c>
      <c r="H20" t="str">
        <f ca="1"/>
        <v>Leg2:Float Leg Schedule &amp; Cashflows</v>
      </c>
      <c r="I20" t="str">
        <f ca="1"/>
        <v/>
      </c>
      <c r="J20" t="str">
        <f ca="1"/>
        <v/>
      </c>
      <c r="K20" t="str">
        <f ca="1"/>
        <v/>
      </c>
      <c r="L20" t="str">
        <f ca="1"/>
        <v/>
      </c>
      <c r="M20" t="str">
        <f ca="1"/>
        <v/>
      </c>
      <c r="N20" t="str">
        <f ca="1"/>
        <v/>
      </c>
      <c r="O20" t="str">
        <f ca="1"/>
        <v/>
      </c>
      <c r="P20" t="str">
        <f ca="1"/>
        <v/>
      </c>
      <c r="Q20" t="str">
        <f ca="1"/>
        <v/>
      </c>
      <c r="R20" t="str">
        <f ca="1"/>
        <v/>
      </c>
      <c r="S20" t="str">
        <f ca="1"/>
        <v/>
      </c>
      <c r="T20" t="str">
        <f ca="1"/>
        <v/>
      </c>
      <c r="U20" t="str">
        <f ca="1"/>
        <v/>
      </c>
    </row>
    <row r="21" spans="2:21" x14ac:dyDescent="0.25">
      <c r="B21" s="2" t="s">
        <v>43</v>
      </c>
      <c r="C21" s="1" t="s">
        <v>4</v>
      </c>
      <c r="D21" s="4" t="s">
        <v>4</v>
      </c>
      <c r="H21" t="str">
        <f ca="1"/>
        <v>FixingDate</v>
      </c>
      <c r="I21" t="str">
        <f ca="1"/>
        <v>AccrualStart</v>
      </c>
      <c r="J21" t="str">
        <f ca="1"/>
        <v>AccrualEnd</v>
      </c>
      <c r="K21" t="str">
        <f ca="1"/>
        <v>AccrualDays</v>
      </c>
      <c r="L21" t="str">
        <f ca="1"/>
        <v>AccrualYearFractions</v>
      </c>
      <c r="M21" t="str">
        <f ca="1"/>
        <v>PaymentDate</v>
      </c>
      <c r="N21" t="str">
        <f ca="1"/>
        <v>Notional</v>
      </c>
      <c r="O21" t="str">
        <f ca="1"/>
        <v>NotionalExchange</v>
      </c>
      <c r="P21" t="str">
        <f ca="1"/>
        <v>Leverage</v>
      </c>
      <c r="Q21" t="str">
        <f ca="1"/>
        <v>FloatSpread</v>
      </c>
      <c r="R21" t="str">
        <f ca="1"/>
        <v>FloatRate</v>
      </c>
      <c r="S21" t="str">
        <f ca="1"/>
        <v>Coupon</v>
      </c>
      <c r="T21" t="str">
        <f ca="1"/>
        <v>DiscountFactor</v>
      </c>
      <c r="U21" t="str">
        <f ca="1"/>
        <v>CouponPV</v>
      </c>
    </row>
    <row r="22" spans="2:21" x14ac:dyDescent="0.25">
      <c r="B22" s="2" t="s">
        <v>44</v>
      </c>
      <c r="C22" s="1" t="s">
        <v>45</v>
      </c>
      <c r="D22" s="13" t="s">
        <v>46</v>
      </c>
      <c r="H22">
        <f ca="1"/>
        <v>43896</v>
      </c>
      <c r="I22">
        <f ca="1"/>
        <v>43896</v>
      </c>
      <c r="J22">
        <f ca="1"/>
        <v>43990</v>
      </c>
      <c r="K22">
        <f ca="1"/>
        <v>94</v>
      </c>
      <c r="L22">
        <f ca="1"/>
        <v>0.26111111111111113</v>
      </c>
      <c r="M22">
        <f ca="1"/>
        <v>43990</v>
      </c>
      <c r="N22">
        <f ca="1"/>
        <v>1000000</v>
      </c>
      <c r="O22">
        <f ca="1"/>
        <v>0</v>
      </c>
      <c r="P22">
        <f ca="1"/>
        <v>1</v>
      </c>
      <c r="Q22">
        <f ca="1"/>
        <v>0</v>
      </c>
      <c r="R22">
        <f ca="1"/>
        <v>8.9686659179886719E-3</v>
      </c>
      <c r="S22">
        <f ca="1"/>
        <v>2341.8183230303757</v>
      </c>
      <c r="T22">
        <f ca="1"/>
        <v>0.99861655604539123</v>
      </c>
      <c r="U22">
        <f ca="1"/>
        <v>2338.5785486285872</v>
      </c>
    </row>
    <row r="23" spans="2:21" x14ac:dyDescent="0.25">
      <c r="B23" s="2" t="s">
        <v>47</v>
      </c>
      <c r="C23" s="1" t="s">
        <v>48</v>
      </c>
      <c r="D23" s="13" t="s">
        <v>48</v>
      </c>
      <c r="H23">
        <f ca="1"/>
        <v>43990</v>
      </c>
      <c r="I23">
        <f ca="1"/>
        <v>43990</v>
      </c>
      <c r="J23">
        <f ca="1"/>
        <v>44082</v>
      </c>
      <c r="K23">
        <f ca="1"/>
        <v>92</v>
      </c>
      <c r="L23">
        <f ca="1"/>
        <v>0.25555555555555554</v>
      </c>
      <c r="M23">
        <f ca="1"/>
        <v>44082</v>
      </c>
      <c r="N23">
        <f ca="1"/>
        <v>1000000</v>
      </c>
      <c r="O23">
        <f ca="1"/>
        <v>0</v>
      </c>
      <c r="P23">
        <f ca="1"/>
        <v>1</v>
      </c>
      <c r="Q23">
        <f ca="1"/>
        <v>0</v>
      </c>
      <c r="R23">
        <f ca="1"/>
        <v>6.2031663995774835E-3</v>
      </c>
      <c r="S23">
        <f ca="1"/>
        <v>1585.253635447579</v>
      </c>
      <c r="T23">
        <f ca="1"/>
        <v>0.99776181357334925</v>
      </c>
      <c r="U23">
        <f ca="1"/>
        <v>1581.7055422779215</v>
      </c>
    </row>
    <row r="24" spans="2:21" x14ac:dyDescent="0.25">
      <c r="B24" s="2" t="s">
        <v>49</v>
      </c>
      <c r="C24" s="2" t="s">
        <v>50</v>
      </c>
      <c r="D24" s="8" t="s">
        <v>50</v>
      </c>
      <c r="H24">
        <f ca="1"/>
        <v>44082</v>
      </c>
      <c r="I24">
        <f ca="1"/>
        <v>44082</v>
      </c>
      <c r="J24">
        <f ca="1"/>
        <v>44172</v>
      </c>
      <c r="K24">
        <f ca="1"/>
        <v>90</v>
      </c>
      <c r="L24">
        <f ca="1"/>
        <v>0.25</v>
      </c>
      <c r="M24">
        <f ca="1"/>
        <v>44172</v>
      </c>
      <c r="N24">
        <f ca="1"/>
        <v>1000000</v>
      </c>
      <c r="O24">
        <f ca="1"/>
        <v>0</v>
      </c>
      <c r="P24">
        <f ca="1"/>
        <v>1</v>
      </c>
      <c r="Q24">
        <f ca="1"/>
        <v>0</v>
      </c>
      <c r="R24">
        <f ca="1"/>
        <v>5.1168355339493805E-3</v>
      </c>
      <c r="S24">
        <f ca="1"/>
        <v>1279.208883487345</v>
      </c>
      <c r="T24">
        <f ca="1"/>
        <v>0.99742369189377567</v>
      </c>
      <c r="U24">
        <f ca="1"/>
        <v>1275.9132472712624</v>
      </c>
    </row>
    <row r="25" spans="2:21" x14ac:dyDescent="0.25">
      <c r="B25" s="2" t="s">
        <v>51</v>
      </c>
      <c r="C25" s="1" t="s">
        <v>52</v>
      </c>
      <c r="D25" s="9" t="s">
        <v>53</v>
      </c>
      <c r="H25">
        <f ca="1"/>
        <v>44172</v>
      </c>
      <c r="I25">
        <f ca="1"/>
        <v>44172</v>
      </c>
      <c r="J25">
        <f ca="1"/>
        <v>44263</v>
      </c>
      <c r="K25">
        <f ca="1"/>
        <v>91</v>
      </c>
      <c r="L25">
        <f ca="1"/>
        <v>0.25277777777777777</v>
      </c>
      <c r="M25">
        <f ca="1"/>
        <v>44263</v>
      </c>
      <c r="N25">
        <f ca="1"/>
        <v>1000000</v>
      </c>
      <c r="O25">
        <f ca="1"/>
        <v>0</v>
      </c>
      <c r="P25">
        <f ca="1"/>
        <v>1</v>
      </c>
      <c r="Q25">
        <f ca="1"/>
        <v>0</v>
      </c>
      <c r="R25">
        <f ca="1"/>
        <v>5.2062108655520746E-3</v>
      </c>
      <c r="S25">
        <f ca="1"/>
        <v>1316.0144132367743</v>
      </c>
      <c r="T25">
        <f ca="1"/>
        <v>0.99692608790883985</v>
      </c>
      <c r="U25">
        <f ca="1"/>
        <v>1311.9691006197847</v>
      </c>
    </row>
    <row r="26" spans="2:21" x14ac:dyDescent="0.25">
      <c r="B26" s="2" t="s">
        <v>54</v>
      </c>
      <c r="C26" s="1" t="s">
        <v>45</v>
      </c>
      <c r="D26" s="10" t="s">
        <v>46</v>
      </c>
      <c r="H26">
        <f ca="1"/>
        <v>44263</v>
      </c>
      <c r="I26">
        <f ca="1"/>
        <v>44263</v>
      </c>
      <c r="J26">
        <f ca="1"/>
        <v>44354</v>
      </c>
      <c r="K26">
        <f ca="1"/>
        <v>91</v>
      </c>
      <c r="L26">
        <f ca="1"/>
        <v>0.25277777777777777</v>
      </c>
      <c r="M26">
        <f ca="1"/>
        <v>44354</v>
      </c>
      <c r="N26">
        <f ca="1"/>
        <v>1000000</v>
      </c>
      <c r="O26">
        <f ca="1"/>
        <v>0</v>
      </c>
      <c r="P26">
        <f ca="1"/>
        <v>1</v>
      </c>
      <c r="Q26">
        <f ca="1"/>
        <v>0</v>
      </c>
      <c r="R26">
        <f ca="1"/>
        <v>4.7598947075132136E-3</v>
      </c>
      <c r="S26">
        <f ca="1"/>
        <v>1203.1956066213957</v>
      </c>
      <c r="T26">
        <f ca="1"/>
        <v>0.99614320390266842</v>
      </c>
      <c r="U26">
        <f ca="1"/>
        <v>1198.5551265014517</v>
      </c>
    </row>
    <row r="27" spans="2:21" x14ac:dyDescent="0.25">
      <c r="B27" s="2" t="s">
        <v>55</v>
      </c>
      <c r="C27" s="1" t="s">
        <v>48</v>
      </c>
      <c r="D27" s="8" t="s">
        <v>48</v>
      </c>
      <c r="H27">
        <f ca="1"/>
        <v>44354</v>
      </c>
      <c r="I27">
        <f ca="1"/>
        <v>44354</v>
      </c>
      <c r="J27">
        <f ca="1"/>
        <v>44446</v>
      </c>
      <c r="K27">
        <f ca="1"/>
        <v>92</v>
      </c>
      <c r="L27">
        <f ca="1"/>
        <v>0.25555555555555554</v>
      </c>
      <c r="M27">
        <f ca="1"/>
        <v>44446</v>
      </c>
      <c r="N27">
        <f ca="1"/>
        <v>1000000</v>
      </c>
      <c r="O27">
        <f ca="1"/>
        <v>0</v>
      </c>
      <c r="P27">
        <f ca="1"/>
        <v>1</v>
      </c>
      <c r="Q27">
        <f ca="1"/>
        <v>0</v>
      </c>
      <c r="R27">
        <f ca="1"/>
        <v>4.9173900113205753E-3</v>
      </c>
      <c r="S27">
        <f ca="1"/>
        <v>1256.6663362263691</v>
      </c>
      <c r="T27">
        <f ca="1"/>
        <v>0.99549748426029239</v>
      </c>
      <c r="U27">
        <f ca="1"/>
        <v>1251.0081762679492</v>
      </c>
    </row>
    <row r="28" spans="2:21" x14ac:dyDescent="0.25">
      <c r="B28" s="2" t="s">
        <v>56</v>
      </c>
      <c r="C28" s="1" t="s">
        <v>50</v>
      </c>
      <c r="D28" s="8" t="s">
        <v>50</v>
      </c>
      <c r="H28">
        <f ca="1"/>
        <v>44446</v>
      </c>
      <c r="I28">
        <f ca="1"/>
        <v>44446</v>
      </c>
      <c r="J28">
        <f ca="1"/>
        <v>44536</v>
      </c>
      <c r="K28">
        <f ca="1"/>
        <v>90</v>
      </c>
      <c r="L28">
        <f ca="1"/>
        <v>0.25</v>
      </c>
      <c r="M28">
        <f ca="1"/>
        <v>44536</v>
      </c>
      <c r="N28">
        <f ca="1"/>
        <v>1000000</v>
      </c>
      <c r="O28">
        <f ca="1"/>
        <v>0</v>
      </c>
      <c r="P28">
        <f ca="1"/>
        <v>1</v>
      </c>
      <c r="Q28">
        <f ca="1"/>
        <v>0</v>
      </c>
      <c r="R28">
        <f ca="1"/>
        <v>5.0560658065339839E-3</v>
      </c>
      <c r="S28">
        <f ca="1"/>
        <v>1264.016451633496</v>
      </c>
      <c r="T28">
        <f ca="1"/>
        <v>0.99497893031605733</v>
      </c>
      <c r="U28">
        <f ca="1"/>
        <v>1257.6697369481942</v>
      </c>
    </row>
    <row r="29" spans="2:21" x14ac:dyDescent="0.25">
      <c r="B29" s="2" t="s">
        <v>57</v>
      </c>
      <c r="C29" s="1" t="s">
        <v>58</v>
      </c>
      <c r="D29" s="13" t="s">
        <v>58</v>
      </c>
      <c r="H29">
        <f ca="1"/>
        <v>44536</v>
      </c>
      <c r="I29">
        <f ca="1"/>
        <v>44536</v>
      </c>
      <c r="J29">
        <f ca="1"/>
        <v>44627</v>
      </c>
      <c r="K29">
        <f ca="1"/>
        <v>91</v>
      </c>
      <c r="L29">
        <f ca="1"/>
        <v>0.25277777777777777</v>
      </c>
      <c r="M29">
        <f ca="1"/>
        <v>44627</v>
      </c>
      <c r="N29">
        <f ca="1"/>
        <v>1000000</v>
      </c>
      <c r="O29">
        <f ca="1"/>
        <v>0</v>
      </c>
      <c r="P29">
        <f ca="1"/>
        <v>1</v>
      </c>
      <c r="Q29">
        <f ca="1"/>
        <v>0</v>
      </c>
      <c r="R29">
        <f ca="1"/>
        <v>5.3537157878937253E-3</v>
      </c>
      <c r="S29">
        <f ca="1"/>
        <v>1353.3003797175804</v>
      </c>
      <c r="T29">
        <f ca="1"/>
        <v>0.99446689827648405</v>
      </c>
      <c r="U29">
        <f ca="1"/>
        <v>1345.8124310541302</v>
      </c>
    </row>
    <row r="30" spans="2:21" x14ac:dyDescent="0.25">
      <c r="B30" s="2" t="s">
        <v>59</v>
      </c>
      <c r="C30" s="1" t="s">
        <v>20</v>
      </c>
      <c r="D30" s="13" t="s">
        <v>20</v>
      </c>
      <c r="H30" t="e">
        <f ca="1"/>
        <v>#N/A</v>
      </c>
      <c r="I30" t="e">
        <f ca="1"/>
        <v>#N/A</v>
      </c>
      <c r="J30" t="e">
        <f ca="1"/>
        <v>#N/A</v>
      </c>
      <c r="K30" t="e">
        <f ca="1"/>
        <v>#N/A</v>
      </c>
      <c r="L30" t="e">
        <f ca="1"/>
        <v>#N/A</v>
      </c>
      <c r="M30" t="e">
        <f ca="1"/>
        <v>#N/A</v>
      </c>
      <c r="N30" t="e">
        <f ca="1"/>
        <v>#N/A</v>
      </c>
      <c r="O30" t="e">
        <f ca="1"/>
        <v>#N/A</v>
      </c>
      <c r="P30" t="e">
        <f ca="1"/>
        <v>#N/A</v>
      </c>
      <c r="Q30" t="e">
        <f ca="1"/>
        <v>#N/A</v>
      </c>
      <c r="R30" t="e">
        <f ca="1"/>
        <v>#N/A</v>
      </c>
      <c r="S30" t="e">
        <f ca="1"/>
        <v>#N/A</v>
      </c>
      <c r="T30" t="e">
        <f ca="1"/>
        <v>#N/A</v>
      </c>
      <c r="U30" t="e">
        <f ca="1"/>
        <v>#N/A</v>
      </c>
    </row>
    <row r="31" spans="2:21" x14ac:dyDescent="0.25">
      <c r="B31" s="2" t="s">
        <v>60</v>
      </c>
      <c r="C31" s="1" t="s">
        <v>20</v>
      </c>
      <c r="D31" s="11" t="s">
        <v>20</v>
      </c>
    </row>
    <row r="32" spans="2:21" x14ac:dyDescent="0.25">
      <c r="B32" s="2" t="s">
        <v>61</v>
      </c>
      <c r="C32" s="1" t="s">
        <v>62</v>
      </c>
      <c r="D32" s="12" t="s">
        <v>62</v>
      </c>
      <c r="H32" t="s">
        <v>14</v>
      </c>
    </row>
    <row r="33" spans="2:13" x14ac:dyDescent="0.25">
      <c r="B33" s="2" t="s">
        <v>63</v>
      </c>
      <c r="C33" s="1" t="s">
        <v>64</v>
      </c>
      <c r="D33" s="2" t="s">
        <v>64</v>
      </c>
      <c r="F33" t="s">
        <v>8</v>
      </c>
      <c r="H33" t="str">
        <f t="array" aca="1" ref="H33:M44" ca="1">_xll.meLWOSwapDisplayCashflows($I$6,$I$3,D6,,,F34:F39)</f>
        <v>Leg2:Float Leg Schedule &amp; Cashflows</v>
      </c>
      <c r="I33" t="str">
        <f ca="1"/>
        <v/>
      </c>
      <c r="J33" t="str">
        <f ca="1"/>
        <v/>
      </c>
      <c r="K33" t="str">
        <f ca="1"/>
        <v/>
      </c>
      <c r="L33" t="str">
        <f ca="1"/>
        <v/>
      </c>
      <c r="M33" t="str">
        <f ca="1"/>
        <v/>
      </c>
    </row>
    <row r="34" spans="2:13" x14ac:dyDescent="0.25">
      <c r="B34" s="2" t="s">
        <v>65</v>
      </c>
      <c r="C34" s="1" t="s">
        <v>20</v>
      </c>
      <c r="D34" s="2" t="s">
        <v>48</v>
      </c>
      <c r="F34" t="s">
        <v>9</v>
      </c>
      <c r="H34" t="str">
        <f ca="1"/>
        <v>FixingDate</v>
      </c>
      <c r="I34" t="str">
        <f ca="1"/>
        <v>FloatSpread</v>
      </c>
      <c r="J34" t="str">
        <f ca="1"/>
        <v>FloatRate</v>
      </c>
      <c r="K34" t="str">
        <f ca="1"/>
        <v>Coupon</v>
      </c>
      <c r="L34" t="str">
        <f ca="1"/>
        <v>DiscountFactor</v>
      </c>
      <c r="M34" t="str">
        <f ca="1"/>
        <v>CouponPV</v>
      </c>
    </row>
    <row r="35" spans="2:13" x14ac:dyDescent="0.25">
      <c r="B35" s="2" t="s">
        <v>66</v>
      </c>
      <c r="C35" s="1" t="s">
        <v>20</v>
      </c>
      <c r="D35" s="8" t="s">
        <v>50</v>
      </c>
      <c r="F35" t="s">
        <v>0</v>
      </c>
      <c r="H35">
        <f ca="1"/>
        <v>43896</v>
      </c>
      <c r="I35">
        <f ca="1"/>
        <v>0</v>
      </c>
      <c r="J35">
        <f ca="1"/>
        <v>8.9686659179886719E-3</v>
      </c>
      <c r="K35">
        <f ca="1"/>
        <v>2341.8183230303757</v>
      </c>
      <c r="L35">
        <f ca="1"/>
        <v>0.99861655604539123</v>
      </c>
      <c r="M35">
        <f ca="1"/>
        <v>2338.5785486285872</v>
      </c>
    </row>
    <row r="36" spans="2:13" x14ac:dyDescent="0.25">
      <c r="B36" s="2" t="s">
        <v>67</v>
      </c>
      <c r="C36" s="1" t="s">
        <v>20</v>
      </c>
      <c r="D36" s="8" t="s">
        <v>58</v>
      </c>
      <c r="F36" t="s">
        <v>10</v>
      </c>
      <c r="H36">
        <f ca="1"/>
        <v>43990</v>
      </c>
      <c r="I36">
        <f ca="1"/>
        <v>0</v>
      </c>
      <c r="J36">
        <f ca="1"/>
        <v>6.2031663995774835E-3</v>
      </c>
      <c r="K36">
        <f ca="1"/>
        <v>1585.253635447579</v>
      </c>
      <c r="L36">
        <f ca="1"/>
        <v>0.99776181357334925</v>
      </c>
      <c r="M36">
        <f ca="1"/>
        <v>1581.7055422779215</v>
      </c>
    </row>
    <row r="37" spans="2:13" x14ac:dyDescent="0.25">
      <c r="B37" s="2" t="s">
        <v>68</v>
      </c>
      <c r="C37" s="1" t="s">
        <v>20</v>
      </c>
      <c r="D37" s="8" t="s">
        <v>20</v>
      </c>
      <c r="F37" t="s">
        <v>11</v>
      </c>
      <c r="H37">
        <f ca="1"/>
        <v>44082</v>
      </c>
      <c r="I37">
        <f ca="1"/>
        <v>0</v>
      </c>
      <c r="J37">
        <f ca="1"/>
        <v>5.1168355339493805E-3</v>
      </c>
      <c r="K37">
        <f ca="1"/>
        <v>1279.208883487345</v>
      </c>
      <c r="L37">
        <f ca="1"/>
        <v>0.99742369189377567</v>
      </c>
      <c r="M37">
        <f ca="1"/>
        <v>1275.9132472712624</v>
      </c>
    </row>
    <row r="38" spans="2:13" x14ac:dyDescent="0.25">
      <c r="B38" s="2" t="s">
        <v>69</v>
      </c>
      <c r="C38" s="1" t="s">
        <v>70</v>
      </c>
      <c r="D38" s="8" t="s">
        <v>20</v>
      </c>
      <c r="F38" t="s">
        <v>12</v>
      </c>
      <c r="H38">
        <f ca="1"/>
        <v>44172</v>
      </c>
      <c r="I38">
        <f ca="1"/>
        <v>0</v>
      </c>
      <c r="J38">
        <f ca="1"/>
        <v>5.2062108655520746E-3</v>
      </c>
      <c r="K38">
        <f ca="1"/>
        <v>1316.0144132367743</v>
      </c>
      <c r="L38">
        <f ca="1"/>
        <v>0.99692608790883985</v>
      </c>
      <c r="M38">
        <f ca="1"/>
        <v>1311.9691006197847</v>
      </c>
    </row>
    <row r="39" spans="2:13" x14ac:dyDescent="0.25">
      <c r="B39" s="2" t="s">
        <v>71</v>
      </c>
      <c r="C39" s="1" t="s">
        <v>20</v>
      </c>
      <c r="D39" s="8" t="s">
        <v>72</v>
      </c>
      <c r="F39" t="s">
        <v>13</v>
      </c>
      <c r="H39">
        <f ca="1"/>
        <v>44263</v>
      </c>
      <c r="I39">
        <f ca="1"/>
        <v>0</v>
      </c>
      <c r="J39">
        <f ca="1"/>
        <v>4.7598947075132136E-3</v>
      </c>
      <c r="K39">
        <f ca="1"/>
        <v>1203.1956066213957</v>
      </c>
      <c r="L39">
        <f ca="1"/>
        <v>0.99614320390266842</v>
      </c>
      <c r="M39">
        <f ca="1"/>
        <v>1198.5551265014517</v>
      </c>
    </row>
    <row r="40" spans="2:13" x14ac:dyDescent="0.25">
      <c r="H40">
        <f ca="1"/>
        <v>44354</v>
      </c>
      <c r="I40">
        <f ca="1"/>
        <v>0</v>
      </c>
      <c r="J40">
        <f ca="1"/>
        <v>4.9173900113205753E-3</v>
      </c>
      <c r="K40">
        <f ca="1"/>
        <v>1256.6663362263691</v>
      </c>
      <c r="L40">
        <f ca="1"/>
        <v>0.99549748426029239</v>
      </c>
      <c r="M40">
        <f ca="1"/>
        <v>1251.0081762679492</v>
      </c>
    </row>
    <row r="41" spans="2:13" x14ac:dyDescent="0.25">
      <c r="H41">
        <f ca="1"/>
        <v>44446</v>
      </c>
      <c r="I41">
        <f ca="1"/>
        <v>0</v>
      </c>
      <c r="J41">
        <f ca="1"/>
        <v>5.0560658065339839E-3</v>
      </c>
      <c r="K41">
        <f ca="1"/>
        <v>1264.016451633496</v>
      </c>
      <c r="L41">
        <f ca="1"/>
        <v>0.99497893031605733</v>
      </c>
      <c r="M41">
        <f ca="1"/>
        <v>1257.6697369481942</v>
      </c>
    </row>
    <row r="42" spans="2:13" x14ac:dyDescent="0.25">
      <c r="H42">
        <f ca="1"/>
        <v>44536</v>
      </c>
      <c r="I42">
        <f ca="1"/>
        <v>0</v>
      </c>
      <c r="J42">
        <f ca="1"/>
        <v>5.3537157878937253E-3</v>
      </c>
      <c r="K42">
        <f ca="1"/>
        <v>1353.3003797175804</v>
      </c>
      <c r="L42">
        <f ca="1"/>
        <v>0.99446689827648405</v>
      </c>
      <c r="M42">
        <f ca="1"/>
        <v>1345.8124310541302</v>
      </c>
    </row>
    <row r="43" spans="2:13" x14ac:dyDescent="0.25">
      <c r="H43" t="e">
        <f ca="1"/>
        <v>#N/A</v>
      </c>
      <c r="I43" t="e">
        <f ca="1"/>
        <v>#N/A</v>
      </c>
      <c r="J43" t="e">
        <f ca="1"/>
        <v>#N/A</v>
      </c>
      <c r="K43" t="e">
        <f ca="1"/>
        <v>#N/A</v>
      </c>
      <c r="L43" t="e">
        <f ca="1"/>
        <v>#N/A</v>
      </c>
      <c r="M43" t="e">
        <f ca="1"/>
        <v>#N/A</v>
      </c>
    </row>
    <row r="44" spans="2:13" x14ac:dyDescent="0.25">
      <c r="H44" t="e">
        <f ca="1"/>
        <v>#N/A</v>
      </c>
      <c r="I44" t="e">
        <f ca="1"/>
        <v>#N/A</v>
      </c>
      <c r="J44" t="e">
        <f ca="1"/>
        <v>#N/A</v>
      </c>
      <c r="K44" t="e">
        <f ca="1"/>
        <v>#N/A</v>
      </c>
      <c r="L44" t="e">
        <f ca="1"/>
        <v>#N/A</v>
      </c>
      <c r="M44" t="e">
        <f ca="1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GENSWAP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Zheng Yongyan</cp:lastModifiedBy>
  <dcterms:created xsi:type="dcterms:W3CDTF">2019-03-08T09:06:32Z</dcterms:created>
  <dcterms:modified xsi:type="dcterms:W3CDTF">2020-03-06T14:13:01Z</dcterms:modified>
</cp:coreProperties>
</file>