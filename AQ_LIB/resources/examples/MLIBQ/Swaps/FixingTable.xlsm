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s003\BurgNi$\DESKTOP\"/>
    </mc:Choice>
  </mc:AlternateContent>
  <bookViews>
    <workbookView xWindow="480" yWindow="60" windowWidth="20700" windowHeight="11760"/>
  </bookViews>
  <sheets>
    <sheet name="CreateFixingTable" sheetId="4" r:id="rId1"/>
    <sheet name="DisplayFixingTable" sheetId="5" r:id="rId2"/>
    <sheet name="FixingValues" sheetId="6" r:id="rId3"/>
    <sheet name="LwoUtilities" sheetId="7" r:id="rId4"/>
  </sheets>
  <functionGroups builtInGroupCount="18"/>
  <calcPr calcId="162913" calcMode="manual" calcCompleted="0" calcOnSave="0" concurrentCalc="0"/>
</workbook>
</file>

<file path=xl/calcChain.xml><?xml version="1.0" encoding="utf-8"?>
<calcChain xmlns="http://schemas.openxmlformats.org/spreadsheetml/2006/main">
  <c r="F9" i="4" l="1"/>
  <c r="C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B5" i="5" a="1"/>
  <c r="C5" i="4"/>
  <c r="E5" i="7" a="1"/>
  <c r="I14" i="7"/>
  <c r="F5" i="4"/>
  <c r="I13" i="7"/>
  <c r="E5" i="7"/>
  <c r="E13" i="7"/>
  <c r="E6" i="7"/>
  <c r="E14" i="7"/>
  <c r="E7" i="7"/>
  <c r="E8" i="7"/>
  <c r="E10" i="7"/>
  <c r="E11" i="7"/>
  <c r="E12" i="7"/>
  <c r="E9" i="7"/>
  <c r="C6" i="6"/>
  <c r="D6" i="6"/>
  <c r="B5" i="5"/>
  <c r="B8" i="5"/>
  <c r="B10" i="5"/>
  <c r="B6" i="5"/>
  <c r="B7" i="5"/>
  <c r="B9" i="5"/>
  <c r="G5" i="7"/>
  <c r="G6" i="7"/>
  <c r="I6" i="7"/>
  <c r="I5" i="7"/>
  <c r="E5" i="5" a="1"/>
  <c r="I5" i="5" a="1"/>
  <c r="J7" i="5"/>
  <c r="I10" i="5"/>
  <c r="K12" i="5"/>
  <c r="J15" i="5"/>
  <c r="I18" i="5"/>
  <c r="K20" i="5"/>
  <c r="J23" i="5"/>
  <c r="I5" i="5"/>
  <c r="K7" i="5"/>
  <c r="J10" i="5"/>
  <c r="I13" i="5"/>
  <c r="K15" i="5"/>
  <c r="J18" i="5"/>
  <c r="I21" i="5"/>
  <c r="K23" i="5"/>
  <c r="K5" i="5"/>
  <c r="J8" i="5"/>
  <c r="I11" i="5"/>
  <c r="K13" i="5"/>
  <c r="J16" i="5"/>
  <c r="I19" i="5"/>
  <c r="K21" i="5"/>
  <c r="J5" i="5"/>
  <c r="I8" i="5"/>
  <c r="K10" i="5"/>
  <c r="J13" i="5"/>
  <c r="I16" i="5"/>
  <c r="K18" i="5"/>
  <c r="J21" i="5"/>
  <c r="I6" i="5"/>
  <c r="K8" i="5"/>
  <c r="J11" i="5"/>
  <c r="I14" i="5"/>
  <c r="K16" i="5"/>
  <c r="J19" i="5"/>
  <c r="I22" i="5"/>
  <c r="J6" i="5"/>
  <c r="I9" i="5"/>
  <c r="K11" i="5"/>
  <c r="J14" i="5"/>
  <c r="I17" i="5"/>
  <c r="K19" i="5"/>
  <c r="J22" i="5"/>
  <c r="K6" i="5"/>
  <c r="J9" i="5"/>
  <c r="I12" i="5"/>
  <c r="K14" i="5"/>
  <c r="J17" i="5"/>
  <c r="I20" i="5"/>
  <c r="K22" i="5"/>
  <c r="I7" i="5"/>
  <c r="K9" i="5"/>
  <c r="J12" i="5"/>
  <c r="I15" i="5"/>
  <c r="K17" i="5"/>
  <c r="J20" i="5"/>
  <c r="I23" i="5"/>
  <c r="G6" i="5"/>
  <c r="F9" i="5"/>
  <c r="E12" i="5"/>
  <c r="G14" i="5"/>
  <c r="F17" i="5"/>
  <c r="E20" i="5"/>
  <c r="G22" i="5"/>
  <c r="E7" i="5"/>
  <c r="G9" i="5"/>
  <c r="F12" i="5"/>
  <c r="E15" i="5"/>
  <c r="G17" i="5"/>
  <c r="F20" i="5"/>
  <c r="E23" i="5"/>
  <c r="E10" i="5"/>
  <c r="G20" i="5"/>
  <c r="E5" i="5"/>
  <c r="F10" i="5"/>
  <c r="G15" i="5"/>
  <c r="E21" i="5"/>
  <c r="E8" i="5"/>
  <c r="F13" i="5"/>
  <c r="G18" i="5"/>
  <c r="F7" i="5"/>
  <c r="G12" i="5"/>
  <c r="F15" i="5"/>
  <c r="E18" i="5"/>
  <c r="F23" i="5"/>
  <c r="G7" i="5"/>
  <c r="E13" i="5"/>
  <c r="F18" i="5"/>
  <c r="G23" i="5"/>
  <c r="F5" i="5"/>
  <c r="G10" i="5"/>
  <c r="E16" i="5"/>
  <c r="F21" i="5"/>
  <c r="G5" i="5"/>
  <c r="F8" i="5"/>
  <c r="E11" i="5"/>
  <c r="G13" i="5"/>
  <c r="F16" i="5"/>
  <c r="E19" i="5"/>
  <c r="G21" i="5"/>
  <c r="E6" i="5"/>
  <c r="G8" i="5"/>
  <c r="F11" i="5"/>
  <c r="E14" i="5"/>
  <c r="G16" i="5"/>
  <c r="F19" i="5"/>
  <c r="E22" i="5"/>
  <c r="F6" i="5"/>
  <c r="E9" i="5"/>
  <c r="G11" i="5"/>
  <c r="F14" i="5"/>
  <c r="E17" i="5"/>
  <c r="G19" i="5"/>
  <c r="F22" i="5"/>
  <c r="C11" i="6" a="1"/>
  <c r="D11" i="6" a="1"/>
  <c r="D11" i="6"/>
  <c r="D13" i="6"/>
  <c r="D15" i="6"/>
  <c r="D14" i="6"/>
  <c r="D16" i="6"/>
  <c r="D12" i="6"/>
  <c r="D17" i="6"/>
  <c r="C17" i="6"/>
  <c r="C16" i="6"/>
  <c r="C11" i="6"/>
  <c r="C15" i="6"/>
  <c r="C12" i="6"/>
  <c r="C13" i="6"/>
  <c r="C14" i="6"/>
</calcChain>
</file>

<file path=xl/sharedStrings.xml><?xml version="1.0" encoding="utf-8"?>
<sst xmlns="http://schemas.openxmlformats.org/spreadsheetml/2006/main" count="50" uniqueCount="34">
  <si>
    <t>Currency</t>
  </si>
  <si>
    <t>EUR</t>
  </si>
  <si>
    <t>TableName</t>
  </si>
  <si>
    <t>List</t>
  </si>
  <si>
    <t>Save</t>
  </si>
  <si>
    <t>Load</t>
  </si>
  <si>
    <t>FixingValues</t>
  </si>
  <si>
    <t>6M</t>
  </si>
  <si>
    <t>FixingDate</t>
  </si>
  <si>
    <t>FixingValue</t>
  </si>
  <si>
    <t>CurveTenor</t>
  </si>
  <si>
    <t>CreateFixingTable</t>
  </si>
  <si>
    <t>Fixing Table &amp; Index Information</t>
  </si>
  <si>
    <t>Display Fixing Table</t>
  </si>
  <si>
    <t>List Fixing Table Names</t>
  </si>
  <si>
    <t>3M</t>
  </si>
  <si>
    <t>FixingTable</t>
  </si>
  <si>
    <t>FixingDates</t>
  </si>
  <si>
    <t>Fixing Table Information</t>
  </si>
  <si>
    <t>meLWOList</t>
  </si>
  <si>
    <t>meLWOExists</t>
  </si>
  <si>
    <t>meLWODelete</t>
  </si>
  <si>
    <t>meLWODeleteAll</t>
  </si>
  <si>
    <t>meLWOSave</t>
  </si>
  <si>
    <t>meLWOLoad</t>
  </si>
  <si>
    <t>LWO Utilities</t>
  </si>
  <si>
    <t>Exists</t>
  </si>
  <si>
    <t>C:\Temp\FixingTable1.JSON</t>
  </si>
  <si>
    <t>C:\Temp\FixingTable2.JSON</t>
  </si>
  <si>
    <t>FileNames</t>
  </si>
  <si>
    <r>
      <rPr>
        <sz val="11"/>
        <color rgb="FF0000FF"/>
        <rFont val="Calibri"/>
        <family val="2"/>
        <scheme val="minor"/>
      </rPr>
      <t>meLWOFixingTableCreate</t>
    </r>
    <r>
      <rPr>
        <sz val="11"/>
        <color theme="1"/>
        <rFont val="Calibri"/>
        <family val="2"/>
        <scheme val="minor"/>
      </rPr>
      <t>("FixingTableName","CurveCurrency","CurveTenor","FixingDates","FixingValues")</t>
    </r>
  </si>
  <si>
    <r>
      <rPr>
        <sz val="11"/>
        <color rgb="FF0000FF"/>
        <rFont val="Calibri"/>
        <family val="2"/>
        <scheme val="minor"/>
      </rPr>
      <t>meLWOList</t>
    </r>
    <r>
      <rPr>
        <sz val="11"/>
        <color theme="1"/>
        <rFont val="Calibri"/>
        <family val="2"/>
        <scheme val="minor"/>
      </rPr>
      <t>("FIXING_TABLE")</t>
    </r>
  </si>
  <si>
    <r>
      <rPr>
        <sz val="11"/>
        <color rgb="FF0000FF"/>
        <rFont val="Calibri"/>
        <family val="2"/>
        <scheme val="minor"/>
      </rPr>
      <t>meLWOFixingTableDisplay</t>
    </r>
    <r>
      <rPr>
        <sz val="11"/>
        <color theme="1"/>
        <rFont val="Calibri"/>
        <family val="2"/>
        <scheme val="minor"/>
      </rPr>
      <t>("FixingTableName")</t>
    </r>
  </si>
  <si>
    <r>
      <rPr>
        <sz val="11"/>
        <color rgb="FF0000FF"/>
        <rFont val="Calibri"/>
        <family val="2"/>
        <scheme val="minor"/>
      </rPr>
      <t>meLWOFixingTableValues</t>
    </r>
    <r>
      <rPr>
        <sz val="11"/>
        <color theme="1"/>
        <rFont val="Calibri"/>
        <family val="2"/>
        <scheme val="minor"/>
      </rPr>
      <t>("FixingTableName","Currency","CurveTenor","FixingDates")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</si>
</sst>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d\,\ d\-mmm\-yy"/>
    <numFmt numFmtId="165" formatCode="#,##0.000"/>
  </numFmts>
  <fonts count="3" x14ac:knownFonts="1">
    <font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2" borderId="2" xfId="0" applyNumberFormat="1" applyFill="1" applyBorder="1" applyAlignment="1">
      <alignment horizontal="left" vertical="center"/>
    </xf>
    <xf numFmtId="164" fontId="0" fillId="2" borderId="3" xfId="0" applyNumberFormat="1" applyFill="1" applyBorder="1" applyAlignment="1">
      <alignment horizontal="left" vertical="center"/>
    </xf>
    <xf numFmtId="164" fontId="0" fillId="2" borderId="4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65" fontId="0" fillId="2" borderId="2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0" fontId="0" fillId="0" borderId="0" xfId="0" applyFont="1"/>
    <xf numFmtId="0" fontId="0" fillId="2" borderId="2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3" xfId="0" applyFont="1" applyFill="1" applyBorder="1"/>
    <xf numFmtId="0" fontId="0" fillId="2" borderId="8" xfId="0" applyFont="1" applyFill="1" applyBorder="1"/>
    <xf numFmtId="0" fontId="0" fillId="2" borderId="0" xfId="0" applyFont="1" applyFill="1" applyBorder="1"/>
    <xf numFmtId="0" fontId="0" fillId="2" borderId="9" xfId="0" applyFont="1" applyFill="1" applyBorder="1"/>
    <xf numFmtId="15" fontId="0" fillId="2" borderId="8" xfId="0" applyNumberFormat="1" applyFont="1" applyFill="1" applyBorder="1"/>
    <xf numFmtId="0" fontId="0" fillId="2" borderId="4" xfId="0" applyFont="1" applyFill="1" applyBorder="1"/>
    <xf numFmtId="15" fontId="0" fillId="2" borderId="10" xfId="0" applyNumberFormat="1" applyFont="1" applyFill="1" applyBorder="1"/>
    <xf numFmtId="0" fontId="0" fillId="2" borderId="11" xfId="0" applyFont="1" applyFill="1" applyBorder="1"/>
    <xf numFmtId="0" fontId="0" fillId="2" borderId="12" xfId="0" applyFont="1" applyFill="1" applyBorder="1"/>
    <xf numFmtId="0" fontId="0" fillId="2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0" borderId="3" xfId="0" applyFont="1" applyBorder="1" applyAlignment="1">
      <alignment horizontal="center" vertical="center"/>
    </xf>
    <xf numFmtId="0" fontId="0" fillId="2" borderId="4" xfId="0" applyFont="1" applyFill="1" applyBorder="1" applyAlignment="1">
      <alignment horizontal="left" vertical="center"/>
    </xf>
    <xf numFmtId="0" fontId="0" fillId="0" borderId="4" xfId="0" applyFont="1" applyBorder="1" applyAlignment="1">
      <alignment horizontal="center" vertical="center"/>
    </xf>
    <xf numFmtId="15" fontId="0" fillId="2" borderId="2" xfId="0" applyNumberFormat="1" applyFont="1" applyFill="1" applyBorder="1" applyAlignment="1">
      <alignment horizontal="left" vertical="center"/>
    </xf>
    <xf numFmtId="15" fontId="0" fillId="2" borderId="3" xfId="0" applyNumberFormat="1" applyFont="1" applyFill="1" applyBorder="1" applyAlignment="1">
      <alignment horizontal="left" vertical="center"/>
    </xf>
    <xf numFmtId="15" fontId="0" fillId="2" borderId="4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38"/>
  <sheetViews>
    <sheetView showGridLines="0" tabSelected="1" workbookViewId="0"/>
  </sheetViews>
  <sheetFormatPr defaultRowHeight="15" x14ac:dyDescent="0.25"/>
  <cols>
    <col min="2" max="2" width="20.7109375" style="5" customWidth="1"/>
    <col min="3" max="3" width="20.7109375" style="4" customWidth="1"/>
    <col min="5" max="6" width="20.7109375" customWidth="1"/>
  </cols>
  <sheetData>
    <row r="2" spans="2:7" x14ac:dyDescent="0.25">
      <c r="B2" s="24" t="s">
        <v>30</v>
      </c>
    </row>
    <row r="5" spans="2:7" x14ac:dyDescent="0.25">
      <c r="B5" s="14" t="s">
        <v>11</v>
      </c>
      <c r="C5" s="15" t="str">
        <f ca="1">_xll.meLWOFixingTableCreate(C9,C10,C11,B15:B38,C15:C38)</f>
        <v>EUR3M_FIXINGS@1:4</v>
      </c>
      <c r="E5" s="14" t="s">
        <v>11</v>
      </c>
      <c r="F5" s="15" t="str">
        <f ca="1">_xll.meLWOFixingTableCreate(F9,F10,F11,E15:E38,F15:F38)</f>
        <v>EUR6M_FIXINGS@2:4</v>
      </c>
    </row>
    <row r="6" spans="2:7" x14ac:dyDescent="0.25">
      <c r="E6" s="5"/>
      <c r="F6" s="4"/>
    </row>
    <row r="7" spans="2:7" x14ac:dyDescent="0.25">
      <c r="E7" s="5"/>
      <c r="F7" s="4"/>
    </row>
    <row r="8" spans="2:7" x14ac:dyDescent="0.25">
      <c r="B8" s="24" t="s">
        <v>12</v>
      </c>
      <c r="E8" s="24" t="s">
        <v>12</v>
      </c>
      <c r="F8" s="4"/>
    </row>
    <row r="9" spans="2:7" x14ac:dyDescent="0.25">
      <c r="B9" s="11" t="s">
        <v>2</v>
      </c>
      <c r="C9" s="6" t="str">
        <f ca="1">C10&amp;C11&amp;"_FIXINGS"</f>
        <v>EUR3M_FIXINGS</v>
      </c>
      <c r="E9" s="11" t="s">
        <v>2</v>
      </c>
      <c r="F9" s="6" t="str">
        <f ca="1">F10&amp;F11&amp;"_FIXINGS"</f>
        <v>EUR6M_FIXINGS</v>
      </c>
    </row>
    <row r="10" spans="2:7" x14ac:dyDescent="0.25">
      <c r="B10" s="12" t="s">
        <v>0</v>
      </c>
      <c r="C10" s="7" t="s">
        <v>1</v>
      </c>
      <c r="E10" s="12" t="s">
        <v>0</v>
      </c>
      <c r="F10" s="7" t="s">
        <v>1</v>
      </c>
    </row>
    <row r="11" spans="2:7" x14ac:dyDescent="0.25">
      <c r="B11" s="13" t="s">
        <v>10</v>
      </c>
      <c r="C11" s="25" t="s">
        <v>15</v>
      </c>
      <c r="E11" s="13" t="s">
        <v>10</v>
      </c>
      <c r="F11" s="25" t="s">
        <v>7</v>
      </c>
    </row>
    <row r="12" spans="2:7" x14ac:dyDescent="0.25">
      <c r="E12" s="5"/>
      <c r="F12" s="4"/>
    </row>
    <row r="13" spans="2:7" x14ac:dyDescent="0.25">
      <c r="E13" s="5"/>
      <c r="F13" s="4"/>
    </row>
    <row r="14" spans="2:7" x14ac:dyDescent="0.25">
      <c r="B14" s="24" t="s">
        <v>8</v>
      </c>
      <c r="C14" s="19" t="s">
        <v>9</v>
      </c>
      <c r="E14" s="24" t="s">
        <v>8</v>
      </c>
      <c r="F14" s="19" t="s">
        <v>9</v>
      </c>
    </row>
    <row r="15" spans="2:7" x14ac:dyDescent="0.25">
      <c r="B15" s="8">
        <v>42583</v>
      </c>
      <c r="C15" s="16">
        <f ca="1">F15-0.14</f>
        <v>-0.32600000000000001</v>
      </c>
      <c r="E15" s="8">
        <v>42583</v>
      </c>
      <c r="F15" s="16">
        <v>-0.186</v>
      </c>
      <c r="G15" s="3"/>
    </row>
    <row r="16" spans="2:7" x14ac:dyDescent="0.25">
      <c r="B16" s="9">
        <v>42584</v>
      </c>
      <c r="C16" s="17">
        <f t="shared" ref="C16:C38" ca="1" si="0">F16-0.14</f>
        <v>-0.32400000000000001</v>
      </c>
      <c r="E16" s="9">
        <v>42584</v>
      </c>
      <c r="F16" s="17">
        <v>-0.184</v>
      </c>
      <c r="G16" s="3"/>
    </row>
    <row r="17" spans="2:6" x14ac:dyDescent="0.25">
      <c r="B17" s="9">
        <v>42585</v>
      </c>
      <c r="C17" s="17">
        <f t="shared" ca="1" si="0"/>
        <v>-0.32300000000000001</v>
      </c>
      <c r="E17" s="9">
        <v>42585</v>
      </c>
      <c r="F17" s="17">
        <v>-0.183</v>
      </c>
    </row>
    <row r="18" spans="2:6" x14ac:dyDescent="0.25">
      <c r="B18" s="9">
        <v>42586</v>
      </c>
      <c r="C18" s="17">
        <f t="shared" ca="1" si="0"/>
        <v>-0.32300000000000001</v>
      </c>
      <c r="E18" s="9">
        <v>42586</v>
      </c>
      <c r="F18" s="17">
        <v>-0.183</v>
      </c>
    </row>
    <row r="19" spans="2:6" x14ac:dyDescent="0.25">
      <c r="B19" s="9">
        <v>42587</v>
      </c>
      <c r="C19" s="17">
        <f t="shared" ca="1" si="0"/>
        <v>-0.32500000000000001</v>
      </c>
      <c r="E19" s="9">
        <v>42587</v>
      </c>
      <c r="F19" s="17">
        <v>-0.185</v>
      </c>
    </row>
    <row r="20" spans="2:6" x14ac:dyDescent="0.25">
      <c r="B20" s="9">
        <v>42590</v>
      </c>
      <c r="C20" s="17">
        <f t="shared" ca="1" si="0"/>
        <v>-0.32500000000000001</v>
      </c>
      <c r="E20" s="9">
        <v>42590</v>
      </c>
      <c r="F20" s="17">
        <v>-0.185</v>
      </c>
    </row>
    <row r="21" spans="2:6" x14ac:dyDescent="0.25">
      <c r="B21" s="9">
        <v>42591</v>
      </c>
      <c r="C21" s="17">
        <f t="shared" ca="1" si="0"/>
        <v>-0.32700000000000001</v>
      </c>
      <c r="E21" s="9">
        <v>42591</v>
      </c>
      <c r="F21" s="17">
        <v>-0.187</v>
      </c>
    </row>
    <row r="22" spans="2:6" x14ac:dyDescent="0.25">
      <c r="B22" s="9">
        <v>42592</v>
      </c>
      <c r="C22" s="17">
        <f t="shared" ca="1" si="0"/>
        <v>-0.32800000000000001</v>
      </c>
      <c r="E22" s="9">
        <v>42592</v>
      </c>
      <c r="F22" s="17">
        <v>-0.188</v>
      </c>
    </row>
    <row r="23" spans="2:6" x14ac:dyDescent="0.25">
      <c r="B23" s="9">
        <v>42593</v>
      </c>
      <c r="C23" s="17">
        <f t="shared" ca="1" si="0"/>
        <v>-0.32900000000000001</v>
      </c>
      <c r="E23" s="9">
        <v>42593</v>
      </c>
      <c r="F23" s="17">
        <v>-0.189</v>
      </c>
    </row>
    <row r="24" spans="2:6" x14ac:dyDescent="0.25">
      <c r="B24" s="9">
        <v>42594</v>
      </c>
      <c r="C24" s="17">
        <f t="shared" ca="1" si="0"/>
        <v>-0.32800000000000001</v>
      </c>
      <c r="E24" s="9">
        <v>42594</v>
      </c>
      <c r="F24" s="17">
        <v>-0.188</v>
      </c>
    </row>
    <row r="25" spans="2:6" x14ac:dyDescent="0.25">
      <c r="B25" s="9">
        <v>42597</v>
      </c>
      <c r="C25" s="17">
        <f t="shared" ca="1" si="0"/>
        <v>-0.32900000000000001</v>
      </c>
      <c r="E25" s="9">
        <v>42597</v>
      </c>
      <c r="F25" s="17">
        <v>-0.189</v>
      </c>
    </row>
    <row r="26" spans="2:6" x14ac:dyDescent="0.25">
      <c r="B26" s="9">
        <v>42598</v>
      </c>
      <c r="C26" s="17">
        <f t="shared" ca="1" si="0"/>
        <v>-0.32900000000000001</v>
      </c>
      <c r="E26" s="9">
        <v>42598</v>
      </c>
      <c r="F26" s="17">
        <v>-0.189</v>
      </c>
    </row>
    <row r="27" spans="2:6" x14ac:dyDescent="0.25">
      <c r="B27" s="9">
        <v>42599</v>
      </c>
      <c r="C27" s="17">
        <f t="shared" ca="1" si="0"/>
        <v>-0.33</v>
      </c>
      <c r="E27" s="9">
        <v>42599</v>
      </c>
      <c r="F27" s="17">
        <v>-0.19</v>
      </c>
    </row>
    <row r="28" spans="2:6" x14ac:dyDescent="0.25">
      <c r="B28" s="9">
        <v>42600</v>
      </c>
      <c r="C28" s="17">
        <f t="shared" ca="1" si="0"/>
        <v>-0.33100000000000002</v>
      </c>
      <c r="E28" s="9">
        <v>42600</v>
      </c>
      <c r="F28" s="17">
        <v>-0.191</v>
      </c>
    </row>
    <row r="29" spans="2:6" x14ac:dyDescent="0.25">
      <c r="B29" s="9">
        <v>42601</v>
      </c>
      <c r="C29" s="17">
        <f t="shared" ca="1" si="0"/>
        <v>-0.32900000000000001</v>
      </c>
      <c r="E29" s="9">
        <v>42601</v>
      </c>
      <c r="F29" s="17">
        <v>-0.189</v>
      </c>
    </row>
    <row r="30" spans="2:6" x14ac:dyDescent="0.25">
      <c r="B30" s="9">
        <v>42604</v>
      </c>
      <c r="C30" s="17">
        <f t="shared" ca="1" si="0"/>
        <v>-0.33</v>
      </c>
      <c r="E30" s="9">
        <v>42604</v>
      </c>
      <c r="F30" s="17">
        <v>-0.19</v>
      </c>
    </row>
    <row r="31" spans="2:6" x14ac:dyDescent="0.25">
      <c r="B31" s="9">
        <v>42605</v>
      </c>
      <c r="C31" s="17">
        <f t="shared" ca="1" si="0"/>
        <v>-0.33200000000000002</v>
      </c>
      <c r="E31" s="9">
        <v>42605</v>
      </c>
      <c r="F31" s="17">
        <v>-0.192</v>
      </c>
    </row>
    <row r="32" spans="2:6" x14ac:dyDescent="0.25">
      <c r="B32" s="9">
        <v>42606</v>
      </c>
      <c r="C32" s="17">
        <f t="shared" ca="1" si="0"/>
        <v>-0.33100000000000002</v>
      </c>
      <c r="E32" s="9">
        <v>42606</v>
      </c>
      <c r="F32" s="17">
        <v>-0.191</v>
      </c>
    </row>
    <row r="33" spans="2:6" x14ac:dyDescent="0.25">
      <c r="B33" s="9">
        <v>42607</v>
      </c>
      <c r="C33" s="17">
        <f t="shared" ca="1" si="0"/>
        <v>-0.33200000000000002</v>
      </c>
      <c r="E33" s="9">
        <v>42607</v>
      </c>
      <c r="F33" s="17">
        <v>-0.192</v>
      </c>
    </row>
    <row r="34" spans="2:6" x14ac:dyDescent="0.25">
      <c r="B34" s="9">
        <v>42608</v>
      </c>
      <c r="C34" s="17">
        <f t="shared" ca="1" si="0"/>
        <v>-0.33100000000000002</v>
      </c>
      <c r="E34" s="9">
        <v>42608</v>
      </c>
      <c r="F34" s="17">
        <v>-0.191</v>
      </c>
    </row>
    <row r="35" spans="2:6" x14ac:dyDescent="0.25">
      <c r="B35" s="9">
        <v>42611</v>
      </c>
      <c r="C35" s="17">
        <f t="shared" ca="1" si="0"/>
        <v>-0.33300000000000002</v>
      </c>
      <c r="E35" s="9">
        <v>42611</v>
      </c>
      <c r="F35" s="17">
        <v>-0.193</v>
      </c>
    </row>
    <row r="36" spans="2:6" x14ac:dyDescent="0.25">
      <c r="B36" s="9">
        <v>42612</v>
      </c>
      <c r="C36" s="17">
        <f t="shared" ca="1" si="0"/>
        <v>-0.33200000000000002</v>
      </c>
      <c r="E36" s="9">
        <v>42612</v>
      </c>
      <c r="F36" s="17">
        <v>-0.192</v>
      </c>
    </row>
    <row r="37" spans="2:6" x14ac:dyDescent="0.25">
      <c r="B37" s="9">
        <v>42613</v>
      </c>
      <c r="C37" s="17">
        <f t="shared" ca="1" si="0"/>
        <v>-0.33200000000000002</v>
      </c>
      <c r="E37" s="9">
        <v>42613</v>
      </c>
      <c r="F37" s="17">
        <v>-0.192</v>
      </c>
    </row>
    <row r="38" spans="2:6" x14ac:dyDescent="0.25">
      <c r="B38" s="10">
        <v>42614</v>
      </c>
      <c r="C38" s="18">
        <f t="shared" ca="1" si="0"/>
        <v>-0.33300000000000002</v>
      </c>
      <c r="E38" s="10">
        <v>42614</v>
      </c>
      <c r="F38" s="18">
        <v>-0.193</v>
      </c>
    </row>
  </sheetData>
  <dataValidations count="1">
    <dataValidation type="list" allowBlank="1" showInputMessage="1" showErrorMessage="1" sqref="C11 F11">
      <formula1>"1D,1M,3M,6M,12M"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23"/>
  <sheetViews>
    <sheetView showGridLines="0" workbookViewId="0"/>
  </sheetViews>
  <sheetFormatPr defaultRowHeight="15" x14ac:dyDescent="0.25"/>
  <cols>
    <col min="1" max="1" width="9.140625" style="26"/>
    <col min="2" max="2" width="16.140625" style="26" bestFit="1" customWidth="1"/>
    <col min="3" max="4" width="9.140625" style="26"/>
    <col min="5" max="7" width="15.7109375" style="26" customWidth="1"/>
    <col min="8" max="8" width="9.140625" style="26"/>
    <col min="9" max="11" width="15.7109375" style="26" customWidth="1"/>
    <col min="12" max="16384" width="9.140625" style="26"/>
  </cols>
  <sheetData>
    <row r="2" spans="2:11" x14ac:dyDescent="0.25">
      <c r="B2" s="26" t="s">
        <v>31</v>
      </c>
      <c r="E2" s="26" t="s">
        <v>32</v>
      </c>
    </row>
    <row r="4" spans="2:11" x14ac:dyDescent="0.25">
      <c r="B4" s="26" t="s">
        <v>14</v>
      </c>
      <c r="E4" s="26" t="s">
        <v>13</v>
      </c>
      <c r="I4" s="26" t="s">
        <v>13</v>
      </c>
    </row>
    <row r="5" spans="2:11" x14ac:dyDescent="0.25">
      <c r="B5" s="27" t="str">
        <f t="array" aca="1" ref="B5:B10" ca="1">_xll.meUtilityResize(_xll.meLWOList("FIXING_TABLE"),20,2)</f>
        <v>EUR3M_FIXINGS@2</v>
      </c>
      <c r="E5" s="28" t="str">
        <f t="array" aca="1" ref="E5:G23" ca="1">_xll.meUtilityResize(_xll.meLWOFixingTableDisplay(B5),50,5)</f>
        <v>CURRENCY</v>
      </c>
      <c r="F5" s="29" t="str">
        <f ca="1"/>
        <v>EUR</v>
      </c>
      <c r="G5" s="30" t="str">
        <f ca="1"/>
        <v/>
      </c>
      <c r="I5" s="28" t="str">
        <f t="array" aca="1" ref="I5:K23" ca="1">_xll.meUtilityResize(_xll.meLWOFixingTableDisplay(B6),50,5)</f>
        <v>CURRENCY</v>
      </c>
      <c r="J5" s="29" t="str">
        <f ca="1"/>
        <v>EUR</v>
      </c>
      <c r="K5" s="30" t="str">
        <f ca="1"/>
        <v/>
      </c>
    </row>
    <row r="6" spans="2:11" x14ac:dyDescent="0.25">
      <c r="B6" s="31" t="str">
        <f ca="1"/>
        <v>EUR6M_FIXINGS@1</v>
      </c>
      <c r="E6" s="32" t="str">
        <f ca="1"/>
        <v>CURVE_TENOR</v>
      </c>
      <c r="F6" s="33" t="str">
        <f ca="1"/>
        <v>3M</v>
      </c>
      <c r="G6" s="34" t="str">
        <f ca="1"/>
        <v/>
      </c>
      <c r="I6" s="32" t="str">
        <f ca="1"/>
        <v>CURVE_TENOR</v>
      </c>
      <c r="J6" s="33" t="str">
        <f ca="1"/>
        <v>6M</v>
      </c>
      <c r="K6" s="34" t="str">
        <f ca="1"/>
        <v/>
      </c>
    </row>
    <row r="7" spans="2:11" x14ac:dyDescent="0.25">
      <c r="B7" s="31" t="str">
        <f ca="1"/>
        <v/>
      </c>
      <c r="E7" s="32" t="str">
        <f ca="1"/>
        <v>FIXING_DATES</v>
      </c>
      <c r="F7" s="33" t="str">
        <f ca="1"/>
        <v>FIXING_VALUES</v>
      </c>
      <c r="G7" s="34" t="str">
        <f ca="1"/>
        <v/>
      </c>
      <c r="I7" s="32" t="str">
        <f ca="1"/>
        <v>FIXING_DATES</v>
      </c>
      <c r="J7" s="33" t="str">
        <f ca="1"/>
        <v>FIXING_VALUES</v>
      </c>
      <c r="K7" s="34" t="str">
        <f ca="1"/>
        <v/>
      </c>
    </row>
    <row r="8" spans="2:11" x14ac:dyDescent="0.25">
      <c r="B8" s="31" t="str">
        <f ca="1"/>
        <v/>
      </c>
      <c r="E8" s="35">
        <f ca="1"/>
        <v>42583</v>
      </c>
      <c r="F8" s="33">
        <f ca="1"/>
        <v>-0.32600000000000001</v>
      </c>
      <c r="G8" s="34" t="str">
        <f ca="1"/>
        <v/>
      </c>
      <c r="I8" s="35">
        <f ca="1"/>
        <v>42583</v>
      </c>
      <c r="J8" s="33">
        <f ca="1"/>
        <v>-0.186</v>
      </c>
      <c r="K8" s="34" t="str">
        <f ca="1"/>
        <v/>
      </c>
    </row>
    <row r="9" spans="2:11" x14ac:dyDescent="0.25">
      <c r="B9" s="31" t="str">
        <f ca="1"/>
        <v/>
      </c>
      <c r="E9" s="35">
        <f ca="1"/>
        <v>42584</v>
      </c>
      <c r="F9" s="33">
        <f ca="1"/>
        <v>-0.32400000000000001</v>
      </c>
      <c r="G9" s="34" t="str">
        <f ca="1"/>
        <v/>
      </c>
      <c r="I9" s="35">
        <f ca="1"/>
        <v>42584</v>
      </c>
      <c r="J9" s="33">
        <f ca="1"/>
        <v>-0.184</v>
      </c>
      <c r="K9" s="34" t="str">
        <f ca="1"/>
        <v/>
      </c>
    </row>
    <row r="10" spans="2:11" x14ac:dyDescent="0.25">
      <c r="B10" s="36" t="str">
        <f ca="1"/>
        <v/>
      </c>
      <c r="E10" s="35">
        <f ca="1"/>
        <v>42585</v>
      </c>
      <c r="F10" s="33">
        <f ca="1"/>
        <v>-0.32300000000000001</v>
      </c>
      <c r="G10" s="34" t="str">
        <f ca="1"/>
        <v/>
      </c>
      <c r="I10" s="35">
        <f ca="1"/>
        <v>42585</v>
      </c>
      <c r="J10" s="33">
        <f ca="1"/>
        <v>-0.183</v>
      </c>
      <c r="K10" s="34" t="str">
        <f ca="1"/>
        <v/>
      </c>
    </row>
    <row r="11" spans="2:11" x14ac:dyDescent="0.25">
      <c r="E11" s="35">
        <f ca="1"/>
        <v>42586</v>
      </c>
      <c r="F11" s="33">
        <f ca="1"/>
        <v>-0.32300000000000001</v>
      </c>
      <c r="G11" s="34" t="str">
        <f ca="1"/>
        <v/>
      </c>
      <c r="I11" s="35">
        <f ca="1"/>
        <v>42586</v>
      </c>
      <c r="J11" s="33">
        <f ca="1"/>
        <v>-0.183</v>
      </c>
      <c r="K11" s="34" t="str">
        <f ca="1"/>
        <v/>
      </c>
    </row>
    <row r="12" spans="2:11" x14ac:dyDescent="0.25">
      <c r="E12" s="35">
        <f ca="1"/>
        <v>42587</v>
      </c>
      <c r="F12" s="33">
        <f ca="1"/>
        <v>-0.32500000000000001</v>
      </c>
      <c r="G12" s="34" t="str">
        <f ca="1"/>
        <v/>
      </c>
      <c r="I12" s="35">
        <f ca="1"/>
        <v>42587</v>
      </c>
      <c r="J12" s="33">
        <f ca="1"/>
        <v>-0.185</v>
      </c>
      <c r="K12" s="34" t="str">
        <f ca="1"/>
        <v/>
      </c>
    </row>
    <row r="13" spans="2:11" x14ac:dyDescent="0.25">
      <c r="E13" s="35">
        <f ca="1"/>
        <v>42590</v>
      </c>
      <c r="F13" s="33">
        <f ca="1"/>
        <v>-0.32500000000000001</v>
      </c>
      <c r="G13" s="34" t="str">
        <f ca="1"/>
        <v/>
      </c>
      <c r="I13" s="35">
        <f ca="1"/>
        <v>42590</v>
      </c>
      <c r="J13" s="33">
        <f ca="1"/>
        <v>-0.185</v>
      </c>
      <c r="K13" s="34" t="str">
        <f ca="1"/>
        <v/>
      </c>
    </row>
    <row r="14" spans="2:11" x14ac:dyDescent="0.25">
      <c r="E14" s="35">
        <f ca="1"/>
        <v>42591</v>
      </c>
      <c r="F14" s="33">
        <f ca="1"/>
        <v>-0.32700000000000001</v>
      </c>
      <c r="G14" s="34" t="str">
        <f ca="1"/>
        <v/>
      </c>
      <c r="I14" s="35">
        <f ca="1"/>
        <v>42591</v>
      </c>
      <c r="J14" s="33">
        <f ca="1"/>
        <v>-0.187</v>
      </c>
      <c r="K14" s="34" t="str">
        <f ca="1"/>
        <v/>
      </c>
    </row>
    <row r="15" spans="2:11" x14ac:dyDescent="0.25">
      <c r="E15" s="35">
        <f ca="1"/>
        <v>42592</v>
      </c>
      <c r="F15" s="33">
        <f ca="1"/>
        <v>-0.32800000000000001</v>
      </c>
      <c r="G15" s="34" t="str">
        <f ca="1"/>
        <v/>
      </c>
      <c r="I15" s="35">
        <f ca="1"/>
        <v>42592</v>
      </c>
      <c r="J15" s="33">
        <f ca="1"/>
        <v>-0.188</v>
      </c>
      <c r="K15" s="34" t="str">
        <f ca="1"/>
        <v/>
      </c>
    </row>
    <row r="16" spans="2:11" x14ac:dyDescent="0.25">
      <c r="E16" s="35">
        <f ca="1"/>
        <v>42593</v>
      </c>
      <c r="F16" s="33">
        <f ca="1"/>
        <v>-0.32900000000000001</v>
      </c>
      <c r="G16" s="34" t="str">
        <f ca="1"/>
        <v/>
      </c>
      <c r="I16" s="35">
        <f ca="1"/>
        <v>42593</v>
      </c>
      <c r="J16" s="33">
        <f ca="1"/>
        <v>-0.189</v>
      </c>
      <c r="K16" s="34" t="str">
        <f ca="1"/>
        <v/>
      </c>
    </row>
    <row r="17" spans="5:11" x14ac:dyDescent="0.25">
      <c r="E17" s="35">
        <f ca="1"/>
        <v>42594</v>
      </c>
      <c r="F17" s="33">
        <f ca="1"/>
        <v>-0.32800000000000001</v>
      </c>
      <c r="G17" s="34" t="str">
        <f ca="1"/>
        <v/>
      </c>
      <c r="I17" s="35">
        <f ca="1"/>
        <v>42594</v>
      </c>
      <c r="J17" s="33">
        <f ca="1"/>
        <v>-0.188</v>
      </c>
      <c r="K17" s="34" t="str">
        <f ca="1"/>
        <v/>
      </c>
    </row>
    <row r="18" spans="5:11" x14ac:dyDescent="0.25">
      <c r="E18" s="35">
        <f ca="1"/>
        <v>42597</v>
      </c>
      <c r="F18" s="33">
        <f ca="1"/>
        <v>-0.32900000000000001</v>
      </c>
      <c r="G18" s="34" t="str">
        <f ca="1"/>
        <v/>
      </c>
      <c r="I18" s="35">
        <f ca="1"/>
        <v>42597</v>
      </c>
      <c r="J18" s="33">
        <f ca="1"/>
        <v>-0.189</v>
      </c>
      <c r="K18" s="34" t="str">
        <f ca="1"/>
        <v/>
      </c>
    </row>
    <row r="19" spans="5:11" x14ac:dyDescent="0.25">
      <c r="E19" s="35">
        <f ca="1"/>
        <v>42598</v>
      </c>
      <c r="F19" s="33">
        <f ca="1"/>
        <v>-0.32900000000000001</v>
      </c>
      <c r="G19" s="34" t="str">
        <f ca="1"/>
        <v/>
      </c>
      <c r="I19" s="35">
        <f ca="1"/>
        <v>42598</v>
      </c>
      <c r="J19" s="33">
        <f ca="1"/>
        <v>-0.189</v>
      </c>
      <c r="K19" s="34" t="str">
        <f ca="1"/>
        <v/>
      </c>
    </row>
    <row r="20" spans="5:11" x14ac:dyDescent="0.25">
      <c r="E20" s="35">
        <f ca="1"/>
        <v>42599</v>
      </c>
      <c r="F20" s="33">
        <f ca="1"/>
        <v>-0.33</v>
      </c>
      <c r="G20" s="34" t="str">
        <f ca="1"/>
        <v/>
      </c>
      <c r="I20" s="35">
        <f ca="1"/>
        <v>42599</v>
      </c>
      <c r="J20" s="33">
        <f ca="1"/>
        <v>-0.19</v>
      </c>
      <c r="K20" s="34" t="str">
        <f ca="1"/>
        <v/>
      </c>
    </row>
    <row r="21" spans="5:11" x14ac:dyDescent="0.25">
      <c r="E21" s="35">
        <f ca="1"/>
        <v>42600</v>
      </c>
      <c r="F21" s="33">
        <f ca="1"/>
        <v>-0.33100000000000002</v>
      </c>
      <c r="G21" s="34" t="str">
        <f ca="1"/>
        <v/>
      </c>
      <c r="I21" s="35">
        <f ca="1"/>
        <v>42600</v>
      </c>
      <c r="J21" s="33">
        <f ca="1"/>
        <v>-0.191</v>
      </c>
      <c r="K21" s="34" t="str">
        <f ca="1"/>
        <v/>
      </c>
    </row>
    <row r="22" spans="5:11" x14ac:dyDescent="0.25">
      <c r="E22" s="35">
        <f ca="1"/>
        <v>42601</v>
      </c>
      <c r="F22" s="33">
        <f ca="1"/>
        <v>-0.32900000000000001</v>
      </c>
      <c r="G22" s="34" t="str">
        <f ca="1"/>
        <v/>
      </c>
      <c r="I22" s="35">
        <f ca="1"/>
        <v>42601</v>
      </c>
      <c r="J22" s="33">
        <f ca="1"/>
        <v>-0.189</v>
      </c>
      <c r="K22" s="34" t="str">
        <f ca="1"/>
        <v/>
      </c>
    </row>
    <row r="23" spans="5:11" x14ac:dyDescent="0.25">
      <c r="E23" s="37">
        <f ca="1"/>
        <v>42604</v>
      </c>
      <c r="F23" s="38">
        <f ca="1"/>
        <v>-0.33</v>
      </c>
      <c r="G23" s="39" t="str">
        <f ca="1"/>
        <v/>
      </c>
      <c r="I23" s="37">
        <f ca="1"/>
        <v>42604</v>
      </c>
      <c r="J23" s="38">
        <f ca="1"/>
        <v>-0.19</v>
      </c>
      <c r="K23" s="39" t="str">
        <f ca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17"/>
  <sheetViews>
    <sheetView showGridLines="0" workbookViewId="0">
      <selection activeCell="C11" sqref="C11"/>
    </sheetView>
  </sheetViews>
  <sheetFormatPr defaultRowHeight="15" x14ac:dyDescent="0.25"/>
  <cols>
    <col min="1" max="1" width="9.140625" style="26"/>
    <col min="2" max="2" width="15.7109375" style="26" customWidth="1"/>
    <col min="3" max="3" width="20.85546875" style="19" customWidth="1"/>
    <col min="4" max="4" width="21.140625" style="19" customWidth="1"/>
    <col min="5" max="16384" width="9.140625" style="26"/>
  </cols>
  <sheetData>
    <row r="3" spans="2:4" x14ac:dyDescent="0.25">
      <c r="B3" s="26" t="s">
        <v>33</v>
      </c>
    </row>
    <row r="5" spans="2:4" x14ac:dyDescent="0.25">
      <c r="B5" s="26" t="s">
        <v>18</v>
      </c>
    </row>
    <row r="6" spans="2:4" x14ac:dyDescent="0.25">
      <c r="B6" s="40" t="s">
        <v>16</v>
      </c>
      <c r="C6" s="41" t="str">
        <f ca="1">CreateFixingTable!C5</f>
        <v>EUR3M_FIXINGS@2:24</v>
      </c>
      <c r="D6" s="41" t="str">
        <f ca="1">CreateFixingTable!F5</f>
        <v>EUR6M_FIXINGS@1:24</v>
      </c>
    </row>
    <row r="7" spans="2:4" x14ac:dyDescent="0.25">
      <c r="B7" s="42" t="s">
        <v>0</v>
      </c>
      <c r="C7" s="43" t="s">
        <v>1</v>
      </c>
      <c r="D7" s="43" t="s">
        <v>1</v>
      </c>
    </row>
    <row r="8" spans="2:4" x14ac:dyDescent="0.25">
      <c r="B8" s="44" t="s">
        <v>10</v>
      </c>
      <c r="C8" s="45" t="s">
        <v>15</v>
      </c>
      <c r="D8" s="45" t="s">
        <v>7</v>
      </c>
    </row>
    <row r="9" spans="2:4" x14ac:dyDescent="0.25">
      <c r="B9" s="24"/>
    </row>
    <row r="10" spans="2:4" x14ac:dyDescent="0.25">
      <c r="B10" s="24" t="s">
        <v>17</v>
      </c>
      <c r="C10" s="19" t="s">
        <v>6</v>
      </c>
      <c r="D10" s="19" t="s">
        <v>6</v>
      </c>
    </row>
    <row r="11" spans="2:4" x14ac:dyDescent="0.25">
      <c r="B11" s="46">
        <v>42583</v>
      </c>
      <c r="C11" s="20">
        <f t="array" aca="1" ref="C11:C17" ca="1">_xll.meLWOFixingTableValues(C6,C7,C8,B11:B17)</f>
        <v>-0.32600000000000001</v>
      </c>
      <c r="D11" s="20">
        <f t="array" aca="1" ref="D11:D17" ca="1">_xll.meLWOFixingTableValues(D6,D7,D8,B11:B17)</f>
        <v>-0.186</v>
      </c>
    </row>
    <row r="12" spans="2:4" x14ac:dyDescent="0.25">
      <c r="B12" s="47">
        <v>42584</v>
      </c>
      <c r="C12" s="21">
        <f ca="1"/>
        <v>-0.32400000000000001</v>
      </c>
      <c r="D12" s="21">
        <f ca="1"/>
        <v>-0.184</v>
      </c>
    </row>
    <row r="13" spans="2:4" x14ac:dyDescent="0.25">
      <c r="B13" s="47">
        <v>42585</v>
      </c>
      <c r="C13" s="21">
        <f ca="1"/>
        <v>-0.32300000000000001</v>
      </c>
      <c r="D13" s="21">
        <f ca="1"/>
        <v>-0.183</v>
      </c>
    </row>
    <row r="14" spans="2:4" x14ac:dyDescent="0.25">
      <c r="B14" s="47">
        <v>42586</v>
      </c>
      <c r="C14" s="21">
        <f ca="1"/>
        <v>-0.32300000000000001</v>
      </c>
      <c r="D14" s="21">
        <f ca="1"/>
        <v>-0.183</v>
      </c>
    </row>
    <row r="15" spans="2:4" x14ac:dyDescent="0.25">
      <c r="B15" s="47">
        <v>42587</v>
      </c>
      <c r="C15" s="21">
        <f ca="1"/>
        <v>-0.32500000000000001</v>
      </c>
      <c r="D15" s="21">
        <f ca="1"/>
        <v>-0.185</v>
      </c>
    </row>
    <row r="16" spans="2:4" x14ac:dyDescent="0.25">
      <c r="B16" s="47">
        <v>42590</v>
      </c>
      <c r="C16" s="21">
        <f ca="1"/>
        <v>-0.32500000000000001</v>
      </c>
      <c r="D16" s="21">
        <f ca="1"/>
        <v>-0.185</v>
      </c>
    </row>
    <row r="17" spans="2:4" x14ac:dyDescent="0.25">
      <c r="B17" s="48">
        <v>42591</v>
      </c>
      <c r="C17" s="22">
        <f ca="1"/>
        <v>-0.32700000000000001</v>
      </c>
      <c r="D17" s="22">
        <f ca="1"/>
        <v>-0.187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I14"/>
  <sheetViews>
    <sheetView showGridLines="0" workbookViewId="0"/>
  </sheetViews>
  <sheetFormatPr defaultRowHeight="15" x14ac:dyDescent="0.25"/>
  <cols>
    <col min="1" max="4" width="9.140625" style="26"/>
    <col min="5" max="5" width="15.28515625" style="19" bestFit="1" customWidth="1"/>
    <col min="6" max="6" width="9.140625" style="26"/>
    <col min="7" max="7" width="9.140625" style="19"/>
    <col min="8" max="16384" width="9.140625" style="26"/>
  </cols>
  <sheetData>
    <row r="2" spans="2:9" x14ac:dyDescent="0.25">
      <c r="B2" s="26" t="s">
        <v>25</v>
      </c>
    </row>
    <row r="4" spans="2:9" x14ac:dyDescent="0.25">
      <c r="B4" s="23" t="s">
        <v>19</v>
      </c>
      <c r="E4" s="19" t="s">
        <v>3</v>
      </c>
      <c r="G4" s="19" t="s">
        <v>26</v>
      </c>
      <c r="I4" s="26" t="s">
        <v>4</v>
      </c>
    </row>
    <row r="5" spans="2:9" x14ac:dyDescent="0.25">
      <c r="B5" s="23" t="s">
        <v>20</v>
      </c>
      <c r="E5" s="2" t="str">
        <f t="array" aca="1" ref="E5:E14" ca="1">_xll.meLWOList("FIXING_TABLE")</f>
        <v>EUR3M_FIXINGS@2</v>
      </c>
      <c r="G5" s="2" t="b">
        <f ca="1">_xll.meLWOExists(E5,"FIXING_TABLE")</f>
        <v>1</v>
      </c>
      <c r="I5" s="1" t="str">
        <f ca="1">_xll.meLWOSave(E5,"FIXING_TABLE",I9)</f>
        <v>FIXING_TABLE Object named EUR3M_FIXINGS@2 was written to file C:\TEMP\FIXINGTABLE1.JSON</v>
      </c>
    </row>
    <row r="6" spans="2:9" x14ac:dyDescent="0.25">
      <c r="B6" s="23" t="s">
        <v>21</v>
      </c>
      <c r="E6" s="2" t="str">
        <f ca="1"/>
        <v>EUR6M_FIXINGS@1</v>
      </c>
      <c r="G6" s="2" t="b">
        <f ca="1">_xll.meLWOExists(E6,"FIXING_TABLE")</f>
        <v>1</v>
      </c>
      <c r="I6" s="1" t="str">
        <f ca="1">_xll.meLWOSave(E6,"FIXING_TABLE",I10)</f>
        <v>FIXING_TABLE Object named EUR6M_FIXINGS@1 was written to file C:\TEMP\FIXINGTABLE2.JSON</v>
      </c>
    </row>
    <row r="7" spans="2:9" x14ac:dyDescent="0.25">
      <c r="B7" s="23" t="s">
        <v>22</v>
      </c>
      <c r="E7" s="2" t="e">
        <f ca="1"/>
        <v>#N/A</v>
      </c>
      <c r="G7" s="2"/>
    </row>
    <row r="8" spans="2:9" x14ac:dyDescent="0.25">
      <c r="B8" s="23" t="s">
        <v>23</v>
      </c>
      <c r="E8" s="2" t="e">
        <f ca="1"/>
        <v>#N/A</v>
      </c>
      <c r="G8" s="2"/>
      <c r="I8" s="26" t="s">
        <v>29</v>
      </c>
    </row>
    <row r="9" spans="2:9" x14ac:dyDescent="0.25">
      <c r="B9" s="23" t="s">
        <v>24</v>
      </c>
      <c r="E9" s="2" t="e">
        <f ca="1"/>
        <v>#N/A</v>
      </c>
      <c r="G9" s="2"/>
      <c r="I9" s="26" t="s">
        <v>27</v>
      </c>
    </row>
    <row r="10" spans="2:9" x14ac:dyDescent="0.25">
      <c r="E10" s="2" t="e">
        <f ca="1"/>
        <v>#N/A</v>
      </c>
      <c r="G10" s="2"/>
      <c r="I10" s="26" t="s">
        <v>28</v>
      </c>
    </row>
    <row r="11" spans="2:9" x14ac:dyDescent="0.25">
      <c r="E11" s="2" t="e">
        <f ca="1"/>
        <v>#N/A</v>
      </c>
      <c r="G11" s="2"/>
    </row>
    <row r="12" spans="2:9" x14ac:dyDescent="0.25">
      <c r="E12" s="2" t="e">
        <f ca="1"/>
        <v>#N/A</v>
      </c>
      <c r="G12" s="2"/>
      <c r="I12" s="26" t="s">
        <v>5</v>
      </c>
    </row>
    <row r="13" spans="2:9" x14ac:dyDescent="0.25">
      <c r="E13" s="2" t="e">
        <f ca="1"/>
        <v>#N/A</v>
      </c>
      <c r="G13" s="2"/>
      <c r="I13" s="1" t="str">
        <f ca="1">_xll.meLWOLoad(I9)</f>
        <v>EUR3M_FIXINGS@2:26</v>
      </c>
    </row>
    <row r="14" spans="2:9" x14ac:dyDescent="0.25">
      <c r="E14" s="2" t="e">
        <f ca="1"/>
        <v>#N/A</v>
      </c>
      <c r="G14" s="2"/>
      <c r="I14" s="1" t="str">
        <f ca="1">_xll.meLWOLoad(I10)</f>
        <v>EUR6M_FIXINGS@1:26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CreateFixingTable</vt:lpstr>
      <vt:lpstr>DisplayFixingTable</vt:lpstr>
      <vt:lpstr>FixingValues</vt:lpstr>
      <vt:lpstr>LwoUtilities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2016-09-26T15:51:24Z</dcterms:created>
  <dcterms:modified xsi:type="dcterms:W3CDTF">2020-04-20T15:13:07Z</dcterms:modified>
</cp:coreProperties>
</file>