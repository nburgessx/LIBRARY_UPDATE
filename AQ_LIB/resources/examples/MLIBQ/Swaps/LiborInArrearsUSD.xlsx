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6835" windowHeight="13605" activeTab="2"/>
  </bookViews>
  <sheets>
    <sheet name="USD_OIS" sheetId="2" r:id="rId1"/>
    <sheet name="USD_3ML" sheetId="3" r:id="rId2"/>
    <sheet name="USD LIBOR IN-ARREARS" sheetId="1" r:id="rId3"/>
  </sheets>
  <externalReferences>
    <externalReference r:id="rId4"/>
    <externalReference r:id="rId5"/>
  </externalReferences>
  <definedNames>
    <definedName name="AsOfDate">'[1]EUR VNS Schedules'!$C$10</definedName>
    <definedName name="BasisConv1x3">'[1]USD Curve Config'!$BM$9:$BN$78</definedName>
    <definedName name="BasisConv3x12">'[1]USD Curve Config'!$BS$9:$BT$78</definedName>
    <definedName name="BasisConv3x6">'[1]USD Curve Config'!$BG$9:$BH$78</definedName>
    <definedName name="BasisData1x3">'[1]USD Curve Config'!$BP$9:$BQ$78</definedName>
    <definedName name="BasisData3x12">'[1]USD Curve Config'!$BV$9:$BW$78</definedName>
    <definedName name="BasisData3x6">'[1]USD Curve Config'!$BJ$9:$BK$78</definedName>
    <definedName name="COB">[1]Settings!$C$2</definedName>
    <definedName name="ConstForwardFXEURCSA">'[1]USD Curve Config'!$CK$8:$CL$78</definedName>
    <definedName name="ConstForwardFXGBPCSA">'[1]USD Curve Config'!$CN$8:$CO$78</definedName>
    <definedName name="ConstForwardFXJPYCSA">'[1]USD Curve Config'!$CQ$8:$CR$78</definedName>
    <definedName name="ConstForwardFXProperties">'[1]USD Curve Config'!$CH$8:$CI$78</definedName>
    <definedName name="Curve.BuildProperties">USD_OIS!#REF!</definedName>
    <definedName name="Curve.CollectionName">USD_OIS!#REF!</definedName>
    <definedName name="Curve.MarketDataTable">USD_OIS!#REF!</definedName>
    <definedName name="Curve.OISIndexName">USD_OIS!#REF!</definedName>
    <definedName name="CurveCollection" localSheetId="1">USD_3ML!#REF!</definedName>
    <definedName name="CurveCollection" localSheetId="0">USD_OIS!#REF!</definedName>
    <definedName name="CurveEnablement.EUR">[1]Settings!$G$4</definedName>
    <definedName name="CurveEnablement.GBP">[1]Settings!$G$6</definedName>
    <definedName name="CurveEnablement.JPY">[1]Settings!$G$7</definedName>
    <definedName name="CurveEnablement.USD">[1]Settings!$G$5</definedName>
    <definedName name="CurveErrorsNativeCSAEUR">'[1]Multi-Curves'!$M$21</definedName>
    <definedName name="CurveErrorsNativeCSAGBP">'[1]Multi-Curves'!$M$32</definedName>
    <definedName name="CurveErrorsNativeCSAJPY">'[1]Multi-Curves'!$M$43</definedName>
    <definedName name="CurveErrorsNativeCSAUSD">'[1]Multi-Curves'!$M$10</definedName>
    <definedName name="Data.XccyBasis.EUR">'[1]Instrument Data'!$AO$120:$AR$219</definedName>
    <definedName name="Data.XccyBasis.GBP">'[1]Instrument Data'!$AO$227:$AR$326</definedName>
    <definedName name="Data.XccyBasis.JPY">'[1]Instrument Data'!$AO$334:$AR$433</definedName>
    <definedName name="Data.XccyBasis.USD">'[1]Instrument Data'!$AO$13:$AR$112</definedName>
    <definedName name="Display.CurveCalibration" localSheetId="1">USD_3ML!#REF!</definedName>
    <definedName name="Display.CurveCalibration" localSheetId="0">USD_OIS!#REF!</definedName>
    <definedName name="Display.Generator" localSheetId="1">USD_3ML!#REF!</definedName>
    <definedName name="Display.Generator" localSheetId="0">USD_OIS!$A:$A</definedName>
    <definedName name="EffectiveLag">'[1]EUR VNS Schedules'!$C$11</definedName>
    <definedName name="enableGlobalCalibration">[2]Settings!$E$4</definedName>
    <definedName name="EURBusinessDayAdjustment">'[1]Standard Swap Pricing'!$B$148</definedName>
    <definedName name="EURFixingCalendar">'[1]Standard Swap Pricing'!$B$149</definedName>
    <definedName name="ForwardCharts.TensionGap">'[1]Forward Charts'!$C$13</definedName>
    <definedName name="ForwardCurves.CurveID">'[1]Forward Charts'!$C$5</definedName>
    <definedName name="ForwardCurves.Data">'[1]Forward Charts'!$E$6:OFFSET('[1]Forward Charts'!$E$6,'[1]Forward Charts'!$B$20-1,0),'[1]Forward Charts'!$F$6:OFFSET('[1]Forward Charts'!$F$6,'[1]Forward Charts'!$B$20-1,1)</definedName>
    <definedName name="ForwardCurves.Dates">'[1]Forward Charts'!$E$6:OFFSET('[1]Forward Charts'!$E$6,'[1]Forward Charts'!$B$20-1,0)</definedName>
    <definedName name="ForwardCurves.DisplayYears">'[1]Forward Charts'!$C$9</definedName>
    <definedName name="ForwardCurves.Periodicity">'[1]Forward Charts'!$C$8</definedName>
    <definedName name="ForwardCurves.Values">'[1]Forward Charts'!$F$6:OFFSET('[1]Forward Charts'!$F$6,'[1]Forward Charts'!$E$25-1,0)</definedName>
    <definedName name="FRA.Conventions" localSheetId="1">USD_3ML!#REF!</definedName>
    <definedName name="FRA.MarketDataX3" localSheetId="1">USD_3ML!#REF!</definedName>
    <definedName name="FRA.MarketDataX6" localSheetId="1">USD_3ML!#REF!</definedName>
    <definedName name="FRAConv">'[1]USD Curve Config'!$AN$6:$AO$12</definedName>
    <definedName name="FRADatax3">'[1]USD Curve Config'!$AN$16:$AO$25</definedName>
    <definedName name="FRADatax6">'[1]USD Curve Config'!$AN$29:$AO$78</definedName>
    <definedName name="Futures.Conventions" localSheetId="1">USD_3ML!#REF!</definedName>
    <definedName name="Futures.MarketData" localSheetId="1">USD_3ML!#REF!</definedName>
    <definedName name="FuturesConv">'[1]USD Curve Config'!$AQ$6:$AR$12</definedName>
    <definedName name="FuturesData">'[1]USD Curve Config'!$AQ$16:$AU$78</definedName>
    <definedName name="FwdFXConstCurveNamesCombinedEUR">'[1]USD Curve Config'!$C$14</definedName>
    <definedName name="FwdFXConstCurveNamesCombinedGBP">'[1]USD Curve Config'!$C$15</definedName>
    <definedName name="FwdFXConstCurveNamesCombinedJPY">'[1]USD Curve Config'!$C$16</definedName>
    <definedName name="GBPAccrualCalendar">'[1]Standard Swap Pricing'!$B$166</definedName>
    <definedName name="GBPBusinessDayAdjustment">'[1]Standard Swap Pricing'!$B$164</definedName>
    <definedName name="Instruments.OIS.EUR">[1]Instruments!$B$120:$H$219</definedName>
    <definedName name="Instruments.OIS.GBP">[1]Instruments!$B$227:$H$326</definedName>
    <definedName name="Instruments.OIS.JPY">[1]Instruments!$B$334:$H$433</definedName>
    <definedName name="Instruments.OIS.USD">[1]Instruments!$B$13:$H$112</definedName>
    <definedName name="Instruments.Swaps.EUR">[1]Instruments!$J$120:$P$219</definedName>
    <definedName name="Instruments.Swaps.GBP">[1]Instruments!$J$227:$P$326</definedName>
    <definedName name="Instruments.Swaps.JPY">[1]Instruments!$J$334:$P$433</definedName>
    <definedName name="Instruments.Swaps.USD">[1]Instruments!$J$13:$P$112</definedName>
    <definedName name="Instruments.TenorBasis1.EUR">[1]Instruments!$R$120:$X$219</definedName>
    <definedName name="Instruments.TenorBasis1.GBP">[1]Instruments!$R$227:$X$326</definedName>
    <definedName name="Instruments.TenorBasis1.JPY">[1]Instruments!$R$334:$X$433</definedName>
    <definedName name="Instruments.TenorBasis1.USD">[1]Instruments!$R$13:$X$112</definedName>
    <definedName name="Instruments.TenorBasis2.EUR">[1]Instruments!$Z$120:$AF$219</definedName>
    <definedName name="Instruments.TenorBasis2.GBP">[1]Instruments!$Z$227:$AF$326</definedName>
    <definedName name="Instruments.TenorBasis2.JPY">[1]Instruments!$Z$334:$AF$433</definedName>
    <definedName name="Instruments.TenorBasis2.USD">[1]Instruments!$Z$13:$AF$112</definedName>
    <definedName name="Instruments.TenorBasis3.EUR">[1]Instruments!$AH$120:$AN$219</definedName>
    <definedName name="Instruments.TenorBasis3.GBP">[1]Instruments!$AH$227:$AN$326</definedName>
    <definedName name="Instruments.TenorBasis3.JPY">[1]Instruments!$AH$334:$AN$433</definedName>
    <definedName name="Instruments.TenorBasis3.USD">[1]Instruments!$AH$13:$AN$112</definedName>
    <definedName name="Instruments.XccyBasis.EUR">[1]Instruments!$AP$120:$AV$219</definedName>
    <definedName name="Instruments.XccyBasis.GBP">[1]Instruments!$AP$227:$AV$326</definedName>
    <definedName name="Instruments.XccyBasis.JPY">[1]Instruments!$AP$334:$AV$433</definedName>
    <definedName name="Instruments.XccyBasis.USD">[1]Instruments!$AP$13:$AV$112</definedName>
    <definedName name="isCNH3MLLoaded">#REF!</definedName>
    <definedName name="isOISCurveLoaded_JPYJSCC">'[1]JPY-LCH Curve'!$C$27</definedName>
    <definedName name="isSTDCurveLoaded_JPYJSCC">'[1]JPY-LCH Curve'!$C$59</definedName>
    <definedName name="isUSD3MLLoaded">USD_3ML!$D$32</definedName>
    <definedName name="isUSDOISLoaded">USD_OIS!$D$32</definedName>
    <definedName name="JPYAccrualCalendar">'[1]Standard Swap Pricing'!$B$174</definedName>
    <definedName name="JPYBusinessDayAdjustment">'[1]Standard Swap Pricing'!$B$172</definedName>
    <definedName name="Leg1Keys">'[1]EUR Tenor Basis'!$N$5:$AQ$5</definedName>
    <definedName name="Leg2Keys">'[1]EUR Tenor Basis'!$AS$5:$BX$5</definedName>
    <definedName name="Libor.Conventions" localSheetId="1">USD_3ML!#REF!</definedName>
    <definedName name="Libor.MarketData" localSheetId="1">USD_3ML!#REF!</definedName>
    <definedName name="LiborConv">'[1]USD Curve Config'!$AK$15:$AL$25</definedName>
    <definedName name="LiborData">'[1]USD Curve Config'!$AK$29:$AL$78</definedName>
    <definedName name="LiborOISBasis.Conventions">USD_OIS!#REF!</definedName>
    <definedName name="LiborOISBasis.MarketData">USD_OIS!#REF!</definedName>
    <definedName name="LiborSwap.Conventions">USD_OIS!#REF!</definedName>
    <definedName name="LiborSwap.MarketData">USD_OIS!#REF!</definedName>
    <definedName name="MaturityDate">'[1]EUR VNS Schedules'!$C$12</definedName>
    <definedName name="MoneyMarket.Conventions" localSheetId="1">USD_3ML!#REF!</definedName>
    <definedName name="MoneyMarketData">'[1]USD Curve Config'!$AK$8:$AL$12</definedName>
    <definedName name="OIS.Conventions">USD_OIS!#REF!</definedName>
    <definedName name="OIS.FixingTable">USD_OIS!#REF!</definedName>
    <definedName name="OIS.MarketData">USD_OIS!#REF!</definedName>
    <definedName name="OISConv">'[1]USD Curve Config'!$J$8:$K$24</definedName>
    <definedName name="OISCurveNamesCombined">'[1]USD Curve Config'!$C$8</definedName>
    <definedName name="OISHistoricalRates">'[1]USD Curve Config'!$S$9:$T$78</definedName>
    <definedName name="OISRates">'[1]USD Curve Config'!$M$9:$Q$78</definedName>
    <definedName name="Settings.COB">[2]Settings!$C$4</definedName>
    <definedName name="Settings.FrequencyLookupTable">[1]Settings!$B$206:$C$210</definedName>
    <definedName name="STDCurve.Buildproperties" localSheetId="1">USD_3ML!#REF!</definedName>
    <definedName name="STDCurve.CollectionName" localSheetId="1">USD_3ML!#REF!</definedName>
    <definedName name="STDCurve.IndexName" localSheetId="1">USD_3ML!#REF!</definedName>
    <definedName name="STDCurve.StaticDataTable" localSheetId="1">USD_3ML!#REF!</definedName>
    <definedName name="Swap.Conventions" localSheetId="1">USD_3ML!#REF!</definedName>
    <definedName name="Swap.MarketData" localSheetId="1">USD_3ML!#REF!</definedName>
    <definedName name="SwapCurveNamesCombined">'[1]USD Curve Config'!$C$9</definedName>
    <definedName name="SwapsConv">'[1]USD Curve Config'!$AW$8:$AX$78</definedName>
    <definedName name="SwapsData">'[1]USD Curve Config'!$AZ$9:$BB$78</definedName>
    <definedName name="TenorBasis1x3CurveNamesCombined">'[1]USD Curve Config'!$C$11</definedName>
    <definedName name="TenorBasis3x12CurveNamesCombined">'[1]USD Curve Config'!$C$12</definedName>
    <definedName name="TenorBasis3x6CurveNamesCombined">'[1]USD Curve Config'!$C$10</definedName>
    <definedName name="USDAccrualCalendar">'[1]Standard Swap Pricing'!$B$158</definedName>
    <definedName name="USDBusinessDayAdjustment">'[1]Standard Swap Pricing'!$B$156</definedName>
    <definedName name="YieldCurvePropertiesOIS">'[1]USD Curve Config'!$G$8:$H$24</definedName>
    <definedName name="YieldCurvePropertiesSTD">'[1]USD Curve Config'!$AH$8:$AI$78</definedName>
    <definedName name="YieldCurvePropertiesTenorBasis">'[1]USD Curve Config'!$BD$8:$BE$78</definedName>
  </definedNames>
  <calcPr calcId="145621" calcMode="manual" calcCompleted="0" calcOnSave="0" concurrentCalc="0"/>
</workbook>
</file>

<file path=xl/calcChain.xml><?xml version="1.0" encoding="utf-8"?>
<calcChain xmlns="http://schemas.openxmlformats.org/spreadsheetml/2006/main">
  <c r="C10" i="1" l="1"/>
  <c r="D10" i="1"/>
  <c r="G24" i="1"/>
  <c r="G30" i="1"/>
  <c r="G37" i="1"/>
  <c r="G36" i="1"/>
  <c r="G35" i="1"/>
  <c r="G9" i="1"/>
  <c r="G4" i="1"/>
  <c r="D8" i="3"/>
  <c r="D9" i="2"/>
  <c r="D14" i="2"/>
  <c r="D28" i="2" a="1"/>
  <c r="D28" i="2"/>
  <c r="D32" i="2"/>
  <c r="D29" i="2"/>
  <c r="D30" i="2"/>
  <c r="D31" i="2"/>
  <c r="D14" i="3"/>
  <c r="D28" i="3" a="1"/>
  <c r="D28" i="3"/>
  <c r="D32" i="3"/>
  <c r="D29" i="3"/>
  <c r="D30" i="3"/>
  <c r="D31" i="3"/>
</calcChain>
</file>

<file path=xl/sharedStrings.xml><?xml version="1.0" encoding="utf-8"?>
<sst xmlns="http://schemas.openxmlformats.org/spreadsheetml/2006/main" count="293" uniqueCount="154">
  <si>
    <t>ParRate</t>
  </si>
  <si>
    <t>PV</t>
  </si>
  <si>
    <t>PV01</t>
  </si>
  <si>
    <t>CreateSwap</t>
  </si>
  <si>
    <t>DealName</t>
  </si>
  <si>
    <t>CurveCollection</t>
  </si>
  <si>
    <t>LegType</t>
  </si>
  <si>
    <t>Leg1:Fixed</t>
  </si>
  <si>
    <t>Leg2:Float</t>
  </si>
  <si>
    <t>NotionalExchange</t>
  </si>
  <si>
    <t>Notional</t>
  </si>
  <si>
    <t>Amortization</t>
  </si>
  <si>
    <t>AmortFrequency</t>
  </si>
  <si>
    <t>PayReceive</t>
  </si>
  <si>
    <t>PAY</t>
  </si>
  <si>
    <t>RECEIVE</t>
  </si>
  <si>
    <t>EffectiveDate</t>
  </si>
  <si>
    <t>MaturityDate</t>
  </si>
  <si>
    <t>5Y</t>
  </si>
  <si>
    <t>Frequency</t>
  </si>
  <si>
    <t>Annual</t>
  </si>
  <si>
    <t>ForecastCurve</t>
  </si>
  <si>
    <t>DiscountCurve</t>
  </si>
  <si>
    <t>Currency</t>
  </si>
  <si>
    <t>CompoundMethod</t>
  </si>
  <si>
    <t>Leverage</t>
  </si>
  <si>
    <t>FixedRate</t>
  </si>
  <si>
    <t>FirstStubCurveIndex</t>
  </si>
  <si>
    <t>NATURAL</t>
  </si>
  <si>
    <t>LastStubCurveIndex</t>
  </si>
  <si>
    <t>FirstFixing</t>
  </si>
  <si>
    <t>LastFixing</t>
  </si>
  <si>
    <t>FloatSpread</t>
  </si>
  <si>
    <t>Daycount</t>
  </si>
  <si>
    <t>30/360</t>
  </si>
  <si>
    <t>ACT/360</t>
  </si>
  <si>
    <t>FixingBusinessDayAdjustment</t>
  </si>
  <si>
    <t>MOD_FOLLOWING</t>
  </si>
  <si>
    <t>FixingCalendar</t>
  </si>
  <si>
    <t>AccrualBusinessDayAdjustment</t>
  </si>
  <si>
    <t>AccrualCalendar</t>
  </si>
  <si>
    <t>ObjectName</t>
  </si>
  <si>
    <t>PaymentBusinessDayAdjustment</t>
  </si>
  <si>
    <t>ObjectType</t>
  </si>
  <si>
    <t>SWAP</t>
  </si>
  <si>
    <t>PaymentCalendar</t>
  </si>
  <si>
    <t>RollDay</t>
  </si>
  <si>
    <t>NORMAL</t>
  </si>
  <si>
    <t>FixingLag</t>
  </si>
  <si>
    <t>0D</t>
  </si>
  <si>
    <t>FixingAdvanceOrArrear</t>
  </si>
  <si>
    <t>ARREARS</t>
  </si>
  <si>
    <t>PaymentLag</t>
  </si>
  <si>
    <t>FirstStubDate</t>
  </si>
  <si>
    <t>LastStubDate</t>
  </si>
  <si>
    <t>StubType</t>
  </si>
  <si>
    <t>ShortStart</t>
  </si>
  <si>
    <t>MARKETDATAPROPERTIES</t>
  </si>
  <si>
    <t>OIS</t>
  </si>
  <si>
    <t>LIBOROISBASISSPREADS</t>
  </si>
  <si>
    <t xml:space="preserve"> </t>
  </si>
  <si>
    <t>SWAPS</t>
  </si>
  <si>
    <t>Term</t>
  </si>
  <si>
    <t>Rate</t>
  </si>
  <si>
    <t>StartDate</t>
  </si>
  <si>
    <t>EndDate</t>
  </si>
  <si>
    <t>Use</t>
  </si>
  <si>
    <t>USD</t>
  </si>
  <si>
    <t>ON</t>
  </si>
  <si>
    <t>4Y</t>
  </si>
  <si>
    <t>CurveType</t>
  </si>
  <si>
    <t>1W</t>
  </si>
  <si>
    <t>USDYC</t>
  </si>
  <si>
    <t>CurveIndexFrequency</t>
  </si>
  <si>
    <t>DAILY</t>
  </si>
  <si>
    <t>2W</t>
  </si>
  <si>
    <t>7Y</t>
  </si>
  <si>
    <t>AsOfDate</t>
  </si>
  <si>
    <t>3W</t>
  </si>
  <si>
    <t>10Y</t>
  </si>
  <si>
    <t>1M</t>
  </si>
  <si>
    <t>12Y</t>
  </si>
  <si>
    <t>2M</t>
  </si>
  <si>
    <t>15Y</t>
  </si>
  <si>
    <t>Create Market Data Handle</t>
  </si>
  <si>
    <t>3M</t>
  </si>
  <si>
    <t>20Y</t>
  </si>
  <si>
    <t>Handle Name</t>
  </si>
  <si>
    <t>USD_OIS_CURVE_MARKETDATA</t>
  </si>
  <si>
    <t>4M</t>
  </si>
  <si>
    <t>25Y</t>
  </si>
  <si>
    <t>Market Data Handle</t>
  </si>
  <si>
    <t>5M</t>
  </si>
  <si>
    <t>30Y</t>
  </si>
  <si>
    <t>6M</t>
  </si>
  <si>
    <t>9M</t>
  </si>
  <si>
    <t>1Y</t>
  </si>
  <si>
    <t>2Y</t>
  </si>
  <si>
    <t>Curve Dictionary</t>
  </si>
  <si>
    <t>USD_OIS_CURVE</t>
  </si>
  <si>
    <t>NYB:LNB</t>
  </si>
  <si>
    <t>Curve Generator</t>
  </si>
  <si>
    <t>USD_OIS</t>
  </si>
  <si>
    <t>Domestic Curve Collection</t>
  </si>
  <si>
    <t>Foreign Curve Collection</t>
  </si>
  <si>
    <t>Curve Build</t>
  </si>
  <si>
    <t>Curve Collection</t>
  </si>
  <si>
    <t>Curve Index</t>
  </si>
  <si>
    <t>Calibration Time Taken</t>
  </si>
  <si>
    <t>Curve Loaded</t>
  </si>
  <si>
    <t>3Y</t>
  </si>
  <si>
    <t>NONE</t>
  </si>
  <si>
    <t>ARITHMETIC</t>
  </si>
  <si>
    <t>QUARTERLY</t>
  </si>
  <si>
    <t>LIBORFIXINGS</t>
  </si>
  <si>
    <t>FRAS</t>
  </si>
  <si>
    <t>FUTURES</t>
  </si>
  <si>
    <t>Volatility</t>
  </si>
  <si>
    <t>8Y</t>
  </si>
  <si>
    <t>9Y</t>
  </si>
  <si>
    <t>USD_SWAP_3M_CURVE_MARKETDATA</t>
  </si>
  <si>
    <t>40Y</t>
  </si>
  <si>
    <t>50Y</t>
  </si>
  <si>
    <t>USD_SWAP_3M_CURVE</t>
  </si>
  <si>
    <t>USD_SWAP_3M</t>
  </si>
  <si>
    <t>Quarterly</t>
  </si>
  <si>
    <t>USD3ML</t>
  </si>
  <si>
    <t>USDOIS</t>
  </si>
  <si>
    <t>USD_LIBOR_IN_ARREARS</t>
  </si>
  <si>
    <t>EDM18</t>
  </si>
  <si>
    <t>EDU18</t>
  </si>
  <si>
    <t>EDZ18</t>
  </si>
  <si>
    <t>EDH9</t>
  </si>
  <si>
    <t>EDM9</t>
  </si>
  <si>
    <t>EDU9</t>
  </si>
  <si>
    <t>EDZ9</t>
  </si>
  <si>
    <t>EDH0</t>
  </si>
  <si>
    <t>VALUATION SETTINGS</t>
  </si>
  <si>
    <t>DEAL INFORMATION</t>
  </si>
  <si>
    <t>CREATE SWAP</t>
  </si>
  <si>
    <t>ValuationDate</t>
  </si>
  <si>
    <t>VolatilityModel</t>
  </si>
  <si>
    <t>VOLATILITY PARAMETERS</t>
  </si>
  <si>
    <t>CREATE VOLATILITY OBJECT</t>
  </si>
  <si>
    <t>VOLATILITY</t>
  </si>
  <si>
    <t>VolDataSource</t>
  </si>
  <si>
    <t>CAP</t>
  </si>
  <si>
    <t>LOGNORMAL</t>
  </si>
  <si>
    <t>ShiftSize</t>
  </si>
  <si>
    <t>USD_5Y_CAP_VOL</t>
  </si>
  <si>
    <t>VolType</t>
  </si>
  <si>
    <t>PRICING</t>
  </si>
  <si>
    <t>CreateVol</t>
  </si>
  <si>
    <t>USD_5Y_CAP_VOL@2:61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</si>
</sst>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164" formatCode="_-* #,##0_-;\-* #,##0_-;_-* &quot;-&quot;_-;_-@_-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0.00000%"/>
    <numFmt numFmtId="168" formatCode="ddd\ d\-mmm\-yy"/>
    <numFmt numFmtId="169" formatCode="#,##0.0000"/>
    <numFmt numFmtId="170" formatCode="ddd\,\ d\-mmm\-yy"/>
    <numFmt numFmtId="171" formatCode="0.000%"/>
    <numFmt numFmtId="172" formatCode="dd/m/yy"/>
    <numFmt numFmtId="173" formatCode="_(&quot;$&quot;* #,##0_);_(&quot;$&quot;* \(#,##0\);_(&quot;$&quot;* &quot;-&quot;_);_(@_)"/>
    <numFmt numFmtId="174" formatCode="_(&quot;$&quot;* #,##0.00_);_(&quot;$&quot;* \(#,##0.00\);_(&quot;$&quot;* &quot;-&quot;??_);_(@_)"/>
    <numFmt numFmtId="175" formatCode="dd\-mmm\-yy;dd\-mmm\-yy;"/>
    <numFmt numFmtId="176" formatCode="_ * #,##0_ ;_ * \-#,##0_ ;_ * &quot;-&quot;_ ;_ @_ "/>
    <numFmt numFmtId="177" formatCode="0.0000000000000000000000"/>
    <numFmt numFmtId="178" formatCode="0.0000%"/>
    <numFmt numFmtId="179" formatCode="#,##0.000"/>
    <numFmt numFmtId="180" formatCode="0\ &quot; days&quot;"/>
    <numFmt numFmtId="181" formatCode="mmm\-yyyy"/>
    <numFmt numFmtId="182" formatCode="0.000"/>
    <numFmt numFmtId="183" formatCode="0.00_)"/>
    <numFmt numFmtId="184" formatCode="ddd\,\ dd\-mmm\-yy"/>
  </numFmts>
  <fonts count="9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ourier"/>
      <family val="3"/>
    </font>
    <font>
      <sz val="8"/>
      <name val="Arial"/>
      <family val="2"/>
    </font>
    <font>
      <b/>
      <sz val="9"/>
      <color indexed="12"/>
      <name val="Tahoma"/>
      <family val="2"/>
    </font>
    <font>
      <sz val="11"/>
      <name val="ＭＳ Ｐゴシック"/>
      <family val="3"/>
      <charset val="128"/>
    </font>
    <font>
      <sz val="11"/>
      <name val="Times New Roman"/>
      <family val="1"/>
    </font>
    <font>
      <sz val="10"/>
      <name val="Arial"/>
      <family val="2"/>
    </font>
    <font>
      <sz val="10"/>
      <name val="MS Sans Serif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name val="MS Sans Serif"/>
      <family val="2"/>
    </font>
    <font>
      <b/>
      <sz val="10"/>
      <name val="Helv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b/>
      <i/>
      <sz val="9"/>
      <color indexed="16"/>
      <name val="Verdana"/>
      <family val="2"/>
    </font>
    <font>
      <b/>
      <sz val="8"/>
      <name val="Tahoma"/>
      <family val="2"/>
    </font>
    <font>
      <sz val="10"/>
      <name val="Helv"/>
      <family val="2"/>
    </font>
    <font>
      <b/>
      <sz val="10"/>
      <color indexed="12"/>
      <name val="Tahoma"/>
      <family val="2"/>
    </font>
    <font>
      <sz val="11"/>
      <color theme="1"/>
      <name val="Calibri"/>
      <family val="3"/>
      <charset val="128"/>
      <scheme val="minor"/>
    </font>
    <font>
      <i/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sz val="8"/>
      <color indexed="8"/>
      <name val="MS Sans Serif"/>
      <family val="2"/>
    </font>
    <font>
      <b/>
      <sz val="8"/>
      <color indexed="14"/>
      <name val="Arial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b/>
      <i/>
      <sz val="8"/>
      <name val="Helv"/>
    </font>
    <font>
      <sz val="8"/>
      <color indexed="10"/>
      <name val="Helv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</fonts>
  <fills count="8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mediumGray">
        <fgColor indexed="17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</patternFill>
    </fill>
    <fill>
      <patternFill patternType="solid">
        <fgColor indexed="43"/>
        <bgColor indexed="64"/>
      </patternFill>
    </fill>
    <fill>
      <patternFill patternType="solid">
        <fgColor indexed="19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5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hair">
        <color indexed="8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7361">
    <xf numFmtId="0" fontId="0" fillId="0" borderId="0"/>
    <xf numFmtId="0" fontId="7" fillId="0" borderId="0">
      <alignment vertical="center"/>
    </xf>
    <xf numFmtId="0" fontId="8" fillId="4" borderId="0" applyNumberFormat="0" applyFont="0" applyBorder="0" applyAlignment="0" applyProtection="0"/>
    <xf numFmtId="171" fontId="9" fillId="5" borderId="0"/>
    <xf numFmtId="38" fontId="1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6" borderId="6" applyNumberFormat="0" applyFont="0" applyBorder="0" applyAlignment="0" applyProtection="0">
      <alignment horizontal="centerContinuous"/>
    </xf>
    <xf numFmtId="0" fontId="14" fillId="7" borderId="0" applyNumberFormat="0" applyBorder="0" applyAlignment="0">
      <alignment horizontal="center"/>
    </xf>
    <xf numFmtId="0" fontId="15" fillId="8" borderId="7">
      <alignment horizontal="center"/>
      <protection locked="0"/>
    </xf>
    <xf numFmtId="0" fontId="16" fillId="9" borderId="8" applyNumberFormat="0" applyFont="0" applyBorder="0" applyAlignment="0">
      <alignment horizontal="centerContinuous"/>
    </xf>
    <xf numFmtId="0" fontId="17" fillId="10" borderId="0" applyNumberFormat="0" applyFont="0" applyBorder="0" applyAlignment="0" applyProtection="0"/>
    <xf numFmtId="2" fontId="12" fillId="11" borderId="9" applyNumberFormat="0" applyBorder="0">
      <alignment horizontal="right" vertical="center"/>
    </xf>
    <xf numFmtId="2" fontId="18" fillId="12" borderId="10" applyBorder="0">
      <alignment horizontal="left" vertical="center"/>
    </xf>
    <xf numFmtId="10" fontId="19" fillId="13" borderId="0" applyBorder="0">
      <alignment horizontal="right"/>
      <protection locked="0"/>
    </xf>
    <xf numFmtId="15" fontId="19" fillId="13" borderId="11" applyBorder="0">
      <alignment horizontal="center"/>
      <protection locked="0"/>
    </xf>
    <xf numFmtId="15" fontId="19" fillId="13" borderId="0" applyBorder="0">
      <alignment horizontal="left"/>
      <protection locked="0"/>
    </xf>
    <xf numFmtId="2" fontId="20" fillId="14" borderId="10" applyNumberFormat="0">
      <alignment horizontal="center" vertical="center"/>
    </xf>
    <xf numFmtId="172" fontId="21" fillId="15" borderId="8" applyBorder="0">
      <alignment horizontal="left"/>
      <protection locked="0"/>
    </xf>
    <xf numFmtId="172" fontId="21" fillId="15" borderId="12" applyBorder="0">
      <alignment horizontal="right"/>
      <protection locked="0"/>
    </xf>
    <xf numFmtId="16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0" fontId="12" fillId="0" borderId="0"/>
    <xf numFmtId="0" fontId="10" fillId="0" borderId="0">
      <alignment vertical="center"/>
    </xf>
    <xf numFmtId="0" fontId="11" fillId="0" borderId="0">
      <alignment vertical="center"/>
    </xf>
    <xf numFmtId="0" fontId="22" fillId="16" borderId="0" applyNumberFormat="0" applyFont="0" applyBorder="0" applyAlignment="0" applyProtection="0"/>
    <xf numFmtId="0" fontId="22" fillId="17" borderId="0" applyNumberFormat="0" applyFont="0" applyBorder="0" applyAlignment="0" applyProtection="0"/>
    <xf numFmtId="0" fontId="22" fillId="18" borderId="0" applyNumberFormat="0" applyFont="0" applyBorder="0" applyAlignment="0" applyProtection="0">
      <alignment horizontal="center"/>
    </xf>
    <xf numFmtId="0" fontId="22" fillId="19" borderId="13" applyNumberFormat="0" applyFont="0" applyBorder="0" applyAlignment="0" applyProtection="0"/>
    <xf numFmtId="0" fontId="22" fillId="20" borderId="13" applyNumberFormat="0" applyFont="0" applyBorder="0" applyAlignment="0"/>
    <xf numFmtId="0" fontId="22" fillId="21" borderId="13" applyNumberFormat="0" applyFont="0" applyBorder="0" applyAlignment="0"/>
    <xf numFmtId="0" fontId="8" fillId="22" borderId="0" applyNumberFormat="0" applyFont="0" applyBorder="0" applyAlignment="0" applyProtection="0">
      <alignment horizontal="center"/>
      <protection hidden="1"/>
    </xf>
    <xf numFmtId="0" fontId="12" fillId="4" borderId="0" applyNumberFormat="0" applyFont="0" applyBorder="0" applyAlignment="0" applyProtection="0">
      <protection hidden="1"/>
    </xf>
    <xf numFmtId="0" fontId="12" fillId="23" borderId="0" applyNumberFormat="0" applyFont="0" applyBorder="0" applyAlignment="0" applyProtection="0">
      <protection hidden="1"/>
    </xf>
    <xf numFmtId="0" fontId="12" fillId="24" borderId="0" applyNumberFormat="0" applyFont="0" applyBorder="0" applyAlignment="0" applyProtection="0">
      <protection hidden="1"/>
    </xf>
    <xf numFmtId="0" fontId="12" fillId="25" borderId="0" applyNumberFormat="0" applyFont="0" applyBorder="0" applyAlignment="0" applyProtection="0">
      <protection hidden="1"/>
    </xf>
    <xf numFmtId="0" fontId="12" fillId="26" borderId="0" applyNumberFormat="0" applyFont="0" applyBorder="0" applyAlignment="0" applyProtection="0">
      <protection hidden="1"/>
    </xf>
    <xf numFmtId="0" fontId="12" fillId="27" borderId="0" applyNumberFormat="0" applyFont="0" applyBorder="0" applyAlignment="0" applyProtection="0">
      <protection hidden="1"/>
    </xf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5" fontId="23" fillId="0" borderId="14" applyBorder="0">
      <alignment horizontal="center"/>
      <protection locked="0"/>
    </xf>
    <xf numFmtId="0" fontId="12" fillId="0" borderId="0">
      <alignment horizontal="left" wrapText="1"/>
    </xf>
    <xf numFmtId="9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/>
    <xf numFmtId="0" fontId="10" fillId="0" borderId="0">
      <alignment vertical="center"/>
    </xf>
    <xf numFmtId="0" fontId="24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/>
    <xf numFmtId="9" fontId="13" fillId="0" borderId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30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3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1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28" borderId="0" applyNumberFormat="0" applyBorder="0" applyAlignment="0" applyProtection="0"/>
    <xf numFmtId="0" fontId="30" fillId="36" borderId="0" applyNumberFormat="0" applyBorder="0" applyAlignment="0" applyProtection="0"/>
    <xf numFmtId="0" fontId="30" fillId="30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1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28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15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15" borderId="0" applyNumberFormat="0" applyBorder="0" applyAlignment="0" applyProtection="0"/>
    <xf numFmtId="0" fontId="30" fillId="36" borderId="0" applyNumberFormat="0" applyBorder="0" applyAlignment="0" applyProtection="0"/>
    <xf numFmtId="0" fontId="30" fillId="40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2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45" borderId="0" applyNumberFormat="0" applyBorder="0" applyAlignment="0" applyProtection="0"/>
    <xf numFmtId="0" fontId="30" fillId="46" borderId="0" applyNumberFormat="0" applyBorder="0" applyAlignment="0" applyProtection="0"/>
    <xf numFmtId="0" fontId="30" fillId="33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50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15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15" borderId="0" applyNumberFormat="0" applyBorder="0" applyAlignment="0" applyProtection="0"/>
    <xf numFmtId="0" fontId="31" fillId="51" borderId="0" applyNumberFormat="0" applyBorder="0" applyAlignment="0" applyProtection="0"/>
    <xf numFmtId="0" fontId="31" fillId="40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47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5" borderId="0" applyNumberFormat="0" applyBorder="0" applyAlignment="0" applyProtection="0"/>
    <xf numFmtId="0" fontId="31" fillId="52" borderId="0" applyNumberFormat="0" applyBorder="0" applyAlignment="0" applyProtection="0"/>
    <xf numFmtId="0" fontId="31" fillId="41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3" borderId="0" applyNumberFormat="0" applyBorder="0" applyAlignment="0" applyProtection="0"/>
    <xf numFmtId="0" fontId="31" fillId="54" borderId="0" applyNumberFormat="0" applyBorder="0" applyAlignment="0" applyProtection="0"/>
    <xf numFmtId="0" fontId="31" fillId="49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5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7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3" borderId="0" applyNumberFormat="0" applyBorder="0" applyAlignment="0" applyProtection="0"/>
    <xf numFmtId="0" fontId="31" fillId="51" borderId="0" applyNumberFormat="0" applyBorder="0" applyAlignment="0" applyProtection="0"/>
    <xf numFmtId="0" fontId="31" fillId="59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51" borderId="0" applyNumberFormat="0" applyBorder="0" applyAlignment="0" applyProtection="0"/>
    <xf numFmtId="0" fontId="31" fillId="60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50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2" fillId="0" borderId="29" applyNumberFormat="0" applyFill="0" applyAlignment="0" applyProtection="0">
      <alignment horizontal="left"/>
    </xf>
    <xf numFmtId="0" fontId="33" fillId="0" borderId="29">
      <protection hidden="1"/>
    </xf>
    <xf numFmtId="0" fontId="12" fillId="15" borderId="0"/>
    <xf numFmtId="0" fontId="12" fillId="15" borderId="0"/>
    <xf numFmtId="0" fontId="12" fillId="15" borderId="0"/>
    <xf numFmtId="0" fontId="12" fillId="15" borderId="0"/>
    <xf numFmtId="0" fontId="12" fillId="15" borderId="0"/>
    <xf numFmtId="0" fontId="12" fillId="15" borderId="0"/>
    <xf numFmtId="0" fontId="12" fillId="15" borderId="0"/>
    <xf numFmtId="0" fontId="34" fillId="62" borderId="0" applyNumberFormat="0" applyBorder="0" applyAlignment="0" applyProtection="0"/>
    <xf numFmtId="0" fontId="35" fillId="32" borderId="0" applyNumberFormat="0" applyBorder="0" applyAlignment="0" applyProtection="0"/>
    <xf numFmtId="0" fontId="36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7" fillId="63" borderId="0"/>
    <xf numFmtId="0" fontId="38" fillId="64" borderId="0" applyNumberFormat="0" applyFont="0" applyBorder="0" applyAlignment="0" applyProtection="0">
      <alignment horizontal="center"/>
    </xf>
    <xf numFmtId="0" fontId="39" fillId="0" borderId="0">
      <alignment horizontal="right"/>
    </xf>
    <xf numFmtId="0" fontId="40" fillId="13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0" fillId="13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3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41" fillId="40" borderId="30" applyNumberFormat="0" applyAlignment="0" applyProtection="0"/>
    <xf numFmtId="0" fontId="37" fillId="57" borderId="31" applyNumberFormat="0" applyAlignment="0" applyProtection="0"/>
    <xf numFmtId="0" fontId="37" fillId="65" borderId="31" applyNumberFormat="0" applyAlignment="0" applyProtection="0"/>
    <xf numFmtId="0" fontId="37" fillId="65" borderId="31" applyNumberFormat="0" applyAlignment="0" applyProtection="0"/>
    <xf numFmtId="0" fontId="37" fillId="65" borderId="31" applyNumberFormat="0" applyAlignment="0" applyProtection="0"/>
    <xf numFmtId="0" fontId="42" fillId="0" borderId="29" applyNumberFormat="0" applyBorder="0" applyAlignment="0" applyProtection="0">
      <alignment horizontal="left"/>
    </xf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0" fontId="43" fillId="0" borderId="0" applyFont="0" applyFill="0" applyBorder="0" applyAlignment="0" applyProtection="0">
      <alignment vertical="center"/>
    </xf>
    <xf numFmtId="40" fontId="43" fillId="0" borderId="0" applyFont="0" applyFill="0" applyBorder="0" applyAlignment="0" applyProtection="0">
      <alignment vertical="center"/>
    </xf>
    <xf numFmtId="40" fontId="43" fillId="0" borderId="0" applyFont="0" applyFill="0" applyBorder="0" applyAlignment="0" applyProtection="0">
      <alignment vertical="center"/>
    </xf>
    <xf numFmtId="40" fontId="43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4" fillId="0" borderId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45" fillId="0" borderId="0">
      <alignment horizontal="right"/>
    </xf>
    <xf numFmtId="15" fontId="46" fillId="66" borderId="32" applyFont="0" applyFill="0" applyBorder="0" applyAlignment="0" applyProtection="0">
      <alignment horizontal="left"/>
    </xf>
    <xf numFmtId="17" fontId="46" fillId="66" borderId="32" applyFont="0" applyFill="0" applyBorder="0" applyAlignment="0" applyProtection="0">
      <alignment horizontal="left"/>
    </xf>
    <xf numFmtId="0" fontId="46" fillId="66" borderId="0">
      <alignment vertical="center"/>
    </xf>
    <xf numFmtId="180" fontId="46" fillId="0" borderId="0" applyFont="0" applyFill="0" applyBorder="0" applyAlignment="0" applyProtection="0"/>
    <xf numFmtId="0" fontId="8" fillId="1" borderId="11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57" borderId="0"/>
    <xf numFmtId="181" fontId="49" fillId="67" borderId="33" applyBorder="0"/>
    <xf numFmtId="0" fontId="12" fillId="42" borderId="11"/>
    <xf numFmtId="0" fontId="12" fillId="42" borderId="11"/>
    <xf numFmtId="0" fontId="12" fillId="42" borderId="11"/>
    <xf numFmtId="0" fontId="12" fillId="42" borderId="11"/>
    <xf numFmtId="182" fontId="50" fillId="13" borderId="0"/>
    <xf numFmtId="0" fontId="51" fillId="68" borderId="11"/>
    <xf numFmtId="181" fontId="49" fillId="0" borderId="11"/>
    <xf numFmtId="181" fontId="49" fillId="69" borderId="11"/>
    <xf numFmtId="181" fontId="49" fillId="70" borderId="34" applyBorder="0"/>
    <xf numFmtId="181" fontId="49" fillId="71" borderId="11"/>
    <xf numFmtId="0" fontId="52" fillId="13" borderId="11"/>
    <xf numFmtId="0" fontId="48" fillId="72" borderId="11"/>
    <xf numFmtId="0" fontId="53" fillId="73" borderId="35" applyBorder="0">
      <alignment horizontal="right"/>
    </xf>
    <xf numFmtId="38" fontId="12" fillId="0" borderId="11"/>
    <xf numFmtId="0" fontId="12" fillId="0" borderId="11"/>
    <xf numFmtId="0" fontId="12" fillId="31" borderId="11"/>
    <xf numFmtId="0" fontId="12" fillId="31" borderId="11"/>
    <xf numFmtId="0" fontId="12" fillId="31" borderId="11"/>
    <xf numFmtId="0" fontId="12" fillId="31" borderId="11"/>
    <xf numFmtId="181" fontId="49" fillId="69" borderId="11"/>
    <xf numFmtId="0" fontId="54" fillId="67" borderId="36">
      <alignment horizontal="center"/>
    </xf>
    <xf numFmtId="181" fontId="49" fillId="13" borderId="11"/>
    <xf numFmtId="0" fontId="55" fillId="74" borderId="0"/>
    <xf numFmtId="0" fontId="56" fillId="0" borderId="0"/>
    <xf numFmtId="0" fontId="57" fillId="0" borderId="0" applyNumberFormat="0" applyFill="0" applyBorder="0" applyAlignment="0" applyProtection="0"/>
    <xf numFmtId="0" fontId="58" fillId="57" borderId="0">
      <alignment horizontal="center"/>
    </xf>
    <xf numFmtId="0" fontId="59" fillId="42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60" fillId="15" borderId="11" applyProtection="0">
      <alignment horizontal="center"/>
      <protection locked="0"/>
    </xf>
    <xf numFmtId="0" fontId="61" fillId="0" borderId="37" applyNumberFormat="0" applyFill="0" applyAlignment="0" applyProtection="0"/>
    <xf numFmtId="0" fontId="62" fillId="0" borderId="38" applyNumberFormat="0" applyFill="0" applyAlignment="0" applyProtection="0"/>
    <xf numFmtId="0" fontId="61" fillId="0" borderId="39" applyNumberFormat="0" applyFill="0" applyAlignment="0" applyProtection="0"/>
    <xf numFmtId="0" fontId="62" fillId="0" borderId="38" applyNumberFormat="0" applyFill="0" applyAlignment="0" applyProtection="0"/>
    <xf numFmtId="0" fontId="62" fillId="0" borderId="38" applyNumberFormat="0" applyFill="0" applyAlignment="0" applyProtection="0"/>
    <xf numFmtId="0" fontId="62" fillId="0" borderId="38" applyNumberFormat="0" applyFill="0" applyAlignment="0" applyProtection="0"/>
    <xf numFmtId="0" fontId="62" fillId="0" borderId="38" applyNumberFormat="0" applyFill="0" applyAlignment="0" applyProtection="0"/>
    <xf numFmtId="0" fontId="63" fillId="0" borderId="40" applyNumberFormat="0" applyFill="0" applyAlignment="0" applyProtection="0"/>
    <xf numFmtId="0" fontId="64" fillId="0" borderId="41" applyNumberFormat="0" applyFill="0" applyAlignment="0" applyProtection="0"/>
    <xf numFmtId="0" fontId="63" fillId="0" borderId="41" applyNumberFormat="0" applyFill="0" applyAlignment="0" applyProtection="0"/>
    <xf numFmtId="0" fontId="64" fillId="0" borderId="41" applyNumberFormat="0" applyFill="0" applyAlignment="0" applyProtection="0"/>
    <xf numFmtId="0" fontId="64" fillId="0" borderId="41" applyNumberFormat="0" applyFill="0" applyAlignment="0" applyProtection="0"/>
    <xf numFmtId="0" fontId="64" fillId="0" borderId="41" applyNumberFormat="0" applyFill="0" applyAlignment="0" applyProtection="0"/>
    <xf numFmtId="0" fontId="65" fillId="0" borderId="42" applyNumberFormat="0" applyFill="0" applyAlignment="0" applyProtection="0"/>
    <xf numFmtId="0" fontId="66" fillId="0" borderId="43" applyNumberFormat="0" applyFill="0" applyAlignment="0" applyProtection="0"/>
    <xf numFmtId="0" fontId="65" fillId="0" borderId="44" applyNumberFormat="0" applyFill="0" applyAlignment="0" applyProtection="0"/>
    <xf numFmtId="0" fontId="66" fillId="0" borderId="43" applyNumberFormat="0" applyFill="0" applyAlignment="0" applyProtection="0"/>
    <xf numFmtId="0" fontId="66" fillId="0" borderId="43" applyNumberFormat="0" applyFill="0" applyAlignment="0" applyProtection="0"/>
    <xf numFmtId="0" fontId="66" fillId="0" borderId="43" applyNumberFormat="0" applyFill="0" applyAlignment="0" applyProtection="0"/>
    <xf numFmtId="0" fontId="66" fillId="0" borderId="43" applyNumberFormat="0" applyFill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8" fillId="0" borderId="0"/>
    <xf numFmtId="0" fontId="69" fillId="45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45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69" fillId="33" borderId="30" applyNumberFormat="0" applyAlignment="0" applyProtection="0"/>
    <xf numFmtId="0" fontId="70" fillId="75" borderId="0" applyFont="0" applyFill="0" applyBorder="0" applyAlignment="0" applyProtection="0">
      <alignment horizontal="right" vertical="center"/>
    </xf>
    <xf numFmtId="0" fontId="71" fillId="0" borderId="29" applyNumberFormat="0" applyFill="0" applyBorder="0" applyAlignment="0" applyProtection="0"/>
    <xf numFmtId="0" fontId="72" fillId="0" borderId="45" applyNumberFormat="0" applyFill="0" applyAlignment="0" applyProtection="0"/>
    <xf numFmtId="0" fontId="73" fillId="0" borderId="45" applyNumberFormat="0" applyFill="0" applyAlignment="0" applyProtection="0"/>
    <xf numFmtId="0" fontId="73" fillId="0" borderId="45" applyNumberFormat="0" applyFill="0" applyAlignment="0" applyProtection="0"/>
    <xf numFmtId="0" fontId="73" fillId="0" borderId="45" applyNumberFormat="0" applyFill="0" applyAlignment="0" applyProtection="0"/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74" fillId="13" borderId="46" applyFont="0">
      <alignment horizontal="center" vertical="center"/>
    </xf>
    <xf numFmtId="0" fontId="53" fillId="0" borderId="36"/>
    <xf numFmtId="0" fontId="8" fillId="0" borderId="0"/>
    <xf numFmtId="0" fontId="75" fillId="0" borderId="29">
      <alignment horizontal="left"/>
      <protection locked="0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76" fillId="76" borderId="0" applyNumberFormat="0" applyBorder="0" applyAlignment="0" applyProtection="0"/>
    <xf numFmtId="0" fontId="77" fillId="44" borderId="0" applyNumberFormat="0" applyBorder="0" applyAlignment="0" applyProtection="0"/>
    <xf numFmtId="0" fontId="77" fillId="44" borderId="0" applyNumberFormat="0" applyBorder="0" applyAlignment="0" applyProtection="0"/>
    <xf numFmtId="0" fontId="77" fillId="44" borderId="0" applyNumberFormat="0" applyBorder="0" applyAlignment="0" applyProtection="0"/>
    <xf numFmtId="183" fontId="7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31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1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12" fillId="35" borderId="46" applyNumberFormat="0" applyFont="0" applyAlignment="0" applyProtection="0"/>
    <xf numFmtId="0" fontId="79" fillId="0" borderId="29" applyNumberFormat="0" applyFill="0" applyBorder="0" applyAlignment="0" applyProtection="0">
      <alignment horizontal="left"/>
      <protection locked="0"/>
    </xf>
    <xf numFmtId="0" fontId="80" fillId="13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13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3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0" fontId="80" fillId="40" borderId="47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46" fillId="66" borderId="32" applyFont="0" applyFill="0" applyBorder="0" applyAlignment="0" applyProtection="0">
      <alignment horizontal="left"/>
    </xf>
    <xf numFmtId="0" fontId="81" fillId="0" borderId="14" applyBorder="0"/>
    <xf numFmtId="0" fontId="46" fillId="77" borderId="0" applyFont="0" applyFill="0" applyBorder="0">
      <alignment horizontal="left"/>
    </xf>
    <xf numFmtId="0" fontId="82" fillId="0" borderId="0"/>
    <xf numFmtId="0" fontId="12" fillId="0" borderId="0"/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83" fillId="13" borderId="46">
      <alignment horizontal="center" vertical="center"/>
    </xf>
    <xf numFmtId="0" fontId="12" fillId="0" borderId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 applyNumberFormat="0" applyFill="0" applyBorder="0" applyAlignment="0" applyProtection="0"/>
    <xf numFmtId="0" fontId="12" fillId="13" borderId="11" applyAlignment="0">
      <alignment horizontal="right"/>
    </xf>
    <xf numFmtId="0" fontId="12" fillId="13" borderId="11" applyAlignment="0">
      <alignment horizontal="right"/>
    </xf>
    <xf numFmtId="0" fontId="84" fillId="0" borderId="0"/>
    <xf numFmtId="0" fontId="85" fillId="0" borderId="0"/>
    <xf numFmtId="0" fontId="86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9" fillId="0" borderId="0">
      <alignment horizontal="center"/>
    </xf>
    <xf numFmtId="0" fontId="90" fillId="40" borderId="29"/>
    <xf numFmtId="0" fontId="91" fillId="0" borderId="48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48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50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1" fillId="0" borderId="49" applyNumberFormat="0" applyFill="0" applyAlignment="0" applyProtection="0"/>
    <xf numFmtId="0" fontId="92" fillId="15" borderId="0" applyNumberFormat="0" applyFont="0" applyBorder="0" applyAlignment="0" applyProtection="0">
      <alignment horizontal="left"/>
    </xf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</cellStyleXfs>
  <cellXfs count="154">
    <xf numFmtId="0" fontId="0" fillId="0" borderId="0" xfId="0"/>
    <xf numFmtId="167" fontId="4" fillId="0" borderId="1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0" fillId="3" borderId="1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4" fontId="0" fillId="3" borderId="2" xfId="0" applyNumberFormat="1" applyFont="1" applyFill="1" applyBorder="1" applyAlignment="1">
      <alignment horizontal="center" vertical="center"/>
    </xf>
    <xf numFmtId="167" fontId="5" fillId="3" borderId="2" xfId="0" applyNumberFormat="1" applyFont="1" applyFill="1" applyBorder="1" applyAlignment="1">
      <alignment horizontal="center" vertical="center"/>
    </xf>
    <xf numFmtId="0" fontId="2" fillId="0" borderId="0" xfId="0" applyFont="1"/>
    <xf numFmtId="0" fontId="0" fillId="2" borderId="4" xfId="0" applyFill="1" applyBorder="1"/>
    <xf numFmtId="0" fontId="0" fillId="3" borderId="1" xfId="0" applyFill="1" applyBorder="1" applyAlignment="1">
      <alignment horizontal="left" vertical="center"/>
    </xf>
    <xf numFmtId="0" fontId="5" fillId="3" borderId="2" xfId="0" quotePrefix="1" applyFont="1" applyFill="1" applyBorder="1" applyAlignment="1">
      <alignment horizontal="center" vertical="center"/>
    </xf>
    <xf numFmtId="0" fontId="0" fillId="2" borderId="5" xfId="0" applyFill="1" applyBorder="1"/>
    <xf numFmtId="0" fontId="0" fillId="3" borderId="2" xfId="0" applyFill="1" applyBorder="1" applyAlignment="1">
      <alignment horizontal="center"/>
    </xf>
    <xf numFmtId="170" fontId="0" fillId="3" borderId="2" xfId="0" applyNumberFormat="1" applyFill="1" applyBorder="1" applyAlignment="1">
      <alignment horizontal="center"/>
    </xf>
    <xf numFmtId="0" fontId="5" fillId="3" borderId="3" xfId="0" quotePrefix="1" applyFont="1" applyFill="1" applyBorder="1" applyAlignment="1">
      <alignment horizontal="center" vertical="center"/>
    </xf>
    <xf numFmtId="0" fontId="25" fillId="0" borderId="0" xfId="0" applyFont="1"/>
    <xf numFmtId="177" fontId="0" fillId="0" borderId="0" xfId="0" applyNumberFormat="1"/>
    <xf numFmtId="4" fontId="0" fillId="0" borderId="0" xfId="0" applyNumberFormat="1"/>
    <xf numFmtId="0" fontId="26" fillId="2" borderId="15" xfId="0" applyFont="1" applyFill="1" applyBorder="1"/>
    <xf numFmtId="0" fontId="3" fillId="2" borderId="15" xfId="0" applyFont="1" applyFill="1" applyBorder="1" applyAlignment="1">
      <alignment horizontal="center" vertical="center"/>
    </xf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3" borderId="1" xfId="0" applyFill="1" applyBorder="1"/>
    <xf numFmtId="0" fontId="0" fillId="2" borderId="0" xfId="0" applyFill="1" applyBorder="1"/>
    <xf numFmtId="0" fontId="0" fillId="2" borderId="18" xfId="0" applyFill="1" applyBorder="1"/>
    <xf numFmtId="0" fontId="26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26" fillId="2" borderId="0" xfId="0" applyFont="1" applyFill="1"/>
    <xf numFmtId="0" fontId="27" fillId="2" borderId="0" xfId="0" applyFont="1" applyFill="1" applyBorder="1" applyAlignment="1">
      <alignment horizontal="center" vertical="center"/>
    </xf>
    <xf numFmtId="0" fontId="0" fillId="2" borderId="0" xfId="0" applyFill="1"/>
    <xf numFmtId="0" fontId="5" fillId="2" borderId="19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1" xfId="0" applyFont="1" applyFill="1" applyBorder="1"/>
    <xf numFmtId="0" fontId="0" fillId="3" borderId="1" xfId="0" applyFont="1" applyFill="1" applyBorder="1" applyAlignment="1">
      <alignment horizontal="left" vertical="center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left" vertical="center"/>
    </xf>
    <xf numFmtId="0" fontId="0" fillId="3" borderId="3" xfId="0" applyFill="1" applyBorder="1"/>
    <xf numFmtId="0" fontId="0" fillId="3" borderId="3" xfId="0" applyFont="1" applyFill="1" applyBorder="1"/>
    <xf numFmtId="0" fontId="0" fillId="2" borderId="19" xfId="0" applyFill="1" applyBorder="1"/>
    <xf numFmtId="0" fontId="0" fillId="2" borderId="20" xfId="0" applyFill="1" applyBorder="1"/>
    <xf numFmtId="0" fontId="2" fillId="2" borderId="0" xfId="0" applyFont="1" applyFill="1"/>
    <xf numFmtId="0" fontId="28" fillId="3" borderId="3" xfId="0" applyFont="1" applyFill="1" applyBorder="1" applyAlignment="1">
      <alignment horizontal="left" vertic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left" vertical="center"/>
    </xf>
    <xf numFmtId="0" fontId="0" fillId="0" borderId="2" xfId="0" applyFont="1" applyFill="1" applyBorder="1"/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/>
    <xf numFmtId="0" fontId="0" fillId="0" borderId="3" xfId="0" applyFont="1" applyFill="1" applyBorder="1" applyAlignment="1">
      <alignment horizontal="left" vertical="center"/>
    </xf>
    <xf numFmtId="0" fontId="5" fillId="2" borderId="0" xfId="0" applyFont="1" applyFill="1" applyBorder="1"/>
    <xf numFmtId="0" fontId="0" fillId="0" borderId="1" xfId="0" applyBorder="1"/>
    <xf numFmtId="0" fontId="28" fillId="0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5" fontId="0" fillId="0" borderId="0" xfId="0" applyNumberFormat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5" fillId="3" borderId="1" xfId="0" applyFont="1" applyFill="1" applyBorder="1"/>
    <xf numFmtId="15" fontId="5" fillId="3" borderId="1" xfId="0" applyNumberFormat="1" applyFont="1" applyFill="1" applyBorder="1" applyAlignment="1">
      <alignment horizontal="left" vertical="center"/>
    </xf>
    <xf numFmtId="0" fontId="0" fillId="2" borderId="19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3" borderId="2" xfId="0" applyFont="1" applyFill="1" applyBorder="1"/>
    <xf numFmtId="15" fontId="5" fillId="3" borderId="2" xfId="0" applyNumberFormat="1" applyFont="1" applyFill="1" applyBorder="1" applyAlignment="1">
      <alignment horizontal="left" vertical="center"/>
    </xf>
    <xf numFmtId="171" fontId="5" fillId="3" borderId="18" xfId="6" applyNumberFormat="1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170" fontId="28" fillId="3" borderId="2" xfId="0" applyNumberFormat="1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29" fillId="2" borderId="0" xfId="0" applyFont="1" applyFill="1" applyBorder="1" applyAlignment="1">
      <alignment horizontal="left" vertical="center"/>
    </xf>
    <xf numFmtId="171" fontId="5" fillId="3" borderId="20" xfId="6" applyNumberFormat="1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167" fontId="5" fillId="0" borderId="20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67" fontId="5" fillId="0" borderId="18" xfId="0" applyNumberFormat="1" applyFont="1" applyFill="1" applyBorder="1" applyAlignment="1">
      <alignment horizontal="center" vertical="center"/>
    </xf>
    <xf numFmtId="167" fontId="5" fillId="0" borderId="19" xfId="0" applyNumberFormat="1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0" fillId="2" borderId="28" xfId="0" applyFill="1" applyBorder="1"/>
    <xf numFmtId="168" fontId="0" fillId="3" borderId="2" xfId="0" applyNumberFormat="1" applyFont="1" applyFill="1" applyBorder="1" applyAlignment="1">
      <alignment horizontal="center" vertical="center"/>
    </xf>
    <xf numFmtId="168" fontId="5" fillId="3" borderId="2" xfId="0" applyNumberFormat="1" applyFont="1" applyFill="1" applyBorder="1" applyAlignment="1">
      <alignment horizontal="center" vertical="center"/>
    </xf>
    <xf numFmtId="10" fontId="5" fillId="3" borderId="2" xfId="0" applyNumberFormat="1" applyFont="1" applyFill="1" applyBorder="1" applyAlignment="1">
      <alignment horizontal="center" vertical="center"/>
    </xf>
    <xf numFmtId="169" fontId="5" fillId="3" borderId="2" xfId="0" applyNumberFormat="1" applyFont="1" applyFill="1" applyBorder="1" applyAlignment="1">
      <alignment horizontal="center" vertical="center"/>
    </xf>
    <xf numFmtId="167" fontId="5" fillId="0" borderId="15" xfId="0" applyNumberFormat="1" applyFont="1" applyFill="1" applyBorder="1" applyAlignment="1">
      <alignment horizontal="center" vertical="center"/>
    </xf>
    <xf numFmtId="15" fontId="5" fillId="0" borderId="15" xfId="0" applyNumberFormat="1" applyFont="1" applyFill="1" applyBorder="1" applyAlignment="1">
      <alignment horizontal="center" vertical="center"/>
    </xf>
    <xf numFmtId="15" fontId="5" fillId="0" borderId="0" xfId="0" applyNumberFormat="1" applyFont="1" applyFill="1" applyBorder="1" applyAlignment="1">
      <alignment horizontal="center" vertical="center"/>
    </xf>
    <xf numFmtId="15" fontId="5" fillId="0" borderId="18" xfId="0" applyNumberFormat="1" applyFont="1" applyFill="1" applyBorder="1" applyAlignment="1">
      <alignment horizontal="center" vertical="center"/>
    </xf>
    <xf numFmtId="0" fontId="5" fillId="2" borderId="0" xfId="0" applyFont="1" applyFill="1"/>
    <xf numFmtId="178" fontId="5" fillId="0" borderId="18" xfId="0" applyNumberFormat="1" applyFont="1" applyFill="1" applyBorder="1" applyAlignment="1">
      <alignment horizontal="center" vertical="center"/>
    </xf>
    <xf numFmtId="167" fontId="5" fillId="0" borderId="0" xfId="0" applyNumberFormat="1" applyFont="1" applyFill="1" applyBorder="1" applyAlignment="1">
      <alignment horizontal="center" vertical="center"/>
    </xf>
    <xf numFmtId="15" fontId="5" fillId="0" borderId="19" xfId="0" applyNumberFormat="1" applyFont="1" applyFill="1" applyBorder="1" applyAlignment="1">
      <alignment horizontal="center" vertical="center"/>
    </xf>
    <xf numFmtId="15" fontId="5" fillId="0" borderId="20" xfId="0" applyNumberFormat="1" applyFont="1" applyFill="1" applyBorder="1" applyAlignment="1">
      <alignment horizontal="center" vertical="center"/>
    </xf>
    <xf numFmtId="178" fontId="5" fillId="0" borderId="20" xfId="0" applyNumberFormat="1" applyFont="1" applyFill="1" applyBorder="1" applyAlignment="1">
      <alignment horizontal="center" vertical="center"/>
    </xf>
    <xf numFmtId="178" fontId="5" fillId="0" borderId="16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78" fontId="5" fillId="3" borderId="16" xfId="0" applyNumberFormat="1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15" fontId="5" fillId="3" borderId="0" xfId="55" applyNumberFormat="1" applyFont="1" applyFill="1" applyBorder="1" applyAlignment="1">
      <alignment horizontal="center" vertical="center"/>
    </xf>
    <xf numFmtId="179" fontId="5" fillId="3" borderId="0" xfId="0" applyNumberFormat="1" applyFont="1" applyFill="1" applyBorder="1" applyAlignment="1">
      <alignment horizontal="center" vertical="center"/>
    </xf>
    <xf numFmtId="178" fontId="5" fillId="3" borderId="15" xfId="0" applyNumberFormat="1" applyFont="1" applyFill="1" applyBorder="1" applyAlignment="1">
      <alignment horizontal="center" vertical="center"/>
    </xf>
    <xf numFmtId="178" fontId="5" fillId="3" borderId="18" xfId="0" applyNumberFormat="1" applyFont="1" applyFill="1" applyBorder="1" applyAlignment="1">
      <alignment horizontal="center" vertical="center"/>
    </xf>
    <xf numFmtId="178" fontId="5" fillId="3" borderId="0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78" fontId="5" fillId="3" borderId="20" xfId="0" applyNumberFormat="1" applyFont="1" applyFill="1" applyBorder="1" applyAlignment="1">
      <alignment horizontal="center" vertical="center"/>
    </xf>
    <xf numFmtId="15" fontId="5" fillId="3" borderId="19" xfId="55" applyNumberFormat="1" applyFont="1" applyFill="1" applyBorder="1" applyAlignment="1">
      <alignment horizontal="center" vertical="center"/>
    </xf>
    <xf numFmtId="179" fontId="5" fillId="3" borderId="19" xfId="0" applyNumberFormat="1" applyFont="1" applyFill="1" applyBorder="1" applyAlignment="1">
      <alignment horizontal="center" vertical="center"/>
    </xf>
    <xf numFmtId="178" fontId="5" fillId="3" borderId="19" xfId="0" applyNumberFormat="1" applyFont="1" applyFill="1" applyBorder="1" applyAlignment="1">
      <alignment horizontal="center" vertical="center"/>
    </xf>
    <xf numFmtId="170" fontId="28" fillId="3" borderId="3" xfId="0" applyNumberFormat="1" applyFont="1" applyFill="1" applyBorder="1" applyAlignment="1">
      <alignment horizontal="left" vertical="center"/>
    </xf>
    <xf numFmtId="167" fontId="4" fillId="0" borderId="0" xfId="0" applyNumberFormat="1" applyFont="1" applyAlignment="1">
      <alignment horizontal="left" vertical="center"/>
    </xf>
    <xf numFmtId="0" fontId="6" fillId="78" borderId="2" xfId="0" quotePrefix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184" fontId="4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8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2" fillId="78" borderId="2" xfId="0" applyFont="1" applyFill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0" fontId="0" fillId="2" borderId="1" xfId="0" applyNumberFormat="1" applyFill="1" applyBorder="1" applyAlignment="1">
      <alignment horizontal="left" vertical="center"/>
    </xf>
    <xf numFmtId="0" fontId="0" fillId="2" borderId="1" xfId="0" applyFont="1" applyFill="1" applyBorder="1" applyAlignment="1"/>
    <xf numFmtId="0" fontId="0" fillId="2" borderId="2" xfId="0" applyNumberFormat="1" applyFill="1" applyBorder="1" applyAlignment="1">
      <alignment horizontal="left" vertical="center"/>
    </xf>
    <xf numFmtId="0" fontId="0" fillId="2" borderId="3" xfId="0" applyFont="1" applyFill="1" applyBorder="1" applyAlignment="1"/>
    <xf numFmtId="0" fontId="0" fillId="2" borderId="1" xfId="0" applyFill="1" applyBorder="1" applyAlignment="1"/>
    <xf numFmtId="0" fontId="0" fillId="2" borderId="2" xfId="0" applyFill="1" applyBorder="1" applyAlignment="1"/>
    <xf numFmtId="0" fontId="0" fillId="2" borderId="3" xfId="0" applyFill="1" applyBorder="1" applyAlignment="1"/>
    <xf numFmtId="0" fontId="0" fillId="2" borderId="2" xfId="0" applyFont="1" applyFill="1" applyBorder="1" applyAlignment="1"/>
    <xf numFmtId="0" fontId="0" fillId="2" borderId="3" xfId="0" applyNumberFormat="1" applyFill="1" applyBorder="1" applyAlignment="1">
      <alignment horizontal="left" vertical="center"/>
    </xf>
    <xf numFmtId="167" fontId="0" fillId="0" borderId="0" xfId="0" applyNumberFormat="1" applyAlignment="1"/>
    <xf numFmtId="3" fontId="0" fillId="0" borderId="0" xfId="0" applyNumberFormat="1" applyAlignment="1"/>
    <xf numFmtId="0" fontId="0" fillId="78" borderId="2" xfId="0" applyNumberFormat="1" applyFill="1" applyBorder="1" applyAlignment="1">
      <alignment horizontal="left" vertical="center"/>
    </xf>
    <xf numFmtId="0" fontId="5" fillId="79" borderId="2" xfId="0" quotePrefix="1" applyFont="1" applyFill="1" applyBorder="1" applyAlignment="1">
      <alignment horizontal="center" vertical="center"/>
    </xf>
  </cellXfs>
  <cellStyles count="7361">
    <cellStyle name="_ADN" xfId="56"/>
    <cellStyle name="_Apollo" xfId="57"/>
    <cellStyle name="_Book2" xfId="58"/>
    <cellStyle name="_Book2_ValuationViewer" xfId="59"/>
    <cellStyle name="_btec" xfId="60"/>
    <cellStyle name="_Composite Page" xfId="61"/>
    <cellStyle name="_Composite Page_Composite Page" xfId="62"/>
    <cellStyle name="_Composite Page_Config" xfId="63"/>
    <cellStyle name="_Config" xfId="64"/>
    <cellStyle name="_Config_apollo_curves" xfId="65"/>
    <cellStyle name="_Config_Apollo_Spread" xfId="66"/>
    <cellStyle name="_config_db" xfId="67"/>
    <cellStyle name="_Cprty" xfId="68"/>
    <cellStyle name="_data" xfId="69"/>
    <cellStyle name="_DISPLAY" xfId="70"/>
    <cellStyle name="_DISPLAY 2" xfId="71"/>
    <cellStyle name="_DISPLAY_121Fut_View" xfId="72"/>
    <cellStyle name="_DISPLAY_121Fut_View 2" xfId="73"/>
    <cellStyle name="_DISPLAY_Apollo" xfId="74"/>
    <cellStyle name="_DISPLAY_AssetSwap" xfId="75"/>
    <cellStyle name="_DISPLAY_Closes" xfId="76"/>
    <cellStyle name="_DISPLAY_Composite Page" xfId="77"/>
    <cellStyle name="_DISPLAY_Config" xfId="78"/>
    <cellStyle name="_DISPLAY_Config_Composite Page" xfId="79"/>
    <cellStyle name="_DISPLAY_Convexity" xfId="80"/>
    <cellStyle name="_DISPLAY_Core" xfId="81"/>
    <cellStyle name="_DISPLAY_Core 2" xfId="82"/>
    <cellStyle name="_DISPLAY_Core_Composite Page" xfId="83"/>
    <cellStyle name="_DISPLAY_Core_Config" xfId="84"/>
    <cellStyle name="_DISPLAY_cp_Closes" xfId="85"/>
    <cellStyle name="_DISPLAY_DISPLAY" xfId="86"/>
    <cellStyle name="_DISPLAY_EOD_Closes" xfId="87"/>
    <cellStyle name="_DISPLAY_EOD_Closes_1" xfId="88"/>
    <cellStyle name="_DISPLAY_EOD_Curve" xfId="89"/>
    <cellStyle name="_DISPLAY_EOD_Curve 2" xfId="90"/>
    <cellStyle name="_DISPLAY_EOD_Curve 3" xfId="91"/>
    <cellStyle name="_DISPLAY_EOD_Curve_Composite Page" xfId="92"/>
    <cellStyle name="_DISPLAY_EOD_Curve_Core" xfId="93"/>
    <cellStyle name="_DISPLAY_EOD_Curve_Core 2" xfId="94"/>
    <cellStyle name="_DISPLAY_EOD_Curve_Futures" xfId="95"/>
    <cellStyle name="_DISPLAY_EOD_Curve_Swaps" xfId="96"/>
    <cellStyle name="_DISPLAY_Futures" xfId="97"/>
    <cellStyle name="_DISPLAY_Futures 2" xfId="98"/>
    <cellStyle name="_DISPLAY_Futures_Composite Page" xfId="99"/>
    <cellStyle name="_DISPLAY_Futures_Config" xfId="100"/>
    <cellStyle name="_DISPLAY_Gamma" xfId="101"/>
    <cellStyle name="_DISPLAY_Gamma_1" xfId="102"/>
    <cellStyle name="_DISPLAY_Gamma_Composite Page" xfId="103"/>
    <cellStyle name="_DISPLAY_Gamma_Core" xfId="104"/>
    <cellStyle name="_DISPLAY_Gamma_Futures" xfId="105"/>
    <cellStyle name="_DISPLAY_Gamma_Futures_1" xfId="106"/>
    <cellStyle name="_DISPLAY_Gamma_Swaps" xfId="107"/>
    <cellStyle name="_DISPLAY_Gamma_Treasuries" xfId="108"/>
    <cellStyle name="_DISPLAY_holidays" xfId="109"/>
    <cellStyle name="_DISPLAY_Real_Time" xfId="110"/>
    <cellStyle name="_DISPLAY_Real-Time" xfId="111"/>
    <cellStyle name="_DISPLAY_Real-Time 2" xfId="112"/>
    <cellStyle name="_DISPLAY_Real-Time_1" xfId="113"/>
    <cellStyle name="_DISPLAY_Real-Time_Composite Page" xfId="114"/>
    <cellStyle name="_DISPLAY_Real-Time_Core" xfId="115"/>
    <cellStyle name="_DISPLAY_Real-Time_Futures" xfId="116"/>
    <cellStyle name="_DISPLAY_Real-Time_Futures_1" xfId="117"/>
    <cellStyle name="_DISPLAY_Real-Time_Swaps" xfId="118"/>
    <cellStyle name="_DISPLAY_Real-Time_Treasuries" xfId="119"/>
    <cellStyle name="_DISPLAY_Sheet1" xfId="120"/>
    <cellStyle name="_DISPLAY_Swaps" xfId="121"/>
    <cellStyle name="_DISPLAY_Swaps 2" xfId="122"/>
    <cellStyle name="_DISPLAY_Swaps_Composite Page" xfId="123"/>
    <cellStyle name="_DISPLAY_Swaps_Config" xfId="124"/>
    <cellStyle name="_DISPLAY_T-Notes" xfId="125"/>
    <cellStyle name="_DISPLAY_T-Notes 2" xfId="126"/>
    <cellStyle name="_DISPLAY_T-Notes_Composite Page" xfId="127"/>
    <cellStyle name="_DISPLAY_T-Notes_Config" xfId="128"/>
    <cellStyle name="_DISPLAY_ToDo" xfId="129"/>
    <cellStyle name="_DISPLAY_ToDo 2" xfId="130"/>
    <cellStyle name="_DISPLAY_ToDoList" xfId="131"/>
    <cellStyle name="_DISPLAY_ToDoList 2" xfId="132"/>
    <cellStyle name="_DISPLAY_Treasuries" xfId="133"/>
    <cellStyle name="_DISPLAY_Treasuries 2" xfId="134"/>
    <cellStyle name="_DISPLAY_Treasuries_Composite Page" xfId="135"/>
    <cellStyle name="_DISPLAY_Treasuries_Config" xfId="136"/>
    <cellStyle name="_FRA_Map" xfId="137"/>
    <cellStyle name="_FRA_Map 2" xfId="138"/>
    <cellStyle name="_FRA_Map_121Fut_View" xfId="139"/>
    <cellStyle name="_FRA_Map_121Fut_View 2" xfId="140"/>
    <cellStyle name="_FRA_Map_Apollo" xfId="141"/>
    <cellStyle name="_FRA_Map_AssetSwap" xfId="142"/>
    <cellStyle name="_FRA_Map_Closes" xfId="143"/>
    <cellStyle name="_FRA_Map_Composite Page" xfId="144"/>
    <cellStyle name="_FRA_Map_Config" xfId="145"/>
    <cellStyle name="_FRA_Map_Config_Composite Page" xfId="146"/>
    <cellStyle name="_FRA_Map_Convexity" xfId="147"/>
    <cellStyle name="_FRA_Map_Core" xfId="148"/>
    <cellStyle name="_FRA_Map_Core 2" xfId="149"/>
    <cellStyle name="_FRA_Map_Core_Composite Page" xfId="150"/>
    <cellStyle name="_FRA_Map_Core_Config" xfId="151"/>
    <cellStyle name="_FRA_Map_cp_Closes" xfId="152"/>
    <cellStyle name="_FRA_Map_DISPLAY" xfId="153"/>
    <cellStyle name="_FRA_Map_EOD_Closes" xfId="154"/>
    <cellStyle name="_FRA_Map_EOD_Closes_1" xfId="155"/>
    <cellStyle name="_FRA_Map_EOD_Curve" xfId="156"/>
    <cellStyle name="_FRA_Map_EOD_Curve 2" xfId="157"/>
    <cellStyle name="_FRA_Map_EOD_Curve 3" xfId="158"/>
    <cellStyle name="_FRA_Map_EOD_Curve_Composite Page" xfId="159"/>
    <cellStyle name="_FRA_Map_EOD_Curve_Core" xfId="160"/>
    <cellStyle name="_FRA_Map_EOD_Curve_Core 2" xfId="161"/>
    <cellStyle name="_FRA_Map_EOD_Curve_Futures" xfId="162"/>
    <cellStyle name="_FRA_Map_EOD_Curve_Swaps" xfId="163"/>
    <cellStyle name="_FRA_Map_Futures" xfId="164"/>
    <cellStyle name="_FRA_Map_Futures 2" xfId="165"/>
    <cellStyle name="_FRA_Map_Futures_Composite Page" xfId="166"/>
    <cellStyle name="_FRA_Map_Futures_Config" xfId="167"/>
    <cellStyle name="_FRA_Map_Gamma" xfId="168"/>
    <cellStyle name="_FRA_Map_Gamma_1" xfId="169"/>
    <cellStyle name="_FRA_Map_Gamma_Composite Page" xfId="170"/>
    <cellStyle name="_FRA_Map_Gamma_Core" xfId="171"/>
    <cellStyle name="_FRA_Map_Gamma_Futures" xfId="172"/>
    <cellStyle name="_FRA_Map_Gamma_Futures_1" xfId="173"/>
    <cellStyle name="_FRA_Map_Gamma_Swaps" xfId="174"/>
    <cellStyle name="_FRA_Map_Gamma_Treasuries" xfId="175"/>
    <cellStyle name="_FRA_Map_holidays" xfId="176"/>
    <cellStyle name="_FRA_Map_Real_Time" xfId="177"/>
    <cellStyle name="_FRA_Map_Real-Time" xfId="178"/>
    <cellStyle name="_FRA_Map_Real-Time 2" xfId="179"/>
    <cellStyle name="_FRA_Map_Real-Time_1" xfId="180"/>
    <cellStyle name="_FRA_Map_Real-Time_Composite Page" xfId="181"/>
    <cellStyle name="_FRA_Map_Real-Time_Core" xfId="182"/>
    <cellStyle name="_FRA_Map_Real-Time_Futures" xfId="183"/>
    <cellStyle name="_FRA_Map_Real-Time_Futures_1" xfId="184"/>
    <cellStyle name="_FRA_Map_Real-Time_Swaps" xfId="185"/>
    <cellStyle name="_FRA_Map_Real-Time_Treasuries" xfId="186"/>
    <cellStyle name="_FRA_Map_Sheet1" xfId="187"/>
    <cellStyle name="_FRA_Map_Swaps" xfId="188"/>
    <cellStyle name="_FRA_Map_Swaps 2" xfId="189"/>
    <cellStyle name="_FRA_Map_Swaps_Composite Page" xfId="190"/>
    <cellStyle name="_FRA_Map_Swaps_Config" xfId="191"/>
    <cellStyle name="_FRA_Map_T-Notes" xfId="192"/>
    <cellStyle name="_FRA_Map_T-Notes 2" xfId="193"/>
    <cellStyle name="_FRA_Map_T-Notes_Composite Page" xfId="194"/>
    <cellStyle name="_FRA_Map_T-Notes_Config" xfId="195"/>
    <cellStyle name="_FRA_Map_ToDo" xfId="196"/>
    <cellStyle name="_FRA_Map_ToDo 2" xfId="197"/>
    <cellStyle name="_FRA_Map_ToDoList" xfId="198"/>
    <cellStyle name="_FRA_Map_ToDoList 2" xfId="199"/>
    <cellStyle name="_FRA_Map_Treasuries" xfId="200"/>
    <cellStyle name="_FRA_Map_Treasuries 2" xfId="201"/>
    <cellStyle name="_FRA_Map_Treasuries_Composite Page" xfId="202"/>
    <cellStyle name="_FRA_Map_Treasuries_Config" xfId="203"/>
    <cellStyle name="_Front" xfId="204"/>
    <cellStyle name="_Front_ADN" xfId="205"/>
    <cellStyle name="_Front_ImportBonds" xfId="206"/>
    <cellStyle name="_Front_Sheet1" xfId="207"/>
    <cellStyle name="_Front_Today" xfId="208"/>
    <cellStyle name="_Front_Yesterday" xfId="209"/>
    <cellStyle name="_Futures" xfId="210"/>
    <cellStyle name="_Gamma" xfId="211"/>
    <cellStyle name="_Gamma 2" xfId="212"/>
    <cellStyle name="_Gamma_Composite Page" xfId="213"/>
    <cellStyle name="_Gamma_Config" xfId="214"/>
    <cellStyle name="_Home" xfId="215"/>
    <cellStyle name="_Home 2" xfId="216"/>
    <cellStyle name="_Home_Composite Page" xfId="217"/>
    <cellStyle name="_Home_Config" xfId="218"/>
    <cellStyle name="_Hong Kong" xfId="219"/>
    <cellStyle name="_ImportBonds" xfId="220"/>
    <cellStyle name="_London" xfId="221"/>
    <cellStyle name="_London 2" xfId="222"/>
    <cellStyle name="_London_Composite Page" xfId="223"/>
    <cellStyle name="_London_Config" xfId="224"/>
    <cellStyle name="_LynxTrader" xfId="225"/>
    <cellStyle name="_LynxTrader_LynxTrader" xfId="226"/>
    <cellStyle name="_LynxTrader_Trade" xfId="227"/>
    <cellStyle name="_LynxTrader_Vector Editor" xfId="228"/>
    <cellStyle name="_Main" xfId="229"/>
    <cellStyle name="_manual" xfId="230"/>
    <cellStyle name="_manual_ADN" xfId="231"/>
    <cellStyle name="_manual_ImportBonds" xfId="232"/>
    <cellStyle name="_manual_Sheet1" xfId="233"/>
    <cellStyle name="_manual_Today" xfId="234"/>
    <cellStyle name="_manual_Yesterday" xfId="235"/>
    <cellStyle name="_New York" xfId="236"/>
    <cellStyle name="_NoteFuts" xfId="237"/>
    <cellStyle name="_Past 10 yr" xfId="238"/>
    <cellStyle name="_Past 10 yr 2" xfId="239"/>
    <cellStyle name="_Past 10 yr_Composite Page" xfId="240"/>
    <cellStyle name="_Past 10 yr_Config" xfId="241"/>
    <cellStyle name="_PnL" xfId="242"/>
    <cellStyle name="_PnL 2" xfId="243"/>
    <cellStyle name="_PnL Predictor" xfId="244"/>
    <cellStyle name="_PnL Predictor 2" xfId="245"/>
    <cellStyle name="_PnL Predictor_Composite Page" xfId="246"/>
    <cellStyle name="_PnL Predictor_Config" xfId="247"/>
    <cellStyle name="_PnL_Composite Page" xfId="248"/>
    <cellStyle name="_PnL_Config" xfId="249"/>
    <cellStyle name="_Positions" xfId="250"/>
    <cellStyle name="_Repo Blotter" xfId="251"/>
    <cellStyle name="_Repo Blotter_ADN" xfId="252"/>
    <cellStyle name="_Repo Blotter_ImportBonds" xfId="253"/>
    <cellStyle name="_Repo Blotter_Sheet1" xfId="254"/>
    <cellStyle name="_Repo Blotter_Today" xfId="255"/>
    <cellStyle name="_Repo Blotter_Yesterday" xfId="256"/>
    <cellStyle name="_Setup" xfId="257"/>
    <cellStyle name="_Setup_ADN" xfId="258"/>
    <cellStyle name="_Setup_ImportBonds" xfId="259"/>
    <cellStyle name="_Setup_Sheet1" xfId="260"/>
    <cellStyle name="_Setup_Today" xfId="261"/>
    <cellStyle name="_Setup_Yesterday" xfId="262"/>
    <cellStyle name="_Sheet1" xfId="263"/>
    <cellStyle name="_Strip_ZCurve" xfId="264"/>
    <cellStyle name="_Strip_ZCurve 2" xfId="265"/>
    <cellStyle name="_Strip_ZCurve_121Fut_View" xfId="266"/>
    <cellStyle name="_Strip_ZCurve_121Fut_View 2" xfId="267"/>
    <cellStyle name="_Strip_ZCurve_Apollo" xfId="268"/>
    <cellStyle name="_Strip_ZCurve_AssetSwap" xfId="269"/>
    <cellStyle name="_Strip_ZCurve_Closes" xfId="270"/>
    <cellStyle name="_Strip_ZCurve_Composite Page" xfId="271"/>
    <cellStyle name="_Strip_ZCurve_Config" xfId="272"/>
    <cellStyle name="_Strip_ZCurve_Config_Composite Page" xfId="273"/>
    <cellStyle name="_Strip_ZCurve_Convexity" xfId="274"/>
    <cellStyle name="_Strip_ZCurve_Core" xfId="275"/>
    <cellStyle name="_Strip_ZCurve_Core 2" xfId="276"/>
    <cellStyle name="_Strip_ZCurve_Core_Composite Page" xfId="277"/>
    <cellStyle name="_Strip_ZCurve_Core_Config" xfId="278"/>
    <cellStyle name="_Strip_ZCurve_cp_Closes" xfId="279"/>
    <cellStyle name="_Strip_ZCurve_DISPLAY" xfId="280"/>
    <cellStyle name="_Strip_ZCurve_EOD_Closes" xfId="281"/>
    <cellStyle name="_Strip_ZCurve_EOD_Closes_1" xfId="282"/>
    <cellStyle name="_Strip_ZCurve_EOD_Curve" xfId="283"/>
    <cellStyle name="_Strip_ZCurve_EOD_Curve 2" xfId="284"/>
    <cellStyle name="_Strip_ZCurve_EOD_Curve 3" xfId="285"/>
    <cellStyle name="_Strip_ZCurve_EOD_Curve_Composite Page" xfId="286"/>
    <cellStyle name="_Strip_ZCurve_EOD_Curve_Core" xfId="287"/>
    <cellStyle name="_Strip_ZCurve_EOD_Curve_Core 2" xfId="288"/>
    <cellStyle name="_Strip_ZCurve_EOD_Curve_Futures" xfId="289"/>
    <cellStyle name="_Strip_ZCurve_EOD_Curve_Swaps" xfId="290"/>
    <cellStyle name="_Strip_ZCurve_Futures" xfId="291"/>
    <cellStyle name="_Strip_ZCurve_Futures 2" xfId="292"/>
    <cellStyle name="_Strip_ZCurve_Futures_Composite Page" xfId="293"/>
    <cellStyle name="_Strip_ZCurve_Futures_Config" xfId="294"/>
    <cellStyle name="_Strip_ZCurve_Gamma" xfId="295"/>
    <cellStyle name="_Strip_ZCurve_Gamma_1" xfId="296"/>
    <cellStyle name="_Strip_ZCurve_Gamma_Composite Page" xfId="297"/>
    <cellStyle name="_Strip_ZCurve_Gamma_Core" xfId="298"/>
    <cellStyle name="_Strip_ZCurve_Gamma_Futures" xfId="299"/>
    <cellStyle name="_Strip_ZCurve_Gamma_Futures_1" xfId="300"/>
    <cellStyle name="_Strip_ZCurve_Gamma_Swaps" xfId="301"/>
    <cellStyle name="_Strip_ZCurve_Gamma_Treasuries" xfId="302"/>
    <cellStyle name="_Strip_ZCurve_holidays" xfId="303"/>
    <cellStyle name="_Strip_ZCurve_Real_Time" xfId="304"/>
    <cellStyle name="_Strip_ZCurve_Real-Time" xfId="305"/>
    <cellStyle name="_Strip_ZCurve_Real-Time 2" xfId="306"/>
    <cellStyle name="_Strip_ZCurve_Real-Time_1" xfId="307"/>
    <cellStyle name="_Strip_ZCurve_Real-Time_Composite Page" xfId="308"/>
    <cellStyle name="_Strip_ZCurve_Real-Time_Core" xfId="309"/>
    <cellStyle name="_Strip_ZCurve_Real-Time_Futures" xfId="310"/>
    <cellStyle name="_Strip_ZCurve_Real-Time_Futures_1" xfId="311"/>
    <cellStyle name="_Strip_ZCurve_Real-Time_Swaps" xfId="312"/>
    <cellStyle name="_Strip_ZCurve_Real-Time_Treasuries" xfId="313"/>
    <cellStyle name="_Strip_ZCurve_Sheet1" xfId="314"/>
    <cellStyle name="_Strip_ZCurve_Swaps" xfId="315"/>
    <cellStyle name="_Strip_ZCurve_Swaps 2" xfId="316"/>
    <cellStyle name="_Strip_ZCurve_Swaps_Composite Page" xfId="317"/>
    <cellStyle name="_Strip_ZCurve_Swaps_Config" xfId="318"/>
    <cellStyle name="_Strip_ZCurve_T-Notes" xfId="319"/>
    <cellStyle name="_Strip_ZCurve_T-Notes 2" xfId="320"/>
    <cellStyle name="_Strip_ZCurve_T-Notes_Composite Page" xfId="321"/>
    <cellStyle name="_Strip_ZCurve_T-Notes_Config" xfId="322"/>
    <cellStyle name="_Strip_ZCurve_ToDo" xfId="323"/>
    <cellStyle name="_Strip_ZCurve_ToDo 2" xfId="324"/>
    <cellStyle name="_Strip_ZCurve_ToDoList" xfId="325"/>
    <cellStyle name="_Strip_ZCurve_ToDoList 2" xfId="326"/>
    <cellStyle name="_Strip_ZCurve_Treasuries" xfId="327"/>
    <cellStyle name="_Strip_ZCurve_Treasuries 2" xfId="328"/>
    <cellStyle name="_Strip_ZCurve_Treasuries_Composite Page" xfId="329"/>
    <cellStyle name="_Strip_ZCurve_Treasuries_Config" xfId="330"/>
    <cellStyle name="_Summary" xfId="331"/>
    <cellStyle name="_Summary 2" xfId="332"/>
    <cellStyle name="_Summary_Composite Page" xfId="333"/>
    <cellStyle name="_Summary_Config" xfId="334"/>
    <cellStyle name="_Today" xfId="335"/>
    <cellStyle name="_Trade Blotter" xfId="336"/>
    <cellStyle name="_Treasuries" xfId="337"/>
    <cellStyle name="_Treasuries 2" xfId="338"/>
    <cellStyle name="_Treasuries_Composite Page" xfId="339"/>
    <cellStyle name="_Treasuries_Config" xfId="340"/>
    <cellStyle name="_Turn" xfId="341"/>
    <cellStyle name="_Turn 2" xfId="342"/>
    <cellStyle name="_Turn_121Fut_View" xfId="343"/>
    <cellStyle name="_Turn_121Fut_View 2" xfId="344"/>
    <cellStyle name="_Turn_Apollo" xfId="345"/>
    <cellStyle name="_Turn_apollo_curves" xfId="346"/>
    <cellStyle name="_Turn_Apollo_Spread" xfId="347"/>
    <cellStyle name="_Turn_AssetSwap" xfId="348"/>
    <cellStyle name="_Turn_Composite Page" xfId="349"/>
    <cellStyle name="_Turn_Config" xfId="350"/>
    <cellStyle name="_Turn_Config_Composite Page" xfId="351"/>
    <cellStyle name="_Turn_Convexity" xfId="352"/>
    <cellStyle name="_Turn_Core" xfId="353"/>
    <cellStyle name="_Turn_Core 2" xfId="354"/>
    <cellStyle name="_Turn_Core_Composite Page" xfId="355"/>
    <cellStyle name="_Turn_Core_Config" xfId="356"/>
    <cellStyle name="_Turn_cp_Closes" xfId="357"/>
    <cellStyle name="_Turn_DISPLAY" xfId="358"/>
    <cellStyle name="_Turn_EOD_Closes" xfId="359"/>
    <cellStyle name="_Turn_EOD_Curve" xfId="360"/>
    <cellStyle name="_Turn_EOD_Curve 2" xfId="361"/>
    <cellStyle name="_Turn_EOD_Curve 3" xfId="362"/>
    <cellStyle name="_Turn_EOD_Curve_Composite Page" xfId="363"/>
    <cellStyle name="_Turn_EOD_Curve_Core" xfId="364"/>
    <cellStyle name="_Turn_EOD_Curve_Core 2" xfId="365"/>
    <cellStyle name="_Turn_EOD_Curve_Futures" xfId="366"/>
    <cellStyle name="_Turn_EOD_Curve_Swaps" xfId="367"/>
    <cellStyle name="_Turn_Futures" xfId="368"/>
    <cellStyle name="_Turn_Futures 2" xfId="369"/>
    <cellStyle name="_Turn_Futures_Composite Page" xfId="370"/>
    <cellStyle name="_Turn_Futures_Config" xfId="371"/>
    <cellStyle name="_Turn_Gamma" xfId="372"/>
    <cellStyle name="_Turn_Gamma_1" xfId="373"/>
    <cellStyle name="_Turn_Gamma_Composite Page" xfId="374"/>
    <cellStyle name="_Turn_Gamma_Core" xfId="375"/>
    <cellStyle name="_Turn_Gamma_Futures" xfId="376"/>
    <cellStyle name="_Turn_Gamma_Futures_1" xfId="377"/>
    <cellStyle name="_Turn_Gamma_Swaps" xfId="378"/>
    <cellStyle name="_Turn_Gamma_Treasuries" xfId="379"/>
    <cellStyle name="_Turn_holidays" xfId="380"/>
    <cellStyle name="_Turn_Real_Time" xfId="381"/>
    <cellStyle name="_Turn_Real-Time" xfId="382"/>
    <cellStyle name="_Turn_Real-Time 2" xfId="383"/>
    <cellStyle name="_Turn_Real-Time_1" xfId="384"/>
    <cellStyle name="_Turn_Real-Time_Composite Page" xfId="385"/>
    <cellStyle name="_Turn_Real-Time_Core" xfId="386"/>
    <cellStyle name="_Turn_Real-Time_Futures" xfId="387"/>
    <cellStyle name="_Turn_Real-Time_Futures_1" xfId="388"/>
    <cellStyle name="_Turn_Real-Time_Swaps" xfId="389"/>
    <cellStyle name="_Turn_Real-Time_Treasuries" xfId="390"/>
    <cellStyle name="_Turn_Swaps" xfId="391"/>
    <cellStyle name="_Turn_Swaps 2" xfId="392"/>
    <cellStyle name="_Turn_Swaps_Composite Page" xfId="393"/>
    <cellStyle name="_Turn_Swaps_Config" xfId="394"/>
    <cellStyle name="_Turn_T-Notes" xfId="395"/>
    <cellStyle name="_Turn_T-Notes 2" xfId="396"/>
    <cellStyle name="_Turn_T-Notes_Composite Page" xfId="397"/>
    <cellStyle name="_Turn_T-Notes_Config" xfId="398"/>
    <cellStyle name="_Turn_ToDo" xfId="399"/>
    <cellStyle name="_Turn_ToDo 2" xfId="400"/>
    <cellStyle name="_Turn_ToDoList" xfId="401"/>
    <cellStyle name="_Turn_ToDoList 2" xfId="402"/>
    <cellStyle name="_Turn_Treasuries" xfId="403"/>
    <cellStyle name="_Turn_Treasuries 2" xfId="404"/>
    <cellStyle name="_Turn_Treasuries_Composite Page" xfId="405"/>
    <cellStyle name="_Turn_Treasuries_Config" xfId="406"/>
    <cellStyle name="_ValuationViewer" xfId="407"/>
    <cellStyle name="_ValuationViewer_ValuationViewer" xfId="408"/>
    <cellStyle name="_Yesterday" xfId="409"/>
    <cellStyle name="=C:\WINNT35\SYSTEM32\COMMAND.COM" xfId="1"/>
    <cellStyle name="0.0000%" xfId="410"/>
    <cellStyle name="20% - Accent1 2" xfId="411"/>
    <cellStyle name="20% - Accent1 2 2" xfId="412"/>
    <cellStyle name="20% - Accent1 3" xfId="413"/>
    <cellStyle name="20% - Accent1 4" xfId="414"/>
    <cellStyle name="20% - Accent1 5" xfId="415"/>
    <cellStyle name="20% - Accent1 6" xfId="416"/>
    <cellStyle name="20% - Accent2 2" xfId="417"/>
    <cellStyle name="20% - Accent2 2 2" xfId="418"/>
    <cellStyle name="20% - Accent2 3" xfId="419"/>
    <cellStyle name="20% - Accent2 4" xfId="420"/>
    <cellStyle name="20% - Accent2 5" xfId="421"/>
    <cellStyle name="20% - Accent2 6" xfId="422"/>
    <cellStyle name="20% - Accent3 2" xfId="423"/>
    <cellStyle name="20% - Accent3 2 2" xfId="424"/>
    <cellStyle name="20% - Accent3 3" xfId="425"/>
    <cellStyle name="20% - Accent3 4" xfId="426"/>
    <cellStyle name="20% - Accent3 5" xfId="427"/>
    <cellStyle name="20% - Accent3 6" xfId="428"/>
    <cellStyle name="20% - Accent4 2" xfId="429"/>
    <cellStyle name="20% - Accent4 2 2" xfId="430"/>
    <cellStyle name="20% - Accent4 3" xfId="431"/>
    <cellStyle name="20% - Accent4 4" xfId="432"/>
    <cellStyle name="20% - Accent4 5" xfId="433"/>
    <cellStyle name="20% - Accent4 6" xfId="434"/>
    <cellStyle name="20% - Accent5 2" xfId="435"/>
    <cellStyle name="20% - Accent5 2 2" xfId="436"/>
    <cellStyle name="20% - Accent5 3" xfId="437"/>
    <cellStyle name="20% - Accent5 4" xfId="438"/>
    <cellStyle name="20% - Accent6 2" xfId="439"/>
    <cellStyle name="20% - Accent6 2 2" xfId="440"/>
    <cellStyle name="20% - Accent6 3" xfId="441"/>
    <cellStyle name="20% - Accent6 4" xfId="442"/>
    <cellStyle name="40% - Accent1 2" xfId="443"/>
    <cellStyle name="40% - Accent1 2 2" xfId="444"/>
    <cellStyle name="40% - Accent1 3" xfId="445"/>
    <cellStyle name="40% - Accent1 4" xfId="446"/>
    <cellStyle name="40% - Accent1 5" xfId="447"/>
    <cellStyle name="40% - Accent1 6" xfId="448"/>
    <cellStyle name="40% - Accent2 2" xfId="449"/>
    <cellStyle name="40% - Accent2 2 2" xfId="450"/>
    <cellStyle name="40% - Accent2 3" xfId="451"/>
    <cellStyle name="40% - Accent2 4" xfId="452"/>
    <cellStyle name="40% - Accent3 2" xfId="453"/>
    <cellStyle name="40% - Accent3 2 2" xfId="454"/>
    <cellStyle name="40% - Accent3 3" xfId="455"/>
    <cellStyle name="40% - Accent3 4" xfId="456"/>
    <cellStyle name="40% - Accent3 5" xfId="457"/>
    <cellStyle name="40% - Accent3 6" xfId="458"/>
    <cellStyle name="40% - Accent4 2" xfId="459"/>
    <cellStyle name="40% - Accent4 2 2" xfId="460"/>
    <cellStyle name="40% - Accent4 3" xfId="461"/>
    <cellStyle name="40% - Accent4 4" xfId="462"/>
    <cellStyle name="40% - Accent4 5" xfId="463"/>
    <cellStyle name="40% - Accent4 6" xfId="464"/>
    <cellStyle name="40% - Accent5 2" xfId="465"/>
    <cellStyle name="40% - Accent5 2 2" xfId="466"/>
    <cellStyle name="40% - Accent5 3" xfId="467"/>
    <cellStyle name="40% - Accent5 4" xfId="468"/>
    <cellStyle name="40% - Accent6 2" xfId="469"/>
    <cellStyle name="40% - Accent6 2 2" xfId="470"/>
    <cellStyle name="40% - Accent6 3" xfId="471"/>
    <cellStyle name="40% - Accent6 4" xfId="472"/>
    <cellStyle name="40% - Accent6 5" xfId="473"/>
    <cellStyle name="40% - Accent6 6" xfId="474"/>
    <cellStyle name="60% - Accent1 2" xfId="475"/>
    <cellStyle name="60% - Accent1 2 2" xfId="476"/>
    <cellStyle name="60% - Accent1 3" xfId="477"/>
    <cellStyle name="60% - Accent1 4" xfId="478"/>
    <cellStyle name="60% - Accent1 5" xfId="479"/>
    <cellStyle name="60% - Accent1 6" xfId="480"/>
    <cellStyle name="60% - Accent2 2" xfId="481"/>
    <cellStyle name="60% - Accent2 2 2" xfId="482"/>
    <cellStyle name="60% - Accent2 3" xfId="483"/>
    <cellStyle name="60% - Accent2 4" xfId="484"/>
    <cellStyle name="60% - Accent3 2" xfId="485"/>
    <cellStyle name="60% - Accent3 2 2" xfId="486"/>
    <cellStyle name="60% - Accent3 3" xfId="487"/>
    <cellStyle name="60% - Accent3 4" xfId="488"/>
    <cellStyle name="60% - Accent3 5" xfId="489"/>
    <cellStyle name="60% - Accent3 6" xfId="490"/>
    <cellStyle name="60% - Accent4 2" xfId="491"/>
    <cellStyle name="60% - Accent4 2 2" xfId="492"/>
    <cellStyle name="60% - Accent4 3" xfId="493"/>
    <cellStyle name="60% - Accent4 4" xfId="494"/>
    <cellStyle name="60% - Accent4 5" xfId="495"/>
    <cellStyle name="60% - Accent4 6" xfId="496"/>
    <cellStyle name="60% - Accent5 2" xfId="497"/>
    <cellStyle name="60% - Accent5 2 2" xfId="498"/>
    <cellStyle name="60% - Accent5 3" xfId="499"/>
    <cellStyle name="60% - Accent5 4" xfId="500"/>
    <cellStyle name="60% - Accent6 2" xfId="501"/>
    <cellStyle name="60% - Accent6 2 2" xfId="502"/>
    <cellStyle name="60% - Accent6 3" xfId="503"/>
    <cellStyle name="60% - Accent6 4" xfId="504"/>
    <cellStyle name="60% - Accent6 5" xfId="505"/>
    <cellStyle name="60% - Accent6 6" xfId="506"/>
    <cellStyle name="Accent1 2" xfId="507"/>
    <cellStyle name="Accent1 2 2" xfId="508"/>
    <cellStyle name="Accent1 3" xfId="509"/>
    <cellStyle name="Accent1 4" xfId="510"/>
    <cellStyle name="Accent1 5" xfId="511"/>
    <cellStyle name="Accent1 6" xfId="512"/>
    <cellStyle name="Accent2 2" xfId="513"/>
    <cellStyle name="Accent2 2 2" xfId="514"/>
    <cellStyle name="Accent2 3" xfId="515"/>
    <cellStyle name="Accent2 4" xfId="516"/>
    <cellStyle name="Accent3 2" xfId="517"/>
    <cellStyle name="Accent3 2 2" xfId="518"/>
    <cellStyle name="Accent3 3" xfId="519"/>
    <cellStyle name="Accent3 4" xfId="520"/>
    <cellStyle name="Accent4 2" xfId="521"/>
    <cellStyle name="Accent4 2 2" xfId="522"/>
    <cellStyle name="Accent4 3" xfId="523"/>
    <cellStyle name="Accent4 4" xfId="524"/>
    <cellStyle name="Accent4 5" xfId="525"/>
    <cellStyle name="Accent4 6" xfId="526"/>
    <cellStyle name="Accent5 2" xfId="527"/>
    <cellStyle name="Accent5 2 2" xfId="528"/>
    <cellStyle name="Accent5 3" xfId="529"/>
    <cellStyle name="Accent5 4" xfId="530"/>
    <cellStyle name="Accent6 2" xfId="531"/>
    <cellStyle name="Accent6 2 2" xfId="532"/>
    <cellStyle name="Accent6 3" xfId="533"/>
    <cellStyle name="Accent6 4" xfId="534"/>
    <cellStyle name="AppSvrCode" xfId="535"/>
    <cellStyle name="Array" xfId="536"/>
    <cellStyle name="Background" xfId="2"/>
    <cellStyle name="BackGround 2" xfId="537"/>
    <cellStyle name="Background 3" xfId="538"/>
    <cellStyle name="Background 4" xfId="539"/>
    <cellStyle name="Background 5" xfId="540"/>
    <cellStyle name="Background 6" xfId="541"/>
    <cellStyle name="Background 7" xfId="542"/>
    <cellStyle name="Background_apollo_curves" xfId="543"/>
    <cellStyle name="Bad 2" xfId="544"/>
    <cellStyle name="Bad 2 2" xfId="545"/>
    <cellStyle name="Bad 3" xfId="546"/>
    <cellStyle name="Bad 4" xfId="547"/>
    <cellStyle name="Bad 5" xfId="548"/>
    <cellStyle name="Bad 6" xfId="549"/>
    <cellStyle name="blp_column_header" xfId="550"/>
    <cellStyle name="Border" xfId="551"/>
    <cellStyle name="bullet" xfId="552"/>
    <cellStyle name="calc" xfId="3"/>
    <cellStyle name="Calculation 2" xfId="553"/>
    <cellStyle name="Calculation 2 2" xfId="554"/>
    <cellStyle name="Calculation 2 2 2" xfId="555"/>
    <cellStyle name="Calculation 2 2 2 2" xfId="556"/>
    <cellStyle name="Calculation 2 2 2 2 2" xfId="557"/>
    <cellStyle name="Calculation 2 2 2 2 2 2" xfId="558"/>
    <cellStyle name="Calculation 2 2 2 2 2 2 2" xfId="559"/>
    <cellStyle name="Calculation 2 2 2 2 2 2 2 2" xfId="560"/>
    <cellStyle name="Calculation 2 2 2 2 2 2 2 2 2" xfId="561"/>
    <cellStyle name="Calculation 2 2 2 2 2 2 2 3" xfId="562"/>
    <cellStyle name="Calculation 2 2 2 2 2 2 3" xfId="563"/>
    <cellStyle name="Calculation 2 2 2 2 2 2 3 2" xfId="564"/>
    <cellStyle name="Calculation 2 2 2 2 2 2 4" xfId="565"/>
    <cellStyle name="Calculation 2 2 2 2 2 3" xfId="566"/>
    <cellStyle name="Calculation 2 2 2 2 2 3 2" xfId="567"/>
    <cellStyle name="Calculation 2 2 2 2 2 3 2 2" xfId="568"/>
    <cellStyle name="Calculation 2 2 2 2 2 3 3" xfId="569"/>
    <cellStyle name="Calculation 2 2 2 2 2 3 4" xfId="570"/>
    <cellStyle name="Calculation 2 2 2 2 2 4" xfId="571"/>
    <cellStyle name="Calculation 2 2 2 2 2 4 2" xfId="572"/>
    <cellStyle name="Calculation 2 2 2 2 2 4 2 2" xfId="573"/>
    <cellStyle name="Calculation 2 2 2 2 2 4 3" xfId="574"/>
    <cellStyle name="Calculation 2 2 2 2 2 5" xfId="575"/>
    <cellStyle name="Calculation 2 2 2 2 2 5 2" xfId="576"/>
    <cellStyle name="Calculation 2 2 2 2 2 6" xfId="577"/>
    <cellStyle name="Calculation 2 2 2 2 3" xfId="578"/>
    <cellStyle name="Calculation 2 2 2 2 3 2" xfId="579"/>
    <cellStyle name="Calculation 2 2 2 2 3 2 2" xfId="580"/>
    <cellStyle name="Calculation 2 2 2 2 3 2 2 2" xfId="581"/>
    <cellStyle name="Calculation 2 2 2 2 3 2 2 2 2" xfId="582"/>
    <cellStyle name="Calculation 2 2 2 2 3 2 2 3" xfId="583"/>
    <cellStyle name="Calculation 2 2 2 2 3 2 3" xfId="584"/>
    <cellStyle name="Calculation 2 2 2 2 3 2 3 2" xfId="585"/>
    <cellStyle name="Calculation 2 2 2 2 3 2 4" xfId="586"/>
    <cellStyle name="Calculation 2 2 2 2 3 3" xfId="587"/>
    <cellStyle name="Calculation 2 2 2 2 3 3 2" xfId="588"/>
    <cellStyle name="Calculation 2 2 2 2 3 3 2 2" xfId="589"/>
    <cellStyle name="Calculation 2 2 2 2 3 3 3" xfId="590"/>
    <cellStyle name="Calculation 2 2 2 2 3 3 4" xfId="591"/>
    <cellStyle name="Calculation 2 2 2 2 3 4" xfId="592"/>
    <cellStyle name="Calculation 2 2 2 2 3 4 2" xfId="593"/>
    <cellStyle name="Calculation 2 2 2 2 3 4 2 2" xfId="594"/>
    <cellStyle name="Calculation 2 2 2 2 3 4 3" xfId="595"/>
    <cellStyle name="Calculation 2 2 2 2 3 5" xfId="596"/>
    <cellStyle name="Calculation 2 2 2 2 3 5 2" xfId="597"/>
    <cellStyle name="Calculation 2 2 2 2 3 6" xfId="598"/>
    <cellStyle name="Calculation 2 2 2 2 4" xfId="599"/>
    <cellStyle name="Calculation 2 2 2 2 4 2" xfId="600"/>
    <cellStyle name="Calculation 2 2 2 2 4 2 2" xfId="601"/>
    <cellStyle name="Calculation 2 2 2 2 4 2 2 2" xfId="602"/>
    <cellStyle name="Calculation 2 2 2 2 4 2 2 2 2" xfId="603"/>
    <cellStyle name="Calculation 2 2 2 2 4 2 2 3" xfId="604"/>
    <cellStyle name="Calculation 2 2 2 2 4 2 3" xfId="605"/>
    <cellStyle name="Calculation 2 2 2 2 4 2 3 2" xfId="606"/>
    <cellStyle name="Calculation 2 2 2 2 4 2 4" xfId="607"/>
    <cellStyle name="Calculation 2 2 2 2 4 3" xfId="608"/>
    <cellStyle name="Calculation 2 2 2 2 4 3 2" xfId="609"/>
    <cellStyle name="Calculation 2 2 2 2 4 3 2 2" xfId="610"/>
    <cellStyle name="Calculation 2 2 2 2 4 3 3" xfId="611"/>
    <cellStyle name="Calculation 2 2 2 2 4 3 4" xfId="612"/>
    <cellStyle name="Calculation 2 2 2 2 4 4" xfId="613"/>
    <cellStyle name="Calculation 2 2 2 2 4 4 2" xfId="614"/>
    <cellStyle name="Calculation 2 2 2 2 4 4 2 2" xfId="615"/>
    <cellStyle name="Calculation 2 2 2 2 4 4 3" xfId="616"/>
    <cellStyle name="Calculation 2 2 2 2 4 5" xfId="617"/>
    <cellStyle name="Calculation 2 2 2 2 4 5 2" xfId="618"/>
    <cellStyle name="Calculation 2 2 2 2 4 6" xfId="619"/>
    <cellStyle name="Calculation 2 2 2 2 5" xfId="620"/>
    <cellStyle name="Calculation 2 2 2 2 5 2" xfId="621"/>
    <cellStyle name="Calculation 2 2 2 3" xfId="622"/>
    <cellStyle name="Calculation 2 2 2 3 2" xfId="623"/>
    <cellStyle name="Calculation 2 2 2 3 2 2" xfId="624"/>
    <cellStyle name="Calculation 2 2 2 3 2 2 2" xfId="625"/>
    <cellStyle name="Calculation 2 2 2 3 2 2 2 2" xfId="626"/>
    <cellStyle name="Calculation 2 2 2 3 2 2 3" xfId="627"/>
    <cellStyle name="Calculation 2 2 2 3 2 3" xfId="628"/>
    <cellStyle name="Calculation 2 2 2 3 2 3 2" xfId="629"/>
    <cellStyle name="Calculation 2 2 2 3 2 4" xfId="630"/>
    <cellStyle name="Calculation 2 2 2 3 3" xfId="631"/>
    <cellStyle name="Calculation 2 2 2 3 3 2" xfId="632"/>
    <cellStyle name="Calculation 2 2 2 3 3 2 2" xfId="633"/>
    <cellStyle name="Calculation 2 2 2 3 3 3" xfId="634"/>
    <cellStyle name="Calculation 2 2 2 3 3 4" xfId="635"/>
    <cellStyle name="Calculation 2 2 2 3 4" xfId="636"/>
    <cellStyle name="Calculation 2 2 2 3 4 2" xfId="637"/>
    <cellStyle name="Calculation 2 2 2 3 4 2 2" xfId="638"/>
    <cellStyle name="Calculation 2 2 2 3 4 3" xfId="639"/>
    <cellStyle name="Calculation 2 2 2 3 5" xfId="640"/>
    <cellStyle name="Calculation 2 2 2 3 5 2" xfId="641"/>
    <cellStyle name="Calculation 2 2 2 3 6" xfId="642"/>
    <cellStyle name="Calculation 2 2 2 4" xfId="643"/>
    <cellStyle name="Calculation 2 2 2 4 2" xfId="644"/>
    <cellStyle name="Calculation 2 2 2 4 2 2" xfId="645"/>
    <cellStyle name="Calculation 2 2 2 4 2 2 2" xfId="646"/>
    <cellStyle name="Calculation 2 2 2 4 2 2 2 2" xfId="647"/>
    <cellStyle name="Calculation 2 2 2 4 2 2 3" xfId="648"/>
    <cellStyle name="Calculation 2 2 2 4 2 3" xfId="649"/>
    <cellStyle name="Calculation 2 2 2 4 2 3 2" xfId="650"/>
    <cellStyle name="Calculation 2 2 2 4 2 4" xfId="651"/>
    <cellStyle name="Calculation 2 2 2 4 3" xfId="652"/>
    <cellStyle name="Calculation 2 2 2 4 3 2" xfId="653"/>
    <cellStyle name="Calculation 2 2 2 4 3 2 2" xfId="654"/>
    <cellStyle name="Calculation 2 2 2 4 3 3" xfId="655"/>
    <cellStyle name="Calculation 2 2 2 4 3 4" xfId="656"/>
    <cellStyle name="Calculation 2 2 2 4 4" xfId="657"/>
    <cellStyle name="Calculation 2 2 2 4 4 2" xfId="658"/>
    <cellStyle name="Calculation 2 2 2 4 4 2 2" xfId="659"/>
    <cellStyle name="Calculation 2 2 2 4 4 3" xfId="660"/>
    <cellStyle name="Calculation 2 2 2 4 5" xfId="661"/>
    <cellStyle name="Calculation 2 2 2 4 5 2" xfId="662"/>
    <cellStyle name="Calculation 2 2 2 4 6" xfId="663"/>
    <cellStyle name="Calculation 2 2 2 5" xfId="664"/>
    <cellStyle name="Calculation 2 2 2 5 2" xfId="665"/>
    <cellStyle name="Calculation 2 2 2 5 2 2" xfId="666"/>
    <cellStyle name="Calculation 2 2 2 5 2 2 2" xfId="667"/>
    <cellStyle name="Calculation 2 2 2 5 2 2 2 2" xfId="668"/>
    <cellStyle name="Calculation 2 2 2 5 2 2 3" xfId="669"/>
    <cellStyle name="Calculation 2 2 2 5 2 3" xfId="670"/>
    <cellStyle name="Calculation 2 2 2 5 2 3 2" xfId="671"/>
    <cellStyle name="Calculation 2 2 2 5 2 4" xfId="672"/>
    <cellStyle name="Calculation 2 2 2 5 3" xfId="673"/>
    <cellStyle name="Calculation 2 2 2 5 3 2" xfId="674"/>
    <cellStyle name="Calculation 2 2 2 5 3 2 2" xfId="675"/>
    <cellStyle name="Calculation 2 2 2 5 3 3" xfId="676"/>
    <cellStyle name="Calculation 2 2 2 5 3 4" xfId="677"/>
    <cellStyle name="Calculation 2 2 2 5 4" xfId="678"/>
    <cellStyle name="Calculation 2 2 2 5 4 2" xfId="679"/>
    <cellStyle name="Calculation 2 2 2 5 4 2 2" xfId="680"/>
    <cellStyle name="Calculation 2 2 2 5 4 3" xfId="681"/>
    <cellStyle name="Calculation 2 2 2 5 5" xfId="682"/>
    <cellStyle name="Calculation 2 2 2 5 5 2" xfId="683"/>
    <cellStyle name="Calculation 2 2 2 5 6" xfId="684"/>
    <cellStyle name="Calculation 2 2 3" xfId="685"/>
    <cellStyle name="Calculation 2 2 3 2" xfId="686"/>
    <cellStyle name="Calculation 2 2 3 2 2" xfId="687"/>
    <cellStyle name="Calculation 2 2 3 2 2 2" xfId="688"/>
    <cellStyle name="Calculation 2 2 3 2 2 2 2" xfId="689"/>
    <cellStyle name="Calculation 2 2 3 2 2 2 2 2" xfId="690"/>
    <cellStyle name="Calculation 2 2 3 2 2 2 3" xfId="691"/>
    <cellStyle name="Calculation 2 2 3 2 2 3" xfId="692"/>
    <cellStyle name="Calculation 2 2 3 2 2 3 2" xfId="693"/>
    <cellStyle name="Calculation 2 2 3 2 2 4" xfId="694"/>
    <cellStyle name="Calculation 2 2 3 2 3" xfId="695"/>
    <cellStyle name="Calculation 2 2 3 2 3 2" xfId="696"/>
    <cellStyle name="Calculation 2 2 3 2 3 2 2" xfId="697"/>
    <cellStyle name="Calculation 2 2 3 2 3 3" xfId="698"/>
    <cellStyle name="Calculation 2 2 3 2 3 4" xfId="699"/>
    <cellStyle name="Calculation 2 2 3 2 4" xfId="700"/>
    <cellStyle name="Calculation 2 2 3 2 4 2" xfId="701"/>
    <cellStyle name="Calculation 2 2 3 2 4 2 2" xfId="702"/>
    <cellStyle name="Calculation 2 2 3 2 4 3" xfId="703"/>
    <cellStyle name="Calculation 2 2 3 2 5" xfId="704"/>
    <cellStyle name="Calculation 2 2 3 2 5 2" xfId="705"/>
    <cellStyle name="Calculation 2 2 3 2 6" xfId="706"/>
    <cellStyle name="Calculation 2 2 3 3" xfId="707"/>
    <cellStyle name="Calculation 2 2 3 3 2" xfId="708"/>
    <cellStyle name="Calculation 2 2 3 3 2 2" xfId="709"/>
    <cellStyle name="Calculation 2 2 3 3 2 2 2" xfId="710"/>
    <cellStyle name="Calculation 2 2 3 3 2 2 2 2" xfId="711"/>
    <cellStyle name="Calculation 2 2 3 3 2 2 3" xfId="712"/>
    <cellStyle name="Calculation 2 2 3 3 2 3" xfId="713"/>
    <cellStyle name="Calculation 2 2 3 3 2 3 2" xfId="714"/>
    <cellStyle name="Calculation 2 2 3 3 2 4" xfId="715"/>
    <cellStyle name="Calculation 2 2 3 3 3" xfId="716"/>
    <cellStyle name="Calculation 2 2 3 3 3 2" xfId="717"/>
    <cellStyle name="Calculation 2 2 3 3 3 2 2" xfId="718"/>
    <cellStyle name="Calculation 2 2 3 3 3 3" xfId="719"/>
    <cellStyle name="Calculation 2 2 3 3 3 4" xfId="720"/>
    <cellStyle name="Calculation 2 2 3 3 4" xfId="721"/>
    <cellStyle name="Calculation 2 2 3 3 4 2" xfId="722"/>
    <cellStyle name="Calculation 2 2 3 3 4 2 2" xfId="723"/>
    <cellStyle name="Calculation 2 2 3 3 4 3" xfId="724"/>
    <cellStyle name="Calculation 2 2 3 3 5" xfId="725"/>
    <cellStyle name="Calculation 2 2 3 3 5 2" xfId="726"/>
    <cellStyle name="Calculation 2 2 3 3 6" xfId="727"/>
    <cellStyle name="Calculation 2 2 3 4" xfId="728"/>
    <cellStyle name="Calculation 2 2 3 4 2" xfId="729"/>
    <cellStyle name="Calculation 2 2 3 4 2 2" xfId="730"/>
    <cellStyle name="Calculation 2 2 3 4 2 2 2" xfId="731"/>
    <cellStyle name="Calculation 2 2 3 4 2 2 2 2" xfId="732"/>
    <cellStyle name="Calculation 2 2 3 4 2 2 3" xfId="733"/>
    <cellStyle name="Calculation 2 2 3 4 2 3" xfId="734"/>
    <cellStyle name="Calculation 2 2 3 4 2 3 2" xfId="735"/>
    <cellStyle name="Calculation 2 2 3 4 2 4" xfId="736"/>
    <cellStyle name="Calculation 2 2 3 4 3" xfId="737"/>
    <cellStyle name="Calculation 2 2 3 4 3 2" xfId="738"/>
    <cellStyle name="Calculation 2 2 3 4 3 2 2" xfId="739"/>
    <cellStyle name="Calculation 2 2 3 4 3 3" xfId="740"/>
    <cellStyle name="Calculation 2 2 3 4 3 4" xfId="741"/>
    <cellStyle name="Calculation 2 2 3 4 4" xfId="742"/>
    <cellStyle name="Calculation 2 2 3 4 4 2" xfId="743"/>
    <cellStyle name="Calculation 2 2 3 4 4 2 2" xfId="744"/>
    <cellStyle name="Calculation 2 2 3 4 4 3" xfId="745"/>
    <cellStyle name="Calculation 2 2 3 4 5" xfId="746"/>
    <cellStyle name="Calculation 2 2 3 4 5 2" xfId="747"/>
    <cellStyle name="Calculation 2 2 3 4 6" xfId="748"/>
    <cellStyle name="Calculation 2 2 3 5" xfId="749"/>
    <cellStyle name="Calculation 2 2 3 5 2" xfId="750"/>
    <cellStyle name="Calculation 2 2 4" xfId="751"/>
    <cellStyle name="Calculation 2 2 4 2" xfId="752"/>
    <cellStyle name="Calculation 2 2 4 2 2" xfId="753"/>
    <cellStyle name="Calculation 2 2 4 2 2 2" xfId="754"/>
    <cellStyle name="Calculation 2 2 4 2 2 2 2" xfId="755"/>
    <cellStyle name="Calculation 2 2 4 2 2 2 2 2" xfId="756"/>
    <cellStyle name="Calculation 2 2 4 2 2 2 3" xfId="757"/>
    <cellStyle name="Calculation 2 2 4 2 2 3" xfId="758"/>
    <cellStyle name="Calculation 2 2 4 2 2 3 2" xfId="759"/>
    <cellStyle name="Calculation 2 2 4 2 2 4" xfId="760"/>
    <cellStyle name="Calculation 2 2 4 2 3" xfId="761"/>
    <cellStyle name="Calculation 2 2 4 2 3 2" xfId="762"/>
    <cellStyle name="Calculation 2 2 4 2 3 2 2" xfId="763"/>
    <cellStyle name="Calculation 2 2 4 2 3 3" xfId="764"/>
    <cellStyle name="Calculation 2 2 4 2 3 4" xfId="765"/>
    <cellStyle name="Calculation 2 2 4 2 4" xfId="766"/>
    <cellStyle name="Calculation 2 2 4 2 4 2" xfId="767"/>
    <cellStyle name="Calculation 2 2 4 2 4 2 2" xfId="768"/>
    <cellStyle name="Calculation 2 2 4 2 4 3" xfId="769"/>
    <cellStyle name="Calculation 2 2 4 2 5" xfId="770"/>
    <cellStyle name="Calculation 2 2 4 2 5 2" xfId="771"/>
    <cellStyle name="Calculation 2 2 4 2 6" xfId="772"/>
    <cellStyle name="Calculation 2 2 4 3" xfId="773"/>
    <cellStyle name="Calculation 2 2 4 3 2" xfId="774"/>
    <cellStyle name="Calculation 2 2 4 3 2 2" xfId="775"/>
    <cellStyle name="Calculation 2 2 4 3 2 2 2" xfId="776"/>
    <cellStyle name="Calculation 2 2 4 3 2 2 2 2" xfId="777"/>
    <cellStyle name="Calculation 2 2 4 3 2 2 3" xfId="778"/>
    <cellStyle name="Calculation 2 2 4 3 2 3" xfId="779"/>
    <cellStyle name="Calculation 2 2 4 3 2 3 2" xfId="780"/>
    <cellStyle name="Calculation 2 2 4 3 2 4" xfId="781"/>
    <cellStyle name="Calculation 2 2 4 3 3" xfId="782"/>
    <cellStyle name="Calculation 2 2 4 3 3 2" xfId="783"/>
    <cellStyle name="Calculation 2 2 4 3 3 2 2" xfId="784"/>
    <cellStyle name="Calculation 2 2 4 3 3 3" xfId="785"/>
    <cellStyle name="Calculation 2 2 4 3 3 4" xfId="786"/>
    <cellStyle name="Calculation 2 2 4 3 4" xfId="787"/>
    <cellStyle name="Calculation 2 2 4 3 4 2" xfId="788"/>
    <cellStyle name="Calculation 2 2 4 3 4 2 2" xfId="789"/>
    <cellStyle name="Calculation 2 2 4 3 4 3" xfId="790"/>
    <cellStyle name="Calculation 2 2 4 3 5" xfId="791"/>
    <cellStyle name="Calculation 2 2 4 3 5 2" xfId="792"/>
    <cellStyle name="Calculation 2 2 4 3 6" xfId="793"/>
    <cellStyle name="Calculation 2 2 4 4" xfId="794"/>
    <cellStyle name="Calculation 2 2 4 4 2" xfId="795"/>
    <cellStyle name="Calculation 2 2 4 4 2 2" xfId="796"/>
    <cellStyle name="Calculation 2 2 4 4 2 2 2" xfId="797"/>
    <cellStyle name="Calculation 2 2 4 4 2 3" xfId="798"/>
    <cellStyle name="Calculation 2 2 4 4 3" xfId="799"/>
    <cellStyle name="Calculation 2 2 4 4 3 2" xfId="800"/>
    <cellStyle name="Calculation 2 2 4 4 4" xfId="801"/>
    <cellStyle name="Calculation 2 2 4 5" xfId="802"/>
    <cellStyle name="Calculation 2 2 4 5 2" xfId="803"/>
    <cellStyle name="Calculation 2 2 4 5 2 2" xfId="804"/>
    <cellStyle name="Calculation 2 2 4 5 3" xfId="805"/>
    <cellStyle name="Calculation 2 2 4 5 4" xfId="806"/>
    <cellStyle name="Calculation 2 2 4 6" xfId="807"/>
    <cellStyle name="Calculation 2 2 4 6 2" xfId="808"/>
    <cellStyle name="Calculation 2 2 4 6 2 2" xfId="809"/>
    <cellStyle name="Calculation 2 2 4 6 3" xfId="810"/>
    <cellStyle name="Calculation 2 2 4 7" xfId="811"/>
    <cellStyle name="Calculation 2 2 4 7 2" xfId="812"/>
    <cellStyle name="Calculation 2 2 4 8" xfId="813"/>
    <cellStyle name="Calculation 2 2 5" xfId="814"/>
    <cellStyle name="Calculation 2 2 5 2" xfId="815"/>
    <cellStyle name="Calculation 2 2 5 2 2" xfId="816"/>
    <cellStyle name="Calculation 2 2 5 2 2 2" xfId="817"/>
    <cellStyle name="Calculation 2 2 5 2 2 2 2" xfId="818"/>
    <cellStyle name="Calculation 2 2 5 2 2 3" xfId="819"/>
    <cellStyle name="Calculation 2 2 5 2 3" xfId="820"/>
    <cellStyle name="Calculation 2 2 5 2 3 2" xfId="821"/>
    <cellStyle name="Calculation 2 2 5 2 4" xfId="822"/>
    <cellStyle name="Calculation 2 2 5 3" xfId="823"/>
    <cellStyle name="Calculation 2 2 5 3 2" xfId="824"/>
    <cellStyle name="Calculation 2 2 5 3 2 2" xfId="825"/>
    <cellStyle name="Calculation 2 2 5 3 3" xfId="826"/>
    <cellStyle name="Calculation 2 2 5 3 4" xfId="827"/>
    <cellStyle name="Calculation 2 2 5 4" xfId="828"/>
    <cellStyle name="Calculation 2 2 5 4 2" xfId="829"/>
    <cellStyle name="Calculation 2 2 5 4 2 2" xfId="830"/>
    <cellStyle name="Calculation 2 2 5 4 3" xfId="831"/>
    <cellStyle name="Calculation 2 2 5 5" xfId="832"/>
    <cellStyle name="Calculation 2 2 5 5 2" xfId="833"/>
    <cellStyle name="Calculation 2 2 5 6" xfId="834"/>
    <cellStyle name="Calculation 2 3" xfId="835"/>
    <cellStyle name="Calculation 2 3 2" xfId="836"/>
    <cellStyle name="Calculation 2 3 2 2" xfId="837"/>
    <cellStyle name="Calculation 2 3 2 2 2" xfId="838"/>
    <cellStyle name="Calculation 2 3 2 2 2 2" xfId="839"/>
    <cellStyle name="Calculation 2 3 2 2 2 2 2" xfId="840"/>
    <cellStyle name="Calculation 2 3 2 2 2 2 2 2" xfId="841"/>
    <cellStyle name="Calculation 2 3 2 2 2 2 3" xfId="842"/>
    <cellStyle name="Calculation 2 3 2 2 2 3" xfId="843"/>
    <cellStyle name="Calculation 2 3 2 2 2 3 2" xfId="844"/>
    <cellStyle name="Calculation 2 3 2 2 2 4" xfId="845"/>
    <cellStyle name="Calculation 2 3 2 2 3" xfId="846"/>
    <cellStyle name="Calculation 2 3 2 2 3 2" xfId="847"/>
    <cellStyle name="Calculation 2 3 2 2 3 2 2" xfId="848"/>
    <cellStyle name="Calculation 2 3 2 2 3 3" xfId="849"/>
    <cellStyle name="Calculation 2 3 2 2 3 4" xfId="850"/>
    <cellStyle name="Calculation 2 3 2 2 4" xfId="851"/>
    <cellStyle name="Calculation 2 3 2 2 4 2" xfId="852"/>
    <cellStyle name="Calculation 2 3 2 2 4 2 2" xfId="853"/>
    <cellStyle name="Calculation 2 3 2 2 4 3" xfId="854"/>
    <cellStyle name="Calculation 2 3 2 2 5" xfId="855"/>
    <cellStyle name="Calculation 2 3 2 2 5 2" xfId="856"/>
    <cellStyle name="Calculation 2 3 2 2 6" xfId="857"/>
    <cellStyle name="Calculation 2 3 2 3" xfId="858"/>
    <cellStyle name="Calculation 2 3 2 3 2" xfId="859"/>
    <cellStyle name="Calculation 2 3 2 3 2 2" xfId="860"/>
    <cellStyle name="Calculation 2 3 2 3 2 2 2" xfId="861"/>
    <cellStyle name="Calculation 2 3 2 3 2 2 2 2" xfId="862"/>
    <cellStyle name="Calculation 2 3 2 3 2 2 3" xfId="863"/>
    <cellStyle name="Calculation 2 3 2 3 2 3" xfId="864"/>
    <cellStyle name="Calculation 2 3 2 3 2 3 2" xfId="865"/>
    <cellStyle name="Calculation 2 3 2 3 2 4" xfId="866"/>
    <cellStyle name="Calculation 2 3 2 3 3" xfId="867"/>
    <cellStyle name="Calculation 2 3 2 3 3 2" xfId="868"/>
    <cellStyle name="Calculation 2 3 2 3 3 2 2" xfId="869"/>
    <cellStyle name="Calculation 2 3 2 3 3 3" xfId="870"/>
    <cellStyle name="Calculation 2 3 2 3 3 4" xfId="871"/>
    <cellStyle name="Calculation 2 3 2 3 4" xfId="872"/>
    <cellStyle name="Calculation 2 3 2 3 4 2" xfId="873"/>
    <cellStyle name="Calculation 2 3 2 3 4 2 2" xfId="874"/>
    <cellStyle name="Calculation 2 3 2 3 4 3" xfId="875"/>
    <cellStyle name="Calculation 2 3 2 3 5" xfId="876"/>
    <cellStyle name="Calculation 2 3 2 3 5 2" xfId="877"/>
    <cellStyle name="Calculation 2 3 2 3 6" xfId="878"/>
    <cellStyle name="Calculation 2 3 2 4" xfId="879"/>
    <cellStyle name="Calculation 2 3 2 4 2" xfId="880"/>
    <cellStyle name="Calculation 2 3 2 4 2 2" xfId="881"/>
    <cellStyle name="Calculation 2 3 2 4 2 2 2" xfId="882"/>
    <cellStyle name="Calculation 2 3 2 4 2 2 2 2" xfId="883"/>
    <cellStyle name="Calculation 2 3 2 4 2 2 3" xfId="884"/>
    <cellStyle name="Calculation 2 3 2 4 2 3" xfId="885"/>
    <cellStyle name="Calculation 2 3 2 4 2 3 2" xfId="886"/>
    <cellStyle name="Calculation 2 3 2 4 2 4" xfId="887"/>
    <cellStyle name="Calculation 2 3 2 4 3" xfId="888"/>
    <cellStyle name="Calculation 2 3 2 4 3 2" xfId="889"/>
    <cellStyle name="Calculation 2 3 2 4 3 2 2" xfId="890"/>
    <cellStyle name="Calculation 2 3 2 4 3 3" xfId="891"/>
    <cellStyle name="Calculation 2 3 2 4 3 4" xfId="892"/>
    <cellStyle name="Calculation 2 3 2 4 4" xfId="893"/>
    <cellStyle name="Calculation 2 3 2 4 4 2" xfId="894"/>
    <cellStyle name="Calculation 2 3 2 4 4 2 2" xfId="895"/>
    <cellStyle name="Calculation 2 3 2 4 4 3" xfId="896"/>
    <cellStyle name="Calculation 2 3 2 4 5" xfId="897"/>
    <cellStyle name="Calculation 2 3 2 4 5 2" xfId="898"/>
    <cellStyle name="Calculation 2 3 2 4 6" xfId="899"/>
    <cellStyle name="Calculation 2 3 2 5" xfId="900"/>
    <cellStyle name="Calculation 2 3 2 5 2" xfId="901"/>
    <cellStyle name="Calculation 2 3 3" xfId="902"/>
    <cellStyle name="Calculation 2 3 3 2" xfId="903"/>
    <cellStyle name="Calculation 2 3 3 2 2" xfId="904"/>
    <cellStyle name="Calculation 2 3 3 2 2 2" xfId="905"/>
    <cellStyle name="Calculation 2 3 3 2 2 2 2" xfId="906"/>
    <cellStyle name="Calculation 2 3 3 2 2 3" xfId="907"/>
    <cellStyle name="Calculation 2 3 3 2 3" xfId="908"/>
    <cellStyle name="Calculation 2 3 3 2 3 2" xfId="909"/>
    <cellStyle name="Calculation 2 3 3 2 4" xfId="910"/>
    <cellStyle name="Calculation 2 3 3 3" xfId="911"/>
    <cellStyle name="Calculation 2 3 3 3 2" xfId="912"/>
    <cellStyle name="Calculation 2 3 3 3 2 2" xfId="913"/>
    <cellStyle name="Calculation 2 3 3 3 3" xfId="914"/>
    <cellStyle name="Calculation 2 3 3 3 4" xfId="915"/>
    <cellStyle name="Calculation 2 3 3 4" xfId="916"/>
    <cellStyle name="Calculation 2 3 3 4 2" xfId="917"/>
    <cellStyle name="Calculation 2 3 3 4 2 2" xfId="918"/>
    <cellStyle name="Calculation 2 3 3 4 3" xfId="919"/>
    <cellStyle name="Calculation 2 3 3 5" xfId="920"/>
    <cellStyle name="Calculation 2 3 3 5 2" xfId="921"/>
    <cellStyle name="Calculation 2 3 3 6" xfId="922"/>
    <cellStyle name="Calculation 2 3 4" xfId="923"/>
    <cellStyle name="Calculation 2 3 4 2" xfId="924"/>
    <cellStyle name="Calculation 2 3 4 2 2" xfId="925"/>
    <cellStyle name="Calculation 2 3 4 2 2 2" xfId="926"/>
    <cellStyle name="Calculation 2 3 4 2 2 2 2" xfId="927"/>
    <cellStyle name="Calculation 2 3 4 2 2 3" xfId="928"/>
    <cellStyle name="Calculation 2 3 4 2 3" xfId="929"/>
    <cellStyle name="Calculation 2 3 4 2 3 2" xfId="930"/>
    <cellStyle name="Calculation 2 3 4 2 4" xfId="931"/>
    <cellStyle name="Calculation 2 3 4 3" xfId="932"/>
    <cellStyle name="Calculation 2 3 4 3 2" xfId="933"/>
    <cellStyle name="Calculation 2 3 4 3 2 2" xfId="934"/>
    <cellStyle name="Calculation 2 3 4 3 3" xfId="935"/>
    <cellStyle name="Calculation 2 3 4 3 4" xfId="936"/>
    <cellStyle name="Calculation 2 3 4 4" xfId="937"/>
    <cellStyle name="Calculation 2 3 4 4 2" xfId="938"/>
    <cellStyle name="Calculation 2 3 4 4 2 2" xfId="939"/>
    <cellStyle name="Calculation 2 3 4 4 3" xfId="940"/>
    <cellStyle name="Calculation 2 3 4 5" xfId="941"/>
    <cellStyle name="Calculation 2 3 4 5 2" xfId="942"/>
    <cellStyle name="Calculation 2 3 4 6" xfId="943"/>
    <cellStyle name="Calculation 2 3 5" xfId="944"/>
    <cellStyle name="Calculation 2 3 5 2" xfId="945"/>
    <cellStyle name="Calculation 2 3 5 2 2" xfId="946"/>
    <cellStyle name="Calculation 2 3 5 2 2 2" xfId="947"/>
    <cellStyle name="Calculation 2 3 5 2 2 2 2" xfId="948"/>
    <cellStyle name="Calculation 2 3 5 2 2 3" xfId="949"/>
    <cellStyle name="Calculation 2 3 5 2 3" xfId="950"/>
    <cellStyle name="Calculation 2 3 5 2 3 2" xfId="951"/>
    <cellStyle name="Calculation 2 3 5 2 4" xfId="952"/>
    <cellStyle name="Calculation 2 3 5 3" xfId="953"/>
    <cellStyle name="Calculation 2 3 5 3 2" xfId="954"/>
    <cellStyle name="Calculation 2 3 5 3 2 2" xfId="955"/>
    <cellStyle name="Calculation 2 3 5 3 3" xfId="956"/>
    <cellStyle name="Calculation 2 3 5 3 4" xfId="957"/>
    <cellStyle name="Calculation 2 3 5 4" xfId="958"/>
    <cellStyle name="Calculation 2 3 5 4 2" xfId="959"/>
    <cellStyle name="Calculation 2 3 5 4 2 2" xfId="960"/>
    <cellStyle name="Calculation 2 3 5 4 3" xfId="961"/>
    <cellStyle name="Calculation 2 3 5 5" xfId="962"/>
    <cellStyle name="Calculation 2 3 5 5 2" xfId="963"/>
    <cellStyle name="Calculation 2 3 5 6" xfId="964"/>
    <cellStyle name="Calculation 2 4" xfId="965"/>
    <cellStyle name="Calculation 2 4 2" xfId="966"/>
    <cellStyle name="Calculation 2 4 2 2" xfId="967"/>
    <cellStyle name="Calculation 2 4 2 2 2" xfId="968"/>
    <cellStyle name="Calculation 2 4 2 2 2 2" xfId="969"/>
    <cellStyle name="Calculation 2 4 2 2 2 2 2" xfId="970"/>
    <cellStyle name="Calculation 2 4 2 2 2 3" xfId="971"/>
    <cellStyle name="Calculation 2 4 2 2 3" xfId="972"/>
    <cellStyle name="Calculation 2 4 2 2 3 2" xfId="973"/>
    <cellStyle name="Calculation 2 4 2 2 4" xfId="974"/>
    <cellStyle name="Calculation 2 4 2 3" xfId="975"/>
    <cellStyle name="Calculation 2 4 2 3 2" xfId="976"/>
    <cellStyle name="Calculation 2 4 2 3 2 2" xfId="977"/>
    <cellStyle name="Calculation 2 4 2 3 3" xfId="978"/>
    <cellStyle name="Calculation 2 4 2 3 4" xfId="979"/>
    <cellStyle name="Calculation 2 4 2 4" xfId="980"/>
    <cellStyle name="Calculation 2 4 2 4 2" xfId="981"/>
    <cellStyle name="Calculation 2 4 2 4 2 2" xfId="982"/>
    <cellStyle name="Calculation 2 4 2 4 3" xfId="983"/>
    <cellStyle name="Calculation 2 4 2 5" xfId="984"/>
    <cellStyle name="Calculation 2 4 2 5 2" xfId="985"/>
    <cellStyle name="Calculation 2 4 2 6" xfId="986"/>
    <cellStyle name="Calculation 2 4 3" xfId="987"/>
    <cellStyle name="Calculation 2 4 3 2" xfId="988"/>
    <cellStyle name="Calculation 2 4 3 2 2" xfId="989"/>
    <cellStyle name="Calculation 2 4 3 2 2 2" xfId="990"/>
    <cellStyle name="Calculation 2 4 3 2 2 2 2" xfId="991"/>
    <cellStyle name="Calculation 2 4 3 2 2 3" xfId="992"/>
    <cellStyle name="Calculation 2 4 3 2 3" xfId="993"/>
    <cellStyle name="Calculation 2 4 3 2 3 2" xfId="994"/>
    <cellStyle name="Calculation 2 4 3 2 4" xfId="995"/>
    <cellStyle name="Calculation 2 4 3 3" xfId="996"/>
    <cellStyle name="Calculation 2 4 3 3 2" xfId="997"/>
    <cellStyle name="Calculation 2 4 3 3 2 2" xfId="998"/>
    <cellStyle name="Calculation 2 4 3 3 3" xfId="999"/>
    <cellStyle name="Calculation 2 4 3 3 4" xfId="1000"/>
    <cellStyle name="Calculation 2 4 3 4" xfId="1001"/>
    <cellStyle name="Calculation 2 4 3 4 2" xfId="1002"/>
    <cellStyle name="Calculation 2 4 3 4 2 2" xfId="1003"/>
    <cellStyle name="Calculation 2 4 3 4 3" xfId="1004"/>
    <cellStyle name="Calculation 2 4 3 5" xfId="1005"/>
    <cellStyle name="Calculation 2 4 3 5 2" xfId="1006"/>
    <cellStyle name="Calculation 2 4 3 6" xfId="1007"/>
    <cellStyle name="Calculation 2 4 4" xfId="1008"/>
    <cellStyle name="Calculation 2 4 4 2" xfId="1009"/>
    <cellStyle name="Calculation 2 4 4 2 2" xfId="1010"/>
    <cellStyle name="Calculation 2 4 4 2 2 2" xfId="1011"/>
    <cellStyle name="Calculation 2 4 4 2 2 2 2" xfId="1012"/>
    <cellStyle name="Calculation 2 4 4 2 2 3" xfId="1013"/>
    <cellStyle name="Calculation 2 4 4 2 3" xfId="1014"/>
    <cellStyle name="Calculation 2 4 4 2 3 2" xfId="1015"/>
    <cellStyle name="Calculation 2 4 4 2 4" xfId="1016"/>
    <cellStyle name="Calculation 2 4 4 3" xfId="1017"/>
    <cellStyle name="Calculation 2 4 4 3 2" xfId="1018"/>
    <cellStyle name="Calculation 2 4 4 3 2 2" xfId="1019"/>
    <cellStyle name="Calculation 2 4 4 3 3" xfId="1020"/>
    <cellStyle name="Calculation 2 4 4 3 4" xfId="1021"/>
    <cellStyle name="Calculation 2 4 4 4" xfId="1022"/>
    <cellStyle name="Calculation 2 4 4 4 2" xfId="1023"/>
    <cellStyle name="Calculation 2 4 4 4 2 2" xfId="1024"/>
    <cellStyle name="Calculation 2 4 4 4 3" xfId="1025"/>
    <cellStyle name="Calculation 2 4 4 5" xfId="1026"/>
    <cellStyle name="Calculation 2 4 4 5 2" xfId="1027"/>
    <cellStyle name="Calculation 2 4 4 6" xfId="1028"/>
    <cellStyle name="Calculation 2 4 5" xfId="1029"/>
    <cellStyle name="Calculation 2 4 5 2" xfId="1030"/>
    <cellStyle name="Calculation 2 5" xfId="1031"/>
    <cellStyle name="Calculation 2 5 2" xfId="1032"/>
    <cellStyle name="Calculation 2 5 2 2" xfId="1033"/>
    <cellStyle name="Calculation 2 5 2 2 2" xfId="1034"/>
    <cellStyle name="Calculation 2 5 2 2 2 2" xfId="1035"/>
    <cellStyle name="Calculation 2 5 2 2 2 2 2" xfId="1036"/>
    <cellStyle name="Calculation 2 5 2 2 2 3" xfId="1037"/>
    <cellStyle name="Calculation 2 5 2 2 3" xfId="1038"/>
    <cellStyle name="Calculation 2 5 2 2 3 2" xfId="1039"/>
    <cellStyle name="Calculation 2 5 2 2 4" xfId="1040"/>
    <cellStyle name="Calculation 2 5 2 3" xfId="1041"/>
    <cellStyle name="Calculation 2 5 2 3 2" xfId="1042"/>
    <cellStyle name="Calculation 2 5 2 3 2 2" xfId="1043"/>
    <cellStyle name="Calculation 2 5 2 3 3" xfId="1044"/>
    <cellStyle name="Calculation 2 5 2 3 4" xfId="1045"/>
    <cellStyle name="Calculation 2 5 2 4" xfId="1046"/>
    <cellStyle name="Calculation 2 5 2 4 2" xfId="1047"/>
    <cellStyle name="Calculation 2 5 2 4 2 2" xfId="1048"/>
    <cellStyle name="Calculation 2 5 2 4 3" xfId="1049"/>
    <cellStyle name="Calculation 2 5 2 5" xfId="1050"/>
    <cellStyle name="Calculation 2 5 2 5 2" xfId="1051"/>
    <cellStyle name="Calculation 2 5 2 6" xfId="1052"/>
    <cellStyle name="Calculation 2 5 3" xfId="1053"/>
    <cellStyle name="Calculation 2 5 3 2" xfId="1054"/>
    <cellStyle name="Calculation 2 5 3 2 2" xfId="1055"/>
    <cellStyle name="Calculation 2 5 3 2 2 2" xfId="1056"/>
    <cellStyle name="Calculation 2 5 3 2 2 2 2" xfId="1057"/>
    <cellStyle name="Calculation 2 5 3 2 2 3" xfId="1058"/>
    <cellStyle name="Calculation 2 5 3 2 3" xfId="1059"/>
    <cellStyle name="Calculation 2 5 3 2 3 2" xfId="1060"/>
    <cellStyle name="Calculation 2 5 3 2 4" xfId="1061"/>
    <cellStyle name="Calculation 2 5 3 3" xfId="1062"/>
    <cellStyle name="Calculation 2 5 3 3 2" xfId="1063"/>
    <cellStyle name="Calculation 2 5 3 3 2 2" xfId="1064"/>
    <cellStyle name="Calculation 2 5 3 3 3" xfId="1065"/>
    <cellStyle name="Calculation 2 5 3 3 4" xfId="1066"/>
    <cellStyle name="Calculation 2 5 3 4" xfId="1067"/>
    <cellStyle name="Calculation 2 5 3 4 2" xfId="1068"/>
    <cellStyle name="Calculation 2 5 3 4 2 2" xfId="1069"/>
    <cellStyle name="Calculation 2 5 3 4 3" xfId="1070"/>
    <cellStyle name="Calculation 2 5 3 5" xfId="1071"/>
    <cellStyle name="Calculation 2 5 3 5 2" xfId="1072"/>
    <cellStyle name="Calculation 2 5 3 6" xfId="1073"/>
    <cellStyle name="Calculation 2 5 4" xfId="1074"/>
    <cellStyle name="Calculation 2 5 4 2" xfId="1075"/>
    <cellStyle name="Calculation 2 5 4 2 2" xfId="1076"/>
    <cellStyle name="Calculation 2 5 4 2 2 2" xfId="1077"/>
    <cellStyle name="Calculation 2 5 4 2 3" xfId="1078"/>
    <cellStyle name="Calculation 2 5 4 3" xfId="1079"/>
    <cellStyle name="Calculation 2 5 4 3 2" xfId="1080"/>
    <cellStyle name="Calculation 2 5 4 4" xfId="1081"/>
    <cellStyle name="Calculation 2 5 5" xfId="1082"/>
    <cellStyle name="Calculation 2 5 5 2" xfId="1083"/>
    <cellStyle name="Calculation 2 5 5 2 2" xfId="1084"/>
    <cellStyle name="Calculation 2 5 5 3" xfId="1085"/>
    <cellStyle name="Calculation 2 5 5 4" xfId="1086"/>
    <cellStyle name="Calculation 2 5 6" xfId="1087"/>
    <cellStyle name="Calculation 2 5 6 2" xfId="1088"/>
    <cellStyle name="Calculation 2 5 6 2 2" xfId="1089"/>
    <cellStyle name="Calculation 2 5 6 3" xfId="1090"/>
    <cellStyle name="Calculation 2 5 7" xfId="1091"/>
    <cellStyle name="Calculation 2 5 7 2" xfId="1092"/>
    <cellStyle name="Calculation 2 5 8" xfId="1093"/>
    <cellStyle name="Calculation 2 6" xfId="1094"/>
    <cellStyle name="Calculation 2 6 2" xfId="1095"/>
    <cellStyle name="Calculation 2 6 2 2" xfId="1096"/>
    <cellStyle name="Calculation 2 6 2 2 2" xfId="1097"/>
    <cellStyle name="Calculation 2 6 2 2 2 2" xfId="1098"/>
    <cellStyle name="Calculation 2 6 2 2 3" xfId="1099"/>
    <cellStyle name="Calculation 2 6 2 3" xfId="1100"/>
    <cellStyle name="Calculation 2 6 2 3 2" xfId="1101"/>
    <cellStyle name="Calculation 2 6 2 4" xfId="1102"/>
    <cellStyle name="Calculation 2 6 3" xfId="1103"/>
    <cellStyle name="Calculation 2 6 3 2" xfId="1104"/>
    <cellStyle name="Calculation 2 6 3 2 2" xfId="1105"/>
    <cellStyle name="Calculation 2 6 3 3" xfId="1106"/>
    <cellStyle name="Calculation 2 6 3 4" xfId="1107"/>
    <cellStyle name="Calculation 2 6 4" xfId="1108"/>
    <cellStyle name="Calculation 2 6 4 2" xfId="1109"/>
    <cellStyle name="Calculation 2 6 4 2 2" xfId="1110"/>
    <cellStyle name="Calculation 2 6 4 3" xfId="1111"/>
    <cellStyle name="Calculation 2 6 5" xfId="1112"/>
    <cellStyle name="Calculation 2 6 5 2" xfId="1113"/>
    <cellStyle name="Calculation 2 6 6" xfId="1114"/>
    <cellStyle name="Calculation 3" xfId="1115"/>
    <cellStyle name="Calculation 3 2" xfId="1116"/>
    <cellStyle name="Calculation 3 2 2" xfId="1117"/>
    <cellStyle name="Calculation 3 2 2 2" xfId="1118"/>
    <cellStyle name="Calculation 3 2 2 2 2" xfId="1119"/>
    <cellStyle name="Calculation 3 2 2 2 2 2" xfId="1120"/>
    <cellStyle name="Calculation 3 2 2 2 2 2 2" xfId="1121"/>
    <cellStyle name="Calculation 3 2 2 2 2 2 2 2" xfId="1122"/>
    <cellStyle name="Calculation 3 2 2 2 2 2 3" xfId="1123"/>
    <cellStyle name="Calculation 3 2 2 2 2 3" xfId="1124"/>
    <cellStyle name="Calculation 3 2 2 2 2 3 2" xfId="1125"/>
    <cellStyle name="Calculation 3 2 2 2 2 4" xfId="1126"/>
    <cellStyle name="Calculation 3 2 2 2 3" xfId="1127"/>
    <cellStyle name="Calculation 3 2 2 2 3 2" xfId="1128"/>
    <cellStyle name="Calculation 3 2 2 2 3 2 2" xfId="1129"/>
    <cellStyle name="Calculation 3 2 2 2 3 3" xfId="1130"/>
    <cellStyle name="Calculation 3 2 2 2 3 4" xfId="1131"/>
    <cellStyle name="Calculation 3 2 2 2 4" xfId="1132"/>
    <cellStyle name="Calculation 3 2 2 2 4 2" xfId="1133"/>
    <cellStyle name="Calculation 3 2 2 2 4 2 2" xfId="1134"/>
    <cellStyle name="Calculation 3 2 2 2 4 3" xfId="1135"/>
    <cellStyle name="Calculation 3 2 2 2 5" xfId="1136"/>
    <cellStyle name="Calculation 3 2 2 2 5 2" xfId="1137"/>
    <cellStyle name="Calculation 3 2 2 2 6" xfId="1138"/>
    <cellStyle name="Calculation 3 2 2 3" xfId="1139"/>
    <cellStyle name="Calculation 3 2 2 3 2" xfId="1140"/>
    <cellStyle name="Calculation 3 2 2 3 2 2" xfId="1141"/>
    <cellStyle name="Calculation 3 2 2 3 2 2 2" xfId="1142"/>
    <cellStyle name="Calculation 3 2 2 3 2 2 2 2" xfId="1143"/>
    <cellStyle name="Calculation 3 2 2 3 2 2 3" xfId="1144"/>
    <cellStyle name="Calculation 3 2 2 3 2 3" xfId="1145"/>
    <cellStyle name="Calculation 3 2 2 3 2 3 2" xfId="1146"/>
    <cellStyle name="Calculation 3 2 2 3 2 4" xfId="1147"/>
    <cellStyle name="Calculation 3 2 2 3 3" xfId="1148"/>
    <cellStyle name="Calculation 3 2 2 3 3 2" xfId="1149"/>
    <cellStyle name="Calculation 3 2 2 3 3 2 2" xfId="1150"/>
    <cellStyle name="Calculation 3 2 2 3 3 3" xfId="1151"/>
    <cellStyle name="Calculation 3 2 2 3 3 4" xfId="1152"/>
    <cellStyle name="Calculation 3 2 2 3 4" xfId="1153"/>
    <cellStyle name="Calculation 3 2 2 3 4 2" xfId="1154"/>
    <cellStyle name="Calculation 3 2 2 3 4 2 2" xfId="1155"/>
    <cellStyle name="Calculation 3 2 2 3 4 3" xfId="1156"/>
    <cellStyle name="Calculation 3 2 2 3 5" xfId="1157"/>
    <cellStyle name="Calculation 3 2 2 3 5 2" xfId="1158"/>
    <cellStyle name="Calculation 3 2 2 3 6" xfId="1159"/>
    <cellStyle name="Calculation 3 2 2 4" xfId="1160"/>
    <cellStyle name="Calculation 3 2 2 4 2" xfId="1161"/>
    <cellStyle name="Calculation 3 2 2 4 2 2" xfId="1162"/>
    <cellStyle name="Calculation 3 2 2 4 2 2 2" xfId="1163"/>
    <cellStyle name="Calculation 3 2 2 4 2 2 2 2" xfId="1164"/>
    <cellStyle name="Calculation 3 2 2 4 2 2 3" xfId="1165"/>
    <cellStyle name="Calculation 3 2 2 4 2 3" xfId="1166"/>
    <cellStyle name="Calculation 3 2 2 4 2 3 2" xfId="1167"/>
    <cellStyle name="Calculation 3 2 2 4 2 4" xfId="1168"/>
    <cellStyle name="Calculation 3 2 2 4 3" xfId="1169"/>
    <cellStyle name="Calculation 3 2 2 4 3 2" xfId="1170"/>
    <cellStyle name="Calculation 3 2 2 4 3 2 2" xfId="1171"/>
    <cellStyle name="Calculation 3 2 2 4 3 3" xfId="1172"/>
    <cellStyle name="Calculation 3 2 2 4 3 4" xfId="1173"/>
    <cellStyle name="Calculation 3 2 2 4 4" xfId="1174"/>
    <cellStyle name="Calculation 3 2 2 4 4 2" xfId="1175"/>
    <cellStyle name="Calculation 3 2 2 4 4 2 2" xfId="1176"/>
    <cellStyle name="Calculation 3 2 2 4 4 3" xfId="1177"/>
    <cellStyle name="Calculation 3 2 2 4 5" xfId="1178"/>
    <cellStyle name="Calculation 3 2 2 4 5 2" xfId="1179"/>
    <cellStyle name="Calculation 3 2 2 4 6" xfId="1180"/>
    <cellStyle name="Calculation 3 2 2 5" xfId="1181"/>
    <cellStyle name="Calculation 3 2 2 5 2" xfId="1182"/>
    <cellStyle name="Calculation 3 2 3" xfId="1183"/>
    <cellStyle name="Calculation 3 2 3 2" xfId="1184"/>
    <cellStyle name="Calculation 3 2 3 2 2" xfId="1185"/>
    <cellStyle name="Calculation 3 2 3 2 2 2" xfId="1186"/>
    <cellStyle name="Calculation 3 2 3 2 2 2 2" xfId="1187"/>
    <cellStyle name="Calculation 3 2 3 2 2 3" xfId="1188"/>
    <cellStyle name="Calculation 3 2 3 2 3" xfId="1189"/>
    <cellStyle name="Calculation 3 2 3 2 3 2" xfId="1190"/>
    <cellStyle name="Calculation 3 2 3 2 4" xfId="1191"/>
    <cellStyle name="Calculation 3 2 3 3" xfId="1192"/>
    <cellStyle name="Calculation 3 2 3 3 2" xfId="1193"/>
    <cellStyle name="Calculation 3 2 3 3 2 2" xfId="1194"/>
    <cellStyle name="Calculation 3 2 3 3 3" xfId="1195"/>
    <cellStyle name="Calculation 3 2 3 3 4" xfId="1196"/>
    <cellStyle name="Calculation 3 2 3 4" xfId="1197"/>
    <cellStyle name="Calculation 3 2 3 4 2" xfId="1198"/>
    <cellStyle name="Calculation 3 2 3 4 2 2" xfId="1199"/>
    <cellStyle name="Calculation 3 2 3 4 3" xfId="1200"/>
    <cellStyle name="Calculation 3 2 3 5" xfId="1201"/>
    <cellStyle name="Calculation 3 2 3 5 2" xfId="1202"/>
    <cellStyle name="Calculation 3 2 3 6" xfId="1203"/>
    <cellStyle name="Calculation 3 2 4" xfId="1204"/>
    <cellStyle name="Calculation 3 2 4 2" xfId="1205"/>
    <cellStyle name="Calculation 3 2 4 2 2" xfId="1206"/>
    <cellStyle name="Calculation 3 2 4 2 2 2" xfId="1207"/>
    <cellStyle name="Calculation 3 2 4 2 2 2 2" xfId="1208"/>
    <cellStyle name="Calculation 3 2 4 2 2 3" xfId="1209"/>
    <cellStyle name="Calculation 3 2 4 2 3" xfId="1210"/>
    <cellStyle name="Calculation 3 2 4 2 3 2" xfId="1211"/>
    <cellStyle name="Calculation 3 2 4 2 4" xfId="1212"/>
    <cellStyle name="Calculation 3 2 4 3" xfId="1213"/>
    <cellStyle name="Calculation 3 2 4 3 2" xfId="1214"/>
    <cellStyle name="Calculation 3 2 4 3 2 2" xfId="1215"/>
    <cellStyle name="Calculation 3 2 4 3 3" xfId="1216"/>
    <cellStyle name="Calculation 3 2 4 3 4" xfId="1217"/>
    <cellStyle name="Calculation 3 2 4 4" xfId="1218"/>
    <cellStyle name="Calculation 3 2 4 4 2" xfId="1219"/>
    <cellStyle name="Calculation 3 2 4 4 2 2" xfId="1220"/>
    <cellStyle name="Calculation 3 2 4 4 3" xfId="1221"/>
    <cellStyle name="Calculation 3 2 4 5" xfId="1222"/>
    <cellStyle name="Calculation 3 2 4 5 2" xfId="1223"/>
    <cellStyle name="Calculation 3 2 4 6" xfId="1224"/>
    <cellStyle name="Calculation 3 2 5" xfId="1225"/>
    <cellStyle name="Calculation 3 2 5 2" xfId="1226"/>
    <cellStyle name="Calculation 3 2 5 2 2" xfId="1227"/>
    <cellStyle name="Calculation 3 2 5 2 2 2" xfId="1228"/>
    <cellStyle name="Calculation 3 2 5 2 2 2 2" xfId="1229"/>
    <cellStyle name="Calculation 3 2 5 2 2 3" xfId="1230"/>
    <cellStyle name="Calculation 3 2 5 2 3" xfId="1231"/>
    <cellStyle name="Calculation 3 2 5 2 3 2" xfId="1232"/>
    <cellStyle name="Calculation 3 2 5 2 4" xfId="1233"/>
    <cellStyle name="Calculation 3 2 5 3" xfId="1234"/>
    <cellStyle name="Calculation 3 2 5 3 2" xfId="1235"/>
    <cellStyle name="Calculation 3 2 5 3 2 2" xfId="1236"/>
    <cellStyle name="Calculation 3 2 5 3 3" xfId="1237"/>
    <cellStyle name="Calculation 3 2 5 3 4" xfId="1238"/>
    <cellStyle name="Calculation 3 2 5 4" xfId="1239"/>
    <cellStyle name="Calculation 3 2 5 4 2" xfId="1240"/>
    <cellStyle name="Calculation 3 2 5 4 2 2" xfId="1241"/>
    <cellStyle name="Calculation 3 2 5 4 3" xfId="1242"/>
    <cellStyle name="Calculation 3 2 5 5" xfId="1243"/>
    <cellStyle name="Calculation 3 2 5 5 2" xfId="1244"/>
    <cellStyle name="Calculation 3 2 5 6" xfId="1245"/>
    <cellStyle name="Calculation 3 3" xfId="1246"/>
    <cellStyle name="Calculation 3 3 2" xfId="1247"/>
    <cellStyle name="Calculation 3 3 2 2" xfId="1248"/>
    <cellStyle name="Calculation 3 3 2 2 2" xfId="1249"/>
    <cellStyle name="Calculation 3 3 2 2 2 2" xfId="1250"/>
    <cellStyle name="Calculation 3 3 2 2 2 2 2" xfId="1251"/>
    <cellStyle name="Calculation 3 3 2 2 2 3" xfId="1252"/>
    <cellStyle name="Calculation 3 3 2 2 3" xfId="1253"/>
    <cellStyle name="Calculation 3 3 2 2 3 2" xfId="1254"/>
    <cellStyle name="Calculation 3 3 2 2 4" xfId="1255"/>
    <cellStyle name="Calculation 3 3 2 3" xfId="1256"/>
    <cellStyle name="Calculation 3 3 2 3 2" xfId="1257"/>
    <cellStyle name="Calculation 3 3 2 3 2 2" xfId="1258"/>
    <cellStyle name="Calculation 3 3 2 3 3" xfId="1259"/>
    <cellStyle name="Calculation 3 3 2 3 4" xfId="1260"/>
    <cellStyle name="Calculation 3 3 2 4" xfId="1261"/>
    <cellStyle name="Calculation 3 3 2 4 2" xfId="1262"/>
    <cellStyle name="Calculation 3 3 2 4 2 2" xfId="1263"/>
    <cellStyle name="Calculation 3 3 2 4 3" xfId="1264"/>
    <cellStyle name="Calculation 3 3 2 5" xfId="1265"/>
    <cellStyle name="Calculation 3 3 2 5 2" xfId="1266"/>
    <cellStyle name="Calculation 3 3 2 6" xfId="1267"/>
    <cellStyle name="Calculation 3 3 3" xfId="1268"/>
    <cellStyle name="Calculation 3 3 3 2" xfId="1269"/>
    <cellStyle name="Calculation 3 3 3 2 2" xfId="1270"/>
    <cellStyle name="Calculation 3 3 3 2 2 2" xfId="1271"/>
    <cellStyle name="Calculation 3 3 3 2 2 2 2" xfId="1272"/>
    <cellStyle name="Calculation 3 3 3 2 2 3" xfId="1273"/>
    <cellStyle name="Calculation 3 3 3 2 3" xfId="1274"/>
    <cellStyle name="Calculation 3 3 3 2 3 2" xfId="1275"/>
    <cellStyle name="Calculation 3 3 3 2 4" xfId="1276"/>
    <cellStyle name="Calculation 3 3 3 3" xfId="1277"/>
    <cellStyle name="Calculation 3 3 3 3 2" xfId="1278"/>
    <cellStyle name="Calculation 3 3 3 3 2 2" xfId="1279"/>
    <cellStyle name="Calculation 3 3 3 3 3" xfId="1280"/>
    <cellStyle name="Calculation 3 3 3 3 4" xfId="1281"/>
    <cellStyle name="Calculation 3 3 3 4" xfId="1282"/>
    <cellStyle name="Calculation 3 3 3 4 2" xfId="1283"/>
    <cellStyle name="Calculation 3 3 3 4 2 2" xfId="1284"/>
    <cellStyle name="Calculation 3 3 3 4 3" xfId="1285"/>
    <cellStyle name="Calculation 3 3 3 5" xfId="1286"/>
    <cellStyle name="Calculation 3 3 3 5 2" xfId="1287"/>
    <cellStyle name="Calculation 3 3 3 6" xfId="1288"/>
    <cellStyle name="Calculation 3 3 4" xfId="1289"/>
    <cellStyle name="Calculation 3 3 4 2" xfId="1290"/>
    <cellStyle name="Calculation 3 3 4 2 2" xfId="1291"/>
    <cellStyle name="Calculation 3 3 4 2 2 2" xfId="1292"/>
    <cellStyle name="Calculation 3 3 4 2 2 2 2" xfId="1293"/>
    <cellStyle name="Calculation 3 3 4 2 2 3" xfId="1294"/>
    <cellStyle name="Calculation 3 3 4 2 3" xfId="1295"/>
    <cellStyle name="Calculation 3 3 4 2 3 2" xfId="1296"/>
    <cellStyle name="Calculation 3 3 4 2 4" xfId="1297"/>
    <cellStyle name="Calculation 3 3 4 3" xfId="1298"/>
    <cellStyle name="Calculation 3 3 4 3 2" xfId="1299"/>
    <cellStyle name="Calculation 3 3 4 3 2 2" xfId="1300"/>
    <cellStyle name="Calculation 3 3 4 3 3" xfId="1301"/>
    <cellStyle name="Calculation 3 3 4 3 4" xfId="1302"/>
    <cellStyle name="Calculation 3 3 4 4" xfId="1303"/>
    <cellStyle name="Calculation 3 3 4 4 2" xfId="1304"/>
    <cellStyle name="Calculation 3 3 4 4 2 2" xfId="1305"/>
    <cellStyle name="Calculation 3 3 4 4 3" xfId="1306"/>
    <cellStyle name="Calculation 3 3 4 5" xfId="1307"/>
    <cellStyle name="Calculation 3 3 4 5 2" xfId="1308"/>
    <cellStyle name="Calculation 3 3 4 6" xfId="1309"/>
    <cellStyle name="Calculation 3 3 5" xfId="1310"/>
    <cellStyle name="Calculation 3 3 5 2" xfId="1311"/>
    <cellStyle name="Calculation 3 4" xfId="1312"/>
    <cellStyle name="Calculation 3 4 2" xfId="1313"/>
    <cellStyle name="Calculation 3 4 2 2" xfId="1314"/>
    <cellStyle name="Calculation 3 4 2 2 2" xfId="1315"/>
    <cellStyle name="Calculation 3 4 2 2 2 2" xfId="1316"/>
    <cellStyle name="Calculation 3 4 2 2 2 2 2" xfId="1317"/>
    <cellStyle name="Calculation 3 4 2 2 2 3" xfId="1318"/>
    <cellStyle name="Calculation 3 4 2 2 3" xfId="1319"/>
    <cellStyle name="Calculation 3 4 2 2 3 2" xfId="1320"/>
    <cellStyle name="Calculation 3 4 2 2 4" xfId="1321"/>
    <cellStyle name="Calculation 3 4 2 3" xfId="1322"/>
    <cellStyle name="Calculation 3 4 2 3 2" xfId="1323"/>
    <cellStyle name="Calculation 3 4 2 3 2 2" xfId="1324"/>
    <cellStyle name="Calculation 3 4 2 3 3" xfId="1325"/>
    <cellStyle name="Calculation 3 4 2 3 4" xfId="1326"/>
    <cellStyle name="Calculation 3 4 2 4" xfId="1327"/>
    <cellStyle name="Calculation 3 4 2 4 2" xfId="1328"/>
    <cellStyle name="Calculation 3 4 2 4 2 2" xfId="1329"/>
    <cellStyle name="Calculation 3 4 2 4 3" xfId="1330"/>
    <cellStyle name="Calculation 3 4 2 5" xfId="1331"/>
    <cellStyle name="Calculation 3 4 2 5 2" xfId="1332"/>
    <cellStyle name="Calculation 3 4 2 6" xfId="1333"/>
    <cellStyle name="Calculation 3 4 3" xfId="1334"/>
    <cellStyle name="Calculation 3 4 3 2" xfId="1335"/>
    <cellStyle name="Calculation 3 4 3 2 2" xfId="1336"/>
    <cellStyle name="Calculation 3 4 3 2 2 2" xfId="1337"/>
    <cellStyle name="Calculation 3 4 3 2 2 2 2" xfId="1338"/>
    <cellStyle name="Calculation 3 4 3 2 2 3" xfId="1339"/>
    <cellStyle name="Calculation 3 4 3 2 3" xfId="1340"/>
    <cellStyle name="Calculation 3 4 3 2 3 2" xfId="1341"/>
    <cellStyle name="Calculation 3 4 3 2 4" xfId="1342"/>
    <cellStyle name="Calculation 3 4 3 3" xfId="1343"/>
    <cellStyle name="Calculation 3 4 3 3 2" xfId="1344"/>
    <cellStyle name="Calculation 3 4 3 3 2 2" xfId="1345"/>
    <cellStyle name="Calculation 3 4 3 3 3" xfId="1346"/>
    <cellStyle name="Calculation 3 4 3 3 4" xfId="1347"/>
    <cellStyle name="Calculation 3 4 3 4" xfId="1348"/>
    <cellStyle name="Calculation 3 4 3 4 2" xfId="1349"/>
    <cellStyle name="Calculation 3 4 3 4 2 2" xfId="1350"/>
    <cellStyle name="Calculation 3 4 3 4 3" xfId="1351"/>
    <cellStyle name="Calculation 3 4 3 5" xfId="1352"/>
    <cellStyle name="Calculation 3 4 3 5 2" xfId="1353"/>
    <cellStyle name="Calculation 3 4 3 6" xfId="1354"/>
    <cellStyle name="Calculation 3 4 4" xfId="1355"/>
    <cellStyle name="Calculation 3 4 4 2" xfId="1356"/>
    <cellStyle name="Calculation 3 4 4 2 2" xfId="1357"/>
    <cellStyle name="Calculation 3 4 4 2 2 2" xfId="1358"/>
    <cellStyle name="Calculation 3 4 4 2 3" xfId="1359"/>
    <cellStyle name="Calculation 3 4 4 3" xfId="1360"/>
    <cellStyle name="Calculation 3 4 4 3 2" xfId="1361"/>
    <cellStyle name="Calculation 3 4 4 4" xfId="1362"/>
    <cellStyle name="Calculation 3 4 5" xfId="1363"/>
    <cellStyle name="Calculation 3 4 5 2" xfId="1364"/>
    <cellStyle name="Calculation 3 4 5 2 2" xfId="1365"/>
    <cellStyle name="Calculation 3 4 5 3" xfId="1366"/>
    <cellStyle name="Calculation 3 4 5 4" xfId="1367"/>
    <cellStyle name="Calculation 3 4 6" xfId="1368"/>
    <cellStyle name="Calculation 3 4 6 2" xfId="1369"/>
    <cellStyle name="Calculation 3 4 6 2 2" xfId="1370"/>
    <cellStyle name="Calculation 3 4 6 3" xfId="1371"/>
    <cellStyle name="Calculation 3 4 7" xfId="1372"/>
    <cellStyle name="Calculation 3 4 7 2" xfId="1373"/>
    <cellStyle name="Calculation 3 4 8" xfId="1374"/>
    <cellStyle name="Calculation 3 5" xfId="1375"/>
    <cellStyle name="Calculation 3 5 2" xfId="1376"/>
    <cellStyle name="Calculation 3 5 2 2" xfId="1377"/>
    <cellStyle name="Calculation 3 5 2 2 2" xfId="1378"/>
    <cellStyle name="Calculation 3 5 2 2 2 2" xfId="1379"/>
    <cellStyle name="Calculation 3 5 2 2 3" xfId="1380"/>
    <cellStyle name="Calculation 3 5 2 3" xfId="1381"/>
    <cellStyle name="Calculation 3 5 2 3 2" xfId="1382"/>
    <cellStyle name="Calculation 3 5 2 4" xfId="1383"/>
    <cellStyle name="Calculation 3 5 3" xfId="1384"/>
    <cellStyle name="Calculation 3 5 3 2" xfId="1385"/>
    <cellStyle name="Calculation 3 5 3 2 2" xfId="1386"/>
    <cellStyle name="Calculation 3 5 3 3" xfId="1387"/>
    <cellStyle name="Calculation 3 5 3 4" xfId="1388"/>
    <cellStyle name="Calculation 3 5 4" xfId="1389"/>
    <cellStyle name="Calculation 3 5 4 2" xfId="1390"/>
    <cellStyle name="Calculation 3 5 4 2 2" xfId="1391"/>
    <cellStyle name="Calculation 3 5 4 3" xfId="1392"/>
    <cellStyle name="Calculation 3 5 5" xfId="1393"/>
    <cellStyle name="Calculation 3 5 5 2" xfId="1394"/>
    <cellStyle name="Calculation 3 5 6" xfId="1395"/>
    <cellStyle name="Calculation 4" xfId="1396"/>
    <cellStyle name="Calculation 4 2" xfId="1397"/>
    <cellStyle name="Calculation 4 2 2" xfId="1398"/>
    <cellStyle name="Calculation 4 2 2 2" xfId="1399"/>
    <cellStyle name="Calculation 4 2 2 2 2" xfId="1400"/>
    <cellStyle name="Calculation 4 2 2 2 2 2" xfId="1401"/>
    <cellStyle name="Calculation 4 2 2 2 2 2 2" xfId="1402"/>
    <cellStyle name="Calculation 4 2 2 2 2 3" xfId="1403"/>
    <cellStyle name="Calculation 4 2 2 2 3" xfId="1404"/>
    <cellStyle name="Calculation 4 2 2 2 3 2" xfId="1405"/>
    <cellStyle name="Calculation 4 2 2 2 4" xfId="1406"/>
    <cellStyle name="Calculation 4 2 2 3" xfId="1407"/>
    <cellStyle name="Calculation 4 2 2 3 2" xfId="1408"/>
    <cellStyle name="Calculation 4 2 2 3 2 2" xfId="1409"/>
    <cellStyle name="Calculation 4 2 2 3 3" xfId="1410"/>
    <cellStyle name="Calculation 4 2 2 3 4" xfId="1411"/>
    <cellStyle name="Calculation 4 2 2 4" xfId="1412"/>
    <cellStyle name="Calculation 4 2 2 4 2" xfId="1413"/>
    <cellStyle name="Calculation 4 2 2 4 2 2" xfId="1414"/>
    <cellStyle name="Calculation 4 2 2 4 3" xfId="1415"/>
    <cellStyle name="Calculation 4 2 2 5" xfId="1416"/>
    <cellStyle name="Calculation 4 2 2 5 2" xfId="1417"/>
    <cellStyle name="Calculation 4 2 2 6" xfId="1418"/>
    <cellStyle name="Calculation 4 2 3" xfId="1419"/>
    <cellStyle name="Calculation 4 2 3 2" xfId="1420"/>
    <cellStyle name="Calculation 4 2 3 2 2" xfId="1421"/>
    <cellStyle name="Calculation 4 2 3 2 2 2" xfId="1422"/>
    <cellStyle name="Calculation 4 2 3 2 2 2 2" xfId="1423"/>
    <cellStyle name="Calculation 4 2 3 2 2 3" xfId="1424"/>
    <cellStyle name="Calculation 4 2 3 2 3" xfId="1425"/>
    <cellStyle name="Calculation 4 2 3 2 3 2" xfId="1426"/>
    <cellStyle name="Calculation 4 2 3 2 4" xfId="1427"/>
    <cellStyle name="Calculation 4 2 3 3" xfId="1428"/>
    <cellStyle name="Calculation 4 2 3 3 2" xfId="1429"/>
    <cellStyle name="Calculation 4 2 3 3 2 2" xfId="1430"/>
    <cellStyle name="Calculation 4 2 3 3 3" xfId="1431"/>
    <cellStyle name="Calculation 4 2 3 3 4" xfId="1432"/>
    <cellStyle name="Calculation 4 2 3 4" xfId="1433"/>
    <cellStyle name="Calculation 4 2 3 4 2" xfId="1434"/>
    <cellStyle name="Calculation 4 2 3 4 2 2" xfId="1435"/>
    <cellStyle name="Calculation 4 2 3 4 3" xfId="1436"/>
    <cellStyle name="Calculation 4 2 3 5" xfId="1437"/>
    <cellStyle name="Calculation 4 2 3 5 2" xfId="1438"/>
    <cellStyle name="Calculation 4 2 3 6" xfId="1439"/>
    <cellStyle name="Calculation 4 2 4" xfId="1440"/>
    <cellStyle name="Calculation 4 2 4 2" xfId="1441"/>
    <cellStyle name="Calculation 4 2 4 2 2" xfId="1442"/>
    <cellStyle name="Calculation 4 2 4 2 2 2" xfId="1443"/>
    <cellStyle name="Calculation 4 2 4 2 2 2 2" xfId="1444"/>
    <cellStyle name="Calculation 4 2 4 2 2 3" xfId="1445"/>
    <cellStyle name="Calculation 4 2 4 2 3" xfId="1446"/>
    <cellStyle name="Calculation 4 2 4 2 3 2" xfId="1447"/>
    <cellStyle name="Calculation 4 2 4 2 4" xfId="1448"/>
    <cellStyle name="Calculation 4 2 4 3" xfId="1449"/>
    <cellStyle name="Calculation 4 2 4 3 2" xfId="1450"/>
    <cellStyle name="Calculation 4 2 4 3 2 2" xfId="1451"/>
    <cellStyle name="Calculation 4 2 4 3 3" xfId="1452"/>
    <cellStyle name="Calculation 4 2 4 3 4" xfId="1453"/>
    <cellStyle name="Calculation 4 2 4 4" xfId="1454"/>
    <cellStyle name="Calculation 4 2 4 4 2" xfId="1455"/>
    <cellStyle name="Calculation 4 2 4 4 2 2" xfId="1456"/>
    <cellStyle name="Calculation 4 2 4 4 3" xfId="1457"/>
    <cellStyle name="Calculation 4 2 4 5" xfId="1458"/>
    <cellStyle name="Calculation 4 2 4 5 2" xfId="1459"/>
    <cellStyle name="Calculation 4 2 4 6" xfId="1460"/>
    <cellStyle name="Calculation 4 2 5" xfId="1461"/>
    <cellStyle name="Calculation 4 2 5 2" xfId="1462"/>
    <cellStyle name="Calculation 4 3" xfId="1463"/>
    <cellStyle name="Calculation 4 3 2" xfId="1464"/>
    <cellStyle name="Calculation 4 3 2 2" xfId="1465"/>
    <cellStyle name="Calculation 4 3 2 2 2" xfId="1466"/>
    <cellStyle name="Calculation 4 3 2 2 2 2" xfId="1467"/>
    <cellStyle name="Calculation 4 3 2 2 2 2 2" xfId="1468"/>
    <cellStyle name="Calculation 4 3 2 2 2 3" xfId="1469"/>
    <cellStyle name="Calculation 4 3 2 2 3" xfId="1470"/>
    <cellStyle name="Calculation 4 3 2 2 3 2" xfId="1471"/>
    <cellStyle name="Calculation 4 3 2 2 4" xfId="1472"/>
    <cellStyle name="Calculation 4 3 2 3" xfId="1473"/>
    <cellStyle name="Calculation 4 3 2 3 2" xfId="1474"/>
    <cellStyle name="Calculation 4 3 2 3 2 2" xfId="1475"/>
    <cellStyle name="Calculation 4 3 2 3 3" xfId="1476"/>
    <cellStyle name="Calculation 4 3 2 3 4" xfId="1477"/>
    <cellStyle name="Calculation 4 3 2 4" xfId="1478"/>
    <cellStyle name="Calculation 4 3 2 4 2" xfId="1479"/>
    <cellStyle name="Calculation 4 3 2 4 2 2" xfId="1480"/>
    <cellStyle name="Calculation 4 3 2 4 3" xfId="1481"/>
    <cellStyle name="Calculation 4 3 2 5" xfId="1482"/>
    <cellStyle name="Calculation 4 3 2 5 2" xfId="1483"/>
    <cellStyle name="Calculation 4 3 2 6" xfId="1484"/>
    <cellStyle name="Calculation 4 3 3" xfId="1485"/>
    <cellStyle name="Calculation 4 3 3 2" xfId="1486"/>
    <cellStyle name="Calculation 4 3 3 2 2" xfId="1487"/>
    <cellStyle name="Calculation 4 3 3 2 2 2" xfId="1488"/>
    <cellStyle name="Calculation 4 3 3 2 2 2 2" xfId="1489"/>
    <cellStyle name="Calculation 4 3 3 2 2 3" xfId="1490"/>
    <cellStyle name="Calculation 4 3 3 2 3" xfId="1491"/>
    <cellStyle name="Calculation 4 3 3 2 3 2" xfId="1492"/>
    <cellStyle name="Calculation 4 3 3 2 4" xfId="1493"/>
    <cellStyle name="Calculation 4 3 3 3" xfId="1494"/>
    <cellStyle name="Calculation 4 3 3 3 2" xfId="1495"/>
    <cellStyle name="Calculation 4 3 3 3 2 2" xfId="1496"/>
    <cellStyle name="Calculation 4 3 3 3 3" xfId="1497"/>
    <cellStyle name="Calculation 4 3 3 3 4" xfId="1498"/>
    <cellStyle name="Calculation 4 3 3 4" xfId="1499"/>
    <cellStyle name="Calculation 4 3 3 4 2" xfId="1500"/>
    <cellStyle name="Calculation 4 3 3 4 2 2" xfId="1501"/>
    <cellStyle name="Calculation 4 3 3 4 3" xfId="1502"/>
    <cellStyle name="Calculation 4 3 3 5" xfId="1503"/>
    <cellStyle name="Calculation 4 3 3 5 2" xfId="1504"/>
    <cellStyle name="Calculation 4 3 3 6" xfId="1505"/>
    <cellStyle name="Calculation 4 3 4" xfId="1506"/>
    <cellStyle name="Calculation 4 3 4 2" xfId="1507"/>
    <cellStyle name="Calculation 4 3 4 2 2" xfId="1508"/>
    <cellStyle name="Calculation 4 3 4 2 2 2" xfId="1509"/>
    <cellStyle name="Calculation 4 3 4 2 3" xfId="1510"/>
    <cellStyle name="Calculation 4 3 4 3" xfId="1511"/>
    <cellStyle name="Calculation 4 3 4 3 2" xfId="1512"/>
    <cellStyle name="Calculation 4 3 4 4" xfId="1513"/>
    <cellStyle name="Calculation 4 3 5" xfId="1514"/>
    <cellStyle name="Calculation 4 3 5 2" xfId="1515"/>
    <cellStyle name="Calculation 4 3 5 2 2" xfId="1516"/>
    <cellStyle name="Calculation 4 3 5 3" xfId="1517"/>
    <cellStyle name="Calculation 4 3 5 4" xfId="1518"/>
    <cellStyle name="Calculation 4 3 6" xfId="1519"/>
    <cellStyle name="Calculation 4 3 6 2" xfId="1520"/>
    <cellStyle name="Calculation 4 3 6 2 2" xfId="1521"/>
    <cellStyle name="Calculation 4 3 6 3" xfId="1522"/>
    <cellStyle name="Calculation 4 3 7" xfId="1523"/>
    <cellStyle name="Calculation 4 3 7 2" xfId="1524"/>
    <cellStyle name="Calculation 4 3 8" xfId="1525"/>
    <cellStyle name="Calculation 4 4" xfId="1526"/>
    <cellStyle name="Calculation 4 4 2" xfId="1527"/>
    <cellStyle name="Calculation 4 4 2 2" xfId="1528"/>
    <cellStyle name="Calculation 4 4 2 2 2" xfId="1529"/>
    <cellStyle name="Calculation 4 4 2 2 2 2" xfId="1530"/>
    <cellStyle name="Calculation 4 4 2 2 3" xfId="1531"/>
    <cellStyle name="Calculation 4 4 2 3" xfId="1532"/>
    <cellStyle name="Calculation 4 4 2 3 2" xfId="1533"/>
    <cellStyle name="Calculation 4 4 2 4" xfId="1534"/>
    <cellStyle name="Calculation 4 4 3" xfId="1535"/>
    <cellStyle name="Calculation 4 4 3 2" xfId="1536"/>
    <cellStyle name="Calculation 4 4 3 2 2" xfId="1537"/>
    <cellStyle name="Calculation 4 4 3 3" xfId="1538"/>
    <cellStyle name="Calculation 4 4 3 4" xfId="1539"/>
    <cellStyle name="Calculation 4 4 4" xfId="1540"/>
    <cellStyle name="Calculation 4 4 4 2" xfId="1541"/>
    <cellStyle name="Calculation 4 4 4 2 2" xfId="1542"/>
    <cellStyle name="Calculation 4 4 4 3" xfId="1543"/>
    <cellStyle name="Calculation 4 4 5" xfId="1544"/>
    <cellStyle name="Calculation 4 4 5 2" xfId="1545"/>
    <cellStyle name="Calculation 4 4 6" xfId="1546"/>
    <cellStyle name="Calculation 5" xfId="1547"/>
    <cellStyle name="Calculation 5 2" xfId="1548"/>
    <cellStyle name="Calculation 5 2 2" xfId="1549"/>
    <cellStyle name="Calculation 5 2 2 2" xfId="1550"/>
    <cellStyle name="Calculation 5 2 2 2 2" xfId="1551"/>
    <cellStyle name="Calculation 5 2 2 2 2 2" xfId="1552"/>
    <cellStyle name="Calculation 5 2 2 2 2 2 2" xfId="1553"/>
    <cellStyle name="Calculation 5 2 2 2 2 3" xfId="1554"/>
    <cellStyle name="Calculation 5 2 2 2 3" xfId="1555"/>
    <cellStyle name="Calculation 5 2 2 2 3 2" xfId="1556"/>
    <cellStyle name="Calculation 5 2 2 2 4" xfId="1557"/>
    <cellStyle name="Calculation 5 2 2 3" xfId="1558"/>
    <cellStyle name="Calculation 5 2 2 3 2" xfId="1559"/>
    <cellStyle name="Calculation 5 2 2 3 2 2" xfId="1560"/>
    <cellStyle name="Calculation 5 2 2 3 3" xfId="1561"/>
    <cellStyle name="Calculation 5 2 2 3 4" xfId="1562"/>
    <cellStyle name="Calculation 5 2 2 4" xfId="1563"/>
    <cellStyle name="Calculation 5 2 2 4 2" xfId="1564"/>
    <cellStyle name="Calculation 5 2 2 4 2 2" xfId="1565"/>
    <cellStyle name="Calculation 5 2 2 4 3" xfId="1566"/>
    <cellStyle name="Calculation 5 2 2 5" xfId="1567"/>
    <cellStyle name="Calculation 5 2 2 5 2" xfId="1568"/>
    <cellStyle name="Calculation 5 2 2 6" xfId="1569"/>
    <cellStyle name="Calculation 5 2 3" xfId="1570"/>
    <cellStyle name="Calculation 5 2 3 2" xfId="1571"/>
    <cellStyle name="Calculation 5 2 3 2 2" xfId="1572"/>
    <cellStyle name="Calculation 5 2 3 2 2 2" xfId="1573"/>
    <cellStyle name="Calculation 5 2 3 2 2 2 2" xfId="1574"/>
    <cellStyle name="Calculation 5 2 3 2 2 3" xfId="1575"/>
    <cellStyle name="Calculation 5 2 3 2 3" xfId="1576"/>
    <cellStyle name="Calculation 5 2 3 2 3 2" xfId="1577"/>
    <cellStyle name="Calculation 5 2 3 2 4" xfId="1578"/>
    <cellStyle name="Calculation 5 2 3 3" xfId="1579"/>
    <cellStyle name="Calculation 5 2 3 3 2" xfId="1580"/>
    <cellStyle name="Calculation 5 2 3 3 2 2" xfId="1581"/>
    <cellStyle name="Calculation 5 2 3 3 3" xfId="1582"/>
    <cellStyle name="Calculation 5 2 3 3 4" xfId="1583"/>
    <cellStyle name="Calculation 5 2 3 4" xfId="1584"/>
    <cellStyle name="Calculation 5 2 3 4 2" xfId="1585"/>
    <cellStyle name="Calculation 5 2 3 4 2 2" xfId="1586"/>
    <cellStyle name="Calculation 5 2 3 4 3" xfId="1587"/>
    <cellStyle name="Calculation 5 2 3 5" xfId="1588"/>
    <cellStyle name="Calculation 5 2 3 5 2" xfId="1589"/>
    <cellStyle name="Calculation 5 2 3 6" xfId="1590"/>
    <cellStyle name="Calculation 5 2 4" xfId="1591"/>
    <cellStyle name="Calculation 5 2 4 2" xfId="1592"/>
    <cellStyle name="Calculation 5 2 4 2 2" xfId="1593"/>
    <cellStyle name="Calculation 5 2 4 2 2 2" xfId="1594"/>
    <cellStyle name="Calculation 5 2 4 2 2 2 2" xfId="1595"/>
    <cellStyle name="Calculation 5 2 4 2 2 3" xfId="1596"/>
    <cellStyle name="Calculation 5 2 4 2 3" xfId="1597"/>
    <cellStyle name="Calculation 5 2 4 2 3 2" xfId="1598"/>
    <cellStyle name="Calculation 5 2 4 2 4" xfId="1599"/>
    <cellStyle name="Calculation 5 2 4 3" xfId="1600"/>
    <cellStyle name="Calculation 5 2 4 3 2" xfId="1601"/>
    <cellStyle name="Calculation 5 2 4 3 2 2" xfId="1602"/>
    <cellStyle name="Calculation 5 2 4 3 3" xfId="1603"/>
    <cellStyle name="Calculation 5 2 4 3 4" xfId="1604"/>
    <cellStyle name="Calculation 5 2 4 4" xfId="1605"/>
    <cellStyle name="Calculation 5 2 4 4 2" xfId="1606"/>
    <cellStyle name="Calculation 5 2 4 4 2 2" xfId="1607"/>
    <cellStyle name="Calculation 5 2 4 4 3" xfId="1608"/>
    <cellStyle name="Calculation 5 2 4 5" xfId="1609"/>
    <cellStyle name="Calculation 5 2 4 5 2" xfId="1610"/>
    <cellStyle name="Calculation 5 2 4 6" xfId="1611"/>
    <cellStyle name="Calculation 5 2 5" xfId="1612"/>
    <cellStyle name="Calculation 5 2 5 2" xfId="1613"/>
    <cellStyle name="Calculation 5 3" xfId="1614"/>
    <cellStyle name="Calculation 5 3 2" xfId="1615"/>
    <cellStyle name="Calculation 5 3 2 2" xfId="1616"/>
    <cellStyle name="Calculation 5 3 2 2 2" xfId="1617"/>
    <cellStyle name="Calculation 5 3 2 2 2 2" xfId="1618"/>
    <cellStyle name="Calculation 5 3 2 2 2 2 2" xfId="1619"/>
    <cellStyle name="Calculation 5 3 2 2 2 3" xfId="1620"/>
    <cellStyle name="Calculation 5 3 2 2 3" xfId="1621"/>
    <cellStyle name="Calculation 5 3 2 2 3 2" xfId="1622"/>
    <cellStyle name="Calculation 5 3 2 2 4" xfId="1623"/>
    <cellStyle name="Calculation 5 3 2 3" xfId="1624"/>
    <cellStyle name="Calculation 5 3 2 3 2" xfId="1625"/>
    <cellStyle name="Calculation 5 3 2 3 2 2" xfId="1626"/>
    <cellStyle name="Calculation 5 3 2 3 3" xfId="1627"/>
    <cellStyle name="Calculation 5 3 2 3 4" xfId="1628"/>
    <cellStyle name="Calculation 5 3 2 4" xfId="1629"/>
    <cellStyle name="Calculation 5 3 2 4 2" xfId="1630"/>
    <cellStyle name="Calculation 5 3 2 4 2 2" xfId="1631"/>
    <cellStyle name="Calculation 5 3 2 4 3" xfId="1632"/>
    <cellStyle name="Calculation 5 3 2 5" xfId="1633"/>
    <cellStyle name="Calculation 5 3 2 5 2" xfId="1634"/>
    <cellStyle name="Calculation 5 3 2 6" xfId="1635"/>
    <cellStyle name="Calculation 5 3 3" xfId="1636"/>
    <cellStyle name="Calculation 5 3 3 2" xfId="1637"/>
    <cellStyle name="Calculation 5 3 3 2 2" xfId="1638"/>
    <cellStyle name="Calculation 5 3 3 2 2 2" xfId="1639"/>
    <cellStyle name="Calculation 5 3 3 2 2 2 2" xfId="1640"/>
    <cellStyle name="Calculation 5 3 3 2 2 3" xfId="1641"/>
    <cellStyle name="Calculation 5 3 3 2 3" xfId="1642"/>
    <cellStyle name="Calculation 5 3 3 2 3 2" xfId="1643"/>
    <cellStyle name="Calculation 5 3 3 2 4" xfId="1644"/>
    <cellStyle name="Calculation 5 3 3 3" xfId="1645"/>
    <cellStyle name="Calculation 5 3 3 3 2" xfId="1646"/>
    <cellStyle name="Calculation 5 3 3 3 2 2" xfId="1647"/>
    <cellStyle name="Calculation 5 3 3 3 3" xfId="1648"/>
    <cellStyle name="Calculation 5 3 3 3 4" xfId="1649"/>
    <cellStyle name="Calculation 5 3 3 4" xfId="1650"/>
    <cellStyle name="Calculation 5 3 3 4 2" xfId="1651"/>
    <cellStyle name="Calculation 5 3 3 4 2 2" xfId="1652"/>
    <cellStyle name="Calculation 5 3 3 4 3" xfId="1653"/>
    <cellStyle name="Calculation 5 3 3 5" xfId="1654"/>
    <cellStyle name="Calculation 5 3 3 5 2" xfId="1655"/>
    <cellStyle name="Calculation 5 3 3 6" xfId="1656"/>
    <cellStyle name="Calculation 5 3 4" xfId="1657"/>
    <cellStyle name="Calculation 5 3 4 2" xfId="1658"/>
    <cellStyle name="Calculation 5 3 4 2 2" xfId="1659"/>
    <cellStyle name="Calculation 5 3 4 2 2 2" xfId="1660"/>
    <cellStyle name="Calculation 5 3 4 2 3" xfId="1661"/>
    <cellStyle name="Calculation 5 3 4 3" xfId="1662"/>
    <cellStyle name="Calculation 5 3 4 3 2" xfId="1663"/>
    <cellStyle name="Calculation 5 3 4 4" xfId="1664"/>
    <cellStyle name="Calculation 5 3 5" xfId="1665"/>
    <cellStyle name="Calculation 5 3 5 2" xfId="1666"/>
    <cellStyle name="Calculation 5 3 5 2 2" xfId="1667"/>
    <cellStyle name="Calculation 5 3 5 3" xfId="1668"/>
    <cellStyle name="Calculation 5 3 5 4" xfId="1669"/>
    <cellStyle name="Calculation 5 3 6" xfId="1670"/>
    <cellStyle name="Calculation 5 3 6 2" xfId="1671"/>
    <cellStyle name="Calculation 5 3 6 2 2" xfId="1672"/>
    <cellStyle name="Calculation 5 3 6 3" xfId="1673"/>
    <cellStyle name="Calculation 5 3 7" xfId="1674"/>
    <cellStyle name="Calculation 5 3 7 2" xfId="1675"/>
    <cellStyle name="Calculation 5 3 8" xfId="1676"/>
    <cellStyle name="Calculation 5 4" xfId="1677"/>
    <cellStyle name="Calculation 5 4 2" xfId="1678"/>
    <cellStyle name="Calculation 5 4 2 2" xfId="1679"/>
    <cellStyle name="Calculation 5 4 2 2 2" xfId="1680"/>
    <cellStyle name="Calculation 5 4 2 2 2 2" xfId="1681"/>
    <cellStyle name="Calculation 5 4 2 2 3" xfId="1682"/>
    <cellStyle name="Calculation 5 4 2 3" xfId="1683"/>
    <cellStyle name="Calculation 5 4 2 3 2" xfId="1684"/>
    <cellStyle name="Calculation 5 4 2 4" xfId="1685"/>
    <cellStyle name="Calculation 5 4 3" xfId="1686"/>
    <cellStyle name="Calculation 5 4 3 2" xfId="1687"/>
    <cellStyle name="Calculation 5 4 3 2 2" xfId="1688"/>
    <cellStyle name="Calculation 5 4 3 3" xfId="1689"/>
    <cellStyle name="Calculation 5 4 3 4" xfId="1690"/>
    <cellStyle name="Calculation 5 4 4" xfId="1691"/>
    <cellStyle name="Calculation 5 4 4 2" xfId="1692"/>
    <cellStyle name="Calculation 5 4 4 2 2" xfId="1693"/>
    <cellStyle name="Calculation 5 4 4 3" xfId="1694"/>
    <cellStyle name="Calculation 5 4 5" xfId="1695"/>
    <cellStyle name="Calculation 5 4 5 2" xfId="1696"/>
    <cellStyle name="Calculation 5 4 6" xfId="1697"/>
    <cellStyle name="Calculation 6" xfId="1698"/>
    <cellStyle name="Calculation 6 2" xfId="1699"/>
    <cellStyle name="Calculation 6 2 2" xfId="1700"/>
    <cellStyle name="Calculation 6 2 2 2" xfId="1701"/>
    <cellStyle name="Calculation 6 2 2 2 2" xfId="1702"/>
    <cellStyle name="Calculation 6 2 2 2 2 2" xfId="1703"/>
    <cellStyle name="Calculation 6 2 2 2 2 2 2" xfId="1704"/>
    <cellStyle name="Calculation 6 2 2 2 2 3" xfId="1705"/>
    <cellStyle name="Calculation 6 2 2 2 3" xfId="1706"/>
    <cellStyle name="Calculation 6 2 2 2 3 2" xfId="1707"/>
    <cellStyle name="Calculation 6 2 2 2 4" xfId="1708"/>
    <cellStyle name="Calculation 6 2 2 3" xfId="1709"/>
    <cellStyle name="Calculation 6 2 2 3 2" xfId="1710"/>
    <cellStyle name="Calculation 6 2 2 3 2 2" xfId="1711"/>
    <cellStyle name="Calculation 6 2 2 3 3" xfId="1712"/>
    <cellStyle name="Calculation 6 2 2 3 4" xfId="1713"/>
    <cellStyle name="Calculation 6 2 2 4" xfId="1714"/>
    <cellStyle name="Calculation 6 2 2 4 2" xfId="1715"/>
    <cellStyle name="Calculation 6 2 2 4 2 2" xfId="1716"/>
    <cellStyle name="Calculation 6 2 2 4 3" xfId="1717"/>
    <cellStyle name="Calculation 6 2 2 5" xfId="1718"/>
    <cellStyle name="Calculation 6 2 2 5 2" xfId="1719"/>
    <cellStyle name="Calculation 6 2 2 6" xfId="1720"/>
    <cellStyle name="Calculation 6 2 3" xfId="1721"/>
    <cellStyle name="Calculation 6 2 3 2" xfId="1722"/>
    <cellStyle name="Calculation 6 2 3 2 2" xfId="1723"/>
    <cellStyle name="Calculation 6 2 3 2 2 2" xfId="1724"/>
    <cellStyle name="Calculation 6 2 3 2 2 2 2" xfId="1725"/>
    <cellStyle name="Calculation 6 2 3 2 2 3" xfId="1726"/>
    <cellStyle name="Calculation 6 2 3 2 3" xfId="1727"/>
    <cellStyle name="Calculation 6 2 3 2 3 2" xfId="1728"/>
    <cellStyle name="Calculation 6 2 3 2 4" xfId="1729"/>
    <cellStyle name="Calculation 6 2 3 3" xfId="1730"/>
    <cellStyle name="Calculation 6 2 3 3 2" xfId="1731"/>
    <cellStyle name="Calculation 6 2 3 3 2 2" xfId="1732"/>
    <cellStyle name="Calculation 6 2 3 3 3" xfId="1733"/>
    <cellStyle name="Calculation 6 2 3 3 4" xfId="1734"/>
    <cellStyle name="Calculation 6 2 3 4" xfId="1735"/>
    <cellStyle name="Calculation 6 2 3 4 2" xfId="1736"/>
    <cellStyle name="Calculation 6 2 3 4 2 2" xfId="1737"/>
    <cellStyle name="Calculation 6 2 3 4 3" xfId="1738"/>
    <cellStyle name="Calculation 6 2 3 5" xfId="1739"/>
    <cellStyle name="Calculation 6 2 3 5 2" xfId="1740"/>
    <cellStyle name="Calculation 6 2 3 6" xfId="1741"/>
    <cellStyle name="Calculation 6 2 4" xfId="1742"/>
    <cellStyle name="Calculation 6 2 4 2" xfId="1743"/>
    <cellStyle name="Calculation 6 2 4 2 2" xfId="1744"/>
    <cellStyle name="Calculation 6 2 4 2 2 2" xfId="1745"/>
    <cellStyle name="Calculation 6 2 4 2 3" xfId="1746"/>
    <cellStyle name="Calculation 6 2 4 3" xfId="1747"/>
    <cellStyle name="Calculation 6 2 4 3 2" xfId="1748"/>
    <cellStyle name="Calculation 6 2 4 4" xfId="1749"/>
    <cellStyle name="Calculation 6 2 5" xfId="1750"/>
    <cellStyle name="Calculation 6 2 5 2" xfId="1751"/>
    <cellStyle name="Calculation 6 2 5 2 2" xfId="1752"/>
    <cellStyle name="Calculation 6 2 5 3" xfId="1753"/>
    <cellStyle name="Calculation 6 2 5 4" xfId="1754"/>
    <cellStyle name="Calculation 6 2 6" xfId="1755"/>
    <cellStyle name="Calculation 6 2 6 2" xfId="1756"/>
    <cellStyle name="Calculation 6 2 6 2 2" xfId="1757"/>
    <cellStyle name="Calculation 6 2 6 3" xfId="1758"/>
    <cellStyle name="Calculation 6 2 7" xfId="1759"/>
    <cellStyle name="Calculation 6 2 7 2" xfId="1760"/>
    <cellStyle name="Calculation 6 2 8" xfId="1761"/>
    <cellStyle name="Calculation 6 3" xfId="1762"/>
    <cellStyle name="Calculation 6 3 2" xfId="1763"/>
    <cellStyle name="Calculation 6 3 2 2" xfId="1764"/>
    <cellStyle name="Calculation 6 3 2 2 2" xfId="1765"/>
    <cellStyle name="Calculation 6 3 2 2 2 2" xfId="1766"/>
    <cellStyle name="Calculation 6 3 2 2 3" xfId="1767"/>
    <cellStyle name="Calculation 6 3 2 3" xfId="1768"/>
    <cellStyle name="Calculation 6 3 2 3 2" xfId="1769"/>
    <cellStyle name="Calculation 6 3 2 4" xfId="1770"/>
    <cellStyle name="Calculation 6 3 3" xfId="1771"/>
    <cellStyle name="Calculation 6 3 3 2" xfId="1772"/>
    <cellStyle name="Calculation 6 3 3 2 2" xfId="1773"/>
    <cellStyle name="Calculation 6 3 3 3" xfId="1774"/>
    <cellStyle name="Calculation 6 3 3 4" xfId="1775"/>
    <cellStyle name="Calculation 6 3 4" xfId="1776"/>
    <cellStyle name="Calculation 6 3 4 2" xfId="1777"/>
    <cellStyle name="Calculation 6 3 4 2 2" xfId="1778"/>
    <cellStyle name="Calculation 6 3 4 3" xfId="1779"/>
    <cellStyle name="Calculation 6 3 5" xfId="1780"/>
    <cellStyle name="Calculation 6 3 5 2" xfId="1781"/>
    <cellStyle name="Calculation 6 3 6" xfId="1782"/>
    <cellStyle name="Calculation 6 4" xfId="1783"/>
    <cellStyle name="Calculation 6 4 2" xfId="1784"/>
    <cellStyle name="Calculation 7" xfId="1785"/>
    <cellStyle name="Calculation 7 2" xfId="1786"/>
    <cellStyle name="Calculation 7 2 2" xfId="1787"/>
    <cellStyle name="Calculation 7 2 2 2" xfId="1788"/>
    <cellStyle name="Calculation 7 2 2 2 2" xfId="1789"/>
    <cellStyle name="Calculation 7 2 2 2 2 2" xfId="1790"/>
    <cellStyle name="Calculation 7 2 2 2 3" xfId="1791"/>
    <cellStyle name="Calculation 7 2 2 3" xfId="1792"/>
    <cellStyle name="Calculation 7 2 2 3 2" xfId="1793"/>
    <cellStyle name="Calculation 7 2 2 4" xfId="1794"/>
    <cellStyle name="Calculation 7 2 3" xfId="1795"/>
    <cellStyle name="Calculation 7 2 3 2" xfId="1796"/>
    <cellStyle name="Calculation 7 2 3 2 2" xfId="1797"/>
    <cellStyle name="Calculation 7 2 3 3" xfId="1798"/>
    <cellStyle name="Calculation 7 2 3 4" xfId="1799"/>
    <cellStyle name="Calculation 7 2 4" xfId="1800"/>
    <cellStyle name="Calculation 7 2 4 2" xfId="1801"/>
    <cellStyle name="Calculation 7 2 4 2 2" xfId="1802"/>
    <cellStyle name="Calculation 7 2 4 3" xfId="1803"/>
    <cellStyle name="Calculation 7 2 5" xfId="1804"/>
    <cellStyle name="Calculation 7 2 5 2" xfId="1805"/>
    <cellStyle name="Calculation 7 2 6" xfId="1806"/>
    <cellStyle name="Calculation 7 3" xfId="1807"/>
    <cellStyle name="Calculation 7 3 2" xfId="1808"/>
    <cellStyle name="Calculation 7 3 2 2" xfId="1809"/>
    <cellStyle name="Calculation 7 3 2 2 2" xfId="1810"/>
    <cellStyle name="Calculation 7 3 2 2 2 2" xfId="1811"/>
    <cellStyle name="Calculation 7 3 2 2 3" xfId="1812"/>
    <cellStyle name="Calculation 7 3 2 3" xfId="1813"/>
    <cellStyle name="Calculation 7 3 2 3 2" xfId="1814"/>
    <cellStyle name="Calculation 7 3 2 4" xfId="1815"/>
    <cellStyle name="Calculation 7 3 3" xfId="1816"/>
    <cellStyle name="Calculation 7 3 3 2" xfId="1817"/>
    <cellStyle name="Calculation 7 3 3 2 2" xfId="1818"/>
    <cellStyle name="Calculation 7 3 3 3" xfId="1819"/>
    <cellStyle name="Calculation 7 3 3 4" xfId="1820"/>
    <cellStyle name="Calculation 7 3 4" xfId="1821"/>
    <cellStyle name="Calculation 7 3 4 2" xfId="1822"/>
    <cellStyle name="Calculation 7 3 4 2 2" xfId="1823"/>
    <cellStyle name="Calculation 7 3 4 3" xfId="1824"/>
    <cellStyle name="Calculation 7 3 5" xfId="1825"/>
    <cellStyle name="Calculation 7 3 5 2" xfId="1826"/>
    <cellStyle name="Calculation 7 3 6" xfId="1827"/>
    <cellStyle name="Calculation 7 4" xfId="1828"/>
    <cellStyle name="Calculation 7 4 2" xfId="1829"/>
    <cellStyle name="Calculation 7 4 2 2" xfId="1830"/>
    <cellStyle name="Calculation 7 4 2 2 2" xfId="1831"/>
    <cellStyle name="Calculation 7 4 2 3" xfId="1832"/>
    <cellStyle name="Calculation 7 4 3" xfId="1833"/>
    <cellStyle name="Calculation 7 4 3 2" xfId="1834"/>
    <cellStyle name="Calculation 7 4 4" xfId="1835"/>
    <cellStyle name="Calculation 7 5" xfId="1836"/>
    <cellStyle name="Calculation 7 5 2" xfId="1837"/>
    <cellStyle name="Calculation 7 5 2 2" xfId="1838"/>
    <cellStyle name="Calculation 7 5 3" xfId="1839"/>
    <cellStyle name="Calculation 7 5 4" xfId="1840"/>
    <cellStyle name="Calculation 7 6" xfId="1841"/>
    <cellStyle name="Calculation 7 6 2" xfId="1842"/>
    <cellStyle name="Calculation 7 6 2 2" xfId="1843"/>
    <cellStyle name="Calculation 7 6 3" xfId="1844"/>
    <cellStyle name="Calculation 7 7" xfId="1845"/>
    <cellStyle name="Calculation 7 7 2" xfId="1846"/>
    <cellStyle name="Calculation 7 8" xfId="1847"/>
    <cellStyle name="Check Cell 2" xfId="1848"/>
    <cellStyle name="Check Cell 2 2" xfId="1849"/>
    <cellStyle name="Check Cell 3" xfId="1850"/>
    <cellStyle name="Check Cell 4" xfId="1851"/>
    <cellStyle name="code" xfId="1852"/>
    <cellStyle name="Comma [0] 2" xfId="4"/>
    <cellStyle name="Comma [0] 2 2" xfId="1853"/>
    <cellStyle name="Comma [0] 2 2 2" xfId="1854"/>
    <cellStyle name="Comma [0] 3" xfId="5"/>
    <cellStyle name="Comma [0] 3 2" xfId="1855"/>
    <cellStyle name="Comma [0] 3 2 2" xfId="1856"/>
    <cellStyle name="Comma [0] 4" xfId="1857"/>
    <cellStyle name="Comma [0] 4 2" xfId="1858"/>
    <cellStyle name="Comma [0] 5" xfId="6"/>
    <cellStyle name="Comma 10" xfId="1859"/>
    <cellStyle name="Comma 10 2" xfId="1860"/>
    <cellStyle name="Comma 10 2 2" xfId="1861"/>
    <cellStyle name="Comma 10 2 2 2" xfId="1862"/>
    <cellStyle name="Comma 10 2 2 2 2" xfId="1863"/>
    <cellStyle name="Comma 10 2 2 3" xfId="1864"/>
    <cellStyle name="Comma 10 2 3" xfId="1865"/>
    <cellStyle name="Comma 10 2 3 2" xfId="1866"/>
    <cellStyle name="Comma 10 2 4" xfId="1867"/>
    <cellStyle name="Comma 10 3" xfId="1868"/>
    <cellStyle name="Comma 10 3 2" xfId="1869"/>
    <cellStyle name="Comma 10 3 2 2" xfId="1870"/>
    <cellStyle name="Comma 10 3 3" xfId="1871"/>
    <cellStyle name="Comma 10 4" xfId="1872"/>
    <cellStyle name="Comma 10 4 2" xfId="1873"/>
    <cellStyle name="Comma 10 5" xfId="1874"/>
    <cellStyle name="Comma 10 5 2" xfId="1875"/>
    <cellStyle name="Comma 10 6" xfId="1876"/>
    <cellStyle name="Comma 100" xfId="1877"/>
    <cellStyle name="Comma 101" xfId="1878"/>
    <cellStyle name="Comma 102" xfId="1879"/>
    <cellStyle name="Comma 103" xfId="1880"/>
    <cellStyle name="Comma 104" xfId="1881"/>
    <cellStyle name="Comma 105" xfId="1882"/>
    <cellStyle name="Comma 106" xfId="1883"/>
    <cellStyle name="Comma 107" xfId="1884"/>
    <cellStyle name="Comma 108" xfId="1885"/>
    <cellStyle name="Comma 109" xfId="1886"/>
    <cellStyle name="Comma 11" xfId="1887"/>
    <cellStyle name="Comma 11 2" xfId="1888"/>
    <cellStyle name="Comma 11 2 2" xfId="1889"/>
    <cellStyle name="Comma 11 2 2 2" xfId="1890"/>
    <cellStyle name="Comma 11 2 3" xfId="1891"/>
    <cellStyle name="Comma 11 3" xfId="1892"/>
    <cellStyle name="Comma 11 3 2" xfId="1893"/>
    <cellStyle name="Comma 11 4" xfId="1894"/>
    <cellStyle name="Comma 11 4 2" xfId="1895"/>
    <cellStyle name="Comma 11 5" xfId="1896"/>
    <cellStyle name="Comma 110" xfId="1897"/>
    <cellStyle name="Comma 111" xfId="1898"/>
    <cellStyle name="Comma 112" xfId="1899"/>
    <cellStyle name="Comma 113" xfId="1900"/>
    <cellStyle name="Comma 114" xfId="1901"/>
    <cellStyle name="Comma 115" xfId="1902"/>
    <cellStyle name="Comma 116" xfId="1903"/>
    <cellStyle name="Comma 117" xfId="1904"/>
    <cellStyle name="Comma 118" xfId="1905"/>
    <cellStyle name="Comma 119" xfId="1906"/>
    <cellStyle name="Comma 12" xfId="1907"/>
    <cellStyle name="Comma 12 2" xfId="1908"/>
    <cellStyle name="Comma 12 2 2" xfId="1909"/>
    <cellStyle name="Comma 12 2 2 2" xfId="1910"/>
    <cellStyle name="Comma 12 2 3" xfId="1911"/>
    <cellStyle name="Comma 12 3" xfId="1912"/>
    <cellStyle name="Comma 12 3 2" xfId="1913"/>
    <cellStyle name="Comma 12 4" xfId="1914"/>
    <cellStyle name="Comma 12 4 2" xfId="1915"/>
    <cellStyle name="Comma 12 5" xfId="1916"/>
    <cellStyle name="Comma 120" xfId="1917"/>
    <cellStyle name="Comma 121" xfId="1918"/>
    <cellStyle name="Comma 122" xfId="1919"/>
    <cellStyle name="Comma 123" xfId="1920"/>
    <cellStyle name="Comma 124" xfId="1921"/>
    <cellStyle name="Comma 125" xfId="1922"/>
    <cellStyle name="Comma 126" xfId="1923"/>
    <cellStyle name="Comma 127" xfId="1924"/>
    <cellStyle name="Comma 128" xfId="1925"/>
    <cellStyle name="Comma 13" xfId="1926"/>
    <cellStyle name="Comma 13 2" xfId="1927"/>
    <cellStyle name="Comma 14" xfId="1928"/>
    <cellStyle name="Comma 14 2" xfId="1929"/>
    <cellStyle name="Comma 15" xfId="1930"/>
    <cellStyle name="Comma 15 2" xfId="1931"/>
    <cellStyle name="Comma 16" xfId="1932"/>
    <cellStyle name="Comma 16 2" xfId="1933"/>
    <cellStyle name="Comma 17" xfId="1934"/>
    <cellStyle name="Comma 17 2" xfId="1935"/>
    <cellStyle name="Comma 18" xfId="1936"/>
    <cellStyle name="Comma 18 2" xfId="1937"/>
    <cellStyle name="Comma 19" xfId="1938"/>
    <cellStyle name="Comma 19 2" xfId="1939"/>
    <cellStyle name="Comma 2" xfId="7"/>
    <cellStyle name="Comma 2 2" xfId="1940"/>
    <cellStyle name="Comma 2 2 2" xfId="1941"/>
    <cellStyle name="Comma 2 3" xfId="1942"/>
    <cellStyle name="Comma 20" xfId="1943"/>
    <cellStyle name="Comma 20 2" xfId="1944"/>
    <cellStyle name="Comma 21" xfId="1945"/>
    <cellStyle name="Comma 21 2" xfId="1946"/>
    <cellStyle name="Comma 22" xfId="1947"/>
    <cellStyle name="Comma 23" xfId="1948"/>
    <cellStyle name="Comma 24" xfId="1949"/>
    <cellStyle name="Comma 25" xfId="1950"/>
    <cellStyle name="Comma 26" xfId="1951"/>
    <cellStyle name="Comma 26 2" xfId="1952"/>
    <cellStyle name="Comma 27" xfId="1953"/>
    <cellStyle name="Comma 27 2" xfId="1954"/>
    <cellStyle name="Comma 28" xfId="1955"/>
    <cellStyle name="Comma 28 2" xfId="1956"/>
    <cellStyle name="Comma 29" xfId="1957"/>
    <cellStyle name="Comma 29 2" xfId="1958"/>
    <cellStyle name="Comma 3" xfId="1959"/>
    <cellStyle name="Comma 3 2" xfId="1960"/>
    <cellStyle name="Comma 30" xfId="1961"/>
    <cellStyle name="Comma 30 2" xfId="1962"/>
    <cellStyle name="Comma 31" xfId="1963"/>
    <cellStyle name="Comma 31 2" xfId="1964"/>
    <cellStyle name="Comma 32" xfId="1965"/>
    <cellStyle name="Comma 32 2" xfId="1966"/>
    <cellStyle name="Comma 33" xfId="1967"/>
    <cellStyle name="Comma 33 2" xfId="1968"/>
    <cellStyle name="Comma 34" xfId="1969"/>
    <cellStyle name="Comma 34 2" xfId="1970"/>
    <cellStyle name="Comma 35" xfId="1971"/>
    <cellStyle name="Comma 35 2" xfId="1972"/>
    <cellStyle name="Comma 36" xfId="1973"/>
    <cellStyle name="Comma 36 2" xfId="1974"/>
    <cellStyle name="Comma 37" xfId="1975"/>
    <cellStyle name="Comma 37 2" xfId="1976"/>
    <cellStyle name="Comma 38" xfId="1977"/>
    <cellStyle name="Comma 38 2" xfId="1978"/>
    <cellStyle name="Comma 39" xfId="1979"/>
    <cellStyle name="Comma 39 2" xfId="1980"/>
    <cellStyle name="Comma 4" xfId="1981"/>
    <cellStyle name="Comma 4 2" xfId="1982"/>
    <cellStyle name="Comma 40" xfId="1983"/>
    <cellStyle name="Comma 40 2" xfId="1984"/>
    <cellStyle name="Comma 41" xfId="1985"/>
    <cellStyle name="Comma 41 2" xfId="1986"/>
    <cellStyle name="Comma 42" xfId="1987"/>
    <cellStyle name="Comma 42 2" xfId="1988"/>
    <cellStyle name="Comma 43" xfId="1989"/>
    <cellStyle name="Comma 43 2" xfId="1990"/>
    <cellStyle name="Comma 44" xfId="1991"/>
    <cellStyle name="Comma 44 2" xfId="1992"/>
    <cellStyle name="Comma 45" xfId="1993"/>
    <cellStyle name="Comma 45 2" xfId="1994"/>
    <cellStyle name="Comma 46" xfId="1995"/>
    <cellStyle name="Comma 46 2" xfId="1996"/>
    <cellStyle name="Comma 47" xfId="1997"/>
    <cellStyle name="Comma 47 2" xfId="1998"/>
    <cellStyle name="Comma 48" xfId="1999"/>
    <cellStyle name="Comma 48 2" xfId="2000"/>
    <cellStyle name="Comma 49" xfId="2001"/>
    <cellStyle name="Comma 49 2" xfId="2002"/>
    <cellStyle name="Comma 5" xfId="2003"/>
    <cellStyle name="Comma 5 2" xfId="2004"/>
    <cellStyle name="Comma 5 2 2" xfId="2005"/>
    <cellStyle name="Comma 5 3" xfId="2006"/>
    <cellStyle name="Comma 50" xfId="2007"/>
    <cellStyle name="Comma 50 2" xfId="2008"/>
    <cellStyle name="Comma 51" xfId="2009"/>
    <cellStyle name="Comma 51 2" xfId="2010"/>
    <cellStyle name="Comma 52" xfId="2011"/>
    <cellStyle name="Comma 52 2" xfId="2012"/>
    <cellStyle name="Comma 53" xfId="2013"/>
    <cellStyle name="Comma 53 2" xfId="2014"/>
    <cellStyle name="Comma 54" xfId="2015"/>
    <cellStyle name="Comma 54 2" xfId="2016"/>
    <cellStyle name="Comma 55" xfId="2017"/>
    <cellStyle name="Comma 55 2" xfId="2018"/>
    <cellStyle name="Comma 56" xfId="2019"/>
    <cellStyle name="Comma 56 2" xfId="2020"/>
    <cellStyle name="Comma 57" xfId="2021"/>
    <cellStyle name="Comma 57 2" xfId="2022"/>
    <cellStyle name="Comma 58" xfId="2023"/>
    <cellStyle name="Comma 58 2" xfId="2024"/>
    <cellStyle name="Comma 59" xfId="2025"/>
    <cellStyle name="Comma 59 2" xfId="2026"/>
    <cellStyle name="Comma 6" xfId="2027"/>
    <cellStyle name="Comma 6 2" xfId="2028"/>
    <cellStyle name="Comma 6 2 2" xfId="2029"/>
    <cellStyle name="Comma 6 3" xfId="2030"/>
    <cellStyle name="Comma 60" xfId="2031"/>
    <cellStyle name="Comma 60 2" xfId="2032"/>
    <cellStyle name="Comma 61" xfId="2033"/>
    <cellStyle name="Comma 62" xfId="2034"/>
    <cellStyle name="Comma 63" xfId="2035"/>
    <cellStyle name="Comma 64" xfId="2036"/>
    <cellStyle name="Comma 65" xfId="2037"/>
    <cellStyle name="Comma 66" xfId="2038"/>
    <cellStyle name="Comma 67" xfId="2039"/>
    <cellStyle name="Comma 68" xfId="2040"/>
    <cellStyle name="Comma 69" xfId="2041"/>
    <cellStyle name="Comma 7" xfId="2042"/>
    <cellStyle name="Comma 7 2" xfId="2043"/>
    <cellStyle name="Comma 7 2 2" xfId="2044"/>
    <cellStyle name="Comma 7 2 2 2" xfId="2045"/>
    <cellStyle name="Comma 7 2 3" xfId="2046"/>
    <cellStyle name="Comma 7 3" xfId="2047"/>
    <cellStyle name="Comma 7 3 2" xfId="2048"/>
    <cellStyle name="Comma 7 4" xfId="2049"/>
    <cellStyle name="Comma 7 4 2" xfId="2050"/>
    <cellStyle name="Comma 7 5" xfId="2051"/>
    <cellStyle name="Comma 70" xfId="2052"/>
    <cellStyle name="Comma 71" xfId="2053"/>
    <cellStyle name="Comma 72" xfId="2054"/>
    <cellStyle name="Comma 73" xfId="2055"/>
    <cellStyle name="Comma 74" xfId="2056"/>
    <cellStyle name="Comma 75" xfId="2057"/>
    <cellStyle name="Comma 76" xfId="2058"/>
    <cellStyle name="Comma 77" xfId="2059"/>
    <cellStyle name="Comma 78" xfId="2060"/>
    <cellStyle name="Comma 79" xfId="2061"/>
    <cellStyle name="Comma 8" xfId="2062"/>
    <cellStyle name="Comma 8 2" xfId="2063"/>
    <cellStyle name="Comma 8 2 2" xfId="2064"/>
    <cellStyle name="Comma 8 2 2 2" xfId="2065"/>
    <cellStyle name="Comma 8 2 3" xfId="2066"/>
    <cellStyle name="Comma 8 3" xfId="2067"/>
    <cellStyle name="Comma 8 3 2" xfId="2068"/>
    <cellStyle name="Comma 8 4" xfId="2069"/>
    <cellStyle name="Comma 8 4 2" xfId="2070"/>
    <cellStyle name="Comma 8 5" xfId="2071"/>
    <cellStyle name="Comma 80" xfId="2072"/>
    <cellStyle name="Comma 81" xfId="2073"/>
    <cellStyle name="Comma 82" xfId="2074"/>
    <cellStyle name="Comma 83" xfId="2075"/>
    <cellStyle name="Comma 84" xfId="2076"/>
    <cellStyle name="Comma 85" xfId="2077"/>
    <cellStyle name="Comma 86" xfId="2078"/>
    <cellStyle name="Comma 87" xfId="2079"/>
    <cellStyle name="Comma 88" xfId="2080"/>
    <cellStyle name="Comma 89" xfId="2081"/>
    <cellStyle name="Comma 9" xfId="2082"/>
    <cellStyle name="Comma 9 2" xfId="2083"/>
    <cellStyle name="Comma 9 2 2" xfId="2084"/>
    <cellStyle name="Comma 9 2 2 2" xfId="2085"/>
    <cellStyle name="Comma 9 2 3" xfId="2086"/>
    <cellStyle name="Comma 9 3" xfId="2087"/>
    <cellStyle name="Comma 9 3 2" xfId="2088"/>
    <cellStyle name="Comma 9 4" xfId="2089"/>
    <cellStyle name="Comma 9 4 2" xfId="2090"/>
    <cellStyle name="Comma 9 5" xfId="2091"/>
    <cellStyle name="Comma 90" xfId="2092"/>
    <cellStyle name="Comma 91" xfId="2093"/>
    <cellStyle name="Comma 92" xfId="2094"/>
    <cellStyle name="Comma 93" xfId="2095"/>
    <cellStyle name="Comma 94" xfId="2096"/>
    <cellStyle name="Comma 95" xfId="2097"/>
    <cellStyle name="Comma 96" xfId="2098"/>
    <cellStyle name="Comma 97" xfId="2099"/>
    <cellStyle name="Comma 98" xfId="2100"/>
    <cellStyle name="Comma 99" xfId="2101"/>
    <cellStyle name="COMMENTS" xfId="2102"/>
    <cellStyle name="Currency 2" xfId="2103"/>
    <cellStyle name="Currency 2 2" xfId="2104"/>
    <cellStyle name="Currency 3" xfId="2105"/>
    <cellStyle name="Currency 3 2" xfId="2106"/>
    <cellStyle name="Currency 4" xfId="2107"/>
    <cellStyle name="Currency 4 2" xfId="2108"/>
    <cellStyle name="Currency 5" xfId="2109"/>
    <cellStyle name="Currency 5 2" xfId="2110"/>
    <cellStyle name="Currency 6" xfId="2111"/>
    <cellStyle name="Currency 6 2" xfId="2112"/>
    <cellStyle name="Currency 7" xfId="2113"/>
    <cellStyle name="dash" xfId="2114"/>
    <cellStyle name="Data" xfId="8"/>
    <cellStyle name="Data2" xfId="9"/>
    <cellStyle name="Data5" xfId="10"/>
    <cellStyle name="date" xfId="2115"/>
    <cellStyle name="date 2" xfId="2116"/>
    <cellStyle name="Daymethod" xfId="2117"/>
    <cellStyle name="days" xfId="2118"/>
    <cellStyle name="Dialog" xfId="2119"/>
    <cellStyle name="Explanatory Text 2" xfId="2120"/>
    <cellStyle name="Explanatory Text 3" xfId="2121"/>
    <cellStyle name="FcBackground" xfId="2122"/>
    <cellStyle name="FcBluesFuts" xfId="2123"/>
    <cellStyle name="FcCalculated" xfId="2124"/>
    <cellStyle name="FcCalculated 2" xfId="2125"/>
    <cellStyle name="FcCalculated 3" xfId="2126"/>
    <cellStyle name="FcCalculated_apollo_curves" xfId="2127"/>
    <cellStyle name="FcCalculated2" xfId="2128"/>
    <cellStyle name="FcExtData" xfId="2129"/>
    <cellStyle name="FcFrontFut" xfId="2130"/>
    <cellStyle name="FcFrontRed" xfId="2131"/>
    <cellStyle name="FcGoldFuts" xfId="2132"/>
    <cellStyle name="FcGreenFuts" xfId="2133"/>
    <cellStyle name="FcInput" xfId="2134"/>
    <cellStyle name="FcLabel1" xfId="2135"/>
    <cellStyle name="FcLabel2" xfId="2136"/>
    <cellStyle name="FcNumeric" xfId="2137"/>
    <cellStyle name="FcNumeric 2" xfId="2138"/>
    <cellStyle name="FcRealTime" xfId="2139"/>
    <cellStyle name="FcRealTime 2" xfId="2140"/>
    <cellStyle name="FcRealTime 3" xfId="2141"/>
    <cellStyle name="FcRealTime_apollo_curves" xfId="2142"/>
    <cellStyle name="FcRedFuts" xfId="2143"/>
    <cellStyle name="FcSubHeading" xfId="2144"/>
    <cellStyle name="FcTechHackers" xfId="2145"/>
    <cellStyle name="FcTopLine" xfId="2146"/>
    <cellStyle name="footnote" xfId="2147"/>
    <cellStyle name="footnote2" xfId="2148"/>
    <cellStyle name="GeneralText" xfId="2149"/>
    <cellStyle name="Good 2" xfId="2150"/>
    <cellStyle name="Good 2 2" xfId="2151"/>
    <cellStyle name="Good 3" xfId="2152"/>
    <cellStyle name="Good 4" xfId="2153"/>
    <cellStyle name="Header" xfId="11"/>
    <cellStyle name="Header 2" xfId="2154"/>
    <cellStyle name="Heading 1 2" xfId="2155"/>
    <cellStyle name="Heading 1 2 2" xfId="2156"/>
    <cellStyle name="Heading 1 3" xfId="2157"/>
    <cellStyle name="Heading 1 3 2" xfId="2158"/>
    <cellStyle name="Heading 1 4" xfId="2159"/>
    <cellStyle name="Heading 1 5" xfId="2160"/>
    <cellStyle name="Heading 1 6" xfId="2161"/>
    <cellStyle name="Heading 2 2" xfId="2162"/>
    <cellStyle name="Heading 2 2 2" xfId="2163"/>
    <cellStyle name="Heading 2 3" xfId="2164"/>
    <cellStyle name="Heading 2 4" xfId="2165"/>
    <cellStyle name="Heading 2 5" xfId="2166"/>
    <cellStyle name="Heading 2 6" xfId="2167"/>
    <cellStyle name="Heading 3 2" xfId="2168"/>
    <cellStyle name="Heading 3 2 2" xfId="2169"/>
    <cellStyle name="Heading 3 3" xfId="2170"/>
    <cellStyle name="Heading 3 3 2" xfId="2171"/>
    <cellStyle name="Heading 3 4" xfId="2172"/>
    <cellStyle name="Heading 3 5" xfId="2173"/>
    <cellStyle name="Heading 3 6" xfId="2174"/>
    <cellStyle name="Heading 4 2" xfId="2175"/>
    <cellStyle name="Heading 4 2 2" xfId="2176"/>
    <cellStyle name="Heading 4 3" xfId="2177"/>
    <cellStyle name="Heading 4 4" xfId="2178"/>
    <cellStyle name="Heading 4 5" xfId="2179"/>
    <cellStyle name="Hidden" xfId="12"/>
    <cellStyle name="Hyperlink 2" xfId="2180"/>
    <cellStyle name="Hyperlink 2 2" xfId="2181"/>
    <cellStyle name="Hyperlink 2_Instructions and Positions" xfId="2182"/>
    <cellStyle name="implemented" xfId="2183"/>
    <cellStyle name="Input 2" xfId="2184"/>
    <cellStyle name="Input 2 2" xfId="2185"/>
    <cellStyle name="Input 2 2 2" xfId="2186"/>
    <cellStyle name="Input 2 2 2 2" xfId="2187"/>
    <cellStyle name="Input 2 2 2 2 2" xfId="2188"/>
    <cellStyle name="Input 2 2 2 2 2 2" xfId="2189"/>
    <cellStyle name="Input 2 2 2 2 2 2 2" xfId="2190"/>
    <cellStyle name="Input 2 2 2 2 2 2 2 2" xfId="2191"/>
    <cellStyle name="Input 2 2 2 2 2 2 2 2 2" xfId="2192"/>
    <cellStyle name="Input 2 2 2 2 2 2 2 3" xfId="2193"/>
    <cellStyle name="Input 2 2 2 2 2 2 3" xfId="2194"/>
    <cellStyle name="Input 2 2 2 2 2 2 3 2" xfId="2195"/>
    <cellStyle name="Input 2 2 2 2 2 2 4" xfId="2196"/>
    <cellStyle name="Input 2 2 2 2 2 3" xfId="2197"/>
    <cellStyle name="Input 2 2 2 2 2 3 2" xfId="2198"/>
    <cellStyle name="Input 2 2 2 2 2 3 2 2" xfId="2199"/>
    <cellStyle name="Input 2 2 2 2 2 3 3" xfId="2200"/>
    <cellStyle name="Input 2 2 2 2 2 3 4" xfId="2201"/>
    <cellStyle name="Input 2 2 2 2 2 4" xfId="2202"/>
    <cellStyle name="Input 2 2 2 2 2 4 2" xfId="2203"/>
    <cellStyle name="Input 2 2 2 2 2 4 2 2" xfId="2204"/>
    <cellStyle name="Input 2 2 2 2 2 4 3" xfId="2205"/>
    <cellStyle name="Input 2 2 2 2 2 5" xfId="2206"/>
    <cellStyle name="Input 2 2 2 2 2 5 2" xfId="2207"/>
    <cellStyle name="Input 2 2 2 2 2 6" xfId="2208"/>
    <cellStyle name="Input 2 2 2 2 3" xfId="2209"/>
    <cellStyle name="Input 2 2 2 2 3 2" xfId="2210"/>
    <cellStyle name="Input 2 2 2 2 3 2 2" xfId="2211"/>
    <cellStyle name="Input 2 2 2 2 3 2 2 2" xfId="2212"/>
    <cellStyle name="Input 2 2 2 2 3 2 2 2 2" xfId="2213"/>
    <cellStyle name="Input 2 2 2 2 3 2 2 3" xfId="2214"/>
    <cellStyle name="Input 2 2 2 2 3 2 3" xfId="2215"/>
    <cellStyle name="Input 2 2 2 2 3 2 3 2" xfId="2216"/>
    <cellStyle name="Input 2 2 2 2 3 2 4" xfId="2217"/>
    <cellStyle name="Input 2 2 2 2 3 3" xfId="2218"/>
    <cellStyle name="Input 2 2 2 2 3 3 2" xfId="2219"/>
    <cellStyle name="Input 2 2 2 2 3 3 2 2" xfId="2220"/>
    <cellStyle name="Input 2 2 2 2 3 3 3" xfId="2221"/>
    <cellStyle name="Input 2 2 2 2 3 3 4" xfId="2222"/>
    <cellStyle name="Input 2 2 2 2 3 4" xfId="2223"/>
    <cellStyle name="Input 2 2 2 2 3 4 2" xfId="2224"/>
    <cellStyle name="Input 2 2 2 2 3 4 2 2" xfId="2225"/>
    <cellStyle name="Input 2 2 2 2 3 4 3" xfId="2226"/>
    <cellStyle name="Input 2 2 2 2 3 5" xfId="2227"/>
    <cellStyle name="Input 2 2 2 2 3 5 2" xfId="2228"/>
    <cellStyle name="Input 2 2 2 2 3 6" xfId="2229"/>
    <cellStyle name="Input 2 2 2 2 4" xfId="2230"/>
    <cellStyle name="Input 2 2 2 2 4 2" xfId="2231"/>
    <cellStyle name="Input 2 2 2 2 4 2 2" xfId="2232"/>
    <cellStyle name="Input 2 2 2 2 4 2 2 2" xfId="2233"/>
    <cellStyle name="Input 2 2 2 2 4 2 2 2 2" xfId="2234"/>
    <cellStyle name="Input 2 2 2 2 4 2 2 3" xfId="2235"/>
    <cellStyle name="Input 2 2 2 2 4 2 3" xfId="2236"/>
    <cellStyle name="Input 2 2 2 2 4 2 3 2" xfId="2237"/>
    <cellStyle name="Input 2 2 2 2 4 2 4" xfId="2238"/>
    <cellStyle name="Input 2 2 2 2 4 3" xfId="2239"/>
    <cellStyle name="Input 2 2 2 2 4 3 2" xfId="2240"/>
    <cellStyle name="Input 2 2 2 2 4 3 2 2" xfId="2241"/>
    <cellStyle name="Input 2 2 2 2 4 3 3" xfId="2242"/>
    <cellStyle name="Input 2 2 2 2 4 3 4" xfId="2243"/>
    <cellStyle name="Input 2 2 2 2 4 4" xfId="2244"/>
    <cellStyle name="Input 2 2 2 2 4 4 2" xfId="2245"/>
    <cellStyle name="Input 2 2 2 2 4 4 2 2" xfId="2246"/>
    <cellStyle name="Input 2 2 2 2 4 4 3" xfId="2247"/>
    <cellStyle name="Input 2 2 2 2 4 5" xfId="2248"/>
    <cellStyle name="Input 2 2 2 2 4 5 2" xfId="2249"/>
    <cellStyle name="Input 2 2 2 2 4 6" xfId="2250"/>
    <cellStyle name="Input 2 2 2 2 5" xfId="2251"/>
    <cellStyle name="Input 2 2 2 2 5 2" xfId="2252"/>
    <cellStyle name="Input 2 2 2 3" xfId="2253"/>
    <cellStyle name="Input 2 2 2 3 2" xfId="2254"/>
    <cellStyle name="Input 2 2 2 3 2 2" xfId="2255"/>
    <cellStyle name="Input 2 2 2 3 2 2 2" xfId="2256"/>
    <cellStyle name="Input 2 2 2 3 2 2 2 2" xfId="2257"/>
    <cellStyle name="Input 2 2 2 3 2 2 3" xfId="2258"/>
    <cellStyle name="Input 2 2 2 3 2 3" xfId="2259"/>
    <cellStyle name="Input 2 2 2 3 2 3 2" xfId="2260"/>
    <cellStyle name="Input 2 2 2 3 2 4" xfId="2261"/>
    <cellStyle name="Input 2 2 2 3 3" xfId="2262"/>
    <cellStyle name="Input 2 2 2 3 3 2" xfId="2263"/>
    <cellStyle name="Input 2 2 2 3 3 2 2" xfId="2264"/>
    <cellStyle name="Input 2 2 2 3 3 3" xfId="2265"/>
    <cellStyle name="Input 2 2 2 3 3 4" xfId="2266"/>
    <cellStyle name="Input 2 2 2 3 4" xfId="2267"/>
    <cellStyle name="Input 2 2 2 3 4 2" xfId="2268"/>
    <cellStyle name="Input 2 2 2 3 4 2 2" xfId="2269"/>
    <cellStyle name="Input 2 2 2 3 4 3" xfId="2270"/>
    <cellStyle name="Input 2 2 2 3 5" xfId="2271"/>
    <cellStyle name="Input 2 2 2 3 5 2" xfId="2272"/>
    <cellStyle name="Input 2 2 2 3 6" xfId="2273"/>
    <cellStyle name="Input 2 2 2 4" xfId="2274"/>
    <cellStyle name="Input 2 2 2 4 2" xfId="2275"/>
    <cellStyle name="Input 2 2 2 4 2 2" xfId="2276"/>
    <cellStyle name="Input 2 2 2 4 2 2 2" xfId="2277"/>
    <cellStyle name="Input 2 2 2 4 2 2 2 2" xfId="2278"/>
    <cellStyle name="Input 2 2 2 4 2 2 3" xfId="2279"/>
    <cellStyle name="Input 2 2 2 4 2 3" xfId="2280"/>
    <cellStyle name="Input 2 2 2 4 2 3 2" xfId="2281"/>
    <cellStyle name="Input 2 2 2 4 2 4" xfId="2282"/>
    <cellStyle name="Input 2 2 2 4 3" xfId="2283"/>
    <cellStyle name="Input 2 2 2 4 3 2" xfId="2284"/>
    <cellStyle name="Input 2 2 2 4 3 2 2" xfId="2285"/>
    <cellStyle name="Input 2 2 2 4 3 3" xfId="2286"/>
    <cellStyle name="Input 2 2 2 4 3 4" xfId="2287"/>
    <cellStyle name="Input 2 2 2 4 4" xfId="2288"/>
    <cellStyle name="Input 2 2 2 4 4 2" xfId="2289"/>
    <cellStyle name="Input 2 2 2 4 4 2 2" xfId="2290"/>
    <cellStyle name="Input 2 2 2 4 4 3" xfId="2291"/>
    <cellStyle name="Input 2 2 2 4 5" xfId="2292"/>
    <cellStyle name="Input 2 2 2 4 5 2" xfId="2293"/>
    <cellStyle name="Input 2 2 2 4 6" xfId="2294"/>
    <cellStyle name="Input 2 2 2 5" xfId="2295"/>
    <cellStyle name="Input 2 2 2 5 2" xfId="2296"/>
    <cellStyle name="Input 2 2 2 5 2 2" xfId="2297"/>
    <cellStyle name="Input 2 2 2 5 2 2 2" xfId="2298"/>
    <cellStyle name="Input 2 2 2 5 2 2 2 2" xfId="2299"/>
    <cellStyle name="Input 2 2 2 5 2 2 3" xfId="2300"/>
    <cellStyle name="Input 2 2 2 5 2 3" xfId="2301"/>
    <cellStyle name="Input 2 2 2 5 2 3 2" xfId="2302"/>
    <cellStyle name="Input 2 2 2 5 2 4" xfId="2303"/>
    <cellStyle name="Input 2 2 2 5 3" xfId="2304"/>
    <cellStyle name="Input 2 2 2 5 3 2" xfId="2305"/>
    <cellStyle name="Input 2 2 2 5 3 2 2" xfId="2306"/>
    <cellStyle name="Input 2 2 2 5 3 3" xfId="2307"/>
    <cellStyle name="Input 2 2 2 5 3 4" xfId="2308"/>
    <cellStyle name="Input 2 2 2 5 4" xfId="2309"/>
    <cellStyle name="Input 2 2 2 5 4 2" xfId="2310"/>
    <cellStyle name="Input 2 2 2 5 4 2 2" xfId="2311"/>
    <cellStyle name="Input 2 2 2 5 4 3" xfId="2312"/>
    <cellStyle name="Input 2 2 2 5 5" xfId="2313"/>
    <cellStyle name="Input 2 2 2 5 5 2" xfId="2314"/>
    <cellStyle name="Input 2 2 2 5 6" xfId="2315"/>
    <cellStyle name="Input 2 2 3" xfId="2316"/>
    <cellStyle name="Input 2 2 3 2" xfId="2317"/>
    <cellStyle name="Input 2 2 3 2 2" xfId="2318"/>
    <cellStyle name="Input 2 2 3 2 2 2" xfId="2319"/>
    <cellStyle name="Input 2 2 3 2 2 2 2" xfId="2320"/>
    <cellStyle name="Input 2 2 3 2 2 2 2 2" xfId="2321"/>
    <cellStyle name="Input 2 2 3 2 2 2 3" xfId="2322"/>
    <cellStyle name="Input 2 2 3 2 2 3" xfId="2323"/>
    <cellStyle name="Input 2 2 3 2 2 3 2" xfId="2324"/>
    <cellStyle name="Input 2 2 3 2 2 4" xfId="2325"/>
    <cellStyle name="Input 2 2 3 2 3" xfId="2326"/>
    <cellStyle name="Input 2 2 3 2 3 2" xfId="2327"/>
    <cellStyle name="Input 2 2 3 2 3 2 2" xfId="2328"/>
    <cellStyle name="Input 2 2 3 2 3 3" xfId="2329"/>
    <cellStyle name="Input 2 2 3 2 3 4" xfId="2330"/>
    <cellStyle name="Input 2 2 3 2 4" xfId="2331"/>
    <cellStyle name="Input 2 2 3 2 4 2" xfId="2332"/>
    <cellStyle name="Input 2 2 3 2 4 2 2" xfId="2333"/>
    <cellStyle name="Input 2 2 3 2 4 3" xfId="2334"/>
    <cellStyle name="Input 2 2 3 2 5" xfId="2335"/>
    <cellStyle name="Input 2 2 3 2 5 2" xfId="2336"/>
    <cellStyle name="Input 2 2 3 2 6" xfId="2337"/>
    <cellStyle name="Input 2 2 3 3" xfId="2338"/>
    <cellStyle name="Input 2 2 3 3 2" xfId="2339"/>
    <cellStyle name="Input 2 2 3 3 2 2" xfId="2340"/>
    <cellStyle name="Input 2 2 3 3 2 2 2" xfId="2341"/>
    <cellStyle name="Input 2 2 3 3 2 2 2 2" xfId="2342"/>
    <cellStyle name="Input 2 2 3 3 2 2 3" xfId="2343"/>
    <cellStyle name="Input 2 2 3 3 2 3" xfId="2344"/>
    <cellStyle name="Input 2 2 3 3 2 3 2" xfId="2345"/>
    <cellStyle name="Input 2 2 3 3 2 4" xfId="2346"/>
    <cellStyle name="Input 2 2 3 3 3" xfId="2347"/>
    <cellStyle name="Input 2 2 3 3 3 2" xfId="2348"/>
    <cellStyle name="Input 2 2 3 3 3 2 2" xfId="2349"/>
    <cellStyle name="Input 2 2 3 3 3 3" xfId="2350"/>
    <cellStyle name="Input 2 2 3 3 3 4" xfId="2351"/>
    <cellStyle name="Input 2 2 3 3 4" xfId="2352"/>
    <cellStyle name="Input 2 2 3 3 4 2" xfId="2353"/>
    <cellStyle name="Input 2 2 3 3 4 2 2" xfId="2354"/>
    <cellStyle name="Input 2 2 3 3 4 3" xfId="2355"/>
    <cellStyle name="Input 2 2 3 3 5" xfId="2356"/>
    <cellStyle name="Input 2 2 3 3 5 2" xfId="2357"/>
    <cellStyle name="Input 2 2 3 3 6" xfId="2358"/>
    <cellStyle name="Input 2 2 3 4" xfId="2359"/>
    <cellStyle name="Input 2 2 3 4 2" xfId="2360"/>
    <cellStyle name="Input 2 2 3 4 2 2" xfId="2361"/>
    <cellStyle name="Input 2 2 3 4 2 2 2" xfId="2362"/>
    <cellStyle name="Input 2 2 3 4 2 2 2 2" xfId="2363"/>
    <cellStyle name="Input 2 2 3 4 2 2 3" xfId="2364"/>
    <cellStyle name="Input 2 2 3 4 2 3" xfId="2365"/>
    <cellStyle name="Input 2 2 3 4 2 3 2" xfId="2366"/>
    <cellStyle name="Input 2 2 3 4 2 4" xfId="2367"/>
    <cellStyle name="Input 2 2 3 4 3" xfId="2368"/>
    <cellStyle name="Input 2 2 3 4 3 2" xfId="2369"/>
    <cellStyle name="Input 2 2 3 4 3 2 2" xfId="2370"/>
    <cellStyle name="Input 2 2 3 4 3 3" xfId="2371"/>
    <cellStyle name="Input 2 2 3 4 3 4" xfId="2372"/>
    <cellStyle name="Input 2 2 3 4 4" xfId="2373"/>
    <cellStyle name="Input 2 2 3 4 4 2" xfId="2374"/>
    <cellStyle name="Input 2 2 3 4 4 2 2" xfId="2375"/>
    <cellStyle name="Input 2 2 3 4 4 3" xfId="2376"/>
    <cellStyle name="Input 2 2 3 4 5" xfId="2377"/>
    <cellStyle name="Input 2 2 3 4 5 2" xfId="2378"/>
    <cellStyle name="Input 2 2 3 4 6" xfId="2379"/>
    <cellStyle name="Input 2 2 3 5" xfId="2380"/>
    <cellStyle name="Input 2 2 3 5 2" xfId="2381"/>
    <cellStyle name="Input 2 2 4" xfId="2382"/>
    <cellStyle name="Input 2 2 4 2" xfId="2383"/>
    <cellStyle name="Input 2 2 4 2 2" xfId="2384"/>
    <cellStyle name="Input 2 2 4 2 2 2" xfId="2385"/>
    <cellStyle name="Input 2 2 4 2 2 2 2" xfId="2386"/>
    <cellStyle name="Input 2 2 4 2 2 2 2 2" xfId="2387"/>
    <cellStyle name="Input 2 2 4 2 2 2 3" xfId="2388"/>
    <cellStyle name="Input 2 2 4 2 2 3" xfId="2389"/>
    <cellStyle name="Input 2 2 4 2 2 3 2" xfId="2390"/>
    <cellStyle name="Input 2 2 4 2 2 4" xfId="2391"/>
    <cellStyle name="Input 2 2 4 2 3" xfId="2392"/>
    <cellStyle name="Input 2 2 4 2 3 2" xfId="2393"/>
    <cellStyle name="Input 2 2 4 2 3 2 2" xfId="2394"/>
    <cellStyle name="Input 2 2 4 2 3 3" xfId="2395"/>
    <cellStyle name="Input 2 2 4 2 3 4" xfId="2396"/>
    <cellStyle name="Input 2 2 4 2 4" xfId="2397"/>
    <cellStyle name="Input 2 2 4 2 4 2" xfId="2398"/>
    <cellStyle name="Input 2 2 4 2 4 2 2" xfId="2399"/>
    <cellStyle name="Input 2 2 4 2 4 3" xfId="2400"/>
    <cellStyle name="Input 2 2 4 2 5" xfId="2401"/>
    <cellStyle name="Input 2 2 4 2 5 2" xfId="2402"/>
    <cellStyle name="Input 2 2 4 2 6" xfId="2403"/>
    <cellStyle name="Input 2 2 4 3" xfId="2404"/>
    <cellStyle name="Input 2 2 4 3 2" xfId="2405"/>
    <cellStyle name="Input 2 2 4 3 2 2" xfId="2406"/>
    <cellStyle name="Input 2 2 4 3 2 2 2" xfId="2407"/>
    <cellStyle name="Input 2 2 4 3 2 2 2 2" xfId="2408"/>
    <cellStyle name="Input 2 2 4 3 2 2 3" xfId="2409"/>
    <cellStyle name="Input 2 2 4 3 2 3" xfId="2410"/>
    <cellStyle name="Input 2 2 4 3 2 3 2" xfId="2411"/>
    <cellStyle name="Input 2 2 4 3 2 4" xfId="2412"/>
    <cellStyle name="Input 2 2 4 3 3" xfId="2413"/>
    <cellStyle name="Input 2 2 4 3 3 2" xfId="2414"/>
    <cellStyle name="Input 2 2 4 3 3 2 2" xfId="2415"/>
    <cellStyle name="Input 2 2 4 3 3 3" xfId="2416"/>
    <cellStyle name="Input 2 2 4 3 3 4" xfId="2417"/>
    <cellStyle name="Input 2 2 4 3 4" xfId="2418"/>
    <cellStyle name="Input 2 2 4 3 4 2" xfId="2419"/>
    <cellStyle name="Input 2 2 4 3 4 2 2" xfId="2420"/>
    <cellStyle name="Input 2 2 4 3 4 3" xfId="2421"/>
    <cellStyle name="Input 2 2 4 3 5" xfId="2422"/>
    <cellStyle name="Input 2 2 4 3 5 2" xfId="2423"/>
    <cellStyle name="Input 2 2 4 3 6" xfId="2424"/>
    <cellStyle name="Input 2 2 4 4" xfId="2425"/>
    <cellStyle name="Input 2 2 4 4 2" xfId="2426"/>
    <cellStyle name="Input 2 2 4 4 2 2" xfId="2427"/>
    <cellStyle name="Input 2 2 4 4 2 2 2" xfId="2428"/>
    <cellStyle name="Input 2 2 4 4 2 3" xfId="2429"/>
    <cellStyle name="Input 2 2 4 4 3" xfId="2430"/>
    <cellStyle name="Input 2 2 4 4 3 2" xfId="2431"/>
    <cellStyle name="Input 2 2 4 4 4" xfId="2432"/>
    <cellStyle name="Input 2 2 4 5" xfId="2433"/>
    <cellStyle name="Input 2 2 4 5 2" xfId="2434"/>
    <cellStyle name="Input 2 2 4 5 2 2" xfId="2435"/>
    <cellStyle name="Input 2 2 4 5 3" xfId="2436"/>
    <cellStyle name="Input 2 2 4 5 4" xfId="2437"/>
    <cellStyle name="Input 2 2 4 6" xfId="2438"/>
    <cellStyle name="Input 2 2 4 6 2" xfId="2439"/>
    <cellStyle name="Input 2 2 4 6 2 2" xfId="2440"/>
    <cellStyle name="Input 2 2 4 6 3" xfId="2441"/>
    <cellStyle name="Input 2 2 4 7" xfId="2442"/>
    <cellStyle name="Input 2 2 4 7 2" xfId="2443"/>
    <cellStyle name="Input 2 2 4 8" xfId="2444"/>
    <cellStyle name="Input 2 2 5" xfId="2445"/>
    <cellStyle name="Input 2 2 5 2" xfId="2446"/>
    <cellStyle name="Input 2 2 5 2 2" xfId="2447"/>
    <cellStyle name="Input 2 2 5 2 2 2" xfId="2448"/>
    <cellStyle name="Input 2 2 5 2 2 2 2" xfId="2449"/>
    <cellStyle name="Input 2 2 5 2 2 3" xfId="2450"/>
    <cellStyle name="Input 2 2 5 2 3" xfId="2451"/>
    <cellStyle name="Input 2 2 5 2 3 2" xfId="2452"/>
    <cellStyle name="Input 2 2 5 2 4" xfId="2453"/>
    <cellStyle name="Input 2 2 5 3" xfId="2454"/>
    <cellStyle name="Input 2 2 5 3 2" xfId="2455"/>
    <cellStyle name="Input 2 2 5 3 2 2" xfId="2456"/>
    <cellStyle name="Input 2 2 5 3 3" xfId="2457"/>
    <cellStyle name="Input 2 2 5 3 4" xfId="2458"/>
    <cellStyle name="Input 2 2 5 4" xfId="2459"/>
    <cellStyle name="Input 2 2 5 4 2" xfId="2460"/>
    <cellStyle name="Input 2 2 5 4 2 2" xfId="2461"/>
    <cellStyle name="Input 2 2 5 4 3" xfId="2462"/>
    <cellStyle name="Input 2 2 5 5" xfId="2463"/>
    <cellStyle name="Input 2 2 5 5 2" xfId="2464"/>
    <cellStyle name="Input 2 2 5 6" xfId="2465"/>
    <cellStyle name="Input 2 3" xfId="2466"/>
    <cellStyle name="Input 2 3 2" xfId="2467"/>
    <cellStyle name="Input 2 3 2 2" xfId="2468"/>
    <cellStyle name="Input 2 3 2 2 2" xfId="2469"/>
    <cellStyle name="Input 2 3 2 2 2 2" xfId="2470"/>
    <cellStyle name="Input 2 3 2 2 2 2 2" xfId="2471"/>
    <cellStyle name="Input 2 3 2 2 2 2 2 2" xfId="2472"/>
    <cellStyle name="Input 2 3 2 2 2 2 3" xfId="2473"/>
    <cellStyle name="Input 2 3 2 2 2 3" xfId="2474"/>
    <cellStyle name="Input 2 3 2 2 2 3 2" xfId="2475"/>
    <cellStyle name="Input 2 3 2 2 2 4" xfId="2476"/>
    <cellStyle name="Input 2 3 2 2 3" xfId="2477"/>
    <cellStyle name="Input 2 3 2 2 3 2" xfId="2478"/>
    <cellStyle name="Input 2 3 2 2 3 2 2" xfId="2479"/>
    <cellStyle name="Input 2 3 2 2 3 3" xfId="2480"/>
    <cellStyle name="Input 2 3 2 2 3 4" xfId="2481"/>
    <cellStyle name="Input 2 3 2 2 4" xfId="2482"/>
    <cellStyle name="Input 2 3 2 2 4 2" xfId="2483"/>
    <cellStyle name="Input 2 3 2 2 4 2 2" xfId="2484"/>
    <cellStyle name="Input 2 3 2 2 4 3" xfId="2485"/>
    <cellStyle name="Input 2 3 2 2 5" xfId="2486"/>
    <cellStyle name="Input 2 3 2 2 5 2" xfId="2487"/>
    <cellStyle name="Input 2 3 2 2 6" xfId="2488"/>
    <cellStyle name="Input 2 3 2 3" xfId="2489"/>
    <cellStyle name="Input 2 3 2 3 2" xfId="2490"/>
    <cellStyle name="Input 2 3 2 3 2 2" xfId="2491"/>
    <cellStyle name="Input 2 3 2 3 2 2 2" xfId="2492"/>
    <cellStyle name="Input 2 3 2 3 2 2 2 2" xfId="2493"/>
    <cellStyle name="Input 2 3 2 3 2 2 3" xfId="2494"/>
    <cellStyle name="Input 2 3 2 3 2 3" xfId="2495"/>
    <cellStyle name="Input 2 3 2 3 2 3 2" xfId="2496"/>
    <cellStyle name="Input 2 3 2 3 2 4" xfId="2497"/>
    <cellStyle name="Input 2 3 2 3 3" xfId="2498"/>
    <cellStyle name="Input 2 3 2 3 3 2" xfId="2499"/>
    <cellStyle name="Input 2 3 2 3 3 2 2" xfId="2500"/>
    <cellStyle name="Input 2 3 2 3 3 3" xfId="2501"/>
    <cellStyle name="Input 2 3 2 3 3 4" xfId="2502"/>
    <cellStyle name="Input 2 3 2 3 4" xfId="2503"/>
    <cellStyle name="Input 2 3 2 3 4 2" xfId="2504"/>
    <cellStyle name="Input 2 3 2 3 4 2 2" xfId="2505"/>
    <cellStyle name="Input 2 3 2 3 4 3" xfId="2506"/>
    <cellStyle name="Input 2 3 2 3 5" xfId="2507"/>
    <cellStyle name="Input 2 3 2 3 5 2" xfId="2508"/>
    <cellStyle name="Input 2 3 2 3 6" xfId="2509"/>
    <cellStyle name="Input 2 3 2 4" xfId="2510"/>
    <cellStyle name="Input 2 3 2 4 2" xfId="2511"/>
    <cellStyle name="Input 2 3 2 4 2 2" xfId="2512"/>
    <cellStyle name="Input 2 3 2 4 2 2 2" xfId="2513"/>
    <cellStyle name="Input 2 3 2 4 2 2 2 2" xfId="2514"/>
    <cellStyle name="Input 2 3 2 4 2 2 3" xfId="2515"/>
    <cellStyle name="Input 2 3 2 4 2 3" xfId="2516"/>
    <cellStyle name="Input 2 3 2 4 2 3 2" xfId="2517"/>
    <cellStyle name="Input 2 3 2 4 2 4" xfId="2518"/>
    <cellStyle name="Input 2 3 2 4 3" xfId="2519"/>
    <cellStyle name="Input 2 3 2 4 3 2" xfId="2520"/>
    <cellStyle name="Input 2 3 2 4 3 2 2" xfId="2521"/>
    <cellStyle name="Input 2 3 2 4 3 3" xfId="2522"/>
    <cellStyle name="Input 2 3 2 4 3 4" xfId="2523"/>
    <cellStyle name="Input 2 3 2 4 4" xfId="2524"/>
    <cellStyle name="Input 2 3 2 4 4 2" xfId="2525"/>
    <cellStyle name="Input 2 3 2 4 4 2 2" xfId="2526"/>
    <cellStyle name="Input 2 3 2 4 4 3" xfId="2527"/>
    <cellStyle name="Input 2 3 2 4 5" xfId="2528"/>
    <cellStyle name="Input 2 3 2 4 5 2" xfId="2529"/>
    <cellStyle name="Input 2 3 2 4 6" xfId="2530"/>
    <cellStyle name="Input 2 3 2 5" xfId="2531"/>
    <cellStyle name="Input 2 3 2 5 2" xfId="2532"/>
    <cellStyle name="Input 2 3 3" xfId="2533"/>
    <cellStyle name="Input 2 3 3 2" xfId="2534"/>
    <cellStyle name="Input 2 3 3 2 2" xfId="2535"/>
    <cellStyle name="Input 2 3 3 2 2 2" xfId="2536"/>
    <cellStyle name="Input 2 3 3 2 2 2 2" xfId="2537"/>
    <cellStyle name="Input 2 3 3 2 2 3" xfId="2538"/>
    <cellStyle name="Input 2 3 3 2 3" xfId="2539"/>
    <cellStyle name="Input 2 3 3 2 3 2" xfId="2540"/>
    <cellStyle name="Input 2 3 3 2 4" xfId="2541"/>
    <cellStyle name="Input 2 3 3 3" xfId="2542"/>
    <cellStyle name="Input 2 3 3 3 2" xfId="2543"/>
    <cellStyle name="Input 2 3 3 3 2 2" xfId="2544"/>
    <cellStyle name="Input 2 3 3 3 3" xfId="2545"/>
    <cellStyle name="Input 2 3 3 3 4" xfId="2546"/>
    <cellStyle name="Input 2 3 3 4" xfId="2547"/>
    <cellStyle name="Input 2 3 3 4 2" xfId="2548"/>
    <cellStyle name="Input 2 3 3 4 2 2" xfId="2549"/>
    <cellStyle name="Input 2 3 3 4 3" xfId="2550"/>
    <cellStyle name="Input 2 3 3 5" xfId="2551"/>
    <cellStyle name="Input 2 3 3 5 2" xfId="2552"/>
    <cellStyle name="Input 2 3 3 6" xfId="2553"/>
    <cellStyle name="Input 2 3 4" xfId="2554"/>
    <cellStyle name="Input 2 3 4 2" xfId="2555"/>
    <cellStyle name="Input 2 3 4 2 2" xfId="2556"/>
    <cellStyle name="Input 2 3 4 2 2 2" xfId="2557"/>
    <cellStyle name="Input 2 3 4 2 2 2 2" xfId="2558"/>
    <cellStyle name="Input 2 3 4 2 2 3" xfId="2559"/>
    <cellStyle name="Input 2 3 4 2 3" xfId="2560"/>
    <cellStyle name="Input 2 3 4 2 3 2" xfId="2561"/>
    <cellStyle name="Input 2 3 4 2 4" xfId="2562"/>
    <cellStyle name="Input 2 3 4 3" xfId="2563"/>
    <cellStyle name="Input 2 3 4 3 2" xfId="2564"/>
    <cellStyle name="Input 2 3 4 3 2 2" xfId="2565"/>
    <cellStyle name="Input 2 3 4 3 3" xfId="2566"/>
    <cellStyle name="Input 2 3 4 3 4" xfId="2567"/>
    <cellStyle name="Input 2 3 4 4" xfId="2568"/>
    <cellStyle name="Input 2 3 4 4 2" xfId="2569"/>
    <cellStyle name="Input 2 3 4 4 2 2" xfId="2570"/>
    <cellStyle name="Input 2 3 4 4 3" xfId="2571"/>
    <cellStyle name="Input 2 3 4 5" xfId="2572"/>
    <cellStyle name="Input 2 3 4 5 2" xfId="2573"/>
    <cellStyle name="Input 2 3 4 6" xfId="2574"/>
    <cellStyle name="Input 2 3 5" xfId="2575"/>
    <cellStyle name="Input 2 3 5 2" xfId="2576"/>
    <cellStyle name="Input 2 3 5 2 2" xfId="2577"/>
    <cellStyle name="Input 2 3 5 2 2 2" xfId="2578"/>
    <cellStyle name="Input 2 3 5 2 2 2 2" xfId="2579"/>
    <cellStyle name="Input 2 3 5 2 2 3" xfId="2580"/>
    <cellStyle name="Input 2 3 5 2 3" xfId="2581"/>
    <cellStyle name="Input 2 3 5 2 3 2" xfId="2582"/>
    <cellStyle name="Input 2 3 5 2 4" xfId="2583"/>
    <cellStyle name="Input 2 3 5 3" xfId="2584"/>
    <cellStyle name="Input 2 3 5 3 2" xfId="2585"/>
    <cellStyle name="Input 2 3 5 3 2 2" xfId="2586"/>
    <cellStyle name="Input 2 3 5 3 3" xfId="2587"/>
    <cellStyle name="Input 2 3 5 3 4" xfId="2588"/>
    <cellStyle name="Input 2 3 5 4" xfId="2589"/>
    <cellStyle name="Input 2 3 5 4 2" xfId="2590"/>
    <cellStyle name="Input 2 3 5 4 2 2" xfId="2591"/>
    <cellStyle name="Input 2 3 5 4 3" xfId="2592"/>
    <cellStyle name="Input 2 3 5 5" xfId="2593"/>
    <cellStyle name="Input 2 3 5 5 2" xfId="2594"/>
    <cellStyle name="Input 2 3 5 6" xfId="2595"/>
    <cellStyle name="Input 2 4" xfId="2596"/>
    <cellStyle name="Input 2 4 2" xfId="2597"/>
    <cellStyle name="Input 2 4 2 2" xfId="2598"/>
    <cellStyle name="Input 2 4 2 2 2" xfId="2599"/>
    <cellStyle name="Input 2 4 2 2 2 2" xfId="2600"/>
    <cellStyle name="Input 2 4 2 2 2 2 2" xfId="2601"/>
    <cellStyle name="Input 2 4 2 2 2 3" xfId="2602"/>
    <cellStyle name="Input 2 4 2 2 3" xfId="2603"/>
    <cellStyle name="Input 2 4 2 2 3 2" xfId="2604"/>
    <cellStyle name="Input 2 4 2 2 4" xfId="2605"/>
    <cellStyle name="Input 2 4 2 3" xfId="2606"/>
    <cellStyle name="Input 2 4 2 3 2" xfId="2607"/>
    <cellStyle name="Input 2 4 2 3 2 2" xfId="2608"/>
    <cellStyle name="Input 2 4 2 3 3" xfId="2609"/>
    <cellStyle name="Input 2 4 2 3 4" xfId="2610"/>
    <cellStyle name="Input 2 4 2 4" xfId="2611"/>
    <cellStyle name="Input 2 4 2 4 2" xfId="2612"/>
    <cellStyle name="Input 2 4 2 4 2 2" xfId="2613"/>
    <cellStyle name="Input 2 4 2 4 3" xfId="2614"/>
    <cellStyle name="Input 2 4 2 5" xfId="2615"/>
    <cellStyle name="Input 2 4 2 5 2" xfId="2616"/>
    <cellStyle name="Input 2 4 2 6" xfId="2617"/>
    <cellStyle name="Input 2 4 3" xfId="2618"/>
    <cellStyle name="Input 2 4 3 2" xfId="2619"/>
    <cellStyle name="Input 2 4 3 2 2" xfId="2620"/>
    <cellStyle name="Input 2 4 3 2 2 2" xfId="2621"/>
    <cellStyle name="Input 2 4 3 2 2 2 2" xfId="2622"/>
    <cellStyle name="Input 2 4 3 2 2 3" xfId="2623"/>
    <cellStyle name="Input 2 4 3 2 3" xfId="2624"/>
    <cellStyle name="Input 2 4 3 2 3 2" xfId="2625"/>
    <cellStyle name="Input 2 4 3 2 4" xfId="2626"/>
    <cellStyle name="Input 2 4 3 3" xfId="2627"/>
    <cellStyle name="Input 2 4 3 3 2" xfId="2628"/>
    <cellStyle name="Input 2 4 3 3 2 2" xfId="2629"/>
    <cellStyle name="Input 2 4 3 3 3" xfId="2630"/>
    <cellStyle name="Input 2 4 3 3 4" xfId="2631"/>
    <cellStyle name="Input 2 4 3 4" xfId="2632"/>
    <cellStyle name="Input 2 4 3 4 2" xfId="2633"/>
    <cellStyle name="Input 2 4 3 4 2 2" xfId="2634"/>
    <cellStyle name="Input 2 4 3 4 3" xfId="2635"/>
    <cellStyle name="Input 2 4 3 5" xfId="2636"/>
    <cellStyle name="Input 2 4 3 5 2" xfId="2637"/>
    <cellStyle name="Input 2 4 3 6" xfId="2638"/>
    <cellStyle name="Input 2 4 4" xfId="2639"/>
    <cellStyle name="Input 2 4 4 2" xfId="2640"/>
    <cellStyle name="Input 2 4 4 2 2" xfId="2641"/>
    <cellStyle name="Input 2 4 4 2 2 2" xfId="2642"/>
    <cellStyle name="Input 2 4 4 2 2 2 2" xfId="2643"/>
    <cellStyle name="Input 2 4 4 2 2 3" xfId="2644"/>
    <cellStyle name="Input 2 4 4 2 3" xfId="2645"/>
    <cellStyle name="Input 2 4 4 2 3 2" xfId="2646"/>
    <cellStyle name="Input 2 4 4 2 4" xfId="2647"/>
    <cellStyle name="Input 2 4 4 3" xfId="2648"/>
    <cellStyle name="Input 2 4 4 3 2" xfId="2649"/>
    <cellStyle name="Input 2 4 4 3 2 2" xfId="2650"/>
    <cellStyle name="Input 2 4 4 3 3" xfId="2651"/>
    <cellStyle name="Input 2 4 4 3 4" xfId="2652"/>
    <cellStyle name="Input 2 4 4 4" xfId="2653"/>
    <cellStyle name="Input 2 4 4 4 2" xfId="2654"/>
    <cellStyle name="Input 2 4 4 4 2 2" xfId="2655"/>
    <cellStyle name="Input 2 4 4 4 3" xfId="2656"/>
    <cellStyle name="Input 2 4 4 5" xfId="2657"/>
    <cellStyle name="Input 2 4 4 5 2" xfId="2658"/>
    <cellStyle name="Input 2 4 4 6" xfId="2659"/>
    <cellStyle name="Input 2 4 5" xfId="2660"/>
    <cellStyle name="Input 2 4 5 2" xfId="2661"/>
    <cellStyle name="Input 2 5" xfId="2662"/>
    <cellStyle name="Input 2 5 2" xfId="2663"/>
    <cellStyle name="Input 2 5 2 2" xfId="2664"/>
    <cellStyle name="Input 2 5 2 2 2" xfId="2665"/>
    <cellStyle name="Input 2 5 2 2 2 2" xfId="2666"/>
    <cellStyle name="Input 2 5 2 2 2 2 2" xfId="2667"/>
    <cellStyle name="Input 2 5 2 2 2 3" xfId="2668"/>
    <cellStyle name="Input 2 5 2 2 3" xfId="2669"/>
    <cellStyle name="Input 2 5 2 2 3 2" xfId="2670"/>
    <cellStyle name="Input 2 5 2 2 4" xfId="2671"/>
    <cellStyle name="Input 2 5 2 3" xfId="2672"/>
    <cellStyle name="Input 2 5 2 3 2" xfId="2673"/>
    <cellStyle name="Input 2 5 2 3 2 2" xfId="2674"/>
    <cellStyle name="Input 2 5 2 3 3" xfId="2675"/>
    <cellStyle name="Input 2 5 2 3 4" xfId="2676"/>
    <cellStyle name="Input 2 5 2 4" xfId="2677"/>
    <cellStyle name="Input 2 5 2 4 2" xfId="2678"/>
    <cellStyle name="Input 2 5 2 4 2 2" xfId="2679"/>
    <cellStyle name="Input 2 5 2 4 3" xfId="2680"/>
    <cellStyle name="Input 2 5 2 5" xfId="2681"/>
    <cellStyle name="Input 2 5 2 5 2" xfId="2682"/>
    <cellStyle name="Input 2 5 2 6" xfId="2683"/>
    <cellStyle name="Input 2 5 3" xfId="2684"/>
    <cellStyle name="Input 2 5 3 2" xfId="2685"/>
    <cellStyle name="Input 2 5 3 2 2" xfId="2686"/>
    <cellStyle name="Input 2 5 3 2 2 2" xfId="2687"/>
    <cellStyle name="Input 2 5 3 2 2 2 2" xfId="2688"/>
    <cellStyle name="Input 2 5 3 2 2 3" xfId="2689"/>
    <cellStyle name="Input 2 5 3 2 3" xfId="2690"/>
    <cellStyle name="Input 2 5 3 2 3 2" xfId="2691"/>
    <cellStyle name="Input 2 5 3 2 4" xfId="2692"/>
    <cellStyle name="Input 2 5 3 3" xfId="2693"/>
    <cellStyle name="Input 2 5 3 3 2" xfId="2694"/>
    <cellStyle name="Input 2 5 3 3 2 2" xfId="2695"/>
    <cellStyle name="Input 2 5 3 3 3" xfId="2696"/>
    <cellStyle name="Input 2 5 3 3 4" xfId="2697"/>
    <cellStyle name="Input 2 5 3 4" xfId="2698"/>
    <cellStyle name="Input 2 5 3 4 2" xfId="2699"/>
    <cellStyle name="Input 2 5 3 4 2 2" xfId="2700"/>
    <cellStyle name="Input 2 5 3 4 3" xfId="2701"/>
    <cellStyle name="Input 2 5 3 5" xfId="2702"/>
    <cellStyle name="Input 2 5 3 5 2" xfId="2703"/>
    <cellStyle name="Input 2 5 3 6" xfId="2704"/>
    <cellStyle name="Input 2 5 4" xfId="2705"/>
    <cellStyle name="Input 2 5 4 2" xfId="2706"/>
    <cellStyle name="Input 2 5 4 2 2" xfId="2707"/>
    <cellStyle name="Input 2 5 4 2 2 2" xfId="2708"/>
    <cellStyle name="Input 2 5 4 2 3" xfId="2709"/>
    <cellStyle name="Input 2 5 4 3" xfId="2710"/>
    <cellStyle name="Input 2 5 4 3 2" xfId="2711"/>
    <cellStyle name="Input 2 5 4 4" xfId="2712"/>
    <cellStyle name="Input 2 5 5" xfId="2713"/>
    <cellStyle name="Input 2 5 5 2" xfId="2714"/>
    <cellStyle name="Input 2 5 5 2 2" xfId="2715"/>
    <cellStyle name="Input 2 5 5 3" xfId="2716"/>
    <cellStyle name="Input 2 5 5 4" xfId="2717"/>
    <cellStyle name="Input 2 5 6" xfId="2718"/>
    <cellStyle name="Input 2 5 6 2" xfId="2719"/>
    <cellStyle name="Input 2 5 6 2 2" xfId="2720"/>
    <cellStyle name="Input 2 5 6 3" xfId="2721"/>
    <cellStyle name="Input 2 5 7" xfId="2722"/>
    <cellStyle name="Input 2 5 7 2" xfId="2723"/>
    <cellStyle name="Input 2 5 8" xfId="2724"/>
    <cellStyle name="Input 2 6" xfId="2725"/>
    <cellStyle name="Input 2 6 2" xfId="2726"/>
    <cellStyle name="Input 2 6 2 2" xfId="2727"/>
    <cellStyle name="Input 2 6 2 2 2" xfId="2728"/>
    <cellStyle name="Input 2 6 2 2 2 2" xfId="2729"/>
    <cellStyle name="Input 2 6 2 2 3" xfId="2730"/>
    <cellStyle name="Input 2 6 2 3" xfId="2731"/>
    <cellStyle name="Input 2 6 2 3 2" xfId="2732"/>
    <cellStyle name="Input 2 6 2 4" xfId="2733"/>
    <cellStyle name="Input 2 6 3" xfId="2734"/>
    <cellStyle name="Input 2 6 3 2" xfId="2735"/>
    <cellStyle name="Input 2 6 3 2 2" xfId="2736"/>
    <cellStyle name="Input 2 6 3 3" xfId="2737"/>
    <cellStyle name="Input 2 6 3 4" xfId="2738"/>
    <cellStyle name="Input 2 6 4" xfId="2739"/>
    <cellStyle name="Input 2 6 4 2" xfId="2740"/>
    <cellStyle name="Input 2 6 4 2 2" xfId="2741"/>
    <cellStyle name="Input 2 6 4 3" xfId="2742"/>
    <cellStyle name="Input 2 6 5" xfId="2743"/>
    <cellStyle name="Input 2 6 5 2" xfId="2744"/>
    <cellStyle name="Input 2 6 6" xfId="2745"/>
    <cellStyle name="Input 3" xfId="2746"/>
    <cellStyle name="Input 3 2" xfId="2747"/>
    <cellStyle name="Input 3 2 2" xfId="2748"/>
    <cellStyle name="Input 3 2 2 2" xfId="2749"/>
    <cellStyle name="Input 3 2 2 2 2" xfId="2750"/>
    <cellStyle name="Input 3 2 2 2 2 2" xfId="2751"/>
    <cellStyle name="Input 3 2 2 2 2 2 2" xfId="2752"/>
    <cellStyle name="Input 3 2 2 2 2 3" xfId="2753"/>
    <cellStyle name="Input 3 2 2 2 3" xfId="2754"/>
    <cellStyle name="Input 3 2 2 2 3 2" xfId="2755"/>
    <cellStyle name="Input 3 2 2 2 4" xfId="2756"/>
    <cellStyle name="Input 3 2 2 3" xfId="2757"/>
    <cellStyle name="Input 3 2 2 3 2" xfId="2758"/>
    <cellStyle name="Input 3 2 2 3 2 2" xfId="2759"/>
    <cellStyle name="Input 3 2 2 3 3" xfId="2760"/>
    <cellStyle name="Input 3 2 2 3 4" xfId="2761"/>
    <cellStyle name="Input 3 2 2 4" xfId="2762"/>
    <cellStyle name="Input 3 2 2 4 2" xfId="2763"/>
    <cellStyle name="Input 3 2 2 4 2 2" xfId="2764"/>
    <cellStyle name="Input 3 2 2 4 3" xfId="2765"/>
    <cellStyle name="Input 3 2 2 5" xfId="2766"/>
    <cellStyle name="Input 3 2 2 5 2" xfId="2767"/>
    <cellStyle name="Input 3 2 2 6" xfId="2768"/>
    <cellStyle name="Input 3 2 3" xfId="2769"/>
    <cellStyle name="Input 3 2 3 2" xfId="2770"/>
    <cellStyle name="Input 3 2 3 2 2" xfId="2771"/>
    <cellStyle name="Input 3 2 3 2 2 2" xfId="2772"/>
    <cellStyle name="Input 3 2 3 2 2 2 2" xfId="2773"/>
    <cellStyle name="Input 3 2 3 2 2 3" xfId="2774"/>
    <cellStyle name="Input 3 2 3 2 3" xfId="2775"/>
    <cellStyle name="Input 3 2 3 2 3 2" xfId="2776"/>
    <cellStyle name="Input 3 2 3 2 4" xfId="2777"/>
    <cellStyle name="Input 3 2 3 3" xfId="2778"/>
    <cellStyle name="Input 3 2 3 3 2" xfId="2779"/>
    <cellStyle name="Input 3 2 3 3 2 2" xfId="2780"/>
    <cellStyle name="Input 3 2 3 3 3" xfId="2781"/>
    <cellStyle name="Input 3 2 3 3 4" xfId="2782"/>
    <cellStyle name="Input 3 2 3 4" xfId="2783"/>
    <cellStyle name="Input 3 2 3 4 2" xfId="2784"/>
    <cellStyle name="Input 3 2 3 4 2 2" xfId="2785"/>
    <cellStyle name="Input 3 2 3 4 3" xfId="2786"/>
    <cellStyle name="Input 3 2 3 5" xfId="2787"/>
    <cellStyle name="Input 3 2 3 5 2" xfId="2788"/>
    <cellStyle name="Input 3 2 3 6" xfId="2789"/>
    <cellStyle name="Input 3 2 4" xfId="2790"/>
    <cellStyle name="Input 3 2 4 2" xfId="2791"/>
    <cellStyle name="Input 3 2 4 2 2" xfId="2792"/>
    <cellStyle name="Input 3 2 4 2 2 2" xfId="2793"/>
    <cellStyle name="Input 3 2 4 2 2 2 2" xfId="2794"/>
    <cellStyle name="Input 3 2 4 2 2 3" xfId="2795"/>
    <cellStyle name="Input 3 2 4 2 3" xfId="2796"/>
    <cellStyle name="Input 3 2 4 2 3 2" xfId="2797"/>
    <cellStyle name="Input 3 2 4 2 4" xfId="2798"/>
    <cellStyle name="Input 3 2 4 3" xfId="2799"/>
    <cellStyle name="Input 3 2 4 3 2" xfId="2800"/>
    <cellStyle name="Input 3 2 4 3 2 2" xfId="2801"/>
    <cellStyle name="Input 3 2 4 3 3" xfId="2802"/>
    <cellStyle name="Input 3 2 4 3 4" xfId="2803"/>
    <cellStyle name="Input 3 2 4 4" xfId="2804"/>
    <cellStyle name="Input 3 2 4 4 2" xfId="2805"/>
    <cellStyle name="Input 3 2 4 4 2 2" xfId="2806"/>
    <cellStyle name="Input 3 2 4 4 3" xfId="2807"/>
    <cellStyle name="Input 3 2 4 5" xfId="2808"/>
    <cellStyle name="Input 3 2 4 5 2" xfId="2809"/>
    <cellStyle name="Input 3 2 4 6" xfId="2810"/>
    <cellStyle name="Input 3 2 5" xfId="2811"/>
    <cellStyle name="Input 3 2 5 2" xfId="2812"/>
    <cellStyle name="Input 3 3" xfId="2813"/>
    <cellStyle name="Input 3 3 2" xfId="2814"/>
    <cellStyle name="Input 3 3 2 2" xfId="2815"/>
    <cellStyle name="Input 3 3 2 2 2" xfId="2816"/>
    <cellStyle name="Input 3 3 2 2 2 2" xfId="2817"/>
    <cellStyle name="Input 3 3 2 2 2 2 2" xfId="2818"/>
    <cellStyle name="Input 3 3 2 2 2 3" xfId="2819"/>
    <cellStyle name="Input 3 3 2 2 3" xfId="2820"/>
    <cellStyle name="Input 3 3 2 2 3 2" xfId="2821"/>
    <cellStyle name="Input 3 3 2 2 4" xfId="2822"/>
    <cellStyle name="Input 3 3 2 3" xfId="2823"/>
    <cellStyle name="Input 3 3 2 3 2" xfId="2824"/>
    <cellStyle name="Input 3 3 2 3 2 2" xfId="2825"/>
    <cellStyle name="Input 3 3 2 3 3" xfId="2826"/>
    <cellStyle name="Input 3 3 2 3 4" xfId="2827"/>
    <cellStyle name="Input 3 3 2 4" xfId="2828"/>
    <cellStyle name="Input 3 3 2 4 2" xfId="2829"/>
    <cellStyle name="Input 3 3 2 4 2 2" xfId="2830"/>
    <cellStyle name="Input 3 3 2 4 3" xfId="2831"/>
    <cellStyle name="Input 3 3 2 5" xfId="2832"/>
    <cellStyle name="Input 3 3 2 5 2" xfId="2833"/>
    <cellStyle name="Input 3 3 2 6" xfId="2834"/>
    <cellStyle name="Input 3 3 3" xfId="2835"/>
    <cellStyle name="Input 3 3 3 2" xfId="2836"/>
    <cellStyle name="Input 3 3 3 2 2" xfId="2837"/>
    <cellStyle name="Input 3 3 3 2 2 2" xfId="2838"/>
    <cellStyle name="Input 3 3 3 2 2 2 2" xfId="2839"/>
    <cellStyle name="Input 3 3 3 2 2 3" xfId="2840"/>
    <cellStyle name="Input 3 3 3 2 3" xfId="2841"/>
    <cellStyle name="Input 3 3 3 2 3 2" xfId="2842"/>
    <cellStyle name="Input 3 3 3 2 4" xfId="2843"/>
    <cellStyle name="Input 3 3 3 3" xfId="2844"/>
    <cellStyle name="Input 3 3 3 3 2" xfId="2845"/>
    <cellStyle name="Input 3 3 3 3 2 2" xfId="2846"/>
    <cellStyle name="Input 3 3 3 3 3" xfId="2847"/>
    <cellStyle name="Input 3 3 3 3 4" xfId="2848"/>
    <cellStyle name="Input 3 3 3 4" xfId="2849"/>
    <cellStyle name="Input 3 3 3 4 2" xfId="2850"/>
    <cellStyle name="Input 3 3 3 4 2 2" xfId="2851"/>
    <cellStyle name="Input 3 3 3 4 3" xfId="2852"/>
    <cellStyle name="Input 3 3 3 5" xfId="2853"/>
    <cellStyle name="Input 3 3 3 5 2" xfId="2854"/>
    <cellStyle name="Input 3 3 3 6" xfId="2855"/>
    <cellStyle name="Input 3 3 4" xfId="2856"/>
    <cellStyle name="Input 3 3 4 2" xfId="2857"/>
    <cellStyle name="Input 3 3 4 2 2" xfId="2858"/>
    <cellStyle name="Input 3 3 4 2 2 2" xfId="2859"/>
    <cellStyle name="Input 3 3 4 2 3" xfId="2860"/>
    <cellStyle name="Input 3 3 4 3" xfId="2861"/>
    <cellStyle name="Input 3 3 4 3 2" xfId="2862"/>
    <cellStyle name="Input 3 3 4 4" xfId="2863"/>
    <cellStyle name="Input 3 3 5" xfId="2864"/>
    <cellStyle name="Input 3 3 5 2" xfId="2865"/>
    <cellStyle name="Input 3 3 5 2 2" xfId="2866"/>
    <cellStyle name="Input 3 3 5 3" xfId="2867"/>
    <cellStyle name="Input 3 3 5 4" xfId="2868"/>
    <cellStyle name="Input 3 3 6" xfId="2869"/>
    <cellStyle name="Input 3 3 6 2" xfId="2870"/>
    <cellStyle name="Input 3 3 6 2 2" xfId="2871"/>
    <cellStyle name="Input 3 3 6 3" xfId="2872"/>
    <cellStyle name="Input 3 3 7" xfId="2873"/>
    <cellStyle name="Input 3 3 7 2" xfId="2874"/>
    <cellStyle name="Input 3 3 8" xfId="2875"/>
    <cellStyle name="Input 3 4" xfId="2876"/>
    <cellStyle name="Input 3 4 2" xfId="2877"/>
    <cellStyle name="Input 3 4 2 2" xfId="2878"/>
    <cellStyle name="Input 3 4 2 2 2" xfId="2879"/>
    <cellStyle name="Input 3 4 2 2 2 2" xfId="2880"/>
    <cellStyle name="Input 3 4 2 2 3" xfId="2881"/>
    <cellStyle name="Input 3 4 2 3" xfId="2882"/>
    <cellStyle name="Input 3 4 2 3 2" xfId="2883"/>
    <cellStyle name="Input 3 4 2 4" xfId="2884"/>
    <cellStyle name="Input 3 4 3" xfId="2885"/>
    <cellStyle name="Input 3 4 3 2" xfId="2886"/>
    <cellStyle name="Input 3 4 3 2 2" xfId="2887"/>
    <cellStyle name="Input 3 4 3 3" xfId="2888"/>
    <cellStyle name="Input 3 4 3 4" xfId="2889"/>
    <cellStyle name="Input 3 4 4" xfId="2890"/>
    <cellStyle name="Input 3 4 4 2" xfId="2891"/>
    <cellStyle name="Input 3 4 4 2 2" xfId="2892"/>
    <cellStyle name="Input 3 4 4 3" xfId="2893"/>
    <cellStyle name="Input 3 4 5" xfId="2894"/>
    <cellStyle name="Input 3 4 5 2" xfId="2895"/>
    <cellStyle name="Input 3 4 6" xfId="2896"/>
    <cellStyle name="Input 4" xfId="2897"/>
    <cellStyle name="Input 4 2" xfId="2898"/>
    <cellStyle name="Input 4 2 2" xfId="2899"/>
    <cellStyle name="Input 4 2 2 2" xfId="2900"/>
    <cellStyle name="Input 4 2 2 2 2" xfId="2901"/>
    <cellStyle name="Input 4 2 2 2 2 2" xfId="2902"/>
    <cellStyle name="Input 4 2 2 2 2 2 2" xfId="2903"/>
    <cellStyle name="Input 4 2 2 2 2 3" xfId="2904"/>
    <cellStyle name="Input 4 2 2 2 3" xfId="2905"/>
    <cellStyle name="Input 4 2 2 2 3 2" xfId="2906"/>
    <cellStyle name="Input 4 2 2 2 4" xfId="2907"/>
    <cellStyle name="Input 4 2 2 3" xfId="2908"/>
    <cellStyle name="Input 4 2 2 3 2" xfId="2909"/>
    <cellStyle name="Input 4 2 2 3 2 2" xfId="2910"/>
    <cellStyle name="Input 4 2 2 3 3" xfId="2911"/>
    <cellStyle name="Input 4 2 2 3 4" xfId="2912"/>
    <cellStyle name="Input 4 2 2 4" xfId="2913"/>
    <cellStyle name="Input 4 2 2 4 2" xfId="2914"/>
    <cellStyle name="Input 4 2 2 4 2 2" xfId="2915"/>
    <cellStyle name="Input 4 2 2 4 3" xfId="2916"/>
    <cellStyle name="Input 4 2 2 5" xfId="2917"/>
    <cellStyle name="Input 4 2 2 5 2" xfId="2918"/>
    <cellStyle name="Input 4 2 2 6" xfId="2919"/>
    <cellStyle name="Input 4 2 3" xfId="2920"/>
    <cellStyle name="Input 4 2 3 2" xfId="2921"/>
    <cellStyle name="Input 4 2 3 2 2" xfId="2922"/>
    <cellStyle name="Input 4 2 3 2 2 2" xfId="2923"/>
    <cellStyle name="Input 4 2 3 2 2 2 2" xfId="2924"/>
    <cellStyle name="Input 4 2 3 2 2 3" xfId="2925"/>
    <cellStyle name="Input 4 2 3 2 3" xfId="2926"/>
    <cellStyle name="Input 4 2 3 2 3 2" xfId="2927"/>
    <cellStyle name="Input 4 2 3 2 4" xfId="2928"/>
    <cellStyle name="Input 4 2 3 3" xfId="2929"/>
    <cellStyle name="Input 4 2 3 3 2" xfId="2930"/>
    <cellStyle name="Input 4 2 3 3 2 2" xfId="2931"/>
    <cellStyle name="Input 4 2 3 3 3" xfId="2932"/>
    <cellStyle name="Input 4 2 3 3 4" xfId="2933"/>
    <cellStyle name="Input 4 2 3 4" xfId="2934"/>
    <cellStyle name="Input 4 2 3 4 2" xfId="2935"/>
    <cellStyle name="Input 4 2 3 4 2 2" xfId="2936"/>
    <cellStyle name="Input 4 2 3 4 3" xfId="2937"/>
    <cellStyle name="Input 4 2 3 5" xfId="2938"/>
    <cellStyle name="Input 4 2 3 5 2" xfId="2939"/>
    <cellStyle name="Input 4 2 3 6" xfId="2940"/>
    <cellStyle name="Input 4 2 4" xfId="2941"/>
    <cellStyle name="Input 4 2 4 2" xfId="2942"/>
    <cellStyle name="Input 4 2 4 2 2" xfId="2943"/>
    <cellStyle name="Input 4 2 4 2 2 2" xfId="2944"/>
    <cellStyle name="Input 4 2 4 2 2 2 2" xfId="2945"/>
    <cellStyle name="Input 4 2 4 2 2 3" xfId="2946"/>
    <cellStyle name="Input 4 2 4 2 3" xfId="2947"/>
    <cellStyle name="Input 4 2 4 2 3 2" xfId="2948"/>
    <cellStyle name="Input 4 2 4 2 4" xfId="2949"/>
    <cellStyle name="Input 4 2 4 3" xfId="2950"/>
    <cellStyle name="Input 4 2 4 3 2" xfId="2951"/>
    <cellStyle name="Input 4 2 4 3 2 2" xfId="2952"/>
    <cellStyle name="Input 4 2 4 3 3" xfId="2953"/>
    <cellStyle name="Input 4 2 4 3 4" xfId="2954"/>
    <cellStyle name="Input 4 2 4 4" xfId="2955"/>
    <cellStyle name="Input 4 2 4 4 2" xfId="2956"/>
    <cellStyle name="Input 4 2 4 4 2 2" xfId="2957"/>
    <cellStyle name="Input 4 2 4 4 3" xfId="2958"/>
    <cellStyle name="Input 4 2 4 5" xfId="2959"/>
    <cellStyle name="Input 4 2 4 5 2" xfId="2960"/>
    <cellStyle name="Input 4 2 4 6" xfId="2961"/>
    <cellStyle name="Input 4 2 5" xfId="2962"/>
    <cellStyle name="Input 4 2 5 2" xfId="2963"/>
    <cellStyle name="Input 4 3" xfId="2964"/>
    <cellStyle name="Input 4 3 2" xfId="2965"/>
    <cellStyle name="Input 4 3 2 2" xfId="2966"/>
    <cellStyle name="Input 4 3 2 2 2" xfId="2967"/>
    <cellStyle name="Input 4 3 2 2 2 2" xfId="2968"/>
    <cellStyle name="Input 4 3 2 2 2 2 2" xfId="2969"/>
    <cellStyle name="Input 4 3 2 2 2 3" xfId="2970"/>
    <cellStyle name="Input 4 3 2 2 3" xfId="2971"/>
    <cellStyle name="Input 4 3 2 2 3 2" xfId="2972"/>
    <cellStyle name="Input 4 3 2 2 4" xfId="2973"/>
    <cellStyle name="Input 4 3 2 3" xfId="2974"/>
    <cellStyle name="Input 4 3 2 3 2" xfId="2975"/>
    <cellStyle name="Input 4 3 2 3 2 2" xfId="2976"/>
    <cellStyle name="Input 4 3 2 3 3" xfId="2977"/>
    <cellStyle name="Input 4 3 2 3 4" xfId="2978"/>
    <cellStyle name="Input 4 3 2 4" xfId="2979"/>
    <cellStyle name="Input 4 3 2 4 2" xfId="2980"/>
    <cellStyle name="Input 4 3 2 4 2 2" xfId="2981"/>
    <cellStyle name="Input 4 3 2 4 3" xfId="2982"/>
    <cellStyle name="Input 4 3 2 5" xfId="2983"/>
    <cellStyle name="Input 4 3 2 5 2" xfId="2984"/>
    <cellStyle name="Input 4 3 2 6" xfId="2985"/>
    <cellStyle name="Input 4 3 3" xfId="2986"/>
    <cellStyle name="Input 4 3 3 2" xfId="2987"/>
    <cellStyle name="Input 4 3 3 2 2" xfId="2988"/>
    <cellStyle name="Input 4 3 3 2 2 2" xfId="2989"/>
    <cellStyle name="Input 4 3 3 2 2 2 2" xfId="2990"/>
    <cellStyle name="Input 4 3 3 2 2 3" xfId="2991"/>
    <cellStyle name="Input 4 3 3 2 3" xfId="2992"/>
    <cellStyle name="Input 4 3 3 2 3 2" xfId="2993"/>
    <cellStyle name="Input 4 3 3 2 4" xfId="2994"/>
    <cellStyle name="Input 4 3 3 3" xfId="2995"/>
    <cellStyle name="Input 4 3 3 3 2" xfId="2996"/>
    <cellStyle name="Input 4 3 3 3 2 2" xfId="2997"/>
    <cellStyle name="Input 4 3 3 3 3" xfId="2998"/>
    <cellStyle name="Input 4 3 3 3 4" xfId="2999"/>
    <cellStyle name="Input 4 3 3 4" xfId="3000"/>
    <cellStyle name="Input 4 3 3 4 2" xfId="3001"/>
    <cellStyle name="Input 4 3 3 4 2 2" xfId="3002"/>
    <cellStyle name="Input 4 3 3 4 3" xfId="3003"/>
    <cellStyle name="Input 4 3 3 5" xfId="3004"/>
    <cellStyle name="Input 4 3 3 5 2" xfId="3005"/>
    <cellStyle name="Input 4 3 3 6" xfId="3006"/>
    <cellStyle name="Input 4 3 4" xfId="3007"/>
    <cellStyle name="Input 4 3 4 2" xfId="3008"/>
    <cellStyle name="Input 4 3 4 2 2" xfId="3009"/>
    <cellStyle name="Input 4 3 4 2 2 2" xfId="3010"/>
    <cellStyle name="Input 4 3 4 2 3" xfId="3011"/>
    <cellStyle name="Input 4 3 4 3" xfId="3012"/>
    <cellStyle name="Input 4 3 4 3 2" xfId="3013"/>
    <cellStyle name="Input 4 3 4 4" xfId="3014"/>
    <cellStyle name="Input 4 3 5" xfId="3015"/>
    <cellStyle name="Input 4 3 5 2" xfId="3016"/>
    <cellStyle name="Input 4 3 5 2 2" xfId="3017"/>
    <cellStyle name="Input 4 3 5 3" xfId="3018"/>
    <cellStyle name="Input 4 3 5 4" xfId="3019"/>
    <cellStyle name="Input 4 3 6" xfId="3020"/>
    <cellStyle name="Input 4 3 6 2" xfId="3021"/>
    <cellStyle name="Input 4 3 6 2 2" xfId="3022"/>
    <cellStyle name="Input 4 3 6 3" xfId="3023"/>
    <cellStyle name="Input 4 3 7" xfId="3024"/>
    <cellStyle name="Input 4 3 7 2" xfId="3025"/>
    <cellStyle name="Input 4 3 8" xfId="3026"/>
    <cellStyle name="Input 4 4" xfId="3027"/>
    <cellStyle name="Input 4 4 2" xfId="3028"/>
    <cellStyle name="Input 4 4 2 2" xfId="3029"/>
    <cellStyle name="Input 4 4 2 2 2" xfId="3030"/>
    <cellStyle name="Input 4 4 2 2 2 2" xfId="3031"/>
    <cellStyle name="Input 4 4 2 2 3" xfId="3032"/>
    <cellStyle name="Input 4 4 2 3" xfId="3033"/>
    <cellStyle name="Input 4 4 2 3 2" xfId="3034"/>
    <cellStyle name="Input 4 4 2 4" xfId="3035"/>
    <cellStyle name="Input 4 4 3" xfId="3036"/>
    <cellStyle name="Input 4 4 3 2" xfId="3037"/>
    <cellStyle name="Input 4 4 3 2 2" xfId="3038"/>
    <cellStyle name="Input 4 4 3 3" xfId="3039"/>
    <cellStyle name="Input 4 4 3 4" xfId="3040"/>
    <cellStyle name="Input 4 4 4" xfId="3041"/>
    <cellStyle name="Input 4 4 4 2" xfId="3042"/>
    <cellStyle name="Input 4 4 4 2 2" xfId="3043"/>
    <cellStyle name="Input 4 4 4 3" xfId="3044"/>
    <cellStyle name="Input 4 4 5" xfId="3045"/>
    <cellStyle name="Input 4 4 5 2" xfId="3046"/>
    <cellStyle name="Input 4 4 6" xfId="3047"/>
    <cellStyle name="Input 5" xfId="3048"/>
    <cellStyle name="Input 5 2" xfId="3049"/>
    <cellStyle name="Input 5 2 2" xfId="3050"/>
    <cellStyle name="Input 5 2 2 2" xfId="3051"/>
    <cellStyle name="Input 5 2 2 2 2" xfId="3052"/>
    <cellStyle name="Input 5 2 2 2 2 2" xfId="3053"/>
    <cellStyle name="Input 5 2 2 2 3" xfId="3054"/>
    <cellStyle name="Input 5 2 2 3" xfId="3055"/>
    <cellStyle name="Input 5 2 2 3 2" xfId="3056"/>
    <cellStyle name="Input 5 2 2 4" xfId="3057"/>
    <cellStyle name="Input 5 2 3" xfId="3058"/>
    <cellStyle name="Input 5 2 3 2" xfId="3059"/>
    <cellStyle name="Input 5 2 3 2 2" xfId="3060"/>
    <cellStyle name="Input 5 2 3 3" xfId="3061"/>
    <cellStyle name="Input 5 2 3 4" xfId="3062"/>
    <cellStyle name="Input 5 2 4" xfId="3063"/>
    <cellStyle name="Input 5 2 4 2" xfId="3064"/>
    <cellStyle name="Input 5 2 4 2 2" xfId="3065"/>
    <cellStyle name="Input 5 2 4 3" xfId="3066"/>
    <cellStyle name="Input 5 2 5" xfId="3067"/>
    <cellStyle name="Input 5 2 5 2" xfId="3068"/>
    <cellStyle name="Input 5 2 6" xfId="3069"/>
    <cellStyle name="Input 5 3" xfId="3070"/>
    <cellStyle name="Input 5 3 2" xfId="3071"/>
    <cellStyle name="Input 5 3 2 2" xfId="3072"/>
    <cellStyle name="Input 5 3 2 2 2" xfId="3073"/>
    <cellStyle name="Input 5 3 2 2 2 2" xfId="3074"/>
    <cellStyle name="Input 5 3 2 2 3" xfId="3075"/>
    <cellStyle name="Input 5 3 2 3" xfId="3076"/>
    <cellStyle name="Input 5 3 2 3 2" xfId="3077"/>
    <cellStyle name="Input 5 3 2 4" xfId="3078"/>
    <cellStyle name="Input 5 3 3" xfId="3079"/>
    <cellStyle name="Input 5 3 3 2" xfId="3080"/>
    <cellStyle name="Input 5 3 3 2 2" xfId="3081"/>
    <cellStyle name="Input 5 3 3 3" xfId="3082"/>
    <cellStyle name="Input 5 3 3 4" xfId="3083"/>
    <cellStyle name="Input 5 3 4" xfId="3084"/>
    <cellStyle name="Input 5 3 4 2" xfId="3085"/>
    <cellStyle name="Input 5 3 4 2 2" xfId="3086"/>
    <cellStyle name="Input 5 3 4 3" xfId="3087"/>
    <cellStyle name="Input 5 3 5" xfId="3088"/>
    <cellStyle name="Input 5 3 5 2" xfId="3089"/>
    <cellStyle name="Input 5 3 6" xfId="3090"/>
    <cellStyle name="Input 5 4" xfId="3091"/>
    <cellStyle name="Input 5 4 2" xfId="3092"/>
    <cellStyle name="Input 5 4 2 2" xfId="3093"/>
    <cellStyle name="Input 5 4 2 2 2" xfId="3094"/>
    <cellStyle name="Input 5 4 2 2 2 2" xfId="3095"/>
    <cellStyle name="Input 5 4 2 2 3" xfId="3096"/>
    <cellStyle name="Input 5 4 2 3" xfId="3097"/>
    <cellStyle name="Input 5 4 2 3 2" xfId="3098"/>
    <cellStyle name="Input 5 4 2 4" xfId="3099"/>
    <cellStyle name="Input 5 4 3" xfId="3100"/>
    <cellStyle name="Input 5 4 3 2" xfId="3101"/>
    <cellStyle name="Input 5 4 3 2 2" xfId="3102"/>
    <cellStyle name="Input 5 4 3 3" xfId="3103"/>
    <cellStyle name="Input 5 4 3 4" xfId="3104"/>
    <cellStyle name="Input 5 4 4" xfId="3105"/>
    <cellStyle name="Input 5 4 4 2" xfId="3106"/>
    <cellStyle name="Input 5 4 4 2 2" xfId="3107"/>
    <cellStyle name="Input 5 4 4 3" xfId="3108"/>
    <cellStyle name="Input 5 4 5" xfId="3109"/>
    <cellStyle name="Input 5 4 5 2" xfId="3110"/>
    <cellStyle name="Input 5 4 6" xfId="3111"/>
    <cellStyle name="Input 5 5" xfId="3112"/>
    <cellStyle name="Input 5 5 2" xfId="3113"/>
    <cellStyle name="Input 6" xfId="3114"/>
    <cellStyle name="Input 6 2" xfId="3115"/>
    <cellStyle name="Input 6 2 2" xfId="3116"/>
    <cellStyle name="Input 6 2 2 2" xfId="3117"/>
    <cellStyle name="Input 6 2 2 2 2" xfId="3118"/>
    <cellStyle name="Input 6 2 2 2 2 2" xfId="3119"/>
    <cellStyle name="Input 6 2 2 2 3" xfId="3120"/>
    <cellStyle name="Input 6 2 2 3" xfId="3121"/>
    <cellStyle name="Input 6 2 2 3 2" xfId="3122"/>
    <cellStyle name="Input 6 2 2 4" xfId="3123"/>
    <cellStyle name="Input 6 2 3" xfId="3124"/>
    <cellStyle name="Input 6 2 3 2" xfId="3125"/>
    <cellStyle name="Input 6 2 3 2 2" xfId="3126"/>
    <cellStyle name="Input 6 2 3 3" xfId="3127"/>
    <cellStyle name="Input 6 2 3 4" xfId="3128"/>
    <cellStyle name="Input 6 2 4" xfId="3129"/>
    <cellStyle name="Input 6 2 4 2" xfId="3130"/>
    <cellStyle name="Input 6 2 4 2 2" xfId="3131"/>
    <cellStyle name="Input 6 2 4 3" xfId="3132"/>
    <cellStyle name="Input 6 2 5" xfId="3133"/>
    <cellStyle name="Input 6 2 5 2" xfId="3134"/>
    <cellStyle name="Input 6 2 6" xfId="3135"/>
    <cellStyle name="Input 6 3" xfId="3136"/>
    <cellStyle name="Input 6 3 2" xfId="3137"/>
    <cellStyle name="Input 6 3 2 2" xfId="3138"/>
    <cellStyle name="Input 6 3 2 2 2" xfId="3139"/>
    <cellStyle name="Input 6 3 2 2 2 2" xfId="3140"/>
    <cellStyle name="Input 6 3 2 2 3" xfId="3141"/>
    <cellStyle name="Input 6 3 2 3" xfId="3142"/>
    <cellStyle name="Input 6 3 2 3 2" xfId="3143"/>
    <cellStyle name="Input 6 3 2 4" xfId="3144"/>
    <cellStyle name="Input 6 3 3" xfId="3145"/>
    <cellStyle name="Input 6 3 3 2" xfId="3146"/>
    <cellStyle name="Input 6 3 3 2 2" xfId="3147"/>
    <cellStyle name="Input 6 3 3 3" xfId="3148"/>
    <cellStyle name="Input 6 3 3 4" xfId="3149"/>
    <cellStyle name="Input 6 3 4" xfId="3150"/>
    <cellStyle name="Input 6 3 4 2" xfId="3151"/>
    <cellStyle name="Input 6 3 4 2 2" xfId="3152"/>
    <cellStyle name="Input 6 3 4 3" xfId="3153"/>
    <cellStyle name="Input 6 3 5" xfId="3154"/>
    <cellStyle name="Input 6 3 5 2" xfId="3155"/>
    <cellStyle name="Input 6 3 6" xfId="3156"/>
    <cellStyle name="Input 6 4" xfId="3157"/>
    <cellStyle name="Input 6 4 2" xfId="3158"/>
    <cellStyle name="Input 6 4 2 2" xfId="3159"/>
    <cellStyle name="Input 6 4 2 2 2" xfId="3160"/>
    <cellStyle name="Input 6 4 2 3" xfId="3161"/>
    <cellStyle name="Input 6 4 3" xfId="3162"/>
    <cellStyle name="Input 6 4 3 2" xfId="3163"/>
    <cellStyle name="Input 6 4 4" xfId="3164"/>
    <cellStyle name="Input 6 5" xfId="3165"/>
    <cellStyle name="Input 6 5 2" xfId="3166"/>
    <cellStyle name="Input 6 5 2 2" xfId="3167"/>
    <cellStyle name="Input 6 5 3" xfId="3168"/>
    <cellStyle name="Input 6 5 4" xfId="3169"/>
    <cellStyle name="Input 6 6" xfId="3170"/>
    <cellStyle name="Input 6 6 2" xfId="3171"/>
    <cellStyle name="Input 6 6 2 2" xfId="3172"/>
    <cellStyle name="Input 6 6 3" xfId="3173"/>
    <cellStyle name="Input 6 7" xfId="3174"/>
    <cellStyle name="Input 6 7 2" xfId="3175"/>
    <cellStyle name="Input 6 8" xfId="3176"/>
    <cellStyle name="InputDataRow" xfId="13"/>
    <cellStyle name="InputLabelRow" xfId="14"/>
    <cellStyle name="InputPc2Right" xfId="15"/>
    <cellStyle name="InputShortText" xfId="16"/>
    <cellStyle name="InputTextLeft" xfId="17"/>
    <cellStyle name="Int.conven" xfId="3177"/>
    <cellStyle name="IntermediateLabelColumn" xfId="18"/>
    <cellStyle name="JG" xfId="3178"/>
    <cellStyle name="LabelLeft" xfId="19"/>
    <cellStyle name="LabelRight" xfId="20"/>
    <cellStyle name="Linked Cell 2" xfId="3179"/>
    <cellStyle name="Linked Cell 2 2" xfId="3180"/>
    <cellStyle name="Linked Cell 3" xfId="3181"/>
    <cellStyle name="Linked Cell 4" xfId="3182"/>
    <cellStyle name="LocalFormat" xfId="3183"/>
    <cellStyle name="LocalFormat 2" xfId="3184"/>
    <cellStyle name="LocalFormat 2 2" xfId="3185"/>
    <cellStyle name="LocalFormat 2 2 2" xfId="3186"/>
    <cellStyle name="LocalFormat 2 2 2 2" xfId="3187"/>
    <cellStyle name="LocalFormat 2 2 2 2 2" xfId="3188"/>
    <cellStyle name="LocalFormat 2 2 2 2 2 2" xfId="3189"/>
    <cellStyle name="LocalFormat 2 2 2 2 2 2 2" xfId="3190"/>
    <cellStyle name="LocalFormat 2 2 2 2 2 3" xfId="3191"/>
    <cellStyle name="LocalFormat 2 2 2 2 3" xfId="3192"/>
    <cellStyle name="LocalFormat 2 2 2 2 3 2" xfId="3193"/>
    <cellStyle name="LocalFormat 2 2 2 2 4" xfId="3194"/>
    <cellStyle name="LocalFormat 2 2 2 3" xfId="3195"/>
    <cellStyle name="LocalFormat 2 2 2 3 2" xfId="3196"/>
    <cellStyle name="LocalFormat 2 2 2 3 2 2" xfId="3197"/>
    <cellStyle name="LocalFormat 2 2 2 3 3" xfId="3198"/>
    <cellStyle name="LocalFormat 2 2 2 3 4" xfId="3199"/>
    <cellStyle name="LocalFormat 2 2 2 4" xfId="3200"/>
    <cellStyle name="LocalFormat 2 2 2 4 2" xfId="3201"/>
    <cellStyle name="LocalFormat 2 2 2 4 2 2" xfId="3202"/>
    <cellStyle name="LocalFormat 2 2 2 4 3" xfId="3203"/>
    <cellStyle name="LocalFormat 2 2 2 5" xfId="3204"/>
    <cellStyle name="LocalFormat 2 2 3" xfId="3205"/>
    <cellStyle name="LocalFormat 2 2 3 2" xfId="3206"/>
    <cellStyle name="LocalFormat 2 2 3 2 2" xfId="3207"/>
    <cellStyle name="LocalFormat 2 2 3 2 2 2" xfId="3208"/>
    <cellStyle name="LocalFormat 2 2 3 2 2 2 2" xfId="3209"/>
    <cellStyle name="LocalFormat 2 2 3 2 2 3" xfId="3210"/>
    <cellStyle name="LocalFormat 2 2 3 2 3" xfId="3211"/>
    <cellStyle name="LocalFormat 2 2 3 2 3 2" xfId="3212"/>
    <cellStyle name="LocalFormat 2 2 3 2 4" xfId="3213"/>
    <cellStyle name="LocalFormat 2 2 3 3" xfId="3214"/>
    <cellStyle name="LocalFormat 2 2 3 3 2" xfId="3215"/>
    <cellStyle name="LocalFormat 2 2 3 3 2 2" xfId="3216"/>
    <cellStyle name="LocalFormat 2 2 3 3 3" xfId="3217"/>
    <cellStyle name="LocalFormat 2 2 3 3 4" xfId="3218"/>
    <cellStyle name="LocalFormat 2 2 3 4" xfId="3219"/>
    <cellStyle name="LocalFormat 2 2 3 4 2" xfId="3220"/>
    <cellStyle name="LocalFormat 2 2 3 4 2 2" xfId="3221"/>
    <cellStyle name="LocalFormat 2 2 3 4 3" xfId="3222"/>
    <cellStyle name="LocalFormat 2 2 3 5" xfId="3223"/>
    <cellStyle name="LocalFormat 2 2 3 5 2" xfId="3224"/>
    <cellStyle name="LocalFormat 2 2 3 6" xfId="3225"/>
    <cellStyle name="LocalFormat 2 2 4" xfId="3226"/>
    <cellStyle name="LocalFormat 2 2 4 2" xfId="3227"/>
    <cellStyle name="LocalFormat 2 2 4 2 2" xfId="3228"/>
    <cellStyle name="LocalFormat 2 2 4 2 2 2" xfId="3229"/>
    <cellStyle name="LocalFormat 2 2 4 2 2 2 2" xfId="3230"/>
    <cellStyle name="LocalFormat 2 2 4 2 2 3" xfId="3231"/>
    <cellStyle name="LocalFormat 2 2 4 2 3" xfId="3232"/>
    <cellStyle name="LocalFormat 2 2 4 2 3 2" xfId="3233"/>
    <cellStyle name="LocalFormat 2 2 4 2 4" xfId="3234"/>
    <cellStyle name="LocalFormat 2 2 4 3" xfId="3235"/>
    <cellStyle name="LocalFormat 2 2 4 3 2" xfId="3236"/>
    <cellStyle name="LocalFormat 2 2 4 3 2 2" xfId="3237"/>
    <cellStyle name="LocalFormat 2 2 4 3 3" xfId="3238"/>
    <cellStyle name="LocalFormat 2 2 4 3 4" xfId="3239"/>
    <cellStyle name="LocalFormat 2 2 4 4" xfId="3240"/>
    <cellStyle name="LocalFormat 2 2 4 4 2" xfId="3241"/>
    <cellStyle name="LocalFormat 2 2 4 4 2 2" xfId="3242"/>
    <cellStyle name="LocalFormat 2 2 4 4 3" xfId="3243"/>
    <cellStyle name="LocalFormat 2 2 4 5" xfId="3244"/>
    <cellStyle name="LocalFormat 2 2 4 5 2" xfId="3245"/>
    <cellStyle name="LocalFormat 2 2 4 6" xfId="3246"/>
    <cellStyle name="LocalFormat 2 2 5" xfId="3247"/>
    <cellStyle name="LocalFormat 2 2 5 2" xfId="3248"/>
    <cellStyle name="LocalFormat 2 3" xfId="3249"/>
    <cellStyle name="LocalFormat 2 3 2" xfId="3250"/>
    <cellStyle name="LocalFormat 2 3 2 2" xfId="3251"/>
    <cellStyle name="LocalFormat 2 3 2 2 2" xfId="3252"/>
    <cellStyle name="LocalFormat 2 3 2 2 2 2" xfId="3253"/>
    <cellStyle name="LocalFormat 2 3 2 2 3" xfId="3254"/>
    <cellStyle name="LocalFormat 2 3 2 3" xfId="3255"/>
    <cellStyle name="LocalFormat 2 3 2 3 2" xfId="3256"/>
    <cellStyle name="LocalFormat 2 3 2 4" xfId="3257"/>
    <cellStyle name="LocalFormat 2 3 3" xfId="3258"/>
    <cellStyle name="LocalFormat 2 3 3 2" xfId="3259"/>
    <cellStyle name="LocalFormat 2 3 3 2 2" xfId="3260"/>
    <cellStyle name="LocalFormat 2 3 3 3" xfId="3261"/>
    <cellStyle name="LocalFormat 2 3 3 4" xfId="3262"/>
    <cellStyle name="LocalFormat 2 3 4" xfId="3263"/>
    <cellStyle name="LocalFormat 2 3 4 2" xfId="3264"/>
    <cellStyle name="LocalFormat 2 3 4 2 2" xfId="3265"/>
    <cellStyle name="LocalFormat 2 3 4 3" xfId="3266"/>
    <cellStyle name="LocalFormat 2 3 5" xfId="3267"/>
    <cellStyle name="LocalFormat 2 4" xfId="3268"/>
    <cellStyle name="LocalFormat 2 4 2" xfId="3269"/>
    <cellStyle name="LocalFormat 2 4 2 2" xfId="3270"/>
    <cellStyle name="LocalFormat 2 4 2 2 2" xfId="3271"/>
    <cellStyle name="LocalFormat 2 4 2 2 2 2" xfId="3272"/>
    <cellStyle name="LocalFormat 2 4 2 2 3" xfId="3273"/>
    <cellStyle name="LocalFormat 2 4 2 3" xfId="3274"/>
    <cellStyle name="LocalFormat 2 4 2 3 2" xfId="3275"/>
    <cellStyle name="LocalFormat 2 4 2 4" xfId="3276"/>
    <cellStyle name="LocalFormat 2 4 3" xfId="3277"/>
    <cellStyle name="LocalFormat 2 4 3 2" xfId="3278"/>
    <cellStyle name="LocalFormat 2 4 3 2 2" xfId="3279"/>
    <cellStyle name="LocalFormat 2 4 3 3" xfId="3280"/>
    <cellStyle name="LocalFormat 2 4 3 4" xfId="3281"/>
    <cellStyle name="LocalFormat 2 4 4" xfId="3282"/>
    <cellStyle name="LocalFormat 2 4 4 2" xfId="3283"/>
    <cellStyle name="LocalFormat 2 4 4 2 2" xfId="3284"/>
    <cellStyle name="LocalFormat 2 4 4 3" xfId="3285"/>
    <cellStyle name="LocalFormat 2 4 5" xfId="3286"/>
    <cellStyle name="LocalFormat 2 4 5 2" xfId="3287"/>
    <cellStyle name="LocalFormat 2 4 6" xfId="3288"/>
    <cellStyle name="LocalFormat 2 5" xfId="3289"/>
    <cellStyle name="LocalFormat 2 5 2" xfId="3290"/>
    <cellStyle name="LocalFormat 2 5 2 2" xfId="3291"/>
    <cellStyle name="LocalFormat 2 5 2 2 2" xfId="3292"/>
    <cellStyle name="LocalFormat 2 5 2 2 2 2" xfId="3293"/>
    <cellStyle name="LocalFormat 2 5 2 2 3" xfId="3294"/>
    <cellStyle name="LocalFormat 2 5 2 3" xfId="3295"/>
    <cellStyle name="LocalFormat 2 5 2 3 2" xfId="3296"/>
    <cellStyle name="LocalFormat 2 5 2 4" xfId="3297"/>
    <cellStyle name="LocalFormat 2 5 3" xfId="3298"/>
    <cellStyle name="LocalFormat 2 5 3 2" xfId="3299"/>
    <cellStyle name="LocalFormat 2 5 3 2 2" xfId="3300"/>
    <cellStyle name="LocalFormat 2 5 3 3" xfId="3301"/>
    <cellStyle name="LocalFormat 2 5 3 4" xfId="3302"/>
    <cellStyle name="LocalFormat 2 5 4" xfId="3303"/>
    <cellStyle name="LocalFormat 2 5 4 2" xfId="3304"/>
    <cellStyle name="LocalFormat 2 5 4 2 2" xfId="3305"/>
    <cellStyle name="LocalFormat 2 5 4 3" xfId="3306"/>
    <cellStyle name="LocalFormat 2 5 5" xfId="3307"/>
    <cellStyle name="LocalFormat 2 5 5 2" xfId="3308"/>
    <cellStyle name="LocalFormat 2 5 6" xfId="3309"/>
    <cellStyle name="LocalFormat 3" xfId="3310"/>
    <cellStyle name="LocalFormat 3 2" xfId="3311"/>
    <cellStyle name="LocalFormat 3 2 2" xfId="3312"/>
    <cellStyle name="LocalFormat 3 2 2 2" xfId="3313"/>
    <cellStyle name="LocalFormat 3 2 2 2 2" xfId="3314"/>
    <cellStyle name="LocalFormat 3 2 2 2 2 2" xfId="3315"/>
    <cellStyle name="LocalFormat 3 2 2 2 3" xfId="3316"/>
    <cellStyle name="LocalFormat 3 2 2 3" xfId="3317"/>
    <cellStyle name="LocalFormat 3 2 2 3 2" xfId="3318"/>
    <cellStyle name="LocalFormat 3 2 2 4" xfId="3319"/>
    <cellStyle name="LocalFormat 3 2 3" xfId="3320"/>
    <cellStyle name="LocalFormat 3 2 3 2" xfId="3321"/>
    <cellStyle name="LocalFormat 3 2 3 2 2" xfId="3322"/>
    <cellStyle name="LocalFormat 3 2 3 3" xfId="3323"/>
    <cellStyle name="LocalFormat 3 2 3 4" xfId="3324"/>
    <cellStyle name="LocalFormat 3 2 4" xfId="3325"/>
    <cellStyle name="LocalFormat 3 2 4 2" xfId="3326"/>
    <cellStyle name="LocalFormat 3 2 4 2 2" xfId="3327"/>
    <cellStyle name="LocalFormat 3 2 4 3" xfId="3328"/>
    <cellStyle name="LocalFormat 3 2 5" xfId="3329"/>
    <cellStyle name="LocalFormat 3 3" xfId="3330"/>
    <cellStyle name="LocalFormat 3 3 2" xfId="3331"/>
    <cellStyle name="LocalFormat 3 3 2 2" xfId="3332"/>
    <cellStyle name="LocalFormat 3 3 2 2 2" xfId="3333"/>
    <cellStyle name="LocalFormat 3 3 2 2 2 2" xfId="3334"/>
    <cellStyle name="LocalFormat 3 3 2 2 3" xfId="3335"/>
    <cellStyle name="LocalFormat 3 3 2 3" xfId="3336"/>
    <cellStyle name="LocalFormat 3 3 2 3 2" xfId="3337"/>
    <cellStyle name="LocalFormat 3 3 2 4" xfId="3338"/>
    <cellStyle name="LocalFormat 3 3 3" xfId="3339"/>
    <cellStyle name="LocalFormat 3 3 3 2" xfId="3340"/>
    <cellStyle name="LocalFormat 3 3 3 2 2" xfId="3341"/>
    <cellStyle name="LocalFormat 3 3 3 3" xfId="3342"/>
    <cellStyle name="LocalFormat 3 3 3 4" xfId="3343"/>
    <cellStyle name="LocalFormat 3 3 4" xfId="3344"/>
    <cellStyle name="LocalFormat 3 3 4 2" xfId="3345"/>
    <cellStyle name="LocalFormat 3 3 4 2 2" xfId="3346"/>
    <cellStyle name="LocalFormat 3 3 4 3" xfId="3347"/>
    <cellStyle name="LocalFormat 3 3 5" xfId="3348"/>
    <cellStyle name="LocalFormat 3 3 5 2" xfId="3349"/>
    <cellStyle name="LocalFormat 3 3 6" xfId="3350"/>
    <cellStyle name="LocalFormat 3 4" xfId="3351"/>
    <cellStyle name="LocalFormat 3 4 2" xfId="3352"/>
    <cellStyle name="LocalFormat 3 4 2 2" xfId="3353"/>
    <cellStyle name="LocalFormat 3 4 2 2 2" xfId="3354"/>
    <cellStyle name="LocalFormat 3 4 2 2 2 2" xfId="3355"/>
    <cellStyle name="LocalFormat 3 4 2 2 3" xfId="3356"/>
    <cellStyle name="LocalFormat 3 4 2 3" xfId="3357"/>
    <cellStyle name="LocalFormat 3 4 2 3 2" xfId="3358"/>
    <cellStyle name="LocalFormat 3 4 2 4" xfId="3359"/>
    <cellStyle name="LocalFormat 3 4 3" xfId="3360"/>
    <cellStyle name="LocalFormat 3 4 3 2" xfId="3361"/>
    <cellStyle name="LocalFormat 3 4 3 2 2" xfId="3362"/>
    <cellStyle name="LocalFormat 3 4 3 3" xfId="3363"/>
    <cellStyle name="LocalFormat 3 4 3 4" xfId="3364"/>
    <cellStyle name="LocalFormat 3 4 4" xfId="3365"/>
    <cellStyle name="LocalFormat 3 4 4 2" xfId="3366"/>
    <cellStyle name="LocalFormat 3 4 4 2 2" xfId="3367"/>
    <cellStyle name="LocalFormat 3 4 4 3" xfId="3368"/>
    <cellStyle name="LocalFormat 3 4 5" xfId="3369"/>
    <cellStyle name="LocalFormat 3 4 5 2" xfId="3370"/>
    <cellStyle name="LocalFormat 3 4 6" xfId="3371"/>
    <cellStyle name="LocalFormat 3 5" xfId="3372"/>
    <cellStyle name="LocalFormat 3 5 2" xfId="3373"/>
    <cellStyle name="LocalFormat 4" xfId="3374"/>
    <cellStyle name="LocalFormat 4 2" xfId="3375"/>
    <cellStyle name="LocalFormat 4 2 2" xfId="3376"/>
    <cellStyle name="LocalFormat 4 2 2 2" xfId="3377"/>
    <cellStyle name="LocalFormat 4 2 2 2 2" xfId="3378"/>
    <cellStyle name="LocalFormat 4 2 2 2 2 2" xfId="3379"/>
    <cellStyle name="LocalFormat 4 2 2 2 3" xfId="3380"/>
    <cellStyle name="LocalFormat 4 2 2 3" xfId="3381"/>
    <cellStyle name="LocalFormat 4 2 2 3 2" xfId="3382"/>
    <cellStyle name="LocalFormat 4 2 2 4" xfId="3383"/>
    <cellStyle name="LocalFormat 4 2 3" xfId="3384"/>
    <cellStyle name="LocalFormat 4 2 3 2" xfId="3385"/>
    <cellStyle name="LocalFormat 4 2 3 2 2" xfId="3386"/>
    <cellStyle name="LocalFormat 4 2 3 3" xfId="3387"/>
    <cellStyle name="LocalFormat 4 2 3 4" xfId="3388"/>
    <cellStyle name="LocalFormat 4 2 4" xfId="3389"/>
    <cellStyle name="LocalFormat 4 2 4 2" xfId="3390"/>
    <cellStyle name="LocalFormat 4 2 4 2 2" xfId="3391"/>
    <cellStyle name="LocalFormat 4 2 4 3" xfId="3392"/>
    <cellStyle name="LocalFormat 4 2 5" xfId="3393"/>
    <cellStyle name="LocalFormat 4 2 5 2" xfId="3394"/>
    <cellStyle name="LocalFormat 4 2 6" xfId="3395"/>
    <cellStyle name="LocalFormat 4 3" xfId="3396"/>
    <cellStyle name="LocalFormat 4 3 2" xfId="3397"/>
    <cellStyle name="LocalFormat 4 3 2 2" xfId="3398"/>
    <cellStyle name="LocalFormat 4 3 2 2 2" xfId="3399"/>
    <cellStyle name="LocalFormat 4 3 2 2 2 2" xfId="3400"/>
    <cellStyle name="LocalFormat 4 3 2 2 3" xfId="3401"/>
    <cellStyle name="LocalFormat 4 3 2 3" xfId="3402"/>
    <cellStyle name="LocalFormat 4 3 2 3 2" xfId="3403"/>
    <cellStyle name="LocalFormat 4 3 2 4" xfId="3404"/>
    <cellStyle name="LocalFormat 4 3 3" xfId="3405"/>
    <cellStyle name="LocalFormat 4 3 3 2" xfId="3406"/>
    <cellStyle name="LocalFormat 4 3 3 2 2" xfId="3407"/>
    <cellStyle name="LocalFormat 4 3 3 3" xfId="3408"/>
    <cellStyle name="LocalFormat 4 3 3 4" xfId="3409"/>
    <cellStyle name="LocalFormat 4 3 4" xfId="3410"/>
    <cellStyle name="LocalFormat 4 3 4 2" xfId="3411"/>
    <cellStyle name="LocalFormat 4 3 4 2 2" xfId="3412"/>
    <cellStyle name="LocalFormat 4 3 4 3" xfId="3413"/>
    <cellStyle name="LocalFormat 4 3 5" xfId="3414"/>
    <cellStyle name="LocalFormat 4 3 5 2" xfId="3415"/>
    <cellStyle name="LocalFormat 4 3 6" xfId="3416"/>
    <cellStyle name="LocalFormat 4 4" xfId="3417"/>
    <cellStyle name="LocalFormat 4 4 2" xfId="3418"/>
    <cellStyle name="LocalFormat 4 4 2 2" xfId="3419"/>
    <cellStyle name="LocalFormat 4 4 2 2 2" xfId="3420"/>
    <cellStyle name="LocalFormat 4 4 2 3" xfId="3421"/>
    <cellStyle name="LocalFormat 4 4 3" xfId="3422"/>
    <cellStyle name="LocalFormat 4 4 3 2" xfId="3423"/>
    <cellStyle name="LocalFormat 4 4 4" xfId="3424"/>
    <cellStyle name="LocalFormat 4 5" xfId="3425"/>
    <cellStyle name="LocalFormat 4 5 2" xfId="3426"/>
    <cellStyle name="LocalFormat 4 5 2 2" xfId="3427"/>
    <cellStyle name="LocalFormat 4 5 3" xfId="3428"/>
    <cellStyle name="LocalFormat 4 5 4" xfId="3429"/>
    <cellStyle name="LocalFormat 4 6" xfId="3430"/>
    <cellStyle name="LocalFormat 4 6 2" xfId="3431"/>
    <cellStyle name="LocalFormat 4 6 2 2" xfId="3432"/>
    <cellStyle name="LocalFormat 4 6 3" xfId="3433"/>
    <cellStyle name="LocalFormat 4 7" xfId="3434"/>
    <cellStyle name="LocalFormat 5" xfId="3435"/>
    <cellStyle name="LocalFormat 5 2" xfId="3436"/>
    <cellStyle name="LocalFormat 5 2 2" xfId="3437"/>
    <cellStyle name="LocalFormat 5 2 2 2" xfId="3438"/>
    <cellStyle name="LocalFormat 5 2 2 2 2" xfId="3439"/>
    <cellStyle name="LocalFormat 5 2 2 3" xfId="3440"/>
    <cellStyle name="LocalFormat 5 2 3" xfId="3441"/>
    <cellStyle name="LocalFormat 5 2 3 2" xfId="3442"/>
    <cellStyle name="LocalFormat 5 2 4" xfId="3443"/>
    <cellStyle name="LocalFormat 5 3" xfId="3444"/>
    <cellStyle name="LocalFormat 5 3 2" xfId="3445"/>
    <cellStyle name="LocalFormat 5 3 2 2" xfId="3446"/>
    <cellStyle name="LocalFormat 5 3 3" xfId="3447"/>
    <cellStyle name="LocalFormat 5 3 4" xfId="3448"/>
    <cellStyle name="LocalFormat 5 4" xfId="3449"/>
    <cellStyle name="LocalFormat 5 4 2" xfId="3450"/>
    <cellStyle name="LocalFormat 5 4 2 2" xfId="3451"/>
    <cellStyle name="LocalFormat 5 4 3" xfId="3452"/>
    <cellStyle name="LocalFormat 5 5" xfId="3453"/>
    <cellStyle name="Macro Header" xfId="3454"/>
    <cellStyle name="Macro Text" xfId="3455"/>
    <cellStyle name="MacroCode" xfId="3456"/>
    <cellStyle name="Millares [0]_2AV_M_M " xfId="3457"/>
    <cellStyle name="Millares_2AV_M_M " xfId="3458"/>
    <cellStyle name="Milliers [0]_Open&amp;Close" xfId="21"/>
    <cellStyle name="Milliers_Open&amp;Close" xfId="22"/>
    <cellStyle name="Mon?taire [0]_Open&amp;Close" xfId="23"/>
    <cellStyle name="Mon?taire_Open&amp;Close" xfId="24"/>
    <cellStyle name="Moneda [0]_2AV_M_M " xfId="3459"/>
    <cellStyle name="Moneda_2AV_M_M " xfId="3460"/>
    <cellStyle name="Monétaire [0]_Open&amp;Close" xfId="25"/>
    <cellStyle name="Monétaire_Open&amp;Close" xfId="26"/>
    <cellStyle name="Neutral 2" xfId="3461"/>
    <cellStyle name="Neutral 2 2" xfId="3462"/>
    <cellStyle name="Neutral 3" xfId="3463"/>
    <cellStyle name="Neutral 4" xfId="3464"/>
    <cellStyle name="Normal" xfId="0" builtinId="0"/>
    <cellStyle name="Normal - Style1" xfId="3465"/>
    <cellStyle name="Normal 10" xfId="3466"/>
    <cellStyle name="Normal 10 2" xfId="3467"/>
    <cellStyle name="Normal 10 2 2" xfId="3468"/>
    <cellStyle name="Normal 10 2 2 2" xfId="3469"/>
    <cellStyle name="Normal 10 2 2 2 2" xfId="3470"/>
    <cellStyle name="Normal 10 2 2 3" xfId="3471"/>
    <cellStyle name="Normal 10 2 3" xfId="3472"/>
    <cellStyle name="Normal 10 2 3 2" xfId="3473"/>
    <cellStyle name="Normal 10 2 4" xfId="3474"/>
    <cellStyle name="Normal 10 3" xfId="3475"/>
    <cellStyle name="Normal 10 3 2" xfId="3476"/>
    <cellStyle name="Normal 10 3 2 2" xfId="3477"/>
    <cellStyle name="Normal 10 3 2 2 2" xfId="3478"/>
    <cellStyle name="Normal 10 3 2 3" xfId="3479"/>
    <cellStyle name="Normal 10 3 3" xfId="3480"/>
    <cellStyle name="Normal 10 3 3 2" xfId="3481"/>
    <cellStyle name="Normal 10 3 4" xfId="3482"/>
    <cellStyle name="Normal 10 4" xfId="3483"/>
    <cellStyle name="Normal 10 4 2" xfId="3484"/>
    <cellStyle name="Normal 10 4 2 2" xfId="3485"/>
    <cellStyle name="Normal 10 4 3" xfId="3486"/>
    <cellStyle name="Normal 10 5" xfId="3487"/>
    <cellStyle name="Normal 10 5 2" xfId="3488"/>
    <cellStyle name="Normal 10 6" xfId="3489"/>
    <cellStyle name="Normal 11" xfId="3490"/>
    <cellStyle name="Normal 11 2" xfId="3491"/>
    <cellStyle name="Normal 11 2 2" xfId="3492"/>
    <cellStyle name="Normal 12" xfId="3493"/>
    <cellStyle name="Normal 12 2" xfId="3494"/>
    <cellStyle name="Normal 12 2 2" xfId="3495"/>
    <cellStyle name="Normal 13" xfId="3496"/>
    <cellStyle name="Normal 13 2" xfId="3497"/>
    <cellStyle name="Normal 13 2 2" xfId="3498"/>
    <cellStyle name="Normal 13 3" xfId="3499"/>
    <cellStyle name="Normal 13 4" xfId="3500"/>
    <cellStyle name="Normal 14" xfId="3501"/>
    <cellStyle name="Normal 14 2" xfId="3502"/>
    <cellStyle name="Normal 14 2 2" xfId="3503"/>
    <cellStyle name="Normal 14 3" xfId="3504"/>
    <cellStyle name="Normal 14 4" xfId="3505"/>
    <cellStyle name="Normal 15" xfId="3506"/>
    <cellStyle name="Normal 15 2" xfId="3507"/>
    <cellStyle name="Normal 15 2 2" xfId="3508"/>
    <cellStyle name="Normal 15 3" xfId="3509"/>
    <cellStyle name="Normal 15 4" xfId="3510"/>
    <cellStyle name="Normal 16" xfId="3511"/>
    <cellStyle name="Normal 16 2" xfId="3512"/>
    <cellStyle name="Normal 17" xfId="3513"/>
    <cellStyle name="Normal 17 2" xfId="3514"/>
    <cellStyle name="Normal 18" xfId="3515"/>
    <cellStyle name="Normal 18 2" xfId="3516"/>
    <cellStyle name="Normal 19" xfId="3517"/>
    <cellStyle name="Normal 19 2" xfId="3518"/>
    <cellStyle name="Normal 2" xfId="27"/>
    <cellStyle name="Normal 2 2" xfId="3519"/>
    <cellStyle name="Normal 2 3" xfId="3520"/>
    <cellStyle name="Normal 20" xfId="3521"/>
    <cellStyle name="Normal 20 2" xfId="3522"/>
    <cellStyle name="Normal 21" xfId="3523"/>
    <cellStyle name="Normal 21 2" xfId="3524"/>
    <cellStyle name="Normal 22" xfId="3525"/>
    <cellStyle name="Normal 22 2" xfId="3526"/>
    <cellStyle name="Normal 22 2 2" xfId="3527"/>
    <cellStyle name="Normal 22 3" xfId="3528"/>
    <cellStyle name="Normal 22 4" xfId="3529"/>
    <cellStyle name="Normal 23" xfId="3530"/>
    <cellStyle name="Normal 23 2" xfId="3531"/>
    <cellStyle name="Normal 24" xfId="3532"/>
    <cellStyle name="Normal 24 2" xfId="3533"/>
    <cellStyle name="Normal 25" xfId="3534"/>
    <cellStyle name="Normal 25 2" xfId="3535"/>
    <cellStyle name="Normal 25 2 2" xfId="3536"/>
    <cellStyle name="Normal 25 3" xfId="3537"/>
    <cellStyle name="Normal 26" xfId="3538"/>
    <cellStyle name="Normal 26 2" xfId="3539"/>
    <cellStyle name="Normal 26 2 2" xfId="3540"/>
    <cellStyle name="Normal 26 3" xfId="3541"/>
    <cellStyle name="Normal 27" xfId="3542"/>
    <cellStyle name="Normal 27 2" xfId="3543"/>
    <cellStyle name="Normal 28" xfId="3544"/>
    <cellStyle name="Normal 28 2" xfId="3545"/>
    <cellStyle name="Normal 29" xfId="3546"/>
    <cellStyle name="Normal 29 2" xfId="3547"/>
    <cellStyle name="Normal 3" xfId="28"/>
    <cellStyle name="Normal 3 2" xfId="3548"/>
    <cellStyle name="Normal 3 3" xfId="3549"/>
    <cellStyle name="Normal 3 3 2" xfId="3550"/>
    <cellStyle name="Normal 3 3 2 2" xfId="3551"/>
    <cellStyle name="Normal 3 3 2 2 2" xfId="3552"/>
    <cellStyle name="Normal 3 3 2 2 2 2" xfId="3553"/>
    <cellStyle name="Normal 3 3 2 2 3" xfId="3554"/>
    <cellStyle name="Normal 3 3 2 3" xfId="3555"/>
    <cellStyle name="Normal 3 3 2 3 2" xfId="3556"/>
    <cellStyle name="Normal 3 3 2 4" xfId="3557"/>
    <cellStyle name="Normal 3 3 3" xfId="3558"/>
    <cellStyle name="Normal 3 3 3 2" xfId="3559"/>
    <cellStyle name="Normal 3 3 3 2 2" xfId="3560"/>
    <cellStyle name="Normal 3 3 3 2 2 2" xfId="3561"/>
    <cellStyle name="Normal 3 3 3 2 3" xfId="3562"/>
    <cellStyle name="Normal 3 3 3 3" xfId="3563"/>
    <cellStyle name="Normal 3 3 3 3 2" xfId="3564"/>
    <cellStyle name="Normal 3 3 3 4" xfId="3565"/>
    <cellStyle name="Normal 3 3 4" xfId="3566"/>
    <cellStyle name="Normal 3 3 4 2" xfId="3567"/>
    <cellStyle name="Normal 3 3 4 2 2" xfId="3568"/>
    <cellStyle name="Normal 3 3 4 3" xfId="3569"/>
    <cellStyle name="Normal 3 3 5" xfId="3570"/>
    <cellStyle name="Normal 3 3 5 2" xfId="3571"/>
    <cellStyle name="Normal 3 3 6" xfId="3572"/>
    <cellStyle name="Normal 3 4" xfId="3573"/>
    <cellStyle name="Normal 3 4 2" xfId="3574"/>
    <cellStyle name="Normal 3 4 2 2" xfId="3575"/>
    <cellStyle name="Normal 3 4 2 2 2" xfId="3576"/>
    <cellStyle name="Normal 3 4 2 2 2 2" xfId="3577"/>
    <cellStyle name="Normal 3 4 2 2 3" xfId="3578"/>
    <cellStyle name="Normal 3 4 2 3" xfId="3579"/>
    <cellStyle name="Normal 3 4 2 3 2" xfId="3580"/>
    <cellStyle name="Normal 3 4 2 4" xfId="3581"/>
    <cellStyle name="Normal 3 4 3" xfId="3582"/>
    <cellStyle name="Normal 3 4 3 2" xfId="3583"/>
    <cellStyle name="Normal 3 4 3 2 2" xfId="3584"/>
    <cellStyle name="Normal 3 4 3 2 2 2" xfId="3585"/>
    <cellStyle name="Normal 3 4 3 2 3" xfId="3586"/>
    <cellStyle name="Normal 3 4 3 3" xfId="3587"/>
    <cellStyle name="Normal 3 4 3 3 2" xfId="3588"/>
    <cellStyle name="Normal 3 4 3 4" xfId="3589"/>
    <cellStyle name="Normal 3 4 4" xfId="3590"/>
    <cellStyle name="Normal 3 4 4 2" xfId="3591"/>
    <cellStyle name="Normal 3 4 4 2 2" xfId="3592"/>
    <cellStyle name="Normal 3 4 4 3" xfId="3593"/>
    <cellStyle name="Normal 3 4 5" xfId="3594"/>
    <cellStyle name="Normal 3 4 5 2" xfId="3595"/>
    <cellStyle name="Normal 3 4 6" xfId="3596"/>
    <cellStyle name="Normal 3 5" xfId="3597"/>
    <cellStyle name="Normal 30" xfId="3598"/>
    <cellStyle name="Normal 30 2" xfId="3599"/>
    <cellStyle name="Normal 30 2 2" xfId="3600"/>
    <cellStyle name="Normal 30 3" xfId="3601"/>
    <cellStyle name="Normal 31" xfId="3602"/>
    <cellStyle name="Normal 31 2" xfId="3603"/>
    <cellStyle name="Normal 32" xfId="3604"/>
    <cellStyle name="Normal 32 2" xfId="3605"/>
    <cellStyle name="Normal 33" xfId="3606"/>
    <cellStyle name="Normal 33 2" xfId="3607"/>
    <cellStyle name="Normal 34" xfId="3608"/>
    <cellStyle name="Normal 34 2" xfId="3609"/>
    <cellStyle name="Normal 35" xfId="3610"/>
    <cellStyle name="Normal 35 2" xfId="3611"/>
    <cellStyle name="Normal 36" xfId="3612"/>
    <cellStyle name="Normal 36 2" xfId="3613"/>
    <cellStyle name="Normal 37" xfId="3614"/>
    <cellStyle name="Normal 37 2" xfId="3615"/>
    <cellStyle name="Normal 38" xfId="3616"/>
    <cellStyle name="Normal 38 2" xfId="3617"/>
    <cellStyle name="Normal 39" xfId="3618"/>
    <cellStyle name="Normal 39 2" xfId="3619"/>
    <cellStyle name="Normal 4" xfId="29"/>
    <cellStyle name="Normal 4 2" xfId="3620"/>
    <cellStyle name="Normal 4 3" xfId="3621"/>
    <cellStyle name="Normal 40" xfId="3622"/>
    <cellStyle name="Normal 40 2" xfId="3623"/>
    <cellStyle name="Normal 41" xfId="3624"/>
    <cellStyle name="Normal 41 2" xfId="3625"/>
    <cellStyle name="Normal 41 2 2" xfId="3626"/>
    <cellStyle name="Normal 41 3" xfId="3627"/>
    <cellStyle name="Normal 42" xfId="3628"/>
    <cellStyle name="Normal 42 2" xfId="3629"/>
    <cellStyle name="Normal 42 2 2" xfId="3630"/>
    <cellStyle name="Normal 42 3" xfId="3631"/>
    <cellStyle name="Normal 43" xfId="3632"/>
    <cellStyle name="Normal 43 2" xfId="3633"/>
    <cellStyle name="Normal 44" xfId="3634"/>
    <cellStyle name="Normal 44 2" xfId="3635"/>
    <cellStyle name="Normal 45" xfId="3636"/>
    <cellStyle name="Normal 45 2" xfId="3637"/>
    <cellStyle name="Normal 46" xfId="3638"/>
    <cellStyle name="Normal 47" xfId="3639"/>
    <cellStyle name="Normal 48" xfId="3640"/>
    <cellStyle name="Normal 49" xfId="3641"/>
    <cellStyle name="Normal 49 2" xfId="3642"/>
    <cellStyle name="Normal 5" xfId="3643"/>
    <cellStyle name="Normal 5 2" xfId="3644"/>
    <cellStyle name="Normal 5 3" xfId="3645"/>
    <cellStyle name="Normal 50" xfId="3646"/>
    <cellStyle name="Normal 50 2" xfId="3647"/>
    <cellStyle name="Normal 51" xfId="3648"/>
    <cellStyle name="Normal 51 2" xfId="3649"/>
    <cellStyle name="Normal 52" xfId="3650"/>
    <cellStyle name="Normal 52 2" xfId="3651"/>
    <cellStyle name="Normal 53" xfId="3652"/>
    <cellStyle name="Normal 53 2" xfId="3653"/>
    <cellStyle name="Normal 54" xfId="3654"/>
    <cellStyle name="Normal 54 2" xfId="3655"/>
    <cellStyle name="Normal 55" xfId="3656"/>
    <cellStyle name="Normal 55 2" xfId="3657"/>
    <cellStyle name="Normal 56" xfId="3658"/>
    <cellStyle name="Normal 56 2" xfId="3659"/>
    <cellStyle name="Normal 57" xfId="3660"/>
    <cellStyle name="Normal 57 2" xfId="3661"/>
    <cellStyle name="Normal 58" xfId="3662"/>
    <cellStyle name="Normal 59" xfId="3663"/>
    <cellStyle name="Normal 6" xfId="3664"/>
    <cellStyle name="Normal 60" xfId="3665"/>
    <cellStyle name="Normal 61" xfId="3666"/>
    <cellStyle name="Normal 62" xfId="3667"/>
    <cellStyle name="Normal 63" xfId="3668"/>
    <cellStyle name="Normal 64" xfId="3669"/>
    <cellStyle name="Normal 65" xfId="3670"/>
    <cellStyle name="Normal 66" xfId="3671"/>
    <cellStyle name="Normal 67" xfId="3672"/>
    <cellStyle name="Normal 68" xfId="3673"/>
    <cellStyle name="Normal 7" xfId="3674"/>
    <cellStyle name="Normal 8" xfId="3675"/>
    <cellStyle name="Normal 9" xfId="3676"/>
    <cellStyle name="Normal 9 2" xfId="3677"/>
    <cellStyle name="Normal 9 2 2" xfId="3678"/>
    <cellStyle name="Normal 9 2 2 2" xfId="3679"/>
    <cellStyle name="Normal 9 2 2 2 2" xfId="3680"/>
    <cellStyle name="Normal 9 2 2 3" xfId="3681"/>
    <cellStyle name="Normal 9 2 3" xfId="3682"/>
    <cellStyle name="Normal 9 2 3 2" xfId="3683"/>
    <cellStyle name="Normal 9 2 4" xfId="3684"/>
    <cellStyle name="Normal 9 3" xfId="3685"/>
    <cellStyle name="Normal 9 3 2" xfId="3686"/>
    <cellStyle name="Normal 9 3 2 2" xfId="3687"/>
    <cellStyle name="Normal 9 3 2 2 2" xfId="3688"/>
    <cellStyle name="Normal 9 3 2 3" xfId="3689"/>
    <cellStyle name="Normal 9 3 3" xfId="3690"/>
    <cellStyle name="Normal 9 3 3 2" xfId="3691"/>
    <cellStyle name="Normal 9 3 4" xfId="3692"/>
    <cellStyle name="Normal 9 4" xfId="3693"/>
    <cellStyle name="Normal 9 4 2" xfId="3694"/>
    <cellStyle name="Normal 9 4 2 2" xfId="3695"/>
    <cellStyle name="Normal 9 4 3" xfId="3696"/>
    <cellStyle name="Normal 9 5" xfId="3697"/>
    <cellStyle name="Normal 9 5 2" xfId="3698"/>
    <cellStyle name="Normal 9 6" xfId="3699"/>
    <cellStyle name="Note 2" xfId="3700"/>
    <cellStyle name="Note 2 2" xfId="3701"/>
    <cellStyle name="Note 2 2 2" xfId="3702"/>
    <cellStyle name="Note 2 2 2 2" xfId="3703"/>
    <cellStyle name="Note 2 2 2 2 2" xfId="3704"/>
    <cellStyle name="Note 2 2 2 2 2 2" xfId="3705"/>
    <cellStyle name="Note 2 2 2 2 2 2 2" xfId="3706"/>
    <cellStyle name="Note 2 2 2 2 2 2 2 2" xfId="3707"/>
    <cellStyle name="Note 2 2 2 2 2 2 2 2 2" xfId="3708"/>
    <cellStyle name="Note 2 2 2 2 2 2 2 3" xfId="3709"/>
    <cellStyle name="Note 2 2 2 2 2 2 3" xfId="3710"/>
    <cellStyle name="Note 2 2 2 2 2 2 3 2" xfId="3711"/>
    <cellStyle name="Note 2 2 2 2 2 2 4" xfId="3712"/>
    <cellStyle name="Note 2 2 2 2 2 3" xfId="3713"/>
    <cellStyle name="Note 2 2 2 2 2 3 2" xfId="3714"/>
    <cellStyle name="Note 2 2 2 2 2 3 2 2" xfId="3715"/>
    <cellStyle name="Note 2 2 2 2 2 3 3" xfId="3716"/>
    <cellStyle name="Note 2 2 2 2 2 3 4" xfId="3717"/>
    <cellStyle name="Note 2 2 2 2 2 4" xfId="3718"/>
    <cellStyle name="Note 2 2 2 2 2 4 2" xfId="3719"/>
    <cellStyle name="Note 2 2 2 2 2 4 2 2" xfId="3720"/>
    <cellStyle name="Note 2 2 2 2 2 4 3" xfId="3721"/>
    <cellStyle name="Note 2 2 2 2 2 5" xfId="3722"/>
    <cellStyle name="Note 2 2 2 2 3" xfId="3723"/>
    <cellStyle name="Note 2 2 2 2 3 2" xfId="3724"/>
    <cellStyle name="Note 2 2 2 2 3 2 2" xfId="3725"/>
    <cellStyle name="Note 2 2 2 2 3 2 2 2" xfId="3726"/>
    <cellStyle name="Note 2 2 2 2 3 2 2 2 2" xfId="3727"/>
    <cellStyle name="Note 2 2 2 2 3 2 2 3" xfId="3728"/>
    <cellStyle name="Note 2 2 2 2 3 2 3" xfId="3729"/>
    <cellStyle name="Note 2 2 2 2 3 2 3 2" xfId="3730"/>
    <cellStyle name="Note 2 2 2 2 3 2 4" xfId="3731"/>
    <cellStyle name="Note 2 2 2 2 3 3" xfId="3732"/>
    <cellStyle name="Note 2 2 2 2 3 3 2" xfId="3733"/>
    <cellStyle name="Note 2 2 2 2 3 3 2 2" xfId="3734"/>
    <cellStyle name="Note 2 2 2 2 3 3 3" xfId="3735"/>
    <cellStyle name="Note 2 2 2 2 3 3 4" xfId="3736"/>
    <cellStyle name="Note 2 2 2 2 3 4" xfId="3737"/>
    <cellStyle name="Note 2 2 2 2 3 4 2" xfId="3738"/>
    <cellStyle name="Note 2 2 2 2 3 4 2 2" xfId="3739"/>
    <cellStyle name="Note 2 2 2 2 3 4 3" xfId="3740"/>
    <cellStyle name="Note 2 2 2 2 3 5" xfId="3741"/>
    <cellStyle name="Note 2 2 2 2 3 5 2" xfId="3742"/>
    <cellStyle name="Note 2 2 2 2 3 6" xfId="3743"/>
    <cellStyle name="Note 2 2 2 2 4" xfId="3744"/>
    <cellStyle name="Note 2 2 2 2 4 2" xfId="3745"/>
    <cellStyle name="Note 2 2 2 2 4 2 2" xfId="3746"/>
    <cellStyle name="Note 2 2 2 2 4 2 2 2" xfId="3747"/>
    <cellStyle name="Note 2 2 2 2 4 2 2 2 2" xfId="3748"/>
    <cellStyle name="Note 2 2 2 2 4 2 2 3" xfId="3749"/>
    <cellStyle name="Note 2 2 2 2 4 2 3" xfId="3750"/>
    <cellStyle name="Note 2 2 2 2 4 2 3 2" xfId="3751"/>
    <cellStyle name="Note 2 2 2 2 4 2 4" xfId="3752"/>
    <cellStyle name="Note 2 2 2 2 4 3" xfId="3753"/>
    <cellStyle name="Note 2 2 2 2 4 3 2" xfId="3754"/>
    <cellStyle name="Note 2 2 2 2 4 3 2 2" xfId="3755"/>
    <cellStyle name="Note 2 2 2 2 4 3 3" xfId="3756"/>
    <cellStyle name="Note 2 2 2 2 4 3 4" xfId="3757"/>
    <cellStyle name="Note 2 2 2 2 4 4" xfId="3758"/>
    <cellStyle name="Note 2 2 2 2 4 4 2" xfId="3759"/>
    <cellStyle name="Note 2 2 2 2 4 4 2 2" xfId="3760"/>
    <cellStyle name="Note 2 2 2 2 4 4 3" xfId="3761"/>
    <cellStyle name="Note 2 2 2 2 4 5" xfId="3762"/>
    <cellStyle name="Note 2 2 2 2 4 5 2" xfId="3763"/>
    <cellStyle name="Note 2 2 2 2 4 6" xfId="3764"/>
    <cellStyle name="Note 2 2 2 2 5" xfId="3765"/>
    <cellStyle name="Note 2 2 2 2 5 2" xfId="3766"/>
    <cellStyle name="Note 2 2 2 3" xfId="3767"/>
    <cellStyle name="Note 2 2 2 3 2" xfId="3768"/>
    <cellStyle name="Note 2 2 2 3 2 2" xfId="3769"/>
    <cellStyle name="Note 2 2 2 3 2 2 2" xfId="3770"/>
    <cellStyle name="Note 2 2 2 3 2 2 2 2" xfId="3771"/>
    <cellStyle name="Note 2 2 2 3 2 2 3" xfId="3772"/>
    <cellStyle name="Note 2 2 2 3 2 3" xfId="3773"/>
    <cellStyle name="Note 2 2 2 3 2 3 2" xfId="3774"/>
    <cellStyle name="Note 2 2 2 3 2 4" xfId="3775"/>
    <cellStyle name="Note 2 2 2 3 3" xfId="3776"/>
    <cellStyle name="Note 2 2 2 3 3 2" xfId="3777"/>
    <cellStyle name="Note 2 2 2 3 3 2 2" xfId="3778"/>
    <cellStyle name="Note 2 2 2 3 3 3" xfId="3779"/>
    <cellStyle name="Note 2 2 2 3 3 4" xfId="3780"/>
    <cellStyle name="Note 2 2 2 3 4" xfId="3781"/>
    <cellStyle name="Note 2 2 2 3 4 2" xfId="3782"/>
    <cellStyle name="Note 2 2 2 3 4 2 2" xfId="3783"/>
    <cellStyle name="Note 2 2 2 3 4 3" xfId="3784"/>
    <cellStyle name="Note 2 2 2 3 5" xfId="3785"/>
    <cellStyle name="Note 2 2 2 4" xfId="3786"/>
    <cellStyle name="Note 2 2 2 4 2" xfId="3787"/>
    <cellStyle name="Note 2 2 2 4 2 2" xfId="3788"/>
    <cellStyle name="Note 2 2 2 4 2 2 2" xfId="3789"/>
    <cellStyle name="Note 2 2 2 4 2 2 2 2" xfId="3790"/>
    <cellStyle name="Note 2 2 2 4 2 2 3" xfId="3791"/>
    <cellStyle name="Note 2 2 2 4 2 3" xfId="3792"/>
    <cellStyle name="Note 2 2 2 4 2 3 2" xfId="3793"/>
    <cellStyle name="Note 2 2 2 4 2 4" xfId="3794"/>
    <cellStyle name="Note 2 2 2 4 3" xfId="3795"/>
    <cellStyle name="Note 2 2 2 4 3 2" xfId="3796"/>
    <cellStyle name="Note 2 2 2 4 3 2 2" xfId="3797"/>
    <cellStyle name="Note 2 2 2 4 3 3" xfId="3798"/>
    <cellStyle name="Note 2 2 2 4 3 4" xfId="3799"/>
    <cellStyle name="Note 2 2 2 4 4" xfId="3800"/>
    <cellStyle name="Note 2 2 2 4 4 2" xfId="3801"/>
    <cellStyle name="Note 2 2 2 4 4 2 2" xfId="3802"/>
    <cellStyle name="Note 2 2 2 4 4 3" xfId="3803"/>
    <cellStyle name="Note 2 2 2 4 5" xfId="3804"/>
    <cellStyle name="Note 2 2 2 4 5 2" xfId="3805"/>
    <cellStyle name="Note 2 2 2 4 6" xfId="3806"/>
    <cellStyle name="Note 2 2 2 5" xfId="3807"/>
    <cellStyle name="Note 2 2 2 5 2" xfId="3808"/>
    <cellStyle name="Note 2 2 2 5 2 2" xfId="3809"/>
    <cellStyle name="Note 2 2 2 5 2 2 2" xfId="3810"/>
    <cellStyle name="Note 2 2 2 5 2 2 2 2" xfId="3811"/>
    <cellStyle name="Note 2 2 2 5 2 2 3" xfId="3812"/>
    <cellStyle name="Note 2 2 2 5 2 3" xfId="3813"/>
    <cellStyle name="Note 2 2 2 5 2 3 2" xfId="3814"/>
    <cellStyle name="Note 2 2 2 5 2 4" xfId="3815"/>
    <cellStyle name="Note 2 2 2 5 3" xfId="3816"/>
    <cellStyle name="Note 2 2 2 5 3 2" xfId="3817"/>
    <cellStyle name="Note 2 2 2 5 3 2 2" xfId="3818"/>
    <cellStyle name="Note 2 2 2 5 3 3" xfId="3819"/>
    <cellStyle name="Note 2 2 2 5 3 4" xfId="3820"/>
    <cellStyle name="Note 2 2 2 5 4" xfId="3821"/>
    <cellStyle name="Note 2 2 2 5 4 2" xfId="3822"/>
    <cellStyle name="Note 2 2 2 5 4 2 2" xfId="3823"/>
    <cellStyle name="Note 2 2 2 5 4 3" xfId="3824"/>
    <cellStyle name="Note 2 2 2 5 5" xfId="3825"/>
    <cellStyle name="Note 2 2 2 5 5 2" xfId="3826"/>
    <cellStyle name="Note 2 2 2 5 6" xfId="3827"/>
    <cellStyle name="Note 2 2 3" xfId="3828"/>
    <cellStyle name="Note 2 2 3 2" xfId="3829"/>
    <cellStyle name="Note 2 2 3 2 2" xfId="3830"/>
    <cellStyle name="Note 2 2 3 2 2 2" xfId="3831"/>
    <cellStyle name="Note 2 2 3 2 2 2 2" xfId="3832"/>
    <cellStyle name="Note 2 2 3 2 2 2 2 2" xfId="3833"/>
    <cellStyle name="Note 2 2 3 2 2 2 3" xfId="3834"/>
    <cellStyle name="Note 2 2 3 2 2 3" xfId="3835"/>
    <cellStyle name="Note 2 2 3 2 2 3 2" xfId="3836"/>
    <cellStyle name="Note 2 2 3 2 2 4" xfId="3837"/>
    <cellStyle name="Note 2 2 3 2 3" xfId="3838"/>
    <cellStyle name="Note 2 2 3 2 3 2" xfId="3839"/>
    <cellStyle name="Note 2 2 3 2 3 2 2" xfId="3840"/>
    <cellStyle name="Note 2 2 3 2 3 3" xfId="3841"/>
    <cellStyle name="Note 2 2 3 2 3 4" xfId="3842"/>
    <cellStyle name="Note 2 2 3 2 4" xfId="3843"/>
    <cellStyle name="Note 2 2 3 2 4 2" xfId="3844"/>
    <cellStyle name="Note 2 2 3 2 4 2 2" xfId="3845"/>
    <cellStyle name="Note 2 2 3 2 4 3" xfId="3846"/>
    <cellStyle name="Note 2 2 3 2 5" xfId="3847"/>
    <cellStyle name="Note 2 2 3 3" xfId="3848"/>
    <cellStyle name="Note 2 2 3 3 2" xfId="3849"/>
    <cellStyle name="Note 2 2 3 3 2 2" xfId="3850"/>
    <cellStyle name="Note 2 2 3 3 2 2 2" xfId="3851"/>
    <cellStyle name="Note 2 2 3 3 2 2 2 2" xfId="3852"/>
    <cellStyle name="Note 2 2 3 3 2 2 3" xfId="3853"/>
    <cellStyle name="Note 2 2 3 3 2 3" xfId="3854"/>
    <cellStyle name="Note 2 2 3 3 2 3 2" xfId="3855"/>
    <cellStyle name="Note 2 2 3 3 2 4" xfId="3856"/>
    <cellStyle name="Note 2 2 3 3 3" xfId="3857"/>
    <cellStyle name="Note 2 2 3 3 3 2" xfId="3858"/>
    <cellStyle name="Note 2 2 3 3 3 2 2" xfId="3859"/>
    <cellStyle name="Note 2 2 3 3 3 3" xfId="3860"/>
    <cellStyle name="Note 2 2 3 3 3 4" xfId="3861"/>
    <cellStyle name="Note 2 2 3 3 4" xfId="3862"/>
    <cellStyle name="Note 2 2 3 3 4 2" xfId="3863"/>
    <cellStyle name="Note 2 2 3 3 4 2 2" xfId="3864"/>
    <cellStyle name="Note 2 2 3 3 4 3" xfId="3865"/>
    <cellStyle name="Note 2 2 3 3 5" xfId="3866"/>
    <cellStyle name="Note 2 2 3 3 5 2" xfId="3867"/>
    <cellStyle name="Note 2 2 3 3 6" xfId="3868"/>
    <cellStyle name="Note 2 2 3 4" xfId="3869"/>
    <cellStyle name="Note 2 2 3 4 2" xfId="3870"/>
    <cellStyle name="Note 2 2 3 4 2 2" xfId="3871"/>
    <cellStyle name="Note 2 2 3 4 2 2 2" xfId="3872"/>
    <cellStyle name="Note 2 2 3 4 2 2 2 2" xfId="3873"/>
    <cellStyle name="Note 2 2 3 4 2 2 3" xfId="3874"/>
    <cellStyle name="Note 2 2 3 4 2 3" xfId="3875"/>
    <cellStyle name="Note 2 2 3 4 2 3 2" xfId="3876"/>
    <cellStyle name="Note 2 2 3 4 2 4" xfId="3877"/>
    <cellStyle name="Note 2 2 3 4 3" xfId="3878"/>
    <cellStyle name="Note 2 2 3 4 3 2" xfId="3879"/>
    <cellStyle name="Note 2 2 3 4 3 2 2" xfId="3880"/>
    <cellStyle name="Note 2 2 3 4 3 3" xfId="3881"/>
    <cellStyle name="Note 2 2 3 4 3 4" xfId="3882"/>
    <cellStyle name="Note 2 2 3 4 4" xfId="3883"/>
    <cellStyle name="Note 2 2 3 4 4 2" xfId="3884"/>
    <cellStyle name="Note 2 2 3 4 4 2 2" xfId="3885"/>
    <cellStyle name="Note 2 2 3 4 4 3" xfId="3886"/>
    <cellStyle name="Note 2 2 3 4 5" xfId="3887"/>
    <cellStyle name="Note 2 2 3 4 5 2" xfId="3888"/>
    <cellStyle name="Note 2 2 3 4 6" xfId="3889"/>
    <cellStyle name="Note 2 2 3 5" xfId="3890"/>
    <cellStyle name="Note 2 2 3 5 2" xfId="3891"/>
    <cellStyle name="Note 2 2 4" xfId="3892"/>
    <cellStyle name="Note 2 2 4 2" xfId="3893"/>
    <cellStyle name="Note 2 2 4 2 2" xfId="3894"/>
    <cellStyle name="Note 2 2 4 2 2 2" xfId="3895"/>
    <cellStyle name="Note 2 2 4 2 2 2 2" xfId="3896"/>
    <cellStyle name="Note 2 2 4 2 2 2 2 2" xfId="3897"/>
    <cellStyle name="Note 2 2 4 2 2 2 3" xfId="3898"/>
    <cellStyle name="Note 2 2 4 2 2 3" xfId="3899"/>
    <cellStyle name="Note 2 2 4 2 2 3 2" xfId="3900"/>
    <cellStyle name="Note 2 2 4 2 2 4" xfId="3901"/>
    <cellStyle name="Note 2 2 4 2 3" xfId="3902"/>
    <cellStyle name="Note 2 2 4 2 3 2" xfId="3903"/>
    <cellStyle name="Note 2 2 4 2 3 2 2" xfId="3904"/>
    <cellStyle name="Note 2 2 4 2 3 3" xfId="3905"/>
    <cellStyle name="Note 2 2 4 2 3 4" xfId="3906"/>
    <cellStyle name="Note 2 2 4 2 4" xfId="3907"/>
    <cellStyle name="Note 2 2 4 2 4 2" xfId="3908"/>
    <cellStyle name="Note 2 2 4 2 4 2 2" xfId="3909"/>
    <cellStyle name="Note 2 2 4 2 4 3" xfId="3910"/>
    <cellStyle name="Note 2 2 4 2 5" xfId="3911"/>
    <cellStyle name="Note 2 2 4 2 5 2" xfId="3912"/>
    <cellStyle name="Note 2 2 4 2 6" xfId="3913"/>
    <cellStyle name="Note 2 2 4 3" xfId="3914"/>
    <cellStyle name="Note 2 2 4 3 2" xfId="3915"/>
    <cellStyle name="Note 2 2 4 3 2 2" xfId="3916"/>
    <cellStyle name="Note 2 2 4 3 2 2 2" xfId="3917"/>
    <cellStyle name="Note 2 2 4 3 2 2 2 2" xfId="3918"/>
    <cellStyle name="Note 2 2 4 3 2 2 3" xfId="3919"/>
    <cellStyle name="Note 2 2 4 3 2 3" xfId="3920"/>
    <cellStyle name="Note 2 2 4 3 2 3 2" xfId="3921"/>
    <cellStyle name="Note 2 2 4 3 2 4" xfId="3922"/>
    <cellStyle name="Note 2 2 4 3 3" xfId="3923"/>
    <cellStyle name="Note 2 2 4 3 3 2" xfId="3924"/>
    <cellStyle name="Note 2 2 4 3 3 2 2" xfId="3925"/>
    <cellStyle name="Note 2 2 4 3 3 3" xfId="3926"/>
    <cellStyle name="Note 2 2 4 3 3 4" xfId="3927"/>
    <cellStyle name="Note 2 2 4 3 4" xfId="3928"/>
    <cellStyle name="Note 2 2 4 3 4 2" xfId="3929"/>
    <cellStyle name="Note 2 2 4 3 4 2 2" xfId="3930"/>
    <cellStyle name="Note 2 2 4 3 4 3" xfId="3931"/>
    <cellStyle name="Note 2 2 4 3 5" xfId="3932"/>
    <cellStyle name="Note 2 2 4 3 5 2" xfId="3933"/>
    <cellStyle name="Note 2 2 4 3 6" xfId="3934"/>
    <cellStyle name="Note 2 2 4 4" xfId="3935"/>
    <cellStyle name="Note 2 2 4 4 2" xfId="3936"/>
    <cellStyle name="Note 2 2 4 4 2 2" xfId="3937"/>
    <cellStyle name="Note 2 2 4 4 2 2 2" xfId="3938"/>
    <cellStyle name="Note 2 2 4 4 2 3" xfId="3939"/>
    <cellStyle name="Note 2 2 4 4 3" xfId="3940"/>
    <cellStyle name="Note 2 2 4 4 3 2" xfId="3941"/>
    <cellStyle name="Note 2 2 4 4 4" xfId="3942"/>
    <cellStyle name="Note 2 2 4 5" xfId="3943"/>
    <cellStyle name="Note 2 2 4 5 2" xfId="3944"/>
    <cellStyle name="Note 2 2 4 5 2 2" xfId="3945"/>
    <cellStyle name="Note 2 2 4 5 3" xfId="3946"/>
    <cellStyle name="Note 2 2 4 5 4" xfId="3947"/>
    <cellStyle name="Note 2 2 4 6" xfId="3948"/>
    <cellStyle name="Note 2 2 4 6 2" xfId="3949"/>
    <cellStyle name="Note 2 2 4 6 2 2" xfId="3950"/>
    <cellStyle name="Note 2 2 4 6 3" xfId="3951"/>
    <cellStyle name="Note 2 2 4 7" xfId="3952"/>
    <cellStyle name="Note 2 2 5" xfId="3953"/>
    <cellStyle name="Note 2 2 5 2" xfId="3954"/>
    <cellStyle name="Note 2 2 5 2 2" xfId="3955"/>
    <cellStyle name="Note 2 2 5 2 2 2" xfId="3956"/>
    <cellStyle name="Note 2 2 5 2 2 2 2" xfId="3957"/>
    <cellStyle name="Note 2 2 5 2 2 3" xfId="3958"/>
    <cellStyle name="Note 2 2 5 2 3" xfId="3959"/>
    <cellStyle name="Note 2 2 5 2 3 2" xfId="3960"/>
    <cellStyle name="Note 2 2 5 2 4" xfId="3961"/>
    <cellStyle name="Note 2 2 5 3" xfId="3962"/>
    <cellStyle name="Note 2 2 5 3 2" xfId="3963"/>
    <cellStyle name="Note 2 2 5 3 2 2" xfId="3964"/>
    <cellStyle name="Note 2 2 5 3 3" xfId="3965"/>
    <cellStyle name="Note 2 2 5 3 4" xfId="3966"/>
    <cellStyle name="Note 2 2 5 4" xfId="3967"/>
    <cellStyle name="Note 2 2 5 4 2" xfId="3968"/>
    <cellStyle name="Note 2 2 5 4 2 2" xfId="3969"/>
    <cellStyle name="Note 2 2 5 4 3" xfId="3970"/>
    <cellStyle name="Note 2 2 5 5" xfId="3971"/>
    <cellStyle name="Note 2 3" xfId="3972"/>
    <cellStyle name="Note 2 3 2" xfId="3973"/>
    <cellStyle name="Note 2 3 2 2" xfId="3974"/>
    <cellStyle name="Note 2 3 2 2 2" xfId="3975"/>
    <cellStyle name="Note 2 3 2 2 2 2" xfId="3976"/>
    <cellStyle name="Note 2 3 2 2 2 2 2" xfId="3977"/>
    <cellStyle name="Note 2 3 2 2 2 2 2 2" xfId="3978"/>
    <cellStyle name="Note 2 3 2 2 2 2 3" xfId="3979"/>
    <cellStyle name="Note 2 3 2 2 2 3" xfId="3980"/>
    <cellStyle name="Note 2 3 2 2 2 3 2" xfId="3981"/>
    <cellStyle name="Note 2 3 2 2 2 4" xfId="3982"/>
    <cellStyle name="Note 2 3 2 2 3" xfId="3983"/>
    <cellStyle name="Note 2 3 2 2 3 2" xfId="3984"/>
    <cellStyle name="Note 2 3 2 2 3 2 2" xfId="3985"/>
    <cellStyle name="Note 2 3 2 2 3 3" xfId="3986"/>
    <cellStyle name="Note 2 3 2 2 3 4" xfId="3987"/>
    <cellStyle name="Note 2 3 2 2 4" xfId="3988"/>
    <cellStyle name="Note 2 3 2 2 4 2" xfId="3989"/>
    <cellStyle name="Note 2 3 2 2 4 2 2" xfId="3990"/>
    <cellStyle name="Note 2 3 2 2 4 3" xfId="3991"/>
    <cellStyle name="Note 2 3 2 2 5" xfId="3992"/>
    <cellStyle name="Note 2 3 2 3" xfId="3993"/>
    <cellStyle name="Note 2 3 2 3 2" xfId="3994"/>
    <cellStyle name="Note 2 3 2 3 2 2" xfId="3995"/>
    <cellStyle name="Note 2 3 2 3 2 2 2" xfId="3996"/>
    <cellStyle name="Note 2 3 2 3 2 2 2 2" xfId="3997"/>
    <cellStyle name="Note 2 3 2 3 2 2 3" xfId="3998"/>
    <cellStyle name="Note 2 3 2 3 2 3" xfId="3999"/>
    <cellStyle name="Note 2 3 2 3 2 3 2" xfId="4000"/>
    <cellStyle name="Note 2 3 2 3 2 4" xfId="4001"/>
    <cellStyle name="Note 2 3 2 3 3" xfId="4002"/>
    <cellStyle name="Note 2 3 2 3 3 2" xfId="4003"/>
    <cellStyle name="Note 2 3 2 3 3 2 2" xfId="4004"/>
    <cellStyle name="Note 2 3 2 3 3 3" xfId="4005"/>
    <cellStyle name="Note 2 3 2 3 3 4" xfId="4006"/>
    <cellStyle name="Note 2 3 2 3 4" xfId="4007"/>
    <cellStyle name="Note 2 3 2 3 4 2" xfId="4008"/>
    <cellStyle name="Note 2 3 2 3 4 2 2" xfId="4009"/>
    <cellStyle name="Note 2 3 2 3 4 3" xfId="4010"/>
    <cellStyle name="Note 2 3 2 3 5" xfId="4011"/>
    <cellStyle name="Note 2 3 2 3 5 2" xfId="4012"/>
    <cellStyle name="Note 2 3 2 3 6" xfId="4013"/>
    <cellStyle name="Note 2 3 2 4" xfId="4014"/>
    <cellStyle name="Note 2 3 2 4 2" xfId="4015"/>
    <cellStyle name="Note 2 3 2 4 2 2" xfId="4016"/>
    <cellStyle name="Note 2 3 2 4 2 2 2" xfId="4017"/>
    <cellStyle name="Note 2 3 2 4 2 2 2 2" xfId="4018"/>
    <cellStyle name="Note 2 3 2 4 2 2 3" xfId="4019"/>
    <cellStyle name="Note 2 3 2 4 2 3" xfId="4020"/>
    <cellStyle name="Note 2 3 2 4 2 3 2" xfId="4021"/>
    <cellStyle name="Note 2 3 2 4 2 4" xfId="4022"/>
    <cellStyle name="Note 2 3 2 4 3" xfId="4023"/>
    <cellStyle name="Note 2 3 2 4 3 2" xfId="4024"/>
    <cellStyle name="Note 2 3 2 4 3 2 2" xfId="4025"/>
    <cellStyle name="Note 2 3 2 4 3 3" xfId="4026"/>
    <cellStyle name="Note 2 3 2 4 3 4" xfId="4027"/>
    <cellStyle name="Note 2 3 2 4 4" xfId="4028"/>
    <cellStyle name="Note 2 3 2 4 4 2" xfId="4029"/>
    <cellStyle name="Note 2 3 2 4 4 2 2" xfId="4030"/>
    <cellStyle name="Note 2 3 2 4 4 3" xfId="4031"/>
    <cellStyle name="Note 2 3 2 4 5" xfId="4032"/>
    <cellStyle name="Note 2 3 2 4 5 2" xfId="4033"/>
    <cellStyle name="Note 2 3 2 4 6" xfId="4034"/>
    <cellStyle name="Note 2 3 2 5" xfId="4035"/>
    <cellStyle name="Note 2 3 2 5 2" xfId="4036"/>
    <cellStyle name="Note 2 3 3" xfId="4037"/>
    <cellStyle name="Note 2 3 3 2" xfId="4038"/>
    <cellStyle name="Note 2 3 3 2 2" xfId="4039"/>
    <cellStyle name="Note 2 3 3 2 2 2" xfId="4040"/>
    <cellStyle name="Note 2 3 3 2 2 2 2" xfId="4041"/>
    <cellStyle name="Note 2 3 3 2 2 3" xfId="4042"/>
    <cellStyle name="Note 2 3 3 2 3" xfId="4043"/>
    <cellStyle name="Note 2 3 3 2 3 2" xfId="4044"/>
    <cellStyle name="Note 2 3 3 2 4" xfId="4045"/>
    <cellStyle name="Note 2 3 3 3" xfId="4046"/>
    <cellStyle name="Note 2 3 3 3 2" xfId="4047"/>
    <cellStyle name="Note 2 3 3 3 2 2" xfId="4048"/>
    <cellStyle name="Note 2 3 3 3 3" xfId="4049"/>
    <cellStyle name="Note 2 3 3 3 4" xfId="4050"/>
    <cellStyle name="Note 2 3 3 4" xfId="4051"/>
    <cellStyle name="Note 2 3 3 4 2" xfId="4052"/>
    <cellStyle name="Note 2 3 3 4 2 2" xfId="4053"/>
    <cellStyle name="Note 2 3 3 4 3" xfId="4054"/>
    <cellStyle name="Note 2 3 3 5" xfId="4055"/>
    <cellStyle name="Note 2 3 4" xfId="4056"/>
    <cellStyle name="Note 2 3 4 2" xfId="4057"/>
    <cellStyle name="Note 2 3 4 2 2" xfId="4058"/>
    <cellStyle name="Note 2 3 4 2 2 2" xfId="4059"/>
    <cellStyle name="Note 2 3 4 2 2 2 2" xfId="4060"/>
    <cellStyle name="Note 2 3 4 2 2 3" xfId="4061"/>
    <cellStyle name="Note 2 3 4 2 3" xfId="4062"/>
    <cellStyle name="Note 2 3 4 2 3 2" xfId="4063"/>
    <cellStyle name="Note 2 3 4 2 4" xfId="4064"/>
    <cellStyle name="Note 2 3 4 3" xfId="4065"/>
    <cellStyle name="Note 2 3 4 3 2" xfId="4066"/>
    <cellStyle name="Note 2 3 4 3 2 2" xfId="4067"/>
    <cellStyle name="Note 2 3 4 3 3" xfId="4068"/>
    <cellStyle name="Note 2 3 4 3 4" xfId="4069"/>
    <cellStyle name="Note 2 3 4 4" xfId="4070"/>
    <cellStyle name="Note 2 3 4 4 2" xfId="4071"/>
    <cellStyle name="Note 2 3 4 4 2 2" xfId="4072"/>
    <cellStyle name="Note 2 3 4 4 3" xfId="4073"/>
    <cellStyle name="Note 2 3 4 5" xfId="4074"/>
    <cellStyle name="Note 2 3 4 5 2" xfId="4075"/>
    <cellStyle name="Note 2 3 4 6" xfId="4076"/>
    <cellStyle name="Note 2 3 5" xfId="4077"/>
    <cellStyle name="Note 2 3 5 2" xfId="4078"/>
    <cellStyle name="Note 2 3 5 2 2" xfId="4079"/>
    <cellStyle name="Note 2 3 5 2 2 2" xfId="4080"/>
    <cellStyle name="Note 2 3 5 2 2 2 2" xfId="4081"/>
    <cellStyle name="Note 2 3 5 2 2 3" xfId="4082"/>
    <cellStyle name="Note 2 3 5 2 3" xfId="4083"/>
    <cellStyle name="Note 2 3 5 2 3 2" xfId="4084"/>
    <cellStyle name="Note 2 3 5 2 4" xfId="4085"/>
    <cellStyle name="Note 2 3 5 3" xfId="4086"/>
    <cellStyle name="Note 2 3 5 3 2" xfId="4087"/>
    <cellStyle name="Note 2 3 5 3 2 2" xfId="4088"/>
    <cellStyle name="Note 2 3 5 3 3" xfId="4089"/>
    <cellStyle name="Note 2 3 5 3 4" xfId="4090"/>
    <cellStyle name="Note 2 3 5 4" xfId="4091"/>
    <cellStyle name="Note 2 3 5 4 2" xfId="4092"/>
    <cellStyle name="Note 2 3 5 4 2 2" xfId="4093"/>
    <cellStyle name="Note 2 3 5 4 3" xfId="4094"/>
    <cellStyle name="Note 2 3 5 5" xfId="4095"/>
    <cellStyle name="Note 2 3 5 5 2" xfId="4096"/>
    <cellStyle name="Note 2 3 5 6" xfId="4097"/>
    <cellStyle name="Note 2 4" xfId="4098"/>
    <cellStyle name="Note 2 4 2" xfId="4099"/>
    <cellStyle name="Note 2 4 2 2" xfId="4100"/>
    <cellStyle name="Note 2 4 2 2 2" xfId="4101"/>
    <cellStyle name="Note 2 4 2 2 2 2" xfId="4102"/>
    <cellStyle name="Note 2 4 2 2 2 2 2" xfId="4103"/>
    <cellStyle name="Note 2 4 2 2 2 3" xfId="4104"/>
    <cellStyle name="Note 2 4 2 2 3" xfId="4105"/>
    <cellStyle name="Note 2 4 2 2 3 2" xfId="4106"/>
    <cellStyle name="Note 2 4 2 2 4" xfId="4107"/>
    <cellStyle name="Note 2 4 2 3" xfId="4108"/>
    <cellStyle name="Note 2 4 2 3 2" xfId="4109"/>
    <cellStyle name="Note 2 4 2 3 2 2" xfId="4110"/>
    <cellStyle name="Note 2 4 2 3 3" xfId="4111"/>
    <cellStyle name="Note 2 4 2 3 4" xfId="4112"/>
    <cellStyle name="Note 2 4 2 4" xfId="4113"/>
    <cellStyle name="Note 2 4 2 4 2" xfId="4114"/>
    <cellStyle name="Note 2 4 2 4 2 2" xfId="4115"/>
    <cellStyle name="Note 2 4 2 4 3" xfId="4116"/>
    <cellStyle name="Note 2 4 2 5" xfId="4117"/>
    <cellStyle name="Note 2 4 3" xfId="4118"/>
    <cellStyle name="Note 2 4 3 2" xfId="4119"/>
    <cellStyle name="Note 2 4 3 2 2" xfId="4120"/>
    <cellStyle name="Note 2 4 3 2 2 2" xfId="4121"/>
    <cellStyle name="Note 2 4 3 2 2 2 2" xfId="4122"/>
    <cellStyle name="Note 2 4 3 2 2 3" xfId="4123"/>
    <cellStyle name="Note 2 4 3 2 3" xfId="4124"/>
    <cellStyle name="Note 2 4 3 2 3 2" xfId="4125"/>
    <cellStyle name="Note 2 4 3 2 4" xfId="4126"/>
    <cellStyle name="Note 2 4 3 3" xfId="4127"/>
    <cellStyle name="Note 2 4 3 3 2" xfId="4128"/>
    <cellStyle name="Note 2 4 3 3 2 2" xfId="4129"/>
    <cellStyle name="Note 2 4 3 3 3" xfId="4130"/>
    <cellStyle name="Note 2 4 3 3 4" xfId="4131"/>
    <cellStyle name="Note 2 4 3 4" xfId="4132"/>
    <cellStyle name="Note 2 4 3 4 2" xfId="4133"/>
    <cellStyle name="Note 2 4 3 4 2 2" xfId="4134"/>
    <cellStyle name="Note 2 4 3 4 3" xfId="4135"/>
    <cellStyle name="Note 2 4 3 5" xfId="4136"/>
    <cellStyle name="Note 2 4 3 5 2" xfId="4137"/>
    <cellStyle name="Note 2 4 3 6" xfId="4138"/>
    <cellStyle name="Note 2 4 4" xfId="4139"/>
    <cellStyle name="Note 2 4 4 2" xfId="4140"/>
    <cellStyle name="Note 2 4 4 2 2" xfId="4141"/>
    <cellStyle name="Note 2 4 4 2 2 2" xfId="4142"/>
    <cellStyle name="Note 2 4 4 2 2 2 2" xfId="4143"/>
    <cellStyle name="Note 2 4 4 2 2 3" xfId="4144"/>
    <cellStyle name="Note 2 4 4 2 3" xfId="4145"/>
    <cellStyle name="Note 2 4 4 2 3 2" xfId="4146"/>
    <cellStyle name="Note 2 4 4 2 4" xfId="4147"/>
    <cellStyle name="Note 2 4 4 3" xfId="4148"/>
    <cellStyle name="Note 2 4 4 3 2" xfId="4149"/>
    <cellStyle name="Note 2 4 4 3 2 2" xfId="4150"/>
    <cellStyle name="Note 2 4 4 3 3" xfId="4151"/>
    <cellStyle name="Note 2 4 4 3 4" xfId="4152"/>
    <cellStyle name="Note 2 4 4 4" xfId="4153"/>
    <cellStyle name="Note 2 4 4 4 2" xfId="4154"/>
    <cellStyle name="Note 2 4 4 4 2 2" xfId="4155"/>
    <cellStyle name="Note 2 4 4 4 3" xfId="4156"/>
    <cellStyle name="Note 2 4 4 5" xfId="4157"/>
    <cellStyle name="Note 2 4 4 5 2" xfId="4158"/>
    <cellStyle name="Note 2 4 4 6" xfId="4159"/>
    <cellStyle name="Note 2 4 5" xfId="4160"/>
    <cellStyle name="Note 2 4 5 2" xfId="4161"/>
    <cellStyle name="Note 2 5" xfId="4162"/>
    <cellStyle name="Note 2 5 2" xfId="4163"/>
    <cellStyle name="Note 2 5 2 2" xfId="4164"/>
    <cellStyle name="Note 2 5 2 2 2" xfId="4165"/>
    <cellStyle name="Note 2 5 2 2 2 2" xfId="4166"/>
    <cellStyle name="Note 2 5 2 2 2 2 2" xfId="4167"/>
    <cellStyle name="Note 2 5 2 2 2 3" xfId="4168"/>
    <cellStyle name="Note 2 5 2 2 3" xfId="4169"/>
    <cellStyle name="Note 2 5 2 2 3 2" xfId="4170"/>
    <cellStyle name="Note 2 5 2 2 4" xfId="4171"/>
    <cellStyle name="Note 2 5 2 3" xfId="4172"/>
    <cellStyle name="Note 2 5 2 3 2" xfId="4173"/>
    <cellStyle name="Note 2 5 2 3 2 2" xfId="4174"/>
    <cellStyle name="Note 2 5 2 3 3" xfId="4175"/>
    <cellStyle name="Note 2 5 2 3 4" xfId="4176"/>
    <cellStyle name="Note 2 5 2 4" xfId="4177"/>
    <cellStyle name="Note 2 5 2 4 2" xfId="4178"/>
    <cellStyle name="Note 2 5 2 4 2 2" xfId="4179"/>
    <cellStyle name="Note 2 5 2 4 3" xfId="4180"/>
    <cellStyle name="Note 2 5 2 5" xfId="4181"/>
    <cellStyle name="Note 2 5 2 5 2" xfId="4182"/>
    <cellStyle name="Note 2 5 2 6" xfId="4183"/>
    <cellStyle name="Note 2 5 3" xfId="4184"/>
    <cellStyle name="Note 2 5 3 2" xfId="4185"/>
    <cellStyle name="Note 2 5 3 2 2" xfId="4186"/>
    <cellStyle name="Note 2 5 3 2 2 2" xfId="4187"/>
    <cellStyle name="Note 2 5 3 2 2 2 2" xfId="4188"/>
    <cellStyle name="Note 2 5 3 2 2 3" xfId="4189"/>
    <cellStyle name="Note 2 5 3 2 3" xfId="4190"/>
    <cellStyle name="Note 2 5 3 2 3 2" xfId="4191"/>
    <cellStyle name="Note 2 5 3 2 4" xfId="4192"/>
    <cellStyle name="Note 2 5 3 3" xfId="4193"/>
    <cellStyle name="Note 2 5 3 3 2" xfId="4194"/>
    <cellStyle name="Note 2 5 3 3 2 2" xfId="4195"/>
    <cellStyle name="Note 2 5 3 3 3" xfId="4196"/>
    <cellStyle name="Note 2 5 3 3 4" xfId="4197"/>
    <cellStyle name="Note 2 5 3 4" xfId="4198"/>
    <cellStyle name="Note 2 5 3 4 2" xfId="4199"/>
    <cellStyle name="Note 2 5 3 4 2 2" xfId="4200"/>
    <cellStyle name="Note 2 5 3 4 3" xfId="4201"/>
    <cellStyle name="Note 2 5 3 5" xfId="4202"/>
    <cellStyle name="Note 2 5 3 5 2" xfId="4203"/>
    <cellStyle name="Note 2 5 3 6" xfId="4204"/>
    <cellStyle name="Note 2 5 4" xfId="4205"/>
    <cellStyle name="Note 2 5 4 2" xfId="4206"/>
    <cellStyle name="Note 2 5 4 2 2" xfId="4207"/>
    <cellStyle name="Note 2 5 4 2 2 2" xfId="4208"/>
    <cellStyle name="Note 2 5 4 2 3" xfId="4209"/>
    <cellStyle name="Note 2 5 4 3" xfId="4210"/>
    <cellStyle name="Note 2 5 4 3 2" xfId="4211"/>
    <cellStyle name="Note 2 5 4 4" xfId="4212"/>
    <cellStyle name="Note 2 5 5" xfId="4213"/>
    <cellStyle name="Note 2 5 5 2" xfId="4214"/>
    <cellStyle name="Note 2 5 5 2 2" xfId="4215"/>
    <cellStyle name="Note 2 5 5 3" xfId="4216"/>
    <cellStyle name="Note 2 5 5 4" xfId="4217"/>
    <cellStyle name="Note 2 5 6" xfId="4218"/>
    <cellStyle name="Note 2 5 6 2" xfId="4219"/>
    <cellStyle name="Note 2 5 6 2 2" xfId="4220"/>
    <cellStyle name="Note 2 5 6 3" xfId="4221"/>
    <cellStyle name="Note 2 5 7" xfId="4222"/>
    <cellStyle name="Note 2 6" xfId="4223"/>
    <cellStyle name="Note 2 6 2" xfId="4224"/>
    <cellStyle name="Note 2 6 2 2" xfId="4225"/>
    <cellStyle name="Note 2 6 2 2 2" xfId="4226"/>
    <cellStyle name="Note 2 6 2 2 2 2" xfId="4227"/>
    <cellStyle name="Note 2 6 2 2 3" xfId="4228"/>
    <cellStyle name="Note 2 6 2 3" xfId="4229"/>
    <cellStyle name="Note 2 6 2 3 2" xfId="4230"/>
    <cellStyle name="Note 2 6 2 4" xfId="4231"/>
    <cellStyle name="Note 2 6 3" xfId="4232"/>
    <cellStyle name="Note 2 6 3 2" xfId="4233"/>
    <cellStyle name="Note 2 6 3 2 2" xfId="4234"/>
    <cellStyle name="Note 2 6 3 3" xfId="4235"/>
    <cellStyle name="Note 2 6 3 4" xfId="4236"/>
    <cellStyle name="Note 2 6 4" xfId="4237"/>
    <cellStyle name="Note 2 6 4 2" xfId="4238"/>
    <cellStyle name="Note 2 6 4 2 2" xfId="4239"/>
    <cellStyle name="Note 2 6 4 3" xfId="4240"/>
    <cellStyle name="Note 2 6 5" xfId="4241"/>
    <cellStyle name="Note 3" xfId="4242"/>
    <cellStyle name="Note 3 2" xfId="4243"/>
    <cellStyle name="Note 3 2 2" xfId="4244"/>
    <cellStyle name="Note 3 2 2 2" xfId="4245"/>
    <cellStyle name="Note 3 2 2 2 2" xfId="4246"/>
    <cellStyle name="Note 3 2 2 2 2 2" xfId="4247"/>
    <cellStyle name="Note 3 2 2 2 2 2 2" xfId="4248"/>
    <cellStyle name="Note 3 2 2 2 2 3" xfId="4249"/>
    <cellStyle name="Note 3 2 2 2 3" xfId="4250"/>
    <cellStyle name="Note 3 2 2 2 3 2" xfId="4251"/>
    <cellStyle name="Note 3 2 2 2 4" xfId="4252"/>
    <cellStyle name="Note 3 2 2 3" xfId="4253"/>
    <cellStyle name="Note 3 2 2 3 2" xfId="4254"/>
    <cellStyle name="Note 3 2 2 3 2 2" xfId="4255"/>
    <cellStyle name="Note 3 2 2 3 3" xfId="4256"/>
    <cellStyle name="Note 3 2 2 3 4" xfId="4257"/>
    <cellStyle name="Note 3 2 2 4" xfId="4258"/>
    <cellStyle name="Note 3 2 2 4 2" xfId="4259"/>
    <cellStyle name="Note 3 2 2 4 2 2" xfId="4260"/>
    <cellStyle name="Note 3 2 2 4 3" xfId="4261"/>
    <cellStyle name="Note 3 2 2 5" xfId="4262"/>
    <cellStyle name="Note 3 2 3" xfId="4263"/>
    <cellStyle name="Note 3 2 3 2" xfId="4264"/>
    <cellStyle name="Note 3 2 3 2 2" xfId="4265"/>
    <cellStyle name="Note 3 2 3 2 2 2" xfId="4266"/>
    <cellStyle name="Note 3 2 3 2 2 2 2" xfId="4267"/>
    <cellStyle name="Note 3 2 3 2 2 3" xfId="4268"/>
    <cellStyle name="Note 3 2 3 2 3" xfId="4269"/>
    <cellStyle name="Note 3 2 3 2 3 2" xfId="4270"/>
    <cellStyle name="Note 3 2 3 2 4" xfId="4271"/>
    <cellStyle name="Note 3 2 3 3" xfId="4272"/>
    <cellStyle name="Note 3 2 3 3 2" xfId="4273"/>
    <cellStyle name="Note 3 2 3 3 2 2" xfId="4274"/>
    <cellStyle name="Note 3 2 3 3 3" xfId="4275"/>
    <cellStyle name="Note 3 2 3 3 4" xfId="4276"/>
    <cellStyle name="Note 3 2 3 4" xfId="4277"/>
    <cellStyle name="Note 3 2 3 4 2" xfId="4278"/>
    <cellStyle name="Note 3 2 3 4 2 2" xfId="4279"/>
    <cellStyle name="Note 3 2 3 4 3" xfId="4280"/>
    <cellStyle name="Note 3 2 3 5" xfId="4281"/>
    <cellStyle name="Note 3 2 3 5 2" xfId="4282"/>
    <cellStyle name="Note 3 2 3 6" xfId="4283"/>
    <cellStyle name="Note 3 2 4" xfId="4284"/>
    <cellStyle name="Note 3 2 4 2" xfId="4285"/>
    <cellStyle name="Note 3 2 4 2 2" xfId="4286"/>
    <cellStyle name="Note 3 2 4 2 2 2" xfId="4287"/>
    <cellStyle name="Note 3 2 4 2 2 2 2" xfId="4288"/>
    <cellStyle name="Note 3 2 4 2 2 3" xfId="4289"/>
    <cellStyle name="Note 3 2 4 2 3" xfId="4290"/>
    <cellStyle name="Note 3 2 4 2 3 2" xfId="4291"/>
    <cellStyle name="Note 3 2 4 2 4" xfId="4292"/>
    <cellStyle name="Note 3 2 4 3" xfId="4293"/>
    <cellStyle name="Note 3 2 4 3 2" xfId="4294"/>
    <cellStyle name="Note 3 2 4 3 2 2" xfId="4295"/>
    <cellStyle name="Note 3 2 4 3 3" xfId="4296"/>
    <cellStyle name="Note 3 2 4 3 4" xfId="4297"/>
    <cellStyle name="Note 3 2 4 4" xfId="4298"/>
    <cellStyle name="Note 3 2 4 4 2" xfId="4299"/>
    <cellStyle name="Note 3 2 4 4 2 2" xfId="4300"/>
    <cellStyle name="Note 3 2 4 4 3" xfId="4301"/>
    <cellStyle name="Note 3 2 4 5" xfId="4302"/>
    <cellStyle name="Note 3 2 4 5 2" xfId="4303"/>
    <cellStyle name="Note 3 2 4 6" xfId="4304"/>
    <cellStyle name="Note 3 2 5" xfId="4305"/>
    <cellStyle name="Note 3 2 5 2" xfId="4306"/>
    <cellStyle name="Note 3 3" xfId="4307"/>
    <cellStyle name="Note 3 3 2" xfId="4308"/>
    <cellStyle name="Note 3 3 2 2" xfId="4309"/>
    <cellStyle name="Note 3 3 2 2 2" xfId="4310"/>
    <cellStyle name="Note 3 3 2 2 2 2" xfId="4311"/>
    <cellStyle name="Note 3 3 2 2 2 2 2" xfId="4312"/>
    <cellStyle name="Note 3 3 2 2 2 3" xfId="4313"/>
    <cellStyle name="Note 3 3 2 2 3" xfId="4314"/>
    <cellStyle name="Note 3 3 2 2 3 2" xfId="4315"/>
    <cellStyle name="Note 3 3 2 2 4" xfId="4316"/>
    <cellStyle name="Note 3 3 2 3" xfId="4317"/>
    <cellStyle name="Note 3 3 2 3 2" xfId="4318"/>
    <cellStyle name="Note 3 3 2 3 2 2" xfId="4319"/>
    <cellStyle name="Note 3 3 2 3 3" xfId="4320"/>
    <cellStyle name="Note 3 3 2 3 4" xfId="4321"/>
    <cellStyle name="Note 3 3 2 4" xfId="4322"/>
    <cellStyle name="Note 3 3 2 4 2" xfId="4323"/>
    <cellStyle name="Note 3 3 2 4 2 2" xfId="4324"/>
    <cellStyle name="Note 3 3 2 4 3" xfId="4325"/>
    <cellStyle name="Note 3 3 2 5" xfId="4326"/>
    <cellStyle name="Note 3 3 2 5 2" xfId="4327"/>
    <cellStyle name="Note 3 3 2 6" xfId="4328"/>
    <cellStyle name="Note 3 3 3" xfId="4329"/>
    <cellStyle name="Note 3 3 3 2" xfId="4330"/>
    <cellStyle name="Note 3 3 3 2 2" xfId="4331"/>
    <cellStyle name="Note 3 3 3 2 2 2" xfId="4332"/>
    <cellStyle name="Note 3 3 3 2 2 2 2" xfId="4333"/>
    <cellStyle name="Note 3 3 3 2 2 3" xfId="4334"/>
    <cellStyle name="Note 3 3 3 2 3" xfId="4335"/>
    <cellStyle name="Note 3 3 3 2 3 2" xfId="4336"/>
    <cellStyle name="Note 3 3 3 2 4" xfId="4337"/>
    <cellStyle name="Note 3 3 3 3" xfId="4338"/>
    <cellStyle name="Note 3 3 3 3 2" xfId="4339"/>
    <cellStyle name="Note 3 3 3 3 2 2" xfId="4340"/>
    <cellStyle name="Note 3 3 3 3 3" xfId="4341"/>
    <cellStyle name="Note 3 3 3 3 4" xfId="4342"/>
    <cellStyle name="Note 3 3 3 4" xfId="4343"/>
    <cellStyle name="Note 3 3 3 4 2" xfId="4344"/>
    <cellStyle name="Note 3 3 3 4 2 2" xfId="4345"/>
    <cellStyle name="Note 3 3 3 4 3" xfId="4346"/>
    <cellStyle name="Note 3 3 3 5" xfId="4347"/>
    <cellStyle name="Note 3 3 3 5 2" xfId="4348"/>
    <cellStyle name="Note 3 3 3 6" xfId="4349"/>
    <cellStyle name="Note 3 3 4" xfId="4350"/>
    <cellStyle name="Note 3 3 4 2" xfId="4351"/>
    <cellStyle name="Note 3 3 4 2 2" xfId="4352"/>
    <cellStyle name="Note 3 3 4 2 2 2" xfId="4353"/>
    <cellStyle name="Note 3 3 4 2 3" xfId="4354"/>
    <cellStyle name="Note 3 3 4 3" xfId="4355"/>
    <cellStyle name="Note 3 3 4 3 2" xfId="4356"/>
    <cellStyle name="Note 3 3 4 4" xfId="4357"/>
    <cellStyle name="Note 3 3 5" xfId="4358"/>
    <cellStyle name="Note 3 3 5 2" xfId="4359"/>
    <cellStyle name="Note 3 3 5 2 2" xfId="4360"/>
    <cellStyle name="Note 3 3 5 3" xfId="4361"/>
    <cellStyle name="Note 3 3 5 4" xfId="4362"/>
    <cellStyle name="Note 3 3 6" xfId="4363"/>
    <cellStyle name="Note 3 3 6 2" xfId="4364"/>
    <cellStyle name="Note 3 3 6 2 2" xfId="4365"/>
    <cellStyle name="Note 3 3 6 3" xfId="4366"/>
    <cellStyle name="Note 3 3 7" xfId="4367"/>
    <cellStyle name="Note 3 4" xfId="4368"/>
    <cellStyle name="Note 3 4 2" xfId="4369"/>
    <cellStyle name="Note 3 4 2 2" xfId="4370"/>
    <cellStyle name="Note 3 4 2 2 2" xfId="4371"/>
    <cellStyle name="Note 3 4 2 2 2 2" xfId="4372"/>
    <cellStyle name="Note 3 4 2 2 3" xfId="4373"/>
    <cellStyle name="Note 3 4 2 3" xfId="4374"/>
    <cellStyle name="Note 3 4 2 3 2" xfId="4375"/>
    <cellStyle name="Note 3 4 2 4" xfId="4376"/>
    <cellStyle name="Note 3 4 3" xfId="4377"/>
    <cellStyle name="Note 3 4 3 2" xfId="4378"/>
    <cellStyle name="Note 3 4 3 2 2" xfId="4379"/>
    <cellStyle name="Note 3 4 3 3" xfId="4380"/>
    <cellStyle name="Note 3 4 3 4" xfId="4381"/>
    <cellStyle name="Note 3 4 4" xfId="4382"/>
    <cellStyle name="Note 3 4 4 2" xfId="4383"/>
    <cellStyle name="Note 3 4 4 2 2" xfId="4384"/>
    <cellStyle name="Note 3 4 4 3" xfId="4385"/>
    <cellStyle name="Note 3 4 5" xfId="4386"/>
    <cellStyle name="Note 4" xfId="4387"/>
    <cellStyle name="Note 4 2" xfId="4388"/>
    <cellStyle name="Note 4 2 2" xfId="4389"/>
    <cellStyle name="Note 4 2 2 2" xfId="4390"/>
    <cellStyle name="Note 4 2 2 2 2" xfId="4391"/>
    <cellStyle name="Note 4 2 2 2 2 2" xfId="4392"/>
    <cellStyle name="Note 4 2 2 2 2 2 2" xfId="4393"/>
    <cellStyle name="Note 4 2 2 2 2 3" xfId="4394"/>
    <cellStyle name="Note 4 2 2 2 3" xfId="4395"/>
    <cellStyle name="Note 4 2 2 2 3 2" xfId="4396"/>
    <cellStyle name="Note 4 2 2 2 4" xfId="4397"/>
    <cellStyle name="Note 4 2 2 3" xfId="4398"/>
    <cellStyle name="Note 4 2 2 3 2" xfId="4399"/>
    <cellStyle name="Note 4 2 2 3 2 2" xfId="4400"/>
    <cellStyle name="Note 4 2 2 3 3" xfId="4401"/>
    <cellStyle name="Note 4 2 2 3 4" xfId="4402"/>
    <cellStyle name="Note 4 2 2 4" xfId="4403"/>
    <cellStyle name="Note 4 2 2 4 2" xfId="4404"/>
    <cellStyle name="Note 4 2 2 4 2 2" xfId="4405"/>
    <cellStyle name="Note 4 2 2 4 3" xfId="4406"/>
    <cellStyle name="Note 4 2 2 5" xfId="4407"/>
    <cellStyle name="Note 4 2 3" xfId="4408"/>
    <cellStyle name="Note 4 2 3 2" xfId="4409"/>
    <cellStyle name="Note 4 2 3 2 2" xfId="4410"/>
    <cellStyle name="Note 4 2 3 2 2 2" xfId="4411"/>
    <cellStyle name="Note 4 2 3 2 2 2 2" xfId="4412"/>
    <cellStyle name="Note 4 2 3 2 2 3" xfId="4413"/>
    <cellStyle name="Note 4 2 3 2 3" xfId="4414"/>
    <cellStyle name="Note 4 2 3 2 3 2" xfId="4415"/>
    <cellStyle name="Note 4 2 3 2 4" xfId="4416"/>
    <cellStyle name="Note 4 2 3 3" xfId="4417"/>
    <cellStyle name="Note 4 2 3 3 2" xfId="4418"/>
    <cellStyle name="Note 4 2 3 3 2 2" xfId="4419"/>
    <cellStyle name="Note 4 2 3 3 3" xfId="4420"/>
    <cellStyle name="Note 4 2 3 3 4" xfId="4421"/>
    <cellStyle name="Note 4 2 3 4" xfId="4422"/>
    <cellStyle name="Note 4 2 3 4 2" xfId="4423"/>
    <cellStyle name="Note 4 2 3 4 2 2" xfId="4424"/>
    <cellStyle name="Note 4 2 3 4 3" xfId="4425"/>
    <cellStyle name="Note 4 2 3 5" xfId="4426"/>
    <cellStyle name="Note 4 2 3 5 2" xfId="4427"/>
    <cellStyle name="Note 4 2 3 6" xfId="4428"/>
    <cellStyle name="Note 4 2 4" xfId="4429"/>
    <cellStyle name="Note 4 2 4 2" xfId="4430"/>
    <cellStyle name="Note 4 2 4 2 2" xfId="4431"/>
    <cellStyle name="Note 4 2 4 2 2 2" xfId="4432"/>
    <cellStyle name="Note 4 2 4 2 2 2 2" xfId="4433"/>
    <cellStyle name="Note 4 2 4 2 2 3" xfId="4434"/>
    <cellStyle name="Note 4 2 4 2 3" xfId="4435"/>
    <cellStyle name="Note 4 2 4 2 3 2" xfId="4436"/>
    <cellStyle name="Note 4 2 4 2 4" xfId="4437"/>
    <cellStyle name="Note 4 2 4 3" xfId="4438"/>
    <cellStyle name="Note 4 2 4 3 2" xfId="4439"/>
    <cellStyle name="Note 4 2 4 3 2 2" xfId="4440"/>
    <cellStyle name="Note 4 2 4 3 3" xfId="4441"/>
    <cellStyle name="Note 4 2 4 3 4" xfId="4442"/>
    <cellStyle name="Note 4 2 4 4" xfId="4443"/>
    <cellStyle name="Note 4 2 4 4 2" xfId="4444"/>
    <cellStyle name="Note 4 2 4 4 2 2" xfId="4445"/>
    <cellStyle name="Note 4 2 4 4 3" xfId="4446"/>
    <cellStyle name="Note 4 2 4 5" xfId="4447"/>
    <cellStyle name="Note 4 2 4 5 2" xfId="4448"/>
    <cellStyle name="Note 4 2 4 6" xfId="4449"/>
    <cellStyle name="Note 4 2 5" xfId="4450"/>
    <cellStyle name="Note 4 2 5 2" xfId="4451"/>
    <cellStyle name="Note 4 3" xfId="4452"/>
    <cellStyle name="Note 4 3 2" xfId="4453"/>
    <cellStyle name="Note 4 3 2 2" xfId="4454"/>
    <cellStyle name="Note 4 3 2 2 2" xfId="4455"/>
    <cellStyle name="Note 4 3 2 2 2 2" xfId="4456"/>
    <cellStyle name="Note 4 3 2 2 2 2 2" xfId="4457"/>
    <cellStyle name="Note 4 3 2 2 2 3" xfId="4458"/>
    <cellStyle name="Note 4 3 2 2 3" xfId="4459"/>
    <cellStyle name="Note 4 3 2 2 3 2" xfId="4460"/>
    <cellStyle name="Note 4 3 2 2 4" xfId="4461"/>
    <cellStyle name="Note 4 3 2 3" xfId="4462"/>
    <cellStyle name="Note 4 3 2 3 2" xfId="4463"/>
    <cellStyle name="Note 4 3 2 3 2 2" xfId="4464"/>
    <cellStyle name="Note 4 3 2 3 3" xfId="4465"/>
    <cellStyle name="Note 4 3 2 3 4" xfId="4466"/>
    <cellStyle name="Note 4 3 2 4" xfId="4467"/>
    <cellStyle name="Note 4 3 2 4 2" xfId="4468"/>
    <cellStyle name="Note 4 3 2 4 2 2" xfId="4469"/>
    <cellStyle name="Note 4 3 2 4 3" xfId="4470"/>
    <cellStyle name="Note 4 3 2 5" xfId="4471"/>
    <cellStyle name="Note 4 3 2 5 2" xfId="4472"/>
    <cellStyle name="Note 4 3 2 6" xfId="4473"/>
    <cellStyle name="Note 4 3 3" xfId="4474"/>
    <cellStyle name="Note 4 3 3 2" xfId="4475"/>
    <cellStyle name="Note 4 3 3 2 2" xfId="4476"/>
    <cellStyle name="Note 4 3 3 2 2 2" xfId="4477"/>
    <cellStyle name="Note 4 3 3 2 2 2 2" xfId="4478"/>
    <cellStyle name="Note 4 3 3 2 2 3" xfId="4479"/>
    <cellStyle name="Note 4 3 3 2 3" xfId="4480"/>
    <cellStyle name="Note 4 3 3 2 3 2" xfId="4481"/>
    <cellStyle name="Note 4 3 3 2 4" xfId="4482"/>
    <cellStyle name="Note 4 3 3 3" xfId="4483"/>
    <cellStyle name="Note 4 3 3 3 2" xfId="4484"/>
    <cellStyle name="Note 4 3 3 3 2 2" xfId="4485"/>
    <cellStyle name="Note 4 3 3 3 3" xfId="4486"/>
    <cellStyle name="Note 4 3 3 3 4" xfId="4487"/>
    <cellStyle name="Note 4 3 3 4" xfId="4488"/>
    <cellStyle name="Note 4 3 3 4 2" xfId="4489"/>
    <cellStyle name="Note 4 3 3 4 2 2" xfId="4490"/>
    <cellStyle name="Note 4 3 3 4 3" xfId="4491"/>
    <cellStyle name="Note 4 3 3 5" xfId="4492"/>
    <cellStyle name="Note 4 3 3 5 2" xfId="4493"/>
    <cellStyle name="Note 4 3 3 6" xfId="4494"/>
    <cellStyle name="Note 4 3 4" xfId="4495"/>
    <cellStyle name="Note 4 3 4 2" xfId="4496"/>
    <cellStyle name="Note 4 3 4 2 2" xfId="4497"/>
    <cellStyle name="Note 4 3 4 2 2 2" xfId="4498"/>
    <cellStyle name="Note 4 3 4 2 3" xfId="4499"/>
    <cellStyle name="Note 4 3 4 3" xfId="4500"/>
    <cellStyle name="Note 4 3 4 3 2" xfId="4501"/>
    <cellStyle name="Note 4 3 4 4" xfId="4502"/>
    <cellStyle name="Note 4 3 5" xfId="4503"/>
    <cellStyle name="Note 4 3 5 2" xfId="4504"/>
    <cellStyle name="Note 4 3 5 2 2" xfId="4505"/>
    <cellStyle name="Note 4 3 5 3" xfId="4506"/>
    <cellStyle name="Note 4 3 5 4" xfId="4507"/>
    <cellStyle name="Note 4 3 6" xfId="4508"/>
    <cellStyle name="Note 4 3 6 2" xfId="4509"/>
    <cellStyle name="Note 4 3 6 2 2" xfId="4510"/>
    <cellStyle name="Note 4 3 6 3" xfId="4511"/>
    <cellStyle name="Note 4 3 7" xfId="4512"/>
    <cellStyle name="Note 4 4" xfId="4513"/>
    <cellStyle name="Note 4 4 2" xfId="4514"/>
    <cellStyle name="Note 4 4 2 2" xfId="4515"/>
    <cellStyle name="Note 4 4 2 2 2" xfId="4516"/>
    <cellStyle name="Note 4 4 2 2 2 2" xfId="4517"/>
    <cellStyle name="Note 4 4 2 2 3" xfId="4518"/>
    <cellStyle name="Note 4 4 2 3" xfId="4519"/>
    <cellStyle name="Note 4 4 2 3 2" xfId="4520"/>
    <cellStyle name="Note 4 4 2 4" xfId="4521"/>
    <cellStyle name="Note 4 4 3" xfId="4522"/>
    <cellStyle name="Note 4 4 3 2" xfId="4523"/>
    <cellStyle name="Note 4 4 3 2 2" xfId="4524"/>
    <cellStyle name="Note 4 4 3 3" xfId="4525"/>
    <cellStyle name="Note 4 4 3 4" xfId="4526"/>
    <cellStyle name="Note 4 4 4" xfId="4527"/>
    <cellStyle name="Note 4 4 4 2" xfId="4528"/>
    <cellStyle name="Note 4 4 4 2 2" xfId="4529"/>
    <cellStyle name="Note 4 4 4 3" xfId="4530"/>
    <cellStyle name="Note 4 4 5" xfId="4531"/>
    <cellStyle name="Note 5" xfId="4532"/>
    <cellStyle name="Note 5 2" xfId="4533"/>
    <cellStyle name="Note 5 2 2" xfId="4534"/>
    <cellStyle name="Note 5 2 2 2" xfId="4535"/>
    <cellStyle name="Note 5 2 2 2 2" xfId="4536"/>
    <cellStyle name="Note 5 2 2 2 2 2" xfId="4537"/>
    <cellStyle name="Note 5 2 2 2 3" xfId="4538"/>
    <cellStyle name="Note 5 2 2 3" xfId="4539"/>
    <cellStyle name="Note 5 2 2 3 2" xfId="4540"/>
    <cellStyle name="Note 5 2 2 4" xfId="4541"/>
    <cellStyle name="Note 5 2 3" xfId="4542"/>
    <cellStyle name="Note 5 2 3 2" xfId="4543"/>
    <cellStyle name="Note 5 2 3 2 2" xfId="4544"/>
    <cellStyle name="Note 5 2 3 3" xfId="4545"/>
    <cellStyle name="Note 5 2 3 4" xfId="4546"/>
    <cellStyle name="Note 5 2 4" xfId="4547"/>
    <cellStyle name="Note 5 2 4 2" xfId="4548"/>
    <cellStyle name="Note 5 2 4 2 2" xfId="4549"/>
    <cellStyle name="Note 5 2 4 3" xfId="4550"/>
    <cellStyle name="Note 5 2 5" xfId="4551"/>
    <cellStyle name="Note 5 3" xfId="4552"/>
    <cellStyle name="Note 5 3 2" xfId="4553"/>
    <cellStyle name="Note 5 3 2 2" xfId="4554"/>
    <cellStyle name="Note 5 3 2 2 2" xfId="4555"/>
    <cellStyle name="Note 5 3 2 2 2 2" xfId="4556"/>
    <cellStyle name="Note 5 3 2 2 3" xfId="4557"/>
    <cellStyle name="Note 5 3 2 3" xfId="4558"/>
    <cellStyle name="Note 5 3 2 3 2" xfId="4559"/>
    <cellStyle name="Note 5 3 2 4" xfId="4560"/>
    <cellStyle name="Note 5 3 3" xfId="4561"/>
    <cellStyle name="Note 5 3 3 2" xfId="4562"/>
    <cellStyle name="Note 5 3 3 2 2" xfId="4563"/>
    <cellStyle name="Note 5 3 3 3" xfId="4564"/>
    <cellStyle name="Note 5 3 3 4" xfId="4565"/>
    <cellStyle name="Note 5 3 4" xfId="4566"/>
    <cellStyle name="Note 5 3 4 2" xfId="4567"/>
    <cellStyle name="Note 5 3 4 2 2" xfId="4568"/>
    <cellStyle name="Note 5 3 4 3" xfId="4569"/>
    <cellStyle name="Note 5 3 5" xfId="4570"/>
    <cellStyle name="Note 5 3 5 2" xfId="4571"/>
    <cellStyle name="Note 5 3 6" xfId="4572"/>
    <cellStyle name="Note 5 4" xfId="4573"/>
    <cellStyle name="Note 5 4 2" xfId="4574"/>
    <cellStyle name="Note 5 4 2 2" xfId="4575"/>
    <cellStyle name="Note 5 4 2 2 2" xfId="4576"/>
    <cellStyle name="Note 5 4 2 2 2 2" xfId="4577"/>
    <cellStyle name="Note 5 4 2 2 3" xfId="4578"/>
    <cellStyle name="Note 5 4 2 3" xfId="4579"/>
    <cellStyle name="Note 5 4 2 3 2" xfId="4580"/>
    <cellStyle name="Note 5 4 2 4" xfId="4581"/>
    <cellStyle name="Note 5 4 3" xfId="4582"/>
    <cellStyle name="Note 5 4 3 2" xfId="4583"/>
    <cellStyle name="Note 5 4 3 2 2" xfId="4584"/>
    <cellStyle name="Note 5 4 3 3" xfId="4585"/>
    <cellStyle name="Note 5 4 3 4" xfId="4586"/>
    <cellStyle name="Note 5 4 4" xfId="4587"/>
    <cellStyle name="Note 5 4 4 2" xfId="4588"/>
    <cellStyle name="Note 5 4 4 2 2" xfId="4589"/>
    <cellStyle name="Note 5 4 4 3" xfId="4590"/>
    <cellStyle name="Note 5 4 5" xfId="4591"/>
    <cellStyle name="Note 5 4 5 2" xfId="4592"/>
    <cellStyle name="Note 5 4 6" xfId="4593"/>
    <cellStyle name="Note 5 5" xfId="4594"/>
    <cellStyle name="Note 5 5 2" xfId="4595"/>
    <cellStyle name="Note 6" xfId="4596"/>
    <cellStyle name="Note 6 2" xfId="4597"/>
    <cellStyle name="Note 6 2 2" xfId="4598"/>
    <cellStyle name="Note 6 2 2 2" xfId="4599"/>
    <cellStyle name="Note 6 2 2 2 2" xfId="4600"/>
    <cellStyle name="Note 6 2 2 2 2 2" xfId="4601"/>
    <cellStyle name="Note 6 2 2 2 3" xfId="4602"/>
    <cellStyle name="Note 6 2 2 3" xfId="4603"/>
    <cellStyle name="Note 6 2 2 3 2" xfId="4604"/>
    <cellStyle name="Note 6 2 2 4" xfId="4605"/>
    <cellStyle name="Note 6 2 3" xfId="4606"/>
    <cellStyle name="Note 6 2 3 2" xfId="4607"/>
    <cellStyle name="Note 6 2 3 2 2" xfId="4608"/>
    <cellStyle name="Note 6 2 3 3" xfId="4609"/>
    <cellStyle name="Note 6 2 3 4" xfId="4610"/>
    <cellStyle name="Note 6 2 4" xfId="4611"/>
    <cellStyle name="Note 6 2 4 2" xfId="4612"/>
    <cellStyle name="Note 6 2 4 2 2" xfId="4613"/>
    <cellStyle name="Note 6 2 4 3" xfId="4614"/>
    <cellStyle name="Note 6 2 5" xfId="4615"/>
    <cellStyle name="Note 6 2 5 2" xfId="4616"/>
    <cellStyle name="Note 6 2 6" xfId="4617"/>
    <cellStyle name="Note 6 3" xfId="4618"/>
    <cellStyle name="Note 6 3 2" xfId="4619"/>
    <cellStyle name="Note 6 3 2 2" xfId="4620"/>
    <cellStyle name="Note 6 3 2 2 2" xfId="4621"/>
    <cellStyle name="Note 6 3 2 2 2 2" xfId="4622"/>
    <cellStyle name="Note 6 3 2 2 3" xfId="4623"/>
    <cellStyle name="Note 6 3 2 3" xfId="4624"/>
    <cellStyle name="Note 6 3 2 3 2" xfId="4625"/>
    <cellStyle name="Note 6 3 2 4" xfId="4626"/>
    <cellStyle name="Note 6 3 3" xfId="4627"/>
    <cellStyle name="Note 6 3 3 2" xfId="4628"/>
    <cellStyle name="Note 6 3 3 2 2" xfId="4629"/>
    <cellStyle name="Note 6 3 3 3" xfId="4630"/>
    <cellStyle name="Note 6 3 3 4" xfId="4631"/>
    <cellStyle name="Note 6 3 4" xfId="4632"/>
    <cellStyle name="Note 6 3 4 2" xfId="4633"/>
    <cellStyle name="Note 6 3 4 2 2" xfId="4634"/>
    <cellStyle name="Note 6 3 4 3" xfId="4635"/>
    <cellStyle name="Note 6 3 5" xfId="4636"/>
    <cellStyle name="Note 6 3 5 2" xfId="4637"/>
    <cellStyle name="Note 6 3 6" xfId="4638"/>
    <cellStyle name="Note 6 4" xfId="4639"/>
    <cellStyle name="Note 6 4 2" xfId="4640"/>
    <cellStyle name="Note 6 4 2 2" xfId="4641"/>
    <cellStyle name="Note 6 4 2 2 2" xfId="4642"/>
    <cellStyle name="Note 6 4 2 3" xfId="4643"/>
    <cellStyle name="Note 6 4 3" xfId="4644"/>
    <cellStyle name="Note 6 4 3 2" xfId="4645"/>
    <cellStyle name="Note 6 4 4" xfId="4646"/>
    <cellStyle name="Note 6 5" xfId="4647"/>
    <cellStyle name="Note 6 5 2" xfId="4648"/>
    <cellStyle name="Note 6 5 2 2" xfId="4649"/>
    <cellStyle name="Note 6 5 3" xfId="4650"/>
    <cellStyle name="Note 6 5 4" xfId="4651"/>
    <cellStyle name="Note 6 6" xfId="4652"/>
    <cellStyle name="Note 6 6 2" xfId="4653"/>
    <cellStyle name="Note 6 6 2 2" xfId="4654"/>
    <cellStyle name="Note 6 6 3" xfId="4655"/>
    <cellStyle name="Note 6 7" xfId="4656"/>
    <cellStyle name="Notes" xfId="4657"/>
    <cellStyle name="Output 2" xfId="4658"/>
    <cellStyle name="Output 2 2" xfId="4659"/>
    <cellStyle name="Output 2 2 2" xfId="4660"/>
    <cellStyle name="Output 2 2 2 2" xfId="4661"/>
    <cellStyle name="Output 2 2 2 2 2" xfId="4662"/>
    <cellStyle name="Output 2 2 2 2 2 2" xfId="4663"/>
    <cellStyle name="Output 2 2 2 2 2 2 2" xfId="4664"/>
    <cellStyle name="Output 2 2 2 2 2 2 2 2" xfId="4665"/>
    <cellStyle name="Output 2 2 2 2 2 2 2 2 2" xfId="4666"/>
    <cellStyle name="Output 2 2 2 2 2 2 2 3" xfId="4667"/>
    <cellStyle name="Output 2 2 2 2 2 2 3" xfId="4668"/>
    <cellStyle name="Output 2 2 2 2 2 2 3 2" xfId="4669"/>
    <cellStyle name="Output 2 2 2 2 2 2 4" xfId="4670"/>
    <cellStyle name="Output 2 2 2 2 2 3" xfId="4671"/>
    <cellStyle name="Output 2 2 2 2 2 3 2" xfId="4672"/>
    <cellStyle name="Output 2 2 2 2 2 3 2 2" xfId="4673"/>
    <cellStyle name="Output 2 2 2 2 2 3 3" xfId="4674"/>
    <cellStyle name="Output 2 2 2 2 2 3 4" xfId="4675"/>
    <cellStyle name="Output 2 2 2 2 2 4" xfId="4676"/>
    <cellStyle name="Output 2 2 2 2 2 4 2" xfId="4677"/>
    <cellStyle name="Output 2 2 2 2 2 4 2 2" xfId="4678"/>
    <cellStyle name="Output 2 2 2 2 2 4 3" xfId="4679"/>
    <cellStyle name="Output 2 2 2 2 2 5" xfId="4680"/>
    <cellStyle name="Output 2 2 2 2 2 5 2" xfId="4681"/>
    <cellStyle name="Output 2 2 2 2 2 6" xfId="4682"/>
    <cellStyle name="Output 2 2 2 2 3" xfId="4683"/>
    <cellStyle name="Output 2 2 2 2 3 2" xfId="4684"/>
    <cellStyle name="Output 2 2 2 2 3 2 2" xfId="4685"/>
    <cellStyle name="Output 2 2 2 2 3 2 2 2" xfId="4686"/>
    <cellStyle name="Output 2 2 2 2 3 2 2 2 2" xfId="4687"/>
    <cellStyle name="Output 2 2 2 2 3 2 2 3" xfId="4688"/>
    <cellStyle name="Output 2 2 2 2 3 2 3" xfId="4689"/>
    <cellStyle name="Output 2 2 2 2 3 2 3 2" xfId="4690"/>
    <cellStyle name="Output 2 2 2 2 3 2 4" xfId="4691"/>
    <cellStyle name="Output 2 2 2 2 3 3" xfId="4692"/>
    <cellStyle name="Output 2 2 2 2 3 3 2" xfId="4693"/>
    <cellStyle name="Output 2 2 2 2 3 3 2 2" xfId="4694"/>
    <cellStyle name="Output 2 2 2 2 3 3 3" xfId="4695"/>
    <cellStyle name="Output 2 2 2 2 3 3 4" xfId="4696"/>
    <cellStyle name="Output 2 2 2 2 3 4" xfId="4697"/>
    <cellStyle name="Output 2 2 2 2 3 4 2" xfId="4698"/>
    <cellStyle name="Output 2 2 2 2 3 4 2 2" xfId="4699"/>
    <cellStyle name="Output 2 2 2 2 3 4 3" xfId="4700"/>
    <cellStyle name="Output 2 2 2 2 3 5" xfId="4701"/>
    <cellStyle name="Output 2 2 2 2 3 5 2" xfId="4702"/>
    <cellStyle name="Output 2 2 2 2 3 6" xfId="4703"/>
    <cellStyle name="Output 2 2 2 2 4" xfId="4704"/>
    <cellStyle name="Output 2 2 2 2 4 2" xfId="4705"/>
    <cellStyle name="Output 2 2 2 3" xfId="4706"/>
    <cellStyle name="Output 2 2 2 3 2" xfId="4707"/>
    <cellStyle name="Output 2 2 2 3 2 2" xfId="4708"/>
    <cellStyle name="Output 2 2 2 3 2 2 2" xfId="4709"/>
    <cellStyle name="Output 2 2 2 3 2 2 2 2" xfId="4710"/>
    <cellStyle name="Output 2 2 2 3 2 2 3" xfId="4711"/>
    <cellStyle name="Output 2 2 2 3 2 3" xfId="4712"/>
    <cellStyle name="Output 2 2 2 3 2 3 2" xfId="4713"/>
    <cellStyle name="Output 2 2 2 3 2 4" xfId="4714"/>
    <cellStyle name="Output 2 2 2 3 3" xfId="4715"/>
    <cellStyle name="Output 2 2 2 3 3 2" xfId="4716"/>
    <cellStyle name="Output 2 2 2 3 3 2 2" xfId="4717"/>
    <cellStyle name="Output 2 2 2 3 3 3" xfId="4718"/>
    <cellStyle name="Output 2 2 2 3 3 4" xfId="4719"/>
    <cellStyle name="Output 2 2 2 3 4" xfId="4720"/>
    <cellStyle name="Output 2 2 2 3 4 2" xfId="4721"/>
    <cellStyle name="Output 2 2 2 3 4 2 2" xfId="4722"/>
    <cellStyle name="Output 2 2 2 3 4 3" xfId="4723"/>
    <cellStyle name="Output 2 2 2 3 5" xfId="4724"/>
    <cellStyle name="Output 2 2 2 3 5 2" xfId="4725"/>
    <cellStyle name="Output 2 2 2 3 6" xfId="4726"/>
    <cellStyle name="Output 2 2 2 4" xfId="4727"/>
    <cellStyle name="Output 2 2 2 4 2" xfId="4728"/>
    <cellStyle name="Output 2 2 2 4 2 2" xfId="4729"/>
    <cellStyle name="Output 2 2 2 4 2 2 2" xfId="4730"/>
    <cellStyle name="Output 2 2 2 4 2 2 2 2" xfId="4731"/>
    <cellStyle name="Output 2 2 2 4 2 2 3" xfId="4732"/>
    <cellStyle name="Output 2 2 2 4 2 3" xfId="4733"/>
    <cellStyle name="Output 2 2 2 4 2 3 2" xfId="4734"/>
    <cellStyle name="Output 2 2 2 4 2 4" xfId="4735"/>
    <cellStyle name="Output 2 2 2 4 3" xfId="4736"/>
    <cellStyle name="Output 2 2 2 4 3 2" xfId="4737"/>
    <cellStyle name="Output 2 2 2 4 3 2 2" xfId="4738"/>
    <cellStyle name="Output 2 2 2 4 3 3" xfId="4739"/>
    <cellStyle name="Output 2 2 2 4 3 4" xfId="4740"/>
    <cellStyle name="Output 2 2 2 4 4" xfId="4741"/>
    <cellStyle name="Output 2 2 2 4 4 2" xfId="4742"/>
    <cellStyle name="Output 2 2 2 4 4 2 2" xfId="4743"/>
    <cellStyle name="Output 2 2 2 4 4 3" xfId="4744"/>
    <cellStyle name="Output 2 2 2 4 5" xfId="4745"/>
    <cellStyle name="Output 2 2 2 4 5 2" xfId="4746"/>
    <cellStyle name="Output 2 2 2 4 6" xfId="4747"/>
    <cellStyle name="Output 2 2 2 5" xfId="4748"/>
    <cellStyle name="Output 2 2 2 5 2" xfId="4749"/>
    <cellStyle name="Output 2 2 3" xfId="4750"/>
    <cellStyle name="Output 2 2 3 2" xfId="4751"/>
    <cellStyle name="Output 2 2 3 2 2" xfId="4752"/>
    <cellStyle name="Output 2 2 3 2 2 2" xfId="4753"/>
    <cellStyle name="Output 2 2 3 2 2 2 2" xfId="4754"/>
    <cellStyle name="Output 2 2 3 2 2 2 2 2" xfId="4755"/>
    <cellStyle name="Output 2 2 3 2 2 2 3" xfId="4756"/>
    <cellStyle name="Output 2 2 3 2 2 3" xfId="4757"/>
    <cellStyle name="Output 2 2 3 2 2 3 2" xfId="4758"/>
    <cellStyle name="Output 2 2 3 2 2 4" xfId="4759"/>
    <cellStyle name="Output 2 2 3 2 3" xfId="4760"/>
    <cellStyle name="Output 2 2 3 2 3 2" xfId="4761"/>
    <cellStyle name="Output 2 2 3 2 3 2 2" xfId="4762"/>
    <cellStyle name="Output 2 2 3 2 3 3" xfId="4763"/>
    <cellStyle name="Output 2 2 3 2 3 4" xfId="4764"/>
    <cellStyle name="Output 2 2 3 2 4" xfId="4765"/>
    <cellStyle name="Output 2 2 3 2 4 2" xfId="4766"/>
    <cellStyle name="Output 2 2 3 2 4 2 2" xfId="4767"/>
    <cellStyle name="Output 2 2 3 2 4 3" xfId="4768"/>
    <cellStyle name="Output 2 2 3 2 5" xfId="4769"/>
    <cellStyle name="Output 2 2 3 2 5 2" xfId="4770"/>
    <cellStyle name="Output 2 2 3 2 6" xfId="4771"/>
    <cellStyle name="Output 2 2 3 3" xfId="4772"/>
    <cellStyle name="Output 2 2 3 3 2" xfId="4773"/>
    <cellStyle name="Output 2 2 3 3 2 2" xfId="4774"/>
    <cellStyle name="Output 2 2 3 3 2 2 2" xfId="4775"/>
    <cellStyle name="Output 2 2 3 3 2 2 2 2" xfId="4776"/>
    <cellStyle name="Output 2 2 3 3 2 2 3" xfId="4777"/>
    <cellStyle name="Output 2 2 3 3 2 3" xfId="4778"/>
    <cellStyle name="Output 2 2 3 3 2 3 2" xfId="4779"/>
    <cellStyle name="Output 2 2 3 3 2 4" xfId="4780"/>
    <cellStyle name="Output 2 2 3 3 3" xfId="4781"/>
    <cellStyle name="Output 2 2 3 3 3 2" xfId="4782"/>
    <cellStyle name="Output 2 2 3 3 3 2 2" xfId="4783"/>
    <cellStyle name="Output 2 2 3 3 3 3" xfId="4784"/>
    <cellStyle name="Output 2 2 3 3 3 4" xfId="4785"/>
    <cellStyle name="Output 2 2 3 3 4" xfId="4786"/>
    <cellStyle name="Output 2 2 3 3 4 2" xfId="4787"/>
    <cellStyle name="Output 2 2 3 3 4 2 2" xfId="4788"/>
    <cellStyle name="Output 2 2 3 3 4 3" xfId="4789"/>
    <cellStyle name="Output 2 2 3 3 5" xfId="4790"/>
    <cellStyle name="Output 2 2 3 3 5 2" xfId="4791"/>
    <cellStyle name="Output 2 2 3 3 6" xfId="4792"/>
    <cellStyle name="Output 2 2 3 4" xfId="4793"/>
    <cellStyle name="Output 2 2 3 4 2" xfId="4794"/>
    <cellStyle name="Output 2 2 4" xfId="4795"/>
    <cellStyle name="Output 2 2 4 2" xfId="4796"/>
    <cellStyle name="Output 2 2 4 2 2" xfId="4797"/>
    <cellStyle name="Output 2 2 4 2 2 2" xfId="4798"/>
    <cellStyle name="Output 2 2 4 2 2 2 2" xfId="4799"/>
    <cellStyle name="Output 2 2 4 2 2 2 2 2" xfId="4800"/>
    <cellStyle name="Output 2 2 4 2 2 2 3" xfId="4801"/>
    <cellStyle name="Output 2 2 4 2 2 3" xfId="4802"/>
    <cellStyle name="Output 2 2 4 2 2 3 2" xfId="4803"/>
    <cellStyle name="Output 2 2 4 2 2 4" xfId="4804"/>
    <cellStyle name="Output 2 2 4 2 3" xfId="4805"/>
    <cellStyle name="Output 2 2 4 2 3 2" xfId="4806"/>
    <cellStyle name="Output 2 2 4 2 3 2 2" xfId="4807"/>
    <cellStyle name="Output 2 2 4 2 3 3" xfId="4808"/>
    <cellStyle name="Output 2 2 4 2 3 4" xfId="4809"/>
    <cellStyle name="Output 2 2 4 2 4" xfId="4810"/>
    <cellStyle name="Output 2 2 4 2 4 2" xfId="4811"/>
    <cellStyle name="Output 2 2 4 2 4 2 2" xfId="4812"/>
    <cellStyle name="Output 2 2 4 2 4 3" xfId="4813"/>
    <cellStyle name="Output 2 2 4 2 5" xfId="4814"/>
    <cellStyle name="Output 2 2 4 2 5 2" xfId="4815"/>
    <cellStyle name="Output 2 2 4 2 6" xfId="4816"/>
    <cellStyle name="Output 2 2 4 3" xfId="4817"/>
    <cellStyle name="Output 2 2 4 3 2" xfId="4818"/>
    <cellStyle name="Output 2 2 4 3 2 2" xfId="4819"/>
    <cellStyle name="Output 2 2 4 3 3" xfId="4820"/>
    <cellStyle name="Output 2 2 4 4" xfId="4821"/>
    <cellStyle name="Output 2 2 4 4 2" xfId="4822"/>
    <cellStyle name="Output 2 2 4 4 2 2" xfId="4823"/>
    <cellStyle name="Output 2 2 4 4 2 2 2" xfId="4824"/>
    <cellStyle name="Output 2 2 4 4 2 2 2 2" xfId="4825"/>
    <cellStyle name="Output 2 2 4 4 2 2 3" xfId="4826"/>
    <cellStyle name="Output 2 2 4 4 2 3" xfId="4827"/>
    <cellStyle name="Output 2 2 4 4 2 3 2" xfId="4828"/>
    <cellStyle name="Output 2 2 4 4 2 4" xfId="4829"/>
    <cellStyle name="Output 2 2 4 4 3" xfId="4830"/>
    <cellStyle name="Output 2 2 4 4 3 2" xfId="4831"/>
    <cellStyle name="Output 2 2 4 4 3 2 2" xfId="4832"/>
    <cellStyle name="Output 2 2 4 4 3 3" xfId="4833"/>
    <cellStyle name="Output 2 2 4 4 3 4" xfId="4834"/>
    <cellStyle name="Output 2 2 4 4 4" xfId="4835"/>
    <cellStyle name="Output 2 2 4 4 4 2" xfId="4836"/>
    <cellStyle name="Output 2 2 4 4 4 2 2" xfId="4837"/>
    <cellStyle name="Output 2 2 4 4 4 3" xfId="4838"/>
    <cellStyle name="Output 2 2 4 4 5" xfId="4839"/>
    <cellStyle name="Output 2 2 4 4 5 2" xfId="4840"/>
    <cellStyle name="Output 2 2 4 4 6" xfId="4841"/>
    <cellStyle name="Output 2 2 4 5" xfId="4842"/>
    <cellStyle name="Output 2 2 4 5 2" xfId="4843"/>
    <cellStyle name="Output 2 2 4 5 2 2" xfId="4844"/>
    <cellStyle name="Output 2 2 4 5 2 2 2" xfId="4845"/>
    <cellStyle name="Output 2 2 4 5 2 3" xfId="4846"/>
    <cellStyle name="Output 2 2 4 5 3" xfId="4847"/>
    <cellStyle name="Output 2 2 4 5 3 2" xfId="4848"/>
    <cellStyle name="Output 2 2 4 5 4" xfId="4849"/>
    <cellStyle name="Output 2 2 4 6" xfId="4850"/>
    <cellStyle name="Output 2 2 4 6 2" xfId="4851"/>
    <cellStyle name="Output 2 2 4 6 2 2" xfId="4852"/>
    <cellStyle name="Output 2 2 4 6 3" xfId="4853"/>
    <cellStyle name="Output 2 2 4 6 4" xfId="4854"/>
    <cellStyle name="Output 2 2 4 7" xfId="4855"/>
    <cellStyle name="Output 2 2 4 7 2" xfId="4856"/>
    <cellStyle name="Output 2 2 4 7 2 2" xfId="4857"/>
    <cellStyle name="Output 2 2 4 7 3" xfId="4858"/>
    <cellStyle name="Output 2 2 4 8" xfId="4859"/>
    <cellStyle name="Output 2 2 4 8 2" xfId="4860"/>
    <cellStyle name="Output 2 2 4 9" xfId="4861"/>
    <cellStyle name="Output 2 2 5" xfId="4862"/>
    <cellStyle name="Output 2 2 5 2" xfId="4863"/>
    <cellStyle name="Output 2 2 5 2 2" xfId="4864"/>
    <cellStyle name="Output 2 2 5 2 2 2" xfId="4865"/>
    <cellStyle name="Output 2 2 5 2 2 2 2" xfId="4866"/>
    <cellStyle name="Output 2 2 5 2 2 3" xfId="4867"/>
    <cellStyle name="Output 2 2 5 2 3" xfId="4868"/>
    <cellStyle name="Output 2 2 5 2 3 2" xfId="4869"/>
    <cellStyle name="Output 2 2 5 2 4" xfId="4870"/>
    <cellStyle name="Output 2 2 5 3" xfId="4871"/>
    <cellStyle name="Output 2 2 5 3 2" xfId="4872"/>
    <cellStyle name="Output 2 2 5 3 2 2" xfId="4873"/>
    <cellStyle name="Output 2 2 5 3 3" xfId="4874"/>
    <cellStyle name="Output 2 2 5 3 4" xfId="4875"/>
    <cellStyle name="Output 2 2 5 4" xfId="4876"/>
    <cellStyle name="Output 2 2 5 4 2" xfId="4877"/>
    <cellStyle name="Output 2 2 5 4 2 2" xfId="4878"/>
    <cellStyle name="Output 2 2 5 4 3" xfId="4879"/>
    <cellStyle name="Output 2 2 5 5" xfId="4880"/>
    <cellStyle name="Output 2 2 5 5 2" xfId="4881"/>
    <cellStyle name="Output 2 2 5 6" xfId="4882"/>
    <cellStyle name="Output 2 3" xfId="4883"/>
    <cellStyle name="Output 2 3 2" xfId="4884"/>
    <cellStyle name="Output 2 3 2 2" xfId="4885"/>
    <cellStyle name="Output 2 3 2 2 2" xfId="4886"/>
    <cellStyle name="Output 2 3 2 2 2 2" xfId="4887"/>
    <cellStyle name="Output 2 3 2 2 2 2 2" xfId="4888"/>
    <cellStyle name="Output 2 3 2 2 2 2 2 2" xfId="4889"/>
    <cellStyle name="Output 2 3 2 2 2 2 3" xfId="4890"/>
    <cellStyle name="Output 2 3 2 2 2 3" xfId="4891"/>
    <cellStyle name="Output 2 3 2 2 2 3 2" xfId="4892"/>
    <cellStyle name="Output 2 3 2 2 2 4" xfId="4893"/>
    <cellStyle name="Output 2 3 2 2 3" xfId="4894"/>
    <cellStyle name="Output 2 3 2 2 3 2" xfId="4895"/>
    <cellStyle name="Output 2 3 2 2 3 2 2" xfId="4896"/>
    <cellStyle name="Output 2 3 2 2 3 3" xfId="4897"/>
    <cellStyle name="Output 2 3 2 2 3 4" xfId="4898"/>
    <cellStyle name="Output 2 3 2 2 4" xfId="4899"/>
    <cellStyle name="Output 2 3 2 2 4 2" xfId="4900"/>
    <cellStyle name="Output 2 3 2 2 4 2 2" xfId="4901"/>
    <cellStyle name="Output 2 3 2 2 4 3" xfId="4902"/>
    <cellStyle name="Output 2 3 2 2 5" xfId="4903"/>
    <cellStyle name="Output 2 3 2 2 5 2" xfId="4904"/>
    <cellStyle name="Output 2 3 2 2 6" xfId="4905"/>
    <cellStyle name="Output 2 3 2 3" xfId="4906"/>
    <cellStyle name="Output 2 3 2 3 2" xfId="4907"/>
    <cellStyle name="Output 2 3 2 3 2 2" xfId="4908"/>
    <cellStyle name="Output 2 3 2 3 2 2 2" xfId="4909"/>
    <cellStyle name="Output 2 3 2 3 2 2 2 2" xfId="4910"/>
    <cellStyle name="Output 2 3 2 3 2 2 3" xfId="4911"/>
    <cellStyle name="Output 2 3 2 3 2 3" xfId="4912"/>
    <cellStyle name="Output 2 3 2 3 2 3 2" xfId="4913"/>
    <cellStyle name="Output 2 3 2 3 2 4" xfId="4914"/>
    <cellStyle name="Output 2 3 2 3 3" xfId="4915"/>
    <cellStyle name="Output 2 3 2 3 3 2" xfId="4916"/>
    <cellStyle name="Output 2 3 2 3 3 2 2" xfId="4917"/>
    <cellStyle name="Output 2 3 2 3 3 3" xfId="4918"/>
    <cellStyle name="Output 2 3 2 3 3 4" xfId="4919"/>
    <cellStyle name="Output 2 3 2 3 4" xfId="4920"/>
    <cellStyle name="Output 2 3 2 3 4 2" xfId="4921"/>
    <cellStyle name="Output 2 3 2 3 4 2 2" xfId="4922"/>
    <cellStyle name="Output 2 3 2 3 4 3" xfId="4923"/>
    <cellStyle name="Output 2 3 2 3 5" xfId="4924"/>
    <cellStyle name="Output 2 3 2 3 5 2" xfId="4925"/>
    <cellStyle name="Output 2 3 2 3 6" xfId="4926"/>
    <cellStyle name="Output 2 3 2 4" xfId="4927"/>
    <cellStyle name="Output 2 3 2 4 2" xfId="4928"/>
    <cellStyle name="Output 2 3 3" xfId="4929"/>
    <cellStyle name="Output 2 3 3 2" xfId="4930"/>
    <cellStyle name="Output 2 3 3 2 2" xfId="4931"/>
    <cellStyle name="Output 2 3 3 2 2 2" xfId="4932"/>
    <cellStyle name="Output 2 3 3 2 2 2 2" xfId="4933"/>
    <cellStyle name="Output 2 3 3 2 2 3" xfId="4934"/>
    <cellStyle name="Output 2 3 3 2 3" xfId="4935"/>
    <cellStyle name="Output 2 3 3 2 3 2" xfId="4936"/>
    <cellStyle name="Output 2 3 3 2 4" xfId="4937"/>
    <cellStyle name="Output 2 3 3 3" xfId="4938"/>
    <cellStyle name="Output 2 3 3 3 2" xfId="4939"/>
    <cellStyle name="Output 2 3 3 3 2 2" xfId="4940"/>
    <cellStyle name="Output 2 3 3 3 3" xfId="4941"/>
    <cellStyle name="Output 2 3 3 3 4" xfId="4942"/>
    <cellStyle name="Output 2 3 3 4" xfId="4943"/>
    <cellStyle name="Output 2 3 3 4 2" xfId="4944"/>
    <cellStyle name="Output 2 3 3 4 2 2" xfId="4945"/>
    <cellStyle name="Output 2 3 3 4 3" xfId="4946"/>
    <cellStyle name="Output 2 3 3 5" xfId="4947"/>
    <cellStyle name="Output 2 3 3 5 2" xfId="4948"/>
    <cellStyle name="Output 2 3 3 6" xfId="4949"/>
    <cellStyle name="Output 2 3 4" xfId="4950"/>
    <cellStyle name="Output 2 3 4 2" xfId="4951"/>
    <cellStyle name="Output 2 3 4 2 2" xfId="4952"/>
    <cellStyle name="Output 2 3 4 2 2 2" xfId="4953"/>
    <cellStyle name="Output 2 3 4 2 2 2 2" xfId="4954"/>
    <cellStyle name="Output 2 3 4 2 2 3" xfId="4955"/>
    <cellStyle name="Output 2 3 4 2 3" xfId="4956"/>
    <cellStyle name="Output 2 3 4 2 3 2" xfId="4957"/>
    <cellStyle name="Output 2 3 4 2 4" xfId="4958"/>
    <cellStyle name="Output 2 3 4 3" xfId="4959"/>
    <cellStyle name="Output 2 3 4 3 2" xfId="4960"/>
    <cellStyle name="Output 2 3 4 3 2 2" xfId="4961"/>
    <cellStyle name="Output 2 3 4 3 3" xfId="4962"/>
    <cellStyle name="Output 2 3 4 3 4" xfId="4963"/>
    <cellStyle name="Output 2 3 4 4" xfId="4964"/>
    <cellStyle name="Output 2 3 4 4 2" xfId="4965"/>
    <cellStyle name="Output 2 3 4 4 2 2" xfId="4966"/>
    <cellStyle name="Output 2 3 4 4 3" xfId="4967"/>
    <cellStyle name="Output 2 3 4 5" xfId="4968"/>
    <cellStyle name="Output 2 3 4 5 2" xfId="4969"/>
    <cellStyle name="Output 2 3 4 6" xfId="4970"/>
    <cellStyle name="Output 2 3 5" xfId="4971"/>
    <cellStyle name="Output 2 3 5 2" xfId="4972"/>
    <cellStyle name="Output 2 4" xfId="4973"/>
    <cellStyle name="Output 2 4 2" xfId="4974"/>
    <cellStyle name="Output 2 4 2 2" xfId="4975"/>
    <cellStyle name="Output 2 4 2 2 2" xfId="4976"/>
    <cellStyle name="Output 2 4 2 2 2 2" xfId="4977"/>
    <cellStyle name="Output 2 4 2 2 2 2 2" xfId="4978"/>
    <cellStyle name="Output 2 4 2 2 2 3" xfId="4979"/>
    <cellStyle name="Output 2 4 2 2 3" xfId="4980"/>
    <cellStyle name="Output 2 4 2 2 3 2" xfId="4981"/>
    <cellStyle name="Output 2 4 2 2 4" xfId="4982"/>
    <cellStyle name="Output 2 4 2 3" xfId="4983"/>
    <cellStyle name="Output 2 4 2 3 2" xfId="4984"/>
    <cellStyle name="Output 2 4 2 3 2 2" xfId="4985"/>
    <cellStyle name="Output 2 4 2 3 3" xfId="4986"/>
    <cellStyle name="Output 2 4 2 3 4" xfId="4987"/>
    <cellStyle name="Output 2 4 2 4" xfId="4988"/>
    <cellStyle name="Output 2 4 2 4 2" xfId="4989"/>
    <cellStyle name="Output 2 4 2 4 2 2" xfId="4990"/>
    <cellStyle name="Output 2 4 2 4 3" xfId="4991"/>
    <cellStyle name="Output 2 4 2 5" xfId="4992"/>
    <cellStyle name="Output 2 4 2 5 2" xfId="4993"/>
    <cellStyle name="Output 2 4 2 6" xfId="4994"/>
    <cellStyle name="Output 2 4 3" xfId="4995"/>
    <cellStyle name="Output 2 4 3 2" xfId="4996"/>
    <cellStyle name="Output 2 4 3 2 2" xfId="4997"/>
    <cellStyle name="Output 2 4 3 2 2 2" xfId="4998"/>
    <cellStyle name="Output 2 4 3 2 2 2 2" xfId="4999"/>
    <cellStyle name="Output 2 4 3 2 2 3" xfId="5000"/>
    <cellStyle name="Output 2 4 3 2 3" xfId="5001"/>
    <cellStyle name="Output 2 4 3 2 3 2" xfId="5002"/>
    <cellStyle name="Output 2 4 3 2 4" xfId="5003"/>
    <cellStyle name="Output 2 4 3 3" xfId="5004"/>
    <cellStyle name="Output 2 4 3 3 2" xfId="5005"/>
    <cellStyle name="Output 2 4 3 3 2 2" xfId="5006"/>
    <cellStyle name="Output 2 4 3 3 3" xfId="5007"/>
    <cellStyle name="Output 2 4 3 3 4" xfId="5008"/>
    <cellStyle name="Output 2 4 3 4" xfId="5009"/>
    <cellStyle name="Output 2 4 3 4 2" xfId="5010"/>
    <cellStyle name="Output 2 4 3 4 2 2" xfId="5011"/>
    <cellStyle name="Output 2 4 3 4 3" xfId="5012"/>
    <cellStyle name="Output 2 4 3 5" xfId="5013"/>
    <cellStyle name="Output 2 4 3 5 2" xfId="5014"/>
    <cellStyle name="Output 2 4 3 6" xfId="5015"/>
    <cellStyle name="Output 2 4 4" xfId="5016"/>
    <cellStyle name="Output 2 4 4 2" xfId="5017"/>
    <cellStyle name="Output 2 5" xfId="5018"/>
    <cellStyle name="Output 2 5 2" xfId="5019"/>
    <cellStyle name="Output 2 5 2 2" xfId="5020"/>
    <cellStyle name="Output 2 5 2 2 2" xfId="5021"/>
    <cellStyle name="Output 2 5 2 2 2 2" xfId="5022"/>
    <cellStyle name="Output 2 5 2 2 2 2 2" xfId="5023"/>
    <cellStyle name="Output 2 5 2 2 2 3" xfId="5024"/>
    <cellStyle name="Output 2 5 2 2 3" xfId="5025"/>
    <cellStyle name="Output 2 5 2 2 3 2" xfId="5026"/>
    <cellStyle name="Output 2 5 2 2 4" xfId="5027"/>
    <cellStyle name="Output 2 5 2 3" xfId="5028"/>
    <cellStyle name="Output 2 5 2 3 2" xfId="5029"/>
    <cellStyle name="Output 2 5 2 3 2 2" xfId="5030"/>
    <cellStyle name="Output 2 5 2 3 3" xfId="5031"/>
    <cellStyle name="Output 2 5 2 3 4" xfId="5032"/>
    <cellStyle name="Output 2 5 2 4" xfId="5033"/>
    <cellStyle name="Output 2 5 2 4 2" xfId="5034"/>
    <cellStyle name="Output 2 5 2 4 2 2" xfId="5035"/>
    <cellStyle name="Output 2 5 2 4 3" xfId="5036"/>
    <cellStyle name="Output 2 5 2 5" xfId="5037"/>
    <cellStyle name="Output 2 5 2 5 2" xfId="5038"/>
    <cellStyle name="Output 2 5 2 6" xfId="5039"/>
    <cellStyle name="Output 2 5 3" xfId="5040"/>
    <cellStyle name="Output 2 5 3 2" xfId="5041"/>
    <cellStyle name="Output 2 5 3 2 2" xfId="5042"/>
    <cellStyle name="Output 2 5 3 3" xfId="5043"/>
    <cellStyle name="Output 2 5 4" xfId="5044"/>
    <cellStyle name="Output 2 5 4 2" xfId="5045"/>
    <cellStyle name="Output 2 5 4 2 2" xfId="5046"/>
    <cellStyle name="Output 2 5 4 2 2 2" xfId="5047"/>
    <cellStyle name="Output 2 5 4 2 2 2 2" xfId="5048"/>
    <cellStyle name="Output 2 5 4 2 2 3" xfId="5049"/>
    <cellStyle name="Output 2 5 4 2 3" xfId="5050"/>
    <cellStyle name="Output 2 5 4 2 3 2" xfId="5051"/>
    <cellStyle name="Output 2 5 4 2 4" xfId="5052"/>
    <cellStyle name="Output 2 5 4 3" xfId="5053"/>
    <cellStyle name="Output 2 5 4 3 2" xfId="5054"/>
    <cellStyle name="Output 2 5 4 3 2 2" xfId="5055"/>
    <cellStyle name="Output 2 5 4 3 3" xfId="5056"/>
    <cellStyle name="Output 2 5 4 3 4" xfId="5057"/>
    <cellStyle name="Output 2 5 4 4" xfId="5058"/>
    <cellStyle name="Output 2 5 4 4 2" xfId="5059"/>
    <cellStyle name="Output 2 5 4 4 2 2" xfId="5060"/>
    <cellStyle name="Output 2 5 4 4 3" xfId="5061"/>
    <cellStyle name="Output 2 5 4 5" xfId="5062"/>
    <cellStyle name="Output 2 5 4 5 2" xfId="5063"/>
    <cellStyle name="Output 2 5 4 6" xfId="5064"/>
    <cellStyle name="Output 2 5 5" xfId="5065"/>
    <cellStyle name="Output 2 5 5 2" xfId="5066"/>
    <cellStyle name="Output 2 5 5 2 2" xfId="5067"/>
    <cellStyle name="Output 2 5 5 2 2 2" xfId="5068"/>
    <cellStyle name="Output 2 5 5 2 3" xfId="5069"/>
    <cellStyle name="Output 2 5 5 3" xfId="5070"/>
    <cellStyle name="Output 2 5 5 3 2" xfId="5071"/>
    <cellStyle name="Output 2 5 5 4" xfId="5072"/>
    <cellStyle name="Output 2 5 6" xfId="5073"/>
    <cellStyle name="Output 2 5 6 2" xfId="5074"/>
    <cellStyle name="Output 2 5 6 2 2" xfId="5075"/>
    <cellStyle name="Output 2 5 6 3" xfId="5076"/>
    <cellStyle name="Output 2 5 6 4" xfId="5077"/>
    <cellStyle name="Output 2 5 7" xfId="5078"/>
    <cellStyle name="Output 2 5 7 2" xfId="5079"/>
    <cellStyle name="Output 2 5 7 2 2" xfId="5080"/>
    <cellStyle name="Output 2 5 7 3" xfId="5081"/>
    <cellStyle name="Output 2 5 8" xfId="5082"/>
    <cellStyle name="Output 2 5 8 2" xfId="5083"/>
    <cellStyle name="Output 2 5 9" xfId="5084"/>
    <cellStyle name="Output 2 6" xfId="5085"/>
    <cellStyle name="Output 2 6 2" xfId="5086"/>
    <cellStyle name="Output 2 6 2 2" xfId="5087"/>
    <cellStyle name="Output 2 6 2 2 2" xfId="5088"/>
    <cellStyle name="Output 2 6 2 2 2 2" xfId="5089"/>
    <cellStyle name="Output 2 6 2 2 3" xfId="5090"/>
    <cellStyle name="Output 2 6 2 3" xfId="5091"/>
    <cellStyle name="Output 2 6 2 3 2" xfId="5092"/>
    <cellStyle name="Output 2 6 2 4" xfId="5093"/>
    <cellStyle name="Output 2 6 3" xfId="5094"/>
    <cellStyle name="Output 2 6 3 2" xfId="5095"/>
    <cellStyle name="Output 2 6 3 2 2" xfId="5096"/>
    <cellStyle name="Output 2 6 3 3" xfId="5097"/>
    <cellStyle name="Output 2 6 3 4" xfId="5098"/>
    <cellStyle name="Output 2 6 4" xfId="5099"/>
    <cellStyle name="Output 2 6 4 2" xfId="5100"/>
    <cellStyle name="Output 2 6 4 2 2" xfId="5101"/>
    <cellStyle name="Output 2 6 4 3" xfId="5102"/>
    <cellStyle name="Output 2 6 5" xfId="5103"/>
    <cellStyle name="Output 2 6 5 2" xfId="5104"/>
    <cellStyle name="Output 2 6 6" xfId="5105"/>
    <cellStyle name="Output 3" xfId="5106"/>
    <cellStyle name="Output 3 2" xfId="5107"/>
    <cellStyle name="Output 3 2 2" xfId="5108"/>
    <cellStyle name="Output 3 2 2 2" xfId="5109"/>
    <cellStyle name="Output 3 2 2 2 2" xfId="5110"/>
    <cellStyle name="Output 3 2 2 2 2 2" xfId="5111"/>
    <cellStyle name="Output 3 2 2 2 2 2 2" xfId="5112"/>
    <cellStyle name="Output 3 2 2 2 2 2 2 2" xfId="5113"/>
    <cellStyle name="Output 3 2 2 2 2 2 3" xfId="5114"/>
    <cellStyle name="Output 3 2 2 2 2 3" xfId="5115"/>
    <cellStyle name="Output 3 2 2 2 2 3 2" xfId="5116"/>
    <cellStyle name="Output 3 2 2 2 2 4" xfId="5117"/>
    <cellStyle name="Output 3 2 2 2 3" xfId="5118"/>
    <cellStyle name="Output 3 2 2 2 3 2" xfId="5119"/>
    <cellStyle name="Output 3 2 2 2 3 2 2" xfId="5120"/>
    <cellStyle name="Output 3 2 2 2 3 3" xfId="5121"/>
    <cellStyle name="Output 3 2 2 2 3 4" xfId="5122"/>
    <cellStyle name="Output 3 2 2 2 4" xfId="5123"/>
    <cellStyle name="Output 3 2 2 2 4 2" xfId="5124"/>
    <cellStyle name="Output 3 2 2 2 4 2 2" xfId="5125"/>
    <cellStyle name="Output 3 2 2 2 4 3" xfId="5126"/>
    <cellStyle name="Output 3 2 2 2 5" xfId="5127"/>
    <cellStyle name="Output 3 2 2 2 5 2" xfId="5128"/>
    <cellStyle name="Output 3 2 2 2 6" xfId="5129"/>
    <cellStyle name="Output 3 2 2 3" xfId="5130"/>
    <cellStyle name="Output 3 2 2 3 2" xfId="5131"/>
    <cellStyle name="Output 3 2 2 3 2 2" xfId="5132"/>
    <cellStyle name="Output 3 2 2 3 2 2 2" xfId="5133"/>
    <cellStyle name="Output 3 2 2 3 2 2 2 2" xfId="5134"/>
    <cellStyle name="Output 3 2 2 3 2 2 3" xfId="5135"/>
    <cellStyle name="Output 3 2 2 3 2 3" xfId="5136"/>
    <cellStyle name="Output 3 2 2 3 2 3 2" xfId="5137"/>
    <cellStyle name="Output 3 2 2 3 2 4" xfId="5138"/>
    <cellStyle name="Output 3 2 2 3 3" xfId="5139"/>
    <cellStyle name="Output 3 2 2 3 3 2" xfId="5140"/>
    <cellStyle name="Output 3 2 2 3 3 2 2" xfId="5141"/>
    <cellStyle name="Output 3 2 2 3 3 3" xfId="5142"/>
    <cellStyle name="Output 3 2 2 3 3 4" xfId="5143"/>
    <cellStyle name="Output 3 2 2 3 4" xfId="5144"/>
    <cellStyle name="Output 3 2 2 3 4 2" xfId="5145"/>
    <cellStyle name="Output 3 2 2 3 4 2 2" xfId="5146"/>
    <cellStyle name="Output 3 2 2 3 4 3" xfId="5147"/>
    <cellStyle name="Output 3 2 2 3 5" xfId="5148"/>
    <cellStyle name="Output 3 2 2 3 5 2" xfId="5149"/>
    <cellStyle name="Output 3 2 2 3 6" xfId="5150"/>
    <cellStyle name="Output 3 2 2 4" xfId="5151"/>
    <cellStyle name="Output 3 2 2 4 2" xfId="5152"/>
    <cellStyle name="Output 3 2 3" xfId="5153"/>
    <cellStyle name="Output 3 2 3 2" xfId="5154"/>
    <cellStyle name="Output 3 2 3 2 2" xfId="5155"/>
    <cellStyle name="Output 3 2 3 2 2 2" xfId="5156"/>
    <cellStyle name="Output 3 2 3 2 2 2 2" xfId="5157"/>
    <cellStyle name="Output 3 2 3 2 2 3" xfId="5158"/>
    <cellStyle name="Output 3 2 3 2 3" xfId="5159"/>
    <cellStyle name="Output 3 2 3 2 3 2" xfId="5160"/>
    <cellStyle name="Output 3 2 3 2 4" xfId="5161"/>
    <cellStyle name="Output 3 2 3 3" xfId="5162"/>
    <cellStyle name="Output 3 2 3 3 2" xfId="5163"/>
    <cellStyle name="Output 3 2 3 3 2 2" xfId="5164"/>
    <cellStyle name="Output 3 2 3 3 3" xfId="5165"/>
    <cellStyle name="Output 3 2 3 3 4" xfId="5166"/>
    <cellStyle name="Output 3 2 3 4" xfId="5167"/>
    <cellStyle name="Output 3 2 3 4 2" xfId="5168"/>
    <cellStyle name="Output 3 2 3 4 2 2" xfId="5169"/>
    <cellStyle name="Output 3 2 3 4 3" xfId="5170"/>
    <cellStyle name="Output 3 2 3 5" xfId="5171"/>
    <cellStyle name="Output 3 2 3 5 2" xfId="5172"/>
    <cellStyle name="Output 3 2 3 6" xfId="5173"/>
    <cellStyle name="Output 3 2 4" xfId="5174"/>
    <cellStyle name="Output 3 2 4 2" xfId="5175"/>
    <cellStyle name="Output 3 2 4 2 2" xfId="5176"/>
    <cellStyle name="Output 3 2 4 2 2 2" xfId="5177"/>
    <cellStyle name="Output 3 2 4 2 2 2 2" xfId="5178"/>
    <cellStyle name="Output 3 2 4 2 2 3" xfId="5179"/>
    <cellStyle name="Output 3 2 4 2 3" xfId="5180"/>
    <cellStyle name="Output 3 2 4 2 3 2" xfId="5181"/>
    <cellStyle name="Output 3 2 4 2 4" xfId="5182"/>
    <cellStyle name="Output 3 2 4 3" xfId="5183"/>
    <cellStyle name="Output 3 2 4 3 2" xfId="5184"/>
    <cellStyle name="Output 3 2 4 3 2 2" xfId="5185"/>
    <cellStyle name="Output 3 2 4 3 3" xfId="5186"/>
    <cellStyle name="Output 3 2 4 3 4" xfId="5187"/>
    <cellStyle name="Output 3 2 4 4" xfId="5188"/>
    <cellStyle name="Output 3 2 4 4 2" xfId="5189"/>
    <cellStyle name="Output 3 2 4 4 2 2" xfId="5190"/>
    <cellStyle name="Output 3 2 4 4 3" xfId="5191"/>
    <cellStyle name="Output 3 2 4 5" xfId="5192"/>
    <cellStyle name="Output 3 2 4 5 2" xfId="5193"/>
    <cellStyle name="Output 3 2 4 6" xfId="5194"/>
    <cellStyle name="Output 3 2 5" xfId="5195"/>
    <cellStyle name="Output 3 2 5 2" xfId="5196"/>
    <cellStyle name="Output 3 3" xfId="5197"/>
    <cellStyle name="Output 3 3 2" xfId="5198"/>
    <cellStyle name="Output 3 3 2 2" xfId="5199"/>
    <cellStyle name="Output 3 3 2 2 2" xfId="5200"/>
    <cellStyle name="Output 3 3 2 2 2 2" xfId="5201"/>
    <cellStyle name="Output 3 3 2 2 2 2 2" xfId="5202"/>
    <cellStyle name="Output 3 3 2 2 2 3" xfId="5203"/>
    <cellStyle name="Output 3 3 2 2 3" xfId="5204"/>
    <cellStyle name="Output 3 3 2 2 3 2" xfId="5205"/>
    <cellStyle name="Output 3 3 2 2 4" xfId="5206"/>
    <cellStyle name="Output 3 3 2 3" xfId="5207"/>
    <cellStyle name="Output 3 3 2 3 2" xfId="5208"/>
    <cellStyle name="Output 3 3 2 3 2 2" xfId="5209"/>
    <cellStyle name="Output 3 3 2 3 3" xfId="5210"/>
    <cellStyle name="Output 3 3 2 3 4" xfId="5211"/>
    <cellStyle name="Output 3 3 2 4" xfId="5212"/>
    <cellStyle name="Output 3 3 2 4 2" xfId="5213"/>
    <cellStyle name="Output 3 3 2 4 2 2" xfId="5214"/>
    <cellStyle name="Output 3 3 2 4 3" xfId="5215"/>
    <cellStyle name="Output 3 3 2 5" xfId="5216"/>
    <cellStyle name="Output 3 3 2 5 2" xfId="5217"/>
    <cellStyle name="Output 3 3 2 6" xfId="5218"/>
    <cellStyle name="Output 3 3 3" xfId="5219"/>
    <cellStyle name="Output 3 3 3 2" xfId="5220"/>
    <cellStyle name="Output 3 3 3 2 2" xfId="5221"/>
    <cellStyle name="Output 3 3 3 2 2 2" xfId="5222"/>
    <cellStyle name="Output 3 3 3 2 2 2 2" xfId="5223"/>
    <cellStyle name="Output 3 3 3 2 2 3" xfId="5224"/>
    <cellStyle name="Output 3 3 3 2 3" xfId="5225"/>
    <cellStyle name="Output 3 3 3 2 3 2" xfId="5226"/>
    <cellStyle name="Output 3 3 3 2 4" xfId="5227"/>
    <cellStyle name="Output 3 3 3 3" xfId="5228"/>
    <cellStyle name="Output 3 3 3 3 2" xfId="5229"/>
    <cellStyle name="Output 3 3 3 3 2 2" xfId="5230"/>
    <cellStyle name="Output 3 3 3 3 3" xfId="5231"/>
    <cellStyle name="Output 3 3 3 3 4" xfId="5232"/>
    <cellStyle name="Output 3 3 3 4" xfId="5233"/>
    <cellStyle name="Output 3 3 3 4 2" xfId="5234"/>
    <cellStyle name="Output 3 3 3 4 2 2" xfId="5235"/>
    <cellStyle name="Output 3 3 3 4 3" xfId="5236"/>
    <cellStyle name="Output 3 3 3 5" xfId="5237"/>
    <cellStyle name="Output 3 3 3 5 2" xfId="5238"/>
    <cellStyle name="Output 3 3 3 6" xfId="5239"/>
    <cellStyle name="Output 3 3 4" xfId="5240"/>
    <cellStyle name="Output 3 3 4 2" xfId="5241"/>
    <cellStyle name="Output 3 4" xfId="5242"/>
    <cellStyle name="Output 3 4 2" xfId="5243"/>
    <cellStyle name="Output 3 4 2 2" xfId="5244"/>
    <cellStyle name="Output 3 4 2 2 2" xfId="5245"/>
    <cellStyle name="Output 3 4 2 2 2 2" xfId="5246"/>
    <cellStyle name="Output 3 4 2 2 2 2 2" xfId="5247"/>
    <cellStyle name="Output 3 4 2 2 2 3" xfId="5248"/>
    <cellStyle name="Output 3 4 2 2 3" xfId="5249"/>
    <cellStyle name="Output 3 4 2 2 3 2" xfId="5250"/>
    <cellStyle name="Output 3 4 2 2 4" xfId="5251"/>
    <cellStyle name="Output 3 4 2 3" xfId="5252"/>
    <cellStyle name="Output 3 4 2 3 2" xfId="5253"/>
    <cellStyle name="Output 3 4 2 3 2 2" xfId="5254"/>
    <cellStyle name="Output 3 4 2 3 3" xfId="5255"/>
    <cellStyle name="Output 3 4 2 3 4" xfId="5256"/>
    <cellStyle name="Output 3 4 2 4" xfId="5257"/>
    <cellStyle name="Output 3 4 2 4 2" xfId="5258"/>
    <cellStyle name="Output 3 4 2 4 2 2" xfId="5259"/>
    <cellStyle name="Output 3 4 2 4 3" xfId="5260"/>
    <cellStyle name="Output 3 4 2 5" xfId="5261"/>
    <cellStyle name="Output 3 4 2 5 2" xfId="5262"/>
    <cellStyle name="Output 3 4 2 6" xfId="5263"/>
    <cellStyle name="Output 3 4 3" xfId="5264"/>
    <cellStyle name="Output 3 4 3 2" xfId="5265"/>
    <cellStyle name="Output 3 4 3 2 2" xfId="5266"/>
    <cellStyle name="Output 3 4 3 3" xfId="5267"/>
    <cellStyle name="Output 3 4 4" xfId="5268"/>
    <cellStyle name="Output 3 4 4 2" xfId="5269"/>
    <cellStyle name="Output 3 4 4 2 2" xfId="5270"/>
    <cellStyle name="Output 3 4 4 2 2 2" xfId="5271"/>
    <cellStyle name="Output 3 4 4 2 2 2 2" xfId="5272"/>
    <cellStyle name="Output 3 4 4 2 2 3" xfId="5273"/>
    <cellStyle name="Output 3 4 4 2 3" xfId="5274"/>
    <cellStyle name="Output 3 4 4 2 3 2" xfId="5275"/>
    <cellStyle name="Output 3 4 4 2 4" xfId="5276"/>
    <cellStyle name="Output 3 4 4 3" xfId="5277"/>
    <cellStyle name="Output 3 4 4 3 2" xfId="5278"/>
    <cellStyle name="Output 3 4 4 3 2 2" xfId="5279"/>
    <cellStyle name="Output 3 4 4 3 3" xfId="5280"/>
    <cellStyle name="Output 3 4 4 3 4" xfId="5281"/>
    <cellStyle name="Output 3 4 4 4" xfId="5282"/>
    <cellStyle name="Output 3 4 4 4 2" xfId="5283"/>
    <cellStyle name="Output 3 4 4 4 2 2" xfId="5284"/>
    <cellStyle name="Output 3 4 4 4 3" xfId="5285"/>
    <cellStyle name="Output 3 4 4 5" xfId="5286"/>
    <cellStyle name="Output 3 4 4 5 2" xfId="5287"/>
    <cellStyle name="Output 3 4 4 6" xfId="5288"/>
    <cellStyle name="Output 3 4 5" xfId="5289"/>
    <cellStyle name="Output 3 4 5 2" xfId="5290"/>
    <cellStyle name="Output 3 4 5 2 2" xfId="5291"/>
    <cellStyle name="Output 3 4 5 2 2 2" xfId="5292"/>
    <cellStyle name="Output 3 4 5 2 3" xfId="5293"/>
    <cellStyle name="Output 3 4 5 3" xfId="5294"/>
    <cellStyle name="Output 3 4 5 3 2" xfId="5295"/>
    <cellStyle name="Output 3 4 5 4" xfId="5296"/>
    <cellStyle name="Output 3 4 6" xfId="5297"/>
    <cellStyle name="Output 3 4 6 2" xfId="5298"/>
    <cellStyle name="Output 3 4 6 2 2" xfId="5299"/>
    <cellStyle name="Output 3 4 6 3" xfId="5300"/>
    <cellStyle name="Output 3 4 6 4" xfId="5301"/>
    <cellStyle name="Output 3 4 7" xfId="5302"/>
    <cellStyle name="Output 3 4 7 2" xfId="5303"/>
    <cellStyle name="Output 3 4 7 2 2" xfId="5304"/>
    <cellStyle name="Output 3 4 7 3" xfId="5305"/>
    <cellStyle name="Output 3 4 8" xfId="5306"/>
    <cellStyle name="Output 3 4 8 2" xfId="5307"/>
    <cellStyle name="Output 3 4 9" xfId="5308"/>
    <cellStyle name="Output 3 5" xfId="5309"/>
    <cellStyle name="Output 3 5 2" xfId="5310"/>
    <cellStyle name="Output 3 5 2 2" xfId="5311"/>
    <cellStyle name="Output 3 5 2 2 2" xfId="5312"/>
    <cellStyle name="Output 3 5 2 2 2 2" xfId="5313"/>
    <cellStyle name="Output 3 5 2 2 3" xfId="5314"/>
    <cellStyle name="Output 3 5 2 3" xfId="5315"/>
    <cellStyle name="Output 3 5 2 3 2" xfId="5316"/>
    <cellStyle name="Output 3 5 2 4" xfId="5317"/>
    <cellStyle name="Output 3 5 3" xfId="5318"/>
    <cellStyle name="Output 3 5 3 2" xfId="5319"/>
    <cellStyle name="Output 3 5 3 2 2" xfId="5320"/>
    <cellStyle name="Output 3 5 3 3" xfId="5321"/>
    <cellStyle name="Output 3 5 3 4" xfId="5322"/>
    <cellStyle name="Output 3 5 4" xfId="5323"/>
    <cellStyle name="Output 3 5 4 2" xfId="5324"/>
    <cellStyle name="Output 3 5 4 2 2" xfId="5325"/>
    <cellStyle name="Output 3 5 4 3" xfId="5326"/>
    <cellStyle name="Output 3 5 5" xfId="5327"/>
    <cellStyle name="Output 3 5 5 2" xfId="5328"/>
    <cellStyle name="Output 3 5 6" xfId="5329"/>
    <cellStyle name="Output 4" xfId="5330"/>
    <cellStyle name="Output 4 2" xfId="5331"/>
    <cellStyle name="Output 4 2 2" xfId="5332"/>
    <cellStyle name="Output 4 2 2 2" xfId="5333"/>
    <cellStyle name="Output 4 2 2 2 2" xfId="5334"/>
    <cellStyle name="Output 4 2 2 2 2 2" xfId="5335"/>
    <cellStyle name="Output 4 2 2 2 2 2 2" xfId="5336"/>
    <cellStyle name="Output 4 2 2 2 2 3" xfId="5337"/>
    <cellStyle name="Output 4 2 2 2 3" xfId="5338"/>
    <cellStyle name="Output 4 2 2 2 3 2" xfId="5339"/>
    <cellStyle name="Output 4 2 2 2 4" xfId="5340"/>
    <cellStyle name="Output 4 2 2 3" xfId="5341"/>
    <cellStyle name="Output 4 2 2 3 2" xfId="5342"/>
    <cellStyle name="Output 4 2 2 3 2 2" xfId="5343"/>
    <cellStyle name="Output 4 2 2 3 3" xfId="5344"/>
    <cellStyle name="Output 4 2 2 3 4" xfId="5345"/>
    <cellStyle name="Output 4 2 2 4" xfId="5346"/>
    <cellStyle name="Output 4 2 2 4 2" xfId="5347"/>
    <cellStyle name="Output 4 2 2 4 2 2" xfId="5348"/>
    <cellStyle name="Output 4 2 2 4 3" xfId="5349"/>
    <cellStyle name="Output 4 2 2 5" xfId="5350"/>
    <cellStyle name="Output 4 2 2 5 2" xfId="5351"/>
    <cellStyle name="Output 4 2 2 6" xfId="5352"/>
    <cellStyle name="Output 4 2 3" xfId="5353"/>
    <cellStyle name="Output 4 2 3 2" xfId="5354"/>
    <cellStyle name="Output 4 2 3 2 2" xfId="5355"/>
    <cellStyle name="Output 4 2 3 2 2 2" xfId="5356"/>
    <cellStyle name="Output 4 2 3 2 2 2 2" xfId="5357"/>
    <cellStyle name="Output 4 2 3 2 2 3" xfId="5358"/>
    <cellStyle name="Output 4 2 3 2 3" xfId="5359"/>
    <cellStyle name="Output 4 2 3 2 3 2" xfId="5360"/>
    <cellStyle name="Output 4 2 3 2 4" xfId="5361"/>
    <cellStyle name="Output 4 2 3 3" xfId="5362"/>
    <cellStyle name="Output 4 2 3 3 2" xfId="5363"/>
    <cellStyle name="Output 4 2 3 3 2 2" xfId="5364"/>
    <cellStyle name="Output 4 2 3 3 3" xfId="5365"/>
    <cellStyle name="Output 4 2 3 3 4" xfId="5366"/>
    <cellStyle name="Output 4 2 3 4" xfId="5367"/>
    <cellStyle name="Output 4 2 3 4 2" xfId="5368"/>
    <cellStyle name="Output 4 2 3 4 2 2" xfId="5369"/>
    <cellStyle name="Output 4 2 3 4 3" xfId="5370"/>
    <cellStyle name="Output 4 2 3 5" xfId="5371"/>
    <cellStyle name="Output 4 2 3 5 2" xfId="5372"/>
    <cellStyle name="Output 4 2 3 6" xfId="5373"/>
    <cellStyle name="Output 4 2 4" xfId="5374"/>
    <cellStyle name="Output 4 2 4 2" xfId="5375"/>
    <cellStyle name="Output 4 3" xfId="5376"/>
    <cellStyle name="Output 4 3 2" xfId="5377"/>
    <cellStyle name="Output 4 3 2 2" xfId="5378"/>
    <cellStyle name="Output 4 3 2 2 2" xfId="5379"/>
    <cellStyle name="Output 4 3 2 2 2 2" xfId="5380"/>
    <cellStyle name="Output 4 3 2 2 2 2 2" xfId="5381"/>
    <cellStyle name="Output 4 3 2 2 2 3" xfId="5382"/>
    <cellStyle name="Output 4 3 2 2 3" xfId="5383"/>
    <cellStyle name="Output 4 3 2 2 3 2" xfId="5384"/>
    <cellStyle name="Output 4 3 2 2 4" xfId="5385"/>
    <cellStyle name="Output 4 3 2 3" xfId="5386"/>
    <cellStyle name="Output 4 3 2 3 2" xfId="5387"/>
    <cellStyle name="Output 4 3 2 3 2 2" xfId="5388"/>
    <cellStyle name="Output 4 3 2 3 3" xfId="5389"/>
    <cellStyle name="Output 4 3 2 3 4" xfId="5390"/>
    <cellStyle name="Output 4 3 2 4" xfId="5391"/>
    <cellStyle name="Output 4 3 2 4 2" xfId="5392"/>
    <cellStyle name="Output 4 3 2 4 2 2" xfId="5393"/>
    <cellStyle name="Output 4 3 2 4 3" xfId="5394"/>
    <cellStyle name="Output 4 3 2 5" xfId="5395"/>
    <cellStyle name="Output 4 3 2 5 2" xfId="5396"/>
    <cellStyle name="Output 4 3 2 6" xfId="5397"/>
    <cellStyle name="Output 4 3 3" xfId="5398"/>
    <cellStyle name="Output 4 3 3 2" xfId="5399"/>
    <cellStyle name="Output 4 3 3 2 2" xfId="5400"/>
    <cellStyle name="Output 4 3 3 3" xfId="5401"/>
    <cellStyle name="Output 4 3 4" xfId="5402"/>
    <cellStyle name="Output 4 3 4 2" xfId="5403"/>
    <cellStyle name="Output 4 3 4 2 2" xfId="5404"/>
    <cellStyle name="Output 4 3 4 2 2 2" xfId="5405"/>
    <cellStyle name="Output 4 3 4 2 2 2 2" xfId="5406"/>
    <cellStyle name="Output 4 3 4 2 2 3" xfId="5407"/>
    <cellStyle name="Output 4 3 4 2 3" xfId="5408"/>
    <cellStyle name="Output 4 3 4 2 3 2" xfId="5409"/>
    <cellStyle name="Output 4 3 4 2 4" xfId="5410"/>
    <cellStyle name="Output 4 3 4 3" xfId="5411"/>
    <cellStyle name="Output 4 3 4 3 2" xfId="5412"/>
    <cellStyle name="Output 4 3 4 3 2 2" xfId="5413"/>
    <cellStyle name="Output 4 3 4 3 3" xfId="5414"/>
    <cellStyle name="Output 4 3 4 3 4" xfId="5415"/>
    <cellStyle name="Output 4 3 4 4" xfId="5416"/>
    <cellStyle name="Output 4 3 4 4 2" xfId="5417"/>
    <cellStyle name="Output 4 3 4 4 2 2" xfId="5418"/>
    <cellStyle name="Output 4 3 4 4 3" xfId="5419"/>
    <cellStyle name="Output 4 3 4 5" xfId="5420"/>
    <cellStyle name="Output 4 3 4 5 2" xfId="5421"/>
    <cellStyle name="Output 4 3 4 6" xfId="5422"/>
    <cellStyle name="Output 4 3 5" xfId="5423"/>
    <cellStyle name="Output 4 3 5 2" xfId="5424"/>
    <cellStyle name="Output 4 3 5 2 2" xfId="5425"/>
    <cellStyle name="Output 4 3 5 2 2 2" xfId="5426"/>
    <cellStyle name="Output 4 3 5 2 3" xfId="5427"/>
    <cellStyle name="Output 4 3 5 3" xfId="5428"/>
    <cellStyle name="Output 4 3 5 3 2" xfId="5429"/>
    <cellStyle name="Output 4 3 5 4" xfId="5430"/>
    <cellStyle name="Output 4 3 6" xfId="5431"/>
    <cellStyle name="Output 4 3 6 2" xfId="5432"/>
    <cellStyle name="Output 4 3 6 2 2" xfId="5433"/>
    <cellStyle name="Output 4 3 6 3" xfId="5434"/>
    <cellStyle name="Output 4 3 6 4" xfId="5435"/>
    <cellStyle name="Output 4 3 7" xfId="5436"/>
    <cellStyle name="Output 4 3 7 2" xfId="5437"/>
    <cellStyle name="Output 4 3 7 2 2" xfId="5438"/>
    <cellStyle name="Output 4 3 7 3" xfId="5439"/>
    <cellStyle name="Output 4 3 8" xfId="5440"/>
    <cellStyle name="Output 4 3 8 2" xfId="5441"/>
    <cellStyle name="Output 4 3 9" xfId="5442"/>
    <cellStyle name="Output 4 4" xfId="5443"/>
    <cellStyle name="Output 4 4 2" xfId="5444"/>
    <cellStyle name="Output 4 4 2 2" xfId="5445"/>
    <cellStyle name="Output 4 4 2 2 2" xfId="5446"/>
    <cellStyle name="Output 4 4 2 2 2 2" xfId="5447"/>
    <cellStyle name="Output 4 4 2 2 3" xfId="5448"/>
    <cellStyle name="Output 4 4 2 3" xfId="5449"/>
    <cellStyle name="Output 4 4 2 3 2" xfId="5450"/>
    <cellStyle name="Output 4 4 2 4" xfId="5451"/>
    <cellStyle name="Output 4 4 3" xfId="5452"/>
    <cellStyle name="Output 4 4 3 2" xfId="5453"/>
    <cellStyle name="Output 4 4 3 2 2" xfId="5454"/>
    <cellStyle name="Output 4 4 3 3" xfId="5455"/>
    <cellStyle name="Output 4 4 3 4" xfId="5456"/>
    <cellStyle name="Output 4 4 4" xfId="5457"/>
    <cellStyle name="Output 4 4 4 2" xfId="5458"/>
    <cellStyle name="Output 4 4 4 2 2" xfId="5459"/>
    <cellStyle name="Output 4 4 4 3" xfId="5460"/>
    <cellStyle name="Output 4 4 5" xfId="5461"/>
    <cellStyle name="Output 4 4 5 2" xfId="5462"/>
    <cellStyle name="Output 4 4 6" xfId="5463"/>
    <cellStyle name="Output 5" xfId="5464"/>
    <cellStyle name="Output 5 2" xfId="5465"/>
    <cellStyle name="Output 5 2 2" xfId="5466"/>
    <cellStyle name="Output 5 2 2 2" xfId="5467"/>
    <cellStyle name="Output 5 2 2 2 2" xfId="5468"/>
    <cellStyle name="Output 5 2 2 2 2 2" xfId="5469"/>
    <cellStyle name="Output 5 2 2 2 2 2 2" xfId="5470"/>
    <cellStyle name="Output 5 2 2 2 2 3" xfId="5471"/>
    <cellStyle name="Output 5 2 2 2 3" xfId="5472"/>
    <cellStyle name="Output 5 2 2 2 3 2" xfId="5473"/>
    <cellStyle name="Output 5 2 2 2 4" xfId="5474"/>
    <cellStyle name="Output 5 2 2 3" xfId="5475"/>
    <cellStyle name="Output 5 2 2 3 2" xfId="5476"/>
    <cellStyle name="Output 5 2 2 3 2 2" xfId="5477"/>
    <cellStyle name="Output 5 2 2 3 3" xfId="5478"/>
    <cellStyle name="Output 5 2 2 3 4" xfId="5479"/>
    <cellStyle name="Output 5 2 2 4" xfId="5480"/>
    <cellStyle name="Output 5 2 2 4 2" xfId="5481"/>
    <cellStyle name="Output 5 2 2 4 2 2" xfId="5482"/>
    <cellStyle name="Output 5 2 2 4 3" xfId="5483"/>
    <cellStyle name="Output 5 2 2 5" xfId="5484"/>
    <cellStyle name="Output 5 2 2 5 2" xfId="5485"/>
    <cellStyle name="Output 5 2 2 6" xfId="5486"/>
    <cellStyle name="Output 5 2 3" xfId="5487"/>
    <cellStyle name="Output 5 2 3 2" xfId="5488"/>
    <cellStyle name="Output 5 2 3 2 2" xfId="5489"/>
    <cellStyle name="Output 5 2 3 2 2 2" xfId="5490"/>
    <cellStyle name="Output 5 2 3 2 2 2 2" xfId="5491"/>
    <cellStyle name="Output 5 2 3 2 2 3" xfId="5492"/>
    <cellStyle name="Output 5 2 3 2 3" xfId="5493"/>
    <cellStyle name="Output 5 2 3 2 3 2" xfId="5494"/>
    <cellStyle name="Output 5 2 3 2 4" xfId="5495"/>
    <cellStyle name="Output 5 2 3 3" xfId="5496"/>
    <cellStyle name="Output 5 2 3 3 2" xfId="5497"/>
    <cellStyle name="Output 5 2 3 3 2 2" xfId="5498"/>
    <cellStyle name="Output 5 2 3 3 3" xfId="5499"/>
    <cellStyle name="Output 5 2 3 3 4" xfId="5500"/>
    <cellStyle name="Output 5 2 3 4" xfId="5501"/>
    <cellStyle name="Output 5 2 3 4 2" xfId="5502"/>
    <cellStyle name="Output 5 2 3 4 2 2" xfId="5503"/>
    <cellStyle name="Output 5 2 3 4 3" xfId="5504"/>
    <cellStyle name="Output 5 2 3 5" xfId="5505"/>
    <cellStyle name="Output 5 2 3 5 2" xfId="5506"/>
    <cellStyle name="Output 5 2 3 6" xfId="5507"/>
    <cellStyle name="Output 5 2 4" xfId="5508"/>
    <cellStyle name="Output 5 2 4 2" xfId="5509"/>
    <cellStyle name="Output 5 3" xfId="5510"/>
    <cellStyle name="Output 5 3 2" xfId="5511"/>
    <cellStyle name="Output 5 3 2 2" xfId="5512"/>
    <cellStyle name="Output 5 3 2 2 2" xfId="5513"/>
    <cellStyle name="Output 5 3 2 2 2 2" xfId="5514"/>
    <cellStyle name="Output 5 3 2 2 2 2 2" xfId="5515"/>
    <cellStyle name="Output 5 3 2 2 2 3" xfId="5516"/>
    <cellStyle name="Output 5 3 2 2 3" xfId="5517"/>
    <cellStyle name="Output 5 3 2 2 3 2" xfId="5518"/>
    <cellStyle name="Output 5 3 2 2 4" xfId="5519"/>
    <cellStyle name="Output 5 3 2 3" xfId="5520"/>
    <cellStyle name="Output 5 3 2 3 2" xfId="5521"/>
    <cellStyle name="Output 5 3 2 3 2 2" xfId="5522"/>
    <cellStyle name="Output 5 3 2 3 3" xfId="5523"/>
    <cellStyle name="Output 5 3 2 3 4" xfId="5524"/>
    <cellStyle name="Output 5 3 2 4" xfId="5525"/>
    <cellStyle name="Output 5 3 2 4 2" xfId="5526"/>
    <cellStyle name="Output 5 3 2 4 2 2" xfId="5527"/>
    <cellStyle name="Output 5 3 2 4 3" xfId="5528"/>
    <cellStyle name="Output 5 3 2 5" xfId="5529"/>
    <cellStyle name="Output 5 3 2 5 2" xfId="5530"/>
    <cellStyle name="Output 5 3 2 6" xfId="5531"/>
    <cellStyle name="Output 5 3 3" xfId="5532"/>
    <cellStyle name="Output 5 3 3 2" xfId="5533"/>
    <cellStyle name="Output 5 3 3 2 2" xfId="5534"/>
    <cellStyle name="Output 5 3 3 3" xfId="5535"/>
    <cellStyle name="Output 5 3 4" xfId="5536"/>
    <cellStyle name="Output 5 3 4 2" xfId="5537"/>
    <cellStyle name="Output 5 3 4 2 2" xfId="5538"/>
    <cellStyle name="Output 5 3 4 2 2 2" xfId="5539"/>
    <cellStyle name="Output 5 3 4 2 2 2 2" xfId="5540"/>
    <cellStyle name="Output 5 3 4 2 2 3" xfId="5541"/>
    <cellStyle name="Output 5 3 4 2 3" xfId="5542"/>
    <cellStyle name="Output 5 3 4 2 3 2" xfId="5543"/>
    <cellStyle name="Output 5 3 4 2 4" xfId="5544"/>
    <cellStyle name="Output 5 3 4 3" xfId="5545"/>
    <cellStyle name="Output 5 3 4 3 2" xfId="5546"/>
    <cellStyle name="Output 5 3 4 3 2 2" xfId="5547"/>
    <cellStyle name="Output 5 3 4 3 3" xfId="5548"/>
    <cellStyle name="Output 5 3 4 3 4" xfId="5549"/>
    <cellStyle name="Output 5 3 4 4" xfId="5550"/>
    <cellStyle name="Output 5 3 4 4 2" xfId="5551"/>
    <cellStyle name="Output 5 3 4 4 2 2" xfId="5552"/>
    <cellStyle name="Output 5 3 4 4 3" xfId="5553"/>
    <cellStyle name="Output 5 3 4 5" xfId="5554"/>
    <cellStyle name="Output 5 3 4 5 2" xfId="5555"/>
    <cellStyle name="Output 5 3 4 6" xfId="5556"/>
    <cellStyle name="Output 5 3 5" xfId="5557"/>
    <cellStyle name="Output 5 3 5 2" xfId="5558"/>
    <cellStyle name="Output 5 3 5 2 2" xfId="5559"/>
    <cellStyle name="Output 5 3 5 2 2 2" xfId="5560"/>
    <cellStyle name="Output 5 3 5 2 3" xfId="5561"/>
    <cellStyle name="Output 5 3 5 3" xfId="5562"/>
    <cellStyle name="Output 5 3 5 3 2" xfId="5563"/>
    <cellStyle name="Output 5 3 5 4" xfId="5564"/>
    <cellStyle name="Output 5 3 6" xfId="5565"/>
    <cellStyle name="Output 5 3 6 2" xfId="5566"/>
    <cellStyle name="Output 5 3 6 2 2" xfId="5567"/>
    <cellStyle name="Output 5 3 6 3" xfId="5568"/>
    <cellStyle name="Output 5 3 6 4" xfId="5569"/>
    <cellStyle name="Output 5 3 7" xfId="5570"/>
    <cellStyle name="Output 5 3 7 2" xfId="5571"/>
    <cellStyle name="Output 5 3 7 2 2" xfId="5572"/>
    <cellStyle name="Output 5 3 7 3" xfId="5573"/>
    <cellStyle name="Output 5 3 8" xfId="5574"/>
    <cellStyle name="Output 5 3 8 2" xfId="5575"/>
    <cellStyle name="Output 5 3 9" xfId="5576"/>
    <cellStyle name="Output 5 4" xfId="5577"/>
    <cellStyle name="Output 5 4 2" xfId="5578"/>
    <cellStyle name="Output 5 4 2 2" xfId="5579"/>
    <cellStyle name="Output 5 4 2 2 2" xfId="5580"/>
    <cellStyle name="Output 5 4 2 2 2 2" xfId="5581"/>
    <cellStyle name="Output 5 4 2 2 3" xfId="5582"/>
    <cellStyle name="Output 5 4 2 3" xfId="5583"/>
    <cellStyle name="Output 5 4 2 3 2" xfId="5584"/>
    <cellStyle name="Output 5 4 2 4" xfId="5585"/>
    <cellStyle name="Output 5 4 3" xfId="5586"/>
    <cellStyle name="Output 5 4 3 2" xfId="5587"/>
    <cellStyle name="Output 5 4 3 2 2" xfId="5588"/>
    <cellStyle name="Output 5 4 3 3" xfId="5589"/>
    <cellStyle name="Output 5 4 3 4" xfId="5590"/>
    <cellStyle name="Output 5 4 4" xfId="5591"/>
    <cellStyle name="Output 5 4 4 2" xfId="5592"/>
    <cellStyle name="Output 5 4 4 2 2" xfId="5593"/>
    <cellStyle name="Output 5 4 4 3" xfId="5594"/>
    <cellStyle name="Output 5 4 5" xfId="5595"/>
    <cellStyle name="Output 5 4 5 2" xfId="5596"/>
    <cellStyle name="Output 5 4 6" xfId="5597"/>
    <cellStyle name="Output 5 5" xfId="5598"/>
    <cellStyle name="Output 5 5 2" xfId="5599"/>
    <cellStyle name="Output 6" xfId="5600"/>
    <cellStyle name="Output 6 2" xfId="5601"/>
    <cellStyle name="Output 6 2 2" xfId="5602"/>
    <cellStyle name="Output 6 2 2 2" xfId="5603"/>
    <cellStyle name="Output 6 2 2 2 2" xfId="5604"/>
    <cellStyle name="Output 6 2 2 2 2 2" xfId="5605"/>
    <cellStyle name="Output 6 2 2 2 2 2 2" xfId="5606"/>
    <cellStyle name="Output 6 2 2 2 2 3" xfId="5607"/>
    <cellStyle name="Output 6 2 2 2 3" xfId="5608"/>
    <cellStyle name="Output 6 2 2 2 3 2" xfId="5609"/>
    <cellStyle name="Output 6 2 2 2 4" xfId="5610"/>
    <cellStyle name="Output 6 2 2 3" xfId="5611"/>
    <cellStyle name="Output 6 2 2 3 2" xfId="5612"/>
    <cellStyle name="Output 6 2 2 3 2 2" xfId="5613"/>
    <cellStyle name="Output 6 2 2 3 3" xfId="5614"/>
    <cellStyle name="Output 6 2 2 3 4" xfId="5615"/>
    <cellStyle name="Output 6 2 2 4" xfId="5616"/>
    <cellStyle name="Output 6 2 2 4 2" xfId="5617"/>
    <cellStyle name="Output 6 2 2 4 2 2" xfId="5618"/>
    <cellStyle name="Output 6 2 2 4 3" xfId="5619"/>
    <cellStyle name="Output 6 2 2 5" xfId="5620"/>
    <cellStyle name="Output 6 2 2 5 2" xfId="5621"/>
    <cellStyle name="Output 6 2 2 6" xfId="5622"/>
    <cellStyle name="Output 6 2 3" xfId="5623"/>
    <cellStyle name="Output 6 2 3 2" xfId="5624"/>
    <cellStyle name="Output 6 2 3 2 2" xfId="5625"/>
    <cellStyle name="Output 6 2 3 3" xfId="5626"/>
    <cellStyle name="Output 6 2 4" xfId="5627"/>
    <cellStyle name="Output 6 2 4 2" xfId="5628"/>
    <cellStyle name="Output 6 2 4 2 2" xfId="5629"/>
    <cellStyle name="Output 6 2 4 2 2 2" xfId="5630"/>
    <cellStyle name="Output 6 2 4 2 2 2 2" xfId="5631"/>
    <cellStyle name="Output 6 2 4 2 2 3" xfId="5632"/>
    <cellStyle name="Output 6 2 4 2 3" xfId="5633"/>
    <cellStyle name="Output 6 2 4 2 3 2" xfId="5634"/>
    <cellStyle name="Output 6 2 4 2 4" xfId="5635"/>
    <cellStyle name="Output 6 2 4 3" xfId="5636"/>
    <cellStyle name="Output 6 2 4 3 2" xfId="5637"/>
    <cellStyle name="Output 6 2 4 3 2 2" xfId="5638"/>
    <cellStyle name="Output 6 2 4 3 3" xfId="5639"/>
    <cellStyle name="Output 6 2 4 3 4" xfId="5640"/>
    <cellStyle name="Output 6 2 4 4" xfId="5641"/>
    <cellStyle name="Output 6 2 4 4 2" xfId="5642"/>
    <cellStyle name="Output 6 2 4 4 2 2" xfId="5643"/>
    <cellStyle name="Output 6 2 4 4 3" xfId="5644"/>
    <cellStyle name="Output 6 2 4 5" xfId="5645"/>
    <cellStyle name="Output 6 2 4 5 2" xfId="5646"/>
    <cellStyle name="Output 6 2 4 6" xfId="5647"/>
    <cellStyle name="Output 6 2 5" xfId="5648"/>
    <cellStyle name="Output 6 2 5 2" xfId="5649"/>
    <cellStyle name="Output 6 2 5 2 2" xfId="5650"/>
    <cellStyle name="Output 6 2 5 2 2 2" xfId="5651"/>
    <cellStyle name="Output 6 2 5 2 3" xfId="5652"/>
    <cellStyle name="Output 6 2 5 3" xfId="5653"/>
    <cellStyle name="Output 6 2 5 3 2" xfId="5654"/>
    <cellStyle name="Output 6 2 5 4" xfId="5655"/>
    <cellStyle name="Output 6 2 6" xfId="5656"/>
    <cellStyle name="Output 6 2 6 2" xfId="5657"/>
    <cellStyle name="Output 6 2 6 2 2" xfId="5658"/>
    <cellStyle name="Output 6 2 6 3" xfId="5659"/>
    <cellStyle name="Output 6 2 6 4" xfId="5660"/>
    <cellStyle name="Output 6 2 7" xfId="5661"/>
    <cellStyle name="Output 6 2 7 2" xfId="5662"/>
    <cellStyle name="Output 6 2 7 2 2" xfId="5663"/>
    <cellStyle name="Output 6 2 7 3" xfId="5664"/>
    <cellStyle name="Output 6 2 8" xfId="5665"/>
    <cellStyle name="Output 6 2 8 2" xfId="5666"/>
    <cellStyle name="Output 6 2 9" xfId="5667"/>
    <cellStyle name="Output 6 3" xfId="5668"/>
    <cellStyle name="Output 6 3 2" xfId="5669"/>
    <cellStyle name="Output 6 3 2 2" xfId="5670"/>
    <cellStyle name="Output 6 3 2 2 2" xfId="5671"/>
    <cellStyle name="Output 6 3 2 2 2 2" xfId="5672"/>
    <cellStyle name="Output 6 3 2 2 3" xfId="5673"/>
    <cellStyle name="Output 6 3 2 3" xfId="5674"/>
    <cellStyle name="Output 6 3 2 3 2" xfId="5675"/>
    <cellStyle name="Output 6 3 2 4" xfId="5676"/>
    <cellStyle name="Output 6 3 3" xfId="5677"/>
    <cellStyle name="Output 6 3 3 2" xfId="5678"/>
    <cellStyle name="Output 6 3 3 2 2" xfId="5679"/>
    <cellStyle name="Output 6 3 3 3" xfId="5680"/>
    <cellStyle name="Output 6 3 3 4" xfId="5681"/>
    <cellStyle name="Output 6 3 4" xfId="5682"/>
    <cellStyle name="Output 6 3 4 2" xfId="5683"/>
    <cellStyle name="Output 6 3 4 2 2" xfId="5684"/>
    <cellStyle name="Output 6 3 4 3" xfId="5685"/>
    <cellStyle name="Output 6 3 5" xfId="5686"/>
    <cellStyle name="Output 6 3 5 2" xfId="5687"/>
    <cellStyle name="Output 6 3 6" xfId="5688"/>
    <cellStyle name="Output 6 4" xfId="5689"/>
    <cellStyle name="Output 6 4 2" xfId="5690"/>
    <cellStyle name="Output 7" xfId="5691"/>
    <cellStyle name="Output 7 2" xfId="5692"/>
    <cellStyle name="Output 7 2 2" xfId="5693"/>
    <cellStyle name="Output 7 2 2 2" xfId="5694"/>
    <cellStyle name="Output 7 2 2 2 2" xfId="5695"/>
    <cellStyle name="Output 7 2 2 2 2 2" xfId="5696"/>
    <cellStyle name="Output 7 2 2 2 3" xfId="5697"/>
    <cellStyle name="Output 7 2 2 3" xfId="5698"/>
    <cellStyle name="Output 7 2 2 3 2" xfId="5699"/>
    <cellStyle name="Output 7 2 2 4" xfId="5700"/>
    <cellStyle name="Output 7 2 3" xfId="5701"/>
    <cellStyle name="Output 7 2 3 2" xfId="5702"/>
    <cellStyle name="Output 7 2 3 2 2" xfId="5703"/>
    <cellStyle name="Output 7 2 3 3" xfId="5704"/>
    <cellStyle name="Output 7 2 3 4" xfId="5705"/>
    <cellStyle name="Output 7 2 4" xfId="5706"/>
    <cellStyle name="Output 7 2 4 2" xfId="5707"/>
    <cellStyle name="Output 7 2 4 2 2" xfId="5708"/>
    <cellStyle name="Output 7 2 4 3" xfId="5709"/>
    <cellStyle name="Output 7 2 5" xfId="5710"/>
    <cellStyle name="Output 7 2 5 2" xfId="5711"/>
    <cellStyle name="Output 7 2 6" xfId="5712"/>
    <cellStyle name="Output 7 3" xfId="5713"/>
    <cellStyle name="Output 7 3 2" xfId="5714"/>
    <cellStyle name="Output 7 3 2 2" xfId="5715"/>
    <cellStyle name="Output 7 3 3" xfId="5716"/>
    <cellStyle name="Output 7 4" xfId="5717"/>
    <cellStyle name="Output 7 4 2" xfId="5718"/>
    <cellStyle name="Output 7 4 2 2" xfId="5719"/>
    <cellStyle name="Output 7 4 2 2 2" xfId="5720"/>
    <cellStyle name="Output 7 4 2 2 2 2" xfId="5721"/>
    <cellStyle name="Output 7 4 2 2 3" xfId="5722"/>
    <cellStyle name="Output 7 4 2 3" xfId="5723"/>
    <cellStyle name="Output 7 4 2 3 2" xfId="5724"/>
    <cellStyle name="Output 7 4 2 4" xfId="5725"/>
    <cellStyle name="Output 7 4 3" xfId="5726"/>
    <cellStyle name="Output 7 4 3 2" xfId="5727"/>
    <cellStyle name="Output 7 4 3 2 2" xfId="5728"/>
    <cellStyle name="Output 7 4 3 3" xfId="5729"/>
    <cellStyle name="Output 7 4 3 4" xfId="5730"/>
    <cellStyle name="Output 7 4 4" xfId="5731"/>
    <cellStyle name="Output 7 4 4 2" xfId="5732"/>
    <cellStyle name="Output 7 4 4 2 2" xfId="5733"/>
    <cellStyle name="Output 7 4 4 3" xfId="5734"/>
    <cellStyle name="Output 7 4 5" xfId="5735"/>
    <cellStyle name="Output 7 4 5 2" xfId="5736"/>
    <cellStyle name="Output 7 4 6" xfId="5737"/>
    <cellStyle name="Output 7 5" xfId="5738"/>
    <cellStyle name="Output 7 5 2" xfId="5739"/>
    <cellStyle name="Output 7 5 2 2" xfId="5740"/>
    <cellStyle name="Output 7 5 2 2 2" xfId="5741"/>
    <cellStyle name="Output 7 5 2 3" xfId="5742"/>
    <cellStyle name="Output 7 5 3" xfId="5743"/>
    <cellStyle name="Output 7 5 3 2" xfId="5744"/>
    <cellStyle name="Output 7 5 4" xfId="5745"/>
    <cellStyle name="Output 7 6" xfId="5746"/>
    <cellStyle name="Output 7 6 2" xfId="5747"/>
    <cellStyle name="Output 7 6 2 2" xfId="5748"/>
    <cellStyle name="Output 7 6 3" xfId="5749"/>
    <cellStyle name="Output 7 6 4" xfId="5750"/>
    <cellStyle name="Output 7 7" xfId="5751"/>
    <cellStyle name="Output 7 7 2" xfId="5752"/>
    <cellStyle name="Output 7 7 2 2" xfId="5753"/>
    <cellStyle name="Output 7 7 3" xfId="5754"/>
    <cellStyle name="Output 7 8" xfId="5755"/>
    <cellStyle name="Output 7 8 2" xfId="5756"/>
    <cellStyle name="Output 7 9" xfId="5757"/>
    <cellStyle name="Page 1" xfId="30"/>
    <cellStyle name="Page 2" xfId="31"/>
    <cellStyle name="Page 3" xfId="32"/>
    <cellStyle name="Page 4" xfId="33"/>
    <cellStyle name="Page 5" xfId="34"/>
    <cellStyle name="Page 6" xfId="35"/>
    <cellStyle name="Page 7" xfId="36"/>
    <cellStyle name="Page1" xfId="37"/>
    <cellStyle name="Page2" xfId="38"/>
    <cellStyle name="Page3" xfId="39"/>
    <cellStyle name="Page4" xfId="40"/>
    <cellStyle name="Page5" xfId="41"/>
    <cellStyle name="Page6" xfId="42"/>
    <cellStyle name="Percent 2" xfId="43"/>
    <cellStyle name="Percent 3" xfId="44"/>
    <cellStyle name="Percent 3 2" xfId="5758"/>
    <cellStyle name="Percent 4" xfId="45"/>
    <cellStyle name="Percent 4 2" xfId="5759"/>
    <cellStyle name="Percent 5" xfId="5760"/>
    <cellStyle name="Percent 6" xfId="5761"/>
    <cellStyle name="Percentage" xfId="5762"/>
    <cellStyle name="RangeName" xfId="5763"/>
    <cellStyle name="RateConven" xfId="5764"/>
    <cellStyle name="red" xfId="5765"/>
    <cellStyle name="ResultDateCenter" xfId="46"/>
    <cellStyle name="Style 1" xfId="47"/>
    <cellStyle name="Style 1 2" xfId="5766"/>
    <cellStyle name="Style 1 3" xfId="5767"/>
    <cellStyle name="Style 1 3 2" xfId="5768"/>
    <cellStyle name="Style 1 3 2 2" xfId="5769"/>
    <cellStyle name="Style 1 3 2 2 2" xfId="5770"/>
    <cellStyle name="Style 1 3 2 2 2 2" xfId="5771"/>
    <cellStyle name="Style 1 3 2 2 2 2 2" xfId="5772"/>
    <cellStyle name="Style 1 3 2 2 2 2 2 2" xfId="5773"/>
    <cellStyle name="Style 1 3 2 2 2 2 2 2 2" xfId="5774"/>
    <cellStyle name="Style 1 3 2 2 2 2 2 3" xfId="5775"/>
    <cellStyle name="Style 1 3 2 2 2 2 3" xfId="5776"/>
    <cellStyle name="Style 1 3 2 2 2 2 3 2" xfId="5777"/>
    <cellStyle name="Style 1 3 2 2 2 2 4" xfId="5778"/>
    <cellStyle name="Style 1 3 2 2 2 3" xfId="5779"/>
    <cellStyle name="Style 1 3 2 2 2 3 2" xfId="5780"/>
    <cellStyle name="Style 1 3 2 2 2 3 2 2" xfId="5781"/>
    <cellStyle name="Style 1 3 2 2 2 3 3" xfId="5782"/>
    <cellStyle name="Style 1 3 2 2 2 3 4" xfId="5783"/>
    <cellStyle name="Style 1 3 2 2 2 4" xfId="5784"/>
    <cellStyle name="Style 1 3 2 2 2 4 2" xfId="5785"/>
    <cellStyle name="Style 1 3 2 2 2 4 2 2" xfId="5786"/>
    <cellStyle name="Style 1 3 2 2 2 4 3" xfId="5787"/>
    <cellStyle name="Style 1 3 2 2 2 5" xfId="5788"/>
    <cellStyle name="Style 1 3 2 2 3" xfId="5789"/>
    <cellStyle name="Style 1 3 2 2 3 2" xfId="5790"/>
    <cellStyle name="Style 1 3 2 2 3 2 2" xfId="5791"/>
    <cellStyle name="Style 1 3 2 2 3 2 2 2" xfId="5792"/>
    <cellStyle name="Style 1 3 2 2 3 2 2 2 2" xfId="5793"/>
    <cellStyle name="Style 1 3 2 2 3 2 2 3" xfId="5794"/>
    <cellStyle name="Style 1 3 2 2 3 2 3" xfId="5795"/>
    <cellStyle name="Style 1 3 2 2 3 2 3 2" xfId="5796"/>
    <cellStyle name="Style 1 3 2 2 3 2 4" xfId="5797"/>
    <cellStyle name="Style 1 3 2 2 3 3" xfId="5798"/>
    <cellStyle name="Style 1 3 2 2 3 3 2" xfId="5799"/>
    <cellStyle name="Style 1 3 2 2 3 3 2 2" xfId="5800"/>
    <cellStyle name="Style 1 3 2 2 3 3 3" xfId="5801"/>
    <cellStyle name="Style 1 3 2 2 3 3 4" xfId="5802"/>
    <cellStyle name="Style 1 3 2 2 3 4" xfId="5803"/>
    <cellStyle name="Style 1 3 2 2 3 4 2" xfId="5804"/>
    <cellStyle name="Style 1 3 2 2 3 4 2 2" xfId="5805"/>
    <cellStyle name="Style 1 3 2 2 3 4 3" xfId="5806"/>
    <cellStyle name="Style 1 3 2 2 3 5" xfId="5807"/>
    <cellStyle name="Style 1 3 2 2 3 5 2" xfId="5808"/>
    <cellStyle name="Style 1 3 2 2 3 6" xfId="5809"/>
    <cellStyle name="Style 1 3 2 2 4" xfId="5810"/>
    <cellStyle name="Style 1 3 2 2 4 2" xfId="5811"/>
    <cellStyle name="Style 1 3 2 2 4 2 2" xfId="5812"/>
    <cellStyle name="Style 1 3 2 2 4 2 2 2" xfId="5813"/>
    <cellStyle name="Style 1 3 2 2 4 2 2 2 2" xfId="5814"/>
    <cellStyle name="Style 1 3 2 2 4 2 2 3" xfId="5815"/>
    <cellStyle name="Style 1 3 2 2 4 2 3" xfId="5816"/>
    <cellStyle name="Style 1 3 2 2 4 2 3 2" xfId="5817"/>
    <cellStyle name="Style 1 3 2 2 4 2 4" xfId="5818"/>
    <cellStyle name="Style 1 3 2 2 4 3" xfId="5819"/>
    <cellStyle name="Style 1 3 2 2 4 3 2" xfId="5820"/>
    <cellStyle name="Style 1 3 2 2 4 3 2 2" xfId="5821"/>
    <cellStyle name="Style 1 3 2 2 4 3 3" xfId="5822"/>
    <cellStyle name="Style 1 3 2 2 4 3 4" xfId="5823"/>
    <cellStyle name="Style 1 3 2 2 4 4" xfId="5824"/>
    <cellStyle name="Style 1 3 2 2 4 4 2" xfId="5825"/>
    <cellStyle name="Style 1 3 2 2 4 4 2 2" xfId="5826"/>
    <cellStyle name="Style 1 3 2 2 4 4 3" xfId="5827"/>
    <cellStyle name="Style 1 3 2 2 4 5" xfId="5828"/>
    <cellStyle name="Style 1 3 2 2 4 5 2" xfId="5829"/>
    <cellStyle name="Style 1 3 2 2 4 6" xfId="5830"/>
    <cellStyle name="Style 1 3 2 2 5" xfId="5831"/>
    <cellStyle name="Style 1 3 2 2 5 2" xfId="5832"/>
    <cellStyle name="Style 1 3 2 3" xfId="5833"/>
    <cellStyle name="Style 1 3 2 3 2" xfId="5834"/>
    <cellStyle name="Style 1 3 2 3 2 2" xfId="5835"/>
    <cellStyle name="Style 1 3 2 3 2 2 2" xfId="5836"/>
    <cellStyle name="Style 1 3 2 3 2 2 2 2" xfId="5837"/>
    <cellStyle name="Style 1 3 2 3 2 2 3" xfId="5838"/>
    <cellStyle name="Style 1 3 2 3 2 3" xfId="5839"/>
    <cellStyle name="Style 1 3 2 3 2 3 2" xfId="5840"/>
    <cellStyle name="Style 1 3 2 3 2 4" xfId="5841"/>
    <cellStyle name="Style 1 3 2 3 3" xfId="5842"/>
    <cellStyle name="Style 1 3 2 3 3 2" xfId="5843"/>
    <cellStyle name="Style 1 3 2 3 3 2 2" xfId="5844"/>
    <cellStyle name="Style 1 3 2 3 3 3" xfId="5845"/>
    <cellStyle name="Style 1 3 2 3 3 4" xfId="5846"/>
    <cellStyle name="Style 1 3 2 3 4" xfId="5847"/>
    <cellStyle name="Style 1 3 2 3 4 2" xfId="5848"/>
    <cellStyle name="Style 1 3 2 3 4 2 2" xfId="5849"/>
    <cellStyle name="Style 1 3 2 3 4 3" xfId="5850"/>
    <cellStyle name="Style 1 3 2 3 5" xfId="5851"/>
    <cellStyle name="Style 1 3 2 4" xfId="5852"/>
    <cellStyle name="Style 1 3 2 4 2" xfId="5853"/>
    <cellStyle name="Style 1 3 2 4 2 2" xfId="5854"/>
    <cellStyle name="Style 1 3 2 4 2 2 2" xfId="5855"/>
    <cellStyle name="Style 1 3 2 4 2 2 2 2" xfId="5856"/>
    <cellStyle name="Style 1 3 2 4 2 2 3" xfId="5857"/>
    <cellStyle name="Style 1 3 2 4 2 3" xfId="5858"/>
    <cellStyle name="Style 1 3 2 4 2 3 2" xfId="5859"/>
    <cellStyle name="Style 1 3 2 4 2 4" xfId="5860"/>
    <cellStyle name="Style 1 3 2 4 3" xfId="5861"/>
    <cellStyle name="Style 1 3 2 4 3 2" xfId="5862"/>
    <cellStyle name="Style 1 3 2 4 3 2 2" xfId="5863"/>
    <cellStyle name="Style 1 3 2 4 3 3" xfId="5864"/>
    <cellStyle name="Style 1 3 2 4 3 4" xfId="5865"/>
    <cellStyle name="Style 1 3 2 4 4" xfId="5866"/>
    <cellStyle name="Style 1 3 2 4 4 2" xfId="5867"/>
    <cellStyle name="Style 1 3 2 4 4 2 2" xfId="5868"/>
    <cellStyle name="Style 1 3 2 4 4 3" xfId="5869"/>
    <cellStyle name="Style 1 3 2 4 5" xfId="5870"/>
    <cellStyle name="Style 1 3 2 4 5 2" xfId="5871"/>
    <cellStyle name="Style 1 3 2 4 6" xfId="5872"/>
    <cellStyle name="Style 1 3 2 5" xfId="5873"/>
    <cellStyle name="Style 1 3 2 5 2" xfId="5874"/>
    <cellStyle name="Style 1 3 2 5 2 2" xfId="5875"/>
    <cellStyle name="Style 1 3 2 5 2 2 2" xfId="5876"/>
    <cellStyle name="Style 1 3 2 5 2 2 2 2" xfId="5877"/>
    <cellStyle name="Style 1 3 2 5 2 2 3" xfId="5878"/>
    <cellStyle name="Style 1 3 2 5 2 3" xfId="5879"/>
    <cellStyle name="Style 1 3 2 5 2 3 2" xfId="5880"/>
    <cellStyle name="Style 1 3 2 5 2 4" xfId="5881"/>
    <cellStyle name="Style 1 3 2 5 3" xfId="5882"/>
    <cellStyle name="Style 1 3 2 5 3 2" xfId="5883"/>
    <cellStyle name="Style 1 3 2 5 3 2 2" xfId="5884"/>
    <cellStyle name="Style 1 3 2 5 3 3" xfId="5885"/>
    <cellStyle name="Style 1 3 2 5 3 4" xfId="5886"/>
    <cellStyle name="Style 1 3 2 5 4" xfId="5887"/>
    <cellStyle name="Style 1 3 2 5 4 2" xfId="5888"/>
    <cellStyle name="Style 1 3 2 5 4 2 2" xfId="5889"/>
    <cellStyle name="Style 1 3 2 5 4 3" xfId="5890"/>
    <cellStyle name="Style 1 3 2 5 5" xfId="5891"/>
    <cellStyle name="Style 1 3 2 5 5 2" xfId="5892"/>
    <cellStyle name="Style 1 3 2 5 6" xfId="5893"/>
    <cellStyle name="Style 1 3 3" xfId="5894"/>
    <cellStyle name="Style 1 3 3 2" xfId="5895"/>
    <cellStyle name="Style 1 3 3 2 2" xfId="5896"/>
    <cellStyle name="Style 1 3 3 2 2 2" xfId="5897"/>
    <cellStyle name="Style 1 3 3 2 2 2 2" xfId="5898"/>
    <cellStyle name="Style 1 3 3 2 2 2 2 2" xfId="5899"/>
    <cellStyle name="Style 1 3 3 2 2 2 3" xfId="5900"/>
    <cellStyle name="Style 1 3 3 2 2 3" xfId="5901"/>
    <cellStyle name="Style 1 3 3 2 2 3 2" xfId="5902"/>
    <cellStyle name="Style 1 3 3 2 2 4" xfId="5903"/>
    <cellStyle name="Style 1 3 3 2 3" xfId="5904"/>
    <cellStyle name="Style 1 3 3 2 3 2" xfId="5905"/>
    <cellStyle name="Style 1 3 3 2 3 2 2" xfId="5906"/>
    <cellStyle name="Style 1 3 3 2 3 3" xfId="5907"/>
    <cellStyle name="Style 1 3 3 2 3 4" xfId="5908"/>
    <cellStyle name="Style 1 3 3 2 4" xfId="5909"/>
    <cellStyle name="Style 1 3 3 2 4 2" xfId="5910"/>
    <cellStyle name="Style 1 3 3 2 4 2 2" xfId="5911"/>
    <cellStyle name="Style 1 3 3 2 4 3" xfId="5912"/>
    <cellStyle name="Style 1 3 3 2 5" xfId="5913"/>
    <cellStyle name="Style 1 3 3 3" xfId="5914"/>
    <cellStyle name="Style 1 3 3 3 2" xfId="5915"/>
    <cellStyle name="Style 1 3 3 3 2 2" xfId="5916"/>
    <cellStyle name="Style 1 3 3 3 2 2 2" xfId="5917"/>
    <cellStyle name="Style 1 3 3 3 2 2 2 2" xfId="5918"/>
    <cellStyle name="Style 1 3 3 3 2 2 3" xfId="5919"/>
    <cellStyle name="Style 1 3 3 3 2 3" xfId="5920"/>
    <cellStyle name="Style 1 3 3 3 2 3 2" xfId="5921"/>
    <cellStyle name="Style 1 3 3 3 2 4" xfId="5922"/>
    <cellStyle name="Style 1 3 3 3 3" xfId="5923"/>
    <cellStyle name="Style 1 3 3 3 3 2" xfId="5924"/>
    <cellStyle name="Style 1 3 3 3 3 2 2" xfId="5925"/>
    <cellStyle name="Style 1 3 3 3 3 3" xfId="5926"/>
    <cellStyle name="Style 1 3 3 3 3 4" xfId="5927"/>
    <cellStyle name="Style 1 3 3 3 4" xfId="5928"/>
    <cellStyle name="Style 1 3 3 3 4 2" xfId="5929"/>
    <cellStyle name="Style 1 3 3 3 4 2 2" xfId="5930"/>
    <cellStyle name="Style 1 3 3 3 4 3" xfId="5931"/>
    <cellStyle name="Style 1 3 3 3 5" xfId="5932"/>
    <cellStyle name="Style 1 3 3 3 5 2" xfId="5933"/>
    <cellStyle name="Style 1 3 3 3 6" xfId="5934"/>
    <cellStyle name="Style 1 3 3 4" xfId="5935"/>
    <cellStyle name="Style 1 3 3 4 2" xfId="5936"/>
    <cellStyle name="Style 1 3 3 4 2 2" xfId="5937"/>
    <cellStyle name="Style 1 3 3 4 2 2 2" xfId="5938"/>
    <cellStyle name="Style 1 3 3 4 2 2 2 2" xfId="5939"/>
    <cellStyle name="Style 1 3 3 4 2 2 3" xfId="5940"/>
    <cellStyle name="Style 1 3 3 4 2 3" xfId="5941"/>
    <cellStyle name="Style 1 3 3 4 2 3 2" xfId="5942"/>
    <cellStyle name="Style 1 3 3 4 2 4" xfId="5943"/>
    <cellStyle name="Style 1 3 3 4 3" xfId="5944"/>
    <cellStyle name="Style 1 3 3 4 3 2" xfId="5945"/>
    <cellStyle name="Style 1 3 3 4 3 2 2" xfId="5946"/>
    <cellStyle name="Style 1 3 3 4 3 3" xfId="5947"/>
    <cellStyle name="Style 1 3 3 4 3 4" xfId="5948"/>
    <cellStyle name="Style 1 3 3 4 4" xfId="5949"/>
    <cellStyle name="Style 1 3 3 4 4 2" xfId="5950"/>
    <cellStyle name="Style 1 3 3 4 4 2 2" xfId="5951"/>
    <cellStyle name="Style 1 3 3 4 4 3" xfId="5952"/>
    <cellStyle name="Style 1 3 3 4 5" xfId="5953"/>
    <cellStyle name="Style 1 3 3 4 5 2" xfId="5954"/>
    <cellStyle name="Style 1 3 3 4 6" xfId="5955"/>
    <cellStyle name="Style 1 3 3 5" xfId="5956"/>
    <cellStyle name="Style 1 3 3 5 2" xfId="5957"/>
    <cellStyle name="Style 1 3 4" xfId="5958"/>
    <cellStyle name="Style 1 3 4 2" xfId="5959"/>
    <cellStyle name="Style 1 3 4 2 2" xfId="5960"/>
    <cellStyle name="Style 1 3 4 2 2 2" xfId="5961"/>
    <cellStyle name="Style 1 3 4 2 2 2 2" xfId="5962"/>
    <cellStyle name="Style 1 3 4 2 2 2 2 2" xfId="5963"/>
    <cellStyle name="Style 1 3 4 2 2 2 3" xfId="5964"/>
    <cellStyle name="Style 1 3 4 2 2 3" xfId="5965"/>
    <cellStyle name="Style 1 3 4 2 2 3 2" xfId="5966"/>
    <cellStyle name="Style 1 3 4 2 2 4" xfId="5967"/>
    <cellStyle name="Style 1 3 4 2 3" xfId="5968"/>
    <cellStyle name="Style 1 3 4 2 3 2" xfId="5969"/>
    <cellStyle name="Style 1 3 4 2 3 2 2" xfId="5970"/>
    <cellStyle name="Style 1 3 4 2 3 3" xfId="5971"/>
    <cellStyle name="Style 1 3 4 2 3 4" xfId="5972"/>
    <cellStyle name="Style 1 3 4 2 4" xfId="5973"/>
    <cellStyle name="Style 1 3 4 2 4 2" xfId="5974"/>
    <cellStyle name="Style 1 3 4 2 4 2 2" xfId="5975"/>
    <cellStyle name="Style 1 3 4 2 4 3" xfId="5976"/>
    <cellStyle name="Style 1 3 4 2 5" xfId="5977"/>
    <cellStyle name="Style 1 3 4 2 5 2" xfId="5978"/>
    <cellStyle name="Style 1 3 4 2 6" xfId="5979"/>
    <cellStyle name="Style 1 3 4 3" xfId="5980"/>
    <cellStyle name="Style 1 3 4 3 2" xfId="5981"/>
    <cellStyle name="Style 1 3 4 3 2 2" xfId="5982"/>
    <cellStyle name="Style 1 3 4 3 2 2 2" xfId="5983"/>
    <cellStyle name="Style 1 3 4 3 2 2 2 2" xfId="5984"/>
    <cellStyle name="Style 1 3 4 3 2 2 3" xfId="5985"/>
    <cellStyle name="Style 1 3 4 3 2 3" xfId="5986"/>
    <cellStyle name="Style 1 3 4 3 2 3 2" xfId="5987"/>
    <cellStyle name="Style 1 3 4 3 2 4" xfId="5988"/>
    <cellStyle name="Style 1 3 4 3 3" xfId="5989"/>
    <cellStyle name="Style 1 3 4 3 3 2" xfId="5990"/>
    <cellStyle name="Style 1 3 4 3 3 2 2" xfId="5991"/>
    <cellStyle name="Style 1 3 4 3 3 3" xfId="5992"/>
    <cellStyle name="Style 1 3 4 3 3 4" xfId="5993"/>
    <cellStyle name="Style 1 3 4 3 4" xfId="5994"/>
    <cellStyle name="Style 1 3 4 3 4 2" xfId="5995"/>
    <cellStyle name="Style 1 3 4 3 4 2 2" xfId="5996"/>
    <cellStyle name="Style 1 3 4 3 4 3" xfId="5997"/>
    <cellStyle name="Style 1 3 4 3 5" xfId="5998"/>
    <cellStyle name="Style 1 3 4 3 5 2" xfId="5999"/>
    <cellStyle name="Style 1 3 4 3 6" xfId="6000"/>
    <cellStyle name="Style 1 3 4 4" xfId="6001"/>
    <cellStyle name="Style 1 3 4 4 2" xfId="6002"/>
    <cellStyle name="Style 1 3 4 4 2 2" xfId="6003"/>
    <cellStyle name="Style 1 3 4 4 2 2 2" xfId="6004"/>
    <cellStyle name="Style 1 3 4 4 2 3" xfId="6005"/>
    <cellStyle name="Style 1 3 4 4 3" xfId="6006"/>
    <cellStyle name="Style 1 3 4 4 3 2" xfId="6007"/>
    <cellStyle name="Style 1 3 4 4 4" xfId="6008"/>
    <cellStyle name="Style 1 3 4 5" xfId="6009"/>
    <cellStyle name="Style 1 3 4 5 2" xfId="6010"/>
    <cellStyle name="Style 1 3 4 5 2 2" xfId="6011"/>
    <cellStyle name="Style 1 3 4 5 3" xfId="6012"/>
    <cellStyle name="Style 1 3 4 5 4" xfId="6013"/>
    <cellStyle name="Style 1 3 4 6" xfId="6014"/>
    <cellStyle name="Style 1 3 4 6 2" xfId="6015"/>
    <cellStyle name="Style 1 3 4 6 2 2" xfId="6016"/>
    <cellStyle name="Style 1 3 4 6 3" xfId="6017"/>
    <cellStyle name="Style 1 3 4 7" xfId="6018"/>
    <cellStyle name="Style 1 3 5" xfId="6019"/>
    <cellStyle name="Style 1 3 5 2" xfId="6020"/>
    <cellStyle name="Style 1 3 5 2 2" xfId="6021"/>
    <cellStyle name="Style 1 3 5 2 2 2" xfId="6022"/>
    <cellStyle name="Style 1 3 5 2 2 2 2" xfId="6023"/>
    <cellStyle name="Style 1 3 5 2 2 3" xfId="6024"/>
    <cellStyle name="Style 1 3 5 2 3" xfId="6025"/>
    <cellStyle name="Style 1 3 5 2 3 2" xfId="6026"/>
    <cellStyle name="Style 1 3 5 2 4" xfId="6027"/>
    <cellStyle name="Style 1 3 5 3" xfId="6028"/>
    <cellStyle name="Style 1 3 5 3 2" xfId="6029"/>
    <cellStyle name="Style 1 3 5 3 2 2" xfId="6030"/>
    <cellStyle name="Style 1 3 5 3 3" xfId="6031"/>
    <cellStyle name="Style 1 3 5 3 4" xfId="6032"/>
    <cellStyle name="Style 1 3 5 4" xfId="6033"/>
    <cellStyle name="Style 1 3 5 4 2" xfId="6034"/>
    <cellStyle name="Style 1 3 5 4 2 2" xfId="6035"/>
    <cellStyle name="Style 1 3 5 4 3" xfId="6036"/>
    <cellStyle name="Style 1 3 5 5" xfId="6037"/>
    <cellStyle name="Style 1 4" xfId="6038"/>
    <cellStyle name="Style 1 5" xfId="6039"/>
    <cellStyle name="Style 1 6" xfId="6040"/>
    <cellStyle name="Style 1_apollo_curves" xfId="6041"/>
    <cellStyle name="Style 2" xfId="6042"/>
    <cellStyle name="TableF" xfId="6043"/>
    <cellStyle name="TableF 2" xfId="6044"/>
    <cellStyle name="text" xfId="6045"/>
    <cellStyle name="text2" xfId="6046"/>
    <cellStyle name="Title 2" xfId="6047"/>
    <cellStyle name="Title 2 2" xfId="6048"/>
    <cellStyle name="Title 3" xfId="6049"/>
    <cellStyle name="Title 4" xfId="6050"/>
    <cellStyle name="Title 5" xfId="6051"/>
    <cellStyle name="Title 6" xfId="6052"/>
    <cellStyle name="title2" xfId="6053"/>
    <cellStyle name="TopGrey" xfId="6054"/>
    <cellStyle name="Total 2" xfId="6055"/>
    <cellStyle name="Total 2 2" xfId="6056"/>
    <cellStyle name="Total 2 2 2" xfId="6057"/>
    <cellStyle name="Total 2 2 2 2" xfId="6058"/>
    <cellStyle name="Total 2 2 2 2 2" xfId="6059"/>
    <cellStyle name="Total 2 2 2 2 2 2" xfId="6060"/>
    <cellStyle name="Total 2 2 2 2 2 2 2" xfId="6061"/>
    <cellStyle name="Total 2 2 2 2 2 2 2 2" xfId="6062"/>
    <cellStyle name="Total 2 2 2 2 2 2 2 2 2" xfId="6063"/>
    <cellStyle name="Total 2 2 2 2 2 2 2 3" xfId="6064"/>
    <cellStyle name="Total 2 2 2 2 2 2 3" xfId="6065"/>
    <cellStyle name="Total 2 2 2 2 2 2 3 2" xfId="6066"/>
    <cellStyle name="Total 2 2 2 2 2 2 4" xfId="6067"/>
    <cellStyle name="Total 2 2 2 2 2 3" xfId="6068"/>
    <cellStyle name="Total 2 2 2 2 2 3 2" xfId="6069"/>
    <cellStyle name="Total 2 2 2 2 2 3 2 2" xfId="6070"/>
    <cellStyle name="Total 2 2 2 2 2 3 3" xfId="6071"/>
    <cellStyle name="Total 2 2 2 2 2 3 4" xfId="6072"/>
    <cellStyle name="Total 2 2 2 2 2 4" xfId="6073"/>
    <cellStyle name="Total 2 2 2 2 2 4 2" xfId="6074"/>
    <cellStyle name="Total 2 2 2 2 2 4 2 2" xfId="6075"/>
    <cellStyle name="Total 2 2 2 2 2 4 3" xfId="6076"/>
    <cellStyle name="Total 2 2 2 2 2 5" xfId="6077"/>
    <cellStyle name="Total 2 2 2 2 2 5 2" xfId="6078"/>
    <cellStyle name="Total 2 2 2 2 2 6" xfId="6079"/>
    <cellStyle name="Total 2 2 2 2 3" xfId="6080"/>
    <cellStyle name="Total 2 2 2 2 3 2" xfId="6081"/>
    <cellStyle name="Total 2 2 2 2 3 2 2" xfId="6082"/>
    <cellStyle name="Total 2 2 2 2 3 2 2 2" xfId="6083"/>
    <cellStyle name="Total 2 2 2 2 3 2 2 2 2" xfId="6084"/>
    <cellStyle name="Total 2 2 2 2 3 2 2 3" xfId="6085"/>
    <cellStyle name="Total 2 2 2 2 3 2 3" xfId="6086"/>
    <cellStyle name="Total 2 2 2 2 3 2 3 2" xfId="6087"/>
    <cellStyle name="Total 2 2 2 2 3 2 4" xfId="6088"/>
    <cellStyle name="Total 2 2 2 2 3 3" xfId="6089"/>
    <cellStyle name="Total 2 2 2 2 3 3 2" xfId="6090"/>
    <cellStyle name="Total 2 2 2 2 3 3 2 2" xfId="6091"/>
    <cellStyle name="Total 2 2 2 2 3 3 3" xfId="6092"/>
    <cellStyle name="Total 2 2 2 2 3 3 4" xfId="6093"/>
    <cellStyle name="Total 2 2 2 2 3 4" xfId="6094"/>
    <cellStyle name="Total 2 2 2 2 3 4 2" xfId="6095"/>
    <cellStyle name="Total 2 2 2 2 3 4 2 2" xfId="6096"/>
    <cellStyle name="Total 2 2 2 2 3 4 3" xfId="6097"/>
    <cellStyle name="Total 2 2 2 2 3 5" xfId="6098"/>
    <cellStyle name="Total 2 2 2 2 3 5 2" xfId="6099"/>
    <cellStyle name="Total 2 2 2 2 3 6" xfId="6100"/>
    <cellStyle name="Total 2 2 2 2 4" xfId="6101"/>
    <cellStyle name="Total 2 2 2 2 4 2" xfId="6102"/>
    <cellStyle name="Total 2 2 2 2 4 2 2" xfId="6103"/>
    <cellStyle name="Total 2 2 2 2 4 2 2 2" xfId="6104"/>
    <cellStyle name="Total 2 2 2 2 4 2 2 2 2" xfId="6105"/>
    <cellStyle name="Total 2 2 2 2 4 2 2 3" xfId="6106"/>
    <cellStyle name="Total 2 2 2 2 4 2 3" xfId="6107"/>
    <cellStyle name="Total 2 2 2 2 4 2 3 2" xfId="6108"/>
    <cellStyle name="Total 2 2 2 2 4 2 4" xfId="6109"/>
    <cellStyle name="Total 2 2 2 2 4 3" xfId="6110"/>
    <cellStyle name="Total 2 2 2 2 4 3 2" xfId="6111"/>
    <cellStyle name="Total 2 2 2 2 4 3 2 2" xfId="6112"/>
    <cellStyle name="Total 2 2 2 2 4 3 3" xfId="6113"/>
    <cellStyle name="Total 2 2 2 2 4 3 4" xfId="6114"/>
    <cellStyle name="Total 2 2 2 2 4 4" xfId="6115"/>
    <cellStyle name="Total 2 2 2 2 4 4 2" xfId="6116"/>
    <cellStyle name="Total 2 2 2 2 4 4 2 2" xfId="6117"/>
    <cellStyle name="Total 2 2 2 2 4 4 3" xfId="6118"/>
    <cellStyle name="Total 2 2 2 2 4 5" xfId="6119"/>
    <cellStyle name="Total 2 2 2 2 4 5 2" xfId="6120"/>
    <cellStyle name="Total 2 2 2 2 4 6" xfId="6121"/>
    <cellStyle name="Total 2 2 2 2 5" xfId="6122"/>
    <cellStyle name="Total 2 2 2 2 5 2" xfId="6123"/>
    <cellStyle name="Total 2 2 2 3" xfId="6124"/>
    <cellStyle name="Total 2 2 2 3 2" xfId="6125"/>
    <cellStyle name="Total 2 2 2 3 2 2" xfId="6126"/>
    <cellStyle name="Total 2 2 2 3 2 2 2" xfId="6127"/>
    <cellStyle name="Total 2 2 2 3 2 2 2 2" xfId="6128"/>
    <cellStyle name="Total 2 2 2 3 2 2 3" xfId="6129"/>
    <cellStyle name="Total 2 2 2 3 2 3" xfId="6130"/>
    <cellStyle name="Total 2 2 2 3 2 3 2" xfId="6131"/>
    <cellStyle name="Total 2 2 2 3 2 4" xfId="6132"/>
    <cellStyle name="Total 2 2 2 3 3" xfId="6133"/>
    <cellStyle name="Total 2 2 2 3 3 2" xfId="6134"/>
    <cellStyle name="Total 2 2 2 3 3 2 2" xfId="6135"/>
    <cellStyle name="Total 2 2 2 3 3 3" xfId="6136"/>
    <cellStyle name="Total 2 2 2 3 3 4" xfId="6137"/>
    <cellStyle name="Total 2 2 2 3 4" xfId="6138"/>
    <cellStyle name="Total 2 2 2 3 4 2" xfId="6139"/>
    <cellStyle name="Total 2 2 2 3 4 2 2" xfId="6140"/>
    <cellStyle name="Total 2 2 2 3 4 3" xfId="6141"/>
    <cellStyle name="Total 2 2 2 3 5" xfId="6142"/>
    <cellStyle name="Total 2 2 2 3 5 2" xfId="6143"/>
    <cellStyle name="Total 2 2 2 3 6" xfId="6144"/>
    <cellStyle name="Total 2 2 2 4" xfId="6145"/>
    <cellStyle name="Total 2 2 2 4 2" xfId="6146"/>
    <cellStyle name="Total 2 2 2 4 2 2" xfId="6147"/>
    <cellStyle name="Total 2 2 2 4 2 2 2" xfId="6148"/>
    <cellStyle name="Total 2 2 2 4 2 2 2 2" xfId="6149"/>
    <cellStyle name="Total 2 2 2 4 2 2 3" xfId="6150"/>
    <cellStyle name="Total 2 2 2 4 2 3" xfId="6151"/>
    <cellStyle name="Total 2 2 2 4 2 3 2" xfId="6152"/>
    <cellStyle name="Total 2 2 2 4 2 4" xfId="6153"/>
    <cellStyle name="Total 2 2 2 4 3" xfId="6154"/>
    <cellStyle name="Total 2 2 2 4 3 2" xfId="6155"/>
    <cellStyle name="Total 2 2 2 4 3 2 2" xfId="6156"/>
    <cellStyle name="Total 2 2 2 4 3 3" xfId="6157"/>
    <cellStyle name="Total 2 2 2 4 3 4" xfId="6158"/>
    <cellStyle name="Total 2 2 2 4 4" xfId="6159"/>
    <cellStyle name="Total 2 2 2 4 4 2" xfId="6160"/>
    <cellStyle name="Total 2 2 2 4 4 2 2" xfId="6161"/>
    <cellStyle name="Total 2 2 2 4 4 3" xfId="6162"/>
    <cellStyle name="Total 2 2 2 4 5" xfId="6163"/>
    <cellStyle name="Total 2 2 2 4 5 2" xfId="6164"/>
    <cellStyle name="Total 2 2 2 4 6" xfId="6165"/>
    <cellStyle name="Total 2 2 2 5" xfId="6166"/>
    <cellStyle name="Total 2 2 2 5 2" xfId="6167"/>
    <cellStyle name="Total 2 2 2 5 2 2" xfId="6168"/>
    <cellStyle name="Total 2 2 2 5 2 2 2" xfId="6169"/>
    <cellStyle name="Total 2 2 2 5 2 2 2 2" xfId="6170"/>
    <cellStyle name="Total 2 2 2 5 2 2 3" xfId="6171"/>
    <cellStyle name="Total 2 2 2 5 2 3" xfId="6172"/>
    <cellStyle name="Total 2 2 2 5 2 3 2" xfId="6173"/>
    <cellStyle name="Total 2 2 2 5 2 4" xfId="6174"/>
    <cellStyle name="Total 2 2 2 5 3" xfId="6175"/>
    <cellStyle name="Total 2 2 2 5 3 2" xfId="6176"/>
    <cellStyle name="Total 2 2 2 5 3 2 2" xfId="6177"/>
    <cellStyle name="Total 2 2 2 5 3 3" xfId="6178"/>
    <cellStyle name="Total 2 2 2 5 3 4" xfId="6179"/>
    <cellStyle name="Total 2 2 2 5 4" xfId="6180"/>
    <cellStyle name="Total 2 2 2 5 4 2" xfId="6181"/>
    <cellStyle name="Total 2 2 2 5 4 2 2" xfId="6182"/>
    <cellStyle name="Total 2 2 2 5 4 3" xfId="6183"/>
    <cellStyle name="Total 2 2 2 5 5" xfId="6184"/>
    <cellStyle name="Total 2 2 2 5 5 2" xfId="6185"/>
    <cellStyle name="Total 2 2 2 5 6" xfId="6186"/>
    <cellStyle name="Total 2 2 2 6" xfId="6187"/>
    <cellStyle name="Total 2 2 2 6 2" xfId="6188"/>
    <cellStyle name="Total 2 2 3" xfId="6189"/>
    <cellStyle name="Total 2 2 3 2" xfId="6190"/>
    <cellStyle name="Total 2 2 3 2 2" xfId="6191"/>
    <cellStyle name="Total 2 2 3 2 2 2" xfId="6192"/>
    <cellStyle name="Total 2 2 3 2 2 2 2" xfId="6193"/>
    <cellStyle name="Total 2 2 3 2 2 2 2 2" xfId="6194"/>
    <cellStyle name="Total 2 2 3 2 2 2 3" xfId="6195"/>
    <cellStyle name="Total 2 2 3 2 2 3" xfId="6196"/>
    <cellStyle name="Total 2 2 3 2 2 3 2" xfId="6197"/>
    <cellStyle name="Total 2 2 3 2 2 4" xfId="6198"/>
    <cellStyle name="Total 2 2 3 2 3" xfId="6199"/>
    <cellStyle name="Total 2 2 3 2 3 2" xfId="6200"/>
    <cellStyle name="Total 2 2 3 2 3 2 2" xfId="6201"/>
    <cellStyle name="Total 2 2 3 2 3 3" xfId="6202"/>
    <cellStyle name="Total 2 2 3 2 3 4" xfId="6203"/>
    <cellStyle name="Total 2 2 3 2 4" xfId="6204"/>
    <cellStyle name="Total 2 2 3 2 4 2" xfId="6205"/>
    <cellStyle name="Total 2 2 3 2 4 2 2" xfId="6206"/>
    <cellStyle name="Total 2 2 3 2 4 3" xfId="6207"/>
    <cellStyle name="Total 2 2 3 2 5" xfId="6208"/>
    <cellStyle name="Total 2 2 3 2 5 2" xfId="6209"/>
    <cellStyle name="Total 2 2 3 2 6" xfId="6210"/>
    <cellStyle name="Total 2 2 3 3" xfId="6211"/>
    <cellStyle name="Total 2 2 3 3 2" xfId="6212"/>
    <cellStyle name="Total 2 2 3 3 2 2" xfId="6213"/>
    <cellStyle name="Total 2 2 3 3 2 2 2" xfId="6214"/>
    <cellStyle name="Total 2 2 3 3 2 2 2 2" xfId="6215"/>
    <cellStyle name="Total 2 2 3 3 2 2 3" xfId="6216"/>
    <cellStyle name="Total 2 2 3 3 2 3" xfId="6217"/>
    <cellStyle name="Total 2 2 3 3 2 3 2" xfId="6218"/>
    <cellStyle name="Total 2 2 3 3 2 4" xfId="6219"/>
    <cellStyle name="Total 2 2 3 3 3" xfId="6220"/>
    <cellStyle name="Total 2 2 3 3 3 2" xfId="6221"/>
    <cellStyle name="Total 2 2 3 3 3 2 2" xfId="6222"/>
    <cellStyle name="Total 2 2 3 3 3 3" xfId="6223"/>
    <cellStyle name="Total 2 2 3 3 3 4" xfId="6224"/>
    <cellStyle name="Total 2 2 3 3 4" xfId="6225"/>
    <cellStyle name="Total 2 2 3 3 4 2" xfId="6226"/>
    <cellStyle name="Total 2 2 3 3 4 2 2" xfId="6227"/>
    <cellStyle name="Total 2 2 3 3 4 3" xfId="6228"/>
    <cellStyle name="Total 2 2 3 3 5" xfId="6229"/>
    <cellStyle name="Total 2 2 3 3 5 2" xfId="6230"/>
    <cellStyle name="Total 2 2 3 3 6" xfId="6231"/>
    <cellStyle name="Total 2 2 3 4" xfId="6232"/>
    <cellStyle name="Total 2 2 3 4 2" xfId="6233"/>
    <cellStyle name="Total 2 2 3 4 2 2" xfId="6234"/>
    <cellStyle name="Total 2 2 3 4 2 2 2" xfId="6235"/>
    <cellStyle name="Total 2 2 3 4 2 2 2 2" xfId="6236"/>
    <cellStyle name="Total 2 2 3 4 2 2 3" xfId="6237"/>
    <cellStyle name="Total 2 2 3 4 2 3" xfId="6238"/>
    <cellStyle name="Total 2 2 3 4 2 3 2" xfId="6239"/>
    <cellStyle name="Total 2 2 3 4 2 4" xfId="6240"/>
    <cellStyle name="Total 2 2 3 4 3" xfId="6241"/>
    <cellStyle name="Total 2 2 3 4 3 2" xfId="6242"/>
    <cellStyle name="Total 2 2 3 4 3 2 2" xfId="6243"/>
    <cellStyle name="Total 2 2 3 4 3 3" xfId="6244"/>
    <cellStyle name="Total 2 2 3 4 3 4" xfId="6245"/>
    <cellStyle name="Total 2 2 3 4 4" xfId="6246"/>
    <cellStyle name="Total 2 2 3 4 4 2" xfId="6247"/>
    <cellStyle name="Total 2 2 3 4 4 2 2" xfId="6248"/>
    <cellStyle name="Total 2 2 3 4 4 3" xfId="6249"/>
    <cellStyle name="Total 2 2 3 4 5" xfId="6250"/>
    <cellStyle name="Total 2 2 3 4 5 2" xfId="6251"/>
    <cellStyle name="Total 2 2 3 4 6" xfId="6252"/>
    <cellStyle name="Total 2 2 3 5" xfId="6253"/>
    <cellStyle name="Total 2 2 3 5 2" xfId="6254"/>
    <cellStyle name="Total 2 2 4" xfId="6255"/>
    <cellStyle name="Total 2 2 4 2" xfId="6256"/>
    <cellStyle name="Total 2 2 4 2 2" xfId="6257"/>
    <cellStyle name="Total 2 2 4 2 2 2" xfId="6258"/>
    <cellStyle name="Total 2 2 4 2 2 2 2" xfId="6259"/>
    <cellStyle name="Total 2 2 4 2 2 2 2 2" xfId="6260"/>
    <cellStyle name="Total 2 2 4 2 2 2 3" xfId="6261"/>
    <cellStyle name="Total 2 2 4 2 2 3" xfId="6262"/>
    <cellStyle name="Total 2 2 4 2 2 3 2" xfId="6263"/>
    <cellStyle name="Total 2 2 4 2 2 4" xfId="6264"/>
    <cellStyle name="Total 2 2 4 2 3" xfId="6265"/>
    <cellStyle name="Total 2 2 4 2 3 2" xfId="6266"/>
    <cellStyle name="Total 2 2 4 2 3 2 2" xfId="6267"/>
    <cellStyle name="Total 2 2 4 2 3 3" xfId="6268"/>
    <cellStyle name="Total 2 2 4 2 3 4" xfId="6269"/>
    <cellStyle name="Total 2 2 4 2 4" xfId="6270"/>
    <cellStyle name="Total 2 2 4 2 4 2" xfId="6271"/>
    <cellStyle name="Total 2 2 4 2 4 2 2" xfId="6272"/>
    <cellStyle name="Total 2 2 4 2 4 3" xfId="6273"/>
    <cellStyle name="Total 2 2 4 2 5" xfId="6274"/>
    <cellStyle name="Total 2 2 4 2 5 2" xfId="6275"/>
    <cellStyle name="Total 2 2 4 2 6" xfId="6276"/>
    <cellStyle name="Total 2 2 4 3" xfId="6277"/>
    <cellStyle name="Total 2 2 4 3 2" xfId="6278"/>
    <cellStyle name="Total 2 2 4 3 2 2" xfId="6279"/>
    <cellStyle name="Total 2 2 4 3 2 2 2" xfId="6280"/>
    <cellStyle name="Total 2 2 4 3 2 2 2 2" xfId="6281"/>
    <cellStyle name="Total 2 2 4 3 2 2 3" xfId="6282"/>
    <cellStyle name="Total 2 2 4 3 2 3" xfId="6283"/>
    <cellStyle name="Total 2 2 4 3 2 3 2" xfId="6284"/>
    <cellStyle name="Total 2 2 4 3 2 4" xfId="6285"/>
    <cellStyle name="Total 2 2 4 3 3" xfId="6286"/>
    <cellStyle name="Total 2 2 4 3 3 2" xfId="6287"/>
    <cellStyle name="Total 2 2 4 3 3 2 2" xfId="6288"/>
    <cellStyle name="Total 2 2 4 3 3 3" xfId="6289"/>
    <cellStyle name="Total 2 2 4 3 3 4" xfId="6290"/>
    <cellStyle name="Total 2 2 4 3 4" xfId="6291"/>
    <cellStyle name="Total 2 2 4 3 4 2" xfId="6292"/>
    <cellStyle name="Total 2 2 4 3 4 2 2" xfId="6293"/>
    <cellStyle name="Total 2 2 4 3 4 3" xfId="6294"/>
    <cellStyle name="Total 2 2 4 3 5" xfId="6295"/>
    <cellStyle name="Total 2 2 4 3 5 2" xfId="6296"/>
    <cellStyle name="Total 2 2 4 3 6" xfId="6297"/>
    <cellStyle name="Total 2 2 4 4" xfId="6298"/>
    <cellStyle name="Total 2 2 4 4 2" xfId="6299"/>
    <cellStyle name="Total 2 2 4 4 2 2" xfId="6300"/>
    <cellStyle name="Total 2 2 4 4 2 2 2" xfId="6301"/>
    <cellStyle name="Total 2 2 4 4 2 3" xfId="6302"/>
    <cellStyle name="Total 2 2 4 4 3" xfId="6303"/>
    <cellStyle name="Total 2 2 4 4 3 2" xfId="6304"/>
    <cellStyle name="Total 2 2 4 4 4" xfId="6305"/>
    <cellStyle name="Total 2 2 4 5" xfId="6306"/>
    <cellStyle name="Total 2 2 4 5 2" xfId="6307"/>
    <cellStyle name="Total 2 2 4 5 2 2" xfId="6308"/>
    <cellStyle name="Total 2 2 4 5 3" xfId="6309"/>
    <cellStyle name="Total 2 2 4 5 4" xfId="6310"/>
    <cellStyle name="Total 2 2 4 6" xfId="6311"/>
    <cellStyle name="Total 2 2 4 6 2" xfId="6312"/>
    <cellStyle name="Total 2 2 4 6 2 2" xfId="6313"/>
    <cellStyle name="Total 2 2 4 6 3" xfId="6314"/>
    <cellStyle name="Total 2 2 4 7" xfId="6315"/>
    <cellStyle name="Total 2 2 4 7 2" xfId="6316"/>
    <cellStyle name="Total 2 2 4 8" xfId="6317"/>
    <cellStyle name="Total 2 2 5" xfId="6318"/>
    <cellStyle name="Total 2 2 5 2" xfId="6319"/>
    <cellStyle name="Total 2 2 5 2 2" xfId="6320"/>
    <cellStyle name="Total 2 2 5 2 2 2" xfId="6321"/>
    <cellStyle name="Total 2 2 5 2 2 2 2" xfId="6322"/>
    <cellStyle name="Total 2 2 5 2 2 3" xfId="6323"/>
    <cellStyle name="Total 2 2 5 2 3" xfId="6324"/>
    <cellStyle name="Total 2 2 5 2 3 2" xfId="6325"/>
    <cellStyle name="Total 2 2 5 2 4" xfId="6326"/>
    <cellStyle name="Total 2 2 5 3" xfId="6327"/>
    <cellStyle name="Total 2 2 5 3 2" xfId="6328"/>
    <cellStyle name="Total 2 2 5 3 2 2" xfId="6329"/>
    <cellStyle name="Total 2 2 5 3 3" xfId="6330"/>
    <cellStyle name="Total 2 2 5 3 4" xfId="6331"/>
    <cellStyle name="Total 2 2 5 4" xfId="6332"/>
    <cellStyle name="Total 2 2 5 4 2" xfId="6333"/>
    <cellStyle name="Total 2 2 5 4 2 2" xfId="6334"/>
    <cellStyle name="Total 2 2 5 4 3" xfId="6335"/>
    <cellStyle name="Total 2 2 5 5" xfId="6336"/>
    <cellStyle name="Total 2 2 5 5 2" xfId="6337"/>
    <cellStyle name="Total 2 2 5 6" xfId="6338"/>
    <cellStyle name="Total 2 3" xfId="6339"/>
    <cellStyle name="Total 2 3 2" xfId="6340"/>
    <cellStyle name="Total 2 3 2 2" xfId="6341"/>
    <cellStyle name="Total 2 3 2 2 2" xfId="6342"/>
    <cellStyle name="Total 2 3 2 2 2 2" xfId="6343"/>
    <cellStyle name="Total 2 3 2 2 2 2 2" xfId="6344"/>
    <cellStyle name="Total 2 3 2 2 2 2 2 2" xfId="6345"/>
    <cellStyle name="Total 2 3 2 2 2 2 3" xfId="6346"/>
    <cellStyle name="Total 2 3 2 2 2 3" xfId="6347"/>
    <cellStyle name="Total 2 3 2 2 2 3 2" xfId="6348"/>
    <cellStyle name="Total 2 3 2 2 2 4" xfId="6349"/>
    <cellStyle name="Total 2 3 2 2 3" xfId="6350"/>
    <cellStyle name="Total 2 3 2 2 3 2" xfId="6351"/>
    <cellStyle name="Total 2 3 2 2 3 2 2" xfId="6352"/>
    <cellStyle name="Total 2 3 2 2 3 3" xfId="6353"/>
    <cellStyle name="Total 2 3 2 2 3 4" xfId="6354"/>
    <cellStyle name="Total 2 3 2 2 4" xfId="6355"/>
    <cellStyle name="Total 2 3 2 2 4 2" xfId="6356"/>
    <cellStyle name="Total 2 3 2 2 4 2 2" xfId="6357"/>
    <cellStyle name="Total 2 3 2 2 4 3" xfId="6358"/>
    <cellStyle name="Total 2 3 2 2 5" xfId="6359"/>
    <cellStyle name="Total 2 3 2 2 5 2" xfId="6360"/>
    <cellStyle name="Total 2 3 2 2 6" xfId="6361"/>
    <cellStyle name="Total 2 3 2 3" xfId="6362"/>
    <cellStyle name="Total 2 3 2 3 2" xfId="6363"/>
    <cellStyle name="Total 2 3 2 3 2 2" xfId="6364"/>
    <cellStyle name="Total 2 3 2 3 2 2 2" xfId="6365"/>
    <cellStyle name="Total 2 3 2 3 2 2 2 2" xfId="6366"/>
    <cellStyle name="Total 2 3 2 3 2 2 3" xfId="6367"/>
    <cellStyle name="Total 2 3 2 3 2 3" xfId="6368"/>
    <cellStyle name="Total 2 3 2 3 2 3 2" xfId="6369"/>
    <cellStyle name="Total 2 3 2 3 2 4" xfId="6370"/>
    <cellStyle name="Total 2 3 2 3 3" xfId="6371"/>
    <cellStyle name="Total 2 3 2 3 3 2" xfId="6372"/>
    <cellStyle name="Total 2 3 2 3 3 2 2" xfId="6373"/>
    <cellStyle name="Total 2 3 2 3 3 3" xfId="6374"/>
    <cellStyle name="Total 2 3 2 3 3 4" xfId="6375"/>
    <cellStyle name="Total 2 3 2 3 4" xfId="6376"/>
    <cellStyle name="Total 2 3 2 3 4 2" xfId="6377"/>
    <cellStyle name="Total 2 3 2 3 4 2 2" xfId="6378"/>
    <cellStyle name="Total 2 3 2 3 4 3" xfId="6379"/>
    <cellStyle name="Total 2 3 2 3 5" xfId="6380"/>
    <cellStyle name="Total 2 3 2 3 5 2" xfId="6381"/>
    <cellStyle name="Total 2 3 2 3 6" xfId="6382"/>
    <cellStyle name="Total 2 3 2 4" xfId="6383"/>
    <cellStyle name="Total 2 3 2 4 2" xfId="6384"/>
    <cellStyle name="Total 2 3 2 4 2 2" xfId="6385"/>
    <cellStyle name="Total 2 3 2 4 2 2 2" xfId="6386"/>
    <cellStyle name="Total 2 3 2 4 2 2 2 2" xfId="6387"/>
    <cellStyle name="Total 2 3 2 4 2 2 3" xfId="6388"/>
    <cellStyle name="Total 2 3 2 4 2 3" xfId="6389"/>
    <cellStyle name="Total 2 3 2 4 2 3 2" xfId="6390"/>
    <cellStyle name="Total 2 3 2 4 2 4" xfId="6391"/>
    <cellStyle name="Total 2 3 2 4 3" xfId="6392"/>
    <cellStyle name="Total 2 3 2 4 3 2" xfId="6393"/>
    <cellStyle name="Total 2 3 2 4 3 2 2" xfId="6394"/>
    <cellStyle name="Total 2 3 2 4 3 3" xfId="6395"/>
    <cellStyle name="Total 2 3 2 4 3 4" xfId="6396"/>
    <cellStyle name="Total 2 3 2 4 4" xfId="6397"/>
    <cellStyle name="Total 2 3 2 4 4 2" xfId="6398"/>
    <cellStyle name="Total 2 3 2 4 4 2 2" xfId="6399"/>
    <cellStyle name="Total 2 3 2 4 4 3" xfId="6400"/>
    <cellStyle name="Total 2 3 2 4 5" xfId="6401"/>
    <cellStyle name="Total 2 3 2 4 5 2" xfId="6402"/>
    <cellStyle name="Total 2 3 2 4 6" xfId="6403"/>
    <cellStyle name="Total 2 3 2 5" xfId="6404"/>
    <cellStyle name="Total 2 3 2 5 2" xfId="6405"/>
    <cellStyle name="Total 2 3 3" xfId="6406"/>
    <cellStyle name="Total 2 3 3 2" xfId="6407"/>
    <cellStyle name="Total 2 3 3 2 2" xfId="6408"/>
    <cellStyle name="Total 2 3 3 2 2 2" xfId="6409"/>
    <cellStyle name="Total 2 3 3 2 2 2 2" xfId="6410"/>
    <cellStyle name="Total 2 3 3 2 2 3" xfId="6411"/>
    <cellStyle name="Total 2 3 3 2 3" xfId="6412"/>
    <cellStyle name="Total 2 3 3 2 3 2" xfId="6413"/>
    <cellStyle name="Total 2 3 3 2 4" xfId="6414"/>
    <cellStyle name="Total 2 3 3 3" xfId="6415"/>
    <cellStyle name="Total 2 3 3 3 2" xfId="6416"/>
    <cellStyle name="Total 2 3 3 3 2 2" xfId="6417"/>
    <cellStyle name="Total 2 3 3 3 3" xfId="6418"/>
    <cellStyle name="Total 2 3 3 3 4" xfId="6419"/>
    <cellStyle name="Total 2 3 3 4" xfId="6420"/>
    <cellStyle name="Total 2 3 3 4 2" xfId="6421"/>
    <cellStyle name="Total 2 3 3 4 2 2" xfId="6422"/>
    <cellStyle name="Total 2 3 3 4 3" xfId="6423"/>
    <cellStyle name="Total 2 3 3 5" xfId="6424"/>
    <cellStyle name="Total 2 3 3 5 2" xfId="6425"/>
    <cellStyle name="Total 2 3 3 6" xfId="6426"/>
    <cellStyle name="Total 2 3 4" xfId="6427"/>
    <cellStyle name="Total 2 3 4 2" xfId="6428"/>
    <cellStyle name="Total 2 3 4 2 2" xfId="6429"/>
    <cellStyle name="Total 2 3 4 2 2 2" xfId="6430"/>
    <cellStyle name="Total 2 3 4 2 2 2 2" xfId="6431"/>
    <cellStyle name="Total 2 3 4 2 2 3" xfId="6432"/>
    <cellStyle name="Total 2 3 4 2 3" xfId="6433"/>
    <cellStyle name="Total 2 3 4 2 3 2" xfId="6434"/>
    <cellStyle name="Total 2 3 4 2 4" xfId="6435"/>
    <cellStyle name="Total 2 3 4 3" xfId="6436"/>
    <cellStyle name="Total 2 3 4 3 2" xfId="6437"/>
    <cellStyle name="Total 2 3 4 3 2 2" xfId="6438"/>
    <cellStyle name="Total 2 3 4 3 3" xfId="6439"/>
    <cellStyle name="Total 2 3 4 3 4" xfId="6440"/>
    <cellStyle name="Total 2 3 4 4" xfId="6441"/>
    <cellStyle name="Total 2 3 4 4 2" xfId="6442"/>
    <cellStyle name="Total 2 3 4 4 2 2" xfId="6443"/>
    <cellStyle name="Total 2 3 4 4 3" xfId="6444"/>
    <cellStyle name="Total 2 3 4 5" xfId="6445"/>
    <cellStyle name="Total 2 3 4 5 2" xfId="6446"/>
    <cellStyle name="Total 2 3 4 6" xfId="6447"/>
    <cellStyle name="Total 2 3 5" xfId="6448"/>
    <cellStyle name="Total 2 3 5 2" xfId="6449"/>
    <cellStyle name="Total 2 3 5 2 2" xfId="6450"/>
    <cellStyle name="Total 2 3 5 2 2 2" xfId="6451"/>
    <cellStyle name="Total 2 3 5 2 2 2 2" xfId="6452"/>
    <cellStyle name="Total 2 3 5 2 2 3" xfId="6453"/>
    <cellStyle name="Total 2 3 5 2 3" xfId="6454"/>
    <cellStyle name="Total 2 3 5 2 3 2" xfId="6455"/>
    <cellStyle name="Total 2 3 5 2 4" xfId="6456"/>
    <cellStyle name="Total 2 3 5 3" xfId="6457"/>
    <cellStyle name="Total 2 3 5 3 2" xfId="6458"/>
    <cellStyle name="Total 2 3 5 3 2 2" xfId="6459"/>
    <cellStyle name="Total 2 3 5 3 3" xfId="6460"/>
    <cellStyle name="Total 2 3 5 3 4" xfId="6461"/>
    <cellStyle name="Total 2 3 5 4" xfId="6462"/>
    <cellStyle name="Total 2 3 5 4 2" xfId="6463"/>
    <cellStyle name="Total 2 3 5 4 2 2" xfId="6464"/>
    <cellStyle name="Total 2 3 5 4 3" xfId="6465"/>
    <cellStyle name="Total 2 3 5 5" xfId="6466"/>
    <cellStyle name="Total 2 3 5 5 2" xfId="6467"/>
    <cellStyle name="Total 2 3 5 6" xfId="6468"/>
    <cellStyle name="Total 2 3 6" xfId="6469"/>
    <cellStyle name="Total 2 3 6 2" xfId="6470"/>
    <cellStyle name="Total 2 4" xfId="6471"/>
    <cellStyle name="Total 2 4 2" xfId="6472"/>
    <cellStyle name="Total 2 4 2 2" xfId="6473"/>
    <cellStyle name="Total 2 4 2 2 2" xfId="6474"/>
    <cellStyle name="Total 2 4 2 2 2 2" xfId="6475"/>
    <cellStyle name="Total 2 4 2 2 2 2 2" xfId="6476"/>
    <cellStyle name="Total 2 4 2 2 2 3" xfId="6477"/>
    <cellStyle name="Total 2 4 2 2 3" xfId="6478"/>
    <cellStyle name="Total 2 4 2 2 3 2" xfId="6479"/>
    <cellStyle name="Total 2 4 2 2 4" xfId="6480"/>
    <cellStyle name="Total 2 4 2 3" xfId="6481"/>
    <cellStyle name="Total 2 4 2 3 2" xfId="6482"/>
    <cellStyle name="Total 2 4 2 3 2 2" xfId="6483"/>
    <cellStyle name="Total 2 4 2 3 3" xfId="6484"/>
    <cellStyle name="Total 2 4 2 3 4" xfId="6485"/>
    <cellStyle name="Total 2 4 2 4" xfId="6486"/>
    <cellStyle name="Total 2 4 2 4 2" xfId="6487"/>
    <cellStyle name="Total 2 4 2 4 2 2" xfId="6488"/>
    <cellStyle name="Total 2 4 2 4 3" xfId="6489"/>
    <cellStyle name="Total 2 4 2 5" xfId="6490"/>
    <cellStyle name="Total 2 4 2 5 2" xfId="6491"/>
    <cellStyle name="Total 2 4 2 6" xfId="6492"/>
    <cellStyle name="Total 2 4 3" xfId="6493"/>
    <cellStyle name="Total 2 4 3 2" xfId="6494"/>
    <cellStyle name="Total 2 4 3 2 2" xfId="6495"/>
    <cellStyle name="Total 2 4 3 2 2 2" xfId="6496"/>
    <cellStyle name="Total 2 4 3 2 2 2 2" xfId="6497"/>
    <cellStyle name="Total 2 4 3 2 2 3" xfId="6498"/>
    <cellStyle name="Total 2 4 3 2 3" xfId="6499"/>
    <cellStyle name="Total 2 4 3 2 3 2" xfId="6500"/>
    <cellStyle name="Total 2 4 3 2 4" xfId="6501"/>
    <cellStyle name="Total 2 4 3 3" xfId="6502"/>
    <cellStyle name="Total 2 4 3 3 2" xfId="6503"/>
    <cellStyle name="Total 2 4 3 3 2 2" xfId="6504"/>
    <cellStyle name="Total 2 4 3 3 3" xfId="6505"/>
    <cellStyle name="Total 2 4 3 3 4" xfId="6506"/>
    <cellStyle name="Total 2 4 3 4" xfId="6507"/>
    <cellStyle name="Total 2 4 3 4 2" xfId="6508"/>
    <cellStyle name="Total 2 4 3 4 2 2" xfId="6509"/>
    <cellStyle name="Total 2 4 3 4 3" xfId="6510"/>
    <cellStyle name="Total 2 4 3 5" xfId="6511"/>
    <cellStyle name="Total 2 4 3 5 2" xfId="6512"/>
    <cellStyle name="Total 2 4 3 6" xfId="6513"/>
    <cellStyle name="Total 2 4 4" xfId="6514"/>
    <cellStyle name="Total 2 4 4 2" xfId="6515"/>
    <cellStyle name="Total 2 4 4 2 2" xfId="6516"/>
    <cellStyle name="Total 2 4 4 2 2 2" xfId="6517"/>
    <cellStyle name="Total 2 4 4 2 2 2 2" xfId="6518"/>
    <cellStyle name="Total 2 4 4 2 2 3" xfId="6519"/>
    <cellStyle name="Total 2 4 4 2 3" xfId="6520"/>
    <cellStyle name="Total 2 4 4 2 3 2" xfId="6521"/>
    <cellStyle name="Total 2 4 4 2 4" xfId="6522"/>
    <cellStyle name="Total 2 4 4 3" xfId="6523"/>
    <cellStyle name="Total 2 4 4 3 2" xfId="6524"/>
    <cellStyle name="Total 2 4 4 3 2 2" xfId="6525"/>
    <cellStyle name="Total 2 4 4 3 3" xfId="6526"/>
    <cellStyle name="Total 2 4 4 3 4" xfId="6527"/>
    <cellStyle name="Total 2 4 4 4" xfId="6528"/>
    <cellStyle name="Total 2 4 4 4 2" xfId="6529"/>
    <cellStyle name="Total 2 4 4 4 2 2" xfId="6530"/>
    <cellStyle name="Total 2 4 4 4 3" xfId="6531"/>
    <cellStyle name="Total 2 4 4 5" xfId="6532"/>
    <cellStyle name="Total 2 4 4 5 2" xfId="6533"/>
    <cellStyle name="Total 2 4 4 6" xfId="6534"/>
    <cellStyle name="Total 2 4 5" xfId="6535"/>
    <cellStyle name="Total 2 4 5 2" xfId="6536"/>
    <cellStyle name="Total 2 5" xfId="6537"/>
    <cellStyle name="Total 2 5 2" xfId="6538"/>
    <cellStyle name="Total 2 5 2 2" xfId="6539"/>
    <cellStyle name="Total 2 5 2 2 2" xfId="6540"/>
    <cellStyle name="Total 2 5 2 2 2 2" xfId="6541"/>
    <cellStyle name="Total 2 5 2 2 2 2 2" xfId="6542"/>
    <cellStyle name="Total 2 5 2 2 2 3" xfId="6543"/>
    <cellStyle name="Total 2 5 2 2 3" xfId="6544"/>
    <cellStyle name="Total 2 5 2 2 3 2" xfId="6545"/>
    <cellStyle name="Total 2 5 2 2 4" xfId="6546"/>
    <cellStyle name="Total 2 5 2 3" xfId="6547"/>
    <cellStyle name="Total 2 5 2 3 2" xfId="6548"/>
    <cellStyle name="Total 2 5 2 3 2 2" xfId="6549"/>
    <cellStyle name="Total 2 5 2 3 3" xfId="6550"/>
    <cellStyle name="Total 2 5 2 3 4" xfId="6551"/>
    <cellStyle name="Total 2 5 2 4" xfId="6552"/>
    <cellStyle name="Total 2 5 2 4 2" xfId="6553"/>
    <cellStyle name="Total 2 5 2 4 2 2" xfId="6554"/>
    <cellStyle name="Total 2 5 2 4 3" xfId="6555"/>
    <cellStyle name="Total 2 5 2 5" xfId="6556"/>
    <cellStyle name="Total 2 5 2 5 2" xfId="6557"/>
    <cellStyle name="Total 2 5 2 6" xfId="6558"/>
    <cellStyle name="Total 2 5 3" xfId="6559"/>
    <cellStyle name="Total 2 5 3 2" xfId="6560"/>
    <cellStyle name="Total 2 5 3 2 2" xfId="6561"/>
    <cellStyle name="Total 2 5 3 2 2 2" xfId="6562"/>
    <cellStyle name="Total 2 5 3 2 2 2 2" xfId="6563"/>
    <cellStyle name="Total 2 5 3 2 2 3" xfId="6564"/>
    <cellStyle name="Total 2 5 3 2 3" xfId="6565"/>
    <cellStyle name="Total 2 5 3 2 3 2" xfId="6566"/>
    <cellStyle name="Total 2 5 3 2 4" xfId="6567"/>
    <cellStyle name="Total 2 5 3 3" xfId="6568"/>
    <cellStyle name="Total 2 5 3 3 2" xfId="6569"/>
    <cellStyle name="Total 2 5 3 3 2 2" xfId="6570"/>
    <cellStyle name="Total 2 5 3 3 3" xfId="6571"/>
    <cellStyle name="Total 2 5 3 3 4" xfId="6572"/>
    <cellStyle name="Total 2 5 3 4" xfId="6573"/>
    <cellStyle name="Total 2 5 3 4 2" xfId="6574"/>
    <cellStyle name="Total 2 5 3 4 2 2" xfId="6575"/>
    <cellStyle name="Total 2 5 3 4 3" xfId="6576"/>
    <cellStyle name="Total 2 5 3 5" xfId="6577"/>
    <cellStyle name="Total 2 5 3 5 2" xfId="6578"/>
    <cellStyle name="Total 2 5 3 6" xfId="6579"/>
    <cellStyle name="Total 2 5 4" xfId="6580"/>
    <cellStyle name="Total 2 5 4 2" xfId="6581"/>
    <cellStyle name="Total 2 5 4 2 2" xfId="6582"/>
    <cellStyle name="Total 2 5 4 2 2 2" xfId="6583"/>
    <cellStyle name="Total 2 5 4 2 3" xfId="6584"/>
    <cellStyle name="Total 2 5 4 3" xfId="6585"/>
    <cellStyle name="Total 2 5 4 3 2" xfId="6586"/>
    <cellStyle name="Total 2 5 4 4" xfId="6587"/>
    <cellStyle name="Total 2 5 5" xfId="6588"/>
    <cellStyle name="Total 2 5 5 2" xfId="6589"/>
    <cellStyle name="Total 2 5 5 2 2" xfId="6590"/>
    <cellStyle name="Total 2 5 5 3" xfId="6591"/>
    <cellStyle name="Total 2 5 5 4" xfId="6592"/>
    <cellStyle name="Total 2 5 6" xfId="6593"/>
    <cellStyle name="Total 2 5 6 2" xfId="6594"/>
    <cellStyle name="Total 2 5 6 2 2" xfId="6595"/>
    <cellStyle name="Total 2 5 6 3" xfId="6596"/>
    <cellStyle name="Total 2 5 7" xfId="6597"/>
    <cellStyle name="Total 2 5 7 2" xfId="6598"/>
    <cellStyle name="Total 2 5 8" xfId="6599"/>
    <cellStyle name="Total 2 6" xfId="6600"/>
    <cellStyle name="Total 2 6 2" xfId="6601"/>
    <cellStyle name="Total 2 6 2 2" xfId="6602"/>
    <cellStyle name="Total 2 6 2 2 2" xfId="6603"/>
    <cellStyle name="Total 2 6 2 2 2 2" xfId="6604"/>
    <cellStyle name="Total 2 6 2 2 3" xfId="6605"/>
    <cellStyle name="Total 2 6 2 3" xfId="6606"/>
    <cellStyle name="Total 2 6 2 3 2" xfId="6607"/>
    <cellStyle name="Total 2 6 2 4" xfId="6608"/>
    <cellStyle name="Total 2 6 3" xfId="6609"/>
    <cellStyle name="Total 2 6 3 2" xfId="6610"/>
    <cellStyle name="Total 2 6 3 2 2" xfId="6611"/>
    <cellStyle name="Total 2 6 3 3" xfId="6612"/>
    <cellStyle name="Total 2 6 3 4" xfId="6613"/>
    <cellStyle name="Total 2 6 4" xfId="6614"/>
    <cellStyle name="Total 2 6 4 2" xfId="6615"/>
    <cellStyle name="Total 2 6 4 2 2" xfId="6616"/>
    <cellStyle name="Total 2 6 4 3" xfId="6617"/>
    <cellStyle name="Total 2 6 5" xfId="6618"/>
    <cellStyle name="Total 2 6 5 2" xfId="6619"/>
    <cellStyle name="Total 2 6 6" xfId="6620"/>
    <cellStyle name="Total 3" xfId="6621"/>
    <cellStyle name="Total 3 2" xfId="6622"/>
    <cellStyle name="Total 3 2 2" xfId="6623"/>
    <cellStyle name="Total 3 2 2 2" xfId="6624"/>
    <cellStyle name="Total 3 2 2 2 2" xfId="6625"/>
    <cellStyle name="Total 3 2 2 2 2 2" xfId="6626"/>
    <cellStyle name="Total 3 2 2 2 2 2 2" xfId="6627"/>
    <cellStyle name="Total 3 2 2 2 2 2 2 2" xfId="6628"/>
    <cellStyle name="Total 3 2 2 2 2 2 3" xfId="6629"/>
    <cellStyle name="Total 3 2 2 2 2 3" xfId="6630"/>
    <cellStyle name="Total 3 2 2 2 2 3 2" xfId="6631"/>
    <cellStyle name="Total 3 2 2 2 2 4" xfId="6632"/>
    <cellStyle name="Total 3 2 2 2 3" xfId="6633"/>
    <cellStyle name="Total 3 2 2 2 3 2" xfId="6634"/>
    <cellStyle name="Total 3 2 2 2 3 2 2" xfId="6635"/>
    <cellStyle name="Total 3 2 2 2 3 3" xfId="6636"/>
    <cellStyle name="Total 3 2 2 2 3 4" xfId="6637"/>
    <cellStyle name="Total 3 2 2 2 4" xfId="6638"/>
    <cellStyle name="Total 3 2 2 2 4 2" xfId="6639"/>
    <cellStyle name="Total 3 2 2 2 4 2 2" xfId="6640"/>
    <cellStyle name="Total 3 2 2 2 4 3" xfId="6641"/>
    <cellStyle name="Total 3 2 2 2 5" xfId="6642"/>
    <cellStyle name="Total 3 2 2 2 5 2" xfId="6643"/>
    <cellStyle name="Total 3 2 2 2 6" xfId="6644"/>
    <cellStyle name="Total 3 2 2 3" xfId="6645"/>
    <cellStyle name="Total 3 2 2 3 2" xfId="6646"/>
    <cellStyle name="Total 3 2 2 3 2 2" xfId="6647"/>
    <cellStyle name="Total 3 2 2 3 2 2 2" xfId="6648"/>
    <cellStyle name="Total 3 2 2 3 2 2 2 2" xfId="6649"/>
    <cellStyle name="Total 3 2 2 3 2 2 3" xfId="6650"/>
    <cellStyle name="Total 3 2 2 3 2 3" xfId="6651"/>
    <cellStyle name="Total 3 2 2 3 2 3 2" xfId="6652"/>
    <cellStyle name="Total 3 2 2 3 2 4" xfId="6653"/>
    <cellStyle name="Total 3 2 2 3 3" xfId="6654"/>
    <cellStyle name="Total 3 2 2 3 3 2" xfId="6655"/>
    <cellStyle name="Total 3 2 2 3 3 2 2" xfId="6656"/>
    <cellStyle name="Total 3 2 2 3 3 3" xfId="6657"/>
    <cellStyle name="Total 3 2 2 3 3 4" xfId="6658"/>
    <cellStyle name="Total 3 2 2 3 4" xfId="6659"/>
    <cellStyle name="Total 3 2 2 3 4 2" xfId="6660"/>
    <cellStyle name="Total 3 2 2 3 4 2 2" xfId="6661"/>
    <cellStyle name="Total 3 2 2 3 4 3" xfId="6662"/>
    <cellStyle name="Total 3 2 2 3 5" xfId="6663"/>
    <cellStyle name="Total 3 2 2 3 5 2" xfId="6664"/>
    <cellStyle name="Total 3 2 2 3 6" xfId="6665"/>
    <cellStyle name="Total 3 2 2 4" xfId="6666"/>
    <cellStyle name="Total 3 2 2 4 2" xfId="6667"/>
    <cellStyle name="Total 3 2 2 4 2 2" xfId="6668"/>
    <cellStyle name="Total 3 2 2 4 2 2 2" xfId="6669"/>
    <cellStyle name="Total 3 2 2 4 2 2 2 2" xfId="6670"/>
    <cellStyle name="Total 3 2 2 4 2 2 3" xfId="6671"/>
    <cellStyle name="Total 3 2 2 4 2 3" xfId="6672"/>
    <cellStyle name="Total 3 2 2 4 2 3 2" xfId="6673"/>
    <cellStyle name="Total 3 2 2 4 2 4" xfId="6674"/>
    <cellStyle name="Total 3 2 2 4 3" xfId="6675"/>
    <cellStyle name="Total 3 2 2 4 3 2" xfId="6676"/>
    <cellStyle name="Total 3 2 2 4 3 2 2" xfId="6677"/>
    <cellStyle name="Total 3 2 2 4 3 3" xfId="6678"/>
    <cellStyle name="Total 3 2 2 4 3 4" xfId="6679"/>
    <cellStyle name="Total 3 2 2 4 4" xfId="6680"/>
    <cellStyle name="Total 3 2 2 4 4 2" xfId="6681"/>
    <cellStyle name="Total 3 2 2 4 4 2 2" xfId="6682"/>
    <cellStyle name="Total 3 2 2 4 4 3" xfId="6683"/>
    <cellStyle name="Total 3 2 2 4 5" xfId="6684"/>
    <cellStyle name="Total 3 2 2 4 5 2" xfId="6685"/>
    <cellStyle name="Total 3 2 2 4 6" xfId="6686"/>
    <cellStyle name="Total 3 2 2 5" xfId="6687"/>
    <cellStyle name="Total 3 2 2 5 2" xfId="6688"/>
    <cellStyle name="Total 3 2 3" xfId="6689"/>
    <cellStyle name="Total 3 2 3 2" xfId="6690"/>
    <cellStyle name="Total 3 2 3 2 2" xfId="6691"/>
    <cellStyle name="Total 3 2 3 2 2 2" xfId="6692"/>
    <cellStyle name="Total 3 2 3 2 2 2 2" xfId="6693"/>
    <cellStyle name="Total 3 2 3 2 2 3" xfId="6694"/>
    <cellStyle name="Total 3 2 3 2 3" xfId="6695"/>
    <cellStyle name="Total 3 2 3 2 3 2" xfId="6696"/>
    <cellStyle name="Total 3 2 3 2 4" xfId="6697"/>
    <cellStyle name="Total 3 2 3 3" xfId="6698"/>
    <cellStyle name="Total 3 2 3 3 2" xfId="6699"/>
    <cellStyle name="Total 3 2 3 3 2 2" xfId="6700"/>
    <cellStyle name="Total 3 2 3 3 3" xfId="6701"/>
    <cellStyle name="Total 3 2 3 3 4" xfId="6702"/>
    <cellStyle name="Total 3 2 3 4" xfId="6703"/>
    <cellStyle name="Total 3 2 3 4 2" xfId="6704"/>
    <cellStyle name="Total 3 2 3 4 2 2" xfId="6705"/>
    <cellStyle name="Total 3 2 3 4 3" xfId="6706"/>
    <cellStyle name="Total 3 2 3 5" xfId="6707"/>
    <cellStyle name="Total 3 2 3 5 2" xfId="6708"/>
    <cellStyle name="Total 3 2 3 6" xfId="6709"/>
    <cellStyle name="Total 3 2 4" xfId="6710"/>
    <cellStyle name="Total 3 2 4 2" xfId="6711"/>
    <cellStyle name="Total 3 2 4 2 2" xfId="6712"/>
    <cellStyle name="Total 3 2 4 2 2 2" xfId="6713"/>
    <cellStyle name="Total 3 2 4 2 2 2 2" xfId="6714"/>
    <cellStyle name="Total 3 2 4 2 2 3" xfId="6715"/>
    <cellStyle name="Total 3 2 4 2 3" xfId="6716"/>
    <cellStyle name="Total 3 2 4 2 3 2" xfId="6717"/>
    <cellStyle name="Total 3 2 4 2 4" xfId="6718"/>
    <cellStyle name="Total 3 2 4 3" xfId="6719"/>
    <cellStyle name="Total 3 2 4 3 2" xfId="6720"/>
    <cellStyle name="Total 3 2 4 3 2 2" xfId="6721"/>
    <cellStyle name="Total 3 2 4 3 3" xfId="6722"/>
    <cellStyle name="Total 3 2 4 3 4" xfId="6723"/>
    <cellStyle name="Total 3 2 4 4" xfId="6724"/>
    <cellStyle name="Total 3 2 4 4 2" xfId="6725"/>
    <cellStyle name="Total 3 2 4 4 2 2" xfId="6726"/>
    <cellStyle name="Total 3 2 4 4 3" xfId="6727"/>
    <cellStyle name="Total 3 2 4 5" xfId="6728"/>
    <cellStyle name="Total 3 2 4 5 2" xfId="6729"/>
    <cellStyle name="Total 3 2 4 6" xfId="6730"/>
    <cellStyle name="Total 3 2 5" xfId="6731"/>
    <cellStyle name="Total 3 2 5 2" xfId="6732"/>
    <cellStyle name="Total 3 2 5 2 2" xfId="6733"/>
    <cellStyle name="Total 3 2 5 2 2 2" xfId="6734"/>
    <cellStyle name="Total 3 2 5 2 2 2 2" xfId="6735"/>
    <cellStyle name="Total 3 2 5 2 2 3" xfId="6736"/>
    <cellStyle name="Total 3 2 5 2 3" xfId="6737"/>
    <cellStyle name="Total 3 2 5 2 3 2" xfId="6738"/>
    <cellStyle name="Total 3 2 5 2 4" xfId="6739"/>
    <cellStyle name="Total 3 2 5 3" xfId="6740"/>
    <cellStyle name="Total 3 2 5 3 2" xfId="6741"/>
    <cellStyle name="Total 3 2 5 3 2 2" xfId="6742"/>
    <cellStyle name="Total 3 2 5 3 3" xfId="6743"/>
    <cellStyle name="Total 3 2 5 3 4" xfId="6744"/>
    <cellStyle name="Total 3 2 5 4" xfId="6745"/>
    <cellStyle name="Total 3 2 5 4 2" xfId="6746"/>
    <cellStyle name="Total 3 2 5 4 2 2" xfId="6747"/>
    <cellStyle name="Total 3 2 5 4 3" xfId="6748"/>
    <cellStyle name="Total 3 2 5 5" xfId="6749"/>
    <cellStyle name="Total 3 2 5 5 2" xfId="6750"/>
    <cellStyle name="Total 3 2 5 6" xfId="6751"/>
    <cellStyle name="Total 3 2 6" xfId="6752"/>
    <cellStyle name="Total 3 2 6 2" xfId="6753"/>
    <cellStyle name="Total 3 3" xfId="6754"/>
    <cellStyle name="Total 3 3 2" xfId="6755"/>
    <cellStyle name="Total 3 3 2 2" xfId="6756"/>
    <cellStyle name="Total 3 3 2 2 2" xfId="6757"/>
    <cellStyle name="Total 3 3 2 2 2 2" xfId="6758"/>
    <cellStyle name="Total 3 3 2 2 2 2 2" xfId="6759"/>
    <cellStyle name="Total 3 3 2 2 2 3" xfId="6760"/>
    <cellStyle name="Total 3 3 2 2 3" xfId="6761"/>
    <cellStyle name="Total 3 3 2 2 3 2" xfId="6762"/>
    <cellStyle name="Total 3 3 2 2 4" xfId="6763"/>
    <cellStyle name="Total 3 3 2 3" xfId="6764"/>
    <cellStyle name="Total 3 3 2 3 2" xfId="6765"/>
    <cellStyle name="Total 3 3 2 3 2 2" xfId="6766"/>
    <cellStyle name="Total 3 3 2 3 3" xfId="6767"/>
    <cellStyle name="Total 3 3 2 3 4" xfId="6768"/>
    <cellStyle name="Total 3 3 2 4" xfId="6769"/>
    <cellStyle name="Total 3 3 2 4 2" xfId="6770"/>
    <cellStyle name="Total 3 3 2 4 2 2" xfId="6771"/>
    <cellStyle name="Total 3 3 2 4 3" xfId="6772"/>
    <cellStyle name="Total 3 3 2 5" xfId="6773"/>
    <cellStyle name="Total 3 3 2 5 2" xfId="6774"/>
    <cellStyle name="Total 3 3 2 6" xfId="6775"/>
    <cellStyle name="Total 3 3 3" xfId="6776"/>
    <cellStyle name="Total 3 3 3 2" xfId="6777"/>
    <cellStyle name="Total 3 3 3 2 2" xfId="6778"/>
    <cellStyle name="Total 3 3 3 2 2 2" xfId="6779"/>
    <cellStyle name="Total 3 3 3 2 2 2 2" xfId="6780"/>
    <cellStyle name="Total 3 3 3 2 2 3" xfId="6781"/>
    <cellStyle name="Total 3 3 3 2 3" xfId="6782"/>
    <cellStyle name="Total 3 3 3 2 3 2" xfId="6783"/>
    <cellStyle name="Total 3 3 3 2 4" xfId="6784"/>
    <cellStyle name="Total 3 3 3 3" xfId="6785"/>
    <cellStyle name="Total 3 3 3 3 2" xfId="6786"/>
    <cellStyle name="Total 3 3 3 3 2 2" xfId="6787"/>
    <cellStyle name="Total 3 3 3 3 3" xfId="6788"/>
    <cellStyle name="Total 3 3 3 3 4" xfId="6789"/>
    <cellStyle name="Total 3 3 3 4" xfId="6790"/>
    <cellStyle name="Total 3 3 3 4 2" xfId="6791"/>
    <cellStyle name="Total 3 3 3 4 2 2" xfId="6792"/>
    <cellStyle name="Total 3 3 3 4 3" xfId="6793"/>
    <cellStyle name="Total 3 3 3 5" xfId="6794"/>
    <cellStyle name="Total 3 3 3 5 2" xfId="6795"/>
    <cellStyle name="Total 3 3 3 6" xfId="6796"/>
    <cellStyle name="Total 3 3 4" xfId="6797"/>
    <cellStyle name="Total 3 3 4 2" xfId="6798"/>
    <cellStyle name="Total 3 3 4 2 2" xfId="6799"/>
    <cellStyle name="Total 3 3 4 2 2 2" xfId="6800"/>
    <cellStyle name="Total 3 3 4 2 2 2 2" xfId="6801"/>
    <cellStyle name="Total 3 3 4 2 2 3" xfId="6802"/>
    <cellStyle name="Total 3 3 4 2 3" xfId="6803"/>
    <cellStyle name="Total 3 3 4 2 3 2" xfId="6804"/>
    <cellStyle name="Total 3 3 4 2 4" xfId="6805"/>
    <cellStyle name="Total 3 3 4 3" xfId="6806"/>
    <cellStyle name="Total 3 3 4 3 2" xfId="6807"/>
    <cellStyle name="Total 3 3 4 3 2 2" xfId="6808"/>
    <cellStyle name="Total 3 3 4 3 3" xfId="6809"/>
    <cellStyle name="Total 3 3 4 3 4" xfId="6810"/>
    <cellStyle name="Total 3 3 4 4" xfId="6811"/>
    <cellStyle name="Total 3 3 4 4 2" xfId="6812"/>
    <cellStyle name="Total 3 3 4 4 2 2" xfId="6813"/>
    <cellStyle name="Total 3 3 4 4 3" xfId="6814"/>
    <cellStyle name="Total 3 3 4 5" xfId="6815"/>
    <cellStyle name="Total 3 3 4 5 2" xfId="6816"/>
    <cellStyle name="Total 3 3 4 6" xfId="6817"/>
    <cellStyle name="Total 3 3 5" xfId="6818"/>
    <cellStyle name="Total 3 3 5 2" xfId="6819"/>
    <cellStyle name="Total 3 4" xfId="6820"/>
    <cellStyle name="Total 3 4 2" xfId="6821"/>
    <cellStyle name="Total 3 4 2 2" xfId="6822"/>
    <cellStyle name="Total 3 4 2 2 2" xfId="6823"/>
    <cellStyle name="Total 3 4 2 2 2 2" xfId="6824"/>
    <cellStyle name="Total 3 4 2 2 2 2 2" xfId="6825"/>
    <cellStyle name="Total 3 4 2 2 2 3" xfId="6826"/>
    <cellStyle name="Total 3 4 2 2 3" xfId="6827"/>
    <cellStyle name="Total 3 4 2 2 3 2" xfId="6828"/>
    <cellStyle name="Total 3 4 2 2 4" xfId="6829"/>
    <cellStyle name="Total 3 4 2 3" xfId="6830"/>
    <cellStyle name="Total 3 4 2 3 2" xfId="6831"/>
    <cellStyle name="Total 3 4 2 3 2 2" xfId="6832"/>
    <cellStyle name="Total 3 4 2 3 3" xfId="6833"/>
    <cellStyle name="Total 3 4 2 3 4" xfId="6834"/>
    <cellStyle name="Total 3 4 2 4" xfId="6835"/>
    <cellStyle name="Total 3 4 2 4 2" xfId="6836"/>
    <cellStyle name="Total 3 4 2 4 2 2" xfId="6837"/>
    <cellStyle name="Total 3 4 2 4 3" xfId="6838"/>
    <cellStyle name="Total 3 4 2 5" xfId="6839"/>
    <cellStyle name="Total 3 4 2 5 2" xfId="6840"/>
    <cellStyle name="Total 3 4 2 6" xfId="6841"/>
    <cellStyle name="Total 3 4 3" xfId="6842"/>
    <cellStyle name="Total 3 4 3 2" xfId="6843"/>
    <cellStyle name="Total 3 4 3 2 2" xfId="6844"/>
    <cellStyle name="Total 3 4 3 2 2 2" xfId="6845"/>
    <cellStyle name="Total 3 4 3 2 2 2 2" xfId="6846"/>
    <cellStyle name="Total 3 4 3 2 2 3" xfId="6847"/>
    <cellStyle name="Total 3 4 3 2 3" xfId="6848"/>
    <cellStyle name="Total 3 4 3 2 3 2" xfId="6849"/>
    <cellStyle name="Total 3 4 3 2 4" xfId="6850"/>
    <cellStyle name="Total 3 4 3 3" xfId="6851"/>
    <cellStyle name="Total 3 4 3 3 2" xfId="6852"/>
    <cellStyle name="Total 3 4 3 3 2 2" xfId="6853"/>
    <cellStyle name="Total 3 4 3 3 3" xfId="6854"/>
    <cellStyle name="Total 3 4 3 3 4" xfId="6855"/>
    <cellStyle name="Total 3 4 3 4" xfId="6856"/>
    <cellStyle name="Total 3 4 3 4 2" xfId="6857"/>
    <cellStyle name="Total 3 4 3 4 2 2" xfId="6858"/>
    <cellStyle name="Total 3 4 3 4 3" xfId="6859"/>
    <cellStyle name="Total 3 4 3 5" xfId="6860"/>
    <cellStyle name="Total 3 4 3 5 2" xfId="6861"/>
    <cellStyle name="Total 3 4 3 6" xfId="6862"/>
    <cellStyle name="Total 3 4 4" xfId="6863"/>
    <cellStyle name="Total 3 4 4 2" xfId="6864"/>
    <cellStyle name="Total 3 4 4 2 2" xfId="6865"/>
    <cellStyle name="Total 3 4 4 2 2 2" xfId="6866"/>
    <cellStyle name="Total 3 4 4 2 3" xfId="6867"/>
    <cellStyle name="Total 3 4 4 3" xfId="6868"/>
    <cellStyle name="Total 3 4 4 3 2" xfId="6869"/>
    <cellStyle name="Total 3 4 4 4" xfId="6870"/>
    <cellStyle name="Total 3 4 5" xfId="6871"/>
    <cellStyle name="Total 3 4 5 2" xfId="6872"/>
    <cellStyle name="Total 3 4 5 2 2" xfId="6873"/>
    <cellStyle name="Total 3 4 5 3" xfId="6874"/>
    <cellStyle name="Total 3 4 5 4" xfId="6875"/>
    <cellStyle name="Total 3 4 6" xfId="6876"/>
    <cellStyle name="Total 3 4 6 2" xfId="6877"/>
    <cellStyle name="Total 3 4 6 2 2" xfId="6878"/>
    <cellStyle name="Total 3 4 6 3" xfId="6879"/>
    <cellStyle name="Total 3 4 7" xfId="6880"/>
    <cellStyle name="Total 3 4 7 2" xfId="6881"/>
    <cellStyle name="Total 3 4 8" xfId="6882"/>
    <cellStyle name="Total 3 5" xfId="6883"/>
    <cellStyle name="Total 3 5 2" xfId="6884"/>
    <cellStyle name="Total 3 5 2 2" xfId="6885"/>
    <cellStyle name="Total 3 5 2 2 2" xfId="6886"/>
    <cellStyle name="Total 3 5 2 2 2 2" xfId="6887"/>
    <cellStyle name="Total 3 5 2 2 3" xfId="6888"/>
    <cellStyle name="Total 3 5 2 3" xfId="6889"/>
    <cellStyle name="Total 3 5 2 3 2" xfId="6890"/>
    <cellStyle name="Total 3 5 2 4" xfId="6891"/>
    <cellStyle name="Total 3 5 3" xfId="6892"/>
    <cellStyle name="Total 3 5 3 2" xfId="6893"/>
    <cellStyle name="Total 3 5 3 2 2" xfId="6894"/>
    <cellStyle name="Total 3 5 3 3" xfId="6895"/>
    <cellStyle name="Total 3 5 3 4" xfId="6896"/>
    <cellStyle name="Total 3 5 4" xfId="6897"/>
    <cellStyle name="Total 3 5 4 2" xfId="6898"/>
    <cellStyle name="Total 3 5 4 2 2" xfId="6899"/>
    <cellStyle name="Total 3 5 4 3" xfId="6900"/>
    <cellStyle name="Total 3 5 5" xfId="6901"/>
    <cellStyle name="Total 3 5 5 2" xfId="6902"/>
    <cellStyle name="Total 3 5 6" xfId="6903"/>
    <cellStyle name="Total 4" xfId="6904"/>
    <cellStyle name="Total 4 2" xfId="6905"/>
    <cellStyle name="Total 4 2 2" xfId="6906"/>
    <cellStyle name="Total 4 2 2 2" xfId="6907"/>
    <cellStyle name="Total 4 2 2 2 2" xfId="6908"/>
    <cellStyle name="Total 4 2 2 2 2 2" xfId="6909"/>
    <cellStyle name="Total 4 2 2 2 2 2 2" xfId="6910"/>
    <cellStyle name="Total 4 2 2 2 2 3" xfId="6911"/>
    <cellStyle name="Total 4 2 2 2 3" xfId="6912"/>
    <cellStyle name="Total 4 2 2 2 3 2" xfId="6913"/>
    <cellStyle name="Total 4 2 2 2 4" xfId="6914"/>
    <cellStyle name="Total 4 2 2 3" xfId="6915"/>
    <cellStyle name="Total 4 2 2 3 2" xfId="6916"/>
    <cellStyle name="Total 4 2 2 3 2 2" xfId="6917"/>
    <cellStyle name="Total 4 2 2 3 3" xfId="6918"/>
    <cellStyle name="Total 4 2 2 3 4" xfId="6919"/>
    <cellStyle name="Total 4 2 2 4" xfId="6920"/>
    <cellStyle name="Total 4 2 2 4 2" xfId="6921"/>
    <cellStyle name="Total 4 2 2 4 2 2" xfId="6922"/>
    <cellStyle name="Total 4 2 2 4 3" xfId="6923"/>
    <cellStyle name="Total 4 2 2 5" xfId="6924"/>
    <cellStyle name="Total 4 2 2 5 2" xfId="6925"/>
    <cellStyle name="Total 4 2 2 6" xfId="6926"/>
    <cellStyle name="Total 4 2 3" xfId="6927"/>
    <cellStyle name="Total 4 2 3 2" xfId="6928"/>
    <cellStyle name="Total 4 2 3 2 2" xfId="6929"/>
    <cellStyle name="Total 4 2 3 2 2 2" xfId="6930"/>
    <cellStyle name="Total 4 2 3 2 2 2 2" xfId="6931"/>
    <cellStyle name="Total 4 2 3 2 2 3" xfId="6932"/>
    <cellStyle name="Total 4 2 3 2 3" xfId="6933"/>
    <cellStyle name="Total 4 2 3 2 3 2" xfId="6934"/>
    <cellStyle name="Total 4 2 3 2 4" xfId="6935"/>
    <cellStyle name="Total 4 2 3 3" xfId="6936"/>
    <cellStyle name="Total 4 2 3 3 2" xfId="6937"/>
    <cellStyle name="Total 4 2 3 3 2 2" xfId="6938"/>
    <cellStyle name="Total 4 2 3 3 3" xfId="6939"/>
    <cellStyle name="Total 4 2 3 3 4" xfId="6940"/>
    <cellStyle name="Total 4 2 3 4" xfId="6941"/>
    <cellStyle name="Total 4 2 3 4 2" xfId="6942"/>
    <cellStyle name="Total 4 2 3 4 2 2" xfId="6943"/>
    <cellStyle name="Total 4 2 3 4 3" xfId="6944"/>
    <cellStyle name="Total 4 2 3 5" xfId="6945"/>
    <cellStyle name="Total 4 2 3 5 2" xfId="6946"/>
    <cellStyle name="Total 4 2 3 6" xfId="6947"/>
    <cellStyle name="Total 4 2 4" xfId="6948"/>
    <cellStyle name="Total 4 2 4 2" xfId="6949"/>
    <cellStyle name="Total 4 2 4 2 2" xfId="6950"/>
    <cellStyle name="Total 4 2 4 2 2 2" xfId="6951"/>
    <cellStyle name="Total 4 2 4 2 2 2 2" xfId="6952"/>
    <cellStyle name="Total 4 2 4 2 2 3" xfId="6953"/>
    <cellStyle name="Total 4 2 4 2 3" xfId="6954"/>
    <cellStyle name="Total 4 2 4 2 3 2" xfId="6955"/>
    <cellStyle name="Total 4 2 4 2 4" xfId="6956"/>
    <cellStyle name="Total 4 2 4 3" xfId="6957"/>
    <cellStyle name="Total 4 2 4 3 2" xfId="6958"/>
    <cellStyle name="Total 4 2 4 3 2 2" xfId="6959"/>
    <cellStyle name="Total 4 2 4 3 3" xfId="6960"/>
    <cellStyle name="Total 4 2 4 3 4" xfId="6961"/>
    <cellStyle name="Total 4 2 4 4" xfId="6962"/>
    <cellStyle name="Total 4 2 4 4 2" xfId="6963"/>
    <cellStyle name="Total 4 2 4 4 2 2" xfId="6964"/>
    <cellStyle name="Total 4 2 4 4 3" xfId="6965"/>
    <cellStyle name="Total 4 2 4 5" xfId="6966"/>
    <cellStyle name="Total 4 2 4 5 2" xfId="6967"/>
    <cellStyle name="Total 4 2 4 6" xfId="6968"/>
    <cellStyle name="Total 4 2 5" xfId="6969"/>
    <cellStyle name="Total 4 2 5 2" xfId="6970"/>
    <cellStyle name="Total 4 3" xfId="6971"/>
    <cellStyle name="Total 4 3 2" xfId="6972"/>
    <cellStyle name="Total 4 3 2 2" xfId="6973"/>
    <cellStyle name="Total 4 3 2 2 2" xfId="6974"/>
    <cellStyle name="Total 4 3 2 2 2 2" xfId="6975"/>
    <cellStyle name="Total 4 3 2 2 2 2 2" xfId="6976"/>
    <cellStyle name="Total 4 3 2 2 2 3" xfId="6977"/>
    <cellStyle name="Total 4 3 2 2 3" xfId="6978"/>
    <cellStyle name="Total 4 3 2 2 3 2" xfId="6979"/>
    <cellStyle name="Total 4 3 2 2 4" xfId="6980"/>
    <cellStyle name="Total 4 3 2 3" xfId="6981"/>
    <cellStyle name="Total 4 3 2 3 2" xfId="6982"/>
    <cellStyle name="Total 4 3 2 3 2 2" xfId="6983"/>
    <cellStyle name="Total 4 3 2 3 3" xfId="6984"/>
    <cellStyle name="Total 4 3 2 3 4" xfId="6985"/>
    <cellStyle name="Total 4 3 2 4" xfId="6986"/>
    <cellStyle name="Total 4 3 2 4 2" xfId="6987"/>
    <cellStyle name="Total 4 3 2 4 2 2" xfId="6988"/>
    <cellStyle name="Total 4 3 2 4 3" xfId="6989"/>
    <cellStyle name="Total 4 3 2 5" xfId="6990"/>
    <cellStyle name="Total 4 3 2 5 2" xfId="6991"/>
    <cellStyle name="Total 4 3 2 6" xfId="6992"/>
    <cellStyle name="Total 4 3 3" xfId="6993"/>
    <cellStyle name="Total 4 3 3 2" xfId="6994"/>
    <cellStyle name="Total 4 3 3 2 2" xfId="6995"/>
    <cellStyle name="Total 4 3 3 2 2 2" xfId="6996"/>
    <cellStyle name="Total 4 3 3 2 2 2 2" xfId="6997"/>
    <cellStyle name="Total 4 3 3 2 2 3" xfId="6998"/>
    <cellStyle name="Total 4 3 3 2 3" xfId="6999"/>
    <cellStyle name="Total 4 3 3 2 3 2" xfId="7000"/>
    <cellStyle name="Total 4 3 3 2 4" xfId="7001"/>
    <cellStyle name="Total 4 3 3 3" xfId="7002"/>
    <cellStyle name="Total 4 3 3 3 2" xfId="7003"/>
    <cellStyle name="Total 4 3 3 3 2 2" xfId="7004"/>
    <cellStyle name="Total 4 3 3 3 3" xfId="7005"/>
    <cellStyle name="Total 4 3 3 3 4" xfId="7006"/>
    <cellStyle name="Total 4 3 3 4" xfId="7007"/>
    <cellStyle name="Total 4 3 3 4 2" xfId="7008"/>
    <cellStyle name="Total 4 3 3 4 2 2" xfId="7009"/>
    <cellStyle name="Total 4 3 3 4 3" xfId="7010"/>
    <cellStyle name="Total 4 3 3 5" xfId="7011"/>
    <cellStyle name="Total 4 3 3 5 2" xfId="7012"/>
    <cellStyle name="Total 4 3 3 6" xfId="7013"/>
    <cellStyle name="Total 4 3 4" xfId="7014"/>
    <cellStyle name="Total 4 3 4 2" xfId="7015"/>
    <cellStyle name="Total 4 3 4 2 2" xfId="7016"/>
    <cellStyle name="Total 4 3 4 2 2 2" xfId="7017"/>
    <cellStyle name="Total 4 3 4 2 3" xfId="7018"/>
    <cellStyle name="Total 4 3 4 3" xfId="7019"/>
    <cellStyle name="Total 4 3 4 3 2" xfId="7020"/>
    <cellStyle name="Total 4 3 4 4" xfId="7021"/>
    <cellStyle name="Total 4 3 5" xfId="7022"/>
    <cellStyle name="Total 4 3 5 2" xfId="7023"/>
    <cellStyle name="Total 4 3 5 2 2" xfId="7024"/>
    <cellStyle name="Total 4 3 5 3" xfId="7025"/>
    <cellStyle name="Total 4 3 5 4" xfId="7026"/>
    <cellStyle name="Total 4 3 6" xfId="7027"/>
    <cellStyle name="Total 4 3 6 2" xfId="7028"/>
    <cellStyle name="Total 4 3 6 2 2" xfId="7029"/>
    <cellStyle name="Total 4 3 6 3" xfId="7030"/>
    <cellStyle name="Total 4 3 7" xfId="7031"/>
    <cellStyle name="Total 4 3 7 2" xfId="7032"/>
    <cellStyle name="Total 4 3 8" xfId="7033"/>
    <cellStyle name="Total 4 4" xfId="7034"/>
    <cellStyle name="Total 4 4 2" xfId="7035"/>
    <cellStyle name="Total 4 4 2 2" xfId="7036"/>
    <cellStyle name="Total 4 4 2 2 2" xfId="7037"/>
    <cellStyle name="Total 4 4 2 2 2 2" xfId="7038"/>
    <cellStyle name="Total 4 4 2 2 3" xfId="7039"/>
    <cellStyle name="Total 4 4 2 3" xfId="7040"/>
    <cellStyle name="Total 4 4 2 3 2" xfId="7041"/>
    <cellStyle name="Total 4 4 2 4" xfId="7042"/>
    <cellStyle name="Total 4 4 3" xfId="7043"/>
    <cellStyle name="Total 4 4 3 2" xfId="7044"/>
    <cellStyle name="Total 4 4 3 2 2" xfId="7045"/>
    <cellStyle name="Total 4 4 3 3" xfId="7046"/>
    <cellStyle name="Total 4 4 3 4" xfId="7047"/>
    <cellStyle name="Total 4 4 4" xfId="7048"/>
    <cellStyle name="Total 4 4 4 2" xfId="7049"/>
    <cellStyle name="Total 4 4 4 2 2" xfId="7050"/>
    <cellStyle name="Total 4 4 4 3" xfId="7051"/>
    <cellStyle name="Total 4 4 5" xfId="7052"/>
    <cellStyle name="Total 4 4 5 2" xfId="7053"/>
    <cellStyle name="Total 4 4 6" xfId="7054"/>
    <cellStyle name="Total 5" xfId="7055"/>
    <cellStyle name="Total 5 2" xfId="7056"/>
    <cellStyle name="Total 5 2 2" xfId="7057"/>
    <cellStyle name="Total 5 2 2 2" xfId="7058"/>
    <cellStyle name="Total 5 2 2 2 2" xfId="7059"/>
    <cellStyle name="Total 5 2 2 2 2 2" xfId="7060"/>
    <cellStyle name="Total 5 2 2 2 2 2 2" xfId="7061"/>
    <cellStyle name="Total 5 2 2 2 2 3" xfId="7062"/>
    <cellStyle name="Total 5 2 2 2 3" xfId="7063"/>
    <cellStyle name="Total 5 2 2 2 3 2" xfId="7064"/>
    <cellStyle name="Total 5 2 2 2 4" xfId="7065"/>
    <cellStyle name="Total 5 2 2 3" xfId="7066"/>
    <cellStyle name="Total 5 2 2 3 2" xfId="7067"/>
    <cellStyle name="Total 5 2 2 3 2 2" xfId="7068"/>
    <cellStyle name="Total 5 2 2 3 3" xfId="7069"/>
    <cellStyle name="Total 5 2 2 3 4" xfId="7070"/>
    <cellStyle name="Total 5 2 2 4" xfId="7071"/>
    <cellStyle name="Total 5 2 2 4 2" xfId="7072"/>
    <cellStyle name="Total 5 2 2 4 2 2" xfId="7073"/>
    <cellStyle name="Total 5 2 2 4 3" xfId="7074"/>
    <cellStyle name="Total 5 2 2 5" xfId="7075"/>
    <cellStyle name="Total 5 2 2 5 2" xfId="7076"/>
    <cellStyle name="Total 5 2 2 6" xfId="7077"/>
    <cellStyle name="Total 5 2 3" xfId="7078"/>
    <cellStyle name="Total 5 2 3 2" xfId="7079"/>
    <cellStyle name="Total 5 2 3 2 2" xfId="7080"/>
    <cellStyle name="Total 5 2 3 2 2 2" xfId="7081"/>
    <cellStyle name="Total 5 2 3 2 2 2 2" xfId="7082"/>
    <cellStyle name="Total 5 2 3 2 2 3" xfId="7083"/>
    <cellStyle name="Total 5 2 3 2 3" xfId="7084"/>
    <cellStyle name="Total 5 2 3 2 3 2" xfId="7085"/>
    <cellStyle name="Total 5 2 3 2 4" xfId="7086"/>
    <cellStyle name="Total 5 2 3 3" xfId="7087"/>
    <cellStyle name="Total 5 2 3 3 2" xfId="7088"/>
    <cellStyle name="Total 5 2 3 3 2 2" xfId="7089"/>
    <cellStyle name="Total 5 2 3 3 3" xfId="7090"/>
    <cellStyle name="Total 5 2 3 3 4" xfId="7091"/>
    <cellStyle name="Total 5 2 3 4" xfId="7092"/>
    <cellStyle name="Total 5 2 3 4 2" xfId="7093"/>
    <cellStyle name="Total 5 2 3 4 2 2" xfId="7094"/>
    <cellStyle name="Total 5 2 3 4 3" xfId="7095"/>
    <cellStyle name="Total 5 2 3 5" xfId="7096"/>
    <cellStyle name="Total 5 2 3 5 2" xfId="7097"/>
    <cellStyle name="Total 5 2 3 6" xfId="7098"/>
    <cellStyle name="Total 5 2 4" xfId="7099"/>
    <cellStyle name="Total 5 2 4 2" xfId="7100"/>
    <cellStyle name="Total 5 2 4 2 2" xfId="7101"/>
    <cellStyle name="Total 5 2 4 2 2 2" xfId="7102"/>
    <cellStyle name="Total 5 2 4 2 2 2 2" xfId="7103"/>
    <cellStyle name="Total 5 2 4 2 2 3" xfId="7104"/>
    <cellStyle name="Total 5 2 4 2 3" xfId="7105"/>
    <cellStyle name="Total 5 2 4 2 3 2" xfId="7106"/>
    <cellStyle name="Total 5 2 4 2 4" xfId="7107"/>
    <cellStyle name="Total 5 2 4 3" xfId="7108"/>
    <cellStyle name="Total 5 2 4 3 2" xfId="7109"/>
    <cellStyle name="Total 5 2 4 3 2 2" xfId="7110"/>
    <cellStyle name="Total 5 2 4 3 3" xfId="7111"/>
    <cellStyle name="Total 5 2 4 3 4" xfId="7112"/>
    <cellStyle name="Total 5 2 4 4" xfId="7113"/>
    <cellStyle name="Total 5 2 4 4 2" xfId="7114"/>
    <cellStyle name="Total 5 2 4 4 2 2" xfId="7115"/>
    <cellStyle name="Total 5 2 4 4 3" xfId="7116"/>
    <cellStyle name="Total 5 2 4 5" xfId="7117"/>
    <cellStyle name="Total 5 2 4 5 2" xfId="7118"/>
    <cellStyle name="Total 5 2 4 6" xfId="7119"/>
    <cellStyle name="Total 5 2 5" xfId="7120"/>
    <cellStyle name="Total 5 2 5 2" xfId="7121"/>
    <cellStyle name="Total 5 3" xfId="7122"/>
    <cellStyle name="Total 5 3 2" xfId="7123"/>
    <cellStyle name="Total 5 3 2 2" xfId="7124"/>
    <cellStyle name="Total 5 3 2 2 2" xfId="7125"/>
    <cellStyle name="Total 5 3 2 2 2 2" xfId="7126"/>
    <cellStyle name="Total 5 3 2 2 2 2 2" xfId="7127"/>
    <cellStyle name="Total 5 3 2 2 2 3" xfId="7128"/>
    <cellStyle name="Total 5 3 2 2 3" xfId="7129"/>
    <cellStyle name="Total 5 3 2 2 3 2" xfId="7130"/>
    <cellStyle name="Total 5 3 2 2 4" xfId="7131"/>
    <cellStyle name="Total 5 3 2 3" xfId="7132"/>
    <cellStyle name="Total 5 3 2 3 2" xfId="7133"/>
    <cellStyle name="Total 5 3 2 3 2 2" xfId="7134"/>
    <cellStyle name="Total 5 3 2 3 3" xfId="7135"/>
    <cellStyle name="Total 5 3 2 3 4" xfId="7136"/>
    <cellStyle name="Total 5 3 2 4" xfId="7137"/>
    <cellStyle name="Total 5 3 2 4 2" xfId="7138"/>
    <cellStyle name="Total 5 3 2 4 2 2" xfId="7139"/>
    <cellStyle name="Total 5 3 2 4 3" xfId="7140"/>
    <cellStyle name="Total 5 3 2 5" xfId="7141"/>
    <cellStyle name="Total 5 3 2 5 2" xfId="7142"/>
    <cellStyle name="Total 5 3 2 6" xfId="7143"/>
    <cellStyle name="Total 5 3 3" xfId="7144"/>
    <cellStyle name="Total 5 3 3 2" xfId="7145"/>
    <cellStyle name="Total 5 3 3 2 2" xfId="7146"/>
    <cellStyle name="Total 5 3 3 2 2 2" xfId="7147"/>
    <cellStyle name="Total 5 3 3 2 2 2 2" xfId="7148"/>
    <cellStyle name="Total 5 3 3 2 2 3" xfId="7149"/>
    <cellStyle name="Total 5 3 3 2 3" xfId="7150"/>
    <cellStyle name="Total 5 3 3 2 3 2" xfId="7151"/>
    <cellStyle name="Total 5 3 3 2 4" xfId="7152"/>
    <cellStyle name="Total 5 3 3 3" xfId="7153"/>
    <cellStyle name="Total 5 3 3 3 2" xfId="7154"/>
    <cellStyle name="Total 5 3 3 3 2 2" xfId="7155"/>
    <cellStyle name="Total 5 3 3 3 3" xfId="7156"/>
    <cellStyle name="Total 5 3 3 3 4" xfId="7157"/>
    <cellStyle name="Total 5 3 3 4" xfId="7158"/>
    <cellStyle name="Total 5 3 3 4 2" xfId="7159"/>
    <cellStyle name="Total 5 3 3 4 2 2" xfId="7160"/>
    <cellStyle name="Total 5 3 3 4 3" xfId="7161"/>
    <cellStyle name="Total 5 3 3 5" xfId="7162"/>
    <cellStyle name="Total 5 3 3 5 2" xfId="7163"/>
    <cellStyle name="Total 5 3 3 6" xfId="7164"/>
    <cellStyle name="Total 5 3 4" xfId="7165"/>
    <cellStyle name="Total 5 3 4 2" xfId="7166"/>
    <cellStyle name="Total 5 3 4 2 2" xfId="7167"/>
    <cellStyle name="Total 5 3 4 2 2 2" xfId="7168"/>
    <cellStyle name="Total 5 3 4 2 3" xfId="7169"/>
    <cellStyle name="Total 5 3 4 3" xfId="7170"/>
    <cellStyle name="Total 5 3 4 3 2" xfId="7171"/>
    <cellStyle name="Total 5 3 4 4" xfId="7172"/>
    <cellStyle name="Total 5 3 5" xfId="7173"/>
    <cellStyle name="Total 5 3 5 2" xfId="7174"/>
    <cellStyle name="Total 5 3 5 2 2" xfId="7175"/>
    <cellStyle name="Total 5 3 5 3" xfId="7176"/>
    <cellStyle name="Total 5 3 5 4" xfId="7177"/>
    <cellStyle name="Total 5 3 6" xfId="7178"/>
    <cellStyle name="Total 5 3 6 2" xfId="7179"/>
    <cellStyle name="Total 5 3 6 2 2" xfId="7180"/>
    <cellStyle name="Total 5 3 6 3" xfId="7181"/>
    <cellStyle name="Total 5 3 7" xfId="7182"/>
    <cellStyle name="Total 5 3 7 2" xfId="7183"/>
    <cellStyle name="Total 5 3 8" xfId="7184"/>
    <cellStyle name="Total 5 4" xfId="7185"/>
    <cellStyle name="Total 5 4 2" xfId="7186"/>
    <cellStyle name="Total 5 4 2 2" xfId="7187"/>
    <cellStyle name="Total 5 4 2 2 2" xfId="7188"/>
    <cellStyle name="Total 5 4 2 2 2 2" xfId="7189"/>
    <cellStyle name="Total 5 4 2 2 3" xfId="7190"/>
    <cellStyle name="Total 5 4 2 3" xfId="7191"/>
    <cellStyle name="Total 5 4 2 3 2" xfId="7192"/>
    <cellStyle name="Total 5 4 2 4" xfId="7193"/>
    <cellStyle name="Total 5 4 3" xfId="7194"/>
    <cellStyle name="Total 5 4 3 2" xfId="7195"/>
    <cellStyle name="Total 5 4 3 2 2" xfId="7196"/>
    <cellStyle name="Total 5 4 3 3" xfId="7197"/>
    <cellStyle name="Total 5 4 3 4" xfId="7198"/>
    <cellStyle name="Total 5 4 4" xfId="7199"/>
    <cellStyle name="Total 5 4 4 2" xfId="7200"/>
    <cellStyle name="Total 5 4 4 2 2" xfId="7201"/>
    <cellStyle name="Total 5 4 4 3" xfId="7202"/>
    <cellStyle name="Total 5 4 5" xfId="7203"/>
    <cellStyle name="Total 5 4 5 2" xfId="7204"/>
    <cellStyle name="Total 5 4 6" xfId="7205"/>
    <cellStyle name="Total 5 5" xfId="7206"/>
    <cellStyle name="Total 5 5 2" xfId="7207"/>
    <cellStyle name="Total 6" xfId="7208"/>
    <cellStyle name="Total 6 2" xfId="7209"/>
    <cellStyle name="Total 6 2 2" xfId="7210"/>
    <cellStyle name="Total 6 2 2 2" xfId="7211"/>
    <cellStyle name="Total 6 2 2 2 2" xfId="7212"/>
    <cellStyle name="Total 6 2 2 2 2 2" xfId="7213"/>
    <cellStyle name="Total 6 2 2 2 2 2 2" xfId="7214"/>
    <cellStyle name="Total 6 2 2 2 2 3" xfId="7215"/>
    <cellStyle name="Total 6 2 2 2 3" xfId="7216"/>
    <cellStyle name="Total 6 2 2 2 3 2" xfId="7217"/>
    <cellStyle name="Total 6 2 2 2 4" xfId="7218"/>
    <cellStyle name="Total 6 2 2 3" xfId="7219"/>
    <cellStyle name="Total 6 2 2 3 2" xfId="7220"/>
    <cellStyle name="Total 6 2 2 3 2 2" xfId="7221"/>
    <cellStyle name="Total 6 2 2 3 3" xfId="7222"/>
    <cellStyle name="Total 6 2 2 3 4" xfId="7223"/>
    <cellStyle name="Total 6 2 2 4" xfId="7224"/>
    <cellStyle name="Total 6 2 2 4 2" xfId="7225"/>
    <cellStyle name="Total 6 2 2 4 2 2" xfId="7226"/>
    <cellStyle name="Total 6 2 2 4 3" xfId="7227"/>
    <cellStyle name="Total 6 2 2 5" xfId="7228"/>
    <cellStyle name="Total 6 2 2 5 2" xfId="7229"/>
    <cellStyle name="Total 6 2 2 6" xfId="7230"/>
    <cellStyle name="Total 6 2 3" xfId="7231"/>
    <cellStyle name="Total 6 2 3 2" xfId="7232"/>
    <cellStyle name="Total 6 2 3 2 2" xfId="7233"/>
    <cellStyle name="Total 6 2 3 2 2 2" xfId="7234"/>
    <cellStyle name="Total 6 2 3 2 2 2 2" xfId="7235"/>
    <cellStyle name="Total 6 2 3 2 2 3" xfId="7236"/>
    <cellStyle name="Total 6 2 3 2 3" xfId="7237"/>
    <cellStyle name="Total 6 2 3 2 3 2" xfId="7238"/>
    <cellStyle name="Total 6 2 3 2 4" xfId="7239"/>
    <cellStyle name="Total 6 2 3 3" xfId="7240"/>
    <cellStyle name="Total 6 2 3 3 2" xfId="7241"/>
    <cellStyle name="Total 6 2 3 3 2 2" xfId="7242"/>
    <cellStyle name="Total 6 2 3 3 3" xfId="7243"/>
    <cellStyle name="Total 6 2 3 3 4" xfId="7244"/>
    <cellStyle name="Total 6 2 3 4" xfId="7245"/>
    <cellStyle name="Total 6 2 3 4 2" xfId="7246"/>
    <cellStyle name="Total 6 2 3 4 2 2" xfId="7247"/>
    <cellStyle name="Total 6 2 3 4 3" xfId="7248"/>
    <cellStyle name="Total 6 2 3 5" xfId="7249"/>
    <cellStyle name="Total 6 2 3 5 2" xfId="7250"/>
    <cellStyle name="Total 6 2 3 6" xfId="7251"/>
    <cellStyle name="Total 6 2 4" xfId="7252"/>
    <cellStyle name="Total 6 2 4 2" xfId="7253"/>
    <cellStyle name="Total 6 2 4 2 2" xfId="7254"/>
    <cellStyle name="Total 6 2 4 2 2 2" xfId="7255"/>
    <cellStyle name="Total 6 2 4 2 3" xfId="7256"/>
    <cellStyle name="Total 6 2 4 3" xfId="7257"/>
    <cellStyle name="Total 6 2 4 3 2" xfId="7258"/>
    <cellStyle name="Total 6 2 4 4" xfId="7259"/>
    <cellStyle name="Total 6 2 5" xfId="7260"/>
    <cellStyle name="Total 6 2 5 2" xfId="7261"/>
    <cellStyle name="Total 6 2 5 2 2" xfId="7262"/>
    <cellStyle name="Total 6 2 5 3" xfId="7263"/>
    <cellStyle name="Total 6 2 5 4" xfId="7264"/>
    <cellStyle name="Total 6 2 6" xfId="7265"/>
    <cellStyle name="Total 6 2 6 2" xfId="7266"/>
    <cellStyle name="Total 6 2 6 2 2" xfId="7267"/>
    <cellStyle name="Total 6 2 6 3" xfId="7268"/>
    <cellStyle name="Total 6 2 7" xfId="7269"/>
    <cellStyle name="Total 6 2 7 2" xfId="7270"/>
    <cellStyle name="Total 6 2 8" xfId="7271"/>
    <cellStyle name="Total 6 3" xfId="7272"/>
    <cellStyle name="Total 6 3 2" xfId="7273"/>
    <cellStyle name="Total 6 3 2 2" xfId="7274"/>
    <cellStyle name="Total 6 3 2 2 2" xfId="7275"/>
    <cellStyle name="Total 6 3 2 2 2 2" xfId="7276"/>
    <cellStyle name="Total 6 3 2 2 3" xfId="7277"/>
    <cellStyle name="Total 6 3 2 3" xfId="7278"/>
    <cellStyle name="Total 6 3 2 3 2" xfId="7279"/>
    <cellStyle name="Total 6 3 2 4" xfId="7280"/>
    <cellStyle name="Total 6 3 3" xfId="7281"/>
    <cellStyle name="Total 6 3 3 2" xfId="7282"/>
    <cellStyle name="Total 6 3 3 2 2" xfId="7283"/>
    <cellStyle name="Total 6 3 3 3" xfId="7284"/>
    <cellStyle name="Total 6 3 3 4" xfId="7285"/>
    <cellStyle name="Total 6 3 4" xfId="7286"/>
    <cellStyle name="Total 6 3 4 2" xfId="7287"/>
    <cellStyle name="Total 6 3 4 2 2" xfId="7288"/>
    <cellStyle name="Total 6 3 4 3" xfId="7289"/>
    <cellStyle name="Total 6 3 5" xfId="7290"/>
    <cellStyle name="Total 6 3 5 2" xfId="7291"/>
    <cellStyle name="Total 6 3 6" xfId="7292"/>
    <cellStyle name="Total 6 4" xfId="7293"/>
    <cellStyle name="Total 6 4 2" xfId="7294"/>
    <cellStyle name="Total 7" xfId="7295"/>
    <cellStyle name="Total 7 2" xfId="7296"/>
    <cellStyle name="Total 7 2 2" xfId="7297"/>
    <cellStyle name="Total 7 2 2 2" xfId="7298"/>
    <cellStyle name="Total 7 2 2 2 2" xfId="7299"/>
    <cellStyle name="Total 7 2 2 2 2 2" xfId="7300"/>
    <cellStyle name="Total 7 2 2 2 3" xfId="7301"/>
    <cellStyle name="Total 7 2 2 3" xfId="7302"/>
    <cellStyle name="Total 7 2 2 3 2" xfId="7303"/>
    <cellStyle name="Total 7 2 2 4" xfId="7304"/>
    <cellStyle name="Total 7 2 3" xfId="7305"/>
    <cellStyle name="Total 7 2 3 2" xfId="7306"/>
    <cellStyle name="Total 7 2 3 2 2" xfId="7307"/>
    <cellStyle name="Total 7 2 3 3" xfId="7308"/>
    <cellStyle name="Total 7 2 3 4" xfId="7309"/>
    <cellStyle name="Total 7 2 4" xfId="7310"/>
    <cellStyle name="Total 7 2 4 2" xfId="7311"/>
    <cellStyle name="Total 7 2 4 2 2" xfId="7312"/>
    <cellStyle name="Total 7 2 4 3" xfId="7313"/>
    <cellStyle name="Total 7 2 5" xfId="7314"/>
    <cellStyle name="Total 7 2 5 2" xfId="7315"/>
    <cellStyle name="Total 7 2 6" xfId="7316"/>
    <cellStyle name="Total 7 3" xfId="7317"/>
    <cellStyle name="Total 7 3 2" xfId="7318"/>
    <cellStyle name="Total 7 3 2 2" xfId="7319"/>
    <cellStyle name="Total 7 3 2 2 2" xfId="7320"/>
    <cellStyle name="Total 7 3 2 2 2 2" xfId="7321"/>
    <cellStyle name="Total 7 3 2 2 3" xfId="7322"/>
    <cellStyle name="Total 7 3 2 3" xfId="7323"/>
    <cellStyle name="Total 7 3 2 3 2" xfId="7324"/>
    <cellStyle name="Total 7 3 2 4" xfId="7325"/>
    <cellStyle name="Total 7 3 3" xfId="7326"/>
    <cellStyle name="Total 7 3 3 2" xfId="7327"/>
    <cellStyle name="Total 7 3 3 2 2" xfId="7328"/>
    <cellStyle name="Total 7 3 3 3" xfId="7329"/>
    <cellStyle name="Total 7 3 3 4" xfId="7330"/>
    <cellStyle name="Total 7 3 4" xfId="7331"/>
    <cellStyle name="Total 7 3 4 2" xfId="7332"/>
    <cellStyle name="Total 7 3 4 2 2" xfId="7333"/>
    <cellStyle name="Total 7 3 4 3" xfId="7334"/>
    <cellStyle name="Total 7 3 5" xfId="7335"/>
    <cellStyle name="Total 7 3 5 2" xfId="7336"/>
    <cellStyle name="Total 7 3 6" xfId="7337"/>
    <cellStyle name="Total 7 4" xfId="7338"/>
    <cellStyle name="Total 7 4 2" xfId="7339"/>
    <cellStyle name="Total 7 4 2 2" xfId="7340"/>
    <cellStyle name="Total 7 4 2 2 2" xfId="7341"/>
    <cellStyle name="Total 7 4 2 3" xfId="7342"/>
    <cellStyle name="Total 7 4 3" xfId="7343"/>
    <cellStyle name="Total 7 4 3 2" xfId="7344"/>
    <cellStyle name="Total 7 4 4" xfId="7345"/>
    <cellStyle name="Total 7 5" xfId="7346"/>
    <cellStyle name="Total 7 5 2" xfId="7347"/>
    <cellStyle name="Total 7 5 2 2" xfId="7348"/>
    <cellStyle name="Total 7 5 3" xfId="7349"/>
    <cellStyle name="Total 7 5 4" xfId="7350"/>
    <cellStyle name="Total 7 6" xfId="7351"/>
    <cellStyle name="Total 7 6 2" xfId="7352"/>
    <cellStyle name="Total 7 6 2 2" xfId="7353"/>
    <cellStyle name="Total 7 6 3" xfId="7354"/>
    <cellStyle name="Total 7 7" xfId="7355"/>
    <cellStyle name="Total 7 7 2" xfId="7356"/>
    <cellStyle name="Total 7 8" xfId="7357"/>
    <cellStyle name="toto" xfId="7358"/>
    <cellStyle name="Warning Text 2" xfId="7359"/>
    <cellStyle name="Warning Text 3" xfId="7360"/>
    <cellStyle name="パーセント 2" xfId="48"/>
    <cellStyle name="桁区切り 2" xfId="49"/>
    <cellStyle name="桁区切り_DegitalOption_test" xfId="50"/>
    <cellStyle name="標準 2" xfId="51"/>
    <cellStyle name="標準 3" xfId="52"/>
    <cellStyle name="標準 4" xfId="53"/>
    <cellStyle name="標準_examplePortfolio" xfId="54"/>
    <cellStyle name="標準_Input_OutPut20060417" xfId="55"/>
  </cellStyles>
  <dxfs count="0"/>
  <tableStyles count="0" defaultTableStyle="TableStyleMedium2" defaultPivotStyle="PivotStyleLight16"/>
  <colors>
    <mruColors>
      <color rgb="FFFFFF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cure/DIR_MLib_Analytics/PricingTools/SwapsPricer/SwapsPricerV2.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ecure/DIR_MLib_Analytics/PricingTools/CurveCalibrationTool/CurveCalibrationTool-11.6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Instruments"/>
      <sheetName val="Instrument Data"/>
      <sheetName val="EUR Market Data"/>
      <sheetName val="USD Market Data"/>
      <sheetName val="GBP Market Data"/>
      <sheetName val="JPY Market Data"/>
      <sheetName val="EUR Curve Config"/>
      <sheetName val="USD Curve Config"/>
      <sheetName val="GBP Curve Config"/>
      <sheetName val="JPY Curve Config"/>
      <sheetName val="Multi-Curves"/>
      <sheetName val="Forward Charts"/>
      <sheetName val="EUR OIS"/>
      <sheetName val="USD OIS"/>
      <sheetName val="GBP OIS"/>
      <sheetName val="JPY OIS"/>
      <sheetName val="JPY-LCH Curve"/>
      <sheetName val="EUR Swaps"/>
      <sheetName val="USD Swaps"/>
      <sheetName val="GBP Swaps"/>
      <sheetName val="JPY-JSCC Swaps"/>
      <sheetName val="JPY-LCH Swaps"/>
      <sheetName val="EUR Swap Cashflows"/>
      <sheetName val="USD Swap Cashflows"/>
      <sheetName val="GBP Swap Cashflows"/>
      <sheetName val="JPY Swap Cashflows"/>
      <sheetName val="EUR Asset Swaps"/>
      <sheetName val="USD Asset Swaps"/>
      <sheetName val="GBP Asset Swaps"/>
      <sheetName val="JPY Asset Swaps"/>
      <sheetName val="EUR ASW Cashflows"/>
      <sheetName val="USD ASW Cashflows"/>
      <sheetName val="GBP ASW Cashflows"/>
      <sheetName val="JPY ASW Cashflows"/>
      <sheetName val="EUR Tenor Basis"/>
      <sheetName val="USD Tenor Basis"/>
      <sheetName val="GBP Tenor Basis"/>
      <sheetName val="JPY Tenor Basis"/>
      <sheetName val="EUR VNS Schedules"/>
      <sheetName val="EUR VNS"/>
      <sheetName val="USD VNS Schedules"/>
      <sheetName val="USD VNS"/>
      <sheetName val="GBP VNS Schedules"/>
      <sheetName val="GBP VNS"/>
      <sheetName val="JPY VNS Schedules"/>
      <sheetName val="JPY VNS"/>
      <sheetName val="Standard Swap Pricing"/>
      <sheetName val="EUR Custom Swap"/>
      <sheetName val="EUR Cashflows"/>
      <sheetName val="USD Custom Swap"/>
      <sheetName val="USD Cashflows"/>
      <sheetName val="EUR XCCY"/>
      <sheetName val="EUR XCCY Structure"/>
    </sheetNames>
    <sheetDataSet>
      <sheetData sheetId="0">
        <row r="2">
          <cell r="C2">
            <v>43487</v>
          </cell>
        </row>
        <row r="4">
          <cell r="G4" t="b">
            <v>1</v>
          </cell>
        </row>
        <row r="5">
          <cell r="G5" t="b">
            <v>1</v>
          </cell>
        </row>
        <row r="6">
          <cell r="G6" t="b">
            <v>1</v>
          </cell>
        </row>
        <row r="7">
          <cell r="G7" t="b">
            <v>1</v>
          </cell>
        </row>
        <row r="206">
          <cell r="B206">
            <v>0</v>
          </cell>
          <cell r="C206" t="str">
            <v>ZeroCpn</v>
          </cell>
        </row>
        <row r="207">
          <cell r="B207">
            <v>1</v>
          </cell>
          <cell r="C207" t="str">
            <v>Annual</v>
          </cell>
        </row>
        <row r="208">
          <cell r="B208">
            <v>2</v>
          </cell>
          <cell r="C208" t="str">
            <v>Semi-Annual</v>
          </cell>
        </row>
        <row r="209">
          <cell r="B209">
            <v>4</v>
          </cell>
          <cell r="C209" t="str">
            <v>Quarterly</v>
          </cell>
        </row>
        <row r="210">
          <cell r="B210">
            <v>12</v>
          </cell>
          <cell r="C210" t="str">
            <v>Monthly</v>
          </cell>
        </row>
      </sheetData>
      <sheetData sheetId="1">
        <row r="13">
          <cell r="B13" t="str">
            <v>FEDL01 BGN Index</v>
          </cell>
          <cell r="C13" t="str">
            <v>FEDL01</v>
          </cell>
          <cell r="D13" t="str">
            <v>BGN</v>
          </cell>
          <cell r="E13" t="str">
            <v>Index</v>
          </cell>
          <cell r="F13" t="str">
            <v>OIS</v>
          </cell>
          <cell r="G13" t="str">
            <v>ON</v>
          </cell>
          <cell r="H13" t="b">
            <v>1</v>
          </cell>
          <cell r="J13" t="str">
            <v>US0003M  ICUS Index</v>
          </cell>
          <cell r="K13" t="str">
            <v xml:space="preserve">US0003M </v>
          </cell>
          <cell r="L13" t="str">
            <v>ICUS</v>
          </cell>
          <cell r="M13" t="str">
            <v>Index</v>
          </cell>
          <cell r="N13" t="str">
            <v>CASH</v>
          </cell>
          <cell r="O13" t="str">
            <v>3M</v>
          </cell>
          <cell r="P13" t="b">
            <v>1</v>
          </cell>
          <cell r="R13" t="str">
            <v>USBC1 ICPL Curncy</v>
          </cell>
          <cell r="S13" t="str">
            <v>USBC1</v>
          </cell>
          <cell r="T13" t="str">
            <v>ICPL</v>
          </cell>
          <cell r="U13" t="str">
            <v>Curncy</v>
          </cell>
          <cell r="V13" t="str">
            <v>TENOR-BASIS</v>
          </cell>
          <cell r="W13" t="str">
            <v>1Y</v>
          </cell>
          <cell r="X13" t="b">
            <v>1</v>
          </cell>
          <cell r="Z13" t="str">
            <v>USBA1 CMPN Curncy</v>
          </cell>
          <cell r="AA13" t="str">
            <v>USBA1</v>
          </cell>
          <cell r="AB13" t="str">
            <v>CMPN</v>
          </cell>
          <cell r="AC13" t="str">
            <v>Curncy</v>
          </cell>
          <cell r="AD13" t="str">
            <v>TENOR-BASIS</v>
          </cell>
          <cell r="AE13" t="str">
            <v>1Y</v>
          </cell>
          <cell r="AF13" t="b">
            <v>1</v>
          </cell>
          <cell r="AH13" t="str">
            <v>USBL1 PREB Curncy</v>
          </cell>
          <cell r="AI13" t="str">
            <v>USBL1</v>
          </cell>
          <cell r="AJ13" t="str">
            <v>PREB</v>
          </cell>
          <cell r="AK13" t="str">
            <v>Curncy</v>
          </cell>
          <cell r="AL13" t="str">
            <v>TENOR-BASIS</v>
          </cell>
          <cell r="AM13" t="str">
            <v>1Y</v>
          </cell>
          <cell r="AN13" t="b">
            <v>1</v>
          </cell>
          <cell r="AP13" t="str">
            <v xml:space="preserve">  </v>
          </cell>
        </row>
        <row r="14">
          <cell r="B14" t="str">
            <v>FF1 COMB Comdty</v>
          </cell>
          <cell r="C14" t="str">
            <v>FF1</v>
          </cell>
          <cell r="D14" t="str">
            <v>COMB</v>
          </cell>
          <cell r="E14" t="str">
            <v>Comdty</v>
          </cell>
          <cell r="F14" t="str">
            <v>FED FUTURE</v>
          </cell>
          <cell r="G14" t="str">
            <v>FFF9</v>
          </cell>
          <cell r="H14" t="b">
            <v>0</v>
          </cell>
          <cell r="J14" t="str">
            <v>ED1  COMB Comdty</v>
          </cell>
          <cell r="K14" t="str">
            <v xml:space="preserve">ED1 </v>
          </cell>
          <cell r="L14" t="str">
            <v>COMB</v>
          </cell>
          <cell r="M14" t="str">
            <v>Comdty</v>
          </cell>
          <cell r="N14" t="str">
            <v>FUTURE</v>
          </cell>
          <cell r="O14" t="str">
            <v xml:space="preserve">ED1 </v>
          </cell>
          <cell r="P14" t="b">
            <v>1</v>
          </cell>
          <cell r="R14" t="str">
            <v>USBC2 ICPL Curncy</v>
          </cell>
          <cell r="S14" t="str">
            <v>USBC2</v>
          </cell>
          <cell r="T14" t="str">
            <v>ICPL</v>
          </cell>
          <cell r="U14" t="str">
            <v>Curncy</v>
          </cell>
          <cell r="V14" t="str">
            <v>TENOR-BASIS</v>
          </cell>
          <cell r="W14" t="str">
            <v>2Y</v>
          </cell>
          <cell r="X14" t="b">
            <v>1</v>
          </cell>
          <cell r="Z14" t="str">
            <v>USBA2 CMPN Curncy</v>
          </cell>
          <cell r="AA14" t="str">
            <v>USBA2</v>
          </cell>
          <cell r="AB14" t="str">
            <v>CMPN</v>
          </cell>
          <cell r="AC14" t="str">
            <v>Curncy</v>
          </cell>
          <cell r="AD14" t="str">
            <v>TENOR-BASIS</v>
          </cell>
          <cell r="AE14" t="str">
            <v>2Y</v>
          </cell>
          <cell r="AF14" t="b">
            <v>1</v>
          </cell>
          <cell r="AH14" t="str">
            <v>USBL2 PREB Curncy</v>
          </cell>
          <cell r="AI14" t="str">
            <v>USBL2</v>
          </cell>
          <cell r="AJ14" t="str">
            <v>PREB</v>
          </cell>
          <cell r="AK14" t="str">
            <v>Curncy</v>
          </cell>
          <cell r="AL14" t="str">
            <v>TENOR-BASIS</v>
          </cell>
          <cell r="AM14" t="str">
            <v>2Y</v>
          </cell>
          <cell r="AN14" t="b">
            <v>1</v>
          </cell>
          <cell r="AP14" t="str">
            <v xml:space="preserve">  </v>
          </cell>
        </row>
        <row r="15">
          <cell r="B15" t="str">
            <v>FF2 COMB Comdty</v>
          </cell>
          <cell r="C15" t="str">
            <v>FF2</v>
          </cell>
          <cell r="D15" t="str">
            <v>COMB</v>
          </cell>
          <cell r="E15" t="str">
            <v>Comdty</v>
          </cell>
          <cell r="F15" t="str">
            <v>FED FUTURE</v>
          </cell>
          <cell r="G15" t="str">
            <v>FFG9</v>
          </cell>
          <cell r="H15" t="b">
            <v>0</v>
          </cell>
          <cell r="J15" t="str">
            <v>ED2 COMB Comdty</v>
          </cell>
          <cell r="K15" t="str">
            <v>ED2</v>
          </cell>
          <cell r="L15" t="str">
            <v>COMB</v>
          </cell>
          <cell r="M15" t="str">
            <v>Comdty</v>
          </cell>
          <cell r="N15" t="str">
            <v>FUTURE</v>
          </cell>
          <cell r="O15" t="str">
            <v>ED2</v>
          </cell>
          <cell r="P15" t="b">
            <v>1</v>
          </cell>
          <cell r="R15" t="str">
            <v>USBC3 ICPL Curncy</v>
          </cell>
          <cell r="S15" t="str">
            <v>USBC3</v>
          </cell>
          <cell r="T15" t="str">
            <v>ICPL</v>
          </cell>
          <cell r="U15" t="str">
            <v>Curncy</v>
          </cell>
          <cell r="V15" t="str">
            <v>TENOR-BASIS</v>
          </cell>
          <cell r="W15" t="str">
            <v>3Y</v>
          </cell>
          <cell r="X15" t="b">
            <v>1</v>
          </cell>
          <cell r="Z15" t="str">
            <v>USBA3 CMPN Curncy</v>
          </cell>
          <cell r="AA15" t="str">
            <v>USBA3</v>
          </cell>
          <cell r="AB15" t="str">
            <v>CMPN</v>
          </cell>
          <cell r="AC15" t="str">
            <v>Curncy</v>
          </cell>
          <cell r="AD15" t="str">
            <v>TENOR-BASIS</v>
          </cell>
          <cell r="AE15" t="str">
            <v>3Y</v>
          </cell>
          <cell r="AF15" t="b">
            <v>1</v>
          </cell>
          <cell r="AH15" t="str">
            <v>USBL3 PREB Curncy</v>
          </cell>
          <cell r="AI15" t="str">
            <v>USBL3</v>
          </cell>
          <cell r="AJ15" t="str">
            <v>PREB</v>
          </cell>
          <cell r="AK15" t="str">
            <v>Curncy</v>
          </cell>
          <cell r="AL15" t="str">
            <v>TENOR-BASIS</v>
          </cell>
          <cell r="AM15" t="str">
            <v>3Y</v>
          </cell>
          <cell r="AN15" t="b">
            <v>1</v>
          </cell>
          <cell r="AP15" t="str">
            <v xml:space="preserve">  </v>
          </cell>
        </row>
        <row r="16">
          <cell r="B16" t="str">
            <v>FF3 COMB Comdty</v>
          </cell>
          <cell r="C16" t="str">
            <v>FF3</v>
          </cell>
          <cell r="D16" t="str">
            <v>COMB</v>
          </cell>
          <cell r="E16" t="str">
            <v>Comdty</v>
          </cell>
          <cell r="F16" t="str">
            <v>FED FUTURE</v>
          </cell>
          <cell r="G16" t="str">
            <v>FFH9</v>
          </cell>
          <cell r="H16" t="b">
            <v>0</v>
          </cell>
          <cell r="J16" t="str">
            <v>ED3 COMB Comdty</v>
          </cell>
          <cell r="K16" t="str">
            <v>ED3</v>
          </cell>
          <cell r="L16" t="str">
            <v>COMB</v>
          </cell>
          <cell r="M16" t="str">
            <v>Comdty</v>
          </cell>
          <cell r="N16" t="str">
            <v>FUTURE</v>
          </cell>
          <cell r="O16" t="str">
            <v>ED3</v>
          </cell>
          <cell r="P16" t="b">
            <v>1</v>
          </cell>
          <cell r="R16" t="str">
            <v>USBC4 ICPL Curncy</v>
          </cell>
          <cell r="S16" t="str">
            <v>USBC4</v>
          </cell>
          <cell r="T16" t="str">
            <v>ICPL</v>
          </cell>
          <cell r="U16" t="str">
            <v>Curncy</v>
          </cell>
          <cell r="V16" t="str">
            <v>TENOR-BASIS</v>
          </cell>
          <cell r="W16" t="str">
            <v>4Y</v>
          </cell>
          <cell r="X16" t="b">
            <v>1</v>
          </cell>
          <cell r="Z16" t="str">
            <v>USBA4 CMPN Curncy</v>
          </cell>
          <cell r="AA16" t="str">
            <v>USBA4</v>
          </cell>
          <cell r="AB16" t="str">
            <v>CMPN</v>
          </cell>
          <cell r="AC16" t="str">
            <v>Curncy</v>
          </cell>
          <cell r="AD16" t="str">
            <v>TENOR-BASIS</v>
          </cell>
          <cell r="AE16" t="str">
            <v>4Y</v>
          </cell>
          <cell r="AF16" t="b">
            <v>1</v>
          </cell>
          <cell r="AH16" t="str">
            <v>USBL4 PREB Curncy</v>
          </cell>
          <cell r="AI16" t="str">
            <v>USBL4</v>
          </cell>
          <cell r="AJ16" t="str">
            <v>PREB</v>
          </cell>
          <cell r="AK16" t="str">
            <v>Curncy</v>
          </cell>
          <cell r="AL16" t="str">
            <v>TENOR-BASIS</v>
          </cell>
          <cell r="AM16" t="str">
            <v>4Y</v>
          </cell>
          <cell r="AN16" t="b">
            <v>1</v>
          </cell>
          <cell r="AP16" t="str">
            <v xml:space="preserve">  </v>
          </cell>
        </row>
        <row r="17">
          <cell r="B17" t="str">
            <v>FF4 COMB Comdty</v>
          </cell>
          <cell r="C17" t="str">
            <v>FF4</v>
          </cell>
          <cell r="D17" t="str">
            <v>COMB</v>
          </cell>
          <cell r="E17" t="str">
            <v>Comdty</v>
          </cell>
          <cell r="F17" t="str">
            <v>FED FUTURE</v>
          </cell>
          <cell r="G17" t="str">
            <v>FFJ9</v>
          </cell>
          <cell r="H17" t="b">
            <v>0</v>
          </cell>
          <cell r="J17" t="str">
            <v>ED4  COMB Comdty</v>
          </cell>
          <cell r="K17" t="str">
            <v xml:space="preserve">ED4 </v>
          </cell>
          <cell r="L17" t="str">
            <v>COMB</v>
          </cell>
          <cell r="M17" t="str">
            <v>Comdty</v>
          </cell>
          <cell r="N17" t="str">
            <v>FUTURE</v>
          </cell>
          <cell r="O17" t="str">
            <v xml:space="preserve">ED4 </v>
          </cell>
          <cell r="P17" t="b">
            <v>1</v>
          </cell>
          <cell r="R17" t="str">
            <v>USBC5 ICPL Curncy</v>
          </cell>
          <cell r="S17" t="str">
            <v>USBC5</v>
          </cell>
          <cell r="T17" t="str">
            <v>ICPL</v>
          </cell>
          <cell r="U17" t="str">
            <v>Curncy</v>
          </cell>
          <cell r="V17" t="str">
            <v>TENOR-BASIS</v>
          </cell>
          <cell r="W17" t="str">
            <v>5Y</v>
          </cell>
          <cell r="X17" t="b">
            <v>1</v>
          </cell>
          <cell r="Z17" t="str">
            <v>USBA5 CMPN Curncy</v>
          </cell>
          <cell r="AA17" t="str">
            <v>USBA5</v>
          </cell>
          <cell r="AB17" t="str">
            <v>CMPN</v>
          </cell>
          <cell r="AC17" t="str">
            <v>Curncy</v>
          </cell>
          <cell r="AD17" t="str">
            <v>TENOR-BASIS</v>
          </cell>
          <cell r="AE17" t="str">
            <v>5Y</v>
          </cell>
          <cell r="AF17" t="b">
            <v>1</v>
          </cell>
          <cell r="AH17" t="str">
            <v>USBL5 PREB Curncy</v>
          </cell>
          <cell r="AI17" t="str">
            <v>USBL5</v>
          </cell>
          <cell r="AJ17" t="str">
            <v>PREB</v>
          </cell>
          <cell r="AK17" t="str">
            <v>Curncy</v>
          </cell>
          <cell r="AL17" t="str">
            <v>TENOR-BASIS</v>
          </cell>
          <cell r="AM17" t="str">
            <v>5Y</v>
          </cell>
          <cell r="AN17" t="b">
            <v>1</v>
          </cell>
          <cell r="AP17" t="str">
            <v xml:space="preserve">  </v>
          </cell>
        </row>
        <row r="18">
          <cell r="B18" t="str">
            <v>FF5 COMB Comdty</v>
          </cell>
          <cell r="C18" t="str">
            <v>FF5</v>
          </cell>
          <cell r="D18" t="str">
            <v>COMB</v>
          </cell>
          <cell r="E18" t="str">
            <v>Comdty</v>
          </cell>
          <cell r="F18" t="str">
            <v>FED FUTURE</v>
          </cell>
          <cell r="G18" t="str">
            <v>FFK9</v>
          </cell>
          <cell r="H18" t="b">
            <v>0</v>
          </cell>
          <cell r="J18" t="str">
            <v>ED5  COMB Comdty</v>
          </cell>
          <cell r="K18" t="str">
            <v xml:space="preserve">ED5 </v>
          </cell>
          <cell r="L18" t="str">
            <v>COMB</v>
          </cell>
          <cell r="M18" t="str">
            <v>Comdty</v>
          </cell>
          <cell r="N18" t="str">
            <v>FUTURE</v>
          </cell>
          <cell r="O18" t="str">
            <v xml:space="preserve">ED5 </v>
          </cell>
          <cell r="P18" t="b">
            <v>1</v>
          </cell>
          <cell r="R18" t="str">
            <v>USBC6 ICPL Curncy</v>
          </cell>
          <cell r="S18" t="str">
            <v>USBC6</v>
          </cell>
          <cell r="T18" t="str">
            <v>ICPL</v>
          </cell>
          <cell r="U18" t="str">
            <v>Curncy</v>
          </cell>
          <cell r="V18" t="str">
            <v>TENOR-BASIS</v>
          </cell>
          <cell r="W18" t="str">
            <v>6Y</v>
          </cell>
          <cell r="X18" t="b">
            <v>1</v>
          </cell>
          <cell r="Z18" t="str">
            <v>USBA6 CMPN Curncy</v>
          </cell>
          <cell r="AA18" t="str">
            <v>USBA6</v>
          </cell>
          <cell r="AB18" t="str">
            <v>CMPN</v>
          </cell>
          <cell r="AC18" t="str">
            <v>Curncy</v>
          </cell>
          <cell r="AD18" t="str">
            <v>TENOR-BASIS</v>
          </cell>
          <cell r="AE18" t="str">
            <v>6Y</v>
          </cell>
          <cell r="AF18" t="b">
            <v>1</v>
          </cell>
          <cell r="AH18" t="str">
            <v>USBL7 PREB Curncy</v>
          </cell>
          <cell r="AI18" t="str">
            <v>USBL7</v>
          </cell>
          <cell r="AJ18" t="str">
            <v>PREB</v>
          </cell>
          <cell r="AK18" t="str">
            <v>Curncy</v>
          </cell>
          <cell r="AL18" t="str">
            <v>TENOR-BASIS</v>
          </cell>
          <cell r="AM18" t="str">
            <v>7Y</v>
          </cell>
          <cell r="AN18" t="b">
            <v>1</v>
          </cell>
          <cell r="AP18" t="str">
            <v xml:space="preserve">  </v>
          </cell>
        </row>
        <row r="19">
          <cell r="B19" t="str">
            <v>FF6 COMB Comdty</v>
          </cell>
          <cell r="C19" t="str">
            <v>FF6</v>
          </cell>
          <cell r="D19" t="str">
            <v>COMB</v>
          </cell>
          <cell r="E19" t="str">
            <v>Comdty</v>
          </cell>
          <cell r="F19" t="str">
            <v>FED FUTURE</v>
          </cell>
          <cell r="G19" t="str">
            <v>FFM9</v>
          </cell>
          <cell r="H19" t="b">
            <v>0</v>
          </cell>
          <cell r="J19" t="str">
            <v>ED6  COMB Comdty</v>
          </cell>
          <cell r="K19" t="str">
            <v xml:space="preserve">ED6 </v>
          </cell>
          <cell r="L19" t="str">
            <v>COMB</v>
          </cell>
          <cell r="M19" t="str">
            <v>Comdty</v>
          </cell>
          <cell r="N19" t="str">
            <v>FUTURE</v>
          </cell>
          <cell r="O19" t="str">
            <v xml:space="preserve">ED6 </v>
          </cell>
          <cell r="P19" t="b">
            <v>1</v>
          </cell>
          <cell r="R19" t="str">
            <v>USBC7 ICPL Curncy</v>
          </cell>
          <cell r="S19" t="str">
            <v>USBC7</v>
          </cell>
          <cell r="T19" t="str">
            <v>ICPL</v>
          </cell>
          <cell r="U19" t="str">
            <v>Curncy</v>
          </cell>
          <cell r="V19" t="str">
            <v>TENOR-BASIS</v>
          </cell>
          <cell r="W19" t="str">
            <v>7Y</v>
          </cell>
          <cell r="X19" t="b">
            <v>1</v>
          </cell>
          <cell r="Z19" t="str">
            <v>USBA7 CMPN Curncy</v>
          </cell>
          <cell r="AA19" t="str">
            <v>USBA7</v>
          </cell>
          <cell r="AB19" t="str">
            <v>CMPN</v>
          </cell>
          <cell r="AC19" t="str">
            <v>Curncy</v>
          </cell>
          <cell r="AD19" t="str">
            <v>TENOR-BASIS</v>
          </cell>
          <cell r="AE19" t="str">
            <v>7Y</v>
          </cell>
          <cell r="AF19" t="b">
            <v>1</v>
          </cell>
          <cell r="AH19" t="str">
            <v>USBL10 PREB Curncy</v>
          </cell>
          <cell r="AI19" t="str">
            <v>USBL10</v>
          </cell>
          <cell r="AJ19" t="str">
            <v>PREB</v>
          </cell>
          <cell r="AK19" t="str">
            <v>Curncy</v>
          </cell>
          <cell r="AL19" t="str">
            <v>TENOR-BASIS</v>
          </cell>
          <cell r="AM19" t="str">
            <v>10Y</v>
          </cell>
          <cell r="AN19" t="b">
            <v>1</v>
          </cell>
          <cell r="AP19" t="str">
            <v xml:space="preserve">  </v>
          </cell>
        </row>
        <row r="20">
          <cell r="B20" t="str">
            <v>FF7 COMB Comdty</v>
          </cell>
          <cell r="C20" t="str">
            <v>FF7</v>
          </cell>
          <cell r="D20" t="str">
            <v>COMB</v>
          </cell>
          <cell r="E20" t="str">
            <v>Comdty</v>
          </cell>
          <cell r="F20" t="str">
            <v>FED FUTURE</v>
          </cell>
          <cell r="G20" t="str">
            <v>FFN9</v>
          </cell>
          <cell r="H20" t="b">
            <v>0</v>
          </cell>
          <cell r="J20" t="str">
            <v>ED7  COMB Comdty</v>
          </cell>
          <cell r="K20" t="str">
            <v xml:space="preserve">ED7 </v>
          </cell>
          <cell r="L20" t="str">
            <v>COMB</v>
          </cell>
          <cell r="M20" t="str">
            <v>Comdty</v>
          </cell>
          <cell r="N20" t="str">
            <v>FUTURE</v>
          </cell>
          <cell r="O20" t="str">
            <v xml:space="preserve">ED7 </v>
          </cell>
          <cell r="P20" t="b">
            <v>1</v>
          </cell>
          <cell r="R20" t="str">
            <v>USBC8 ICPL Curncy</v>
          </cell>
          <cell r="S20" t="str">
            <v>USBC8</v>
          </cell>
          <cell r="T20" t="str">
            <v>ICPL</v>
          </cell>
          <cell r="U20" t="str">
            <v>Curncy</v>
          </cell>
          <cell r="V20" t="str">
            <v>TENOR-BASIS</v>
          </cell>
          <cell r="W20" t="str">
            <v>8Y</v>
          </cell>
          <cell r="X20" t="b">
            <v>1</v>
          </cell>
          <cell r="Z20" t="str">
            <v>USBA8 CMPN Curncy</v>
          </cell>
          <cell r="AA20" t="str">
            <v>USBA8</v>
          </cell>
          <cell r="AB20" t="str">
            <v>CMPN</v>
          </cell>
          <cell r="AC20" t="str">
            <v>Curncy</v>
          </cell>
          <cell r="AD20" t="str">
            <v>TENOR-BASIS</v>
          </cell>
          <cell r="AE20" t="str">
            <v>8Y</v>
          </cell>
          <cell r="AF20" t="b">
            <v>1</v>
          </cell>
          <cell r="AH20" t="str">
            <v>USBL12 PREB Curncy</v>
          </cell>
          <cell r="AI20" t="str">
            <v>USBL12</v>
          </cell>
          <cell r="AJ20" t="str">
            <v>PREB</v>
          </cell>
          <cell r="AK20" t="str">
            <v>Curncy</v>
          </cell>
          <cell r="AL20" t="str">
            <v>TENOR-BASIS</v>
          </cell>
          <cell r="AM20" t="str">
            <v>12Y</v>
          </cell>
          <cell r="AN20" t="b">
            <v>1</v>
          </cell>
          <cell r="AP20" t="str">
            <v xml:space="preserve">  </v>
          </cell>
        </row>
        <row r="21">
          <cell r="B21" t="str">
            <v>FF8 COMB Comdty</v>
          </cell>
          <cell r="C21" t="str">
            <v>FF8</v>
          </cell>
          <cell r="D21" t="str">
            <v>COMB</v>
          </cell>
          <cell r="E21" t="str">
            <v>Comdty</v>
          </cell>
          <cell r="F21" t="str">
            <v>FED FUTURE</v>
          </cell>
          <cell r="G21" t="str">
            <v>FFQ9</v>
          </cell>
          <cell r="H21" t="b">
            <v>0</v>
          </cell>
          <cell r="J21" t="str">
            <v>ED8  COMB Comdty</v>
          </cell>
          <cell r="K21" t="str">
            <v xml:space="preserve">ED8 </v>
          </cell>
          <cell r="L21" t="str">
            <v>COMB</v>
          </cell>
          <cell r="M21" t="str">
            <v>Comdty</v>
          </cell>
          <cell r="N21" t="str">
            <v>FUTURE</v>
          </cell>
          <cell r="O21" t="str">
            <v xml:space="preserve">ED8 </v>
          </cell>
          <cell r="P21" t="b">
            <v>1</v>
          </cell>
          <cell r="R21" t="str">
            <v>USBC9 ICPL Curncy</v>
          </cell>
          <cell r="S21" t="str">
            <v>USBC9</v>
          </cell>
          <cell r="T21" t="str">
            <v>ICPL</v>
          </cell>
          <cell r="U21" t="str">
            <v>Curncy</v>
          </cell>
          <cell r="V21" t="str">
            <v>TENOR-BASIS</v>
          </cell>
          <cell r="W21" t="str">
            <v>9Y</v>
          </cell>
          <cell r="X21" t="b">
            <v>1</v>
          </cell>
          <cell r="Z21" t="str">
            <v>USBA9 CMPN Curncy</v>
          </cell>
          <cell r="AA21" t="str">
            <v>USBA9</v>
          </cell>
          <cell r="AB21" t="str">
            <v>CMPN</v>
          </cell>
          <cell r="AC21" t="str">
            <v>Curncy</v>
          </cell>
          <cell r="AD21" t="str">
            <v>TENOR-BASIS</v>
          </cell>
          <cell r="AE21" t="str">
            <v>9Y</v>
          </cell>
          <cell r="AF21" t="b">
            <v>1</v>
          </cell>
          <cell r="AH21" t="str">
            <v>USBL15 PREB Curncy</v>
          </cell>
          <cell r="AI21" t="str">
            <v>USBL15</v>
          </cell>
          <cell r="AJ21" t="str">
            <v>PREB</v>
          </cell>
          <cell r="AK21" t="str">
            <v>Curncy</v>
          </cell>
          <cell r="AL21" t="str">
            <v>TENOR-BASIS</v>
          </cell>
          <cell r="AM21" t="str">
            <v>15Y</v>
          </cell>
          <cell r="AN21" t="b">
            <v>1</v>
          </cell>
          <cell r="AP21" t="str">
            <v xml:space="preserve">  </v>
          </cell>
        </row>
        <row r="22">
          <cell r="B22" t="str">
            <v>FF9 COMB Comdty</v>
          </cell>
          <cell r="C22" t="str">
            <v>FF9</v>
          </cell>
          <cell r="D22" t="str">
            <v>COMB</v>
          </cell>
          <cell r="E22" t="str">
            <v>Comdty</v>
          </cell>
          <cell r="F22" t="str">
            <v>FED FUTURE</v>
          </cell>
          <cell r="G22" t="str">
            <v>FFU9</v>
          </cell>
          <cell r="H22" t="b">
            <v>0</v>
          </cell>
          <cell r="J22" t="str">
            <v>ED9 COMB Comdty</v>
          </cell>
          <cell r="K22" t="str">
            <v>ED9</v>
          </cell>
          <cell r="L22" t="str">
            <v>COMB</v>
          </cell>
          <cell r="M22" t="str">
            <v>Comdty</v>
          </cell>
          <cell r="N22" t="str">
            <v>FUTURE</v>
          </cell>
          <cell r="O22" t="str">
            <v>ED9</v>
          </cell>
          <cell r="P22" t="b">
            <v>1</v>
          </cell>
          <cell r="R22" t="str">
            <v>USBC10 ICPL Curncy</v>
          </cell>
          <cell r="S22" t="str">
            <v>USBC10</v>
          </cell>
          <cell r="T22" t="str">
            <v>ICPL</v>
          </cell>
          <cell r="U22" t="str">
            <v>Curncy</v>
          </cell>
          <cell r="V22" t="str">
            <v>TENOR-BASIS</v>
          </cell>
          <cell r="W22" t="str">
            <v>10Y</v>
          </cell>
          <cell r="X22" t="b">
            <v>1</v>
          </cell>
          <cell r="Z22" t="str">
            <v>USBA10 CMPN Curncy</v>
          </cell>
          <cell r="AA22" t="str">
            <v>USBA10</v>
          </cell>
          <cell r="AB22" t="str">
            <v>CMPN</v>
          </cell>
          <cell r="AC22" t="str">
            <v>Curncy</v>
          </cell>
          <cell r="AD22" t="str">
            <v>TENOR-BASIS</v>
          </cell>
          <cell r="AE22" t="str">
            <v>10Y</v>
          </cell>
          <cell r="AF22" t="b">
            <v>1</v>
          </cell>
          <cell r="AH22" t="str">
            <v>USBL20 PREB Curncy</v>
          </cell>
          <cell r="AI22" t="str">
            <v>USBL20</v>
          </cell>
          <cell r="AJ22" t="str">
            <v>PREB</v>
          </cell>
          <cell r="AK22" t="str">
            <v>Curncy</v>
          </cell>
          <cell r="AL22" t="str">
            <v>TENOR-BASIS</v>
          </cell>
          <cell r="AM22" t="str">
            <v>20Y</v>
          </cell>
          <cell r="AN22" t="b">
            <v>1</v>
          </cell>
          <cell r="AP22" t="str">
            <v xml:space="preserve">  </v>
          </cell>
        </row>
        <row r="23">
          <cell r="B23" t="str">
            <v>FF10 COMB Comdty</v>
          </cell>
          <cell r="C23" t="str">
            <v>FF10</v>
          </cell>
          <cell r="D23" t="str">
            <v>COMB</v>
          </cell>
          <cell r="E23" t="str">
            <v>Comdty</v>
          </cell>
          <cell r="F23" t="str">
            <v>FED FUTURE</v>
          </cell>
          <cell r="G23" t="str">
            <v>FFV9</v>
          </cell>
          <cell r="H23" t="b">
            <v>0</v>
          </cell>
          <cell r="J23" t="str">
            <v>ED10  COMB Comdty</v>
          </cell>
          <cell r="K23" t="str">
            <v xml:space="preserve">ED10 </v>
          </cell>
          <cell r="L23" t="str">
            <v>COMB</v>
          </cell>
          <cell r="M23" t="str">
            <v>Comdty</v>
          </cell>
          <cell r="N23" t="str">
            <v>FUTURE</v>
          </cell>
          <cell r="O23" t="str">
            <v xml:space="preserve">ED10 </v>
          </cell>
          <cell r="P23" t="b">
            <v>1</v>
          </cell>
          <cell r="R23" t="str">
            <v>USBC12 ICPL Curncy</v>
          </cell>
          <cell r="S23" t="str">
            <v>USBC12</v>
          </cell>
          <cell r="T23" t="str">
            <v>ICPL</v>
          </cell>
          <cell r="U23" t="str">
            <v>Curncy</v>
          </cell>
          <cell r="V23" t="str">
            <v>TENOR-BASIS</v>
          </cell>
          <cell r="W23" t="str">
            <v>12Y</v>
          </cell>
          <cell r="X23" t="b">
            <v>1</v>
          </cell>
          <cell r="Z23" t="str">
            <v>USBA12 CMPN Curncy</v>
          </cell>
          <cell r="AA23" t="str">
            <v>USBA12</v>
          </cell>
          <cell r="AB23" t="str">
            <v>CMPN</v>
          </cell>
          <cell r="AC23" t="str">
            <v>Curncy</v>
          </cell>
          <cell r="AD23" t="str">
            <v>TENOR-BASIS</v>
          </cell>
          <cell r="AE23" t="str">
            <v>12Y</v>
          </cell>
          <cell r="AF23" t="b">
            <v>1</v>
          </cell>
          <cell r="AH23" t="str">
            <v>USBL25 PREB Curncy</v>
          </cell>
          <cell r="AI23" t="str">
            <v>USBL25</v>
          </cell>
          <cell r="AJ23" t="str">
            <v>PREB</v>
          </cell>
          <cell r="AK23" t="str">
            <v>Curncy</v>
          </cell>
          <cell r="AL23" t="str">
            <v>TENOR-BASIS</v>
          </cell>
          <cell r="AM23" t="str">
            <v>25Y</v>
          </cell>
          <cell r="AN23" t="b">
            <v>1</v>
          </cell>
          <cell r="AP23" t="str">
            <v xml:space="preserve">  </v>
          </cell>
        </row>
        <row r="24">
          <cell r="B24" t="str">
            <v>FF11 COMB Comdty</v>
          </cell>
          <cell r="C24" t="str">
            <v>FF11</v>
          </cell>
          <cell r="D24" t="str">
            <v>COMB</v>
          </cell>
          <cell r="E24" t="str">
            <v>Comdty</v>
          </cell>
          <cell r="F24" t="str">
            <v>FED FUTURE</v>
          </cell>
          <cell r="G24" t="str">
            <v>FFX9</v>
          </cell>
          <cell r="H24" t="b">
            <v>0</v>
          </cell>
          <cell r="J24" t="str">
            <v>ED11  COMB Comdty</v>
          </cell>
          <cell r="K24" t="str">
            <v xml:space="preserve">ED11 </v>
          </cell>
          <cell r="L24" t="str">
            <v>COMB</v>
          </cell>
          <cell r="M24" t="str">
            <v>Comdty</v>
          </cell>
          <cell r="N24" t="str">
            <v>FUTURE</v>
          </cell>
          <cell r="O24" t="str">
            <v xml:space="preserve">ED11 </v>
          </cell>
          <cell r="P24" t="b">
            <v>1</v>
          </cell>
          <cell r="R24" t="str">
            <v>USBC15 ICPL Curncy</v>
          </cell>
          <cell r="S24" t="str">
            <v>USBC15</v>
          </cell>
          <cell r="T24" t="str">
            <v>ICPL</v>
          </cell>
          <cell r="U24" t="str">
            <v>Curncy</v>
          </cell>
          <cell r="V24" t="str">
            <v>TENOR-BASIS</v>
          </cell>
          <cell r="W24" t="str">
            <v>15Y</v>
          </cell>
          <cell r="X24" t="b">
            <v>1</v>
          </cell>
          <cell r="Z24" t="str">
            <v>USBA15 CMPN Curncy</v>
          </cell>
          <cell r="AA24" t="str">
            <v>USBA15</v>
          </cell>
          <cell r="AB24" t="str">
            <v>CMPN</v>
          </cell>
          <cell r="AC24" t="str">
            <v>Curncy</v>
          </cell>
          <cell r="AD24" t="str">
            <v>TENOR-BASIS</v>
          </cell>
          <cell r="AE24" t="str">
            <v>15Y</v>
          </cell>
          <cell r="AF24" t="b">
            <v>1</v>
          </cell>
          <cell r="AH24" t="str">
            <v>USBL30 PREB Curncy</v>
          </cell>
          <cell r="AI24" t="str">
            <v>USBL30</v>
          </cell>
          <cell r="AJ24" t="str">
            <v>PREB</v>
          </cell>
          <cell r="AK24" t="str">
            <v>Curncy</v>
          </cell>
          <cell r="AL24" t="str">
            <v>TENOR-BASIS</v>
          </cell>
          <cell r="AM24" t="str">
            <v>30Y</v>
          </cell>
          <cell r="AN24" t="b">
            <v>1</v>
          </cell>
          <cell r="AP24" t="str">
            <v xml:space="preserve">  </v>
          </cell>
        </row>
        <row r="25">
          <cell r="B25" t="str">
            <v>FF12 COMB Comdty</v>
          </cell>
          <cell r="C25" t="str">
            <v>FF12</v>
          </cell>
          <cell r="D25" t="str">
            <v>COMB</v>
          </cell>
          <cell r="E25" t="str">
            <v>Comdty</v>
          </cell>
          <cell r="F25" t="str">
            <v>FED FUTURE</v>
          </cell>
          <cell r="G25" t="str">
            <v>FFZ9</v>
          </cell>
          <cell r="H25" t="b">
            <v>0</v>
          </cell>
          <cell r="J25" t="str">
            <v>ED12  COMB Comdty</v>
          </cell>
          <cell r="K25" t="str">
            <v xml:space="preserve">ED12 </v>
          </cell>
          <cell r="L25" t="str">
            <v>COMB</v>
          </cell>
          <cell r="M25" t="str">
            <v>Comdty</v>
          </cell>
          <cell r="N25" t="str">
            <v>FUTURE</v>
          </cell>
          <cell r="O25" t="str">
            <v xml:space="preserve">ED12 </v>
          </cell>
          <cell r="P25" t="b">
            <v>1</v>
          </cell>
          <cell r="R25" t="str">
            <v>USBC20 ICPL Curncy</v>
          </cell>
          <cell r="S25" t="str">
            <v>USBC20</v>
          </cell>
          <cell r="T25" t="str">
            <v>ICPL</v>
          </cell>
          <cell r="U25" t="str">
            <v>Curncy</v>
          </cell>
          <cell r="V25" t="str">
            <v>TENOR-BASIS</v>
          </cell>
          <cell r="W25" t="str">
            <v>20Y</v>
          </cell>
          <cell r="X25" t="b">
            <v>1</v>
          </cell>
          <cell r="Z25" t="str">
            <v>USBA20 CMPN Curncy</v>
          </cell>
          <cell r="AA25" t="str">
            <v>USBA20</v>
          </cell>
          <cell r="AB25" t="str">
            <v>CMPN</v>
          </cell>
          <cell r="AC25" t="str">
            <v>Curncy</v>
          </cell>
          <cell r="AD25" t="str">
            <v>TENOR-BASIS</v>
          </cell>
          <cell r="AE25" t="str">
            <v>20Y</v>
          </cell>
          <cell r="AF25" t="b">
            <v>1</v>
          </cell>
          <cell r="AH25" t="str">
            <v xml:space="preserve">  </v>
          </cell>
          <cell r="AP25" t="str">
            <v xml:space="preserve">  </v>
          </cell>
        </row>
        <row r="26">
          <cell r="B26" t="str">
            <v>USSO1Z CMPN Curncy</v>
          </cell>
          <cell r="C26" t="str">
            <v>USSO1Z</v>
          </cell>
          <cell r="D26" t="str">
            <v>CMPN</v>
          </cell>
          <cell r="E26" t="str">
            <v>Curncy</v>
          </cell>
          <cell r="F26" t="str">
            <v>OIS</v>
          </cell>
          <cell r="G26" t="str">
            <v>1W</v>
          </cell>
          <cell r="H26" t="b">
            <v>0</v>
          </cell>
          <cell r="J26" t="str">
            <v>ED13  COMB Comdty</v>
          </cell>
          <cell r="K26" t="str">
            <v xml:space="preserve">ED13 </v>
          </cell>
          <cell r="L26" t="str">
            <v>COMB</v>
          </cell>
          <cell r="M26" t="str">
            <v>Comdty</v>
          </cell>
          <cell r="N26" t="str">
            <v>FUTURE</v>
          </cell>
          <cell r="O26" t="str">
            <v xml:space="preserve">ED13 </v>
          </cell>
          <cell r="P26" t="b">
            <v>0</v>
          </cell>
          <cell r="R26" t="str">
            <v>USBC25 ICPL Curncy</v>
          </cell>
          <cell r="S26" t="str">
            <v>USBC25</v>
          </cell>
          <cell r="T26" t="str">
            <v>ICPL</v>
          </cell>
          <cell r="U26" t="str">
            <v>Curncy</v>
          </cell>
          <cell r="V26" t="str">
            <v>TENOR-BASIS</v>
          </cell>
          <cell r="W26" t="str">
            <v>25Y</v>
          </cell>
          <cell r="X26" t="b">
            <v>1</v>
          </cell>
          <cell r="Z26" t="str">
            <v>USBA25 CMPN Curncy</v>
          </cell>
          <cell r="AA26" t="str">
            <v>USBA25</v>
          </cell>
          <cell r="AB26" t="str">
            <v>CMPN</v>
          </cell>
          <cell r="AC26" t="str">
            <v>Curncy</v>
          </cell>
          <cell r="AD26" t="str">
            <v>TENOR-BASIS</v>
          </cell>
          <cell r="AE26" t="str">
            <v>25Y</v>
          </cell>
          <cell r="AF26" t="b">
            <v>1</v>
          </cell>
          <cell r="AH26" t="str">
            <v xml:space="preserve">  </v>
          </cell>
          <cell r="AP26" t="str">
            <v xml:space="preserve">  </v>
          </cell>
        </row>
        <row r="27">
          <cell r="B27" t="str">
            <v>USSO2Z CMPN Curncy</v>
          </cell>
          <cell r="C27" t="str">
            <v>USSO2Z</v>
          </cell>
          <cell r="D27" t="str">
            <v>CMPN</v>
          </cell>
          <cell r="E27" t="str">
            <v>Curncy</v>
          </cell>
          <cell r="F27" t="str">
            <v>OIS</v>
          </cell>
          <cell r="G27" t="str">
            <v>2W</v>
          </cell>
          <cell r="H27" t="b">
            <v>0</v>
          </cell>
          <cell r="J27" t="str">
            <v>ED14  COMB Comdty</v>
          </cell>
          <cell r="K27" t="str">
            <v xml:space="preserve">ED14 </v>
          </cell>
          <cell r="L27" t="str">
            <v>COMB</v>
          </cell>
          <cell r="M27" t="str">
            <v>Comdty</v>
          </cell>
          <cell r="N27" t="str">
            <v>FUTURE</v>
          </cell>
          <cell r="O27" t="str">
            <v xml:space="preserve">ED14 </v>
          </cell>
          <cell r="P27" t="b">
            <v>0</v>
          </cell>
          <cell r="R27" t="str">
            <v>USBC30 ICPL Curncy</v>
          </cell>
          <cell r="S27" t="str">
            <v>USBC30</v>
          </cell>
          <cell r="T27" t="str">
            <v>ICPL</v>
          </cell>
          <cell r="U27" t="str">
            <v>Curncy</v>
          </cell>
          <cell r="V27" t="str">
            <v>TENOR-BASIS</v>
          </cell>
          <cell r="W27" t="str">
            <v>30Y</v>
          </cell>
          <cell r="X27" t="b">
            <v>1</v>
          </cell>
          <cell r="Z27" t="str">
            <v>USBA30 CMPN Curncy</v>
          </cell>
          <cell r="AA27" t="str">
            <v>USBA30</v>
          </cell>
          <cell r="AB27" t="str">
            <v>CMPN</v>
          </cell>
          <cell r="AC27" t="str">
            <v>Curncy</v>
          </cell>
          <cell r="AD27" t="str">
            <v>TENOR-BASIS</v>
          </cell>
          <cell r="AE27" t="str">
            <v>30Y</v>
          </cell>
          <cell r="AF27" t="b">
            <v>1</v>
          </cell>
          <cell r="AH27" t="str">
            <v xml:space="preserve">  </v>
          </cell>
          <cell r="AP27" t="str">
            <v xml:space="preserve">  </v>
          </cell>
        </row>
        <row r="28">
          <cell r="B28" t="str">
            <v>USSO3Z CMPN Curncy</v>
          </cell>
          <cell r="C28" t="str">
            <v>USSO3Z</v>
          </cell>
          <cell r="D28" t="str">
            <v>CMPN</v>
          </cell>
          <cell r="E28" t="str">
            <v>Curncy</v>
          </cell>
          <cell r="F28" t="str">
            <v>OIS</v>
          </cell>
          <cell r="G28" t="str">
            <v>3W</v>
          </cell>
          <cell r="H28" t="b">
            <v>0</v>
          </cell>
          <cell r="J28" t="str">
            <v>ED15  COMB Comdty</v>
          </cell>
          <cell r="K28" t="str">
            <v xml:space="preserve">ED15 </v>
          </cell>
          <cell r="L28" t="str">
            <v>COMB</v>
          </cell>
          <cell r="M28" t="str">
            <v>Comdty</v>
          </cell>
          <cell r="N28" t="str">
            <v>FUTURE</v>
          </cell>
          <cell r="O28" t="str">
            <v xml:space="preserve">ED15 </v>
          </cell>
          <cell r="P28" t="b">
            <v>0</v>
          </cell>
          <cell r="R28" t="str">
            <v xml:space="preserve">  </v>
          </cell>
          <cell r="Z28" t="str">
            <v xml:space="preserve">  </v>
          </cell>
          <cell r="AH28" t="str">
            <v xml:space="preserve">  </v>
          </cell>
          <cell r="AP28" t="str">
            <v xml:space="preserve">  </v>
          </cell>
        </row>
        <row r="29">
          <cell r="B29" t="str">
            <v>USSOA CMPN Curncy</v>
          </cell>
          <cell r="C29" t="str">
            <v>USSOA</v>
          </cell>
          <cell r="D29" t="str">
            <v>CMPN</v>
          </cell>
          <cell r="E29" t="str">
            <v>Curncy</v>
          </cell>
          <cell r="F29" t="str">
            <v>OIS</v>
          </cell>
          <cell r="G29" t="str">
            <v>1M</v>
          </cell>
          <cell r="H29" t="b">
            <v>0</v>
          </cell>
          <cell r="J29" t="str">
            <v>ED16  COMB Comdty</v>
          </cell>
          <cell r="K29" t="str">
            <v xml:space="preserve">ED16 </v>
          </cell>
          <cell r="L29" t="str">
            <v>COMB</v>
          </cell>
          <cell r="M29" t="str">
            <v>Comdty</v>
          </cell>
          <cell r="N29" t="str">
            <v>FUTURE</v>
          </cell>
          <cell r="O29" t="str">
            <v xml:space="preserve">ED16 </v>
          </cell>
          <cell r="P29" t="b">
            <v>0</v>
          </cell>
          <cell r="R29" t="str">
            <v xml:space="preserve">  </v>
          </cell>
          <cell r="Z29" t="str">
            <v xml:space="preserve">  </v>
          </cell>
          <cell r="AH29" t="str">
            <v xml:space="preserve">  </v>
          </cell>
          <cell r="AP29" t="str">
            <v xml:space="preserve">  </v>
          </cell>
        </row>
        <row r="30">
          <cell r="B30" t="str">
            <v>USSOB CMPN Curncy</v>
          </cell>
          <cell r="C30" t="str">
            <v>USSOB</v>
          </cell>
          <cell r="D30" t="str">
            <v>CMPN</v>
          </cell>
          <cell r="E30" t="str">
            <v>Curncy</v>
          </cell>
          <cell r="F30" t="str">
            <v>OIS</v>
          </cell>
          <cell r="G30" t="str">
            <v>2M</v>
          </cell>
          <cell r="H30" t="b">
            <v>0</v>
          </cell>
          <cell r="J30" t="str">
            <v>USSWAP4 BGN Curncy</v>
          </cell>
          <cell r="K30" t="str">
            <v>USSWAP4</v>
          </cell>
          <cell r="L30" t="str">
            <v>BGN</v>
          </cell>
          <cell r="M30" t="str">
            <v>Curncy</v>
          </cell>
          <cell r="N30" t="str">
            <v>SWAP</v>
          </cell>
          <cell r="O30" t="str">
            <v>4Y</v>
          </cell>
          <cell r="P30" t="b">
            <v>0</v>
          </cell>
          <cell r="R30" t="str">
            <v xml:space="preserve">  </v>
          </cell>
          <cell r="Z30" t="str">
            <v xml:space="preserve">  </v>
          </cell>
          <cell r="AH30" t="str">
            <v xml:space="preserve">  </v>
          </cell>
          <cell r="AP30" t="str">
            <v xml:space="preserve">  </v>
          </cell>
        </row>
        <row r="31">
          <cell r="B31" t="str">
            <v>USSOC CMPN Curncy</v>
          </cell>
          <cell r="C31" t="str">
            <v>USSOC</v>
          </cell>
          <cell r="D31" t="str">
            <v>CMPN</v>
          </cell>
          <cell r="E31" t="str">
            <v>Curncy</v>
          </cell>
          <cell r="F31" t="str">
            <v>OIS</v>
          </cell>
          <cell r="G31" t="str">
            <v>3M</v>
          </cell>
          <cell r="H31" t="b">
            <v>0</v>
          </cell>
          <cell r="J31" t="str">
            <v>USSWAP5 BGN Curncy</v>
          </cell>
          <cell r="K31" t="str">
            <v>USSWAP5</v>
          </cell>
          <cell r="L31" t="str">
            <v>BGN</v>
          </cell>
          <cell r="M31" t="str">
            <v>Curncy</v>
          </cell>
          <cell r="N31" t="str">
            <v>SWAP</v>
          </cell>
          <cell r="O31" t="str">
            <v>5Y</v>
          </cell>
          <cell r="P31" t="b">
            <v>1</v>
          </cell>
          <cell r="R31" t="str">
            <v xml:space="preserve">  </v>
          </cell>
          <cell r="Z31" t="str">
            <v xml:space="preserve">  </v>
          </cell>
          <cell r="AH31" t="str">
            <v xml:space="preserve">  </v>
          </cell>
          <cell r="AP31" t="str">
            <v xml:space="preserve">  </v>
          </cell>
        </row>
        <row r="32">
          <cell r="B32" t="str">
            <v>USSOD CMPN Curncy</v>
          </cell>
          <cell r="C32" t="str">
            <v>USSOD</v>
          </cell>
          <cell r="D32" t="str">
            <v>CMPN</v>
          </cell>
          <cell r="E32" t="str">
            <v>Curncy</v>
          </cell>
          <cell r="F32" t="str">
            <v>OIS</v>
          </cell>
          <cell r="G32" t="str">
            <v>4M</v>
          </cell>
          <cell r="H32" t="b">
            <v>0</v>
          </cell>
          <cell r="J32" t="str">
            <v>USSW6 BGN Curncy</v>
          </cell>
          <cell r="K32" t="str">
            <v>USSW6</v>
          </cell>
          <cell r="L32" t="str">
            <v>BGN</v>
          </cell>
          <cell r="M32" t="str">
            <v>Curncy</v>
          </cell>
          <cell r="N32" t="str">
            <v>SWAP</v>
          </cell>
          <cell r="O32" t="str">
            <v>6Y</v>
          </cell>
          <cell r="P32" t="b">
            <v>0</v>
          </cell>
          <cell r="R32" t="str">
            <v xml:space="preserve">  </v>
          </cell>
          <cell r="Z32" t="str">
            <v xml:space="preserve">  </v>
          </cell>
          <cell r="AH32" t="str">
            <v xml:space="preserve">  </v>
          </cell>
          <cell r="AP32" t="str">
            <v xml:space="preserve">  </v>
          </cell>
        </row>
        <row r="33">
          <cell r="B33" t="str">
            <v>USSOE CMPN Curncy</v>
          </cell>
          <cell r="C33" t="str">
            <v>USSOE</v>
          </cell>
          <cell r="D33" t="str">
            <v>CMPN</v>
          </cell>
          <cell r="E33" t="str">
            <v>Curncy</v>
          </cell>
          <cell r="F33" t="str">
            <v>OIS</v>
          </cell>
          <cell r="G33" t="str">
            <v>5M</v>
          </cell>
          <cell r="H33" t="b">
            <v>0</v>
          </cell>
          <cell r="J33" t="str">
            <v>USSWAP7 BGN Curncy</v>
          </cell>
          <cell r="K33" t="str">
            <v>USSWAP7</v>
          </cell>
          <cell r="L33" t="str">
            <v>BGN</v>
          </cell>
          <cell r="M33" t="str">
            <v>Curncy</v>
          </cell>
          <cell r="N33" t="str">
            <v>SWAP</v>
          </cell>
          <cell r="O33" t="str">
            <v>7Y</v>
          </cell>
          <cell r="P33" t="b">
            <v>1</v>
          </cell>
          <cell r="R33" t="str">
            <v xml:space="preserve">  </v>
          </cell>
          <cell r="Z33" t="str">
            <v xml:space="preserve">  </v>
          </cell>
          <cell r="AH33" t="str">
            <v xml:space="preserve">  </v>
          </cell>
          <cell r="AP33" t="str">
            <v xml:space="preserve">  </v>
          </cell>
        </row>
        <row r="34">
          <cell r="B34" t="str">
            <v>USSOF CMPN Curncy</v>
          </cell>
          <cell r="C34" t="str">
            <v>USSOF</v>
          </cell>
          <cell r="D34" t="str">
            <v>CMPN</v>
          </cell>
          <cell r="E34" t="str">
            <v>Curncy</v>
          </cell>
          <cell r="F34" t="str">
            <v>OIS</v>
          </cell>
          <cell r="G34" t="str">
            <v>6M</v>
          </cell>
          <cell r="H34" t="b">
            <v>0</v>
          </cell>
          <cell r="J34" t="str">
            <v>USSW8 BGN Curncy</v>
          </cell>
          <cell r="K34" t="str">
            <v>USSW8</v>
          </cell>
          <cell r="L34" t="str">
            <v>BGN</v>
          </cell>
          <cell r="M34" t="str">
            <v>Curncy</v>
          </cell>
          <cell r="N34" t="str">
            <v>SWAP</v>
          </cell>
          <cell r="O34" t="str">
            <v>8Y</v>
          </cell>
          <cell r="P34" t="b">
            <v>0</v>
          </cell>
          <cell r="R34" t="str">
            <v xml:space="preserve">  </v>
          </cell>
          <cell r="Z34" t="str">
            <v xml:space="preserve">  </v>
          </cell>
          <cell r="AH34" t="str">
            <v xml:space="preserve">  </v>
          </cell>
          <cell r="AP34" t="str">
            <v xml:space="preserve">  </v>
          </cell>
        </row>
        <row r="35">
          <cell r="B35" t="str">
            <v>USSOI CMPN Curncy</v>
          </cell>
          <cell r="C35" t="str">
            <v>USSOI</v>
          </cell>
          <cell r="D35" t="str">
            <v>CMPN</v>
          </cell>
          <cell r="E35" t="str">
            <v>Curncy</v>
          </cell>
          <cell r="F35" t="str">
            <v>OIS</v>
          </cell>
          <cell r="G35" t="str">
            <v>9M</v>
          </cell>
          <cell r="H35" t="b">
            <v>0</v>
          </cell>
          <cell r="J35" t="str">
            <v>USSW9 BGN Curncy</v>
          </cell>
          <cell r="K35" t="str">
            <v>USSW9</v>
          </cell>
          <cell r="L35" t="str">
            <v>BGN</v>
          </cell>
          <cell r="M35" t="str">
            <v>Curncy</v>
          </cell>
          <cell r="N35" t="str">
            <v>SWAP</v>
          </cell>
          <cell r="O35" t="str">
            <v>9Y</v>
          </cell>
          <cell r="P35" t="b">
            <v>0</v>
          </cell>
          <cell r="R35" t="str">
            <v xml:space="preserve">  </v>
          </cell>
          <cell r="Z35" t="str">
            <v xml:space="preserve">  </v>
          </cell>
          <cell r="AH35" t="str">
            <v xml:space="preserve">  </v>
          </cell>
          <cell r="AP35" t="str">
            <v xml:space="preserve">  </v>
          </cell>
        </row>
        <row r="36">
          <cell r="B36" t="str">
            <v>USSO1 CMPN Curncy</v>
          </cell>
          <cell r="C36" t="str">
            <v>USSO1</v>
          </cell>
          <cell r="D36" t="str">
            <v>CMPN</v>
          </cell>
          <cell r="E36" t="str">
            <v>Curncy</v>
          </cell>
          <cell r="F36" t="str">
            <v>OIS</v>
          </cell>
          <cell r="G36" t="str">
            <v>12M</v>
          </cell>
          <cell r="H36" t="b">
            <v>1</v>
          </cell>
          <cell r="J36" t="str">
            <v>USSWAP10 BGN Curncy</v>
          </cell>
          <cell r="K36" t="str">
            <v>USSWAP10</v>
          </cell>
          <cell r="L36" t="str">
            <v>BGN</v>
          </cell>
          <cell r="M36" t="str">
            <v>Curncy</v>
          </cell>
          <cell r="N36" t="str">
            <v>SWAP</v>
          </cell>
          <cell r="O36" t="str">
            <v>10Y</v>
          </cell>
          <cell r="P36" t="b">
            <v>1</v>
          </cell>
          <cell r="R36" t="str">
            <v xml:space="preserve">  </v>
          </cell>
          <cell r="Z36" t="str">
            <v xml:space="preserve">  </v>
          </cell>
          <cell r="AH36" t="str">
            <v xml:space="preserve">  </v>
          </cell>
          <cell r="AP36" t="str">
            <v xml:space="preserve">  </v>
          </cell>
        </row>
        <row r="37">
          <cell r="B37" t="str">
            <v>USSO1F CMPN Curncy</v>
          </cell>
          <cell r="C37" t="str">
            <v>USSO1F</v>
          </cell>
          <cell r="D37" t="str">
            <v>CMPN</v>
          </cell>
          <cell r="E37" t="str">
            <v>Curncy</v>
          </cell>
          <cell r="F37" t="str">
            <v>OIS</v>
          </cell>
          <cell r="G37" t="str">
            <v>18M</v>
          </cell>
          <cell r="H37" t="b">
            <v>0</v>
          </cell>
          <cell r="J37" t="str">
            <v>USSWAP11 BGN Curncy</v>
          </cell>
          <cell r="K37" t="str">
            <v>USSWAP11</v>
          </cell>
          <cell r="L37" t="str">
            <v>BGN</v>
          </cell>
          <cell r="M37" t="str">
            <v>Curncy</v>
          </cell>
          <cell r="N37" t="str">
            <v>SWAP</v>
          </cell>
          <cell r="O37" t="str">
            <v>11Y</v>
          </cell>
          <cell r="P37" t="b">
            <v>1</v>
          </cell>
          <cell r="R37" t="str">
            <v xml:space="preserve">  </v>
          </cell>
          <cell r="Z37" t="str">
            <v xml:space="preserve">  </v>
          </cell>
          <cell r="AH37" t="str">
            <v xml:space="preserve">  </v>
          </cell>
          <cell r="AP37" t="str">
            <v xml:space="preserve">  </v>
          </cell>
        </row>
        <row r="38">
          <cell r="B38" t="str">
            <v>USSO2 CMPN Curncy</v>
          </cell>
          <cell r="C38" t="str">
            <v>USSO2</v>
          </cell>
          <cell r="D38" t="str">
            <v>CMPN</v>
          </cell>
          <cell r="E38" t="str">
            <v>Curncy</v>
          </cell>
          <cell r="F38" t="str">
            <v>OIS</v>
          </cell>
          <cell r="G38" t="str">
            <v>2Y</v>
          </cell>
          <cell r="H38" t="b">
            <v>1</v>
          </cell>
          <cell r="J38" t="str">
            <v>USSWAP12 BGN Curncy</v>
          </cell>
          <cell r="K38" t="str">
            <v>USSWAP12</v>
          </cell>
          <cell r="L38" t="str">
            <v>BGN</v>
          </cell>
          <cell r="M38" t="str">
            <v>Curncy</v>
          </cell>
          <cell r="N38" t="str">
            <v>SWAP</v>
          </cell>
          <cell r="O38" t="str">
            <v>12Y</v>
          </cell>
          <cell r="P38" t="b">
            <v>1</v>
          </cell>
          <cell r="R38" t="str">
            <v xml:space="preserve">  </v>
          </cell>
          <cell r="Z38" t="str">
            <v xml:space="preserve">  </v>
          </cell>
          <cell r="AH38" t="str">
            <v xml:space="preserve">  </v>
          </cell>
          <cell r="AP38" t="str">
            <v xml:space="preserve">  </v>
          </cell>
        </row>
        <row r="39">
          <cell r="B39" t="str">
            <v>USSO3 CMPN Curncy</v>
          </cell>
          <cell r="C39" t="str">
            <v>USSO3</v>
          </cell>
          <cell r="D39" t="str">
            <v>CMPN</v>
          </cell>
          <cell r="E39" t="str">
            <v>Curncy</v>
          </cell>
          <cell r="F39" t="str">
            <v>OIS</v>
          </cell>
          <cell r="G39" t="str">
            <v>3Y</v>
          </cell>
          <cell r="H39" t="b">
            <v>1</v>
          </cell>
          <cell r="J39" t="str">
            <v>USSWAP15 BGN Curncy</v>
          </cell>
          <cell r="K39" t="str">
            <v>USSWAP15</v>
          </cell>
          <cell r="L39" t="str">
            <v>BGN</v>
          </cell>
          <cell r="M39" t="str">
            <v>Curncy</v>
          </cell>
          <cell r="N39" t="str">
            <v>SWAP</v>
          </cell>
          <cell r="O39" t="str">
            <v>15Y</v>
          </cell>
          <cell r="P39" t="b">
            <v>1</v>
          </cell>
          <cell r="R39" t="str">
            <v xml:space="preserve">  </v>
          </cell>
          <cell r="Z39" t="str">
            <v xml:space="preserve">  </v>
          </cell>
          <cell r="AH39" t="str">
            <v xml:space="preserve">  </v>
          </cell>
          <cell r="AP39" t="str">
            <v xml:space="preserve">  </v>
          </cell>
        </row>
        <row r="40">
          <cell r="B40" t="str">
            <v>USSO4 CMPN Curncy</v>
          </cell>
          <cell r="C40" t="str">
            <v>USSO4</v>
          </cell>
          <cell r="D40" t="str">
            <v>CMPN</v>
          </cell>
          <cell r="E40" t="str">
            <v>Curncy</v>
          </cell>
          <cell r="F40" t="str">
            <v>OIS</v>
          </cell>
          <cell r="G40" t="str">
            <v>4Y</v>
          </cell>
          <cell r="H40" t="b">
            <v>1</v>
          </cell>
          <cell r="J40" t="str">
            <v>USSWAP20 BGN Curncy</v>
          </cell>
          <cell r="K40" t="str">
            <v>USSWAP20</v>
          </cell>
          <cell r="L40" t="str">
            <v>BGN</v>
          </cell>
          <cell r="M40" t="str">
            <v>Curncy</v>
          </cell>
          <cell r="N40" t="str">
            <v>SWAP</v>
          </cell>
          <cell r="O40" t="str">
            <v>20Y</v>
          </cell>
          <cell r="P40" t="b">
            <v>1</v>
          </cell>
          <cell r="R40" t="str">
            <v xml:space="preserve">  </v>
          </cell>
          <cell r="Z40" t="str">
            <v xml:space="preserve">  </v>
          </cell>
          <cell r="AH40" t="str">
            <v xml:space="preserve">  </v>
          </cell>
          <cell r="AP40" t="str">
            <v xml:space="preserve">  </v>
          </cell>
        </row>
        <row r="41">
          <cell r="B41" t="str">
            <v>USSO5 CMPN Curncy</v>
          </cell>
          <cell r="C41" t="str">
            <v>USSO5</v>
          </cell>
          <cell r="D41" t="str">
            <v>CMPN</v>
          </cell>
          <cell r="E41" t="str">
            <v>Curncy</v>
          </cell>
          <cell r="F41" t="str">
            <v>OIS</v>
          </cell>
          <cell r="G41" t="str">
            <v>5Y</v>
          </cell>
          <cell r="H41" t="b">
            <v>1</v>
          </cell>
          <cell r="J41" t="str">
            <v>USSWAP25 BGN Curncy</v>
          </cell>
          <cell r="K41" t="str">
            <v>USSWAP25</v>
          </cell>
          <cell r="L41" t="str">
            <v>BGN</v>
          </cell>
          <cell r="M41" t="str">
            <v>Curncy</v>
          </cell>
          <cell r="N41" t="str">
            <v>SWAP</v>
          </cell>
          <cell r="O41" t="str">
            <v>25Y</v>
          </cell>
          <cell r="P41" t="b">
            <v>1</v>
          </cell>
          <cell r="R41" t="str">
            <v xml:space="preserve">  </v>
          </cell>
          <cell r="Z41" t="str">
            <v xml:space="preserve">  </v>
          </cell>
          <cell r="AH41" t="str">
            <v xml:space="preserve">  </v>
          </cell>
          <cell r="AP41" t="str">
            <v xml:space="preserve">  </v>
          </cell>
        </row>
        <row r="42">
          <cell r="B42" t="str">
            <v>USSO6 CMPN Curncy</v>
          </cell>
          <cell r="C42" t="str">
            <v>USSO6</v>
          </cell>
          <cell r="D42" t="str">
            <v>CMPN</v>
          </cell>
          <cell r="E42" t="str">
            <v>Curncy</v>
          </cell>
          <cell r="F42" t="str">
            <v>OIS</v>
          </cell>
          <cell r="G42" t="str">
            <v>6Y</v>
          </cell>
          <cell r="H42" t="b">
            <v>1</v>
          </cell>
          <cell r="J42" t="str">
            <v>USSWAP30 BGN Curncy</v>
          </cell>
          <cell r="K42" t="str">
            <v>USSWAP30</v>
          </cell>
          <cell r="L42" t="str">
            <v>BGN</v>
          </cell>
          <cell r="M42" t="str">
            <v>Curncy</v>
          </cell>
          <cell r="N42" t="str">
            <v>SWAP</v>
          </cell>
          <cell r="O42" t="str">
            <v>30Y</v>
          </cell>
          <cell r="P42" t="b">
            <v>1</v>
          </cell>
          <cell r="R42" t="str">
            <v xml:space="preserve">  </v>
          </cell>
          <cell r="Z42" t="str">
            <v xml:space="preserve">  </v>
          </cell>
          <cell r="AH42" t="str">
            <v xml:space="preserve">  </v>
          </cell>
          <cell r="AP42" t="str">
            <v xml:space="preserve">  </v>
          </cell>
        </row>
        <row r="43">
          <cell r="B43" t="str">
            <v>USSO7 CMPN Curncy</v>
          </cell>
          <cell r="C43" t="str">
            <v>USSO7</v>
          </cell>
          <cell r="D43" t="str">
            <v>CMPN</v>
          </cell>
          <cell r="E43" t="str">
            <v>Curncy</v>
          </cell>
          <cell r="F43" t="str">
            <v>OIS</v>
          </cell>
          <cell r="G43" t="str">
            <v>7Y</v>
          </cell>
          <cell r="H43" t="b">
            <v>1</v>
          </cell>
          <cell r="J43" t="str">
            <v>USSWAP40 BGN Curncy</v>
          </cell>
          <cell r="K43" t="str">
            <v>USSWAP40</v>
          </cell>
          <cell r="L43" t="str">
            <v>BGN</v>
          </cell>
          <cell r="M43" t="str">
            <v>Curncy</v>
          </cell>
          <cell r="N43" t="str">
            <v>SWAP</v>
          </cell>
          <cell r="O43" t="str">
            <v>40Y</v>
          </cell>
          <cell r="P43" t="b">
            <v>1</v>
          </cell>
          <cell r="R43" t="str">
            <v xml:space="preserve">  </v>
          </cell>
          <cell r="Z43" t="str">
            <v xml:space="preserve">  </v>
          </cell>
          <cell r="AH43" t="str">
            <v xml:space="preserve">  </v>
          </cell>
          <cell r="AP43" t="str">
            <v xml:space="preserve">  </v>
          </cell>
        </row>
        <row r="44">
          <cell r="B44" t="str">
            <v>USSO10 CMPN Curncy</v>
          </cell>
          <cell r="C44" t="str">
            <v>USSO10</v>
          </cell>
          <cell r="D44" t="str">
            <v>CMPN</v>
          </cell>
          <cell r="E44" t="str">
            <v>Curncy</v>
          </cell>
          <cell r="F44" t="str">
            <v>OIS</v>
          </cell>
          <cell r="G44" t="str">
            <v>10Y</v>
          </cell>
          <cell r="H44" t="b">
            <v>1</v>
          </cell>
          <cell r="J44" t="str">
            <v xml:space="preserve">  </v>
          </cell>
          <cell r="R44" t="str">
            <v xml:space="preserve">  </v>
          </cell>
          <cell r="Z44" t="str">
            <v xml:space="preserve">  </v>
          </cell>
          <cell r="AH44" t="str">
            <v xml:space="preserve">  </v>
          </cell>
          <cell r="AP44" t="str">
            <v xml:space="preserve">  </v>
          </cell>
        </row>
        <row r="45">
          <cell r="B45" t="str">
            <v>USSO12 CMPN Curncy</v>
          </cell>
          <cell r="C45" t="str">
            <v>USSO12</v>
          </cell>
          <cell r="D45" t="str">
            <v>CMPN</v>
          </cell>
          <cell r="E45" t="str">
            <v>Curncy</v>
          </cell>
          <cell r="F45" t="str">
            <v>OIS</v>
          </cell>
          <cell r="G45" t="str">
            <v>12Y</v>
          </cell>
          <cell r="H45" t="b">
            <v>1</v>
          </cell>
          <cell r="J45" t="str">
            <v xml:space="preserve">  </v>
          </cell>
          <cell r="R45" t="str">
            <v xml:space="preserve">  </v>
          </cell>
          <cell r="Z45" t="str">
            <v xml:space="preserve">  </v>
          </cell>
          <cell r="AH45" t="str">
            <v xml:space="preserve">  </v>
          </cell>
          <cell r="AP45" t="str">
            <v xml:space="preserve">  </v>
          </cell>
        </row>
        <row r="46">
          <cell r="B46" t="str">
            <v>USSO15 CMPN Curncy</v>
          </cell>
          <cell r="C46" t="str">
            <v>USSO15</v>
          </cell>
          <cell r="D46" t="str">
            <v>CMPN</v>
          </cell>
          <cell r="E46" t="str">
            <v>Curncy</v>
          </cell>
          <cell r="F46" t="str">
            <v>OIS</v>
          </cell>
          <cell r="G46" t="str">
            <v>15Y</v>
          </cell>
          <cell r="H46" t="b">
            <v>1</v>
          </cell>
          <cell r="J46" t="str">
            <v xml:space="preserve">  </v>
          </cell>
          <cell r="R46" t="str">
            <v xml:space="preserve">  </v>
          </cell>
          <cell r="Z46" t="str">
            <v xml:space="preserve">  </v>
          </cell>
          <cell r="AH46" t="str">
            <v xml:space="preserve">  </v>
          </cell>
          <cell r="AP46" t="str">
            <v xml:space="preserve">  </v>
          </cell>
        </row>
        <row r="47">
          <cell r="B47" t="str">
            <v>USSO20 CMPN Curncy</v>
          </cell>
          <cell r="C47" t="str">
            <v>USSO20</v>
          </cell>
          <cell r="D47" t="str">
            <v>CMPN</v>
          </cell>
          <cell r="E47" t="str">
            <v>Curncy</v>
          </cell>
          <cell r="F47" t="str">
            <v>OIS</v>
          </cell>
          <cell r="G47" t="str">
            <v>20Y</v>
          </cell>
          <cell r="H47" t="b">
            <v>1</v>
          </cell>
          <cell r="J47" t="str">
            <v xml:space="preserve">  </v>
          </cell>
          <cell r="R47" t="str">
            <v xml:space="preserve">  </v>
          </cell>
          <cell r="Z47" t="str">
            <v xml:space="preserve">  </v>
          </cell>
          <cell r="AH47" t="str">
            <v xml:space="preserve">  </v>
          </cell>
          <cell r="AP47" t="str">
            <v xml:space="preserve">  </v>
          </cell>
        </row>
        <row r="48">
          <cell r="B48" t="str">
            <v>USSO25 CMPN Curncy</v>
          </cell>
          <cell r="C48" t="str">
            <v>USSO25</v>
          </cell>
          <cell r="D48" t="str">
            <v>CMPN</v>
          </cell>
          <cell r="E48" t="str">
            <v>Curncy</v>
          </cell>
          <cell r="F48" t="str">
            <v>OIS</v>
          </cell>
          <cell r="G48" t="str">
            <v>25Y</v>
          </cell>
          <cell r="H48" t="b">
            <v>1</v>
          </cell>
          <cell r="J48" t="str">
            <v xml:space="preserve">  </v>
          </cell>
          <cell r="R48" t="str">
            <v xml:space="preserve">  </v>
          </cell>
          <cell r="Z48" t="str">
            <v xml:space="preserve">  </v>
          </cell>
          <cell r="AH48" t="str">
            <v xml:space="preserve">  </v>
          </cell>
          <cell r="AP48" t="str">
            <v xml:space="preserve">  </v>
          </cell>
        </row>
        <row r="49">
          <cell r="B49" t="str">
            <v>USSO30 CMPN Curncy</v>
          </cell>
          <cell r="C49" t="str">
            <v>USSO30</v>
          </cell>
          <cell r="D49" t="str">
            <v>CMPN</v>
          </cell>
          <cell r="E49" t="str">
            <v>Curncy</v>
          </cell>
          <cell r="F49" t="str">
            <v>OIS</v>
          </cell>
          <cell r="G49" t="str">
            <v>30Y</v>
          </cell>
          <cell r="H49" t="b">
            <v>1</v>
          </cell>
          <cell r="J49" t="str">
            <v xml:space="preserve">  </v>
          </cell>
          <cell r="R49" t="str">
            <v xml:space="preserve">  </v>
          </cell>
          <cell r="Z49" t="str">
            <v xml:space="preserve">  </v>
          </cell>
          <cell r="AH49" t="str">
            <v xml:space="preserve">  </v>
          </cell>
          <cell r="AP49" t="str">
            <v xml:space="preserve">  </v>
          </cell>
        </row>
        <row r="50">
          <cell r="B50" t="str">
            <v>USBG2 BGN Curncy</v>
          </cell>
          <cell r="C50" t="str">
            <v>USBG2</v>
          </cell>
          <cell r="D50" t="str">
            <v>BGN</v>
          </cell>
          <cell r="E50" t="str">
            <v>Curncy</v>
          </cell>
          <cell r="F50" t="str">
            <v>LIBOR-OIS BASIS</v>
          </cell>
          <cell r="G50" t="str">
            <v>2Y</v>
          </cell>
          <cell r="H50" t="b">
            <v>1</v>
          </cell>
          <cell r="J50" t="str">
            <v xml:space="preserve">  </v>
          </cell>
          <cell r="R50" t="str">
            <v xml:space="preserve">  </v>
          </cell>
          <cell r="Z50" t="str">
            <v xml:space="preserve">  </v>
          </cell>
          <cell r="AH50" t="str">
            <v xml:space="preserve">  </v>
          </cell>
          <cell r="AP50" t="str">
            <v xml:space="preserve">  </v>
          </cell>
        </row>
        <row r="51">
          <cell r="B51" t="str">
            <v>USBG3 BGN Curncy</v>
          </cell>
          <cell r="C51" t="str">
            <v>USBG3</v>
          </cell>
          <cell r="D51" t="str">
            <v>BGN</v>
          </cell>
          <cell r="E51" t="str">
            <v>Curncy</v>
          </cell>
          <cell r="F51" t="str">
            <v>LIBOR-OIS BASIS</v>
          </cell>
          <cell r="G51" t="str">
            <v>3Y</v>
          </cell>
          <cell r="H51" t="b">
            <v>1</v>
          </cell>
          <cell r="J51" t="str">
            <v xml:space="preserve">  </v>
          </cell>
          <cell r="R51" t="str">
            <v xml:space="preserve">  </v>
          </cell>
          <cell r="Z51" t="str">
            <v xml:space="preserve">  </v>
          </cell>
          <cell r="AH51" t="str">
            <v xml:space="preserve">  </v>
          </cell>
          <cell r="AP51" t="str">
            <v xml:space="preserve">  </v>
          </cell>
        </row>
        <row r="52">
          <cell r="B52" t="str">
            <v>USBG4 BGN Curncy</v>
          </cell>
          <cell r="C52" t="str">
            <v>USBG4</v>
          </cell>
          <cell r="D52" t="str">
            <v>BGN</v>
          </cell>
          <cell r="E52" t="str">
            <v>Curncy</v>
          </cell>
          <cell r="F52" t="str">
            <v>LIBOR-OIS BASIS</v>
          </cell>
          <cell r="G52" t="str">
            <v>4Y</v>
          </cell>
          <cell r="H52" t="b">
            <v>1</v>
          </cell>
          <cell r="J52" t="str">
            <v xml:space="preserve">  </v>
          </cell>
          <cell r="R52" t="str">
            <v xml:space="preserve">  </v>
          </cell>
          <cell r="Z52" t="str">
            <v xml:space="preserve">  </v>
          </cell>
          <cell r="AH52" t="str">
            <v xml:space="preserve">  </v>
          </cell>
          <cell r="AP52" t="str">
            <v xml:space="preserve">  </v>
          </cell>
        </row>
        <row r="53">
          <cell r="B53" t="str">
            <v>USBG5 BGN Curncy</v>
          </cell>
          <cell r="C53" t="str">
            <v>USBG5</v>
          </cell>
          <cell r="D53" t="str">
            <v>BGN</v>
          </cell>
          <cell r="E53" t="str">
            <v>Curncy</v>
          </cell>
          <cell r="F53" t="str">
            <v>LIBOR-OIS BASIS</v>
          </cell>
          <cell r="G53" t="str">
            <v>5Y</v>
          </cell>
          <cell r="H53" t="b">
            <v>1</v>
          </cell>
          <cell r="J53" t="str">
            <v xml:space="preserve">  </v>
          </cell>
          <cell r="R53" t="str">
            <v xml:space="preserve">  </v>
          </cell>
          <cell r="Z53" t="str">
            <v xml:space="preserve">  </v>
          </cell>
          <cell r="AH53" t="str">
            <v xml:space="preserve">  </v>
          </cell>
          <cell r="AP53" t="str">
            <v xml:space="preserve">  </v>
          </cell>
        </row>
        <row r="54">
          <cell r="B54" t="str">
            <v>USBG6 BGN Curncy</v>
          </cell>
          <cell r="C54" t="str">
            <v>USBG6</v>
          </cell>
          <cell r="D54" t="str">
            <v>BGN</v>
          </cell>
          <cell r="E54" t="str">
            <v>Curncy</v>
          </cell>
          <cell r="F54" t="str">
            <v>LIBOR-OIS BASIS</v>
          </cell>
          <cell r="G54" t="str">
            <v>6Y</v>
          </cell>
          <cell r="H54" t="b">
            <v>1</v>
          </cell>
          <cell r="J54" t="str">
            <v xml:space="preserve">  </v>
          </cell>
          <cell r="R54" t="str">
            <v xml:space="preserve">  </v>
          </cell>
          <cell r="Z54" t="str">
            <v xml:space="preserve">  </v>
          </cell>
          <cell r="AH54" t="str">
            <v xml:space="preserve">  </v>
          </cell>
          <cell r="AP54" t="str">
            <v xml:space="preserve">  </v>
          </cell>
        </row>
        <row r="55">
          <cell r="B55" t="str">
            <v>USBG7 BGN Curncy</v>
          </cell>
          <cell r="C55" t="str">
            <v>USBG7</v>
          </cell>
          <cell r="D55" t="str">
            <v>BGN</v>
          </cell>
          <cell r="E55" t="str">
            <v>Curncy</v>
          </cell>
          <cell r="F55" t="str">
            <v>LIBOR-OIS BASIS</v>
          </cell>
          <cell r="G55" t="str">
            <v>7Y</v>
          </cell>
          <cell r="H55" t="b">
            <v>1</v>
          </cell>
          <cell r="J55" t="str">
            <v xml:space="preserve">  </v>
          </cell>
          <cell r="R55" t="str">
            <v xml:space="preserve">  </v>
          </cell>
          <cell r="Z55" t="str">
            <v xml:space="preserve">  </v>
          </cell>
          <cell r="AH55" t="str">
            <v xml:space="preserve">  </v>
          </cell>
          <cell r="AP55" t="str">
            <v xml:space="preserve">  </v>
          </cell>
        </row>
        <row r="56">
          <cell r="B56" t="str">
            <v>USBG10 BGN Curncy</v>
          </cell>
          <cell r="C56" t="str">
            <v>USBG10</v>
          </cell>
          <cell r="D56" t="str">
            <v>BGN</v>
          </cell>
          <cell r="E56" t="str">
            <v>Curncy</v>
          </cell>
          <cell r="F56" t="str">
            <v>LIBOR-OIS BASIS</v>
          </cell>
          <cell r="G56" t="str">
            <v>10Y</v>
          </cell>
          <cell r="H56" t="b">
            <v>1</v>
          </cell>
          <cell r="J56" t="str">
            <v xml:space="preserve">  </v>
          </cell>
          <cell r="R56" t="str">
            <v xml:space="preserve">  </v>
          </cell>
          <cell r="Z56" t="str">
            <v xml:space="preserve">  </v>
          </cell>
          <cell r="AH56" t="str">
            <v xml:space="preserve">  </v>
          </cell>
          <cell r="AP56" t="str">
            <v xml:space="preserve">  </v>
          </cell>
        </row>
        <row r="57">
          <cell r="B57" t="str">
            <v>USBG12 BGN Curncy</v>
          </cell>
          <cell r="C57" t="str">
            <v>USBG12</v>
          </cell>
          <cell r="D57" t="str">
            <v>BGN</v>
          </cell>
          <cell r="E57" t="str">
            <v>Curncy</v>
          </cell>
          <cell r="F57" t="str">
            <v>LIBOR-OIS BASIS</v>
          </cell>
          <cell r="G57" t="str">
            <v>12Y</v>
          </cell>
          <cell r="H57" t="b">
            <v>1</v>
          </cell>
          <cell r="J57" t="str">
            <v xml:space="preserve">  </v>
          </cell>
          <cell r="R57" t="str">
            <v xml:space="preserve">  </v>
          </cell>
          <cell r="Z57" t="str">
            <v xml:space="preserve">  </v>
          </cell>
          <cell r="AH57" t="str">
            <v xml:space="preserve">  </v>
          </cell>
          <cell r="AP57" t="str">
            <v xml:space="preserve">  </v>
          </cell>
        </row>
        <row r="58">
          <cell r="B58" t="str">
            <v>USBG15 BGN Curncy</v>
          </cell>
          <cell r="C58" t="str">
            <v>USBG15</v>
          </cell>
          <cell r="D58" t="str">
            <v>BGN</v>
          </cell>
          <cell r="E58" t="str">
            <v>Curncy</v>
          </cell>
          <cell r="F58" t="str">
            <v>LIBOR-OIS BASIS</v>
          </cell>
          <cell r="G58" t="str">
            <v>15Y</v>
          </cell>
          <cell r="H58" t="b">
            <v>1</v>
          </cell>
          <cell r="J58" t="str">
            <v xml:space="preserve">  </v>
          </cell>
          <cell r="R58" t="str">
            <v xml:space="preserve">  </v>
          </cell>
          <cell r="Z58" t="str">
            <v xml:space="preserve">  </v>
          </cell>
          <cell r="AH58" t="str">
            <v xml:space="preserve">  </v>
          </cell>
          <cell r="AP58" t="str">
            <v xml:space="preserve">  </v>
          </cell>
        </row>
        <row r="59">
          <cell r="B59" t="str">
            <v>USBG20 BGN Curncy</v>
          </cell>
          <cell r="C59" t="str">
            <v>USBG20</v>
          </cell>
          <cell r="D59" t="str">
            <v>BGN</v>
          </cell>
          <cell r="E59" t="str">
            <v>Curncy</v>
          </cell>
          <cell r="F59" t="str">
            <v>LIBOR-OIS BASIS</v>
          </cell>
          <cell r="G59" t="str">
            <v>20Y</v>
          </cell>
          <cell r="H59" t="b">
            <v>1</v>
          </cell>
          <cell r="J59" t="str">
            <v xml:space="preserve">  </v>
          </cell>
          <cell r="R59" t="str">
            <v xml:space="preserve">  </v>
          </cell>
          <cell r="Z59" t="str">
            <v xml:space="preserve">  </v>
          </cell>
          <cell r="AH59" t="str">
            <v xml:space="preserve">  </v>
          </cell>
          <cell r="AP59" t="str">
            <v xml:space="preserve">  </v>
          </cell>
        </row>
        <row r="60">
          <cell r="B60" t="str">
            <v>USBG25 BGN Curncy</v>
          </cell>
          <cell r="C60" t="str">
            <v>USBG25</v>
          </cell>
          <cell r="D60" t="str">
            <v>BGN</v>
          </cell>
          <cell r="E60" t="str">
            <v>Curncy</v>
          </cell>
          <cell r="F60" t="str">
            <v>LIBOR-OIS BASIS</v>
          </cell>
          <cell r="G60" t="str">
            <v>25Y</v>
          </cell>
          <cell r="H60" t="b">
            <v>1</v>
          </cell>
          <cell r="J60" t="str">
            <v xml:space="preserve">  </v>
          </cell>
          <cell r="R60" t="str">
            <v xml:space="preserve">  </v>
          </cell>
          <cell r="Z60" t="str">
            <v xml:space="preserve">  </v>
          </cell>
          <cell r="AH60" t="str">
            <v xml:space="preserve">  </v>
          </cell>
          <cell r="AP60" t="str">
            <v xml:space="preserve">  </v>
          </cell>
        </row>
        <row r="61">
          <cell r="B61" t="str">
            <v>USBG30 BGN Curncy</v>
          </cell>
          <cell r="C61" t="str">
            <v>USBG30</v>
          </cell>
          <cell r="D61" t="str">
            <v>BGN</v>
          </cell>
          <cell r="E61" t="str">
            <v>Curncy</v>
          </cell>
          <cell r="F61" t="str">
            <v>LIBOR-OIS BASIS</v>
          </cell>
          <cell r="G61" t="str">
            <v>30Y</v>
          </cell>
          <cell r="H61" t="b">
            <v>1</v>
          </cell>
          <cell r="J61" t="str">
            <v xml:space="preserve">  </v>
          </cell>
          <cell r="R61" t="str">
            <v xml:space="preserve">  </v>
          </cell>
          <cell r="Z61" t="str">
            <v xml:space="preserve">  </v>
          </cell>
          <cell r="AH61" t="str">
            <v xml:space="preserve">  </v>
          </cell>
          <cell r="AP61" t="str">
            <v xml:space="preserve">  </v>
          </cell>
        </row>
        <row r="62">
          <cell r="B62" t="str">
            <v>USSWAP2 BGN Curncy</v>
          </cell>
          <cell r="C62" t="str">
            <v>USSWAP2</v>
          </cell>
          <cell r="D62" t="str">
            <v>BGN</v>
          </cell>
          <cell r="E62" t="str">
            <v>Curncy</v>
          </cell>
          <cell r="F62" t="str">
            <v>SWAP</v>
          </cell>
          <cell r="G62" t="str">
            <v>2Y</v>
          </cell>
          <cell r="H62" t="b">
            <v>1</v>
          </cell>
          <cell r="J62" t="str">
            <v xml:space="preserve">  </v>
          </cell>
          <cell r="R62" t="str">
            <v xml:space="preserve">  </v>
          </cell>
          <cell r="Z62" t="str">
            <v xml:space="preserve">  </v>
          </cell>
          <cell r="AH62" t="str">
            <v xml:space="preserve">  </v>
          </cell>
          <cell r="AP62" t="str">
            <v xml:space="preserve">  </v>
          </cell>
        </row>
        <row r="63">
          <cell r="B63" t="str">
            <v>USSWAP3 BGN Curncy</v>
          </cell>
          <cell r="C63" t="str">
            <v>USSWAP3</v>
          </cell>
          <cell r="D63" t="str">
            <v>BGN</v>
          </cell>
          <cell r="E63" t="str">
            <v>Curncy</v>
          </cell>
          <cell r="F63" t="str">
            <v>SWAP</v>
          </cell>
          <cell r="G63" t="str">
            <v>3Y</v>
          </cell>
          <cell r="H63" t="b">
            <v>1</v>
          </cell>
          <cell r="J63" t="str">
            <v xml:space="preserve">  </v>
          </cell>
          <cell r="R63" t="str">
            <v xml:space="preserve">  </v>
          </cell>
          <cell r="Z63" t="str">
            <v xml:space="preserve">  </v>
          </cell>
          <cell r="AH63" t="str">
            <v xml:space="preserve">  </v>
          </cell>
          <cell r="AP63" t="str">
            <v xml:space="preserve">  </v>
          </cell>
        </row>
        <row r="64">
          <cell r="B64" t="str">
            <v>USSWAP4 BGN Curncy</v>
          </cell>
          <cell r="C64" t="str">
            <v>USSWAP4</v>
          </cell>
          <cell r="D64" t="str">
            <v>BGN</v>
          </cell>
          <cell r="E64" t="str">
            <v>Curncy</v>
          </cell>
          <cell r="F64" t="str">
            <v>SWAP</v>
          </cell>
          <cell r="G64" t="str">
            <v>4Y</v>
          </cell>
          <cell r="H64" t="b">
            <v>1</v>
          </cell>
          <cell r="J64" t="str">
            <v xml:space="preserve">  </v>
          </cell>
          <cell r="R64" t="str">
            <v xml:space="preserve">  </v>
          </cell>
          <cell r="Z64" t="str">
            <v xml:space="preserve">  </v>
          </cell>
          <cell r="AH64" t="str">
            <v xml:space="preserve">  </v>
          </cell>
          <cell r="AP64" t="str">
            <v xml:space="preserve">  </v>
          </cell>
        </row>
        <row r="65">
          <cell r="B65" t="str">
            <v>USSWAP5 BGN Curncy</v>
          </cell>
          <cell r="C65" t="str">
            <v>USSWAP5</v>
          </cell>
          <cell r="D65" t="str">
            <v>BGN</v>
          </cell>
          <cell r="E65" t="str">
            <v>Curncy</v>
          </cell>
          <cell r="F65" t="str">
            <v>SWAP</v>
          </cell>
          <cell r="G65" t="str">
            <v>5Y</v>
          </cell>
          <cell r="H65" t="b">
            <v>1</v>
          </cell>
          <cell r="J65" t="str">
            <v xml:space="preserve">  </v>
          </cell>
          <cell r="R65" t="str">
            <v xml:space="preserve">  </v>
          </cell>
          <cell r="Z65" t="str">
            <v xml:space="preserve">  </v>
          </cell>
          <cell r="AH65" t="str">
            <v xml:space="preserve">  </v>
          </cell>
          <cell r="AP65" t="str">
            <v xml:space="preserve">  </v>
          </cell>
        </row>
        <row r="66">
          <cell r="B66" t="str">
            <v>USSWAP6 BGN Curncy</v>
          </cell>
          <cell r="C66" t="str">
            <v>USSWAP6</v>
          </cell>
          <cell r="D66" t="str">
            <v>BGN</v>
          </cell>
          <cell r="E66" t="str">
            <v>Curncy</v>
          </cell>
          <cell r="F66" t="str">
            <v>SWAP</v>
          </cell>
          <cell r="G66" t="str">
            <v>6Y</v>
          </cell>
          <cell r="H66" t="b">
            <v>1</v>
          </cell>
          <cell r="J66" t="str">
            <v xml:space="preserve">  </v>
          </cell>
          <cell r="R66" t="str">
            <v xml:space="preserve">  </v>
          </cell>
          <cell r="Z66" t="str">
            <v xml:space="preserve">  </v>
          </cell>
          <cell r="AH66" t="str">
            <v xml:space="preserve">  </v>
          </cell>
          <cell r="AP66" t="str">
            <v xml:space="preserve">  </v>
          </cell>
        </row>
        <row r="67">
          <cell r="B67" t="str">
            <v>USSWAP7 BGN Curncy</v>
          </cell>
          <cell r="C67" t="str">
            <v>USSWAP7</v>
          </cell>
          <cell r="D67" t="str">
            <v>BGN</v>
          </cell>
          <cell r="E67" t="str">
            <v>Curncy</v>
          </cell>
          <cell r="F67" t="str">
            <v>SWAP</v>
          </cell>
          <cell r="G67" t="str">
            <v>7Y</v>
          </cell>
          <cell r="H67" t="b">
            <v>1</v>
          </cell>
          <cell r="J67" t="str">
            <v xml:space="preserve">  </v>
          </cell>
          <cell r="R67" t="str">
            <v xml:space="preserve">  </v>
          </cell>
          <cell r="Z67" t="str">
            <v xml:space="preserve">  </v>
          </cell>
          <cell r="AH67" t="str">
            <v xml:space="preserve">  </v>
          </cell>
          <cell r="AP67" t="str">
            <v xml:space="preserve">  </v>
          </cell>
        </row>
        <row r="68">
          <cell r="B68" t="str">
            <v>USSWAP10 BGN Curncy</v>
          </cell>
          <cell r="C68" t="str">
            <v>USSWAP10</v>
          </cell>
          <cell r="D68" t="str">
            <v>BGN</v>
          </cell>
          <cell r="E68" t="str">
            <v>Curncy</v>
          </cell>
          <cell r="F68" t="str">
            <v>SWAP</v>
          </cell>
          <cell r="G68" t="str">
            <v>10Y</v>
          </cell>
          <cell r="H68" t="b">
            <v>1</v>
          </cell>
          <cell r="J68" t="str">
            <v xml:space="preserve">  </v>
          </cell>
          <cell r="R68" t="str">
            <v xml:space="preserve">  </v>
          </cell>
          <cell r="Z68" t="str">
            <v xml:space="preserve">  </v>
          </cell>
          <cell r="AH68" t="str">
            <v xml:space="preserve">  </v>
          </cell>
          <cell r="AP68" t="str">
            <v xml:space="preserve">  </v>
          </cell>
        </row>
        <row r="69">
          <cell r="B69" t="str">
            <v>USSWAP12 BGN Curncy</v>
          </cell>
          <cell r="C69" t="str">
            <v>USSWAP12</v>
          </cell>
          <cell r="D69" t="str">
            <v>BGN</v>
          </cell>
          <cell r="E69" t="str">
            <v>Curncy</v>
          </cell>
          <cell r="F69" t="str">
            <v>SWAP</v>
          </cell>
          <cell r="G69" t="str">
            <v>12Y</v>
          </cell>
          <cell r="H69" t="b">
            <v>1</v>
          </cell>
          <cell r="J69" t="str">
            <v xml:space="preserve">  </v>
          </cell>
          <cell r="R69" t="str">
            <v xml:space="preserve">  </v>
          </cell>
          <cell r="Z69" t="str">
            <v xml:space="preserve">  </v>
          </cell>
          <cell r="AH69" t="str">
            <v xml:space="preserve">  </v>
          </cell>
          <cell r="AP69" t="str">
            <v xml:space="preserve">  </v>
          </cell>
        </row>
        <row r="70">
          <cell r="B70" t="str">
            <v>USSWAP15 BGN Curncy</v>
          </cell>
          <cell r="C70" t="str">
            <v>USSWAP15</v>
          </cell>
          <cell r="D70" t="str">
            <v>BGN</v>
          </cell>
          <cell r="E70" t="str">
            <v>Curncy</v>
          </cell>
          <cell r="F70" t="str">
            <v>SWAP</v>
          </cell>
          <cell r="G70" t="str">
            <v>15Y</v>
          </cell>
          <cell r="H70" t="b">
            <v>1</v>
          </cell>
          <cell r="J70" t="str">
            <v xml:space="preserve">  </v>
          </cell>
          <cell r="R70" t="str">
            <v xml:space="preserve">  </v>
          </cell>
          <cell r="Z70" t="str">
            <v xml:space="preserve">  </v>
          </cell>
          <cell r="AH70" t="str">
            <v xml:space="preserve">  </v>
          </cell>
          <cell r="AP70" t="str">
            <v xml:space="preserve">  </v>
          </cell>
        </row>
        <row r="71">
          <cell r="B71" t="str">
            <v>USSWAP20 BGN Curncy</v>
          </cell>
          <cell r="C71" t="str">
            <v>USSWAP20</v>
          </cell>
          <cell r="D71" t="str">
            <v>BGN</v>
          </cell>
          <cell r="E71" t="str">
            <v>Curncy</v>
          </cell>
          <cell r="F71" t="str">
            <v>SWAP</v>
          </cell>
          <cell r="G71" t="str">
            <v>20Y</v>
          </cell>
          <cell r="H71" t="b">
            <v>1</v>
          </cell>
          <cell r="J71" t="str">
            <v xml:space="preserve">  </v>
          </cell>
          <cell r="R71" t="str">
            <v xml:space="preserve">  </v>
          </cell>
          <cell r="Z71" t="str">
            <v xml:space="preserve">  </v>
          </cell>
          <cell r="AH71" t="str">
            <v xml:space="preserve">  </v>
          </cell>
          <cell r="AP71" t="str">
            <v xml:space="preserve">  </v>
          </cell>
        </row>
        <row r="72">
          <cell r="B72" t="str">
            <v>USSWAP25 BGN Curncy</v>
          </cell>
          <cell r="C72" t="str">
            <v>USSWAP25</v>
          </cell>
          <cell r="D72" t="str">
            <v>BGN</v>
          </cell>
          <cell r="E72" t="str">
            <v>Curncy</v>
          </cell>
          <cell r="F72" t="str">
            <v>SWAP</v>
          </cell>
          <cell r="G72" t="str">
            <v>25Y</v>
          </cell>
          <cell r="H72" t="b">
            <v>1</v>
          </cell>
          <cell r="J72" t="str">
            <v xml:space="preserve">  </v>
          </cell>
          <cell r="R72" t="str">
            <v xml:space="preserve">  </v>
          </cell>
          <cell r="Z72" t="str">
            <v xml:space="preserve">  </v>
          </cell>
          <cell r="AH72" t="str">
            <v xml:space="preserve">  </v>
          </cell>
          <cell r="AP72" t="str">
            <v xml:space="preserve">  </v>
          </cell>
        </row>
        <row r="73">
          <cell r="B73" t="str">
            <v>USSWAP30 BGN Curncy</v>
          </cell>
          <cell r="C73" t="str">
            <v>USSWAP30</v>
          </cell>
          <cell r="D73" t="str">
            <v>BGN</v>
          </cell>
          <cell r="E73" t="str">
            <v>Curncy</v>
          </cell>
          <cell r="F73" t="str">
            <v>SWAP</v>
          </cell>
          <cell r="G73" t="str">
            <v>30Y</v>
          </cell>
          <cell r="H73" t="b">
            <v>1</v>
          </cell>
          <cell r="J73" t="str">
            <v xml:space="preserve">  </v>
          </cell>
          <cell r="R73" t="str">
            <v xml:space="preserve">  </v>
          </cell>
          <cell r="Z73" t="str">
            <v xml:space="preserve">  </v>
          </cell>
          <cell r="AH73" t="str">
            <v xml:space="preserve">  </v>
          </cell>
          <cell r="AP73" t="str">
            <v xml:space="preserve">  </v>
          </cell>
        </row>
        <row r="74">
          <cell r="B74" t="str">
            <v xml:space="preserve">  </v>
          </cell>
          <cell r="J74" t="str">
            <v xml:space="preserve">  </v>
          </cell>
          <cell r="R74" t="str">
            <v xml:space="preserve">  </v>
          </cell>
          <cell r="Z74" t="str">
            <v xml:space="preserve">  </v>
          </cell>
          <cell r="AH74" t="str">
            <v xml:space="preserve">  </v>
          </cell>
          <cell r="AP74" t="str">
            <v xml:space="preserve">  </v>
          </cell>
        </row>
        <row r="75">
          <cell r="B75" t="str">
            <v xml:space="preserve">  </v>
          </cell>
          <cell r="J75" t="str">
            <v xml:space="preserve">  </v>
          </cell>
          <cell r="R75" t="str">
            <v xml:space="preserve">  </v>
          </cell>
          <cell r="Z75" t="str">
            <v xml:space="preserve">  </v>
          </cell>
          <cell r="AH75" t="str">
            <v xml:space="preserve">  </v>
          </cell>
          <cell r="AP75" t="str">
            <v xml:space="preserve">  </v>
          </cell>
        </row>
        <row r="76">
          <cell r="B76" t="str">
            <v xml:space="preserve">  </v>
          </cell>
          <cell r="J76" t="str">
            <v xml:space="preserve">  </v>
          </cell>
          <cell r="R76" t="str">
            <v xml:space="preserve">  </v>
          </cell>
          <cell r="Z76" t="str">
            <v xml:space="preserve">  </v>
          </cell>
          <cell r="AH76" t="str">
            <v xml:space="preserve">  </v>
          </cell>
          <cell r="AP76" t="str">
            <v xml:space="preserve">  </v>
          </cell>
        </row>
        <row r="77">
          <cell r="B77" t="str">
            <v xml:space="preserve">  </v>
          </cell>
          <cell r="J77" t="str">
            <v xml:space="preserve">  </v>
          </cell>
          <cell r="R77" t="str">
            <v xml:space="preserve">  </v>
          </cell>
          <cell r="Z77" t="str">
            <v xml:space="preserve">  </v>
          </cell>
          <cell r="AH77" t="str">
            <v xml:space="preserve">  </v>
          </cell>
          <cell r="AP77" t="str">
            <v xml:space="preserve">  </v>
          </cell>
        </row>
        <row r="78">
          <cell r="B78" t="str">
            <v xml:space="preserve">  </v>
          </cell>
          <cell r="J78" t="str">
            <v xml:space="preserve">  </v>
          </cell>
          <cell r="R78" t="str">
            <v xml:space="preserve">  </v>
          </cell>
          <cell r="Z78" t="str">
            <v xml:space="preserve">  </v>
          </cell>
          <cell r="AH78" t="str">
            <v xml:space="preserve">  </v>
          </cell>
          <cell r="AP78" t="str">
            <v xml:space="preserve">  </v>
          </cell>
        </row>
        <row r="79">
          <cell r="B79" t="str">
            <v xml:space="preserve">  </v>
          </cell>
          <cell r="J79" t="str">
            <v xml:space="preserve">  </v>
          </cell>
          <cell r="R79" t="str">
            <v xml:space="preserve">  </v>
          </cell>
          <cell r="Z79" t="str">
            <v xml:space="preserve">  </v>
          </cell>
          <cell r="AH79" t="str">
            <v xml:space="preserve">  </v>
          </cell>
          <cell r="AP79" t="str">
            <v xml:space="preserve">  </v>
          </cell>
        </row>
        <row r="80">
          <cell r="B80" t="str">
            <v xml:space="preserve">  </v>
          </cell>
          <cell r="J80" t="str">
            <v xml:space="preserve">  </v>
          </cell>
          <cell r="R80" t="str">
            <v xml:space="preserve">  </v>
          </cell>
          <cell r="Z80" t="str">
            <v xml:space="preserve">  </v>
          </cell>
          <cell r="AH80" t="str">
            <v xml:space="preserve">  </v>
          </cell>
          <cell r="AP80" t="str">
            <v xml:space="preserve">  </v>
          </cell>
        </row>
        <row r="81">
          <cell r="B81" t="str">
            <v xml:space="preserve">  </v>
          </cell>
          <cell r="J81" t="str">
            <v xml:space="preserve">  </v>
          </cell>
          <cell r="R81" t="str">
            <v xml:space="preserve">  </v>
          </cell>
          <cell r="Z81" t="str">
            <v xml:space="preserve">  </v>
          </cell>
          <cell r="AH81" t="str">
            <v xml:space="preserve">  </v>
          </cell>
          <cell r="AP81" t="str">
            <v xml:space="preserve">  </v>
          </cell>
        </row>
        <row r="82">
          <cell r="B82" t="str">
            <v xml:space="preserve">  </v>
          </cell>
          <cell r="J82" t="str">
            <v xml:space="preserve">  </v>
          </cell>
          <cell r="R82" t="str">
            <v xml:space="preserve">  </v>
          </cell>
          <cell r="Z82" t="str">
            <v xml:space="preserve">  </v>
          </cell>
          <cell r="AH82" t="str">
            <v xml:space="preserve">  </v>
          </cell>
          <cell r="AP82" t="str">
            <v xml:space="preserve">  </v>
          </cell>
        </row>
        <row r="83">
          <cell r="B83" t="str">
            <v xml:space="preserve">  </v>
          </cell>
          <cell r="J83" t="str">
            <v xml:space="preserve">  </v>
          </cell>
          <cell r="R83" t="str">
            <v xml:space="preserve">  </v>
          </cell>
          <cell r="Z83" t="str">
            <v xml:space="preserve">  </v>
          </cell>
          <cell r="AH83" t="str">
            <v xml:space="preserve">  </v>
          </cell>
          <cell r="AP83" t="str">
            <v xml:space="preserve">  </v>
          </cell>
        </row>
        <row r="84">
          <cell r="B84" t="str">
            <v xml:space="preserve">  </v>
          </cell>
          <cell r="J84" t="str">
            <v xml:space="preserve">  </v>
          </cell>
          <cell r="R84" t="str">
            <v xml:space="preserve">  </v>
          </cell>
          <cell r="Z84" t="str">
            <v xml:space="preserve">  </v>
          </cell>
          <cell r="AH84" t="str">
            <v xml:space="preserve">  </v>
          </cell>
          <cell r="AP84" t="str">
            <v xml:space="preserve">  </v>
          </cell>
        </row>
        <row r="85">
          <cell r="B85" t="str">
            <v xml:space="preserve">  </v>
          </cell>
          <cell r="J85" t="str">
            <v xml:space="preserve">  </v>
          </cell>
          <cell r="R85" t="str">
            <v xml:space="preserve">  </v>
          </cell>
          <cell r="Z85" t="str">
            <v xml:space="preserve">  </v>
          </cell>
          <cell r="AH85" t="str">
            <v xml:space="preserve">  </v>
          </cell>
          <cell r="AP85" t="str">
            <v xml:space="preserve">  </v>
          </cell>
        </row>
        <row r="86">
          <cell r="B86" t="str">
            <v xml:space="preserve">  </v>
          </cell>
          <cell r="J86" t="str">
            <v xml:space="preserve">  </v>
          </cell>
          <cell r="R86" t="str">
            <v xml:space="preserve">  </v>
          </cell>
          <cell r="Z86" t="str">
            <v xml:space="preserve">  </v>
          </cell>
          <cell r="AH86" t="str">
            <v xml:space="preserve">  </v>
          </cell>
          <cell r="AP86" t="str">
            <v xml:space="preserve">  </v>
          </cell>
        </row>
        <row r="87">
          <cell r="B87" t="str">
            <v xml:space="preserve">  </v>
          </cell>
          <cell r="J87" t="str">
            <v xml:space="preserve">  </v>
          </cell>
          <cell r="R87" t="str">
            <v xml:space="preserve">  </v>
          </cell>
          <cell r="Z87" t="str">
            <v xml:space="preserve">  </v>
          </cell>
          <cell r="AH87" t="str">
            <v xml:space="preserve">  </v>
          </cell>
          <cell r="AP87" t="str">
            <v xml:space="preserve">  </v>
          </cell>
        </row>
        <row r="88">
          <cell r="B88" t="str">
            <v xml:space="preserve">  </v>
          </cell>
          <cell r="J88" t="str">
            <v xml:space="preserve">  </v>
          </cell>
          <cell r="R88" t="str">
            <v xml:space="preserve">  </v>
          </cell>
          <cell r="Z88" t="str">
            <v xml:space="preserve">  </v>
          </cell>
          <cell r="AH88" t="str">
            <v xml:space="preserve">  </v>
          </cell>
          <cell r="AP88" t="str">
            <v xml:space="preserve">  </v>
          </cell>
        </row>
        <row r="89">
          <cell r="B89" t="str">
            <v xml:space="preserve">  </v>
          </cell>
          <cell r="J89" t="str">
            <v xml:space="preserve">  </v>
          </cell>
          <cell r="R89" t="str">
            <v xml:space="preserve">  </v>
          </cell>
          <cell r="Z89" t="str">
            <v xml:space="preserve">  </v>
          </cell>
          <cell r="AH89" t="str">
            <v xml:space="preserve">  </v>
          </cell>
          <cell r="AP89" t="str">
            <v xml:space="preserve">  </v>
          </cell>
        </row>
        <row r="90">
          <cell r="B90" t="str">
            <v xml:space="preserve">  </v>
          </cell>
          <cell r="J90" t="str">
            <v xml:space="preserve">  </v>
          </cell>
          <cell r="R90" t="str">
            <v xml:space="preserve">  </v>
          </cell>
          <cell r="Z90" t="str">
            <v xml:space="preserve">  </v>
          </cell>
          <cell r="AH90" t="str">
            <v xml:space="preserve">  </v>
          </cell>
          <cell r="AP90" t="str">
            <v xml:space="preserve">  </v>
          </cell>
        </row>
        <row r="91">
          <cell r="B91" t="str">
            <v xml:space="preserve">  </v>
          </cell>
          <cell r="J91" t="str">
            <v xml:space="preserve">  </v>
          </cell>
          <cell r="R91" t="str">
            <v xml:space="preserve">  </v>
          </cell>
          <cell r="Z91" t="str">
            <v xml:space="preserve">  </v>
          </cell>
          <cell r="AH91" t="str">
            <v xml:space="preserve">  </v>
          </cell>
          <cell r="AP91" t="str">
            <v xml:space="preserve">  </v>
          </cell>
        </row>
        <row r="92">
          <cell r="B92" t="str">
            <v xml:space="preserve">  </v>
          </cell>
          <cell r="J92" t="str">
            <v xml:space="preserve">  </v>
          </cell>
          <cell r="R92" t="str">
            <v xml:space="preserve">  </v>
          </cell>
          <cell r="Z92" t="str">
            <v xml:space="preserve">  </v>
          </cell>
          <cell r="AH92" t="str">
            <v xml:space="preserve">  </v>
          </cell>
          <cell r="AP92" t="str">
            <v xml:space="preserve">  </v>
          </cell>
        </row>
        <row r="93">
          <cell r="B93" t="str">
            <v xml:space="preserve">  </v>
          </cell>
          <cell r="J93" t="str">
            <v xml:space="preserve">  </v>
          </cell>
          <cell r="R93" t="str">
            <v xml:space="preserve">  </v>
          </cell>
          <cell r="Z93" t="str">
            <v xml:space="preserve">  </v>
          </cell>
          <cell r="AH93" t="str">
            <v xml:space="preserve">  </v>
          </cell>
          <cell r="AP93" t="str">
            <v xml:space="preserve">  </v>
          </cell>
        </row>
        <row r="94">
          <cell r="B94" t="str">
            <v xml:space="preserve">  </v>
          </cell>
          <cell r="J94" t="str">
            <v xml:space="preserve">  </v>
          </cell>
          <cell r="R94" t="str">
            <v xml:space="preserve">  </v>
          </cell>
          <cell r="Z94" t="str">
            <v xml:space="preserve">  </v>
          </cell>
          <cell r="AH94" t="str">
            <v xml:space="preserve">  </v>
          </cell>
          <cell r="AP94" t="str">
            <v xml:space="preserve">  </v>
          </cell>
        </row>
        <row r="95">
          <cell r="B95" t="str">
            <v xml:space="preserve">  </v>
          </cell>
          <cell r="J95" t="str">
            <v xml:space="preserve">  </v>
          </cell>
          <cell r="R95" t="str">
            <v xml:space="preserve">  </v>
          </cell>
          <cell r="Z95" t="str">
            <v xml:space="preserve">  </v>
          </cell>
          <cell r="AH95" t="str">
            <v xml:space="preserve">  </v>
          </cell>
          <cell r="AP95" t="str">
            <v xml:space="preserve">  </v>
          </cell>
        </row>
        <row r="96">
          <cell r="B96" t="str">
            <v xml:space="preserve">  </v>
          </cell>
          <cell r="J96" t="str">
            <v xml:space="preserve">  </v>
          </cell>
          <cell r="R96" t="str">
            <v xml:space="preserve">  </v>
          </cell>
          <cell r="Z96" t="str">
            <v xml:space="preserve">  </v>
          </cell>
          <cell r="AH96" t="str">
            <v xml:space="preserve">  </v>
          </cell>
          <cell r="AP96" t="str">
            <v xml:space="preserve">  </v>
          </cell>
        </row>
        <row r="97">
          <cell r="B97" t="str">
            <v xml:space="preserve">  </v>
          </cell>
          <cell r="J97" t="str">
            <v xml:space="preserve">  </v>
          </cell>
          <cell r="R97" t="str">
            <v xml:space="preserve">  </v>
          </cell>
          <cell r="Z97" t="str">
            <v xml:space="preserve">  </v>
          </cell>
          <cell r="AH97" t="str">
            <v xml:space="preserve">  </v>
          </cell>
          <cell r="AP97" t="str">
            <v xml:space="preserve">  </v>
          </cell>
        </row>
        <row r="98">
          <cell r="B98" t="str">
            <v xml:space="preserve">  </v>
          </cell>
          <cell r="J98" t="str">
            <v xml:space="preserve">  </v>
          </cell>
          <cell r="R98" t="str">
            <v xml:space="preserve">  </v>
          </cell>
          <cell r="Z98" t="str">
            <v xml:space="preserve">  </v>
          </cell>
          <cell r="AH98" t="str">
            <v xml:space="preserve">  </v>
          </cell>
          <cell r="AP98" t="str">
            <v xml:space="preserve">  </v>
          </cell>
        </row>
        <row r="99">
          <cell r="B99" t="str">
            <v xml:space="preserve">  </v>
          </cell>
          <cell r="J99" t="str">
            <v xml:space="preserve">  </v>
          </cell>
          <cell r="R99" t="str">
            <v xml:space="preserve">  </v>
          </cell>
          <cell r="Z99" t="str">
            <v xml:space="preserve">  </v>
          </cell>
          <cell r="AH99" t="str">
            <v xml:space="preserve">  </v>
          </cell>
          <cell r="AP99" t="str">
            <v xml:space="preserve">  </v>
          </cell>
        </row>
        <row r="100">
          <cell r="B100" t="str">
            <v xml:space="preserve">  </v>
          </cell>
          <cell r="J100" t="str">
            <v xml:space="preserve">  </v>
          </cell>
          <cell r="R100" t="str">
            <v xml:space="preserve">  </v>
          </cell>
          <cell r="Z100" t="str">
            <v xml:space="preserve">  </v>
          </cell>
          <cell r="AH100" t="str">
            <v xml:space="preserve">  </v>
          </cell>
          <cell r="AP100" t="str">
            <v xml:space="preserve">  </v>
          </cell>
        </row>
        <row r="101">
          <cell r="B101" t="str">
            <v xml:space="preserve">  </v>
          </cell>
          <cell r="J101" t="str">
            <v xml:space="preserve">  </v>
          </cell>
          <cell r="R101" t="str">
            <v xml:space="preserve">  </v>
          </cell>
          <cell r="Z101" t="str">
            <v xml:space="preserve">  </v>
          </cell>
          <cell r="AH101" t="str">
            <v xml:space="preserve">  </v>
          </cell>
          <cell r="AP101" t="str">
            <v xml:space="preserve">  </v>
          </cell>
        </row>
        <row r="102">
          <cell r="B102" t="str">
            <v xml:space="preserve">  </v>
          </cell>
          <cell r="J102" t="str">
            <v xml:space="preserve">  </v>
          </cell>
          <cell r="R102" t="str">
            <v xml:space="preserve">  </v>
          </cell>
          <cell r="Z102" t="str">
            <v xml:space="preserve">  </v>
          </cell>
          <cell r="AH102" t="str">
            <v xml:space="preserve">  </v>
          </cell>
          <cell r="AP102" t="str">
            <v xml:space="preserve">  </v>
          </cell>
        </row>
        <row r="103">
          <cell r="B103" t="str">
            <v xml:space="preserve">  </v>
          </cell>
          <cell r="J103" t="str">
            <v xml:space="preserve">  </v>
          </cell>
          <cell r="R103" t="str">
            <v xml:space="preserve">  </v>
          </cell>
          <cell r="Z103" t="str">
            <v xml:space="preserve">  </v>
          </cell>
          <cell r="AH103" t="str">
            <v xml:space="preserve">  </v>
          </cell>
          <cell r="AP103" t="str">
            <v xml:space="preserve">  </v>
          </cell>
        </row>
        <row r="104">
          <cell r="B104" t="str">
            <v xml:space="preserve">  </v>
          </cell>
          <cell r="J104" t="str">
            <v xml:space="preserve">  </v>
          </cell>
          <cell r="R104" t="str">
            <v xml:space="preserve">  </v>
          </cell>
          <cell r="Z104" t="str">
            <v xml:space="preserve">  </v>
          </cell>
          <cell r="AH104" t="str">
            <v xml:space="preserve">  </v>
          </cell>
          <cell r="AP104" t="str">
            <v xml:space="preserve">  </v>
          </cell>
        </row>
        <row r="105">
          <cell r="B105" t="str">
            <v xml:space="preserve">  </v>
          </cell>
          <cell r="J105" t="str">
            <v xml:space="preserve">  </v>
          </cell>
          <cell r="R105" t="str">
            <v xml:space="preserve">  </v>
          </cell>
          <cell r="Z105" t="str">
            <v xml:space="preserve">  </v>
          </cell>
          <cell r="AH105" t="str">
            <v xml:space="preserve">  </v>
          </cell>
          <cell r="AP105" t="str">
            <v xml:space="preserve">  </v>
          </cell>
        </row>
        <row r="106">
          <cell r="B106" t="str">
            <v xml:space="preserve">  </v>
          </cell>
          <cell r="J106" t="str">
            <v xml:space="preserve">  </v>
          </cell>
          <cell r="R106" t="str">
            <v xml:space="preserve">  </v>
          </cell>
          <cell r="Z106" t="str">
            <v xml:space="preserve">  </v>
          </cell>
          <cell r="AH106" t="str">
            <v xml:space="preserve">  </v>
          </cell>
          <cell r="AP106" t="str">
            <v xml:space="preserve">  </v>
          </cell>
        </row>
        <row r="107">
          <cell r="B107" t="str">
            <v xml:space="preserve">  </v>
          </cell>
          <cell r="J107" t="str">
            <v xml:space="preserve">  </v>
          </cell>
          <cell r="R107" t="str">
            <v xml:space="preserve">  </v>
          </cell>
          <cell r="Z107" t="str">
            <v xml:space="preserve">  </v>
          </cell>
          <cell r="AH107" t="str">
            <v xml:space="preserve">  </v>
          </cell>
          <cell r="AP107" t="str">
            <v xml:space="preserve">  </v>
          </cell>
        </row>
        <row r="108">
          <cell r="B108" t="str">
            <v xml:space="preserve">  </v>
          </cell>
          <cell r="J108" t="str">
            <v xml:space="preserve">  </v>
          </cell>
          <cell r="R108" t="str">
            <v xml:space="preserve">  </v>
          </cell>
          <cell r="Z108" t="str">
            <v xml:space="preserve">  </v>
          </cell>
          <cell r="AH108" t="str">
            <v xml:space="preserve">  </v>
          </cell>
          <cell r="AP108" t="str">
            <v xml:space="preserve">  </v>
          </cell>
        </row>
        <row r="109">
          <cell r="B109" t="str">
            <v xml:space="preserve">  </v>
          </cell>
          <cell r="J109" t="str">
            <v xml:space="preserve">  </v>
          </cell>
          <cell r="R109" t="str">
            <v xml:space="preserve">  </v>
          </cell>
          <cell r="Z109" t="str">
            <v xml:space="preserve">  </v>
          </cell>
          <cell r="AH109" t="str">
            <v xml:space="preserve">  </v>
          </cell>
          <cell r="AP109" t="str">
            <v xml:space="preserve">  </v>
          </cell>
        </row>
        <row r="110">
          <cell r="B110" t="str">
            <v xml:space="preserve">  </v>
          </cell>
          <cell r="J110" t="str">
            <v xml:space="preserve">  </v>
          </cell>
          <cell r="R110" t="str">
            <v xml:space="preserve">  </v>
          </cell>
          <cell r="Z110" t="str">
            <v xml:space="preserve">  </v>
          </cell>
          <cell r="AH110" t="str">
            <v xml:space="preserve">  </v>
          </cell>
          <cell r="AP110" t="str">
            <v xml:space="preserve">  </v>
          </cell>
        </row>
        <row r="111">
          <cell r="B111" t="str">
            <v xml:space="preserve">  </v>
          </cell>
          <cell r="J111" t="str">
            <v xml:space="preserve">  </v>
          </cell>
          <cell r="R111" t="str">
            <v xml:space="preserve">  </v>
          </cell>
          <cell r="Z111" t="str">
            <v xml:space="preserve">  </v>
          </cell>
          <cell r="AH111" t="str">
            <v xml:space="preserve">  </v>
          </cell>
          <cell r="AP111" t="str">
            <v xml:space="preserve">  </v>
          </cell>
        </row>
        <row r="112">
          <cell r="B112" t="str">
            <v xml:space="preserve">  </v>
          </cell>
          <cell r="J112" t="str">
            <v xml:space="preserve">  </v>
          </cell>
          <cell r="R112" t="str">
            <v xml:space="preserve">  </v>
          </cell>
          <cell r="Z112" t="str">
            <v xml:space="preserve">  </v>
          </cell>
          <cell r="AH112" t="str">
            <v xml:space="preserve">  </v>
          </cell>
          <cell r="AP112" t="str">
            <v xml:space="preserve">  </v>
          </cell>
        </row>
        <row r="120">
          <cell r="B120" t="str">
            <v>EONIA ICPL Index</v>
          </cell>
          <cell r="C120" t="str">
            <v>EONIA</v>
          </cell>
          <cell r="D120" t="str">
            <v>ICPL</v>
          </cell>
          <cell r="E120" t="str">
            <v>Index</v>
          </cell>
          <cell r="F120" t="str">
            <v>OIS</v>
          </cell>
          <cell r="G120" t="str">
            <v>ON</v>
          </cell>
          <cell r="H120" t="b">
            <v>1</v>
          </cell>
          <cell r="J120" t="str">
            <v>EUR006M ICPL Index</v>
          </cell>
          <cell r="K120" t="str">
            <v>EUR006M</v>
          </cell>
          <cell r="L120" t="str">
            <v>ICPL</v>
          </cell>
          <cell r="M120" t="str">
            <v>Index</v>
          </cell>
          <cell r="N120" t="str">
            <v>CASH</v>
          </cell>
          <cell r="O120" t="str">
            <v>6M</v>
          </cell>
          <cell r="P120" t="b">
            <v>1</v>
          </cell>
          <cell r="R120" t="str">
            <v>EUBSV1 CMPN Curncy</v>
          </cell>
          <cell r="S120" t="str">
            <v>EUBSV1</v>
          </cell>
          <cell r="T120" t="str">
            <v>CMPN</v>
          </cell>
          <cell r="U120" t="str">
            <v>Curncy</v>
          </cell>
          <cell r="V120" t="str">
            <v>TENOR-BASIS</v>
          </cell>
          <cell r="W120" t="str">
            <v>1Y</v>
          </cell>
          <cell r="X120" t="b">
            <v>1</v>
          </cell>
          <cell r="Z120" t="str">
            <v>EUBSA1 TRPU Curncy</v>
          </cell>
          <cell r="AA120" t="str">
            <v>EUBSA1</v>
          </cell>
          <cell r="AB120" t="str">
            <v>TRPU</v>
          </cell>
          <cell r="AC120" t="str">
            <v>Curncy</v>
          </cell>
          <cell r="AD120" t="str">
            <v>TENOR-BASIS</v>
          </cell>
          <cell r="AE120" t="str">
            <v>1Y</v>
          </cell>
          <cell r="AF120" t="b">
            <v>1</v>
          </cell>
          <cell r="AH120" t="str">
            <v>EUBSS1 ICPL Curncy</v>
          </cell>
          <cell r="AI120" t="str">
            <v>EUBSS1</v>
          </cell>
          <cell r="AJ120" t="str">
            <v>ICPL</v>
          </cell>
          <cell r="AK120" t="str">
            <v>Curncy</v>
          </cell>
          <cell r="AL120" t="str">
            <v>TENOR-BASIS</v>
          </cell>
          <cell r="AM120" t="str">
            <v>1Y</v>
          </cell>
          <cell r="AN120" t="b">
            <v>1</v>
          </cell>
          <cell r="AP120" t="str">
            <v>EUBS1 ICPL Curncy</v>
          </cell>
          <cell r="AQ120" t="str">
            <v>EUBS1</v>
          </cell>
          <cell r="AR120" t="str">
            <v>ICPL</v>
          </cell>
          <cell r="AS120" t="str">
            <v>Curncy</v>
          </cell>
          <cell r="AT120" t="str">
            <v>XCCY-BASIS</v>
          </cell>
          <cell r="AU120" t="str">
            <v>1Y</v>
          </cell>
          <cell r="AV120" t="b">
            <v>1</v>
          </cell>
        </row>
        <row r="121">
          <cell r="B121" t="str">
            <v>EUSF1A ICPL Curncy</v>
          </cell>
          <cell r="C121" t="str">
            <v>EUSF1A</v>
          </cell>
          <cell r="D121" t="str">
            <v>ICPL</v>
          </cell>
          <cell r="E121" t="str">
            <v>Curncy</v>
          </cell>
          <cell r="F121" t="str">
            <v>ECB SWAP</v>
          </cell>
          <cell r="G121" t="str">
            <v>EUSF1A</v>
          </cell>
          <cell r="H121" t="b">
            <v>1</v>
          </cell>
          <cell r="J121" t="str">
            <v>EUFR0AG ICPL Curncy</v>
          </cell>
          <cell r="K121" t="str">
            <v>EUFR0AG</v>
          </cell>
          <cell r="L121" t="str">
            <v>ICPL</v>
          </cell>
          <cell r="M121" t="str">
            <v>Curncy</v>
          </cell>
          <cell r="N121" t="str">
            <v>FRA</v>
          </cell>
          <cell r="O121" t="str">
            <v>1X7</v>
          </cell>
          <cell r="P121" t="b">
            <v>0</v>
          </cell>
          <cell r="R121" t="str">
            <v>EUBSV2 CMPN Curncy</v>
          </cell>
          <cell r="S121" t="str">
            <v>EUBSV2</v>
          </cell>
          <cell r="T121" t="str">
            <v>CMPN</v>
          </cell>
          <cell r="U121" t="str">
            <v>Curncy</v>
          </cell>
          <cell r="V121" t="str">
            <v>TENOR-BASIS</v>
          </cell>
          <cell r="W121" t="str">
            <v>2Y</v>
          </cell>
          <cell r="X121" t="b">
            <v>1</v>
          </cell>
          <cell r="Z121" t="str">
            <v>EUBSA2 TRPU Curncy</v>
          </cell>
          <cell r="AA121" t="str">
            <v>EUBSA2</v>
          </cell>
          <cell r="AB121" t="str">
            <v>TRPU</v>
          </cell>
          <cell r="AC121" t="str">
            <v>Curncy</v>
          </cell>
          <cell r="AD121" t="str">
            <v>TENOR-BASIS</v>
          </cell>
          <cell r="AE121" t="str">
            <v>2Y</v>
          </cell>
          <cell r="AF121" t="b">
            <v>1</v>
          </cell>
          <cell r="AH121" t="str">
            <v>EUBSS2 ICPL Curncy</v>
          </cell>
          <cell r="AI121" t="str">
            <v>EUBSS2</v>
          </cell>
          <cell r="AJ121" t="str">
            <v>ICPL</v>
          </cell>
          <cell r="AK121" t="str">
            <v>Curncy</v>
          </cell>
          <cell r="AL121" t="str">
            <v>TENOR-BASIS</v>
          </cell>
          <cell r="AM121" t="str">
            <v>2Y</v>
          </cell>
          <cell r="AN121" t="b">
            <v>1</v>
          </cell>
          <cell r="AP121" t="str">
            <v>EUBS2 ICPL Curncy</v>
          </cell>
          <cell r="AQ121" t="str">
            <v>EUBS2</v>
          </cell>
          <cell r="AR121" t="str">
            <v>ICPL</v>
          </cell>
          <cell r="AS121" t="str">
            <v>Curncy</v>
          </cell>
          <cell r="AT121" t="str">
            <v>XCCY-BASIS</v>
          </cell>
          <cell r="AU121" t="str">
            <v>2Y</v>
          </cell>
          <cell r="AV121" t="b">
            <v>1</v>
          </cell>
        </row>
        <row r="122">
          <cell r="B122" t="str">
            <v>EUSF2A ICPL Curncy</v>
          </cell>
          <cell r="C122" t="str">
            <v>EUSF2A</v>
          </cell>
          <cell r="D122" t="str">
            <v>ICPL</v>
          </cell>
          <cell r="E122" t="str">
            <v>Curncy</v>
          </cell>
          <cell r="F122" t="str">
            <v>ECB SWAP</v>
          </cell>
          <cell r="G122" t="str">
            <v>EUSF2A</v>
          </cell>
          <cell r="H122" t="b">
            <v>1</v>
          </cell>
          <cell r="J122" t="str">
            <v>EUFR0BH ICPL Curncy</v>
          </cell>
          <cell r="K122" t="str">
            <v>EUFR0BH</v>
          </cell>
          <cell r="L122" t="str">
            <v>ICPL</v>
          </cell>
          <cell r="M122" t="str">
            <v>Curncy</v>
          </cell>
          <cell r="N122" t="str">
            <v>FRA</v>
          </cell>
          <cell r="O122" t="str">
            <v>2X8</v>
          </cell>
          <cell r="P122" t="b">
            <v>1</v>
          </cell>
          <cell r="R122" t="str">
            <v>EUBSV3 CMPN Curncy</v>
          </cell>
          <cell r="S122" t="str">
            <v>EUBSV3</v>
          </cell>
          <cell r="T122" t="str">
            <v>CMPN</v>
          </cell>
          <cell r="U122" t="str">
            <v>Curncy</v>
          </cell>
          <cell r="V122" t="str">
            <v>TENOR-BASIS</v>
          </cell>
          <cell r="W122" t="str">
            <v>3Y</v>
          </cell>
          <cell r="X122" t="b">
            <v>1</v>
          </cell>
          <cell r="Z122" t="str">
            <v>EUBSA3 TRPU Curncy</v>
          </cell>
          <cell r="AA122" t="str">
            <v>EUBSA3</v>
          </cell>
          <cell r="AB122" t="str">
            <v>TRPU</v>
          </cell>
          <cell r="AC122" t="str">
            <v>Curncy</v>
          </cell>
          <cell r="AD122" t="str">
            <v>TENOR-BASIS</v>
          </cell>
          <cell r="AE122" t="str">
            <v>3Y</v>
          </cell>
          <cell r="AF122" t="b">
            <v>1</v>
          </cell>
          <cell r="AH122" t="str">
            <v>EUBSS3 ICPL Curncy</v>
          </cell>
          <cell r="AI122" t="str">
            <v>EUBSS3</v>
          </cell>
          <cell r="AJ122" t="str">
            <v>ICPL</v>
          </cell>
          <cell r="AK122" t="str">
            <v>Curncy</v>
          </cell>
          <cell r="AL122" t="str">
            <v>TENOR-BASIS</v>
          </cell>
          <cell r="AM122" t="str">
            <v>3Y</v>
          </cell>
          <cell r="AN122" t="b">
            <v>1</v>
          </cell>
          <cell r="AP122" t="str">
            <v>EUBS3 ICPL Curncy</v>
          </cell>
          <cell r="AQ122" t="str">
            <v>EUBS3</v>
          </cell>
          <cell r="AR122" t="str">
            <v>ICPL</v>
          </cell>
          <cell r="AS122" t="str">
            <v>Curncy</v>
          </cell>
          <cell r="AT122" t="str">
            <v>XCCY-BASIS</v>
          </cell>
          <cell r="AU122" t="str">
            <v>3Y</v>
          </cell>
          <cell r="AV122" t="b">
            <v>1</v>
          </cell>
        </row>
        <row r="123">
          <cell r="B123" t="str">
            <v>EUSF3A ICPL Curncy</v>
          </cell>
          <cell r="C123" t="str">
            <v>EUSF3A</v>
          </cell>
          <cell r="D123" t="str">
            <v>ICPL</v>
          </cell>
          <cell r="E123" t="str">
            <v>Curncy</v>
          </cell>
          <cell r="F123" t="str">
            <v>ECB SWAP</v>
          </cell>
          <cell r="G123" t="str">
            <v>EUSF3A</v>
          </cell>
          <cell r="H123" t="b">
            <v>1</v>
          </cell>
          <cell r="J123" t="str">
            <v>EUFR0CI ICPL Curncy</v>
          </cell>
          <cell r="K123" t="str">
            <v>EUFR0CI</v>
          </cell>
          <cell r="L123" t="str">
            <v>ICPL</v>
          </cell>
          <cell r="M123" t="str">
            <v>Curncy</v>
          </cell>
          <cell r="N123" t="str">
            <v>FRA</v>
          </cell>
          <cell r="O123" t="str">
            <v>3X9</v>
          </cell>
          <cell r="P123" t="b">
            <v>1</v>
          </cell>
          <cell r="R123" t="str">
            <v>EUBSV4 CMPN Curncy</v>
          </cell>
          <cell r="S123" t="str">
            <v>EUBSV4</v>
          </cell>
          <cell r="T123" t="str">
            <v>CMPN</v>
          </cell>
          <cell r="U123" t="str">
            <v>Curncy</v>
          </cell>
          <cell r="V123" t="str">
            <v>TENOR-BASIS</v>
          </cell>
          <cell r="W123" t="str">
            <v>4Y</v>
          </cell>
          <cell r="X123" t="b">
            <v>1</v>
          </cell>
          <cell r="Z123" t="str">
            <v>EUBSA4 TRPU Curncy</v>
          </cell>
          <cell r="AA123" t="str">
            <v>EUBSA4</v>
          </cell>
          <cell r="AB123" t="str">
            <v>TRPU</v>
          </cell>
          <cell r="AC123" t="str">
            <v>Curncy</v>
          </cell>
          <cell r="AD123" t="str">
            <v>TENOR-BASIS</v>
          </cell>
          <cell r="AE123" t="str">
            <v>4Y</v>
          </cell>
          <cell r="AF123" t="b">
            <v>1</v>
          </cell>
          <cell r="AH123" t="str">
            <v>EUBSS4 ICPL Curncy</v>
          </cell>
          <cell r="AI123" t="str">
            <v>EUBSS4</v>
          </cell>
          <cell r="AJ123" t="str">
            <v>ICPL</v>
          </cell>
          <cell r="AK123" t="str">
            <v>Curncy</v>
          </cell>
          <cell r="AL123" t="str">
            <v>TENOR-BASIS</v>
          </cell>
          <cell r="AM123" t="str">
            <v>4Y</v>
          </cell>
          <cell r="AN123" t="b">
            <v>1</v>
          </cell>
          <cell r="AP123" t="str">
            <v>EUBS4 ICPL Curncy</v>
          </cell>
          <cell r="AQ123" t="str">
            <v>EUBS4</v>
          </cell>
          <cell r="AR123" t="str">
            <v>ICPL</v>
          </cell>
          <cell r="AS123" t="str">
            <v>Curncy</v>
          </cell>
          <cell r="AT123" t="str">
            <v>XCCY-BASIS</v>
          </cell>
          <cell r="AU123" t="str">
            <v>4Y</v>
          </cell>
          <cell r="AV123" t="b">
            <v>1</v>
          </cell>
        </row>
        <row r="124">
          <cell r="B124" t="str">
            <v>EUSF4A ICPL Curncy</v>
          </cell>
          <cell r="C124" t="str">
            <v>EUSF4A</v>
          </cell>
          <cell r="D124" t="str">
            <v>ICPL</v>
          </cell>
          <cell r="E124" t="str">
            <v>Curncy</v>
          </cell>
          <cell r="F124" t="str">
            <v>ECB SWAP</v>
          </cell>
          <cell r="G124" t="str">
            <v>EUSF4A</v>
          </cell>
          <cell r="H124" t="b">
            <v>1</v>
          </cell>
          <cell r="J124" t="str">
            <v>EUFR0DJ ICPL Curncy</v>
          </cell>
          <cell r="K124" t="str">
            <v>EUFR0DJ</v>
          </cell>
          <cell r="L124" t="str">
            <v>ICPL</v>
          </cell>
          <cell r="M124" t="str">
            <v>Curncy</v>
          </cell>
          <cell r="N124" t="str">
            <v>FRA</v>
          </cell>
          <cell r="O124" t="str">
            <v>4X10</v>
          </cell>
          <cell r="P124" t="b">
            <v>1</v>
          </cell>
          <cell r="R124" t="str">
            <v>EUBSV5 CMPN Curncy</v>
          </cell>
          <cell r="S124" t="str">
            <v>EUBSV5</v>
          </cell>
          <cell r="T124" t="str">
            <v>CMPN</v>
          </cell>
          <cell r="U124" t="str">
            <v>Curncy</v>
          </cell>
          <cell r="V124" t="str">
            <v>TENOR-BASIS</v>
          </cell>
          <cell r="W124" t="str">
            <v>5Y</v>
          </cell>
          <cell r="X124" t="b">
            <v>1</v>
          </cell>
          <cell r="Z124" t="str">
            <v>EUBSA5 TRPU Curncy</v>
          </cell>
          <cell r="AA124" t="str">
            <v>EUBSA5</v>
          </cell>
          <cell r="AB124" t="str">
            <v>TRPU</v>
          </cell>
          <cell r="AC124" t="str">
            <v>Curncy</v>
          </cell>
          <cell r="AD124" t="str">
            <v>TENOR-BASIS</v>
          </cell>
          <cell r="AE124" t="str">
            <v>5Y</v>
          </cell>
          <cell r="AF124" t="b">
            <v>1</v>
          </cell>
          <cell r="AH124" t="str">
            <v>EUBSS5 ICPL Curncy</v>
          </cell>
          <cell r="AI124" t="str">
            <v>EUBSS5</v>
          </cell>
          <cell r="AJ124" t="str">
            <v>ICPL</v>
          </cell>
          <cell r="AK124" t="str">
            <v>Curncy</v>
          </cell>
          <cell r="AL124" t="str">
            <v>TENOR-BASIS</v>
          </cell>
          <cell r="AM124" t="str">
            <v>5Y</v>
          </cell>
          <cell r="AN124" t="b">
            <v>1</v>
          </cell>
          <cell r="AP124" t="str">
            <v>EUBS5 ICPL Curncy</v>
          </cell>
          <cell r="AQ124" t="str">
            <v>EUBS5</v>
          </cell>
          <cell r="AR124" t="str">
            <v>ICPL</v>
          </cell>
          <cell r="AS124" t="str">
            <v>Curncy</v>
          </cell>
          <cell r="AT124" t="str">
            <v>XCCY-BASIS</v>
          </cell>
          <cell r="AU124" t="str">
            <v>5Y</v>
          </cell>
          <cell r="AV124" t="b">
            <v>1</v>
          </cell>
        </row>
        <row r="125">
          <cell r="B125" t="str">
            <v>EUSF5A ICPL Curncy</v>
          </cell>
          <cell r="C125" t="str">
            <v>EUSF5A</v>
          </cell>
          <cell r="D125" t="str">
            <v>ICPL</v>
          </cell>
          <cell r="E125" t="str">
            <v>Curncy</v>
          </cell>
          <cell r="F125" t="str">
            <v>ECB SWAP</v>
          </cell>
          <cell r="G125" t="str">
            <v>EUSF5A</v>
          </cell>
          <cell r="H125" t="b">
            <v>0</v>
          </cell>
          <cell r="J125" t="str">
            <v>EUFR0EK ICPL Curncy</v>
          </cell>
          <cell r="K125" t="str">
            <v>EUFR0EK</v>
          </cell>
          <cell r="L125" t="str">
            <v>ICPL</v>
          </cell>
          <cell r="M125" t="str">
            <v>Curncy</v>
          </cell>
          <cell r="N125" t="str">
            <v>FRA</v>
          </cell>
          <cell r="O125" t="str">
            <v>5X11</v>
          </cell>
          <cell r="P125" t="b">
            <v>1</v>
          </cell>
          <cell r="R125" t="str">
            <v>EUBSV6 CMPN Curncy</v>
          </cell>
          <cell r="S125" t="str">
            <v>EUBSV6</v>
          </cell>
          <cell r="T125" t="str">
            <v>CMPN</v>
          </cell>
          <cell r="U125" t="str">
            <v>Curncy</v>
          </cell>
          <cell r="V125" t="str">
            <v>TENOR-BASIS</v>
          </cell>
          <cell r="W125" t="str">
            <v>6Y</v>
          </cell>
          <cell r="X125" t="b">
            <v>1</v>
          </cell>
          <cell r="Z125" t="str">
            <v>EUBSA6 TRPU Curncy</v>
          </cell>
          <cell r="AA125" t="str">
            <v>EUBSA6</v>
          </cell>
          <cell r="AB125" t="str">
            <v>TRPU</v>
          </cell>
          <cell r="AC125" t="str">
            <v>Curncy</v>
          </cell>
          <cell r="AD125" t="str">
            <v>TENOR-BASIS</v>
          </cell>
          <cell r="AE125" t="str">
            <v>6Y</v>
          </cell>
          <cell r="AF125" t="b">
            <v>1</v>
          </cell>
          <cell r="AH125" t="str">
            <v>EUBSS6 ICPL Curncy</v>
          </cell>
          <cell r="AI125" t="str">
            <v>EUBSS6</v>
          </cell>
          <cell r="AJ125" t="str">
            <v>ICPL</v>
          </cell>
          <cell r="AK125" t="str">
            <v>Curncy</v>
          </cell>
          <cell r="AL125" t="str">
            <v>TENOR-BASIS</v>
          </cell>
          <cell r="AM125" t="str">
            <v>6Y</v>
          </cell>
          <cell r="AN125" t="b">
            <v>1</v>
          </cell>
          <cell r="AP125" t="str">
            <v>EUBS6 ICPL Curncy</v>
          </cell>
          <cell r="AQ125" t="str">
            <v>EUBS6</v>
          </cell>
          <cell r="AR125" t="str">
            <v>ICPL</v>
          </cell>
          <cell r="AS125" t="str">
            <v>Curncy</v>
          </cell>
          <cell r="AT125" t="str">
            <v>XCCY-BASIS</v>
          </cell>
          <cell r="AU125" t="str">
            <v>6Y</v>
          </cell>
          <cell r="AV125" t="b">
            <v>1</v>
          </cell>
        </row>
        <row r="126">
          <cell r="B126" t="str">
            <v>EUSF6A ICPL Curncy</v>
          </cell>
          <cell r="C126" t="str">
            <v>EUSF6A</v>
          </cell>
          <cell r="D126" t="str">
            <v>ICPL</v>
          </cell>
          <cell r="E126" t="str">
            <v>Curncy</v>
          </cell>
          <cell r="F126" t="str">
            <v>ECB SWAP</v>
          </cell>
          <cell r="G126" t="str">
            <v>EUSF6A</v>
          </cell>
          <cell r="H126" t="b">
            <v>0</v>
          </cell>
          <cell r="J126" t="str">
            <v>EUFR0F1 ICPL Curncy</v>
          </cell>
          <cell r="K126" t="str">
            <v>EUFR0F1</v>
          </cell>
          <cell r="L126" t="str">
            <v>ICPL</v>
          </cell>
          <cell r="M126" t="str">
            <v>Curncy</v>
          </cell>
          <cell r="N126" t="str">
            <v>FRA</v>
          </cell>
          <cell r="O126" t="str">
            <v>6X12</v>
          </cell>
          <cell r="P126" t="b">
            <v>1</v>
          </cell>
          <cell r="R126" t="str">
            <v>EUBSV7 CMPN Curncy</v>
          </cell>
          <cell r="S126" t="str">
            <v>EUBSV7</v>
          </cell>
          <cell r="T126" t="str">
            <v>CMPN</v>
          </cell>
          <cell r="U126" t="str">
            <v>Curncy</v>
          </cell>
          <cell r="V126" t="str">
            <v>TENOR-BASIS</v>
          </cell>
          <cell r="W126" t="str">
            <v>7Y</v>
          </cell>
          <cell r="X126" t="b">
            <v>1</v>
          </cell>
          <cell r="Z126" t="str">
            <v>EUBSA7 TRPU Curncy</v>
          </cell>
          <cell r="AA126" t="str">
            <v>EUBSA7</v>
          </cell>
          <cell r="AB126" t="str">
            <v>TRPU</v>
          </cell>
          <cell r="AC126" t="str">
            <v>Curncy</v>
          </cell>
          <cell r="AD126" t="str">
            <v>TENOR-BASIS</v>
          </cell>
          <cell r="AE126" t="str">
            <v>7Y</v>
          </cell>
          <cell r="AF126" t="b">
            <v>1</v>
          </cell>
          <cell r="AH126" t="str">
            <v>EUBSS7 ICPL Curncy</v>
          </cell>
          <cell r="AI126" t="str">
            <v>EUBSS7</v>
          </cell>
          <cell r="AJ126" t="str">
            <v>ICPL</v>
          </cell>
          <cell r="AK126" t="str">
            <v>Curncy</v>
          </cell>
          <cell r="AL126" t="str">
            <v>TENOR-BASIS</v>
          </cell>
          <cell r="AM126" t="str">
            <v>7Y</v>
          </cell>
          <cell r="AN126" t="b">
            <v>1</v>
          </cell>
          <cell r="AP126" t="str">
            <v>EUBS7 ICPL Curncy</v>
          </cell>
          <cell r="AQ126" t="str">
            <v>EUBS7</v>
          </cell>
          <cell r="AR126" t="str">
            <v>ICPL</v>
          </cell>
          <cell r="AS126" t="str">
            <v>Curncy</v>
          </cell>
          <cell r="AT126" t="str">
            <v>XCCY-BASIS</v>
          </cell>
          <cell r="AU126" t="str">
            <v>7Y</v>
          </cell>
          <cell r="AV126" t="b">
            <v>1</v>
          </cell>
        </row>
        <row r="127">
          <cell r="B127" t="str">
            <v>EUSF7A ICPL Curncy</v>
          </cell>
          <cell r="C127" t="str">
            <v>EUSF7A</v>
          </cell>
          <cell r="D127" t="str">
            <v>ICPL</v>
          </cell>
          <cell r="E127" t="str">
            <v>Curncy</v>
          </cell>
          <cell r="F127" t="str">
            <v>ECB SWAP</v>
          </cell>
          <cell r="G127" t="str">
            <v>EUSF7A</v>
          </cell>
          <cell r="H127" t="b">
            <v>0</v>
          </cell>
          <cell r="J127" t="str">
            <v>EUFR0G1A ICPL Curncy</v>
          </cell>
          <cell r="K127" t="str">
            <v>EUFR0G1A</v>
          </cell>
          <cell r="L127" t="str">
            <v>ICPL</v>
          </cell>
          <cell r="M127" t="str">
            <v>Curncy</v>
          </cell>
          <cell r="N127" t="str">
            <v>FRA</v>
          </cell>
          <cell r="O127" t="str">
            <v>7X13</v>
          </cell>
          <cell r="P127" t="b">
            <v>1</v>
          </cell>
          <cell r="R127" t="str">
            <v>EUBSV8 CMPN Curncy</v>
          </cell>
          <cell r="S127" t="str">
            <v>EUBSV8</v>
          </cell>
          <cell r="T127" t="str">
            <v>CMPN</v>
          </cell>
          <cell r="U127" t="str">
            <v>Curncy</v>
          </cell>
          <cell r="V127" t="str">
            <v>TENOR-BASIS</v>
          </cell>
          <cell r="W127" t="str">
            <v>8Y</v>
          </cell>
          <cell r="X127" t="b">
            <v>1</v>
          </cell>
          <cell r="Z127" t="str">
            <v>EUBSA8 TRPU Curncy</v>
          </cell>
          <cell r="AA127" t="str">
            <v>EUBSA8</v>
          </cell>
          <cell r="AB127" t="str">
            <v>TRPU</v>
          </cell>
          <cell r="AC127" t="str">
            <v>Curncy</v>
          </cell>
          <cell r="AD127" t="str">
            <v>TENOR-BASIS</v>
          </cell>
          <cell r="AE127" t="str">
            <v>8Y</v>
          </cell>
          <cell r="AF127" t="b">
            <v>1</v>
          </cell>
          <cell r="AH127" t="str">
            <v>EUBSS8 ICPL Curncy</v>
          </cell>
          <cell r="AI127" t="str">
            <v>EUBSS8</v>
          </cell>
          <cell r="AJ127" t="str">
            <v>ICPL</v>
          </cell>
          <cell r="AK127" t="str">
            <v>Curncy</v>
          </cell>
          <cell r="AL127" t="str">
            <v>TENOR-BASIS</v>
          </cell>
          <cell r="AM127" t="str">
            <v>8Y</v>
          </cell>
          <cell r="AN127" t="b">
            <v>1</v>
          </cell>
          <cell r="AP127" t="str">
            <v>EUBS8 ICPL Curncy</v>
          </cell>
          <cell r="AQ127" t="str">
            <v>EUBS8</v>
          </cell>
          <cell r="AR127" t="str">
            <v>ICPL</v>
          </cell>
          <cell r="AS127" t="str">
            <v>Curncy</v>
          </cell>
          <cell r="AT127" t="str">
            <v>XCCY-BASIS</v>
          </cell>
          <cell r="AU127" t="str">
            <v>8Y</v>
          </cell>
          <cell r="AV127" t="b">
            <v>1</v>
          </cell>
        </row>
        <row r="128">
          <cell r="B128" t="str">
            <v>EUSF8A ICPL Curncy</v>
          </cell>
          <cell r="C128" t="str">
            <v>EUSF8A</v>
          </cell>
          <cell r="D128" t="str">
            <v>ICPL</v>
          </cell>
          <cell r="E128" t="str">
            <v>Curncy</v>
          </cell>
          <cell r="F128" t="str">
            <v>ECB SWAP</v>
          </cell>
          <cell r="G128" t="str">
            <v>EUSF8A</v>
          </cell>
          <cell r="H128" t="b">
            <v>0</v>
          </cell>
          <cell r="J128" t="str">
            <v>EUFR0H1B ICPL Curncy</v>
          </cell>
          <cell r="K128" t="str">
            <v>EUFR0H1B</v>
          </cell>
          <cell r="L128" t="str">
            <v>ICPL</v>
          </cell>
          <cell r="M128" t="str">
            <v>Curncy</v>
          </cell>
          <cell r="N128" t="str">
            <v>FRA</v>
          </cell>
          <cell r="O128" t="str">
            <v>8X14</v>
          </cell>
          <cell r="P128" t="b">
            <v>1</v>
          </cell>
          <cell r="R128" t="str">
            <v>EUBSV9 CMPN Curncy</v>
          </cell>
          <cell r="S128" t="str">
            <v>EUBSV9</v>
          </cell>
          <cell r="T128" t="str">
            <v>CMPN</v>
          </cell>
          <cell r="U128" t="str">
            <v>Curncy</v>
          </cell>
          <cell r="V128" t="str">
            <v>TENOR-BASIS</v>
          </cell>
          <cell r="W128" t="str">
            <v>9Y</v>
          </cell>
          <cell r="X128" t="b">
            <v>1</v>
          </cell>
          <cell r="Z128" t="str">
            <v>EUBSA9 TRPU Curncy</v>
          </cell>
          <cell r="AA128" t="str">
            <v>EUBSA9</v>
          </cell>
          <cell r="AB128" t="str">
            <v>TRPU</v>
          </cell>
          <cell r="AC128" t="str">
            <v>Curncy</v>
          </cell>
          <cell r="AD128" t="str">
            <v>TENOR-BASIS</v>
          </cell>
          <cell r="AE128" t="str">
            <v>9Y</v>
          </cell>
          <cell r="AF128" t="b">
            <v>1</v>
          </cell>
          <cell r="AH128" t="str">
            <v>EUBSS9 ICPL Curncy</v>
          </cell>
          <cell r="AI128" t="str">
            <v>EUBSS9</v>
          </cell>
          <cell r="AJ128" t="str">
            <v>ICPL</v>
          </cell>
          <cell r="AK128" t="str">
            <v>Curncy</v>
          </cell>
          <cell r="AL128" t="str">
            <v>TENOR-BASIS</v>
          </cell>
          <cell r="AM128" t="str">
            <v>9Y</v>
          </cell>
          <cell r="AN128" t="b">
            <v>1</v>
          </cell>
          <cell r="AP128" t="str">
            <v>EUBS9 ICPL Curncy</v>
          </cell>
          <cell r="AQ128" t="str">
            <v>EUBS9</v>
          </cell>
          <cell r="AR128" t="str">
            <v>ICPL</v>
          </cell>
          <cell r="AS128" t="str">
            <v>Curncy</v>
          </cell>
          <cell r="AT128" t="str">
            <v>XCCY-BASIS</v>
          </cell>
          <cell r="AU128" t="str">
            <v>9Y</v>
          </cell>
          <cell r="AV128" t="b">
            <v>1</v>
          </cell>
        </row>
        <row r="129">
          <cell r="B129" t="str">
            <v>EUSF9A ICPL Curncy</v>
          </cell>
          <cell r="C129" t="str">
            <v>EUSF9A</v>
          </cell>
          <cell r="D129" t="str">
            <v>ICPL</v>
          </cell>
          <cell r="E129" t="str">
            <v>Curncy</v>
          </cell>
          <cell r="F129" t="str">
            <v>ECB SWAP</v>
          </cell>
          <cell r="G129" t="str">
            <v>EUSF9A</v>
          </cell>
          <cell r="H129" t="b">
            <v>0</v>
          </cell>
          <cell r="J129" t="str">
            <v>EUFR0I1C ICPL Curncy</v>
          </cell>
          <cell r="K129" t="str">
            <v>EUFR0I1C</v>
          </cell>
          <cell r="L129" t="str">
            <v>ICPL</v>
          </cell>
          <cell r="M129" t="str">
            <v>Curncy</v>
          </cell>
          <cell r="N129" t="str">
            <v>FRA</v>
          </cell>
          <cell r="O129" t="str">
            <v>9X15</v>
          </cell>
          <cell r="P129" t="b">
            <v>1</v>
          </cell>
          <cell r="R129" t="str">
            <v>EUBSV10 CMPN Curncy</v>
          </cell>
          <cell r="S129" t="str">
            <v>EUBSV10</v>
          </cell>
          <cell r="T129" t="str">
            <v>CMPN</v>
          </cell>
          <cell r="U129" t="str">
            <v>Curncy</v>
          </cell>
          <cell r="V129" t="str">
            <v>TENOR-BASIS</v>
          </cell>
          <cell r="W129" t="str">
            <v>10Y</v>
          </cell>
          <cell r="X129" t="b">
            <v>1</v>
          </cell>
          <cell r="Z129" t="str">
            <v>EUBSA10 TRPU Curncy</v>
          </cell>
          <cell r="AA129" t="str">
            <v>EUBSA10</v>
          </cell>
          <cell r="AB129" t="str">
            <v>TRPU</v>
          </cell>
          <cell r="AC129" t="str">
            <v>Curncy</v>
          </cell>
          <cell r="AD129" t="str">
            <v>TENOR-BASIS</v>
          </cell>
          <cell r="AE129" t="str">
            <v>10Y</v>
          </cell>
          <cell r="AF129" t="b">
            <v>1</v>
          </cell>
          <cell r="AH129" t="str">
            <v>EUBSS10 ICPL Curncy</v>
          </cell>
          <cell r="AI129" t="str">
            <v>EUBSS10</v>
          </cell>
          <cell r="AJ129" t="str">
            <v>ICPL</v>
          </cell>
          <cell r="AK129" t="str">
            <v>Curncy</v>
          </cell>
          <cell r="AL129" t="str">
            <v>TENOR-BASIS</v>
          </cell>
          <cell r="AM129" t="str">
            <v>10Y</v>
          </cell>
          <cell r="AN129" t="b">
            <v>1</v>
          </cell>
          <cell r="AP129" t="str">
            <v>EUBS10 ICPL Curncy</v>
          </cell>
          <cell r="AQ129" t="str">
            <v>EUBS10</v>
          </cell>
          <cell r="AR129" t="str">
            <v>ICPL</v>
          </cell>
          <cell r="AS129" t="str">
            <v>Curncy</v>
          </cell>
          <cell r="AT129" t="str">
            <v>XCCY-BASIS</v>
          </cell>
          <cell r="AU129" t="str">
            <v>10Y</v>
          </cell>
          <cell r="AV129" t="b">
            <v>1</v>
          </cell>
        </row>
        <row r="130">
          <cell r="B130" t="str">
            <v>EUSF10A ICPL Curncy</v>
          </cell>
          <cell r="C130" t="str">
            <v>EUSF10A</v>
          </cell>
          <cell r="D130" t="str">
            <v>ICPL</v>
          </cell>
          <cell r="E130" t="str">
            <v>Curncy</v>
          </cell>
          <cell r="F130" t="str">
            <v>ECB SWAP</v>
          </cell>
          <cell r="G130" t="str">
            <v>EUSF10A</v>
          </cell>
          <cell r="H130" t="b">
            <v>0</v>
          </cell>
          <cell r="J130" t="str">
            <v>EUFR0J1D ICPL Curncy</v>
          </cell>
          <cell r="K130" t="str">
            <v>EUFR0J1D</v>
          </cell>
          <cell r="L130" t="str">
            <v>ICPL</v>
          </cell>
          <cell r="M130" t="str">
            <v>Curncy</v>
          </cell>
          <cell r="N130" t="str">
            <v>FRA</v>
          </cell>
          <cell r="O130" t="str">
            <v>10X16</v>
          </cell>
          <cell r="P130" t="b">
            <v>1</v>
          </cell>
          <cell r="R130" t="str">
            <v>EUBSV11 CMPN Curncy</v>
          </cell>
          <cell r="S130" t="str">
            <v>EUBSV11</v>
          </cell>
          <cell r="T130" t="str">
            <v>CMPN</v>
          </cell>
          <cell r="U130" t="str">
            <v>Curncy</v>
          </cell>
          <cell r="V130" t="str">
            <v>TENOR-BASIS</v>
          </cell>
          <cell r="W130" t="str">
            <v>11Y</v>
          </cell>
          <cell r="X130" t="b">
            <v>1</v>
          </cell>
          <cell r="Z130" t="str">
            <v>EUBSA11 TRPU Curncy</v>
          </cell>
          <cell r="AA130" t="str">
            <v>EUBSA11</v>
          </cell>
          <cell r="AB130" t="str">
            <v>TRPU</v>
          </cell>
          <cell r="AC130" t="str">
            <v>Curncy</v>
          </cell>
          <cell r="AD130" t="str">
            <v>TENOR-BASIS</v>
          </cell>
          <cell r="AE130" t="str">
            <v>11Y</v>
          </cell>
          <cell r="AF130" t="b">
            <v>1</v>
          </cell>
          <cell r="AH130" t="str">
            <v>EUBSS11 ICPL Curncy</v>
          </cell>
          <cell r="AI130" t="str">
            <v>EUBSS11</v>
          </cell>
          <cell r="AJ130" t="str">
            <v>ICPL</v>
          </cell>
          <cell r="AK130" t="str">
            <v>Curncy</v>
          </cell>
          <cell r="AL130" t="str">
            <v>TENOR-BASIS</v>
          </cell>
          <cell r="AM130" t="str">
            <v>11Y</v>
          </cell>
          <cell r="AN130" t="b">
            <v>1</v>
          </cell>
          <cell r="AP130" t="str">
            <v>EUBS11 ICPL Curncy</v>
          </cell>
          <cell r="AQ130" t="str">
            <v>EUBS11</v>
          </cell>
          <cell r="AR130" t="str">
            <v>ICPL</v>
          </cell>
          <cell r="AS130" t="str">
            <v>Curncy</v>
          </cell>
          <cell r="AT130" t="str">
            <v>XCCY-BASIS</v>
          </cell>
          <cell r="AU130" t="str">
            <v>11Y</v>
          </cell>
          <cell r="AV130" t="b">
            <v>1</v>
          </cell>
        </row>
        <row r="131">
          <cell r="B131" t="str">
            <v>EUSF11A ICPL Curncy</v>
          </cell>
          <cell r="C131" t="str">
            <v>EUSF11A</v>
          </cell>
          <cell r="D131" t="str">
            <v>ICPL</v>
          </cell>
          <cell r="E131" t="str">
            <v>Curncy</v>
          </cell>
          <cell r="F131" t="str">
            <v>ECB SWAP</v>
          </cell>
          <cell r="G131" t="str">
            <v>EUSF11A</v>
          </cell>
          <cell r="H131" t="b">
            <v>0</v>
          </cell>
          <cell r="J131" t="str">
            <v>EUFR0K1E ICPL Curncy</v>
          </cell>
          <cell r="K131" t="str">
            <v>EUFR0K1E</v>
          </cell>
          <cell r="L131" t="str">
            <v>ICPL</v>
          </cell>
          <cell r="M131" t="str">
            <v>Curncy</v>
          </cell>
          <cell r="N131" t="str">
            <v>FRA</v>
          </cell>
          <cell r="O131" t="str">
            <v>11X17</v>
          </cell>
          <cell r="P131" t="b">
            <v>1</v>
          </cell>
          <cell r="R131" t="str">
            <v>EUBSV12 CMPN Curncy</v>
          </cell>
          <cell r="S131" t="str">
            <v>EUBSV12</v>
          </cell>
          <cell r="T131" t="str">
            <v>CMPN</v>
          </cell>
          <cell r="U131" t="str">
            <v>Curncy</v>
          </cell>
          <cell r="V131" t="str">
            <v>TENOR-BASIS</v>
          </cell>
          <cell r="W131" t="str">
            <v>12Y</v>
          </cell>
          <cell r="X131" t="b">
            <v>1</v>
          </cell>
          <cell r="Z131" t="str">
            <v>EUBSA12 TRPU Curncy</v>
          </cell>
          <cell r="AA131" t="str">
            <v>EUBSA12</v>
          </cell>
          <cell r="AB131" t="str">
            <v>TRPU</v>
          </cell>
          <cell r="AC131" t="str">
            <v>Curncy</v>
          </cell>
          <cell r="AD131" t="str">
            <v>TENOR-BASIS</v>
          </cell>
          <cell r="AE131" t="str">
            <v>12Y</v>
          </cell>
          <cell r="AF131" t="b">
            <v>1</v>
          </cell>
          <cell r="AH131" t="str">
            <v>EUBSS12 ICPL Curncy</v>
          </cell>
          <cell r="AI131" t="str">
            <v>EUBSS12</v>
          </cell>
          <cell r="AJ131" t="str">
            <v>ICPL</v>
          </cell>
          <cell r="AK131" t="str">
            <v>Curncy</v>
          </cell>
          <cell r="AL131" t="str">
            <v>TENOR-BASIS</v>
          </cell>
          <cell r="AM131" t="str">
            <v>12Y</v>
          </cell>
          <cell r="AN131" t="b">
            <v>1</v>
          </cell>
          <cell r="AP131" t="str">
            <v>EUBS12 ICPL Curncy</v>
          </cell>
          <cell r="AQ131" t="str">
            <v>EUBS12</v>
          </cell>
          <cell r="AR131" t="str">
            <v>ICPL</v>
          </cell>
          <cell r="AS131" t="str">
            <v>Curncy</v>
          </cell>
          <cell r="AT131" t="str">
            <v>XCCY-BASIS</v>
          </cell>
          <cell r="AU131" t="str">
            <v>12Y</v>
          </cell>
          <cell r="AV131" t="b">
            <v>1</v>
          </cell>
        </row>
        <row r="132">
          <cell r="B132" t="str">
            <v>EUSF12A ICPL Curncy</v>
          </cell>
          <cell r="C132" t="str">
            <v>EUSF12A</v>
          </cell>
          <cell r="D132" t="str">
            <v>ICPL</v>
          </cell>
          <cell r="E132" t="str">
            <v>Curncy</v>
          </cell>
          <cell r="F132" t="str">
            <v>ECB SWAP</v>
          </cell>
          <cell r="G132" t="str">
            <v>EUSF12A</v>
          </cell>
          <cell r="H132" t="b">
            <v>0</v>
          </cell>
          <cell r="J132" t="str">
            <v>EUFR011F ICPL Curncy</v>
          </cell>
          <cell r="K132" t="str">
            <v>EUFR011F</v>
          </cell>
          <cell r="L132" t="str">
            <v>ICPL</v>
          </cell>
          <cell r="M132" t="str">
            <v>Curncy</v>
          </cell>
          <cell r="N132" t="str">
            <v>FRA</v>
          </cell>
          <cell r="O132" t="str">
            <v>12X18</v>
          </cell>
          <cell r="P132" t="b">
            <v>1</v>
          </cell>
          <cell r="R132" t="str">
            <v>EUBSV13 CMPN Curncy</v>
          </cell>
          <cell r="S132" t="str">
            <v>EUBSV13</v>
          </cell>
          <cell r="T132" t="str">
            <v>CMPN</v>
          </cell>
          <cell r="U132" t="str">
            <v>Curncy</v>
          </cell>
          <cell r="V132" t="str">
            <v>TENOR-BASIS</v>
          </cell>
          <cell r="W132" t="str">
            <v>13Y</v>
          </cell>
          <cell r="X132" t="b">
            <v>1</v>
          </cell>
          <cell r="Z132" t="str">
            <v>EUBSA15 TRPU Curncy</v>
          </cell>
          <cell r="AA132" t="str">
            <v>EUBSA15</v>
          </cell>
          <cell r="AB132" t="str">
            <v>TRPU</v>
          </cell>
          <cell r="AC132" t="str">
            <v>Curncy</v>
          </cell>
          <cell r="AD132" t="str">
            <v>TENOR-BASIS</v>
          </cell>
          <cell r="AE132" t="str">
            <v>15Y</v>
          </cell>
          <cell r="AF132" t="b">
            <v>1</v>
          </cell>
          <cell r="AH132" t="str">
            <v>EUBSS15 ICPL Curncy</v>
          </cell>
          <cell r="AI132" t="str">
            <v>EUBSS15</v>
          </cell>
          <cell r="AJ132" t="str">
            <v>ICPL</v>
          </cell>
          <cell r="AK132" t="str">
            <v>Curncy</v>
          </cell>
          <cell r="AL132" t="str">
            <v>TENOR-BASIS</v>
          </cell>
          <cell r="AM132" t="str">
            <v>15Y</v>
          </cell>
          <cell r="AN132" t="b">
            <v>1</v>
          </cell>
          <cell r="AP132" t="str">
            <v>EUBS13 ICPL Curncy</v>
          </cell>
          <cell r="AQ132" t="str">
            <v>EUBS13</v>
          </cell>
          <cell r="AR132" t="str">
            <v>ICPL</v>
          </cell>
          <cell r="AS132" t="str">
            <v>Curncy</v>
          </cell>
          <cell r="AT132" t="str">
            <v>XCCY-BASIS</v>
          </cell>
          <cell r="AU132" t="str">
            <v>13Y</v>
          </cell>
          <cell r="AV132" t="b">
            <v>1</v>
          </cell>
        </row>
        <row r="133">
          <cell r="B133" t="str">
            <v>EUSWE1Z ICPL Curncy</v>
          </cell>
          <cell r="C133" t="str">
            <v>EUSWE1Z</v>
          </cell>
          <cell r="D133" t="str">
            <v>ICPL</v>
          </cell>
          <cell r="E133" t="str">
            <v>Curncy</v>
          </cell>
          <cell r="F133" t="str">
            <v>OIS</v>
          </cell>
          <cell r="G133" t="str">
            <v>1W</v>
          </cell>
          <cell r="H133" t="b">
            <v>0</v>
          </cell>
          <cell r="J133" t="str">
            <v>EUSA2 MHIS Curncy</v>
          </cell>
          <cell r="K133" t="str">
            <v>EUSA2</v>
          </cell>
          <cell r="L133" t="str">
            <v>MHIS</v>
          </cell>
          <cell r="M133" t="str">
            <v>Curncy</v>
          </cell>
          <cell r="N133" t="str">
            <v>SWAP</v>
          </cell>
          <cell r="O133" t="str">
            <v>2Y</v>
          </cell>
          <cell r="P133" t="b">
            <v>1</v>
          </cell>
          <cell r="R133" t="str">
            <v>EUBSV14 CMPN Curncy</v>
          </cell>
          <cell r="S133" t="str">
            <v>EUBSV14</v>
          </cell>
          <cell r="T133" t="str">
            <v>CMPN</v>
          </cell>
          <cell r="U133" t="str">
            <v>Curncy</v>
          </cell>
          <cell r="V133" t="str">
            <v>TENOR-BASIS</v>
          </cell>
          <cell r="W133" t="str">
            <v>14Y</v>
          </cell>
          <cell r="X133" t="b">
            <v>1</v>
          </cell>
          <cell r="Z133" t="str">
            <v>EUBSA20 TRPU Curncy</v>
          </cell>
          <cell r="AA133" t="str">
            <v>EUBSA20</v>
          </cell>
          <cell r="AB133" t="str">
            <v>TRPU</v>
          </cell>
          <cell r="AC133" t="str">
            <v>Curncy</v>
          </cell>
          <cell r="AD133" t="str">
            <v>TENOR-BASIS</v>
          </cell>
          <cell r="AE133" t="str">
            <v>20Y</v>
          </cell>
          <cell r="AF133" t="b">
            <v>1</v>
          </cell>
          <cell r="AH133" t="str">
            <v>EUBSS20 ICPL Curncy</v>
          </cell>
          <cell r="AI133" t="str">
            <v>EUBSS20</v>
          </cell>
          <cell r="AJ133" t="str">
            <v>ICPL</v>
          </cell>
          <cell r="AK133" t="str">
            <v>Curncy</v>
          </cell>
          <cell r="AL133" t="str">
            <v>TENOR-BASIS</v>
          </cell>
          <cell r="AM133" t="str">
            <v>20Y</v>
          </cell>
          <cell r="AN133" t="b">
            <v>1</v>
          </cell>
          <cell r="AP133" t="str">
            <v>EUBS14 ICPL Curncy</v>
          </cell>
          <cell r="AQ133" t="str">
            <v>EUBS14</v>
          </cell>
          <cell r="AR133" t="str">
            <v>ICPL</v>
          </cell>
          <cell r="AS133" t="str">
            <v>Curncy</v>
          </cell>
          <cell r="AT133" t="str">
            <v>XCCY-BASIS</v>
          </cell>
          <cell r="AU133" t="str">
            <v>14Y</v>
          </cell>
          <cell r="AV133" t="b">
            <v>1</v>
          </cell>
        </row>
        <row r="134">
          <cell r="B134" t="str">
            <v>EUSWE2Z ICPL Curncy</v>
          </cell>
          <cell r="C134" t="str">
            <v>EUSWE2Z</v>
          </cell>
          <cell r="D134" t="str">
            <v>ICPL</v>
          </cell>
          <cell r="E134" t="str">
            <v>Curncy</v>
          </cell>
          <cell r="F134" t="str">
            <v>OIS</v>
          </cell>
          <cell r="G134" t="str">
            <v>2W</v>
          </cell>
          <cell r="H134" t="b">
            <v>0</v>
          </cell>
          <cell r="J134" t="str">
            <v>EUSA3 MHIS Curncy</v>
          </cell>
          <cell r="K134" t="str">
            <v>EUSA3</v>
          </cell>
          <cell r="L134" t="str">
            <v>MHIS</v>
          </cell>
          <cell r="M134" t="str">
            <v>Curncy</v>
          </cell>
          <cell r="N134" t="str">
            <v>SWAP</v>
          </cell>
          <cell r="O134" t="str">
            <v>3Y</v>
          </cell>
          <cell r="P134" t="b">
            <v>1</v>
          </cell>
          <cell r="R134" t="str">
            <v>EUBSV15 CMPN Curncy</v>
          </cell>
          <cell r="S134" t="str">
            <v>EUBSV15</v>
          </cell>
          <cell r="T134" t="str">
            <v>CMPN</v>
          </cell>
          <cell r="U134" t="str">
            <v>Curncy</v>
          </cell>
          <cell r="V134" t="str">
            <v>TENOR-BASIS</v>
          </cell>
          <cell r="W134" t="str">
            <v>15Y</v>
          </cell>
          <cell r="X134" t="b">
            <v>1</v>
          </cell>
          <cell r="Z134" t="str">
            <v>EUBSA25 TRPU Curncy</v>
          </cell>
          <cell r="AA134" t="str">
            <v>EUBSA25</v>
          </cell>
          <cell r="AB134" t="str">
            <v>TRPU</v>
          </cell>
          <cell r="AC134" t="str">
            <v>Curncy</v>
          </cell>
          <cell r="AD134" t="str">
            <v>TENOR-BASIS</v>
          </cell>
          <cell r="AE134" t="str">
            <v>25Y</v>
          </cell>
          <cell r="AF134" t="b">
            <v>1</v>
          </cell>
          <cell r="AH134" t="str">
            <v>EUBSS25 ICPL Curncy</v>
          </cell>
          <cell r="AI134" t="str">
            <v>EUBSS25</v>
          </cell>
          <cell r="AJ134" t="str">
            <v>ICPL</v>
          </cell>
          <cell r="AK134" t="str">
            <v>Curncy</v>
          </cell>
          <cell r="AL134" t="str">
            <v>TENOR-BASIS</v>
          </cell>
          <cell r="AM134" t="str">
            <v>25Y</v>
          </cell>
          <cell r="AN134" t="b">
            <v>1</v>
          </cell>
          <cell r="AP134" t="str">
            <v>EUBS15 ICPL Curncy</v>
          </cell>
          <cell r="AQ134" t="str">
            <v>EUBS15</v>
          </cell>
          <cell r="AR134" t="str">
            <v>ICPL</v>
          </cell>
          <cell r="AS134" t="str">
            <v>Curncy</v>
          </cell>
          <cell r="AT134" t="str">
            <v>XCCY-BASIS</v>
          </cell>
          <cell r="AU134" t="str">
            <v>15Y</v>
          </cell>
          <cell r="AV134" t="b">
            <v>1</v>
          </cell>
        </row>
        <row r="135">
          <cell r="B135" t="str">
            <v>EUSWEA ICPL Curncy</v>
          </cell>
          <cell r="C135" t="str">
            <v>EUSWEA</v>
          </cell>
          <cell r="D135" t="str">
            <v>ICPL</v>
          </cell>
          <cell r="E135" t="str">
            <v>Curncy</v>
          </cell>
          <cell r="F135" t="str">
            <v>OIS</v>
          </cell>
          <cell r="G135" t="str">
            <v>1M</v>
          </cell>
          <cell r="H135" t="b">
            <v>0</v>
          </cell>
          <cell r="J135" t="str">
            <v>EUSA4 MHIS Curncy</v>
          </cell>
          <cell r="K135" t="str">
            <v>EUSA4</v>
          </cell>
          <cell r="L135" t="str">
            <v>MHIS</v>
          </cell>
          <cell r="M135" t="str">
            <v>Curncy</v>
          </cell>
          <cell r="N135" t="str">
            <v>SWAP</v>
          </cell>
          <cell r="O135" t="str">
            <v>4Y</v>
          </cell>
          <cell r="P135" t="b">
            <v>1</v>
          </cell>
          <cell r="R135" t="str">
            <v>EUBSV20 CMPN Curncy</v>
          </cell>
          <cell r="S135" t="str">
            <v>EUBSV20</v>
          </cell>
          <cell r="T135" t="str">
            <v>CMPN</v>
          </cell>
          <cell r="U135" t="str">
            <v>Curncy</v>
          </cell>
          <cell r="V135" t="str">
            <v>TENOR-BASIS</v>
          </cell>
          <cell r="W135" t="str">
            <v>20Y</v>
          </cell>
          <cell r="X135" t="b">
            <v>1</v>
          </cell>
          <cell r="Z135" t="str">
            <v>EUBSA30 TRPU Curncy</v>
          </cell>
          <cell r="AA135" t="str">
            <v>EUBSA30</v>
          </cell>
          <cell r="AB135" t="str">
            <v>TRPU</v>
          </cell>
          <cell r="AC135" t="str">
            <v>Curncy</v>
          </cell>
          <cell r="AD135" t="str">
            <v>TENOR-BASIS</v>
          </cell>
          <cell r="AE135" t="str">
            <v>30Y</v>
          </cell>
          <cell r="AF135" t="b">
            <v>1</v>
          </cell>
          <cell r="AH135" t="str">
            <v>EUBSS30 ICPL Curncy</v>
          </cell>
          <cell r="AI135" t="str">
            <v>EUBSS30</v>
          </cell>
          <cell r="AJ135" t="str">
            <v>ICPL</v>
          </cell>
          <cell r="AK135" t="str">
            <v>Curncy</v>
          </cell>
          <cell r="AL135" t="str">
            <v>TENOR-BASIS</v>
          </cell>
          <cell r="AM135" t="str">
            <v>30Y</v>
          </cell>
          <cell r="AN135" t="b">
            <v>1</v>
          </cell>
          <cell r="AP135" t="str">
            <v>EUBS20 ICPL Curncy</v>
          </cell>
          <cell r="AQ135" t="str">
            <v>EUBS20</v>
          </cell>
          <cell r="AR135" t="str">
            <v>ICPL</v>
          </cell>
          <cell r="AS135" t="str">
            <v>Curncy</v>
          </cell>
          <cell r="AT135" t="str">
            <v>XCCY-BASIS</v>
          </cell>
          <cell r="AU135" t="str">
            <v>20Y</v>
          </cell>
          <cell r="AV135" t="b">
            <v>1</v>
          </cell>
        </row>
        <row r="136">
          <cell r="B136" t="str">
            <v>EUSWEB ICPL Curncy</v>
          </cell>
          <cell r="C136" t="str">
            <v>EUSWEB</v>
          </cell>
          <cell r="D136" t="str">
            <v>ICPL</v>
          </cell>
          <cell r="E136" t="str">
            <v>Curncy</v>
          </cell>
          <cell r="F136" t="str">
            <v>OIS</v>
          </cell>
          <cell r="G136" t="str">
            <v>2M</v>
          </cell>
          <cell r="H136" t="b">
            <v>0</v>
          </cell>
          <cell r="J136" t="str">
            <v>EUSA5 MHIS Curncy</v>
          </cell>
          <cell r="K136" t="str">
            <v>EUSA5</v>
          </cell>
          <cell r="L136" t="str">
            <v>MHIS</v>
          </cell>
          <cell r="M136" t="str">
            <v>Curncy</v>
          </cell>
          <cell r="N136" t="str">
            <v>SWAP</v>
          </cell>
          <cell r="O136" t="str">
            <v>5Y</v>
          </cell>
          <cell r="P136" t="b">
            <v>1</v>
          </cell>
          <cell r="R136" t="str">
            <v>EUBSV25 CMPN Curncy</v>
          </cell>
          <cell r="S136" t="str">
            <v>EUBSV25</v>
          </cell>
          <cell r="T136" t="str">
            <v>CMPN</v>
          </cell>
          <cell r="U136" t="str">
            <v>Curncy</v>
          </cell>
          <cell r="V136" t="str">
            <v>TENOR-BASIS</v>
          </cell>
          <cell r="W136" t="str">
            <v>25Y</v>
          </cell>
          <cell r="X136" t="b">
            <v>1</v>
          </cell>
          <cell r="Z136" t="str">
            <v xml:space="preserve">  </v>
          </cell>
          <cell r="AH136" t="str">
            <v xml:space="preserve">  </v>
          </cell>
          <cell r="AP136" t="str">
            <v>EUBS25 ICPL Curncy</v>
          </cell>
          <cell r="AQ136" t="str">
            <v>EUBS25</v>
          </cell>
          <cell r="AR136" t="str">
            <v>ICPL</v>
          </cell>
          <cell r="AS136" t="str">
            <v>Curncy</v>
          </cell>
          <cell r="AT136" t="str">
            <v>XCCY-BASIS</v>
          </cell>
          <cell r="AU136" t="str">
            <v>25Y</v>
          </cell>
          <cell r="AV136" t="b">
            <v>1</v>
          </cell>
        </row>
        <row r="137">
          <cell r="B137" t="str">
            <v>EUSWEC ICPL Curncy</v>
          </cell>
          <cell r="C137" t="str">
            <v>EUSWEC</v>
          </cell>
          <cell r="D137" t="str">
            <v>ICPL</v>
          </cell>
          <cell r="E137" t="str">
            <v>Curncy</v>
          </cell>
          <cell r="F137" t="str">
            <v>OIS</v>
          </cell>
          <cell r="G137" t="str">
            <v>3M</v>
          </cell>
          <cell r="H137" t="b">
            <v>0</v>
          </cell>
          <cell r="J137" t="str">
            <v>EUSA6 MHIS Curncy</v>
          </cell>
          <cell r="K137" t="str">
            <v>EUSA6</v>
          </cell>
          <cell r="L137" t="str">
            <v>MHIS</v>
          </cell>
          <cell r="M137" t="str">
            <v>Curncy</v>
          </cell>
          <cell r="N137" t="str">
            <v>SWAP</v>
          </cell>
          <cell r="O137" t="str">
            <v>6Y</v>
          </cell>
          <cell r="P137" t="b">
            <v>1</v>
          </cell>
          <cell r="R137" t="str">
            <v>EUBSV30 CMPN Curncy</v>
          </cell>
          <cell r="S137" t="str">
            <v>EUBSV30</v>
          </cell>
          <cell r="T137" t="str">
            <v>CMPN</v>
          </cell>
          <cell r="U137" t="str">
            <v>Curncy</v>
          </cell>
          <cell r="V137" t="str">
            <v>TENOR-BASIS</v>
          </cell>
          <cell r="W137" t="str">
            <v>30Y</v>
          </cell>
          <cell r="X137" t="b">
            <v>1</v>
          </cell>
          <cell r="Z137" t="str">
            <v xml:space="preserve">  </v>
          </cell>
          <cell r="AH137" t="str">
            <v xml:space="preserve">  </v>
          </cell>
          <cell r="AP137" t="str">
            <v>EUBS30 ICPL Curncy</v>
          </cell>
          <cell r="AQ137" t="str">
            <v>EUBS30</v>
          </cell>
          <cell r="AR137" t="str">
            <v>ICPL</v>
          </cell>
          <cell r="AS137" t="str">
            <v>Curncy</v>
          </cell>
          <cell r="AT137" t="str">
            <v>XCCY-BASIS</v>
          </cell>
          <cell r="AU137" t="str">
            <v>30Y</v>
          </cell>
          <cell r="AV137" t="b">
            <v>1</v>
          </cell>
        </row>
        <row r="138">
          <cell r="B138" t="str">
            <v>EUSWED ICPL Curncy</v>
          </cell>
          <cell r="C138" t="str">
            <v>EUSWED</v>
          </cell>
          <cell r="D138" t="str">
            <v>ICPL</v>
          </cell>
          <cell r="E138" t="str">
            <v>Curncy</v>
          </cell>
          <cell r="F138" t="str">
            <v>OIS</v>
          </cell>
          <cell r="G138" t="str">
            <v>4M</v>
          </cell>
          <cell r="H138" t="b">
            <v>0</v>
          </cell>
          <cell r="J138" t="str">
            <v>EUSA7 MHIS Curncy</v>
          </cell>
          <cell r="K138" t="str">
            <v>EUSA7</v>
          </cell>
          <cell r="L138" t="str">
            <v>MHIS</v>
          </cell>
          <cell r="M138" t="str">
            <v>Curncy</v>
          </cell>
          <cell r="N138" t="str">
            <v>SWAP</v>
          </cell>
          <cell r="O138" t="str">
            <v>7Y</v>
          </cell>
          <cell r="P138" t="b">
            <v>1</v>
          </cell>
          <cell r="R138" t="str">
            <v xml:space="preserve">  </v>
          </cell>
          <cell r="Z138" t="str">
            <v xml:space="preserve">  </v>
          </cell>
          <cell r="AH138" t="str">
            <v xml:space="preserve">  </v>
          </cell>
          <cell r="AP138" t="str">
            <v xml:space="preserve">  </v>
          </cell>
        </row>
        <row r="139">
          <cell r="B139" t="str">
            <v>EUSWEE ICPL Curncy</v>
          </cell>
          <cell r="C139" t="str">
            <v>EUSWEE</v>
          </cell>
          <cell r="D139" t="str">
            <v>ICPL</v>
          </cell>
          <cell r="E139" t="str">
            <v>Curncy</v>
          </cell>
          <cell r="F139" t="str">
            <v>OIS</v>
          </cell>
          <cell r="G139" t="str">
            <v>5M</v>
          </cell>
          <cell r="H139" t="b">
            <v>0</v>
          </cell>
          <cell r="J139" t="str">
            <v>EUSA8 MHIS Curncy</v>
          </cell>
          <cell r="K139" t="str">
            <v>EUSA8</v>
          </cell>
          <cell r="L139" t="str">
            <v>MHIS</v>
          </cell>
          <cell r="M139" t="str">
            <v>Curncy</v>
          </cell>
          <cell r="N139" t="str">
            <v>SWAP</v>
          </cell>
          <cell r="O139" t="str">
            <v>8Y</v>
          </cell>
          <cell r="P139" t="b">
            <v>1</v>
          </cell>
          <cell r="R139" t="str">
            <v xml:space="preserve">  </v>
          </cell>
          <cell r="Z139" t="str">
            <v xml:space="preserve">  </v>
          </cell>
          <cell r="AH139" t="str">
            <v xml:space="preserve">  </v>
          </cell>
          <cell r="AP139" t="str">
            <v xml:space="preserve">  </v>
          </cell>
        </row>
        <row r="140">
          <cell r="B140" t="str">
            <v>EUSWEF ICPL Curncy</v>
          </cell>
          <cell r="C140" t="str">
            <v>EUSWEF</v>
          </cell>
          <cell r="D140" t="str">
            <v>ICPL</v>
          </cell>
          <cell r="E140" t="str">
            <v>Curncy</v>
          </cell>
          <cell r="F140" t="str">
            <v>OIS</v>
          </cell>
          <cell r="G140" t="str">
            <v>6M</v>
          </cell>
          <cell r="H140" t="b">
            <v>0</v>
          </cell>
          <cell r="J140" t="str">
            <v>EUSA9 MHIS Curncy</v>
          </cell>
          <cell r="K140" t="str">
            <v>EUSA9</v>
          </cell>
          <cell r="L140" t="str">
            <v>MHIS</v>
          </cell>
          <cell r="M140" t="str">
            <v>Curncy</v>
          </cell>
          <cell r="N140" t="str">
            <v>SWAP</v>
          </cell>
          <cell r="O140" t="str">
            <v>9Y</v>
          </cell>
          <cell r="P140" t="b">
            <v>1</v>
          </cell>
          <cell r="R140" t="str">
            <v xml:space="preserve">  </v>
          </cell>
          <cell r="Z140" t="str">
            <v xml:space="preserve">  </v>
          </cell>
          <cell r="AH140" t="str">
            <v xml:space="preserve">  </v>
          </cell>
          <cell r="AP140" t="str">
            <v xml:space="preserve">  </v>
          </cell>
        </row>
        <row r="141">
          <cell r="B141" t="str">
            <v>EUSWEG ICPL Curncy</v>
          </cell>
          <cell r="C141" t="str">
            <v>EUSWEG</v>
          </cell>
          <cell r="D141" t="str">
            <v>ICPL</v>
          </cell>
          <cell r="E141" t="str">
            <v>Curncy</v>
          </cell>
          <cell r="F141" t="str">
            <v>OIS</v>
          </cell>
          <cell r="G141" t="str">
            <v>7M</v>
          </cell>
          <cell r="H141" t="b">
            <v>0</v>
          </cell>
          <cell r="J141" t="str">
            <v>EUSA10 MHIS Curncy</v>
          </cell>
          <cell r="K141" t="str">
            <v>EUSA10</v>
          </cell>
          <cell r="L141" t="str">
            <v>MHIS</v>
          </cell>
          <cell r="M141" t="str">
            <v>Curncy</v>
          </cell>
          <cell r="N141" t="str">
            <v>SWAP</v>
          </cell>
          <cell r="O141" t="str">
            <v>10Y</v>
          </cell>
          <cell r="P141" t="b">
            <v>1</v>
          </cell>
          <cell r="R141" t="str">
            <v xml:space="preserve">  </v>
          </cell>
          <cell r="Z141" t="str">
            <v xml:space="preserve">  </v>
          </cell>
          <cell r="AH141" t="str">
            <v xml:space="preserve">  </v>
          </cell>
          <cell r="AP141" t="str">
            <v xml:space="preserve">  </v>
          </cell>
        </row>
        <row r="142">
          <cell r="B142" t="str">
            <v>EUSWEH ICPL Curncy</v>
          </cell>
          <cell r="C142" t="str">
            <v>EUSWEH</v>
          </cell>
          <cell r="D142" t="str">
            <v>ICPL</v>
          </cell>
          <cell r="E142" t="str">
            <v>Curncy</v>
          </cell>
          <cell r="F142" t="str">
            <v>OIS</v>
          </cell>
          <cell r="G142" t="str">
            <v>8M</v>
          </cell>
          <cell r="H142" t="b">
            <v>0</v>
          </cell>
          <cell r="J142" t="str">
            <v>EUSA11 MHIS Curncy</v>
          </cell>
          <cell r="K142" t="str">
            <v>EUSA11</v>
          </cell>
          <cell r="L142" t="str">
            <v>MHIS</v>
          </cell>
          <cell r="M142" t="str">
            <v>Curncy</v>
          </cell>
          <cell r="N142" t="str">
            <v>SWAP</v>
          </cell>
          <cell r="O142" t="str">
            <v>11Y</v>
          </cell>
          <cell r="P142" t="b">
            <v>1</v>
          </cell>
          <cell r="R142" t="str">
            <v xml:space="preserve">  </v>
          </cell>
          <cell r="Z142" t="str">
            <v xml:space="preserve">  </v>
          </cell>
          <cell r="AH142" t="str">
            <v xml:space="preserve">  </v>
          </cell>
          <cell r="AP142" t="str">
            <v xml:space="preserve">  </v>
          </cell>
        </row>
        <row r="143">
          <cell r="B143" t="str">
            <v>EUSWEI ICPL Curncy</v>
          </cell>
          <cell r="C143" t="str">
            <v>EUSWEI</v>
          </cell>
          <cell r="D143" t="str">
            <v>ICPL</v>
          </cell>
          <cell r="E143" t="str">
            <v>Curncy</v>
          </cell>
          <cell r="F143" t="str">
            <v>OIS</v>
          </cell>
          <cell r="G143" t="str">
            <v>9M</v>
          </cell>
          <cell r="H143" t="b">
            <v>0</v>
          </cell>
          <cell r="J143" t="str">
            <v>EUSA12 MHIS Curncy</v>
          </cell>
          <cell r="K143" t="str">
            <v>EUSA12</v>
          </cell>
          <cell r="L143" t="str">
            <v>MHIS</v>
          </cell>
          <cell r="M143" t="str">
            <v>Curncy</v>
          </cell>
          <cell r="N143" t="str">
            <v>SWAP</v>
          </cell>
          <cell r="O143" t="str">
            <v>12Y</v>
          </cell>
          <cell r="P143" t="b">
            <v>1</v>
          </cell>
          <cell r="R143" t="str">
            <v xml:space="preserve">  </v>
          </cell>
          <cell r="Z143" t="str">
            <v xml:space="preserve">  </v>
          </cell>
          <cell r="AH143" t="str">
            <v xml:space="preserve">  </v>
          </cell>
          <cell r="AP143" t="str">
            <v xml:space="preserve">  </v>
          </cell>
        </row>
        <row r="144">
          <cell r="B144" t="str">
            <v>EUSWEJ ICPL Curncy</v>
          </cell>
          <cell r="C144" t="str">
            <v>EUSWEJ</v>
          </cell>
          <cell r="D144" t="str">
            <v>ICPL</v>
          </cell>
          <cell r="E144" t="str">
            <v>Curncy</v>
          </cell>
          <cell r="F144" t="str">
            <v>OIS</v>
          </cell>
          <cell r="G144" t="str">
            <v>10M</v>
          </cell>
          <cell r="H144" t="b">
            <v>0</v>
          </cell>
          <cell r="J144" t="str">
            <v>EUSA15 MHIS Curncy</v>
          </cell>
          <cell r="K144" t="str">
            <v>EUSA15</v>
          </cell>
          <cell r="L144" t="str">
            <v>MHIS</v>
          </cell>
          <cell r="M144" t="str">
            <v>Curncy</v>
          </cell>
          <cell r="N144" t="str">
            <v>SWAP</v>
          </cell>
          <cell r="O144" t="str">
            <v>15Y</v>
          </cell>
          <cell r="P144" t="b">
            <v>1</v>
          </cell>
          <cell r="R144" t="str">
            <v xml:space="preserve">  </v>
          </cell>
          <cell r="Z144" t="str">
            <v xml:space="preserve">  </v>
          </cell>
          <cell r="AH144" t="str">
            <v xml:space="preserve">  </v>
          </cell>
          <cell r="AP144" t="str">
            <v xml:space="preserve">  </v>
          </cell>
        </row>
        <row r="145">
          <cell r="B145" t="str">
            <v>EUSWEK ICPL Curncy</v>
          </cell>
          <cell r="C145" t="str">
            <v>EUSWEK</v>
          </cell>
          <cell r="D145" t="str">
            <v>ICPL</v>
          </cell>
          <cell r="E145" t="str">
            <v>Curncy</v>
          </cell>
          <cell r="F145" t="str">
            <v>OIS</v>
          </cell>
          <cell r="G145" t="str">
            <v>11M</v>
          </cell>
          <cell r="H145" t="b">
            <v>0</v>
          </cell>
          <cell r="J145" t="str">
            <v>EUSA20 MHIS Curncy</v>
          </cell>
          <cell r="K145" t="str">
            <v>EUSA20</v>
          </cell>
          <cell r="L145" t="str">
            <v>MHIS</v>
          </cell>
          <cell r="M145" t="str">
            <v>Curncy</v>
          </cell>
          <cell r="N145" t="str">
            <v>SWAP</v>
          </cell>
          <cell r="O145" t="str">
            <v>20Y</v>
          </cell>
          <cell r="P145" t="b">
            <v>1</v>
          </cell>
          <cell r="R145" t="str">
            <v xml:space="preserve">  </v>
          </cell>
          <cell r="Z145" t="str">
            <v xml:space="preserve">  </v>
          </cell>
          <cell r="AH145" t="str">
            <v xml:space="preserve">  </v>
          </cell>
          <cell r="AP145" t="str">
            <v xml:space="preserve">  </v>
          </cell>
        </row>
        <row r="146">
          <cell r="B146" t="str">
            <v>EUSWE1 ICPL Curncy</v>
          </cell>
          <cell r="C146" t="str">
            <v>EUSWE1</v>
          </cell>
          <cell r="D146" t="str">
            <v>ICPL</v>
          </cell>
          <cell r="E146" t="str">
            <v>Curncy</v>
          </cell>
          <cell r="F146" t="str">
            <v>OIS</v>
          </cell>
          <cell r="G146" t="str">
            <v>12M</v>
          </cell>
          <cell r="H146" t="b">
            <v>1</v>
          </cell>
          <cell r="J146" t="str">
            <v>EUSA25 MHIS Curncy</v>
          </cell>
          <cell r="K146" t="str">
            <v>EUSA25</v>
          </cell>
          <cell r="L146" t="str">
            <v>MHIS</v>
          </cell>
          <cell r="M146" t="str">
            <v>Curncy</v>
          </cell>
          <cell r="N146" t="str">
            <v>SWAP</v>
          </cell>
          <cell r="O146" t="str">
            <v>25Y</v>
          </cell>
          <cell r="P146" t="b">
            <v>1</v>
          </cell>
          <cell r="R146" t="str">
            <v xml:space="preserve">  </v>
          </cell>
          <cell r="Z146" t="str">
            <v xml:space="preserve">  </v>
          </cell>
          <cell r="AH146" t="str">
            <v xml:space="preserve">  </v>
          </cell>
          <cell r="AP146" t="str">
            <v xml:space="preserve">  </v>
          </cell>
        </row>
        <row r="147">
          <cell r="B147" t="str">
            <v>EUSWE1F ICPL Curncy</v>
          </cell>
          <cell r="C147" t="str">
            <v>EUSWE1F</v>
          </cell>
          <cell r="D147" t="str">
            <v>ICPL</v>
          </cell>
          <cell r="E147" t="str">
            <v>Curncy</v>
          </cell>
          <cell r="F147" t="str">
            <v>OIS</v>
          </cell>
          <cell r="G147" t="str">
            <v>18M</v>
          </cell>
          <cell r="H147" t="b">
            <v>1</v>
          </cell>
          <cell r="J147" t="str">
            <v>EUSA30 MHIS Curncy</v>
          </cell>
          <cell r="K147" t="str">
            <v>EUSA30</v>
          </cell>
          <cell r="L147" t="str">
            <v>MHIS</v>
          </cell>
          <cell r="M147" t="str">
            <v>Curncy</v>
          </cell>
          <cell r="N147" t="str">
            <v>SWAP</v>
          </cell>
          <cell r="O147" t="str">
            <v>30Y</v>
          </cell>
          <cell r="P147" t="b">
            <v>1</v>
          </cell>
          <cell r="R147" t="str">
            <v xml:space="preserve">  </v>
          </cell>
          <cell r="Z147" t="str">
            <v xml:space="preserve">  </v>
          </cell>
          <cell r="AH147" t="str">
            <v xml:space="preserve">  </v>
          </cell>
          <cell r="AP147" t="str">
            <v xml:space="preserve">  </v>
          </cell>
        </row>
        <row r="148">
          <cell r="B148" t="str">
            <v>EUSWE2 ICPL Curncy</v>
          </cell>
          <cell r="C148" t="str">
            <v>EUSWE2</v>
          </cell>
          <cell r="D148" t="str">
            <v>ICPL</v>
          </cell>
          <cell r="E148" t="str">
            <v>Curncy</v>
          </cell>
          <cell r="F148" t="str">
            <v>OIS</v>
          </cell>
          <cell r="G148" t="str">
            <v>2Y</v>
          </cell>
          <cell r="H148" t="b">
            <v>1</v>
          </cell>
          <cell r="J148" t="str">
            <v>EUSA40 MHIS Curncy</v>
          </cell>
          <cell r="K148" t="str">
            <v>EUSA40</v>
          </cell>
          <cell r="L148" t="str">
            <v>MHIS</v>
          </cell>
          <cell r="M148" t="str">
            <v>Curncy</v>
          </cell>
          <cell r="N148" t="str">
            <v>SWAP</v>
          </cell>
          <cell r="O148" t="str">
            <v>40Y</v>
          </cell>
          <cell r="P148" t="b">
            <v>1</v>
          </cell>
          <cell r="R148" t="str">
            <v xml:space="preserve">  </v>
          </cell>
          <cell r="Z148" t="str">
            <v xml:space="preserve">  </v>
          </cell>
          <cell r="AH148" t="str">
            <v xml:space="preserve">  </v>
          </cell>
          <cell r="AP148" t="str">
            <v xml:space="preserve">  </v>
          </cell>
        </row>
        <row r="149">
          <cell r="B149" t="str">
            <v>EUSWE2F ICPL Curncy</v>
          </cell>
          <cell r="C149" t="str">
            <v>EUSWE2F</v>
          </cell>
          <cell r="D149" t="str">
            <v>ICPL</v>
          </cell>
          <cell r="E149" t="str">
            <v>Curncy</v>
          </cell>
          <cell r="F149" t="str">
            <v>OIS</v>
          </cell>
          <cell r="G149" t="str">
            <v>30M</v>
          </cell>
          <cell r="H149" t="b">
            <v>0</v>
          </cell>
          <cell r="J149" t="str">
            <v>EUSA50 MHIS Curncy</v>
          </cell>
          <cell r="K149" t="str">
            <v>EUSA50</v>
          </cell>
          <cell r="L149" t="str">
            <v>MHIS</v>
          </cell>
          <cell r="M149" t="str">
            <v>Curncy</v>
          </cell>
          <cell r="N149" t="str">
            <v>SWAP</v>
          </cell>
          <cell r="O149" t="str">
            <v>50Y</v>
          </cell>
          <cell r="P149" t="b">
            <v>1</v>
          </cell>
          <cell r="R149" t="str">
            <v xml:space="preserve">  </v>
          </cell>
          <cell r="Z149" t="str">
            <v xml:space="preserve">  </v>
          </cell>
          <cell r="AH149" t="str">
            <v xml:space="preserve">  </v>
          </cell>
          <cell r="AP149" t="str">
            <v xml:space="preserve">  </v>
          </cell>
        </row>
        <row r="150">
          <cell r="B150" t="str">
            <v>EUSWE3 ICPL Curncy</v>
          </cell>
          <cell r="C150" t="str">
            <v>EUSWE3</v>
          </cell>
          <cell r="D150" t="str">
            <v>ICPL</v>
          </cell>
          <cell r="E150" t="str">
            <v>Curncy</v>
          </cell>
          <cell r="F150" t="str">
            <v>OIS</v>
          </cell>
          <cell r="G150" t="str">
            <v>3Y</v>
          </cell>
          <cell r="H150" t="b">
            <v>1</v>
          </cell>
          <cell r="J150" t="str">
            <v xml:space="preserve">  </v>
          </cell>
          <cell r="R150" t="str">
            <v xml:space="preserve">  </v>
          </cell>
          <cell r="Z150" t="str">
            <v xml:space="preserve">  </v>
          </cell>
          <cell r="AH150" t="str">
            <v xml:space="preserve">  </v>
          </cell>
          <cell r="AP150" t="str">
            <v xml:space="preserve">  </v>
          </cell>
        </row>
        <row r="151">
          <cell r="B151" t="str">
            <v>EUSWE4 ICPL Curncy</v>
          </cell>
          <cell r="C151" t="str">
            <v>EUSWE4</v>
          </cell>
          <cell r="D151" t="str">
            <v>ICPL</v>
          </cell>
          <cell r="E151" t="str">
            <v>Curncy</v>
          </cell>
          <cell r="F151" t="str">
            <v>OIS</v>
          </cell>
          <cell r="G151" t="str">
            <v>4Y</v>
          </cell>
          <cell r="H151" t="b">
            <v>1</v>
          </cell>
          <cell r="J151" t="str">
            <v xml:space="preserve">  </v>
          </cell>
          <cell r="R151" t="str">
            <v xml:space="preserve">  </v>
          </cell>
          <cell r="Z151" t="str">
            <v xml:space="preserve">  </v>
          </cell>
          <cell r="AH151" t="str">
            <v xml:space="preserve">  </v>
          </cell>
          <cell r="AP151" t="str">
            <v xml:space="preserve">  </v>
          </cell>
        </row>
        <row r="152">
          <cell r="B152" t="str">
            <v>EUSWE5 ICPL Curncy</v>
          </cell>
          <cell r="C152" t="str">
            <v>EUSWE5</v>
          </cell>
          <cell r="D152" t="str">
            <v>ICPL</v>
          </cell>
          <cell r="E152" t="str">
            <v>Curncy</v>
          </cell>
          <cell r="F152" t="str">
            <v>OIS</v>
          </cell>
          <cell r="G152" t="str">
            <v>5Y</v>
          </cell>
          <cell r="H152" t="b">
            <v>1</v>
          </cell>
          <cell r="J152" t="str">
            <v xml:space="preserve">  </v>
          </cell>
          <cell r="R152" t="str">
            <v xml:space="preserve">  </v>
          </cell>
          <cell r="Z152" t="str">
            <v xml:space="preserve">  </v>
          </cell>
          <cell r="AH152" t="str">
            <v xml:space="preserve">  </v>
          </cell>
          <cell r="AP152" t="str">
            <v xml:space="preserve">  </v>
          </cell>
        </row>
        <row r="153">
          <cell r="B153" t="str">
            <v>EUSWE6 ICPL Curncy</v>
          </cell>
          <cell r="C153" t="str">
            <v>EUSWE6</v>
          </cell>
          <cell r="D153" t="str">
            <v>ICPL</v>
          </cell>
          <cell r="E153" t="str">
            <v>Curncy</v>
          </cell>
          <cell r="F153" t="str">
            <v>OIS</v>
          </cell>
          <cell r="G153" t="str">
            <v>6Y</v>
          </cell>
          <cell r="H153" t="b">
            <v>1</v>
          </cell>
          <cell r="J153" t="str">
            <v xml:space="preserve">  </v>
          </cell>
          <cell r="R153" t="str">
            <v xml:space="preserve">  </v>
          </cell>
          <cell r="Z153" t="str">
            <v xml:space="preserve">  </v>
          </cell>
          <cell r="AH153" t="str">
            <v xml:space="preserve">  </v>
          </cell>
          <cell r="AP153" t="str">
            <v xml:space="preserve">  </v>
          </cell>
        </row>
        <row r="154">
          <cell r="B154" t="str">
            <v>EUSWE7 ICPL Curncy</v>
          </cell>
          <cell r="C154" t="str">
            <v>EUSWE7</v>
          </cell>
          <cell r="D154" t="str">
            <v>ICPL</v>
          </cell>
          <cell r="E154" t="str">
            <v>Curncy</v>
          </cell>
          <cell r="F154" t="str">
            <v>OIS</v>
          </cell>
          <cell r="G154" t="str">
            <v>7Y</v>
          </cell>
          <cell r="H154" t="b">
            <v>1</v>
          </cell>
          <cell r="J154" t="str">
            <v xml:space="preserve">  </v>
          </cell>
          <cell r="R154" t="str">
            <v xml:space="preserve">  </v>
          </cell>
          <cell r="Z154" t="str">
            <v xml:space="preserve">  </v>
          </cell>
          <cell r="AH154" t="str">
            <v xml:space="preserve">  </v>
          </cell>
          <cell r="AP154" t="str">
            <v xml:space="preserve">  </v>
          </cell>
        </row>
        <row r="155">
          <cell r="B155" t="str">
            <v>EUSWE8 ICPL Curncy</v>
          </cell>
          <cell r="C155" t="str">
            <v>EUSWE8</v>
          </cell>
          <cell r="D155" t="str">
            <v>ICPL</v>
          </cell>
          <cell r="E155" t="str">
            <v>Curncy</v>
          </cell>
          <cell r="F155" t="str">
            <v>OIS</v>
          </cell>
          <cell r="G155" t="str">
            <v>8Y</v>
          </cell>
          <cell r="H155" t="b">
            <v>1</v>
          </cell>
          <cell r="J155" t="str">
            <v xml:space="preserve">  </v>
          </cell>
          <cell r="R155" t="str">
            <v xml:space="preserve">  </v>
          </cell>
          <cell r="Z155" t="str">
            <v xml:space="preserve">  </v>
          </cell>
          <cell r="AH155" t="str">
            <v xml:space="preserve">  </v>
          </cell>
          <cell r="AP155" t="str">
            <v xml:space="preserve">  </v>
          </cell>
        </row>
        <row r="156">
          <cell r="B156" t="str">
            <v>EUSWE9 ICPL Curncy</v>
          </cell>
          <cell r="C156" t="str">
            <v>EUSWE9</v>
          </cell>
          <cell r="D156" t="str">
            <v>ICPL</v>
          </cell>
          <cell r="E156" t="str">
            <v>Curncy</v>
          </cell>
          <cell r="F156" t="str">
            <v>OIS</v>
          </cell>
          <cell r="G156" t="str">
            <v>9Y</v>
          </cell>
          <cell r="H156" t="b">
            <v>1</v>
          </cell>
          <cell r="J156" t="str">
            <v xml:space="preserve">  </v>
          </cell>
          <cell r="R156" t="str">
            <v xml:space="preserve">  </v>
          </cell>
          <cell r="Z156" t="str">
            <v xml:space="preserve">  </v>
          </cell>
          <cell r="AH156" t="str">
            <v xml:space="preserve">  </v>
          </cell>
          <cell r="AP156" t="str">
            <v xml:space="preserve">  </v>
          </cell>
        </row>
        <row r="157">
          <cell r="B157" t="str">
            <v>EUSWE10 ICPL Curncy</v>
          </cell>
          <cell r="C157" t="str">
            <v>EUSWE10</v>
          </cell>
          <cell r="D157" t="str">
            <v>ICPL</v>
          </cell>
          <cell r="E157" t="str">
            <v>Curncy</v>
          </cell>
          <cell r="F157" t="str">
            <v>OIS</v>
          </cell>
          <cell r="G157" t="str">
            <v>10Y</v>
          </cell>
          <cell r="H157" t="b">
            <v>1</v>
          </cell>
          <cell r="J157" t="str">
            <v xml:space="preserve">  </v>
          </cell>
          <cell r="R157" t="str">
            <v xml:space="preserve">  </v>
          </cell>
          <cell r="Z157" t="str">
            <v xml:space="preserve">  </v>
          </cell>
          <cell r="AH157" t="str">
            <v xml:space="preserve">  </v>
          </cell>
          <cell r="AP157" t="str">
            <v xml:space="preserve">  </v>
          </cell>
        </row>
        <row r="158">
          <cell r="B158" t="str">
            <v>EUSWE11 ICPL Curncy</v>
          </cell>
          <cell r="C158" t="str">
            <v>EUSWE11</v>
          </cell>
          <cell r="D158" t="str">
            <v>ICPL</v>
          </cell>
          <cell r="E158" t="str">
            <v>Curncy</v>
          </cell>
          <cell r="F158" t="str">
            <v>OIS</v>
          </cell>
          <cell r="G158" t="str">
            <v>11Y</v>
          </cell>
          <cell r="H158" t="b">
            <v>1</v>
          </cell>
          <cell r="J158" t="str">
            <v xml:space="preserve">  </v>
          </cell>
          <cell r="R158" t="str">
            <v xml:space="preserve">  </v>
          </cell>
          <cell r="Z158" t="str">
            <v xml:space="preserve">  </v>
          </cell>
          <cell r="AH158" t="str">
            <v xml:space="preserve">  </v>
          </cell>
          <cell r="AP158" t="str">
            <v xml:space="preserve">  </v>
          </cell>
        </row>
        <row r="159">
          <cell r="B159" t="str">
            <v>EUSWE12 ICPL Curncy</v>
          </cell>
          <cell r="C159" t="str">
            <v>EUSWE12</v>
          </cell>
          <cell r="D159" t="str">
            <v>ICPL</v>
          </cell>
          <cell r="E159" t="str">
            <v>Curncy</v>
          </cell>
          <cell r="F159" t="str">
            <v>OIS</v>
          </cell>
          <cell r="G159" t="str">
            <v>12Y</v>
          </cell>
          <cell r="H159" t="b">
            <v>1</v>
          </cell>
          <cell r="J159" t="str">
            <v xml:space="preserve">  </v>
          </cell>
          <cell r="R159" t="str">
            <v xml:space="preserve">  </v>
          </cell>
          <cell r="Z159" t="str">
            <v xml:space="preserve">  </v>
          </cell>
          <cell r="AH159" t="str">
            <v xml:space="preserve">  </v>
          </cell>
          <cell r="AP159" t="str">
            <v xml:space="preserve">  </v>
          </cell>
        </row>
        <row r="160">
          <cell r="B160" t="str">
            <v>EUSWE15 ICPL Curncy</v>
          </cell>
          <cell r="C160" t="str">
            <v>EUSWE15</v>
          </cell>
          <cell r="D160" t="str">
            <v>ICPL</v>
          </cell>
          <cell r="E160" t="str">
            <v>Curncy</v>
          </cell>
          <cell r="F160" t="str">
            <v>OIS</v>
          </cell>
          <cell r="G160" t="str">
            <v>15Y</v>
          </cell>
          <cell r="H160" t="b">
            <v>1</v>
          </cell>
          <cell r="J160" t="str">
            <v xml:space="preserve">  </v>
          </cell>
          <cell r="R160" t="str">
            <v xml:space="preserve">  </v>
          </cell>
          <cell r="Z160" t="str">
            <v xml:space="preserve">  </v>
          </cell>
          <cell r="AH160" t="str">
            <v xml:space="preserve">  </v>
          </cell>
          <cell r="AP160" t="str">
            <v xml:space="preserve">  </v>
          </cell>
        </row>
        <row r="161">
          <cell r="B161" t="str">
            <v>EUSWE20 ICPL Curncy</v>
          </cell>
          <cell r="C161" t="str">
            <v>EUSWE20</v>
          </cell>
          <cell r="D161" t="str">
            <v>ICPL</v>
          </cell>
          <cell r="E161" t="str">
            <v>Curncy</v>
          </cell>
          <cell r="F161" t="str">
            <v>OIS</v>
          </cell>
          <cell r="G161" t="str">
            <v>20Y</v>
          </cell>
          <cell r="H161" t="b">
            <v>1</v>
          </cell>
          <cell r="J161" t="str">
            <v xml:space="preserve">  </v>
          </cell>
          <cell r="R161" t="str">
            <v xml:space="preserve">  </v>
          </cell>
          <cell r="Z161" t="str">
            <v xml:space="preserve">  </v>
          </cell>
          <cell r="AH161" t="str">
            <v xml:space="preserve">  </v>
          </cell>
          <cell r="AP161" t="str">
            <v xml:space="preserve">  </v>
          </cell>
        </row>
        <row r="162">
          <cell r="B162" t="str">
            <v>EUSWE25 ICPL Curncy</v>
          </cell>
          <cell r="C162" t="str">
            <v>EUSWE25</v>
          </cell>
          <cell r="D162" t="str">
            <v>ICPL</v>
          </cell>
          <cell r="E162" t="str">
            <v>Curncy</v>
          </cell>
          <cell r="F162" t="str">
            <v>OIS</v>
          </cell>
          <cell r="G162" t="str">
            <v>25Y</v>
          </cell>
          <cell r="H162" t="b">
            <v>1</v>
          </cell>
          <cell r="J162" t="str">
            <v xml:space="preserve">  </v>
          </cell>
          <cell r="R162" t="str">
            <v xml:space="preserve">  </v>
          </cell>
          <cell r="Z162" t="str">
            <v xml:space="preserve">  </v>
          </cell>
          <cell r="AH162" t="str">
            <v xml:space="preserve">  </v>
          </cell>
          <cell r="AP162" t="str">
            <v xml:space="preserve">  </v>
          </cell>
        </row>
        <row r="163">
          <cell r="B163" t="str">
            <v>EUSWE30 ICPL Curncy</v>
          </cell>
          <cell r="C163" t="str">
            <v>EUSWE30</v>
          </cell>
          <cell r="D163" t="str">
            <v>ICPL</v>
          </cell>
          <cell r="E163" t="str">
            <v>Curncy</v>
          </cell>
          <cell r="F163" t="str">
            <v>OIS</v>
          </cell>
          <cell r="G163" t="str">
            <v>30Y</v>
          </cell>
          <cell r="H163" t="b">
            <v>1</v>
          </cell>
          <cell r="J163" t="str">
            <v xml:space="preserve">  </v>
          </cell>
          <cell r="R163" t="str">
            <v xml:space="preserve">  </v>
          </cell>
          <cell r="Z163" t="str">
            <v xml:space="preserve">  </v>
          </cell>
          <cell r="AH163" t="str">
            <v xml:space="preserve">  </v>
          </cell>
          <cell r="AP163" t="str">
            <v xml:space="preserve">  </v>
          </cell>
        </row>
        <row r="164">
          <cell r="B164" t="str">
            <v>EUSWE35 ICPL Curncy</v>
          </cell>
          <cell r="C164" t="str">
            <v>EUSWE35</v>
          </cell>
          <cell r="D164" t="str">
            <v>ICPL</v>
          </cell>
          <cell r="E164" t="str">
            <v>Curncy</v>
          </cell>
          <cell r="F164" t="str">
            <v>OIS</v>
          </cell>
          <cell r="G164" t="str">
            <v>35Y</v>
          </cell>
          <cell r="H164" t="b">
            <v>1</v>
          </cell>
          <cell r="J164" t="str">
            <v xml:space="preserve">  </v>
          </cell>
          <cell r="R164" t="str">
            <v xml:space="preserve">  </v>
          </cell>
          <cell r="Z164" t="str">
            <v xml:space="preserve">  </v>
          </cell>
          <cell r="AH164" t="str">
            <v xml:space="preserve">  </v>
          </cell>
          <cell r="AP164" t="str">
            <v xml:space="preserve">  </v>
          </cell>
        </row>
        <row r="165">
          <cell r="B165" t="str">
            <v>EUSWE40 ICPL Curncy</v>
          </cell>
          <cell r="C165" t="str">
            <v>EUSWE40</v>
          </cell>
          <cell r="D165" t="str">
            <v>ICPL</v>
          </cell>
          <cell r="E165" t="str">
            <v>Curncy</v>
          </cell>
          <cell r="F165" t="str">
            <v>OIS</v>
          </cell>
          <cell r="G165" t="str">
            <v>40Y</v>
          </cell>
          <cell r="H165" t="b">
            <v>1</v>
          </cell>
          <cell r="J165" t="str">
            <v xml:space="preserve">  </v>
          </cell>
          <cell r="R165" t="str">
            <v xml:space="preserve">  </v>
          </cell>
          <cell r="Z165" t="str">
            <v xml:space="preserve">  </v>
          </cell>
          <cell r="AH165" t="str">
            <v xml:space="preserve">  </v>
          </cell>
          <cell r="AP165" t="str">
            <v xml:space="preserve">  </v>
          </cell>
        </row>
        <row r="166">
          <cell r="B166" t="str">
            <v>EUSWE50 ICPL Curncy</v>
          </cell>
          <cell r="C166" t="str">
            <v>EUSWE50</v>
          </cell>
          <cell r="D166" t="str">
            <v>ICPL</v>
          </cell>
          <cell r="E166" t="str">
            <v>Curncy</v>
          </cell>
          <cell r="F166" t="str">
            <v>OIS</v>
          </cell>
          <cell r="G166" t="str">
            <v>50Y</v>
          </cell>
          <cell r="H166" t="b">
            <v>1</v>
          </cell>
          <cell r="J166" t="str">
            <v xml:space="preserve">  </v>
          </cell>
          <cell r="R166" t="str">
            <v xml:space="preserve">  </v>
          </cell>
          <cell r="Z166" t="str">
            <v xml:space="preserve">  </v>
          </cell>
          <cell r="AH166" t="str">
            <v xml:space="preserve">  </v>
          </cell>
          <cell r="AP166" t="str">
            <v xml:space="preserve">  </v>
          </cell>
        </row>
        <row r="167">
          <cell r="B167" t="str">
            <v>EOBSVC2 ICPL Curncy</v>
          </cell>
          <cell r="C167" t="str">
            <v>EOBSVC2</v>
          </cell>
          <cell r="D167" t="str">
            <v>ICPL</v>
          </cell>
          <cell r="E167" t="str">
            <v>Curncy</v>
          </cell>
          <cell r="F167" t="str">
            <v>LIBOR-OIS BASIS</v>
          </cell>
          <cell r="G167" t="str">
            <v>2Y</v>
          </cell>
          <cell r="H167" t="b">
            <v>1</v>
          </cell>
          <cell r="J167" t="str">
            <v xml:space="preserve">  </v>
          </cell>
          <cell r="R167" t="str">
            <v xml:space="preserve">  </v>
          </cell>
          <cell r="Z167" t="str">
            <v xml:space="preserve">  </v>
          </cell>
          <cell r="AH167" t="str">
            <v xml:space="preserve">  </v>
          </cell>
          <cell r="AP167" t="str">
            <v xml:space="preserve">  </v>
          </cell>
        </row>
        <row r="168">
          <cell r="B168" t="str">
            <v>EOBSVC3 ICPL Curncy</v>
          </cell>
          <cell r="C168" t="str">
            <v>EOBSVC3</v>
          </cell>
          <cell r="D168" t="str">
            <v>ICPL</v>
          </cell>
          <cell r="E168" t="str">
            <v>Curncy</v>
          </cell>
          <cell r="F168" t="str">
            <v>LIBOR-OIS BASIS</v>
          </cell>
          <cell r="G168" t="str">
            <v>3Y</v>
          </cell>
          <cell r="H168" t="b">
            <v>1</v>
          </cell>
          <cell r="J168" t="str">
            <v xml:space="preserve">  </v>
          </cell>
          <cell r="R168" t="str">
            <v xml:space="preserve">  </v>
          </cell>
          <cell r="Z168" t="str">
            <v xml:space="preserve">  </v>
          </cell>
          <cell r="AH168" t="str">
            <v xml:space="preserve">  </v>
          </cell>
          <cell r="AP168" t="str">
            <v xml:space="preserve">  </v>
          </cell>
        </row>
        <row r="169">
          <cell r="B169" t="str">
            <v>EOBSVC4 ICPL Curncy</v>
          </cell>
          <cell r="C169" t="str">
            <v>EOBSVC4</v>
          </cell>
          <cell r="D169" t="str">
            <v>ICPL</v>
          </cell>
          <cell r="E169" t="str">
            <v>Curncy</v>
          </cell>
          <cell r="F169" t="str">
            <v>LIBOR-OIS BASIS</v>
          </cell>
          <cell r="G169" t="str">
            <v>4Y</v>
          </cell>
          <cell r="H169" t="b">
            <v>1</v>
          </cell>
          <cell r="J169" t="str">
            <v xml:space="preserve">  </v>
          </cell>
          <cell r="R169" t="str">
            <v xml:space="preserve">  </v>
          </cell>
          <cell r="Z169" t="str">
            <v xml:space="preserve">  </v>
          </cell>
          <cell r="AH169" t="str">
            <v xml:space="preserve">  </v>
          </cell>
          <cell r="AP169" t="str">
            <v xml:space="preserve">  </v>
          </cell>
        </row>
        <row r="170">
          <cell r="B170" t="str">
            <v>EOBSVC5 ICPL Curncy</v>
          </cell>
          <cell r="C170" t="str">
            <v>EOBSVC5</v>
          </cell>
          <cell r="D170" t="str">
            <v>ICPL</v>
          </cell>
          <cell r="E170" t="str">
            <v>Curncy</v>
          </cell>
          <cell r="F170" t="str">
            <v>LIBOR-OIS BASIS</v>
          </cell>
          <cell r="G170" t="str">
            <v>5Y</v>
          </cell>
          <cell r="H170" t="b">
            <v>1</v>
          </cell>
          <cell r="J170" t="str">
            <v xml:space="preserve">  </v>
          </cell>
          <cell r="R170" t="str">
            <v xml:space="preserve">  </v>
          </cell>
          <cell r="Z170" t="str">
            <v xml:space="preserve">  </v>
          </cell>
          <cell r="AH170" t="str">
            <v xml:space="preserve">  </v>
          </cell>
          <cell r="AP170" t="str">
            <v xml:space="preserve">  </v>
          </cell>
        </row>
        <row r="171">
          <cell r="B171" t="str">
            <v>EOBSVC6 ICPL Curncy</v>
          </cell>
          <cell r="C171" t="str">
            <v>EOBSVC6</v>
          </cell>
          <cell r="D171" t="str">
            <v>ICPL</v>
          </cell>
          <cell r="E171" t="str">
            <v>Curncy</v>
          </cell>
          <cell r="F171" t="str">
            <v>LIBOR-OIS BASIS</v>
          </cell>
          <cell r="G171" t="str">
            <v>6Y</v>
          </cell>
          <cell r="H171" t="b">
            <v>1</v>
          </cell>
          <cell r="J171" t="str">
            <v xml:space="preserve">  </v>
          </cell>
          <cell r="R171" t="str">
            <v xml:space="preserve">  </v>
          </cell>
          <cell r="Z171" t="str">
            <v xml:space="preserve">  </v>
          </cell>
          <cell r="AH171" t="str">
            <v xml:space="preserve">  </v>
          </cell>
          <cell r="AP171" t="str">
            <v xml:space="preserve">  </v>
          </cell>
        </row>
        <row r="172">
          <cell r="B172" t="str">
            <v>EOBSVC7 ICPL Curncy</v>
          </cell>
          <cell r="C172" t="str">
            <v>EOBSVC7</v>
          </cell>
          <cell r="D172" t="str">
            <v>ICPL</v>
          </cell>
          <cell r="E172" t="str">
            <v>Curncy</v>
          </cell>
          <cell r="F172" t="str">
            <v>LIBOR-OIS BASIS</v>
          </cell>
          <cell r="G172" t="str">
            <v>7Y</v>
          </cell>
          <cell r="H172" t="b">
            <v>1</v>
          </cell>
          <cell r="J172" t="str">
            <v xml:space="preserve">  </v>
          </cell>
          <cell r="R172" t="str">
            <v xml:space="preserve">  </v>
          </cell>
          <cell r="Z172" t="str">
            <v xml:space="preserve">  </v>
          </cell>
          <cell r="AH172" t="str">
            <v xml:space="preserve">  </v>
          </cell>
          <cell r="AP172" t="str">
            <v xml:space="preserve">  </v>
          </cell>
        </row>
        <row r="173">
          <cell r="B173" t="str">
            <v>EOBSVC8 ICPL Curncy</v>
          </cell>
          <cell r="C173" t="str">
            <v>EOBSVC8</v>
          </cell>
          <cell r="D173" t="str">
            <v>ICPL</v>
          </cell>
          <cell r="E173" t="str">
            <v>Curncy</v>
          </cell>
          <cell r="F173" t="str">
            <v>LIBOR-OIS BASIS</v>
          </cell>
          <cell r="G173" t="str">
            <v>8Y</v>
          </cell>
          <cell r="H173" t="b">
            <v>1</v>
          </cell>
          <cell r="J173" t="str">
            <v xml:space="preserve">  </v>
          </cell>
          <cell r="R173" t="str">
            <v xml:space="preserve">  </v>
          </cell>
          <cell r="Z173" t="str">
            <v xml:space="preserve">  </v>
          </cell>
          <cell r="AH173" t="str">
            <v xml:space="preserve">  </v>
          </cell>
          <cell r="AP173" t="str">
            <v xml:space="preserve">  </v>
          </cell>
        </row>
        <row r="174">
          <cell r="B174" t="str">
            <v>EOBSVC9 ICPL Curncy</v>
          </cell>
          <cell r="C174" t="str">
            <v>EOBSVC9</v>
          </cell>
          <cell r="D174" t="str">
            <v>ICPL</v>
          </cell>
          <cell r="E174" t="str">
            <v>Curncy</v>
          </cell>
          <cell r="F174" t="str">
            <v>LIBOR-OIS BASIS</v>
          </cell>
          <cell r="G174" t="str">
            <v>9Y</v>
          </cell>
          <cell r="H174" t="b">
            <v>1</v>
          </cell>
          <cell r="J174" t="str">
            <v xml:space="preserve">  </v>
          </cell>
          <cell r="R174" t="str">
            <v xml:space="preserve">  </v>
          </cell>
          <cell r="Z174" t="str">
            <v xml:space="preserve">  </v>
          </cell>
          <cell r="AH174" t="str">
            <v xml:space="preserve">  </v>
          </cell>
          <cell r="AP174" t="str">
            <v xml:space="preserve">  </v>
          </cell>
        </row>
        <row r="175">
          <cell r="B175" t="str">
            <v>EOBSVC10 ICPL Curncy</v>
          </cell>
          <cell r="C175" t="str">
            <v>EOBSVC10</v>
          </cell>
          <cell r="D175" t="str">
            <v>ICPL</v>
          </cell>
          <cell r="E175" t="str">
            <v>Curncy</v>
          </cell>
          <cell r="F175" t="str">
            <v>LIBOR-OIS BASIS</v>
          </cell>
          <cell r="G175" t="str">
            <v>10Y</v>
          </cell>
          <cell r="H175" t="b">
            <v>1</v>
          </cell>
          <cell r="J175" t="str">
            <v xml:space="preserve">  </v>
          </cell>
          <cell r="R175" t="str">
            <v xml:space="preserve">  </v>
          </cell>
          <cell r="Z175" t="str">
            <v xml:space="preserve">  </v>
          </cell>
          <cell r="AH175" t="str">
            <v xml:space="preserve">  </v>
          </cell>
          <cell r="AP175" t="str">
            <v xml:space="preserve">  </v>
          </cell>
        </row>
        <row r="176">
          <cell r="B176" t="str">
            <v>EOBSVC11 ICPL Curncy</v>
          </cell>
          <cell r="C176" t="str">
            <v>EOBSVC11</v>
          </cell>
          <cell r="D176" t="str">
            <v>ICPL</v>
          </cell>
          <cell r="E176" t="str">
            <v>Curncy</v>
          </cell>
          <cell r="F176" t="str">
            <v>LIBOR-OIS BASIS</v>
          </cell>
          <cell r="G176" t="str">
            <v>11Y</v>
          </cell>
          <cell r="H176" t="b">
            <v>1</v>
          </cell>
          <cell r="J176" t="str">
            <v xml:space="preserve">  </v>
          </cell>
          <cell r="R176" t="str">
            <v xml:space="preserve">  </v>
          </cell>
          <cell r="Z176" t="str">
            <v xml:space="preserve">  </v>
          </cell>
          <cell r="AH176" t="str">
            <v xml:space="preserve">  </v>
          </cell>
          <cell r="AP176" t="str">
            <v xml:space="preserve">  </v>
          </cell>
        </row>
        <row r="177">
          <cell r="B177" t="str">
            <v>EOBSVC12 ICPL Curncy</v>
          </cell>
          <cell r="C177" t="str">
            <v>EOBSVC12</v>
          </cell>
          <cell r="D177" t="str">
            <v>ICPL</v>
          </cell>
          <cell r="E177" t="str">
            <v>Curncy</v>
          </cell>
          <cell r="F177" t="str">
            <v>LIBOR-OIS BASIS</v>
          </cell>
          <cell r="G177" t="str">
            <v>12Y</v>
          </cell>
          <cell r="H177" t="b">
            <v>1</v>
          </cell>
          <cell r="J177" t="str">
            <v xml:space="preserve">  </v>
          </cell>
          <cell r="R177" t="str">
            <v xml:space="preserve">  </v>
          </cell>
          <cell r="Z177" t="str">
            <v xml:space="preserve">  </v>
          </cell>
          <cell r="AH177" t="str">
            <v xml:space="preserve">  </v>
          </cell>
          <cell r="AP177" t="str">
            <v xml:space="preserve">  </v>
          </cell>
        </row>
        <row r="178">
          <cell r="B178" t="str">
            <v>EOBSVC15 ICPL Curncy</v>
          </cell>
          <cell r="C178" t="str">
            <v>EOBSVC15</v>
          </cell>
          <cell r="D178" t="str">
            <v>ICPL</v>
          </cell>
          <cell r="E178" t="str">
            <v>Curncy</v>
          </cell>
          <cell r="F178" t="str">
            <v>LIBOR-OIS BASIS</v>
          </cell>
          <cell r="G178" t="str">
            <v>15Y</v>
          </cell>
          <cell r="H178" t="b">
            <v>1</v>
          </cell>
          <cell r="J178" t="str">
            <v xml:space="preserve">  </v>
          </cell>
          <cell r="R178" t="str">
            <v xml:space="preserve">  </v>
          </cell>
          <cell r="Z178" t="str">
            <v xml:space="preserve">  </v>
          </cell>
          <cell r="AH178" t="str">
            <v xml:space="preserve">  </v>
          </cell>
          <cell r="AP178" t="str">
            <v xml:space="preserve">  </v>
          </cell>
        </row>
        <row r="179">
          <cell r="B179" t="str">
            <v>EOBSVC20 ICPL Curncy</v>
          </cell>
          <cell r="C179" t="str">
            <v>EOBSVC20</v>
          </cell>
          <cell r="D179" t="str">
            <v>ICPL</v>
          </cell>
          <cell r="E179" t="str">
            <v>Curncy</v>
          </cell>
          <cell r="F179" t="str">
            <v>LIBOR-OIS BASIS</v>
          </cell>
          <cell r="G179" t="str">
            <v>20Y</v>
          </cell>
          <cell r="H179" t="b">
            <v>1</v>
          </cell>
          <cell r="J179" t="str">
            <v xml:space="preserve">  </v>
          </cell>
          <cell r="R179" t="str">
            <v xml:space="preserve">  </v>
          </cell>
          <cell r="Z179" t="str">
            <v xml:space="preserve">  </v>
          </cell>
          <cell r="AH179" t="str">
            <v xml:space="preserve">  </v>
          </cell>
          <cell r="AP179" t="str">
            <v xml:space="preserve">  </v>
          </cell>
        </row>
        <row r="180">
          <cell r="B180" t="str">
            <v>EOBSVC25 ICPL Curncy</v>
          </cell>
          <cell r="C180" t="str">
            <v>EOBSVC25</v>
          </cell>
          <cell r="D180" t="str">
            <v>ICPL</v>
          </cell>
          <cell r="E180" t="str">
            <v>Curncy</v>
          </cell>
          <cell r="F180" t="str">
            <v>LIBOR-OIS BASIS</v>
          </cell>
          <cell r="G180" t="str">
            <v>25Y</v>
          </cell>
          <cell r="H180" t="b">
            <v>1</v>
          </cell>
          <cell r="J180" t="str">
            <v xml:space="preserve">  </v>
          </cell>
          <cell r="R180" t="str">
            <v xml:space="preserve">  </v>
          </cell>
          <cell r="Z180" t="str">
            <v xml:space="preserve">  </v>
          </cell>
          <cell r="AH180" t="str">
            <v xml:space="preserve">  </v>
          </cell>
          <cell r="AP180" t="str">
            <v xml:space="preserve">  </v>
          </cell>
        </row>
        <row r="181">
          <cell r="B181" t="str">
            <v>EOBSVC30 ICPL Curncy</v>
          </cell>
          <cell r="C181" t="str">
            <v>EOBSVC30</v>
          </cell>
          <cell r="D181" t="str">
            <v>ICPL</v>
          </cell>
          <cell r="E181" t="str">
            <v>Curncy</v>
          </cell>
          <cell r="F181" t="str">
            <v>LIBOR-OIS BASIS</v>
          </cell>
          <cell r="G181" t="str">
            <v>30Y</v>
          </cell>
          <cell r="H181" t="b">
            <v>1</v>
          </cell>
          <cell r="J181" t="str">
            <v xml:space="preserve">  </v>
          </cell>
          <cell r="R181" t="str">
            <v xml:space="preserve">  </v>
          </cell>
          <cell r="Z181" t="str">
            <v xml:space="preserve">  </v>
          </cell>
          <cell r="AH181" t="str">
            <v xml:space="preserve">  </v>
          </cell>
          <cell r="AP181" t="str">
            <v xml:space="preserve">  </v>
          </cell>
        </row>
        <row r="182">
          <cell r="B182" t="str">
            <v>EOBSVC40 ICPL Curncy</v>
          </cell>
          <cell r="C182" t="str">
            <v>EOBSVC40</v>
          </cell>
          <cell r="D182" t="str">
            <v>ICPL</v>
          </cell>
          <cell r="E182" t="str">
            <v>Curncy</v>
          </cell>
          <cell r="F182" t="str">
            <v>LIBOR-OIS BASIS</v>
          </cell>
          <cell r="G182" t="str">
            <v>40Y</v>
          </cell>
          <cell r="H182" t="b">
            <v>1</v>
          </cell>
          <cell r="J182" t="str">
            <v xml:space="preserve">  </v>
          </cell>
          <cell r="R182" t="str">
            <v xml:space="preserve">  </v>
          </cell>
          <cell r="Z182" t="str">
            <v xml:space="preserve">  </v>
          </cell>
          <cell r="AH182" t="str">
            <v xml:space="preserve">  </v>
          </cell>
          <cell r="AP182" t="str">
            <v xml:space="preserve">  </v>
          </cell>
        </row>
        <row r="183">
          <cell r="B183" t="str">
            <v>EOBSVC50 ICPL Curncy</v>
          </cell>
          <cell r="C183" t="str">
            <v>EOBSVC50</v>
          </cell>
          <cell r="D183" t="str">
            <v>ICPL</v>
          </cell>
          <cell r="E183" t="str">
            <v>Curncy</v>
          </cell>
          <cell r="F183" t="str">
            <v>LIBOR-OIS BASIS</v>
          </cell>
          <cell r="G183" t="str">
            <v>50Y</v>
          </cell>
          <cell r="H183" t="b">
            <v>1</v>
          </cell>
          <cell r="J183" t="str">
            <v xml:space="preserve">  </v>
          </cell>
          <cell r="R183" t="str">
            <v xml:space="preserve">  </v>
          </cell>
          <cell r="Z183" t="str">
            <v xml:space="preserve">  </v>
          </cell>
          <cell r="AH183" t="str">
            <v xml:space="preserve">  </v>
          </cell>
          <cell r="AP183" t="str">
            <v xml:space="preserve">  </v>
          </cell>
        </row>
        <row r="184">
          <cell r="B184" t="str">
            <v>EUSW2V3 MHIS Curncy</v>
          </cell>
          <cell r="C184" t="str">
            <v>EUSW2V3</v>
          </cell>
          <cell r="D184" t="str">
            <v>MHIS</v>
          </cell>
          <cell r="E184" t="str">
            <v>Curncy</v>
          </cell>
          <cell r="F184" t="str">
            <v>SWAP</v>
          </cell>
          <cell r="G184" t="str">
            <v>2Y</v>
          </cell>
          <cell r="H184" t="b">
            <v>1</v>
          </cell>
          <cell r="J184" t="str">
            <v xml:space="preserve">  </v>
          </cell>
          <cell r="R184" t="str">
            <v xml:space="preserve">  </v>
          </cell>
          <cell r="Z184" t="str">
            <v xml:space="preserve">  </v>
          </cell>
          <cell r="AH184" t="str">
            <v xml:space="preserve">  </v>
          </cell>
          <cell r="AP184" t="str">
            <v xml:space="preserve">  </v>
          </cell>
        </row>
        <row r="185">
          <cell r="B185" t="str">
            <v>EUSW3V3 MHIS Curncy</v>
          </cell>
          <cell r="C185" t="str">
            <v>EUSW3V3</v>
          </cell>
          <cell r="D185" t="str">
            <v>MHIS</v>
          </cell>
          <cell r="E185" t="str">
            <v>Curncy</v>
          </cell>
          <cell r="F185" t="str">
            <v>SWAP</v>
          </cell>
          <cell r="G185" t="str">
            <v>3Y</v>
          </cell>
          <cell r="H185" t="b">
            <v>1</v>
          </cell>
          <cell r="J185" t="str">
            <v xml:space="preserve">  </v>
          </cell>
          <cell r="R185" t="str">
            <v xml:space="preserve">  </v>
          </cell>
          <cell r="Z185" t="str">
            <v xml:space="preserve">  </v>
          </cell>
          <cell r="AH185" t="str">
            <v xml:space="preserve">  </v>
          </cell>
          <cell r="AP185" t="str">
            <v xml:space="preserve">  </v>
          </cell>
        </row>
        <row r="186">
          <cell r="B186" t="str">
            <v>EUSW4V3 MHIS Curncy</v>
          </cell>
          <cell r="C186" t="str">
            <v>EUSW4V3</v>
          </cell>
          <cell r="D186" t="str">
            <v>MHIS</v>
          </cell>
          <cell r="E186" t="str">
            <v>Curncy</v>
          </cell>
          <cell r="F186" t="str">
            <v>SWAP</v>
          </cell>
          <cell r="G186" t="str">
            <v>4Y</v>
          </cell>
          <cell r="H186" t="b">
            <v>1</v>
          </cell>
          <cell r="J186" t="str">
            <v xml:space="preserve">  </v>
          </cell>
          <cell r="R186" t="str">
            <v xml:space="preserve">  </v>
          </cell>
          <cell r="Z186" t="str">
            <v xml:space="preserve">  </v>
          </cell>
          <cell r="AH186" t="str">
            <v xml:space="preserve">  </v>
          </cell>
          <cell r="AP186" t="str">
            <v xml:space="preserve">  </v>
          </cell>
        </row>
        <row r="187">
          <cell r="B187" t="str">
            <v>EUSW5V3 MHIS Curncy</v>
          </cell>
          <cell r="C187" t="str">
            <v>EUSW5V3</v>
          </cell>
          <cell r="D187" t="str">
            <v>MHIS</v>
          </cell>
          <cell r="E187" t="str">
            <v>Curncy</v>
          </cell>
          <cell r="F187" t="str">
            <v>SWAP</v>
          </cell>
          <cell r="G187" t="str">
            <v>5Y</v>
          </cell>
          <cell r="H187" t="b">
            <v>1</v>
          </cell>
          <cell r="J187" t="str">
            <v xml:space="preserve">  </v>
          </cell>
          <cell r="R187" t="str">
            <v xml:space="preserve">  </v>
          </cell>
          <cell r="Z187" t="str">
            <v xml:space="preserve">  </v>
          </cell>
          <cell r="AH187" t="str">
            <v xml:space="preserve">  </v>
          </cell>
          <cell r="AP187" t="str">
            <v xml:space="preserve">  </v>
          </cell>
        </row>
        <row r="188">
          <cell r="B188" t="str">
            <v>EUSW6V3 MHIS Curncy</v>
          </cell>
          <cell r="C188" t="str">
            <v>EUSW6V3</v>
          </cell>
          <cell r="D188" t="str">
            <v>MHIS</v>
          </cell>
          <cell r="E188" t="str">
            <v>Curncy</v>
          </cell>
          <cell r="F188" t="str">
            <v>SWAP</v>
          </cell>
          <cell r="G188" t="str">
            <v>6Y</v>
          </cell>
          <cell r="H188" t="b">
            <v>1</v>
          </cell>
          <cell r="J188" t="str">
            <v xml:space="preserve">  </v>
          </cell>
          <cell r="R188" t="str">
            <v xml:space="preserve">  </v>
          </cell>
          <cell r="Z188" t="str">
            <v xml:space="preserve">  </v>
          </cell>
          <cell r="AH188" t="str">
            <v xml:space="preserve">  </v>
          </cell>
          <cell r="AP188" t="str">
            <v xml:space="preserve">  </v>
          </cell>
        </row>
        <row r="189">
          <cell r="B189" t="str">
            <v>EUSW7V3 MHIS Curncy</v>
          </cell>
          <cell r="C189" t="str">
            <v>EUSW7V3</v>
          </cell>
          <cell r="D189" t="str">
            <v>MHIS</v>
          </cell>
          <cell r="E189" t="str">
            <v>Curncy</v>
          </cell>
          <cell r="F189" t="str">
            <v>SWAP</v>
          </cell>
          <cell r="G189" t="str">
            <v>7Y</v>
          </cell>
          <cell r="H189" t="b">
            <v>1</v>
          </cell>
          <cell r="J189" t="str">
            <v xml:space="preserve">  </v>
          </cell>
          <cell r="R189" t="str">
            <v xml:space="preserve">  </v>
          </cell>
          <cell r="Z189" t="str">
            <v xml:space="preserve">  </v>
          </cell>
          <cell r="AH189" t="str">
            <v xml:space="preserve">  </v>
          </cell>
          <cell r="AP189" t="str">
            <v xml:space="preserve">  </v>
          </cell>
        </row>
        <row r="190">
          <cell r="B190" t="str">
            <v>EUSW8V3 MHIS Curncy</v>
          </cell>
          <cell r="C190" t="str">
            <v>EUSW8V3</v>
          </cell>
          <cell r="D190" t="str">
            <v>MHIS</v>
          </cell>
          <cell r="E190" t="str">
            <v>Curncy</v>
          </cell>
          <cell r="F190" t="str">
            <v>SWAP</v>
          </cell>
          <cell r="G190" t="str">
            <v>8Y</v>
          </cell>
          <cell r="H190" t="b">
            <v>1</v>
          </cell>
          <cell r="J190" t="str">
            <v xml:space="preserve">  </v>
          </cell>
          <cell r="R190" t="str">
            <v xml:space="preserve">  </v>
          </cell>
          <cell r="Z190" t="str">
            <v xml:space="preserve">  </v>
          </cell>
          <cell r="AH190" t="str">
            <v xml:space="preserve">  </v>
          </cell>
          <cell r="AP190" t="str">
            <v xml:space="preserve">  </v>
          </cell>
        </row>
        <row r="191">
          <cell r="B191" t="str">
            <v>EUSW9V3 MHIS Curncy</v>
          </cell>
          <cell r="C191" t="str">
            <v>EUSW9V3</v>
          </cell>
          <cell r="D191" t="str">
            <v>MHIS</v>
          </cell>
          <cell r="E191" t="str">
            <v>Curncy</v>
          </cell>
          <cell r="F191" t="str">
            <v>SWAP</v>
          </cell>
          <cell r="G191" t="str">
            <v>9Y</v>
          </cell>
          <cell r="H191" t="b">
            <v>1</v>
          </cell>
          <cell r="J191" t="str">
            <v xml:space="preserve">  </v>
          </cell>
          <cell r="R191" t="str">
            <v xml:space="preserve">  </v>
          </cell>
          <cell r="Z191" t="str">
            <v xml:space="preserve">  </v>
          </cell>
          <cell r="AH191" t="str">
            <v xml:space="preserve">  </v>
          </cell>
          <cell r="AP191" t="str">
            <v xml:space="preserve">  </v>
          </cell>
        </row>
        <row r="192">
          <cell r="B192" t="str">
            <v>EUSW10V3 MHIS Curncy</v>
          </cell>
          <cell r="C192" t="str">
            <v>EUSW10V3</v>
          </cell>
          <cell r="D192" t="str">
            <v>MHIS</v>
          </cell>
          <cell r="E192" t="str">
            <v>Curncy</v>
          </cell>
          <cell r="F192" t="str">
            <v>SWAP</v>
          </cell>
          <cell r="G192" t="str">
            <v>10Y</v>
          </cell>
          <cell r="H192" t="b">
            <v>1</v>
          </cell>
          <cell r="J192" t="str">
            <v xml:space="preserve">  </v>
          </cell>
          <cell r="R192" t="str">
            <v xml:space="preserve">  </v>
          </cell>
          <cell r="Z192" t="str">
            <v xml:space="preserve">  </v>
          </cell>
          <cell r="AH192" t="str">
            <v xml:space="preserve">  </v>
          </cell>
          <cell r="AP192" t="str">
            <v xml:space="preserve">  </v>
          </cell>
        </row>
        <row r="193">
          <cell r="B193" t="str">
            <v>EUSW11V3 MHIS Curncy</v>
          </cell>
          <cell r="C193" t="str">
            <v>EUSW11V3</v>
          </cell>
          <cell r="D193" t="str">
            <v>MHIS</v>
          </cell>
          <cell r="E193" t="str">
            <v>Curncy</v>
          </cell>
          <cell r="F193" t="str">
            <v>SWAP</v>
          </cell>
          <cell r="G193" t="str">
            <v>11Y</v>
          </cell>
          <cell r="H193" t="b">
            <v>1</v>
          </cell>
          <cell r="J193" t="str">
            <v xml:space="preserve">  </v>
          </cell>
          <cell r="R193" t="str">
            <v xml:space="preserve">  </v>
          </cell>
          <cell r="Z193" t="str">
            <v xml:space="preserve">  </v>
          </cell>
          <cell r="AH193" t="str">
            <v xml:space="preserve">  </v>
          </cell>
          <cell r="AP193" t="str">
            <v xml:space="preserve">  </v>
          </cell>
        </row>
        <row r="194">
          <cell r="B194" t="str">
            <v>EUSW12V3 MHIS Curncy</v>
          </cell>
          <cell r="C194" t="str">
            <v>EUSW12V3</v>
          </cell>
          <cell r="D194" t="str">
            <v>MHIS</v>
          </cell>
          <cell r="E194" t="str">
            <v>Curncy</v>
          </cell>
          <cell r="F194" t="str">
            <v>SWAP</v>
          </cell>
          <cell r="G194" t="str">
            <v>12Y</v>
          </cell>
          <cell r="H194" t="b">
            <v>1</v>
          </cell>
          <cell r="J194" t="str">
            <v xml:space="preserve">  </v>
          </cell>
          <cell r="R194" t="str">
            <v xml:space="preserve">  </v>
          </cell>
          <cell r="Z194" t="str">
            <v xml:space="preserve">  </v>
          </cell>
          <cell r="AH194" t="str">
            <v xml:space="preserve">  </v>
          </cell>
          <cell r="AP194" t="str">
            <v xml:space="preserve">  </v>
          </cell>
        </row>
        <row r="195">
          <cell r="B195" t="str">
            <v>EUSW15V3 MHIS Curncy</v>
          </cell>
          <cell r="C195" t="str">
            <v>EUSW15V3</v>
          </cell>
          <cell r="D195" t="str">
            <v>MHIS</v>
          </cell>
          <cell r="E195" t="str">
            <v>Curncy</v>
          </cell>
          <cell r="F195" t="str">
            <v>SWAP</v>
          </cell>
          <cell r="G195" t="str">
            <v>15Y</v>
          </cell>
          <cell r="H195" t="b">
            <v>1</v>
          </cell>
          <cell r="J195" t="str">
            <v xml:space="preserve">  </v>
          </cell>
          <cell r="R195" t="str">
            <v xml:space="preserve">  </v>
          </cell>
          <cell r="Z195" t="str">
            <v xml:space="preserve">  </v>
          </cell>
          <cell r="AH195" t="str">
            <v xml:space="preserve">  </v>
          </cell>
          <cell r="AP195" t="str">
            <v xml:space="preserve">  </v>
          </cell>
        </row>
        <row r="196">
          <cell r="B196" t="str">
            <v>EUSW20V3 MHIS Curncy</v>
          </cell>
          <cell r="C196" t="str">
            <v>EUSW20V3</v>
          </cell>
          <cell r="D196" t="str">
            <v>MHIS</v>
          </cell>
          <cell r="E196" t="str">
            <v>Curncy</v>
          </cell>
          <cell r="F196" t="str">
            <v>SWAP</v>
          </cell>
          <cell r="G196" t="str">
            <v>20Y</v>
          </cell>
          <cell r="H196" t="b">
            <v>1</v>
          </cell>
          <cell r="J196" t="str">
            <v xml:space="preserve">  </v>
          </cell>
          <cell r="R196" t="str">
            <v xml:space="preserve">  </v>
          </cell>
          <cell r="Z196" t="str">
            <v xml:space="preserve">  </v>
          </cell>
          <cell r="AH196" t="str">
            <v xml:space="preserve">  </v>
          </cell>
          <cell r="AP196" t="str">
            <v xml:space="preserve">  </v>
          </cell>
        </row>
        <row r="197">
          <cell r="B197" t="str">
            <v>EUSW25V3 MHIS Curncy</v>
          </cell>
          <cell r="C197" t="str">
            <v>EUSW25V3</v>
          </cell>
          <cell r="D197" t="str">
            <v>MHIS</v>
          </cell>
          <cell r="E197" t="str">
            <v>Curncy</v>
          </cell>
          <cell r="F197" t="str">
            <v>SWAP</v>
          </cell>
          <cell r="G197" t="str">
            <v>25Y</v>
          </cell>
          <cell r="H197" t="b">
            <v>1</v>
          </cell>
          <cell r="J197" t="str">
            <v xml:space="preserve">  </v>
          </cell>
          <cell r="R197" t="str">
            <v xml:space="preserve">  </v>
          </cell>
          <cell r="Z197" t="str">
            <v xml:space="preserve">  </v>
          </cell>
          <cell r="AH197" t="str">
            <v xml:space="preserve">  </v>
          </cell>
          <cell r="AP197" t="str">
            <v xml:space="preserve">  </v>
          </cell>
        </row>
        <row r="198">
          <cell r="B198" t="str">
            <v>EUSW30V3 MHIS Curncy</v>
          </cell>
          <cell r="C198" t="str">
            <v>EUSW30V3</v>
          </cell>
          <cell r="D198" t="str">
            <v>MHIS</v>
          </cell>
          <cell r="E198" t="str">
            <v>Curncy</v>
          </cell>
          <cell r="F198" t="str">
            <v>SWAP</v>
          </cell>
          <cell r="G198" t="str">
            <v>30Y</v>
          </cell>
          <cell r="H198" t="b">
            <v>1</v>
          </cell>
          <cell r="J198" t="str">
            <v xml:space="preserve">  </v>
          </cell>
          <cell r="R198" t="str">
            <v xml:space="preserve">  </v>
          </cell>
          <cell r="Z198" t="str">
            <v xml:space="preserve">  </v>
          </cell>
          <cell r="AH198" t="str">
            <v xml:space="preserve">  </v>
          </cell>
          <cell r="AP198" t="str">
            <v xml:space="preserve">  </v>
          </cell>
        </row>
        <row r="199">
          <cell r="B199" t="str">
            <v>EUSW40V3 MHIS Curncy</v>
          </cell>
          <cell r="C199" t="str">
            <v>EUSW40V3</v>
          </cell>
          <cell r="D199" t="str">
            <v>MHIS</v>
          </cell>
          <cell r="E199" t="str">
            <v>Curncy</v>
          </cell>
          <cell r="F199" t="str">
            <v>SWAP</v>
          </cell>
          <cell r="G199" t="str">
            <v>40Y</v>
          </cell>
          <cell r="H199" t="b">
            <v>1</v>
          </cell>
          <cell r="J199" t="str">
            <v xml:space="preserve">  </v>
          </cell>
          <cell r="R199" t="str">
            <v xml:space="preserve">  </v>
          </cell>
          <cell r="Z199" t="str">
            <v xml:space="preserve">  </v>
          </cell>
          <cell r="AH199" t="str">
            <v xml:space="preserve">  </v>
          </cell>
          <cell r="AP199" t="str">
            <v xml:space="preserve">  </v>
          </cell>
        </row>
        <row r="200">
          <cell r="B200" t="str">
            <v>EUSW50V3 MHIS Curncy</v>
          </cell>
          <cell r="C200" t="str">
            <v>EUSW50V3</v>
          </cell>
          <cell r="D200" t="str">
            <v>MHIS</v>
          </cell>
          <cell r="E200" t="str">
            <v>Curncy</v>
          </cell>
          <cell r="F200" t="str">
            <v>SWAP</v>
          </cell>
          <cell r="G200" t="str">
            <v>50Y</v>
          </cell>
          <cell r="H200" t="b">
            <v>1</v>
          </cell>
          <cell r="J200" t="str">
            <v xml:space="preserve">  </v>
          </cell>
          <cell r="R200" t="str">
            <v xml:space="preserve">  </v>
          </cell>
          <cell r="Z200" t="str">
            <v xml:space="preserve">  </v>
          </cell>
          <cell r="AH200" t="str">
            <v xml:space="preserve">  </v>
          </cell>
          <cell r="AP200" t="str">
            <v xml:space="preserve">  </v>
          </cell>
        </row>
        <row r="201">
          <cell r="B201" t="str">
            <v xml:space="preserve">  </v>
          </cell>
          <cell r="J201" t="str">
            <v xml:space="preserve">  </v>
          </cell>
          <cell r="R201" t="str">
            <v xml:space="preserve">  </v>
          </cell>
          <cell r="Z201" t="str">
            <v xml:space="preserve">  </v>
          </cell>
          <cell r="AH201" t="str">
            <v xml:space="preserve">  </v>
          </cell>
          <cell r="AP201" t="str">
            <v xml:space="preserve">  </v>
          </cell>
        </row>
        <row r="202">
          <cell r="B202" t="str">
            <v xml:space="preserve">  </v>
          </cell>
          <cell r="J202" t="str">
            <v xml:space="preserve">  </v>
          </cell>
          <cell r="R202" t="str">
            <v xml:space="preserve">  </v>
          </cell>
          <cell r="Z202" t="str">
            <v xml:space="preserve">  </v>
          </cell>
          <cell r="AH202" t="str">
            <v xml:space="preserve">  </v>
          </cell>
          <cell r="AP202" t="str">
            <v xml:space="preserve">  </v>
          </cell>
        </row>
        <row r="203">
          <cell r="B203" t="str">
            <v xml:space="preserve">  </v>
          </cell>
          <cell r="J203" t="str">
            <v xml:space="preserve">  </v>
          </cell>
          <cell r="R203" t="str">
            <v xml:space="preserve">  </v>
          </cell>
          <cell r="Z203" t="str">
            <v xml:space="preserve">  </v>
          </cell>
          <cell r="AH203" t="str">
            <v xml:space="preserve">  </v>
          </cell>
          <cell r="AP203" t="str">
            <v xml:space="preserve">  </v>
          </cell>
        </row>
        <row r="204">
          <cell r="B204" t="str">
            <v xml:space="preserve">  </v>
          </cell>
          <cell r="J204" t="str">
            <v xml:space="preserve">  </v>
          </cell>
          <cell r="R204" t="str">
            <v xml:space="preserve">  </v>
          </cell>
          <cell r="Z204" t="str">
            <v xml:space="preserve">  </v>
          </cell>
          <cell r="AH204" t="str">
            <v xml:space="preserve">  </v>
          </cell>
          <cell r="AP204" t="str">
            <v xml:space="preserve">  </v>
          </cell>
        </row>
        <row r="205">
          <cell r="B205" t="str">
            <v xml:space="preserve">  </v>
          </cell>
          <cell r="J205" t="str">
            <v xml:space="preserve">  </v>
          </cell>
          <cell r="R205" t="str">
            <v xml:space="preserve">  </v>
          </cell>
          <cell r="Z205" t="str">
            <v xml:space="preserve">  </v>
          </cell>
          <cell r="AH205" t="str">
            <v xml:space="preserve">  </v>
          </cell>
          <cell r="AP205" t="str">
            <v xml:space="preserve">  </v>
          </cell>
        </row>
        <row r="206">
          <cell r="B206" t="str">
            <v xml:space="preserve">  </v>
          </cell>
          <cell r="J206" t="str">
            <v xml:space="preserve">  </v>
          </cell>
          <cell r="R206" t="str">
            <v xml:space="preserve">  </v>
          </cell>
          <cell r="Z206" t="str">
            <v xml:space="preserve">  </v>
          </cell>
          <cell r="AH206" t="str">
            <v xml:space="preserve">  </v>
          </cell>
          <cell r="AP206" t="str">
            <v xml:space="preserve">  </v>
          </cell>
        </row>
        <row r="207">
          <cell r="B207" t="str">
            <v xml:space="preserve">  </v>
          </cell>
          <cell r="J207" t="str">
            <v xml:space="preserve">  </v>
          </cell>
          <cell r="R207" t="str">
            <v xml:space="preserve">  </v>
          </cell>
          <cell r="Z207" t="str">
            <v xml:space="preserve">  </v>
          </cell>
          <cell r="AH207" t="str">
            <v xml:space="preserve">  </v>
          </cell>
          <cell r="AP207" t="str">
            <v xml:space="preserve">  </v>
          </cell>
        </row>
        <row r="208">
          <cell r="B208" t="str">
            <v xml:space="preserve">  </v>
          </cell>
          <cell r="J208" t="str">
            <v xml:space="preserve">  </v>
          </cell>
          <cell r="R208" t="str">
            <v xml:space="preserve">  </v>
          </cell>
          <cell r="Z208" t="str">
            <v xml:space="preserve">  </v>
          </cell>
          <cell r="AH208" t="str">
            <v xml:space="preserve">  </v>
          </cell>
          <cell r="AP208" t="str">
            <v xml:space="preserve">  </v>
          </cell>
        </row>
        <row r="209">
          <cell r="B209" t="str">
            <v xml:space="preserve">  </v>
          </cell>
          <cell r="J209" t="str">
            <v xml:space="preserve">  </v>
          </cell>
          <cell r="R209" t="str">
            <v xml:space="preserve">  </v>
          </cell>
          <cell r="Z209" t="str">
            <v xml:space="preserve">  </v>
          </cell>
          <cell r="AH209" t="str">
            <v xml:space="preserve">  </v>
          </cell>
          <cell r="AP209" t="str">
            <v xml:space="preserve">  </v>
          </cell>
        </row>
        <row r="210">
          <cell r="B210" t="str">
            <v xml:space="preserve">  </v>
          </cell>
          <cell r="J210" t="str">
            <v xml:space="preserve">  </v>
          </cell>
          <cell r="R210" t="str">
            <v xml:space="preserve">  </v>
          </cell>
          <cell r="Z210" t="str">
            <v xml:space="preserve">  </v>
          </cell>
          <cell r="AH210" t="str">
            <v xml:space="preserve">  </v>
          </cell>
          <cell r="AP210" t="str">
            <v xml:space="preserve">  </v>
          </cell>
        </row>
        <row r="211">
          <cell r="B211" t="str">
            <v xml:space="preserve">  </v>
          </cell>
          <cell r="J211" t="str">
            <v xml:space="preserve">  </v>
          </cell>
          <cell r="R211" t="str">
            <v xml:space="preserve">  </v>
          </cell>
          <cell r="Z211" t="str">
            <v xml:space="preserve">  </v>
          </cell>
          <cell r="AH211" t="str">
            <v xml:space="preserve">  </v>
          </cell>
          <cell r="AP211" t="str">
            <v xml:space="preserve">  </v>
          </cell>
        </row>
        <row r="212">
          <cell r="B212" t="str">
            <v xml:space="preserve">  </v>
          </cell>
          <cell r="J212" t="str">
            <v xml:space="preserve">  </v>
          </cell>
          <cell r="R212" t="str">
            <v xml:space="preserve">  </v>
          </cell>
          <cell r="Z212" t="str">
            <v xml:space="preserve">  </v>
          </cell>
          <cell r="AH212" t="str">
            <v xml:space="preserve">  </v>
          </cell>
          <cell r="AP212" t="str">
            <v xml:space="preserve">  </v>
          </cell>
        </row>
        <row r="213">
          <cell r="B213" t="str">
            <v xml:space="preserve">  </v>
          </cell>
          <cell r="J213" t="str">
            <v xml:space="preserve">  </v>
          </cell>
          <cell r="R213" t="str">
            <v xml:space="preserve">  </v>
          </cell>
          <cell r="Z213" t="str">
            <v xml:space="preserve">  </v>
          </cell>
          <cell r="AH213" t="str">
            <v xml:space="preserve">  </v>
          </cell>
          <cell r="AP213" t="str">
            <v xml:space="preserve">  </v>
          </cell>
        </row>
        <row r="214">
          <cell r="B214" t="str">
            <v xml:space="preserve">  </v>
          </cell>
          <cell r="J214" t="str">
            <v xml:space="preserve">  </v>
          </cell>
          <cell r="R214" t="str">
            <v xml:space="preserve">  </v>
          </cell>
          <cell r="Z214" t="str">
            <v xml:space="preserve">  </v>
          </cell>
          <cell r="AH214" t="str">
            <v xml:space="preserve">  </v>
          </cell>
          <cell r="AP214" t="str">
            <v xml:space="preserve">  </v>
          </cell>
        </row>
        <row r="215">
          <cell r="B215" t="str">
            <v xml:space="preserve">  </v>
          </cell>
          <cell r="J215" t="str">
            <v xml:space="preserve">  </v>
          </cell>
          <cell r="R215" t="str">
            <v xml:space="preserve">  </v>
          </cell>
          <cell r="Z215" t="str">
            <v xml:space="preserve">  </v>
          </cell>
          <cell r="AH215" t="str">
            <v xml:space="preserve">  </v>
          </cell>
          <cell r="AP215" t="str">
            <v xml:space="preserve">  </v>
          </cell>
        </row>
        <row r="216">
          <cell r="B216" t="str">
            <v xml:space="preserve">  </v>
          </cell>
          <cell r="J216" t="str">
            <v xml:space="preserve">  </v>
          </cell>
          <cell r="R216" t="str">
            <v xml:space="preserve">  </v>
          </cell>
          <cell r="Z216" t="str">
            <v xml:space="preserve">  </v>
          </cell>
          <cell r="AH216" t="str">
            <v xml:space="preserve">  </v>
          </cell>
          <cell r="AP216" t="str">
            <v xml:space="preserve">  </v>
          </cell>
        </row>
        <row r="217">
          <cell r="B217" t="str">
            <v xml:space="preserve">  </v>
          </cell>
          <cell r="J217" t="str">
            <v xml:space="preserve">  </v>
          </cell>
          <cell r="R217" t="str">
            <v xml:space="preserve">  </v>
          </cell>
          <cell r="Z217" t="str">
            <v xml:space="preserve">  </v>
          </cell>
          <cell r="AH217" t="str">
            <v xml:space="preserve">  </v>
          </cell>
          <cell r="AP217" t="str">
            <v xml:space="preserve">  </v>
          </cell>
        </row>
        <row r="218">
          <cell r="B218" t="str">
            <v xml:space="preserve">  </v>
          </cell>
          <cell r="J218" t="str">
            <v xml:space="preserve">  </v>
          </cell>
          <cell r="R218" t="str">
            <v xml:space="preserve">  </v>
          </cell>
          <cell r="Z218" t="str">
            <v xml:space="preserve">  </v>
          </cell>
          <cell r="AH218" t="str">
            <v xml:space="preserve">  </v>
          </cell>
          <cell r="AP218" t="str">
            <v xml:space="preserve">  </v>
          </cell>
        </row>
        <row r="219">
          <cell r="B219" t="str">
            <v xml:space="preserve">  </v>
          </cell>
          <cell r="J219" t="str">
            <v xml:space="preserve">  </v>
          </cell>
          <cell r="R219" t="str">
            <v xml:space="preserve">  </v>
          </cell>
          <cell r="Z219" t="str">
            <v xml:space="preserve">  </v>
          </cell>
          <cell r="AH219" t="str">
            <v xml:space="preserve">  </v>
          </cell>
          <cell r="AP219" t="str">
            <v xml:space="preserve">  </v>
          </cell>
        </row>
        <row r="227">
          <cell r="B227" t="str">
            <v>SONIO/N BGN Index</v>
          </cell>
          <cell r="C227" t="str">
            <v>SONIO/N</v>
          </cell>
          <cell r="D227" t="str">
            <v>BGN</v>
          </cell>
          <cell r="E227" t="str">
            <v>Index</v>
          </cell>
          <cell r="F227" t="str">
            <v>OIS</v>
          </cell>
          <cell r="G227" t="str">
            <v>ON</v>
          </cell>
          <cell r="H227" t="b">
            <v>1</v>
          </cell>
          <cell r="J227" t="str">
            <v>BP0006M ICPL Index</v>
          </cell>
          <cell r="K227" t="str">
            <v>BP0006M</v>
          </cell>
          <cell r="L227" t="str">
            <v>ICPL</v>
          </cell>
          <cell r="M227" t="str">
            <v>Index</v>
          </cell>
          <cell r="N227" t="str">
            <v>CASH</v>
          </cell>
          <cell r="O227" t="str">
            <v>6M</v>
          </cell>
          <cell r="P227" t="b">
            <v>1</v>
          </cell>
          <cell r="R227" t="str">
            <v>BPSFVC1 ICPL Curncy</v>
          </cell>
          <cell r="S227" t="str">
            <v>BPSFVC1</v>
          </cell>
          <cell r="T227" t="str">
            <v>ICPL</v>
          </cell>
          <cell r="U227" t="str">
            <v>Curncy</v>
          </cell>
          <cell r="V227" t="str">
            <v>TENOR-BASIS</v>
          </cell>
          <cell r="W227" t="str">
            <v>1Y</v>
          </cell>
          <cell r="X227" t="b">
            <v>1</v>
          </cell>
          <cell r="Z227" t="str">
            <v>BPSFVA1 ICPL Curncy</v>
          </cell>
          <cell r="AA227" t="str">
            <v>BPSFVA1</v>
          </cell>
          <cell r="AB227" t="str">
            <v>ICPL</v>
          </cell>
          <cell r="AC227" t="str">
            <v>Curncy</v>
          </cell>
          <cell r="AD227" t="str">
            <v>TENOR-BASIS</v>
          </cell>
          <cell r="AE227" t="str">
            <v>1Y</v>
          </cell>
          <cell r="AF227" t="b">
            <v>1</v>
          </cell>
          <cell r="AH227" t="str">
            <v>BPSIVF1 ICPL Curncy</v>
          </cell>
          <cell r="AI227" t="str">
            <v>BPSIVF1</v>
          </cell>
          <cell r="AJ227" t="str">
            <v>ICPL</v>
          </cell>
          <cell r="AK227" t="str">
            <v>Curncy</v>
          </cell>
          <cell r="AL227" t="str">
            <v>TENOR-BASIS</v>
          </cell>
          <cell r="AM227" t="str">
            <v>1Y</v>
          </cell>
          <cell r="AN227" t="b">
            <v>1</v>
          </cell>
          <cell r="AP227" t="str">
            <v>BPBS1 ICPL Curncy</v>
          </cell>
          <cell r="AQ227" t="str">
            <v>BPBS1</v>
          </cell>
          <cell r="AR227" t="str">
            <v>ICPL</v>
          </cell>
          <cell r="AS227" t="str">
            <v>Curncy</v>
          </cell>
          <cell r="AT227" t="str">
            <v>XCCY-BASIS</v>
          </cell>
          <cell r="AU227" t="str">
            <v>1Y</v>
          </cell>
          <cell r="AV227" t="b">
            <v>1</v>
          </cell>
        </row>
        <row r="228">
          <cell r="B228" t="str">
            <v>BPSWS1Z BGN Curncy</v>
          </cell>
          <cell r="C228" t="str">
            <v>BPSWS1Z</v>
          </cell>
          <cell r="D228" t="str">
            <v>BGN</v>
          </cell>
          <cell r="E228" t="str">
            <v>Curncy</v>
          </cell>
          <cell r="F228" t="str">
            <v>OIS</v>
          </cell>
          <cell r="G228" t="str">
            <v>1W</v>
          </cell>
          <cell r="H228" t="b">
            <v>0</v>
          </cell>
          <cell r="J228" t="str">
            <v>BPFR0AG ICPL Curncy</v>
          </cell>
          <cell r="K228" t="str">
            <v>BPFR0AG</v>
          </cell>
          <cell r="L228" t="str">
            <v>ICPL</v>
          </cell>
          <cell r="M228" t="str">
            <v>Curncy</v>
          </cell>
          <cell r="N228" t="str">
            <v>FRA</v>
          </cell>
          <cell r="O228" t="str">
            <v>1X7</v>
          </cell>
          <cell r="P228" t="b">
            <v>1</v>
          </cell>
          <cell r="R228" t="str">
            <v>BPSFVC2 ICPL Curncy</v>
          </cell>
          <cell r="S228" t="str">
            <v>BPSFVC2</v>
          </cell>
          <cell r="T228" t="str">
            <v>ICPL</v>
          </cell>
          <cell r="U228" t="str">
            <v>Curncy</v>
          </cell>
          <cell r="V228" t="str">
            <v>TENOR-BASIS</v>
          </cell>
          <cell r="W228" t="str">
            <v>2Y</v>
          </cell>
          <cell r="X228" t="b">
            <v>1</v>
          </cell>
          <cell r="Z228" t="str">
            <v>BPSFVA2 ICPL Curncy</v>
          </cell>
          <cell r="AA228" t="str">
            <v>BPSFVA2</v>
          </cell>
          <cell r="AB228" t="str">
            <v>ICPL</v>
          </cell>
          <cell r="AC228" t="str">
            <v>Curncy</v>
          </cell>
          <cell r="AD228" t="str">
            <v>TENOR-BASIS</v>
          </cell>
          <cell r="AE228" t="str">
            <v>2Y</v>
          </cell>
          <cell r="AF228" t="b">
            <v>1</v>
          </cell>
          <cell r="AH228" t="str">
            <v>BPSIVF2 ICPL Curncy</v>
          </cell>
          <cell r="AI228" t="str">
            <v>BPSIVF2</v>
          </cell>
          <cell r="AJ228" t="str">
            <v>ICPL</v>
          </cell>
          <cell r="AK228" t="str">
            <v>Curncy</v>
          </cell>
          <cell r="AL228" t="str">
            <v>TENOR-BASIS</v>
          </cell>
          <cell r="AM228" t="str">
            <v>2Y</v>
          </cell>
          <cell r="AN228" t="b">
            <v>1</v>
          </cell>
          <cell r="AP228" t="str">
            <v>BPBS2 ICPL Curncy</v>
          </cell>
          <cell r="AQ228" t="str">
            <v>BPBS2</v>
          </cell>
          <cell r="AR228" t="str">
            <v>ICPL</v>
          </cell>
          <cell r="AS228" t="str">
            <v>Curncy</v>
          </cell>
          <cell r="AT228" t="str">
            <v>XCCY-BASIS</v>
          </cell>
          <cell r="AU228" t="str">
            <v>2Y</v>
          </cell>
          <cell r="AV228" t="b">
            <v>1</v>
          </cell>
        </row>
        <row r="229">
          <cell r="B229" t="str">
            <v>BPSWS2Z BGN Curncy</v>
          </cell>
          <cell r="C229" t="str">
            <v>BPSWS2Z</v>
          </cell>
          <cell r="D229" t="str">
            <v>BGN</v>
          </cell>
          <cell r="E229" t="str">
            <v>Curncy</v>
          </cell>
          <cell r="F229" t="str">
            <v>OIS</v>
          </cell>
          <cell r="G229" t="str">
            <v>2W</v>
          </cell>
          <cell r="H229" t="b">
            <v>0</v>
          </cell>
          <cell r="J229" t="str">
            <v>BPFR0BH ICPL Curncy</v>
          </cell>
          <cell r="K229" t="str">
            <v>BPFR0BH</v>
          </cell>
          <cell r="L229" t="str">
            <v>ICPL</v>
          </cell>
          <cell r="M229" t="str">
            <v>Curncy</v>
          </cell>
          <cell r="N229" t="str">
            <v>FRA</v>
          </cell>
          <cell r="O229" t="str">
            <v>2X8</v>
          </cell>
          <cell r="P229" t="b">
            <v>1</v>
          </cell>
          <cell r="R229" t="str">
            <v>BPSFVC3 ICPL Curncy</v>
          </cell>
          <cell r="S229" t="str">
            <v>BPSFVC3</v>
          </cell>
          <cell r="T229" t="str">
            <v>ICPL</v>
          </cell>
          <cell r="U229" t="str">
            <v>Curncy</v>
          </cell>
          <cell r="V229" t="str">
            <v>TENOR-BASIS</v>
          </cell>
          <cell r="W229" t="str">
            <v>3Y</v>
          </cell>
          <cell r="X229" t="b">
            <v>1</v>
          </cell>
          <cell r="Z229" t="str">
            <v>BPSFVA3 ICPL Curncy</v>
          </cell>
          <cell r="AA229" t="str">
            <v>BPSFVA3</v>
          </cell>
          <cell r="AB229" t="str">
            <v>ICPL</v>
          </cell>
          <cell r="AC229" t="str">
            <v>Curncy</v>
          </cell>
          <cell r="AD229" t="str">
            <v>TENOR-BASIS</v>
          </cell>
          <cell r="AE229" t="str">
            <v>3Y</v>
          </cell>
          <cell r="AF229" t="b">
            <v>1</v>
          </cell>
          <cell r="AH229" t="str">
            <v>BPSIVF3 ICPL Curncy</v>
          </cell>
          <cell r="AI229" t="str">
            <v>BPSIVF3</v>
          </cell>
          <cell r="AJ229" t="str">
            <v>ICPL</v>
          </cell>
          <cell r="AK229" t="str">
            <v>Curncy</v>
          </cell>
          <cell r="AL229" t="str">
            <v>TENOR-BASIS</v>
          </cell>
          <cell r="AM229" t="str">
            <v>3Y</v>
          </cell>
          <cell r="AN229" t="b">
            <v>1</v>
          </cell>
          <cell r="AP229" t="str">
            <v>BPBS3 ICPL Curncy</v>
          </cell>
          <cell r="AQ229" t="str">
            <v>BPBS3</v>
          </cell>
          <cell r="AR229" t="str">
            <v>ICPL</v>
          </cell>
          <cell r="AS229" t="str">
            <v>Curncy</v>
          </cell>
          <cell r="AT229" t="str">
            <v>XCCY-BASIS</v>
          </cell>
          <cell r="AU229" t="str">
            <v>3Y</v>
          </cell>
          <cell r="AV229" t="b">
            <v>1</v>
          </cell>
        </row>
        <row r="230">
          <cell r="B230" t="str">
            <v>BPSWSA BGN Curncy</v>
          </cell>
          <cell r="C230" t="str">
            <v>BPSWSA</v>
          </cell>
          <cell r="D230" t="str">
            <v>BGN</v>
          </cell>
          <cell r="E230" t="str">
            <v>Curncy</v>
          </cell>
          <cell r="F230" t="str">
            <v>OIS</v>
          </cell>
          <cell r="G230" t="str">
            <v>1M</v>
          </cell>
          <cell r="H230" t="b">
            <v>1</v>
          </cell>
          <cell r="J230" t="str">
            <v>BPFR0CI ICPL Curncy</v>
          </cell>
          <cell r="K230" t="str">
            <v>BPFR0CI</v>
          </cell>
          <cell r="L230" t="str">
            <v>ICPL</v>
          </cell>
          <cell r="M230" t="str">
            <v>Curncy</v>
          </cell>
          <cell r="N230" t="str">
            <v>FRA</v>
          </cell>
          <cell r="O230" t="str">
            <v>3X9</v>
          </cell>
          <cell r="P230" t="b">
            <v>1</v>
          </cell>
          <cell r="R230" t="str">
            <v>BPSFVC4 ICPL Curncy</v>
          </cell>
          <cell r="S230" t="str">
            <v>BPSFVC4</v>
          </cell>
          <cell r="T230" t="str">
            <v>ICPL</v>
          </cell>
          <cell r="U230" t="str">
            <v>Curncy</v>
          </cell>
          <cell r="V230" t="str">
            <v>TENOR-BASIS</v>
          </cell>
          <cell r="W230" t="str">
            <v>4Y</v>
          </cell>
          <cell r="X230" t="b">
            <v>1</v>
          </cell>
          <cell r="Z230" t="str">
            <v>BPSFVA4 ICPL Curncy</v>
          </cell>
          <cell r="AA230" t="str">
            <v>BPSFVA4</v>
          </cell>
          <cell r="AB230" t="str">
            <v>ICPL</v>
          </cell>
          <cell r="AC230" t="str">
            <v>Curncy</v>
          </cell>
          <cell r="AD230" t="str">
            <v>TENOR-BASIS</v>
          </cell>
          <cell r="AE230" t="str">
            <v>4Y</v>
          </cell>
          <cell r="AF230" t="b">
            <v>1</v>
          </cell>
          <cell r="AH230" t="str">
            <v>BPSIVF4 ICPL Curncy</v>
          </cell>
          <cell r="AI230" t="str">
            <v>BPSIVF4</v>
          </cell>
          <cell r="AJ230" t="str">
            <v>ICPL</v>
          </cell>
          <cell r="AK230" t="str">
            <v>Curncy</v>
          </cell>
          <cell r="AL230" t="str">
            <v>TENOR-BASIS</v>
          </cell>
          <cell r="AM230" t="str">
            <v>4Y</v>
          </cell>
          <cell r="AN230" t="b">
            <v>1</v>
          </cell>
          <cell r="AP230" t="str">
            <v>BPBS4 ICPL Curncy</v>
          </cell>
          <cell r="AQ230" t="str">
            <v>BPBS4</v>
          </cell>
          <cell r="AR230" t="str">
            <v>ICPL</v>
          </cell>
          <cell r="AS230" t="str">
            <v>Curncy</v>
          </cell>
          <cell r="AT230" t="str">
            <v>XCCY-BASIS</v>
          </cell>
          <cell r="AU230" t="str">
            <v>4Y</v>
          </cell>
          <cell r="AV230" t="b">
            <v>1</v>
          </cell>
        </row>
        <row r="231">
          <cell r="B231" t="str">
            <v>BPSWSB BGN Curncy</v>
          </cell>
          <cell r="C231" t="str">
            <v>BPSWSB</v>
          </cell>
          <cell r="D231" t="str">
            <v>BGN</v>
          </cell>
          <cell r="E231" t="str">
            <v>Curncy</v>
          </cell>
          <cell r="F231" t="str">
            <v>OIS</v>
          </cell>
          <cell r="G231" t="str">
            <v>2M</v>
          </cell>
          <cell r="H231" t="b">
            <v>0</v>
          </cell>
          <cell r="J231" t="str">
            <v>BPFR0DJ ICPL Curncy</v>
          </cell>
          <cell r="K231" t="str">
            <v>BPFR0DJ</v>
          </cell>
          <cell r="L231" t="str">
            <v>ICPL</v>
          </cell>
          <cell r="M231" t="str">
            <v>Curncy</v>
          </cell>
          <cell r="N231" t="str">
            <v>FRA</v>
          </cell>
          <cell r="O231" t="str">
            <v>4X10</v>
          </cell>
          <cell r="P231" t="b">
            <v>1</v>
          </cell>
          <cell r="R231" t="str">
            <v>BPSFVC5 ICPL Curncy</v>
          </cell>
          <cell r="S231" t="str">
            <v>BPSFVC5</v>
          </cell>
          <cell r="T231" t="str">
            <v>ICPL</v>
          </cell>
          <cell r="U231" t="str">
            <v>Curncy</v>
          </cell>
          <cell r="V231" t="str">
            <v>TENOR-BASIS</v>
          </cell>
          <cell r="W231" t="str">
            <v>5Y</v>
          </cell>
          <cell r="X231" t="b">
            <v>1</v>
          </cell>
          <cell r="Z231" t="str">
            <v>BPSFVA5 ICPL Curncy</v>
          </cell>
          <cell r="AA231" t="str">
            <v>BPSFVA5</v>
          </cell>
          <cell r="AB231" t="str">
            <v>ICPL</v>
          </cell>
          <cell r="AC231" t="str">
            <v>Curncy</v>
          </cell>
          <cell r="AD231" t="str">
            <v>TENOR-BASIS</v>
          </cell>
          <cell r="AE231" t="str">
            <v>5Y</v>
          </cell>
          <cell r="AF231" t="b">
            <v>1</v>
          </cell>
          <cell r="AH231" t="str">
            <v>BPSIVF5 ICPL Curncy</v>
          </cell>
          <cell r="AI231" t="str">
            <v>BPSIVF5</v>
          </cell>
          <cell r="AJ231" t="str">
            <v>ICPL</v>
          </cell>
          <cell r="AK231" t="str">
            <v>Curncy</v>
          </cell>
          <cell r="AL231" t="str">
            <v>TENOR-BASIS</v>
          </cell>
          <cell r="AM231" t="str">
            <v>5Y</v>
          </cell>
          <cell r="AN231" t="b">
            <v>1</v>
          </cell>
          <cell r="AP231" t="str">
            <v>BPBS5 ICPL Curncy</v>
          </cell>
          <cell r="AQ231" t="str">
            <v>BPBS5</v>
          </cell>
          <cell r="AR231" t="str">
            <v>ICPL</v>
          </cell>
          <cell r="AS231" t="str">
            <v>Curncy</v>
          </cell>
          <cell r="AT231" t="str">
            <v>XCCY-BASIS</v>
          </cell>
          <cell r="AU231" t="str">
            <v>5Y</v>
          </cell>
          <cell r="AV231" t="b">
            <v>1</v>
          </cell>
        </row>
        <row r="232">
          <cell r="B232" t="str">
            <v>BPSWSC BGN Curncy</v>
          </cell>
          <cell r="C232" t="str">
            <v>BPSWSC</v>
          </cell>
          <cell r="D232" t="str">
            <v>BGN</v>
          </cell>
          <cell r="E232" t="str">
            <v>Curncy</v>
          </cell>
          <cell r="F232" t="str">
            <v>OIS</v>
          </cell>
          <cell r="G232" t="str">
            <v>3M</v>
          </cell>
          <cell r="H232" t="b">
            <v>1</v>
          </cell>
          <cell r="J232" t="str">
            <v>BPFR0EK ICPL Curncy</v>
          </cell>
          <cell r="K232" t="str">
            <v>BPFR0EK</v>
          </cell>
          <cell r="L232" t="str">
            <v>ICPL</v>
          </cell>
          <cell r="M232" t="str">
            <v>Curncy</v>
          </cell>
          <cell r="N232" t="str">
            <v>FRA</v>
          </cell>
          <cell r="O232" t="str">
            <v>5X11</v>
          </cell>
          <cell r="P232" t="b">
            <v>1</v>
          </cell>
          <cell r="R232" t="str">
            <v>BPSFVC6 ICPL Curncy</v>
          </cell>
          <cell r="S232" t="str">
            <v>BPSFVC6</v>
          </cell>
          <cell r="T232" t="str">
            <v>ICPL</v>
          </cell>
          <cell r="U232" t="str">
            <v>Curncy</v>
          </cell>
          <cell r="V232" t="str">
            <v>TENOR-BASIS</v>
          </cell>
          <cell r="W232" t="str">
            <v>6Y</v>
          </cell>
          <cell r="X232" t="b">
            <v>1</v>
          </cell>
          <cell r="Z232" t="str">
            <v>BPSFVA6 ICPL Curncy</v>
          </cell>
          <cell r="AA232" t="str">
            <v>BPSFVA6</v>
          </cell>
          <cell r="AB232" t="str">
            <v>ICPL</v>
          </cell>
          <cell r="AC232" t="str">
            <v>Curncy</v>
          </cell>
          <cell r="AD232" t="str">
            <v>TENOR-BASIS</v>
          </cell>
          <cell r="AE232" t="str">
            <v>6Y</v>
          </cell>
          <cell r="AF232" t="b">
            <v>1</v>
          </cell>
          <cell r="AH232" t="str">
            <v>BPSIVF6 ICPL Curncy</v>
          </cell>
          <cell r="AI232" t="str">
            <v>BPSIVF6</v>
          </cell>
          <cell r="AJ232" t="str">
            <v>ICPL</v>
          </cell>
          <cell r="AK232" t="str">
            <v>Curncy</v>
          </cell>
          <cell r="AL232" t="str">
            <v>TENOR-BASIS</v>
          </cell>
          <cell r="AM232" t="str">
            <v>6Y</v>
          </cell>
          <cell r="AN232" t="b">
            <v>1</v>
          </cell>
          <cell r="AP232" t="str">
            <v>BPBS6 ICPL Curncy</v>
          </cell>
          <cell r="AQ232" t="str">
            <v>BPBS6</v>
          </cell>
          <cell r="AR232" t="str">
            <v>ICPL</v>
          </cell>
          <cell r="AS232" t="str">
            <v>Curncy</v>
          </cell>
          <cell r="AT232" t="str">
            <v>XCCY-BASIS</v>
          </cell>
          <cell r="AU232" t="str">
            <v>6Y</v>
          </cell>
          <cell r="AV232" t="b">
            <v>1</v>
          </cell>
        </row>
        <row r="233">
          <cell r="B233" t="str">
            <v>BPSWSD BGN Curncy</v>
          </cell>
          <cell r="C233" t="str">
            <v>BPSWSD</v>
          </cell>
          <cell r="D233" t="str">
            <v>BGN</v>
          </cell>
          <cell r="E233" t="str">
            <v>Curncy</v>
          </cell>
          <cell r="F233" t="str">
            <v>OIS</v>
          </cell>
          <cell r="G233" t="str">
            <v>4M</v>
          </cell>
          <cell r="H233" t="b">
            <v>0</v>
          </cell>
          <cell r="J233" t="str">
            <v>BPFR0F1 ICPL Curncy</v>
          </cell>
          <cell r="K233" t="str">
            <v>BPFR0F1</v>
          </cell>
          <cell r="L233" t="str">
            <v>ICPL</v>
          </cell>
          <cell r="M233" t="str">
            <v>Curncy</v>
          </cell>
          <cell r="N233" t="str">
            <v>FRA</v>
          </cell>
          <cell r="O233" t="str">
            <v>6X12</v>
          </cell>
          <cell r="P233" t="b">
            <v>1</v>
          </cell>
          <cell r="R233" t="str">
            <v>BPSFVC7 ICPL Curncy</v>
          </cell>
          <cell r="S233" t="str">
            <v>BPSFVC7</v>
          </cell>
          <cell r="T233" t="str">
            <v>ICPL</v>
          </cell>
          <cell r="U233" t="str">
            <v>Curncy</v>
          </cell>
          <cell r="V233" t="str">
            <v>TENOR-BASIS</v>
          </cell>
          <cell r="W233" t="str">
            <v>7Y</v>
          </cell>
          <cell r="X233" t="b">
            <v>1</v>
          </cell>
          <cell r="Z233" t="str">
            <v>BPSFVA7 ICPL Curncy</v>
          </cell>
          <cell r="AA233" t="str">
            <v>BPSFVA7</v>
          </cell>
          <cell r="AB233" t="str">
            <v>ICPL</v>
          </cell>
          <cell r="AC233" t="str">
            <v>Curncy</v>
          </cell>
          <cell r="AD233" t="str">
            <v>TENOR-BASIS</v>
          </cell>
          <cell r="AE233" t="str">
            <v>7Y</v>
          </cell>
          <cell r="AF233" t="b">
            <v>1</v>
          </cell>
          <cell r="AH233" t="str">
            <v>BPSIVF7 ICPL Curncy</v>
          </cell>
          <cell r="AI233" t="str">
            <v>BPSIVF7</v>
          </cell>
          <cell r="AJ233" t="str">
            <v>ICPL</v>
          </cell>
          <cell r="AK233" t="str">
            <v>Curncy</v>
          </cell>
          <cell r="AL233" t="str">
            <v>TENOR-BASIS</v>
          </cell>
          <cell r="AM233" t="str">
            <v>7Y</v>
          </cell>
          <cell r="AN233" t="b">
            <v>1</v>
          </cell>
          <cell r="AP233" t="str">
            <v>BPBS7 ICPL Curncy</v>
          </cell>
          <cell r="AQ233" t="str">
            <v>BPBS7</v>
          </cell>
          <cell r="AR233" t="str">
            <v>ICPL</v>
          </cell>
          <cell r="AS233" t="str">
            <v>Curncy</v>
          </cell>
          <cell r="AT233" t="str">
            <v>XCCY-BASIS</v>
          </cell>
          <cell r="AU233" t="str">
            <v>7Y</v>
          </cell>
          <cell r="AV233" t="b">
            <v>1</v>
          </cell>
        </row>
        <row r="234">
          <cell r="B234" t="str">
            <v>BPSWSE BGN Curncy</v>
          </cell>
          <cell r="C234" t="str">
            <v>BPSWSE</v>
          </cell>
          <cell r="D234" t="str">
            <v>BGN</v>
          </cell>
          <cell r="E234" t="str">
            <v>Curncy</v>
          </cell>
          <cell r="F234" t="str">
            <v>OIS</v>
          </cell>
          <cell r="G234" t="str">
            <v>5M</v>
          </cell>
          <cell r="H234" t="b">
            <v>0</v>
          </cell>
          <cell r="J234" t="str">
            <v>BPFR0I1C ICPL Curncy</v>
          </cell>
          <cell r="K234" t="str">
            <v>BPFR0I1C</v>
          </cell>
          <cell r="L234" t="str">
            <v>ICPL</v>
          </cell>
          <cell r="M234" t="str">
            <v>Curncy</v>
          </cell>
          <cell r="N234" t="str">
            <v>FRA</v>
          </cell>
          <cell r="O234" t="str">
            <v>9X15</v>
          </cell>
          <cell r="P234" t="b">
            <v>1</v>
          </cell>
          <cell r="R234" t="str">
            <v>BPSFVC8 ICPL Curncy</v>
          </cell>
          <cell r="S234" t="str">
            <v>BPSFVC8</v>
          </cell>
          <cell r="T234" t="str">
            <v>ICPL</v>
          </cell>
          <cell r="U234" t="str">
            <v>Curncy</v>
          </cell>
          <cell r="V234" t="str">
            <v>TENOR-BASIS</v>
          </cell>
          <cell r="W234" t="str">
            <v>8Y</v>
          </cell>
          <cell r="X234" t="b">
            <v>1</v>
          </cell>
          <cell r="Z234" t="str">
            <v>BPSFVA8 ICPL Curncy</v>
          </cell>
          <cell r="AA234" t="str">
            <v>BPSFVA8</v>
          </cell>
          <cell r="AB234" t="str">
            <v>ICPL</v>
          </cell>
          <cell r="AC234" t="str">
            <v>Curncy</v>
          </cell>
          <cell r="AD234" t="str">
            <v>TENOR-BASIS</v>
          </cell>
          <cell r="AE234" t="str">
            <v>8Y</v>
          </cell>
          <cell r="AF234" t="b">
            <v>1</v>
          </cell>
          <cell r="AH234" t="str">
            <v>BPSIVF8 ICPL Curncy</v>
          </cell>
          <cell r="AI234" t="str">
            <v>BPSIVF8</v>
          </cell>
          <cell r="AJ234" t="str">
            <v>ICPL</v>
          </cell>
          <cell r="AK234" t="str">
            <v>Curncy</v>
          </cell>
          <cell r="AL234" t="str">
            <v>TENOR-BASIS</v>
          </cell>
          <cell r="AM234" t="str">
            <v>8Y</v>
          </cell>
          <cell r="AN234" t="b">
            <v>1</v>
          </cell>
          <cell r="AP234" t="str">
            <v>BPBS8 ICPL Curncy</v>
          </cell>
          <cell r="AQ234" t="str">
            <v>BPBS8</v>
          </cell>
          <cell r="AR234" t="str">
            <v>ICPL</v>
          </cell>
          <cell r="AS234" t="str">
            <v>Curncy</v>
          </cell>
          <cell r="AT234" t="str">
            <v>XCCY-BASIS</v>
          </cell>
          <cell r="AU234" t="str">
            <v>8Y</v>
          </cell>
          <cell r="AV234" t="b">
            <v>1</v>
          </cell>
        </row>
        <row r="235">
          <cell r="B235" t="str">
            <v>BPSWSF BGN Curncy</v>
          </cell>
          <cell r="C235" t="str">
            <v>BPSWSF</v>
          </cell>
          <cell r="D235" t="str">
            <v>BGN</v>
          </cell>
          <cell r="E235" t="str">
            <v>Curncy</v>
          </cell>
          <cell r="F235" t="str">
            <v>OIS</v>
          </cell>
          <cell r="G235" t="str">
            <v>6M</v>
          </cell>
          <cell r="H235" t="b">
            <v>1</v>
          </cell>
          <cell r="J235" t="str">
            <v>BPFR011F ICPL Curncy</v>
          </cell>
          <cell r="K235" t="str">
            <v>BPFR011F</v>
          </cell>
          <cell r="L235" t="str">
            <v>ICPL</v>
          </cell>
          <cell r="M235" t="str">
            <v>Curncy</v>
          </cell>
          <cell r="N235" t="str">
            <v>FRA</v>
          </cell>
          <cell r="O235" t="str">
            <v>12X18</v>
          </cell>
          <cell r="P235" t="b">
            <v>1</v>
          </cell>
          <cell r="R235" t="str">
            <v>BPSFVC9 ICPL Curncy</v>
          </cell>
          <cell r="S235" t="str">
            <v>BPSFVC9</v>
          </cell>
          <cell r="T235" t="str">
            <v>ICPL</v>
          </cell>
          <cell r="U235" t="str">
            <v>Curncy</v>
          </cell>
          <cell r="V235" t="str">
            <v>TENOR-BASIS</v>
          </cell>
          <cell r="W235" t="str">
            <v>9Y</v>
          </cell>
          <cell r="X235" t="b">
            <v>1</v>
          </cell>
          <cell r="Z235" t="str">
            <v>BPSFVA9 ICPL Curncy</v>
          </cell>
          <cell r="AA235" t="str">
            <v>BPSFVA9</v>
          </cell>
          <cell r="AB235" t="str">
            <v>ICPL</v>
          </cell>
          <cell r="AC235" t="str">
            <v>Curncy</v>
          </cell>
          <cell r="AD235" t="str">
            <v>TENOR-BASIS</v>
          </cell>
          <cell r="AE235" t="str">
            <v>9Y</v>
          </cell>
          <cell r="AF235" t="b">
            <v>1</v>
          </cell>
          <cell r="AH235" t="str">
            <v>BPSIVF9 ICPL Curncy</v>
          </cell>
          <cell r="AI235" t="str">
            <v>BPSIVF9</v>
          </cell>
          <cell r="AJ235" t="str">
            <v>ICPL</v>
          </cell>
          <cell r="AK235" t="str">
            <v>Curncy</v>
          </cell>
          <cell r="AL235" t="str">
            <v>TENOR-BASIS</v>
          </cell>
          <cell r="AM235" t="str">
            <v>9Y</v>
          </cell>
          <cell r="AN235" t="b">
            <v>1</v>
          </cell>
          <cell r="AP235" t="str">
            <v>BPBS9 ICPL Curncy</v>
          </cell>
          <cell r="AQ235" t="str">
            <v>BPBS9</v>
          </cell>
          <cell r="AR235" t="str">
            <v>ICPL</v>
          </cell>
          <cell r="AS235" t="str">
            <v>Curncy</v>
          </cell>
          <cell r="AT235" t="str">
            <v>XCCY-BASIS</v>
          </cell>
          <cell r="AU235" t="str">
            <v>9Y</v>
          </cell>
          <cell r="AV235" t="b">
            <v>1</v>
          </cell>
        </row>
        <row r="236">
          <cell r="B236" t="str">
            <v>BPSWSG BGN Curncy</v>
          </cell>
          <cell r="C236" t="str">
            <v>BPSWSG</v>
          </cell>
          <cell r="D236" t="str">
            <v>BGN</v>
          </cell>
          <cell r="E236" t="str">
            <v>Curncy</v>
          </cell>
          <cell r="F236" t="str">
            <v>OIS</v>
          </cell>
          <cell r="G236" t="str">
            <v>7M</v>
          </cell>
          <cell r="H236" t="b">
            <v>0</v>
          </cell>
          <cell r="J236" t="str">
            <v>BPSW2 ICPL Curncy</v>
          </cell>
          <cell r="K236" t="str">
            <v>BPSW2</v>
          </cell>
          <cell r="L236" t="str">
            <v>ICPL</v>
          </cell>
          <cell r="M236" t="str">
            <v>Curncy</v>
          </cell>
          <cell r="N236" t="str">
            <v>SWAP</v>
          </cell>
          <cell r="O236" t="str">
            <v>2Y</v>
          </cell>
          <cell r="P236" t="b">
            <v>1</v>
          </cell>
          <cell r="R236" t="str">
            <v>BPSFVC10 ICPL Curncy</v>
          </cell>
          <cell r="S236" t="str">
            <v>BPSFVC10</v>
          </cell>
          <cell r="T236" t="str">
            <v>ICPL</v>
          </cell>
          <cell r="U236" t="str">
            <v>Curncy</v>
          </cell>
          <cell r="V236" t="str">
            <v>TENOR-BASIS</v>
          </cell>
          <cell r="W236" t="str">
            <v>10Y</v>
          </cell>
          <cell r="X236" t="b">
            <v>1</v>
          </cell>
          <cell r="Z236" t="str">
            <v>BPSFVA10 ICPL Curncy</v>
          </cell>
          <cell r="AA236" t="str">
            <v>BPSFVA10</v>
          </cell>
          <cell r="AB236" t="str">
            <v>ICPL</v>
          </cell>
          <cell r="AC236" t="str">
            <v>Curncy</v>
          </cell>
          <cell r="AD236" t="str">
            <v>TENOR-BASIS</v>
          </cell>
          <cell r="AE236" t="str">
            <v>10Y</v>
          </cell>
          <cell r="AF236" t="b">
            <v>1</v>
          </cell>
          <cell r="AH236" t="str">
            <v>BPSIVF10 ICPL Curncy</v>
          </cell>
          <cell r="AI236" t="str">
            <v>BPSIVF10</v>
          </cell>
          <cell r="AJ236" t="str">
            <v>ICPL</v>
          </cell>
          <cell r="AK236" t="str">
            <v>Curncy</v>
          </cell>
          <cell r="AL236" t="str">
            <v>TENOR-BASIS</v>
          </cell>
          <cell r="AM236" t="str">
            <v>10Y</v>
          </cell>
          <cell r="AN236" t="b">
            <v>1</v>
          </cell>
          <cell r="AP236" t="str">
            <v>BPBS10 ICPL Curncy</v>
          </cell>
          <cell r="AQ236" t="str">
            <v>BPBS10</v>
          </cell>
          <cell r="AR236" t="str">
            <v>ICPL</v>
          </cell>
          <cell r="AS236" t="str">
            <v>Curncy</v>
          </cell>
          <cell r="AT236" t="str">
            <v>XCCY-BASIS</v>
          </cell>
          <cell r="AU236" t="str">
            <v>10Y</v>
          </cell>
          <cell r="AV236" t="b">
            <v>1</v>
          </cell>
        </row>
        <row r="237">
          <cell r="B237" t="str">
            <v>BPSWSH BGN Curncy</v>
          </cell>
          <cell r="C237" t="str">
            <v>BPSWSH</v>
          </cell>
          <cell r="D237" t="str">
            <v>BGN</v>
          </cell>
          <cell r="E237" t="str">
            <v>Curncy</v>
          </cell>
          <cell r="F237" t="str">
            <v>OIS</v>
          </cell>
          <cell r="G237" t="str">
            <v>8M</v>
          </cell>
          <cell r="H237" t="b">
            <v>0</v>
          </cell>
          <cell r="J237" t="str">
            <v>BPSW3 ICPL Curncy</v>
          </cell>
          <cell r="K237" t="str">
            <v>BPSW3</v>
          </cell>
          <cell r="L237" t="str">
            <v>ICPL</v>
          </cell>
          <cell r="M237" t="str">
            <v>Curncy</v>
          </cell>
          <cell r="N237" t="str">
            <v>SWAP</v>
          </cell>
          <cell r="O237" t="str">
            <v>3Y</v>
          </cell>
          <cell r="P237" t="b">
            <v>1</v>
          </cell>
          <cell r="R237" t="str">
            <v>BPSFVC11 ICPL Curncy</v>
          </cell>
          <cell r="S237" t="str">
            <v>BPSFVC11</v>
          </cell>
          <cell r="T237" t="str">
            <v>ICPL</v>
          </cell>
          <cell r="U237" t="str">
            <v>Curncy</v>
          </cell>
          <cell r="V237" t="str">
            <v>TENOR-BASIS</v>
          </cell>
          <cell r="W237" t="str">
            <v>11Y</v>
          </cell>
          <cell r="X237" t="b">
            <v>1</v>
          </cell>
          <cell r="Z237" t="str">
            <v>BPSFVA12 ICPL Curncy</v>
          </cell>
          <cell r="AA237" t="str">
            <v>BPSFVA12</v>
          </cell>
          <cell r="AB237" t="str">
            <v>ICPL</v>
          </cell>
          <cell r="AC237" t="str">
            <v>Curncy</v>
          </cell>
          <cell r="AD237" t="str">
            <v>TENOR-BASIS</v>
          </cell>
          <cell r="AE237" t="str">
            <v>12Y</v>
          </cell>
          <cell r="AF237" t="b">
            <v>1</v>
          </cell>
          <cell r="AH237" t="str">
            <v>BPSIVF12 ICPL Curncy</v>
          </cell>
          <cell r="AI237" t="str">
            <v>BPSIVF12</v>
          </cell>
          <cell r="AJ237" t="str">
            <v>ICPL</v>
          </cell>
          <cell r="AK237" t="str">
            <v>Curncy</v>
          </cell>
          <cell r="AL237" t="str">
            <v>TENOR-BASIS</v>
          </cell>
          <cell r="AM237" t="str">
            <v>12Y</v>
          </cell>
          <cell r="AN237" t="b">
            <v>1</v>
          </cell>
          <cell r="AP237" t="str">
            <v>BPBS11 ICPL Curncy</v>
          </cell>
          <cell r="AQ237" t="str">
            <v>BPBS11</v>
          </cell>
          <cell r="AR237" t="str">
            <v>ICPL</v>
          </cell>
          <cell r="AS237" t="str">
            <v>Curncy</v>
          </cell>
          <cell r="AT237" t="str">
            <v>XCCY-BASIS</v>
          </cell>
          <cell r="AU237" t="str">
            <v>11Y</v>
          </cell>
          <cell r="AV237" t="b">
            <v>1</v>
          </cell>
        </row>
        <row r="238">
          <cell r="B238" t="str">
            <v>BPSWSI BGN Curncy</v>
          </cell>
          <cell r="C238" t="str">
            <v>BPSWSI</v>
          </cell>
          <cell r="D238" t="str">
            <v>BGN</v>
          </cell>
          <cell r="E238" t="str">
            <v>Curncy</v>
          </cell>
          <cell r="F238" t="str">
            <v>OIS</v>
          </cell>
          <cell r="G238" t="str">
            <v>9M</v>
          </cell>
          <cell r="H238" t="b">
            <v>0</v>
          </cell>
          <cell r="J238" t="str">
            <v>BPSW4 ICPL Curncy</v>
          </cell>
          <cell r="K238" t="str">
            <v>BPSW4</v>
          </cell>
          <cell r="L238" t="str">
            <v>ICPL</v>
          </cell>
          <cell r="M238" t="str">
            <v>Curncy</v>
          </cell>
          <cell r="N238" t="str">
            <v>SWAP</v>
          </cell>
          <cell r="O238" t="str">
            <v>4Y</v>
          </cell>
          <cell r="P238" t="b">
            <v>1</v>
          </cell>
          <cell r="R238" t="str">
            <v>BPSFVC12 ICPL Curncy</v>
          </cell>
          <cell r="S238" t="str">
            <v>BPSFVC12</v>
          </cell>
          <cell r="T238" t="str">
            <v>ICPL</v>
          </cell>
          <cell r="U238" t="str">
            <v>Curncy</v>
          </cell>
          <cell r="V238" t="str">
            <v>TENOR-BASIS</v>
          </cell>
          <cell r="W238" t="str">
            <v>12Y</v>
          </cell>
          <cell r="X238" t="b">
            <v>1</v>
          </cell>
          <cell r="Z238" t="str">
            <v>BPSFVA15 ICPL Curncy</v>
          </cell>
          <cell r="AA238" t="str">
            <v>BPSFVA15</v>
          </cell>
          <cell r="AB238" t="str">
            <v>ICPL</v>
          </cell>
          <cell r="AC238" t="str">
            <v>Curncy</v>
          </cell>
          <cell r="AD238" t="str">
            <v>TENOR-BASIS</v>
          </cell>
          <cell r="AE238" t="str">
            <v>15Y</v>
          </cell>
          <cell r="AF238" t="b">
            <v>1</v>
          </cell>
          <cell r="AH238" t="str">
            <v>BPSIVF15 ICPL Curncy</v>
          </cell>
          <cell r="AI238" t="str">
            <v>BPSIVF15</v>
          </cell>
          <cell r="AJ238" t="str">
            <v>ICPL</v>
          </cell>
          <cell r="AK238" t="str">
            <v>Curncy</v>
          </cell>
          <cell r="AL238" t="str">
            <v>TENOR-BASIS</v>
          </cell>
          <cell r="AM238" t="str">
            <v>15Y</v>
          </cell>
          <cell r="AN238" t="b">
            <v>1</v>
          </cell>
          <cell r="AP238" t="str">
            <v>BPBS12 ICPL Curncy</v>
          </cell>
          <cell r="AQ238" t="str">
            <v>BPBS12</v>
          </cell>
          <cell r="AR238" t="str">
            <v>ICPL</v>
          </cell>
          <cell r="AS238" t="str">
            <v>Curncy</v>
          </cell>
          <cell r="AT238" t="str">
            <v>XCCY-BASIS</v>
          </cell>
          <cell r="AU238" t="str">
            <v>12Y</v>
          </cell>
          <cell r="AV238" t="b">
            <v>1</v>
          </cell>
        </row>
        <row r="239">
          <cell r="B239" t="str">
            <v>BPSWSJ BGN Curncy</v>
          </cell>
          <cell r="C239" t="str">
            <v>BPSWSJ</v>
          </cell>
          <cell r="D239" t="str">
            <v>BGN</v>
          </cell>
          <cell r="E239" t="str">
            <v>Curncy</v>
          </cell>
          <cell r="F239" t="str">
            <v>OIS</v>
          </cell>
          <cell r="G239" t="str">
            <v>10M</v>
          </cell>
          <cell r="H239" t="b">
            <v>0</v>
          </cell>
          <cell r="J239" t="str">
            <v>BPSW5 ICPL Curncy</v>
          </cell>
          <cell r="K239" t="str">
            <v>BPSW5</v>
          </cell>
          <cell r="L239" t="str">
            <v>ICPL</v>
          </cell>
          <cell r="M239" t="str">
            <v>Curncy</v>
          </cell>
          <cell r="N239" t="str">
            <v>SWAP</v>
          </cell>
          <cell r="O239" t="str">
            <v>5Y</v>
          </cell>
          <cell r="P239" t="b">
            <v>1</v>
          </cell>
          <cell r="R239" t="str">
            <v>BPSFVC15 ICPL Curncy</v>
          </cell>
          <cell r="S239" t="str">
            <v>BPSFVC15</v>
          </cell>
          <cell r="T239" t="str">
            <v>ICPL</v>
          </cell>
          <cell r="U239" t="str">
            <v>Curncy</v>
          </cell>
          <cell r="V239" t="str">
            <v>TENOR-BASIS</v>
          </cell>
          <cell r="W239" t="str">
            <v>15Y</v>
          </cell>
          <cell r="X239" t="b">
            <v>1</v>
          </cell>
          <cell r="Z239" t="str">
            <v>BPSFVA20 ICPL Curncy</v>
          </cell>
          <cell r="AA239" t="str">
            <v>BPSFVA20</v>
          </cell>
          <cell r="AB239" t="str">
            <v>ICPL</v>
          </cell>
          <cell r="AC239" t="str">
            <v>Curncy</v>
          </cell>
          <cell r="AD239" t="str">
            <v>TENOR-BASIS</v>
          </cell>
          <cell r="AE239" t="str">
            <v>20Y</v>
          </cell>
          <cell r="AF239" t="b">
            <v>1</v>
          </cell>
          <cell r="AH239" t="str">
            <v>BPSIVF20 ICPL Curncy</v>
          </cell>
          <cell r="AI239" t="str">
            <v>BPSIVF20</v>
          </cell>
          <cell r="AJ239" t="str">
            <v>ICPL</v>
          </cell>
          <cell r="AK239" t="str">
            <v>Curncy</v>
          </cell>
          <cell r="AL239" t="str">
            <v>TENOR-BASIS</v>
          </cell>
          <cell r="AM239" t="str">
            <v>20Y</v>
          </cell>
          <cell r="AN239" t="b">
            <v>1</v>
          </cell>
          <cell r="AP239" t="str">
            <v>BPBS13 ICPL Curncy</v>
          </cell>
          <cell r="AQ239" t="str">
            <v>BPBS13</v>
          </cell>
          <cell r="AR239" t="str">
            <v>ICPL</v>
          </cell>
          <cell r="AS239" t="str">
            <v>Curncy</v>
          </cell>
          <cell r="AT239" t="str">
            <v>XCCY-BASIS</v>
          </cell>
          <cell r="AU239" t="str">
            <v>13Y</v>
          </cell>
          <cell r="AV239" t="b">
            <v>1</v>
          </cell>
        </row>
        <row r="240">
          <cell r="B240" t="str">
            <v>BPSWSK BGN Curncy</v>
          </cell>
          <cell r="C240" t="str">
            <v>BPSWSK</v>
          </cell>
          <cell r="D240" t="str">
            <v>BGN</v>
          </cell>
          <cell r="E240" t="str">
            <v>Curncy</v>
          </cell>
          <cell r="F240" t="str">
            <v>OIS</v>
          </cell>
          <cell r="G240" t="str">
            <v>11M</v>
          </cell>
          <cell r="H240" t="b">
            <v>0</v>
          </cell>
          <cell r="J240" t="str">
            <v>BPSW6 ICPL Curncy</v>
          </cell>
          <cell r="K240" t="str">
            <v>BPSW6</v>
          </cell>
          <cell r="L240" t="str">
            <v>ICPL</v>
          </cell>
          <cell r="M240" t="str">
            <v>Curncy</v>
          </cell>
          <cell r="N240" t="str">
            <v>SWAP</v>
          </cell>
          <cell r="O240" t="str">
            <v>6Y</v>
          </cell>
          <cell r="P240" t="b">
            <v>1</v>
          </cell>
          <cell r="R240" t="str">
            <v>BPSFVC20 ICPL Curncy</v>
          </cell>
          <cell r="S240" t="str">
            <v>BPSFVC20</v>
          </cell>
          <cell r="T240" t="str">
            <v>ICPL</v>
          </cell>
          <cell r="U240" t="str">
            <v>Curncy</v>
          </cell>
          <cell r="V240" t="str">
            <v>TENOR-BASIS</v>
          </cell>
          <cell r="W240" t="str">
            <v>20Y</v>
          </cell>
          <cell r="X240" t="b">
            <v>1</v>
          </cell>
          <cell r="Z240" t="str">
            <v>BPSFVA25 ICPL Curncy</v>
          </cell>
          <cell r="AA240" t="str">
            <v>BPSFVA25</v>
          </cell>
          <cell r="AB240" t="str">
            <v>ICPL</v>
          </cell>
          <cell r="AC240" t="str">
            <v>Curncy</v>
          </cell>
          <cell r="AD240" t="str">
            <v>TENOR-BASIS</v>
          </cell>
          <cell r="AE240" t="str">
            <v>25Y</v>
          </cell>
          <cell r="AF240" t="b">
            <v>1</v>
          </cell>
          <cell r="AH240" t="str">
            <v>BPSIVF25 ICPL Curncy</v>
          </cell>
          <cell r="AI240" t="str">
            <v>BPSIVF25</v>
          </cell>
          <cell r="AJ240" t="str">
            <v>ICPL</v>
          </cell>
          <cell r="AK240" t="str">
            <v>Curncy</v>
          </cell>
          <cell r="AL240" t="str">
            <v>TENOR-BASIS</v>
          </cell>
          <cell r="AM240" t="str">
            <v>25Y</v>
          </cell>
          <cell r="AN240" t="b">
            <v>1</v>
          </cell>
          <cell r="AP240" t="str">
            <v>BPBS14 ICPL Curncy</v>
          </cell>
          <cell r="AQ240" t="str">
            <v>BPBS14</v>
          </cell>
          <cell r="AR240" t="str">
            <v>ICPL</v>
          </cell>
          <cell r="AS240" t="str">
            <v>Curncy</v>
          </cell>
          <cell r="AT240" t="str">
            <v>XCCY-BASIS</v>
          </cell>
          <cell r="AU240" t="str">
            <v>14Y</v>
          </cell>
          <cell r="AV240" t="b">
            <v>1</v>
          </cell>
        </row>
        <row r="241">
          <cell r="B241" t="str">
            <v>BPSWS1 BGN Curncy</v>
          </cell>
          <cell r="C241" t="str">
            <v>BPSWS1</v>
          </cell>
          <cell r="D241" t="str">
            <v>BGN</v>
          </cell>
          <cell r="E241" t="str">
            <v>Curncy</v>
          </cell>
          <cell r="F241" t="str">
            <v>OIS</v>
          </cell>
          <cell r="G241" t="str">
            <v>1Y</v>
          </cell>
          <cell r="H241" t="b">
            <v>1</v>
          </cell>
          <cell r="J241" t="str">
            <v>BPSW7 ICPL Curncy</v>
          </cell>
          <cell r="K241" t="str">
            <v>BPSW7</v>
          </cell>
          <cell r="L241" t="str">
            <v>ICPL</v>
          </cell>
          <cell r="M241" t="str">
            <v>Curncy</v>
          </cell>
          <cell r="N241" t="str">
            <v>SWAP</v>
          </cell>
          <cell r="O241" t="str">
            <v>7Y</v>
          </cell>
          <cell r="P241" t="b">
            <v>1</v>
          </cell>
          <cell r="R241" t="str">
            <v>BPSFVC25 ICPL Curncy</v>
          </cell>
          <cell r="S241" t="str">
            <v>BPSFVC25</v>
          </cell>
          <cell r="T241" t="str">
            <v>ICPL</v>
          </cell>
          <cell r="U241" t="str">
            <v>Curncy</v>
          </cell>
          <cell r="V241" t="str">
            <v>TENOR-BASIS</v>
          </cell>
          <cell r="W241" t="str">
            <v>25Y</v>
          </cell>
          <cell r="X241" t="b">
            <v>1</v>
          </cell>
          <cell r="Z241" t="str">
            <v>BPSFVA30 ICPL Curncy</v>
          </cell>
          <cell r="AA241" t="str">
            <v>BPSFVA30</v>
          </cell>
          <cell r="AB241" t="str">
            <v>ICPL</v>
          </cell>
          <cell r="AC241" t="str">
            <v>Curncy</v>
          </cell>
          <cell r="AD241" t="str">
            <v>TENOR-BASIS</v>
          </cell>
          <cell r="AE241" t="str">
            <v>30Y</v>
          </cell>
          <cell r="AF241" t="b">
            <v>1</v>
          </cell>
          <cell r="AH241" t="str">
            <v>BPSIVF30 ICPL Curncy</v>
          </cell>
          <cell r="AI241" t="str">
            <v>BPSIVF30</v>
          </cell>
          <cell r="AJ241" t="str">
            <v>ICPL</v>
          </cell>
          <cell r="AK241" t="str">
            <v>Curncy</v>
          </cell>
          <cell r="AL241" t="str">
            <v>TENOR-BASIS</v>
          </cell>
          <cell r="AM241" t="str">
            <v>30Y</v>
          </cell>
          <cell r="AN241" t="b">
            <v>1</v>
          </cell>
          <cell r="AP241" t="str">
            <v>BPBS15 ICPL Curncy</v>
          </cell>
          <cell r="AQ241" t="str">
            <v>BPBS15</v>
          </cell>
          <cell r="AR241" t="str">
            <v>ICPL</v>
          </cell>
          <cell r="AS241" t="str">
            <v>Curncy</v>
          </cell>
          <cell r="AT241" t="str">
            <v>XCCY-BASIS</v>
          </cell>
          <cell r="AU241" t="str">
            <v>15Y</v>
          </cell>
          <cell r="AV241" t="b">
            <v>1</v>
          </cell>
        </row>
        <row r="242">
          <cell r="B242" t="str">
            <v>BPSWS1F BGN Curncy</v>
          </cell>
          <cell r="C242" t="str">
            <v>BPSWS1F</v>
          </cell>
          <cell r="D242" t="str">
            <v>BGN</v>
          </cell>
          <cell r="E242" t="str">
            <v>Curncy</v>
          </cell>
          <cell r="F242" t="str">
            <v>OIS</v>
          </cell>
          <cell r="G242" t="str">
            <v>18M</v>
          </cell>
          <cell r="H242" t="b">
            <v>0</v>
          </cell>
          <cell r="J242" t="str">
            <v>BPSW8 ICPL Curncy</v>
          </cell>
          <cell r="K242" t="str">
            <v>BPSW8</v>
          </cell>
          <cell r="L242" t="str">
            <v>ICPL</v>
          </cell>
          <cell r="M242" t="str">
            <v>Curncy</v>
          </cell>
          <cell r="N242" t="str">
            <v>SWAP</v>
          </cell>
          <cell r="O242" t="str">
            <v>8Y</v>
          </cell>
          <cell r="P242" t="b">
            <v>1</v>
          </cell>
          <cell r="R242" t="str">
            <v>BPSFVC30 ICPL Curncy</v>
          </cell>
          <cell r="S242" t="str">
            <v>BPSFVC30</v>
          </cell>
          <cell r="T242" t="str">
            <v>ICPL</v>
          </cell>
          <cell r="U242" t="str">
            <v>Curncy</v>
          </cell>
          <cell r="V242" t="str">
            <v>TENOR-BASIS</v>
          </cell>
          <cell r="W242" t="str">
            <v>30Y</v>
          </cell>
          <cell r="X242" t="b">
            <v>1</v>
          </cell>
          <cell r="Z242" t="str">
            <v>BPSFVA40 ICPL Curncy</v>
          </cell>
          <cell r="AA242" t="str">
            <v>BPSFVA40</v>
          </cell>
          <cell r="AB242" t="str">
            <v>ICPL</v>
          </cell>
          <cell r="AC242" t="str">
            <v>Curncy</v>
          </cell>
          <cell r="AD242" t="str">
            <v>TENOR-BASIS</v>
          </cell>
          <cell r="AE242" t="str">
            <v>40Y</v>
          </cell>
          <cell r="AF242" t="b">
            <v>1</v>
          </cell>
          <cell r="AH242" t="str">
            <v>BPSIVF40 ICPL Curncy</v>
          </cell>
          <cell r="AI242" t="str">
            <v>BPSIVF40</v>
          </cell>
          <cell r="AJ242" t="str">
            <v>ICPL</v>
          </cell>
          <cell r="AK242" t="str">
            <v>Curncy</v>
          </cell>
          <cell r="AL242" t="str">
            <v>TENOR-BASIS</v>
          </cell>
          <cell r="AM242" t="str">
            <v>40Y</v>
          </cell>
          <cell r="AN242" t="b">
            <v>1</v>
          </cell>
          <cell r="AP242" t="str">
            <v>BPBS20 ICPL Curncy</v>
          </cell>
          <cell r="AQ242" t="str">
            <v>BPBS20</v>
          </cell>
          <cell r="AR242" t="str">
            <v>ICPL</v>
          </cell>
          <cell r="AS242" t="str">
            <v>Curncy</v>
          </cell>
          <cell r="AT242" t="str">
            <v>XCCY-BASIS</v>
          </cell>
          <cell r="AU242" t="str">
            <v>20Y</v>
          </cell>
          <cell r="AV242" t="b">
            <v>1</v>
          </cell>
        </row>
        <row r="243">
          <cell r="B243" t="str">
            <v>BPSWS2 BGN Curncy</v>
          </cell>
          <cell r="C243" t="str">
            <v>BPSWS2</v>
          </cell>
          <cell r="D243" t="str">
            <v>BGN</v>
          </cell>
          <cell r="E243" t="str">
            <v>Curncy</v>
          </cell>
          <cell r="F243" t="str">
            <v>OIS</v>
          </cell>
          <cell r="G243" t="str">
            <v>2Y</v>
          </cell>
          <cell r="H243" t="b">
            <v>0</v>
          </cell>
          <cell r="J243" t="str">
            <v>BPSW9 ICPL Curncy</v>
          </cell>
          <cell r="K243" t="str">
            <v>BPSW9</v>
          </cell>
          <cell r="L243" t="str">
            <v>ICPL</v>
          </cell>
          <cell r="M243" t="str">
            <v>Curncy</v>
          </cell>
          <cell r="N243" t="str">
            <v>SWAP</v>
          </cell>
          <cell r="O243" t="str">
            <v>9Y</v>
          </cell>
          <cell r="P243" t="b">
            <v>1</v>
          </cell>
          <cell r="R243" t="str">
            <v>BPSFVC40 ICPL Curncy</v>
          </cell>
          <cell r="S243" t="str">
            <v>BPSFVC40</v>
          </cell>
          <cell r="T243" t="str">
            <v>ICPL</v>
          </cell>
          <cell r="U243" t="str">
            <v>Curncy</v>
          </cell>
          <cell r="V243" t="str">
            <v>TENOR-BASIS</v>
          </cell>
          <cell r="W243" t="str">
            <v>40Y</v>
          </cell>
          <cell r="X243" t="b">
            <v>1</v>
          </cell>
          <cell r="Z243" t="str">
            <v>BPSFVA50 ICPL Curncy</v>
          </cell>
          <cell r="AA243" t="str">
            <v>BPSFVA50</v>
          </cell>
          <cell r="AB243" t="str">
            <v>ICPL</v>
          </cell>
          <cell r="AC243" t="str">
            <v>Curncy</v>
          </cell>
          <cell r="AD243" t="str">
            <v>TENOR-BASIS</v>
          </cell>
          <cell r="AE243" t="str">
            <v>50Y</v>
          </cell>
          <cell r="AF243" t="b">
            <v>1</v>
          </cell>
          <cell r="AH243" t="str">
            <v>BPSIVF50 ICPL Curncy</v>
          </cell>
          <cell r="AI243" t="str">
            <v>BPSIVF50</v>
          </cell>
          <cell r="AJ243" t="str">
            <v>ICPL</v>
          </cell>
          <cell r="AK243" t="str">
            <v>Curncy</v>
          </cell>
          <cell r="AL243" t="str">
            <v>TENOR-BASIS</v>
          </cell>
          <cell r="AM243" t="str">
            <v>50Y</v>
          </cell>
          <cell r="AN243" t="b">
            <v>1</v>
          </cell>
          <cell r="AP243" t="str">
            <v>BPBS25 ICPL Curncy</v>
          </cell>
          <cell r="AQ243" t="str">
            <v>BPBS25</v>
          </cell>
          <cell r="AR243" t="str">
            <v>ICPL</v>
          </cell>
          <cell r="AS243" t="str">
            <v>Curncy</v>
          </cell>
          <cell r="AT243" t="str">
            <v>XCCY-BASIS</v>
          </cell>
          <cell r="AU243" t="str">
            <v>25Y</v>
          </cell>
          <cell r="AV243" t="b">
            <v>1</v>
          </cell>
        </row>
        <row r="244">
          <cell r="B244" t="str">
            <v>BPSWS3 BGN Curncy</v>
          </cell>
          <cell r="C244" t="str">
            <v>BPSWS3</v>
          </cell>
          <cell r="D244" t="str">
            <v>BGN</v>
          </cell>
          <cell r="E244" t="str">
            <v>Curncy</v>
          </cell>
          <cell r="F244" t="str">
            <v>OIS</v>
          </cell>
          <cell r="G244" t="str">
            <v>3Y</v>
          </cell>
          <cell r="H244" t="b">
            <v>1</v>
          </cell>
          <cell r="J244" t="str">
            <v>BPSW10 ICPL Curncy</v>
          </cell>
          <cell r="K244" t="str">
            <v>BPSW10</v>
          </cell>
          <cell r="L244" t="str">
            <v>ICPL</v>
          </cell>
          <cell r="M244" t="str">
            <v>Curncy</v>
          </cell>
          <cell r="N244" t="str">
            <v>SWAP</v>
          </cell>
          <cell r="O244" t="str">
            <v>10Y</v>
          </cell>
          <cell r="P244" t="b">
            <v>1</v>
          </cell>
          <cell r="R244" t="str">
            <v>BPSFVC50 ICPL Curncy</v>
          </cell>
          <cell r="S244" t="str">
            <v>BPSFVC50</v>
          </cell>
          <cell r="T244" t="str">
            <v>ICPL</v>
          </cell>
          <cell r="U244" t="str">
            <v>Curncy</v>
          </cell>
          <cell r="V244" t="str">
            <v>TENOR-BASIS</v>
          </cell>
          <cell r="W244" t="str">
            <v>50Y</v>
          </cell>
          <cell r="X244" t="b">
            <v>1</v>
          </cell>
          <cell r="Z244" t="str">
            <v xml:space="preserve">  </v>
          </cell>
          <cell r="AH244" t="str">
            <v xml:space="preserve">  </v>
          </cell>
          <cell r="AP244" t="str">
            <v>BPBS30 ICPL Curncy</v>
          </cell>
          <cell r="AQ244" t="str">
            <v>BPBS30</v>
          </cell>
          <cell r="AR244" t="str">
            <v>ICPL</v>
          </cell>
          <cell r="AS244" t="str">
            <v>Curncy</v>
          </cell>
          <cell r="AT244" t="str">
            <v>XCCY-BASIS</v>
          </cell>
          <cell r="AU244" t="str">
            <v>30Y</v>
          </cell>
          <cell r="AV244" t="b">
            <v>1</v>
          </cell>
        </row>
        <row r="245">
          <cell r="B245" t="str">
            <v>BPSWS4 BGN Curncy</v>
          </cell>
          <cell r="C245" t="str">
            <v>BPSWS4</v>
          </cell>
          <cell r="D245" t="str">
            <v>BGN</v>
          </cell>
          <cell r="E245" t="str">
            <v>Curncy</v>
          </cell>
          <cell r="F245" t="str">
            <v>OIS</v>
          </cell>
          <cell r="G245" t="str">
            <v>4Y</v>
          </cell>
          <cell r="H245" t="b">
            <v>1</v>
          </cell>
          <cell r="J245" t="str">
            <v>BPSW12 ICPL Curncy</v>
          </cell>
          <cell r="K245" t="str">
            <v>BPSW12</v>
          </cell>
          <cell r="L245" t="str">
            <v>ICPL</v>
          </cell>
          <cell r="M245" t="str">
            <v>Curncy</v>
          </cell>
          <cell r="N245" t="str">
            <v>SWAP</v>
          </cell>
          <cell r="O245" t="str">
            <v>12Y</v>
          </cell>
          <cell r="P245" t="b">
            <v>1</v>
          </cell>
          <cell r="R245" t="str">
            <v xml:space="preserve">  </v>
          </cell>
          <cell r="Z245" t="str">
            <v xml:space="preserve">  </v>
          </cell>
          <cell r="AH245" t="str">
            <v xml:space="preserve">  </v>
          </cell>
          <cell r="AP245" t="str">
            <v xml:space="preserve">  </v>
          </cell>
        </row>
        <row r="246">
          <cell r="B246" t="str">
            <v>BPSWS5 BGN Curncy</v>
          </cell>
          <cell r="C246" t="str">
            <v>BPSWS5</v>
          </cell>
          <cell r="D246" t="str">
            <v>BGN</v>
          </cell>
          <cell r="E246" t="str">
            <v>Curncy</v>
          </cell>
          <cell r="F246" t="str">
            <v>OIS</v>
          </cell>
          <cell r="G246" t="str">
            <v>5Y</v>
          </cell>
          <cell r="H246" t="b">
            <v>1</v>
          </cell>
          <cell r="J246" t="str">
            <v>BPSW15 ICPL Curncy</v>
          </cell>
          <cell r="K246" t="str">
            <v>BPSW15</v>
          </cell>
          <cell r="L246" t="str">
            <v>ICPL</v>
          </cell>
          <cell r="M246" t="str">
            <v>Curncy</v>
          </cell>
          <cell r="N246" t="str">
            <v>SWAP</v>
          </cell>
          <cell r="O246" t="str">
            <v>15Y</v>
          </cell>
          <cell r="P246" t="b">
            <v>1</v>
          </cell>
          <cell r="R246" t="str">
            <v xml:space="preserve">  </v>
          </cell>
          <cell r="Z246" t="str">
            <v xml:space="preserve">  </v>
          </cell>
          <cell r="AH246" t="str">
            <v xml:space="preserve">  </v>
          </cell>
          <cell r="AP246" t="str">
            <v xml:space="preserve">  </v>
          </cell>
        </row>
        <row r="247">
          <cell r="B247" t="str">
            <v>BPSWS6 BGN Curncy</v>
          </cell>
          <cell r="C247" t="str">
            <v>BPSWS6</v>
          </cell>
          <cell r="D247" t="str">
            <v>BGN</v>
          </cell>
          <cell r="E247" t="str">
            <v>Curncy</v>
          </cell>
          <cell r="F247" t="str">
            <v>OIS</v>
          </cell>
          <cell r="G247" t="str">
            <v>6Y</v>
          </cell>
          <cell r="H247" t="b">
            <v>1</v>
          </cell>
          <cell r="J247" t="str">
            <v>BPSW20 ICPL Curncy</v>
          </cell>
          <cell r="K247" t="str">
            <v>BPSW20</v>
          </cell>
          <cell r="L247" t="str">
            <v>ICPL</v>
          </cell>
          <cell r="M247" t="str">
            <v>Curncy</v>
          </cell>
          <cell r="N247" t="str">
            <v>SWAP</v>
          </cell>
          <cell r="O247" t="str">
            <v>20Y</v>
          </cell>
          <cell r="P247" t="b">
            <v>1</v>
          </cell>
          <cell r="R247" t="str">
            <v xml:space="preserve">  </v>
          </cell>
          <cell r="Z247" t="str">
            <v xml:space="preserve">  </v>
          </cell>
          <cell r="AH247" t="str">
            <v xml:space="preserve">  </v>
          </cell>
          <cell r="AP247" t="str">
            <v xml:space="preserve">  </v>
          </cell>
        </row>
        <row r="248">
          <cell r="B248" t="str">
            <v>BPSWS7 BGN Curncy</v>
          </cell>
          <cell r="C248" t="str">
            <v>BPSWS7</v>
          </cell>
          <cell r="D248" t="str">
            <v>BGN</v>
          </cell>
          <cell r="E248" t="str">
            <v>Curncy</v>
          </cell>
          <cell r="F248" t="str">
            <v>OIS</v>
          </cell>
          <cell r="G248" t="str">
            <v>7Y</v>
          </cell>
          <cell r="H248" t="b">
            <v>1</v>
          </cell>
          <cell r="J248" t="str">
            <v>BPSW25 ICPL Curncy</v>
          </cell>
          <cell r="K248" t="str">
            <v>BPSW25</v>
          </cell>
          <cell r="L248" t="str">
            <v>ICPL</v>
          </cell>
          <cell r="M248" t="str">
            <v>Curncy</v>
          </cell>
          <cell r="N248" t="str">
            <v>SWAP</v>
          </cell>
          <cell r="O248" t="str">
            <v>25Y</v>
          </cell>
          <cell r="P248" t="b">
            <v>1</v>
          </cell>
          <cell r="R248" t="str">
            <v xml:space="preserve">  </v>
          </cell>
          <cell r="Z248" t="str">
            <v xml:space="preserve">  </v>
          </cell>
          <cell r="AH248" t="str">
            <v xml:space="preserve">  </v>
          </cell>
          <cell r="AP248" t="str">
            <v xml:space="preserve">  </v>
          </cell>
        </row>
        <row r="249">
          <cell r="B249" t="str">
            <v>BPSWS8 BGN Curncy</v>
          </cell>
          <cell r="C249" t="str">
            <v>BPSWS8</v>
          </cell>
          <cell r="D249" t="str">
            <v>BGN</v>
          </cell>
          <cell r="E249" t="str">
            <v>Curncy</v>
          </cell>
          <cell r="F249" t="str">
            <v>OIS</v>
          </cell>
          <cell r="G249" t="str">
            <v>8Y</v>
          </cell>
          <cell r="H249" t="b">
            <v>1</v>
          </cell>
          <cell r="J249" t="str">
            <v>BPSW30 ICPL Curncy</v>
          </cell>
          <cell r="K249" t="str">
            <v>BPSW30</v>
          </cell>
          <cell r="L249" t="str">
            <v>ICPL</v>
          </cell>
          <cell r="M249" t="str">
            <v>Curncy</v>
          </cell>
          <cell r="N249" t="str">
            <v>SWAP</v>
          </cell>
          <cell r="O249" t="str">
            <v>30Y</v>
          </cell>
          <cell r="P249" t="b">
            <v>1</v>
          </cell>
          <cell r="R249" t="str">
            <v xml:space="preserve">  </v>
          </cell>
          <cell r="Z249" t="str">
            <v xml:space="preserve">  </v>
          </cell>
          <cell r="AH249" t="str">
            <v xml:space="preserve">  </v>
          </cell>
          <cell r="AP249" t="str">
            <v xml:space="preserve">  </v>
          </cell>
        </row>
        <row r="250">
          <cell r="B250" t="str">
            <v>BPSWS9 BGN Curncy</v>
          </cell>
          <cell r="C250" t="str">
            <v>BPSWS9</v>
          </cell>
          <cell r="D250" t="str">
            <v>BGN</v>
          </cell>
          <cell r="E250" t="str">
            <v>Curncy</v>
          </cell>
          <cell r="F250" t="str">
            <v>OIS</v>
          </cell>
          <cell r="G250" t="str">
            <v>9Y</v>
          </cell>
          <cell r="H250" t="b">
            <v>1</v>
          </cell>
          <cell r="J250" t="str">
            <v>BPSW40 ICPL Curncy</v>
          </cell>
          <cell r="K250" t="str">
            <v>BPSW40</v>
          </cell>
          <cell r="L250" t="str">
            <v>ICPL</v>
          </cell>
          <cell r="M250" t="str">
            <v>Curncy</v>
          </cell>
          <cell r="N250" t="str">
            <v>SWAP</v>
          </cell>
          <cell r="O250" t="str">
            <v>40Y</v>
          </cell>
          <cell r="P250" t="b">
            <v>1</v>
          </cell>
          <cell r="R250" t="str">
            <v xml:space="preserve">  </v>
          </cell>
          <cell r="Z250" t="str">
            <v xml:space="preserve">  </v>
          </cell>
          <cell r="AH250" t="str">
            <v xml:space="preserve">  </v>
          </cell>
          <cell r="AP250" t="str">
            <v xml:space="preserve">  </v>
          </cell>
        </row>
        <row r="251">
          <cell r="B251" t="str">
            <v>BPSWS10 BGN Curncy</v>
          </cell>
          <cell r="C251" t="str">
            <v>BPSWS10</v>
          </cell>
          <cell r="D251" t="str">
            <v>BGN</v>
          </cell>
          <cell r="E251" t="str">
            <v>Curncy</v>
          </cell>
          <cell r="F251" t="str">
            <v>OIS</v>
          </cell>
          <cell r="G251" t="str">
            <v>10Y</v>
          </cell>
          <cell r="H251" t="b">
            <v>1</v>
          </cell>
          <cell r="J251" t="str">
            <v>BPSW50 ICPL Curncy</v>
          </cell>
          <cell r="K251" t="str">
            <v>BPSW50</v>
          </cell>
          <cell r="L251" t="str">
            <v>ICPL</v>
          </cell>
          <cell r="M251" t="str">
            <v>Curncy</v>
          </cell>
          <cell r="N251" t="str">
            <v>SWAP</v>
          </cell>
          <cell r="O251" t="str">
            <v>50Y</v>
          </cell>
          <cell r="P251" t="b">
            <v>1</v>
          </cell>
          <cell r="R251" t="str">
            <v xml:space="preserve">  </v>
          </cell>
          <cell r="Z251" t="str">
            <v xml:space="preserve">  </v>
          </cell>
          <cell r="AH251" t="str">
            <v xml:space="preserve">  </v>
          </cell>
          <cell r="AP251" t="str">
            <v xml:space="preserve">  </v>
          </cell>
        </row>
        <row r="252">
          <cell r="B252" t="str">
            <v>BPSWS12 BGN Curncy</v>
          </cell>
          <cell r="C252" t="str">
            <v>BPSWS12</v>
          </cell>
          <cell r="D252" t="str">
            <v>BGN</v>
          </cell>
          <cell r="E252" t="str">
            <v>Curncy</v>
          </cell>
          <cell r="F252" t="str">
            <v>OIS</v>
          </cell>
          <cell r="G252" t="str">
            <v>12Y</v>
          </cell>
          <cell r="H252" t="b">
            <v>1</v>
          </cell>
          <cell r="J252" t="str">
            <v xml:space="preserve">  </v>
          </cell>
          <cell r="R252" t="str">
            <v xml:space="preserve">  </v>
          </cell>
          <cell r="Z252" t="str">
            <v xml:space="preserve">  </v>
          </cell>
          <cell r="AH252" t="str">
            <v xml:space="preserve">  </v>
          </cell>
          <cell r="AP252" t="str">
            <v xml:space="preserve">  </v>
          </cell>
        </row>
        <row r="253">
          <cell r="B253" t="str">
            <v>BPSWS15 BGN Curncy</v>
          </cell>
          <cell r="C253" t="str">
            <v>BPSWS15</v>
          </cell>
          <cell r="D253" t="str">
            <v>BGN</v>
          </cell>
          <cell r="E253" t="str">
            <v>Curncy</v>
          </cell>
          <cell r="F253" t="str">
            <v>OIS</v>
          </cell>
          <cell r="G253" t="str">
            <v>15Y</v>
          </cell>
          <cell r="H253" t="b">
            <v>1</v>
          </cell>
          <cell r="J253" t="str">
            <v xml:space="preserve">  </v>
          </cell>
          <cell r="R253" t="str">
            <v xml:space="preserve">  </v>
          </cell>
          <cell r="Z253" t="str">
            <v xml:space="preserve">  </v>
          </cell>
          <cell r="AH253" t="str">
            <v xml:space="preserve">  </v>
          </cell>
          <cell r="AP253" t="str">
            <v xml:space="preserve">  </v>
          </cell>
        </row>
        <row r="254">
          <cell r="B254" t="str">
            <v>BPSWS20 BGN Curncy</v>
          </cell>
          <cell r="C254" t="str">
            <v>BPSWS20</v>
          </cell>
          <cell r="D254" t="str">
            <v>BGN</v>
          </cell>
          <cell r="E254" t="str">
            <v>Curncy</v>
          </cell>
          <cell r="F254" t="str">
            <v>OIS</v>
          </cell>
          <cell r="G254" t="str">
            <v>20Y</v>
          </cell>
          <cell r="H254" t="b">
            <v>1</v>
          </cell>
          <cell r="J254" t="str">
            <v xml:space="preserve">  </v>
          </cell>
          <cell r="R254" t="str">
            <v xml:space="preserve">  </v>
          </cell>
          <cell r="Z254" t="str">
            <v xml:space="preserve">  </v>
          </cell>
          <cell r="AH254" t="str">
            <v xml:space="preserve">  </v>
          </cell>
          <cell r="AP254" t="str">
            <v xml:space="preserve">  </v>
          </cell>
        </row>
        <row r="255">
          <cell r="B255" t="str">
            <v>BPSWS25 BGN Curncy</v>
          </cell>
          <cell r="C255" t="str">
            <v>BPSWS25</v>
          </cell>
          <cell r="D255" t="str">
            <v>BGN</v>
          </cell>
          <cell r="E255" t="str">
            <v>Curncy</v>
          </cell>
          <cell r="F255" t="str">
            <v>OIS</v>
          </cell>
          <cell r="G255" t="str">
            <v>25Y</v>
          </cell>
          <cell r="H255" t="b">
            <v>1</v>
          </cell>
          <cell r="J255" t="str">
            <v xml:space="preserve">  </v>
          </cell>
          <cell r="R255" t="str">
            <v xml:space="preserve">  </v>
          </cell>
          <cell r="Z255" t="str">
            <v xml:space="preserve">  </v>
          </cell>
          <cell r="AH255" t="str">
            <v xml:space="preserve">  </v>
          </cell>
          <cell r="AP255" t="str">
            <v xml:space="preserve">  </v>
          </cell>
        </row>
        <row r="256">
          <cell r="B256" t="str">
            <v>BPSWS30 BGN Curncy</v>
          </cell>
          <cell r="C256" t="str">
            <v>BPSWS30</v>
          </cell>
          <cell r="D256" t="str">
            <v>BGN</v>
          </cell>
          <cell r="E256" t="str">
            <v>Curncy</v>
          </cell>
          <cell r="F256" t="str">
            <v>OIS</v>
          </cell>
          <cell r="G256" t="str">
            <v>30Y</v>
          </cell>
          <cell r="H256" t="b">
            <v>1</v>
          </cell>
          <cell r="J256" t="str">
            <v xml:space="preserve">  </v>
          </cell>
          <cell r="R256" t="str">
            <v xml:space="preserve">  </v>
          </cell>
          <cell r="Z256" t="str">
            <v xml:space="preserve">  </v>
          </cell>
          <cell r="AH256" t="str">
            <v xml:space="preserve">  </v>
          </cell>
          <cell r="AP256" t="str">
            <v xml:space="preserve">  </v>
          </cell>
        </row>
        <row r="257">
          <cell r="B257" t="str">
            <v>BPSWS40 BGN Curncy</v>
          </cell>
          <cell r="C257" t="str">
            <v>BPSWS40</v>
          </cell>
          <cell r="D257" t="str">
            <v>BGN</v>
          </cell>
          <cell r="E257" t="str">
            <v>Curncy</v>
          </cell>
          <cell r="F257" t="str">
            <v>OIS</v>
          </cell>
          <cell r="G257" t="str">
            <v>40Y</v>
          </cell>
          <cell r="H257" t="b">
            <v>1</v>
          </cell>
          <cell r="J257" t="str">
            <v xml:space="preserve">  </v>
          </cell>
          <cell r="R257" t="str">
            <v xml:space="preserve">  </v>
          </cell>
          <cell r="Z257" t="str">
            <v xml:space="preserve">  </v>
          </cell>
          <cell r="AH257" t="str">
            <v xml:space="preserve">  </v>
          </cell>
          <cell r="AP257" t="str">
            <v xml:space="preserve">  </v>
          </cell>
        </row>
        <row r="258">
          <cell r="B258" t="str">
            <v>BPSWS50 BGN Curncy</v>
          </cell>
          <cell r="C258" t="str">
            <v>BPSWS50</v>
          </cell>
          <cell r="D258" t="str">
            <v>BGN</v>
          </cell>
          <cell r="E258" t="str">
            <v>Curncy</v>
          </cell>
          <cell r="F258" t="str">
            <v>OIS</v>
          </cell>
          <cell r="G258" t="str">
            <v>50Y</v>
          </cell>
          <cell r="H258" t="b">
            <v>1</v>
          </cell>
          <cell r="J258" t="str">
            <v xml:space="preserve">  </v>
          </cell>
          <cell r="R258" t="str">
            <v xml:space="preserve">  </v>
          </cell>
          <cell r="Z258" t="str">
            <v xml:space="preserve">  </v>
          </cell>
          <cell r="AH258" t="str">
            <v xml:space="preserve">  </v>
          </cell>
          <cell r="AP258" t="str">
            <v xml:space="preserve">  </v>
          </cell>
        </row>
        <row r="259">
          <cell r="B259" t="str">
            <v xml:space="preserve">  </v>
          </cell>
          <cell r="J259" t="str">
            <v xml:space="preserve">  </v>
          </cell>
          <cell r="R259" t="str">
            <v xml:space="preserve">  </v>
          </cell>
          <cell r="Z259" t="str">
            <v xml:space="preserve">  </v>
          </cell>
          <cell r="AH259" t="str">
            <v xml:space="preserve">  </v>
          </cell>
          <cell r="AP259" t="str">
            <v xml:space="preserve">  </v>
          </cell>
        </row>
        <row r="260">
          <cell r="B260" t="str">
            <v xml:space="preserve">  </v>
          </cell>
          <cell r="J260" t="str">
            <v xml:space="preserve">  </v>
          </cell>
          <cell r="R260" t="str">
            <v xml:space="preserve">  </v>
          </cell>
          <cell r="Z260" t="str">
            <v xml:space="preserve">  </v>
          </cell>
          <cell r="AH260" t="str">
            <v xml:space="preserve">  </v>
          </cell>
          <cell r="AP260" t="str">
            <v xml:space="preserve">  </v>
          </cell>
        </row>
        <row r="261">
          <cell r="B261" t="str">
            <v xml:space="preserve">  </v>
          </cell>
          <cell r="J261" t="str">
            <v xml:space="preserve">  </v>
          </cell>
          <cell r="R261" t="str">
            <v xml:space="preserve">  </v>
          </cell>
          <cell r="Z261" t="str">
            <v xml:space="preserve">  </v>
          </cell>
          <cell r="AH261" t="str">
            <v xml:space="preserve">  </v>
          </cell>
          <cell r="AP261" t="str">
            <v xml:space="preserve">  </v>
          </cell>
        </row>
        <row r="262">
          <cell r="B262" t="str">
            <v xml:space="preserve">  </v>
          </cell>
          <cell r="J262" t="str">
            <v xml:space="preserve">  </v>
          </cell>
          <cell r="R262" t="str">
            <v xml:space="preserve">  </v>
          </cell>
          <cell r="Z262" t="str">
            <v xml:space="preserve">  </v>
          </cell>
          <cell r="AH262" t="str">
            <v xml:space="preserve">  </v>
          </cell>
          <cell r="AP262" t="str">
            <v xml:space="preserve">  </v>
          </cell>
        </row>
        <row r="263">
          <cell r="B263" t="str">
            <v xml:space="preserve">  </v>
          </cell>
          <cell r="J263" t="str">
            <v xml:space="preserve">  </v>
          </cell>
          <cell r="R263" t="str">
            <v xml:space="preserve">  </v>
          </cell>
          <cell r="Z263" t="str">
            <v xml:space="preserve">  </v>
          </cell>
          <cell r="AH263" t="str">
            <v xml:space="preserve">  </v>
          </cell>
          <cell r="AP263" t="str">
            <v xml:space="preserve">  </v>
          </cell>
        </row>
        <row r="264">
          <cell r="B264" t="str">
            <v xml:space="preserve">  </v>
          </cell>
          <cell r="J264" t="str">
            <v xml:space="preserve">  </v>
          </cell>
          <cell r="R264" t="str">
            <v xml:space="preserve">  </v>
          </cell>
          <cell r="Z264" t="str">
            <v xml:space="preserve">  </v>
          </cell>
          <cell r="AH264" t="str">
            <v xml:space="preserve">  </v>
          </cell>
          <cell r="AP264" t="str">
            <v xml:space="preserve">  </v>
          </cell>
        </row>
        <row r="265">
          <cell r="B265" t="str">
            <v xml:space="preserve">  </v>
          </cell>
          <cell r="J265" t="str">
            <v xml:space="preserve">  </v>
          </cell>
          <cell r="R265" t="str">
            <v xml:space="preserve">  </v>
          </cell>
          <cell r="Z265" t="str">
            <v xml:space="preserve">  </v>
          </cell>
          <cell r="AH265" t="str">
            <v xml:space="preserve">  </v>
          </cell>
          <cell r="AP265" t="str">
            <v xml:space="preserve">  </v>
          </cell>
        </row>
        <row r="266">
          <cell r="B266" t="str">
            <v xml:space="preserve">  </v>
          </cell>
          <cell r="J266" t="str">
            <v xml:space="preserve">  </v>
          </cell>
          <cell r="R266" t="str">
            <v xml:space="preserve">  </v>
          </cell>
          <cell r="Z266" t="str">
            <v xml:space="preserve">  </v>
          </cell>
          <cell r="AH266" t="str">
            <v xml:space="preserve">  </v>
          </cell>
          <cell r="AP266" t="str">
            <v xml:space="preserve">  </v>
          </cell>
        </row>
        <row r="267">
          <cell r="B267" t="str">
            <v xml:space="preserve">  </v>
          </cell>
          <cell r="J267" t="str">
            <v xml:space="preserve">  </v>
          </cell>
          <cell r="R267" t="str">
            <v xml:space="preserve">  </v>
          </cell>
          <cell r="Z267" t="str">
            <v xml:space="preserve">  </v>
          </cell>
          <cell r="AH267" t="str">
            <v xml:space="preserve">  </v>
          </cell>
          <cell r="AP267" t="str">
            <v xml:space="preserve">  </v>
          </cell>
        </row>
        <row r="268">
          <cell r="B268" t="str">
            <v xml:space="preserve">  </v>
          </cell>
          <cell r="J268" t="str">
            <v xml:space="preserve">  </v>
          </cell>
          <cell r="R268" t="str">
            <v xml:space="preserve">  </v>
          </cell>
          <cell r="Z268" t="str">
            <v xml:space="preserve">  </v>
          </cell>
          <cell r="AH268" t="str">
            <v xml:space="preserve">  </v>
          </cell>
          <cell r="AP268" t="str">
            <v xml:space="preserve">  </v>
          </cell>
        </row>
        <row r="269">
          <cell r="B269" t="str">
            <v xml:space="preserve">  </v>
          </cell>
          <cell r="J269" t="str">
            <v xml:space="preserve">  </v>
          </cell>
          <cell r="R269" t="str">
            <v xml:space="preserve">  </v>
          </cell>
          <cell r="Z269" t="str">
            <v xml:space="preserve">  </v>
          </cell>
          <cell r="AH269" t="str">
            <v xml:space="preserve">  </v>
          </cell>
          <cell r="AP269" t="str">
            <v xml:space="preserve">  </v>
          </cell>
        </row>
        <row r="270">
          <cell r="B270" t="str">
            <v xml:space="preserve">  </v>
          </cell>
          <cell r="J270" t="str">
            <v xml:space="preserve">  </v>
          </cell>
          <cell r="R270" t="str">
            <v xml:space="preserve">  </v>
          </cell>
          <cell r="Z270" t="str">
            <v xml:space="preserve">  </v>
          </cell>
          <cell r="AH270" t="str">
            <v xml:space="preserve">  </v>
          </cell>
          <cell r="AP270" t="str">
            <v xml:space="preserve">  </v>
          </cell>
        </row>
        <row r="271">
          <cell r="B271" t="str">
            <v xml:space="preserve">  </v>
          </cell>
          <cell r="J271" t="str">
            <v xml:space="preserve">  </v>
          </cell>
          <cell r="R271" t="str">
            <v xml:space="preserve">  </v>
          </cell>
          <cell r="Z271" t="str">
            <v xml:space="preserve">  </v>
          </cell>
          <cell r="AH271" t="str">
            <v xml:space="preserve">  </v>
          </cell>
          <cell r="AP271" t="str">
            <v xml:space="preserve">  </v>
          </cell>
        </row>
        <row r="272">
          <cell r="B272" t="str">
            <v xml:space="preserve">  </v>
          </cell>
          <cell r="J272" t="str">
            <v xml:space="preserve">  </v>
          </cell>
          <cell r="R272" t="str">
            <v xml:space="preserve">  </v>
          </cell>
          <cell r="Z272" t="str">
            <v xml:space="preserve">  </v>
          </cell>
          <cell r="AH272" t="str">
            <v xml:space="preserve">  </v>
          </cell>
          <cell r="AP272" t="str">
            <v xml:space="preserve">  </v>
          </cell>
        </row>
        <row r="273">
          <cell r="B273" t="str">
            <v xml:space="preserve">  </v>
          </cell>
          <cell r="J273" t="str">
            <v xml:space="preserve">  </v>
          </cell>
          <cell r="R273" t="str">
            <v xml:space="preserve">  </v>
          </cell>
          <cell r="Z273" t="str">
            <v xml:space="preserve">  </v>
          </cell>
          <cell r="AH273" t="str">
            <v xml:space="preserve">  </v>
          </cell>
          <cell r="AP273" t="str">
            <v xml:space="preserve">  </v>
          </cell>
        </row>
        <row r="274">
          <cell r="B274" t="str">
            <v xml:space="preserve">  </v>
          </cell>
          <cell r="J274" t="str">
            <v xml:space="preserve">  </v>
          </cell>
          <cell r="R274" t="str">
            <v xml:space="preserve">  </v>
          </cell>
          <cell r="Z274" t="str">
            <v xml:space="preserve">  </v>
          </cell>
          <cell r="AH274" t="str">
            <v xml:space="preserve">  </v>
          </cell>
          <cell r="AP274" t="str">
            <v xml:space="preserve">  </v>
          </cell>
        </row>
        <row r="275">
          <cell r="B275" t="str">
            <v xml:space="preserve">  </v>
          </cell>
          <cell r="J275" t="str">
            <v xml:space="preserve">  </v>
          </cell>
          <cell r="R275" t="str">
            <v xml:space="preserve">  </v>
          </cell>
          <cell r="Z275" t="str">
            <v xml:space="preserve">  </v>
          </cell>
          <cell r="AH275" t="str">
            <v xml:space="preserve">  </v>
          </cell>
          <cell r="AP275" t="str">
            <v xml:space="preserve">  </v>
          </cell>
        </row>
        <row r="276">
          <cell r="B276" t="str">
            <v xml:space="preserve">  </v>
          </cell>
          <cell r="J276" t="str">
            <v xml:space="preserve">  </v>
          </cell>
          <cell r="R276" t="str">
            <v xml:space="preserve">  </v>
          </cell>
          <cell r="Z276" t="str">
            <v xml:space="preserve">  </v>
          </cell>
          <cell r="AH276" t="str">
            <v xml:space="preserve">  </v>
          </cell>
          <cell r="AP276" t="str">
            <v xml:space="preserve">  </v>
          </cell>
        </row>
        <row r="277">
          <cell r="B277" t="str">
            <v xml:space="preserve">  </v>
          </cell>
          <cell r="J277" t="str">
            <v xml:space="preserve">  </v>
          </cell>
          <cell r="R277" t="str">
            <v xml:space="preserve">  </v>
          </cell>
          <cell r="Z277" t="str">
            <v xml:space="preserve">  </v>
          </cell>
          <cell r="AH277" t="str">
            <v xml:space="preserve">  </v>
          </cell>
          <cell r="AP277" t="str">
            <v xml:space="preserve">  </v>
          </cell>
        </row>
        <row r="278">
          <cell r="B278" t="str">
            <v xml:space="preserve">  </v>
          </cell>
          <cell r="J278" t="str">
            <v xml:space="preserve">  </v>
          </cell>
          <cell r="R278" t="str">
            <v xml:space="preserve">  </v>
          </cell>
          <cell r="Z278" t="str">
            <v xml:space="preserve">  </v>
          </cell>
          <cell r="AH278" t="str">
            <v xml:space="preserve">  </v>
          </cell>
          <cell r="AP278" t="str">
            <v xml:space="preserve">  </v>
          </cell>
        </row>
        <row r="279">
          <cell r="B279" t="str">
            <v xml:space="preserve">  </v>
          </cell>
          <cell r="J279" t="str">
            <v xml:space="preserve">  </v>
          </cell>
          <cell r="R279" t="str">
            <v xml:space="preserve">  </v>
          </cell>
          <cell r="Z279" t="str">
            <v xml:space="preserve">  </v>
          </cell>
          <cell r="AH279" t="str">
            <v xml:space="preserve">  </v>
          </cell>
          <cell r="AP279" t="str">
            <v xml:space="preserve">  </v>
          </cell>
        </row>
        <row r="280">
          <cell r="B280" t="str">
            <v xml:space="preserve">  </v>
          </cell>
          <cell r="J280" t="str">
            <v xml:space="preserve">  </v>
          </cell>
          <cell r="R280" t="str">
            <v xml:space="preserve">  </v>
          </cell>
          <cell r="Z280" t="str">
            <v xml:space="preserve">  </v>
          </cell>
          <cell r="AH280" t="str">
            <v xml:space="preserve">  </v>
          </cell>
          <cell r="AP280" t="str">
            <v xml:space="preserve">  </v>
          </cell>
        </row>
        <row r="281">
          <cell r="B281" t="str">
            <v xml:space="preserve">  </v>
          </cell>
          <cell r="J281" t="str">
            <v xml:space="preserve">  </v>
          </cell>
          <cell r="R281" t="str">
            <v xml:space="preserve">  </v>
          </cell>
          <cell r="Z281" t="str">
            <v xml:space="preserve">  </v>
          </cell>
          <cell r="AH281" t="str">
            <v xml:space="preserve">  </v>
          </cell>
          <cell r="AP281" t="str">
            <v xml:space="preserve">  </v>
          </cell>
        </row>
        <row r="282">
          <cell r="B282" t="str">
            <v xml:space="preserve">  </v>
          </cell>
          <cell r="J282" t="str">
            <v xml:space="preserve">  </v>
          </cell>
          <cell r="R282" t="str">
            <v xml:space="preserve">  </v>
          </cell>
          <cell r="Z282" t="str">
            <v xml:space="preserve">  </v>
          </cell>
          <cell r="AH282" t="str">
            <v xml:space="preserve">  </v>
          </cell>
          <cell r="AP282" t="str">
            <v xml:space="preserve">  </v>
          </cell>
        </row>
        <row r="283">
          <cell r="B283" t="str">
            <v xml:space="preserve">  </v>
          </cell>
          <cell r="J283" t="str">
            <v xml:space="preserve">  </v>
          </cell>
          <cell r="R283" t="str">
            <v xml:space="preserve">  </v>
          </cell>
          <cell r="Z283" t="str">
            <v xml:space="preserve">  </v>
          </cell>
          <cell r="AH283" t="str">
            <v xml:space="preserve">  </v>
          </cell>
          <cell r="AP283" t="str">
            <v xml:space="preserve">  </v>
          </cell>
        </row>
        <row r="284">
          <cell r="B284" t="str">
            <v xml:space="preserve">  </v>
          </cell>
          <cell r="J284" t="str">
            <v xml:space="preserve">  </v>
          </cell>
          <cell r="R284" t="str">
            <v xml:space="preserve">  </v>
          </cell>
          <cell r="Z284" t="str">
            <v xml:space="preserve">  </v>
          </cell>
          <cell r="AH284" t="str">
            <v xml:space="preserve">  </v>
          </cell>
          <cell r="AP284" t="str">
            <v xml:space="preserve">  </v>
          </cell>
        </row>
        <row r="285">
          <cell r="B285" t="str">
            <v xml:space="preserve">  </v>
          </cell>
          <cell r="J285" t="str">
            <v xml:space="preserve">  </v>
          </cell>
          <cell r="R285" t="str">
            <v xml:space="preserve">  </v>
          </cell>
          <cell r="Z285" t="str">
            <v xml:space="preserve">  </v>
          </cell>
          <cell r="AH285" t="str">
            <v xml:space="preserve">  </v>
          </cell>
          <cell r="AP285" t="str">
            <v xml:space="preserve">  </v>
          </cell>
        </row>
        <row r="286">
          <cell r="B286" t="str">
            <v xml:space="preserve">  </v>
          </cell>
          <cell r="J286" t="str">
            <v xml:space="preserve">  </v>
          </cell>
          <cell r="R286" t="str">
            <v xml:space="preserve">  </v>
          </cell>
          <cell r="Z286" t="str">
            <v xml:space="preserve">  </v>
          </cell>
          <cell r="AH286" t="str">
            <v xml:space="preserve">  </v>
          </cell>
          <cell r="AP286" t="str">
            <v xml:space="preserve">  </v>
          </cell>
        </row>
        <row r="287">
          <cell r="B287" t="str">
            <v xml:space="preserve">  </v>
          </cell>
          <cell r="J287" t="str">
            <v xml:space="preserve">  </v>
          </cell>
          <cell r="R287" t="str">
            <v xml:space="preserve">  </v>
          </cell>
          <cell r="Z287" t="str">
            <v xml:space="preserve">  </v>
          </cell>
          <cell r="AH287" t="str">
            <v xml:space="preserve">  </v>
          </cell>
          <cell r="AP287" t="str">
            <v xml:space="preserve">  </v>
          </cell>
        </row>
        <row r="288">
          <cell r="B288" t="str">
            <v xml:space="preserve">  </v>
          </cell>
          <cell r="J288" t="str">
            <v xml:space="preserve">  </v>
          </cell>
          <cell r="R288" t="str">
            <v xml:space="preserve">  </v>
          </cell>
          <cell r="Z288" t="str">
            <v xml:space="preserve">  </v>
          </cell>
          <cell r="AH288" t="str">
            <v xml:space="preserve">  </v>
          </cell>
          <cell r="AP288" t="str">
            <v xml:space="preserve">  </v>
          </cell>
        </row>
        <row r="289">
          <cell r="B289" t="str">
            <v xml:space="preserve">  </v>
          </cell>
          <cell r="J289" t="str">
            <v xml:space="preserve">  </v>
          </cell>
          <cell r="R289" t="str">
            <v xml:space="preserve">  </v>
          </cell>
          <cell r="Z289" t="str">
            <v xml:space="preserve">  </v>
          </cell>
          <cell r="AH289" t="str">
            <v xml:space="preserve">  </v>
          </cell>
          <cell r="AP289" t="str">
            <v xml:space="preserve">  </v>
          </cell>
        </row>
        <row r="290">
          <cell r="B290" t="str">
            <v xml:space="preserve">  </v>
          </cell>
          <cell r="J290" t="str">
            <v xml:space="preserve">  </v>
          </cell>
          <cell r="R290" t="str">
            <v xml:space="preserve">  </v>
          </cell>
          <cell r="Z290" t="str">
            <v xml:space="preserve">  </v>
          </cell>
          <cell r="AH290" t="str">
            <v xml:space="preserve">  </v>
          </cell>
          <cell r="AP290" t="str">
            <v xml:space="preserve">  </v>
          </cell>
        </row>
        <row r="291">
          <cell r="B291" t="str">
            <v xml:space="preserve">  </v>
          </cell>
          <cell r="J291" t="str">
            <v xml:space="preserve">  </v>
          </cell>
          <cell r="R291" t="str">
            <v xml:space="preserve">  </v>
          </cell>
          <cell r="Z291" t="str">
            <v xml:space="preserve">  </v>
          </cell>
          <cell r="AH291" t="str">
            <v xml:space="preserve">  </v>
          </cell>
          <cell r="AP291" t="str">
            <v xml:space="preserve">  </v>
          </cell>
        </row>
        <row r="292">
          <cell r="B292" t="str">
            <v xml:space="preserve">  </v>
          </cell>
          <cell r="J292" t="str">
            <v xml:space="preserve">  </v>
          </cell>
          <cell r="R292" t="str">
            <v xml:space="preserve">  </v>
          </cell>
          <cell r="Z292" t="str">
            <v xml:space="preserve">  </v>
          </cell>
          <cell r="AH292" t="str">
            <v xml:space="preserve">  </v>
          </cell>
          <cell r="AP292" t="str">
            <v xml:space="preserve">  </v>
          </cell>
        </row>
        <row r="293">
          <cell r="B293" t="str">
            <v xml:space="preserve">  </v>
          </cell>
          <cell r="J293" t="str">
            <v xml:space="preserve">  </v>
          </cell>
          <cell r="R293" t="str">
            <v xml:space="preserve">  </v>
          </cell>
          <cell r="Z293" t="str">
            <v xml:space="preserve">  </v>
          </cell>
          <cell r="AH293" t="str">
            <v xml:space="preserve">  </v>
          </cell>
          <cell r="AP293" t="str">
            <v xml:space="preserve">  </v>
          </cell>
        </row>
        <row r="294">
          <cell r="B294" t="str">
            <v xml:space="preserve">  </v>
          </cell>
          <cell r="J294" t="str">
            <v xml:space="preserve">  </v>
          </cell>
          <cell r="R294" t="str">
            <v xml:space="preserve">  </v>
          </cell>
          <cell r="Z294" t="str">
            <v xml:space="preserve">  </v>
          </cell>
          <cell r="AH294" t="str">
            <v xml:space="preserve">  </v>
          </cell>
          <cell r="AP294" t="str">
            <v xml:space="preserve">  </v>
          </cell>
        </row>
        <row r="295">
          <cell r="B295" t="str">
            <v xml:space="preserve">  </v>
          </cell>
          <cell r="J295" t="str">
            <v xml:space="preserve">  </v>
          </cell>
          <cell r="R295" t="str">
            <v xml:space="preserve">  </v>
          </cell>
          <cell r="Z295" t="str">
            <v xml:space="preserve">  </v>
          </cell>
          <cell r="AH295" t="str">
            <v xml:space="preserve">  </v>
          </cell>
          <cell r="AP295" t="str">
            <v xml:space="preserve">  </v>
          </cell>
        </row>
        <row r="296">
          <cell r="B296" t="str">
            <v xml:space="preserve">  </v>
          </cell>
          <cell r="J296" t="str">
            <v xml:space="preserve">  </v>
          </cell>
          <cell r="R296" t="str">
            <v xml:space="preserve">  </v>
          </cell>
          <cell r="Z296" t="str">
            <v xml:space="preserve">  </v>
          </cell>
          <cell r="AH296" t="str">
            <v xml:space="preserve">  </v>
          </cell>
          <cell r="AP296" t="str">
            <v xml:space="preserve">  </v>
          </cell>
        </row>
        <row r="297">
          <cell r="B297" t="str">
            <v xml:space="preserve">  </v>
          </cell>
          <cell r="J297" t="str">
            <v xml:space="preserve">  </v>
          </cell>
          <cell r="R297" t="str">
            <v xml:space="preserve">  </v>
          </cell>
          <cell r="Z297" t="str">
            <v xml:space="preserve">  </v>
          </cell>
          <cell r="AH297" t="str">
            <v xml:space="preserve">  </v>
          </cell>
          <cell r="AP297" t="str">
            <v xml:space="preserve">  </v>
          </cell>
        </row>
        <row r="298">
          <cell r="B298" t="str">
            <v xml:space="preserve">  </v>
          </cell>
          <cell r="J298" t="str">
            <v xml:space="preserve">  </v>
          </cell>
          <cell r="R298" t="str">
            <v xml:space="preserve">  </v>
          </cell>
          <cell r="Z298" t="str">
            <v xml:space="preserve">  </v>
          </cell>
          <cell r="AH298" t="str">
            <v xml:space="preserve">  </v>
          </cell>
          <cell r="AP298" t="str">
            <v xml:space="preserve">  </v>
          </cell>
        </row>
        <row r="299">
          <cell r="B299" t="str">
            <v xml:space="preserve">  </v>
          </cell>
          <cell r="J299" t="str">
            <v xml:space="preserve">  </v>
          </cell>
          <cell r="R299" t="str">
            <v xml:space="preserve">  </v>
          </cell>
          <cell r="Z299" t="str">
            <v xml:space="preserve">  </v>
          </cell>
          <cell r="AH299" t="str">
            <v xml:space="preserve">  </v>
          </cell>
          <cell r="AP299" t="str">
            <v xml:space="preserve">  </v>
          </cell>
        </row>
        <row r="300">
          <cell r="B300" t="str">
            <v xml:space="preserve">  </v>
          </cell>
          <cell r="J300" t="str">
            <v xml:space="preserve">  </v>
          </cell>
          <cell r="R300" t="str">
            <v xml:space="preserve">  </v>
          </cell>
          <cell r="Z300" t="str">
            <v xml:space="preserve">  </v>
          </cell>
          <cell r="AH300" t="str">
            <v xml:space="preserve">  </v>
          </cell>
          <cell r="AP300" t="str">
            <v xml:space="preserve">  </v>
          </cell>
        </row>
        <row r="301">
          <cell r="B301" t="str">
            <v xml:space="preserve">  </v>
          </cell>
          <cell r="J301" t="str">
            <v xml:space="preserve">  </v>
          </cell>
          <cell r="R301" t="str">
            <v xml:space="preserve">  </v>
          </cell>
          <cell r="Z301" t="str">
            <v xml:space="preserve">  </v>
          </cell>
          <cell r="AH301" t="str">
            <v xml:space="preserve">  </v>
          </cell>
          <cell r="AP301" t="str">
            <v xml:space="preserve">  </v>
          </cell>
        </row>
        <row r="302">
          <cell r="B302" t="str">
            <v xml:space="preserve">  </v>
          </cell>
          <cell r="J302" t="str">
            <v xml:space="preserve">  </v>
          </cell>
          <cell r="R302" t="str">
            <v xml:space="preserve">  </v>
          </cell>
          <cell r="Z302" t="str">
            <v xml:space="preserve">  </v>
          </cell>
          <cell r="AH302" t="str">
            <v xml:space="preserve">  </v>
          </cell>
          <cell r="AP302" t="str">
            <v xml:space="preserve">  </v>
          </cell>
        </row>
        <row r="303">
          <cell r="B303" t="str">
            <v xml:space="preserve">  </v>
          </cell>
          <cell r="J303" t="str">
            <v xml:space="preserve">  </v>
          </cell>
          <cell r="R303" t="str">
            <v xml:space="preserve">  </v>
          </cell>
          <cell r="Z303" t="str">
            <v xml:space="preserve">  </v>
          </cell>
          <cell r="AH303" t="str">
            <v xml:space="preserve">  </v>
          </cell>
          <cell r="AP303" t="str">
            <v xml:space="preserve">  </v>
          </cell>
        </row>
        <row r="304">
          <cell r="B304" t="str">
            <v xml:space="preserve">  </v>
          </cell>
          <cell r="J304" t="str">
            <v xml:space="preserve">  </v>
          </cell>
          <cell r="R304" t="str">
            <v xml:space="preserve">  </v>
          </cell>
          <cell r="Z304" t="str">
            <v xml:space="preserve">  </v>
          </cell>
          <cell r="AH304" t="str">
            <v xml:space="preserve">  </v>
          </cell>
          <cell r="AP304" t="str">
            <v xml:space="preserve">  </v>
          </cell>
        </row>
        <row r="305">
          <cell r="B305" t="str">
            <v xml:space="preserve">  </v>
          </cell>
          <cell r="J305" t="str">
            <v xml:space="preserve">  </v>
          </cell>
          <cell r="R305" t="str">
            <v xml:space="preserve">  </v>
          </cell>
          <cell r="Z305" t="str">
            <v xml:space="preserve">  </v>
          </cell>
          <cell r="AH305" t="str">
            <v xml:space="preserve">  </v>
          </cell>
          <cell r="AP305" t="str">
            <v xml:space="preserve">  </v>
          </cell>
        </row>
        <row r="306">
          <cell r="B306" t="str">
            <v xml:space="preserve">  </v>
          </cell>
          <cell r="J306" t="str">
            <v xml:space="preserve">  </v>
          </cell>
          <cell r="R306" t="str">
            <v xml:space="preserve">  </v>
          </cell>
          <cell r="Z306" t="str">
            <v xml:space="preserve">  </v>
          </cell>
          <cell r="AH306" t="str">
            <v xml:space="preserve">  </v>
          </cell>
          <cell r="AP306" t="str">
            <v xml:space="preserve">  </v>
          </cell>
        </row>
        <row r="307">
          <cell r="B307" t="str">
            <v xml:space="preserve">  </v>
          </cell>
          <cell r="J307" t="str">
            <v xml:space="preserve">  </v>
          </cell>
          <cell r="R307" t="str">
            <v xml:space="preserve">  </v>
          </cell>
          <cell r="Z307" t="str">
            <v xml:space="preserve">  </v>
          </cell>
          <cell r="AH307" t="str">
            <v xml:space="preserve">  </v>
          </cell>
          <cell r="AP307" t="str">
            <v xml:space="preserve">  </v>
          </cell>
        </row>
        <row r="308">
          <cell r="B308" t="str">
            <v xml:space="preserve">  </v>
          </cell>
          <cell r="J308" t="str">
            <v xml:space="preserve">  </v>
          </cell>
          <cell r="R308" t="str">
            <v xml:space="preserve">  </v>
          </cell>
          <cell r="Z308" t="str">
            <v xml:space="preserve">  </v>
          </cell>
          <cell r="AH308" t="str">
            <v xml:space="preserve">  </v>
          </cell>
          <cell r="AP308" t="str">
            <v xml:space="preserve">  </v>
          </cell>
        </row>
        <row r="309">
          <cell r="B309" t="str">
            <v xml:space="preserve">  </v>
          </cell>
          <cell r="J309" t="str">
            <v xml:space="preserve">  </v>
          </cell>
          <cell r="R309" t="str">
            <v xml:space="preserve">  </v>
          </cell>
          <cell r="Z309" t="str">
            <v xml:space="preserve">  </v>
          </cell>
          <cell r="AH309" t="str">
            <v xml:space="preserve">  </v>
          </cell>
          <cell r="AP309" t="str">
            <v xml:space="preserve">  </v>
          </cell>
        </row>
        <row r="310">
          <cell r="B310" t="str">
            <v xml:space="preserve">  </v>
          </cell>
          <cell r="J310" t="str">
            <v xml:space="preserve">  </v>
          </cell>
          <cell r="R310" t="str">
            <v xml:space="preserve">  </v>
          </cell>
          <cell r="Z310" t="str">
            <v xml:space="preserve">  </v>
          </cell>
          <cell r="AH310" t="str">
            <v xml:space="preserve">  </v>
          </cell>
          <cell r="AP310" t="str">
            <v xml:space="preserve">  </v>
          </cell>
        </row>
        <row r="311">
          <cell r="B311" t="str">
            <v xml:space="preserve">  </v>
          </cell>
          <cell r="J311" t="str">
            <v xml:space="preserve">  </v>
          </cell>
          <cell r="R311" t="str">
            <v xml:space="preserve">  </v>
          </cell>
          <cell r="Z311" t="str">
            <v xml:space="preserve">  </v>
          </cell>
          <cell r="AH311" t="str">
            <v xml:space="preserve">  </v>
          </cell>
          <cell r="AP311" t="str">
            <v xml:space="preserve">  </v>
          </cell>
        </row>
        <row r="312">
          <cell r="B312" t="str">
            <v xml:space="preserve">  </v>
          </cell>
          <cell r="J312" t="str">
            <v xml:space="preserve">  </v>
          </cell>
          <cell r="R312" t="str">
            <v xml:space="preserve">  </v>
          </cell>
          <cell r="Z312" t="str">
            <v xml:space="preserve">  </v>
          </cell>
          <cell r="AH312" t="str">
            <v xml:space="preserve">  </v>
          </cell>
          <cell r="AP312" t="str">
            <v xml:space="preserve">  </v>
          </cell>
        </row>
        <row r="313">
          <cell r="B313" t="str">
            <v xml:space="preserve">  </v>
          </cell>
          <cell r="J313" t="str">
            <v xml:space="preserve">  </v>
          </cell>
          <cell r="R313" t="str">
            <v xml:space="preserve">  </v>
          </cell>
          <cell r="Z313" t="str">
            <v xml:space="preserve">  </v>
          </cell>
          <cell r="AH313" t="str">
            <v xml:space="preserve">  </v>
          </cell>
          <cell r="AP313" t="str">
            <v xml:space="preserve">  </v>
          </cell>
        </row>
        <row r="314">
          <cell r="B314" t="str">
            <v xml:space="preserve">  </v>
          </cell>
          <cell r="J314" t="str">
            <v xml:space="preserve">  </v>
          </cell>
          <cell r="R314" t="str">
            <v xml:space="preserve">  </v>
          </cell>
          <cell r="Z314" t="str">
            <v xml:space="preserve">  </v>
          </cell>
          <cell r="AH314" t="str">
            <v xml:space="preserve">  </v>
          </cell>
          <cell r="AP314" t="str">
            <v xml:space="preserve">  </v>
          </cell>
        </row>
        <row r="315">
          <cell r="B315" t="str">
            <v xml:space="preserve">  </v>
          </cell>
          <cell r="J315" t="str">
            <v xml:space="preserve">  </v>
          </cell>
          <cell r="R315" t="str">
            <v xml:space="preserve">  </v>
          </cell>
          <cell r="Z315" t="str">
            <v xml:space="preserve">  </v>
          </cell>
          <cell r="AH315" t="str">
            <v xml:space="preserve">  </v>
          </cell>
          <cell r="AP315" t="str">
            <v xml:space="preserve">  </v>
          </cell>
        </row>
        <row r="316">
          <cell r="B316" t="str">
            <v xml:space="preserve">  </v>
          </cell>
          <cell r="J316" t="str">
            <v xml:space="preserve">  </v>
          </cell>
          <cell r="R316" t="str">
            <v xml:space="preserve">  </v>
          </cell>
          <cell r="Z316" t="str">
            <v xml:space="preserve">  </v>
          </cell>
          <cell r="AH316" t="str">
            <v xml:space="preserve">  </v>
          </cell>
          <cell r="AP316" t="str">
            <v xml:space="preserve">  </v>
          </cell>
        </row>
        <row r="317">
          <cell r="B317" t="str">
            <v xml:space="preserve">  </v>
          </cell>
          <cell r="J317" t="str">
            <v xml:space="preserve">  </v>
          </cell>
          <cell r="R317" t="str">
            <v xml:space="preserve">  </v>
          </cell>
          <cell r="Z317" t="str">
            <v xml:space="preserve">  </v>
          </cell>
          <cell r="AH317" t="str">
            <v xml:space="preserve">  </v>
          </cell>
          <cell r="AP317" t="str">
            <v xml:space="preserve">  </v>
          </cell>
        </row>
        <row r="318">
          <cell r="B318" t="str">
            <v xml:space="preserve">  </v>
          </cell>
          <cell r="J318" t="str">
            <v xml:space="preserve">  </v>
          </cell>
          <cell r="R318" t="str">
            <v xml:space="preserve">  </v>
          </cell>
          <cell r="Z318" t="str">
            <v xml:space="preserve">  </v>
          </cell>
          <cell r="AH318" t="str">
            <v xml:space="preserve">  </v>
          </cell>
          <cell r="AP318" t="str">
            <v xml:space="preserve">  </v>
          </cell>
        </row>
        <row r="319">
          <cell r="B319" t="str">
            <v xml:space="preserve">  </v>
          </cell>
          <cell r="J319" t="str">
            <v xml:space="preserve">  </v>
          </cell>
          <cell r="R319" t="str">
            <v xml:space="preserve">  </v>
          </cell>
          <cell r="Z319" t="str">
            <v xml:space="preserve">  </v>
          </cell>
          <cell r="AH319" t="str">
            <v xml:space="preserve">  </v>
          </cell>
          <cell r="AP319" t="str">
            <v xml:space="preserve">  </v>
          </cell>
        </row>
        <row r="320">
          <cell r="B320" t="str">
            <v xml:space="preserve">  </v>
          </cell>
          <cell r="J320" t="str">
            <v xml:space="preserve">  </v>
          </cell>
          <cell r="R320" t="str">
            <v xml:space="preserve">  </v>
          </cell>
          <cell r="Z320" t="str">
            <v xml:space="preserve">  </v>
          </cell>
          <cell r="AH320" t="str">
            <v xml:space="preserve">  </v>
          </cell>
          <cell r="AP320" t="str">
            <v xml:space="preserve">  </v>
          </cell>
        </row>
        <row r="321">
          <cell r="B321" t="str">
            <v xml:space="preserve">  </v>
          </cell>
          <cell r="J321" t="str">
            <v xml:space="preserve">  </v>
          </cell>
          <cell r="R321" t="str">
            <v xml:space="preserve">  </v>
          </cell>
          <cell r="Z321" t="str">
            <v xml:space="preserve">  </v>
          </cell>
          <cell r="AH321" t="str">
            <v xml:space="preserve">  </v>
          </cell>
          <cell r="AP321" t="str">
            <v xml:space="preserve">  </v>
          </cell>
        </row>
        <row r="322">
          <cell r="B322" t="str">
            <v xml:space="preserve">  </v>
          </cell>
          <cell r="J322" t="str">
            <v xml:space="preserve">  </v>
          </cell>
          <cell r="R322" t="str">
            <v xml:space="preserve">  </v>
          </cell>
          <cell r="Z322" t="str">
            <v xml:space="preserve">  </v>
          </cell>
          <cell r="AH322" t="str">
            <v xml:space="preserve">  </v>
          </cell>
          <cell r="AP322" t="str">
            <v xml:space="preserve">  </v>
          </cell>
        </row>
        <row r="323">
          <cell r="B323" t="str">
            <v xml:space="preserve">  </v>
          </cell>
          <cell r="J323" t="str">
            <v xml:space="preserve">  </v>
          </cell>
          <cell r="R323" t="str">
            <v xml:space="preserve">  </v>
          </cell>
          <cell r="Z323" t="str">
            <v xml:space="preserve">  </v>
          </cell>
          <cell r="AH323" t="str">
            <v xml:space="preserve">  </v>
          </cell>
          <cell r="AP323" t="str">
            <v xml:space="preserve">  </v>
          </cell>
        </row>
        <row r="324">
          <cell r="B324" t="str">
            <v xml:space="preserve">  </v>
          </cell>
          <cell r="J324" t="str">
            <v xml:space="preserve">  </v>
          </cell>
          <cell r="R324" t="str">
            <v xml:space="preserve">  </v>
          </cell>
          <cell r="Z324" t="str">
            <v xml:space="preserve">  </v>
          </cell>
          <cell r="AH324" t="str">
            <v xml:space="preserve">  </v>
          </cell>
          <cell r="AP324" t="str">
            <v xml:space="preserve">  </v>
          </cell>
        </row>
        <row r="325">
          <cell r="B325" t="str">
            <v xml:space="preserve">  </v>
          </cell>
          <cell r="J325" t="str">
            <v xml:space="preserve">  </v>
          </cell>
          <cell r="R325" t="str">
            <v xml:space="preserve">  </v>
          </cell>
          <cell r="Z325" t="str">
            <v xml:space="preserve">  </v>
          </cell>
          <cell r="AH325" t="str">
            <v xml:space="preserve">  </v>
          </cell>
          <cell r="AP325" t="str">
            <v xml:space="preserve">  </v>
          </cell>
        </row>
        <row r="326">
          <cell r="B326" t="str">
            <v xml:space="preserve">  </v>
          </cell>
          <cell r="J326" t="str">
            <v xml:space="preserve">  </v>
          </cell>
          <cell r="R326" t="str">
            <v xml:space="preserve">  </v>
          </cell>
          <cell r="Z326" t="str">
            <v xml:space="preserve">  </v>
          </cell>
          <cell r="AH326" t="str">
            <v xml:space="preserve">  </v>
          </cell>
          <cell r="AP326" t="str">
            <v xml:space="preserve">  </v>
          </cell>
        </row>
        <row r="334">
          <cell r="B334" t="str">
            <v>MUTSCALM MTRT Index</v>
          </cell>
          <cell r="C334" t="str">
            <v>MUTSCALM</v>
          </cell>
          <cell r="D334" t="str">
            <v>MTRT</v>
          </cell>
          <cell r="E334" t="str">
            <v>Index</v>
          </cell>
          <cell r="F334" t="str">
            <v>OIS</v>
          </cell>
          <cell r="G334" t="str">
            <v>ON</v>
          </cell>
          <cell r="H334" t="b">
            <v>1</v>
          </cell>
          <cell r="J334" t="str">
            <v>JY0006M MTRT Index</v>
          </cell>
          <cell r="K334" t="str">
            <v>JY0006M</v>
          </cell>
          <cell r="L334" t="str">
            <v>MTRT</v>
          </cell>
          <cell r="M334" t="str">
            <v>Index</v>
          </cell>
          <cell r="N334" t="str">
            <v>CASH</v>
          </cell>
          <cell r="O334" t="str">
            <v>6M</v>
          </cell>
          <cell r="P334" t="b">
            <v>1</v>
          </cell>
          <cell r="R334" t="str">
            <v>JYBC1 MTRT Curncy</v>
          </cell>
          <cell r="S334" t="str">
            <v>JYBC1</v>
          </cell>
          <cell r="T334" t="str">
            <v>MTRT</v>
          </cell>
          <cell r="U334" t="str">
            <v>Curncy</v>
          </cell>
          <cell r="V334" t="str">
            <v>TENOR-BASIS</v>
          </cell>
          <cell r="W334" t="str">
            <v>1Y</v>
          </cell>
          <cell r="X334" t="b">
            <v>1</v>
          </cell>
          <cell r="Z334" t="str">
            <v>JYBB1 MTRT Curncy</v>
          </cell>
          <cell r="AA334" t="str">
            <v>JYBB1</v>
          </cell>
          <cell r="AB334" t="str">
            <v>MTRT</v>
          </cell>
          <cell r="AC334" t="str">
            <v>Curncy</v>
          </cell>
          <cell r="AD334" t="str">
            <v>TENOR-BASIS</v>
          </cell>
          <cell r="AE334" t="str">
            <v>1Y</v>
          </cell>
          <cell r="AF334" t="b">
            <v>1</v>
          </cell>
          <cell r="AH334" t="str">
            <v xml:space="preserve">  </v>
          </cell>
          <cell r="AP334" t="str">
            <v>JYBS1 MTRT Curncy</v>
          </cell>
          <cell r="AQ334" t="str">
            <v>JYBS1</v>
          </cell>
          <cell r="AR334" t="str">
            <v>MTRT</v>
          </cell>
          <cell r="AS334" t="str">
            <v>Curncy</v>
          </cell>
          <cell r="AT334" t="str">
            <v>XCCY-BASIS</v>
          </cell>
          <cell r="AU334" t="str">
            <v>1Y</v>
          </cell>
          <cell r="AV334" t="b">
            <v>1</v>
          </cell>
        </row>
        <row r="335">
          <cell r="B335" t="str">
            <v>JYSO1Z MTRT Curncy</v>
          </cell>
          <cell r="C335" t="str">
            <v>JYSO1Z</v>
          </cell>
          <cell r="D335" t="str">
            <v>MTRT</v>
          </cell>
          <cell r="E335" t="str">
            <v>Curncy</v>
          </cell>
          <cell r="F335" t="str">
            <v>OIS</v>
          </cell>
          <cell r="G335" t="str">
            <v>1W</v>
          </cell>
          <cell r="H335" t="b">
            <v>0</v>
          </cell>
          <cell r="J335" t="str">
            <v>JYFR1/7 MTRT Curncy</v>
          </cell>
          <cell r="K335" t="str">
            <v>JYFR1/7</v>
          </cell>
          <cell r="L335" t="str">
            <v>MTRT</v>
          </cell>
          <cell r="M335" t="str">
            <v>Curncy</v>
          </cell>
          <cell r="N335" t="str">
            <v>FRA</v>
          </cell>
          <cell r="O335" t="str">
            <v>1X7</v>
          </cell>
          <cell r="P335" t="b">
            <v>0</v>
          </cell>
          <cell r="R335" t="str">
            <v>JYBC2 MTRT Curncy</v>
          </cell>
          <cell r="S335" t="str">
            <v>JYBC2</v>
          </cell>
          <cell r="T335" t="str">
            <v>MTRT</v>
          </cell>
          <cell r="U335" t="str">
            <v>Curncy</v>
          </cell>
          <cell r="V335" t="str">
            <v>TENOR-BASIS</v>
          </cell>
          <cell r="W335" t="str">
            <v>2Y</v>
          </cell>
          <cell r="X335" t="b">
            <v>1</v>
          </cell>
          <cell r="Z335" t="str">
            <v>JYBB2 MTRT Curncy</v>
          </cell>
          <cell r="AA335" t="str">
            <v>JYBB2</v>
          </cell>
          <cell r="AB335" t="str">
            <v>MTRT</v>
          </cell>
          <cell r="AC335" t="str">
            <v>Curncy</v>
          </cell>
          <cell r="AD335" t="str">
            <v>TENOR-BASIS</v>
          </cell>
          <cell r="AE335" t="str">
            <v>2Y</v>
          </cell>
          <cell r="AF335" t="b">
            <v>1</v>
          </cell>
          <cell r="AH335" t="str">
            <v xml:space="preserve">  </v>
          </cell>
          <cell r="AP335" t="str">
            <v>JYBS2 MTRT Curncy</v>
          </cell>
          <cell r="AQ335" t="str">
            <v>JYBS2</v>
          </cell>
          <cell r="AR335" t="str">
            <v>MTRT</v>
          </cell>
          <cell r="AS335" t="str">
            <v>Curncy</v>
          </cell>
          <cell r="AT335" t="str">
            <v>XCCY-BASIS</v>
          </cell>
          <cell r="AU335" t="str">
            <v>2Y</v>
          </cell>
          <cell r="AV335" t="b">
            <v>1</v>
          </cell>
        </row>
        <row r="336">
          <cell r="B336" t="str">
            <v>JYSO2Z MTRT Curncy</v>
          </cell>
          <cell r="C336" t="str">
            <v>JYSO2Z</v>
          </cell>
          <cell r="D336" t="str">
            <v>MTRT</v>
          </cell>
          <cell r="E336" t="str">
            <v>Curncy</v>
          </cell>
          <cell r="F336" t="str">
            <v>OIS</v>
          </cell>
          <cell r="G336" t="str">
            <v>2W</v>
          </cell>
          <cell r="H336" t="b">
            <v>0</v>
          </cell>
          <cell r="J336" t="str">
            <v>JYFR2/8 MTRT Curncy</v>
          </cell>
          <cell r="K336" t="str">
            <v>JYFR2/8</v>
          </cell>
          <cell r="L336" t="str">
            <v>MTRT</v>
          </cell>
          <cell r="M336" t="str">
            <v>Curncy</v>
          </cell>
          <cell r="N336" t="str">
            <v>FRA</v>
          </cell>
          <cell r="O336" t="str">
            <v>2X8</v>
          </cell>
          <cell r="P336" t="b">
            <v>1</v>
          </cell>
          <cell r="R336" t="str">
            <v>JYBC3 MTRT Curncy</v>
          </cell>
          <cell r="S336" t="str">
            <v>JYBC3</v>
          </cell>
          <cell r="T336" t="str">
            <v>MTRT</v>
          </cell>
          <cell r="U336" t="str">
            <v>Curncy</v>
          </cell>
          <cell r="V336" t="str">
            <v>TENOR-BASIS</v>
          </cell>
          <cell r="W336" t="str">
            <v>3Y</v>
          </cell>
          <cell r="X336" t="b">
            <v>1</v>
          </cell>
          <cell r="Z336" t="str">
            <v>JYBB3 MTRT Curncy</v>
          </cell>
          <cell r="AA336" t="str">
            <v>JYBB3</v>
          </cell>
          <cell r="AB336" t="str">
            <v>MTRT</v>
          </cell>
          <cell r="AC336" t="str">
            <v>Curncy</v>
          </cell>
          <cell r="AD336" t="str">
            <v>TENOR-BASIS</v>
          </cell>
          <cell r="AE336" t="str">
            <v>3Y</v>
          </cell>
          <cell r="AF336" t="b">
            <v>1</v>
          </cell>
          <cell r="AH336" t="str">
            <v xml:space="preserve">  </v>
          </cell>
          <cell r="AP336" t="str">
            <v>JYBS3 MTRT Curncy</v>
          </cell>
          <cell r="AQ336" t="str">
            <v>JYBS3</v>
          </cell>
          <cell r="AR336" t="str">
            <v>MTRT</v>
          </cell>
          <cell r="AS336" t="str">
            <v>Curncy</v>
          </cell>
          <cell r="AT336" t="str">
            <v>XCCY-BASIS</v>
          </cell>
          <cell r="AU336" t="str">
            <v>3Y</v>
          </cell>
          <cell r="AV336" t="b">
            <v>1</v>
          </cell>
        </row>
        <row r="337">
          <cell r="B337" t="str">
            <v>JYSO3Z MTRT Curncy</v>
          </cell>
          <cell r="C337" t="str">
            <v>JYSO3Z</v>
          </cell>
          <cell r="D337" t="str">
            <v>MTRT</v>
          </cell>
          <cell r="E337" t="str">
            <v>Curncy</v>
          </cell>
          <cell r="F337" t="str">
            <v>OIS</v>
          </cell>
          <cell r="G337" t="str">
            <v>3W</v>
          </cell>
          <cell r="H337" t="b">
            <v>0</v>
          </cell>
          <cell r="J337" t="str">
            <v>JYFR3/9 MTRT Curncy</v>
          </cell>
          <cell r="K337" t="str">
            <v>JYFR3/9</v>
          </cell>
          <cell r="L337" t="str">
            <v>MTRT</v>
          </cell>
          <cell r="M337" t="str">
            <v>Curncy</v>
          </cell>
          <cell r="N337" t="str">
            <v>FRA</v>
          </cell>
          <cell r="O337" t="str">
            <v>3X9</v>
          </cell>
          <cell r="P337" t="b">
            <v>1</v>
          </cell>
          <cell r="R337" t="str">
            <v>JYBC4 MTRT Curncy</v>
          </cell>
          <cell r="S337" t="str">
            <v>JYBC4</v>
          </cell>
          <cell r="T337" t="str">
            <v>MTRT</v>
          </cell>
          <cell r="U337" t="str">
            <v>Curncy</v>
          </cell>
          <cell r="V337" t="str">
            <v>TENOR-BASIS</v>
          </cell>
          <cell r="W337" t="str">
            <v>4Y</v>
          </cell>
          <cell r="X337" t="b">
            <v>1</v>
          </cell>
          <cell r="Z337" t="str">
            <v>JYBB4 MTRT Curncy</v>
          </cell>
          <cell r="AA337" t="str">
            <v>JYBB4</v>
          </cell>
          <cell r="AB337" t="str">
            <v>MTRT</v>
          </cell>
          <cell r="AC337" t="str">
            <v>Curncy</v>
          </cell>
          <cell r="AD337" t="str">
            <v>TENOR-BASIS</v>
          </cell>
          <cell r="AE337" t="str">
            <v>4Y</v>
          </cell>
          <cell r="AF337" t="b">
            <v>1</v>
          </cell>
          <cell r="AH337" t="str">
            <v xml:space="preserve">  </v>
          </cell>
          <cell r="AP337" t="str">
            <v>JYBS4 MTRT Curncy</v>
          </cell>
          <cell r="AQ337" t="str">
            <v>JYBS4</v>
          </cell>
          <cell r="AR337" t="str">
            <v>MTRT</v>
          </cell>
          <cell r="AS337" t="str">
            <v>Curncy</v>
          </cell>
          <cell r="AT337" t="str">
            <v>XCCY-BASIS</v>
          </cell>
          <cell r="AU337" t="str">
            <v>4Y</v>
          </cell>
          <cell r="AV337" t="b">
            <v>1</v>
          </cell>
        </row>
        <row r="338">
          <cell r="B338" t="str">
            <v>JYSOA MTRT Curncy</v>
          </cell>
          <cell r="C338" t="str">
            <v>JYSOA</v>
          </cell>
          <cell r="D338" t="str">
            <v>MTRT</v>
          </cell>
          <cell r="E338" t="str">
            <v>Curncy</v>
          </cell>
          <cell r="F338" t="str">
            <v>OIS</v>
          </cell>
          <cell r="G338" t="str">
            <v>1M</v>
          </cell>
          <cell r="H338" t="b">
            <v>1</v>
          </cell>
          <cell r="J338" t="str">
            <v>JYFR4/10 MTRT Curncy</v>
          </cell>
          <cell r="K338" t="str">
            <v>JYFR4/10</v>
          </cell>
          <cell r="L338" t="str">
            <v>MTRT</v>
          </cell>
          <cell r="M338" t="str">
            <v>Curncy</v>
          </cell>
          <cell r="N338" t="str">
            <v>FRA</v>
          </cell>
          <cell r="O338" t="str">
            <v>4X10</v>
          </cell>
          <cell r="P338" t="b">
            <v>1</v>
          </cell>
          <cell r="R338" t="str">
            <v>JYBC5 MTRT Curncy</v>
          </cell>
          <cell r="S338" t="str">
            <v>JYBC5</v>
          </cell>
          <cell r="T338" t="str">
            <v>MTRT</v>
          </cell>
          <cell r="U338" t="str">
            <v>Curncy</v>
          </cell>
          <cell r="V338" t="str">
            <v>TENOR-BASIS</v>
          </cell>
          <cell r="W338" t="str">
            <v>5Y</v>
          </cell>
          <cell r="X338" t="b">
            <v>1</v>
          </cell>
          <cell r="Z338" t="str">
            <v>JYBB5 MTRT Curncy</v>
          </cell>
          <cell r="AA338" t="str">
            <v>JYBB5</v>
          </cell>
          <cell r="AB338" t="str">
            <v>MTRT</v>
          </cell>
          <cell r="AC338" t="str">
            <v>Curncy</v>
          </cell>
          <cell r="AD338" t="str">
            <v>TENOR-BASIS</v>
          </cell>
          <cell r="AE338" t="str">
            <v>5Y</v>
          </cell>
          <cell r="AF338" t="b">
            <v>1</v>
          </cell>
          <cell r="AH338" t="str">
            <v xml:space="preserve">  </v>
          </cell>
          <cell r="AP338" t="str">
            <v>JYBS5 MTRT Curncy</v>
          </cell>
          <cell r="AQ338" t="str">
            <v>JYBS5</v>
          </cell>
          <cell r="AR338" t="str">
            <v>MTRT</v>
          </cell>
          <cell r="AS338" t="str">
            <v>Curncy</v>
          </cell>
          <cell r="AT338" t="str">
            <v>XCCY-BASIS</v>
          </cell>
          <cell r="AU338" t="str">
            <v>5Y</v>
          </cell>
          <cell r="AV338" t="b">
            <v>1</v>
          </cell>
        </row>
        <row r="339">
          <cell r="B339" t="str">
            <v>JYSOB MTRT Curncy</v>
          </cell>
          <cell r="C339" t="str">
            <v>JYSOB</v>
          </cell>
          <cell r="D339" t="str">
            <v>MTRT</v>
          </cell>
          <cell r="E339" t="str">
            <v>Curncy</v>
          </cell>
          <cell r="F339" t="str">
            <v>OIS</v>
          </cell>
          <cell r="G339" t="str">
            <v>2M</v>
          </cell>
          <cell r="H339" t="b">
            <v>0</v>
          </cell>
          <cell r="J339" t="str">
            <v>JYFR5/11 MTRT Curncy</v>
          </cell>
          <cell r="K339" t="str">
            <v>JYFR5/11</v>
          </cell>
          <cell r="L339" t="str">
            <v>MTRT</v>
          </cell>
          <cell r="M339" t="str">
            <v>Curncy</v>
          </cell>
          <cell r="N339" t="str">
            <v>FRA</v>
          </cell>
          <cell r="O339" t="str">
            <v>5X11</v>
          </cell>
          <cell r="P339" t="b">
            <v>1</v>
          </cell>
          <cell r="R339" t="str">
            <v>JYBC6 MTRT Curncy</v>
          </cell>
          <cell r="S339" t="str">
            <v>JYBC6</v>
          </cell>
          <cell r="T339" t="str">
            <v>MTRT</v>
          </cell>
          <cell r="U339" t="str">
            <v>Curncy</v>
          </cell>
          <cell r="V339" t="str">
            <v>TENOR-BASIS</v>
          </cell>
          <cell r="W339" t="str">
            <v>6Y</v>
          </cell>
          <cell r="X339" t="b">
            <v>1</v>
          </cell>
          <cell r="Z339" t="str">
            <v>JYBB6 MTRT Curncy</v>
          </cell>
          <cell r="AA339" t="str">
            <v>JYBB6</v>
          </cell>
          <cell r="AB339" t="str">
            <v>MTRT</v>
          </cell>
          <cell r="AC339" t="str">
            <v>Curncy</v>
          </cell>
          <cell r="AD339" t="str">
            <v>TENOR-BASIS</v>
          </cell>
          <cell r="AE339" t="str">
            <v>6Y</v>
          </cell>
          <cell r="AF339" t="b">
            <v>1</v>
          </cell>
          <cell r="AH339" t="str">
            <v xml:space="preserve">  </v>
          </cell>
          <cell r="AP339" t="str">
            <v>JYBS6 MTRT Curncy</v>
          </cell>
          <cell r="AQ339" t="str">
            <v>JYBS6</v>
          </cell>
          <cell r="AR339" t="str">
            <v>MTRT</v>
          </cell>
          <cell r="AS339" t="str">
            <v>Curncy</v>
          </cell>
          <cell r="AT339" t="str">
            <v>XCCY-BASIS</v>
          </cell>
          <cell r="AU339" t="str">
            <v>6Y</v>
          </cell>
          <cell r="AV339" t="b">
            <v>1</v>
          </cell>
        </row>
        <row r="340">
          <cell r="B340" t="str">
            <v>JYSOC MTRT Curncy</v>
          </cell>
          <cell r="C340" t="str">
            <v>JYSOC</v>
          </cell>
          <cell r="D340" t="str">
            <v>MTRT</v>
          </cell>
          <cell r="E340" t="str">
            <v>Curncy</v>
          </cell>
          <cell r="F340" t="str">
            <v>OIS</v>
          </cell>
          <cell r="G340" t="str">
            <v>3M</v>
          </cell>
          <cell r="H340" t="b">
            <v>1</v>
          </cell>
          <cell r="J340" t="str">
            <v>JYFR6/12 MTRT Curncy</v>
          </cell>
          <cell r="K340" t="str">
            <v>JYFR6/12</v>
          </cell>
          <cell r="L340" t="str">
            <v>MTRT</v>
          </cell>
          <cell r="M340" t="str">
            <v>Curncy</v>
          </cell>
          <cell r="N340" t="str">
            <v>FRA</v>
          </cell>
          <cell r="O340" t="str">
            <v>6X12</v>
          </cell>
          <cell r="P340" t="b">
            <v>1</v>
          </cell>
          <cell r="R340" t="str">
            <v>JYBC7 MTRT Curncy</v>
          </cell>
          <cell r="S340" t="str">
            <v>JYBC7</v>
          </cell>
          <cell r="T340" t="str">
            <v>MTRT</v>
          </cell>
          <cell r="U340" t="str">
            <v>Curncy</v>
          </cell>
          <cell r="V340" t="str">
            <v>TENOR-BASIS</v>
          </cell>
          <cell r="W340" t="str">
            <v>7Y</v>
          </cell>
          <cell r="X340" t="b">
            <v>1</v>
          </cell>
          <cell r="Z340" t="str">
            <v>JYBB7 MTRT Curncy</v>
          </cell>
          <cell r="AA340" t="str">
            <v>JYBB7</v>
          </cell>
          <cell r="AB340" t="str">
            <v>MTRT</v>
          </cell>
          <cell r="AC340" t="str">
            <v>Curncy</v>
          </cell>
          <cell r="AD340" t="str">
            <v>TENOR-BASIS</v>
          </cell>
          <cell r="AE340" t="str">
            <v>7Y</v>
          </cell>
          <cell r="AF340" t="b">
            <v>1</v>
          </cell>
          <cell r="AH340" t="str">
            <v xml:space="preserve">  </v>
          </cell>
          <cell r="AP340" t="str">
            <v>JYBS7 MTRT Curncy</v>
          </cell>
          <cell r="AQ340" t="str">
            <v>JYBS7</v>
          </cell>
          <cell r="AR340" t="str">
            <v>MTRT</v>
          </cell>
          <cell r="AS340" t="str">
            <v>Curncy</v>
          </cell>
          <cell r="AT340" t="str">
            <v>XCCY-BASIS</v>
          </cell>
          <cell r="AU340" t="str">
            <v>7Y</v>
          </cell>
          <cell r="AV340" t="b">
            <v>1</v>
          </cell>
        </row>
        <row r="341">
          <cell r="B341" t="str">
            <v>JYSOD MTRT Curncy</v>
          </cell>
          <cell r="C341" t="str">
            <v>JYSOD</v>
          </cell>
          <cell r="D341" t="str">
            <v>MTRT</v>
          </cell>
          <cell r="E341" t="str">
            <v>Curncy</v>
          </cell>
          <cell r="F341" t="str">
            <v>OIS</v>
          </cell>
          <cell r="G341" t="str">
            <v>4M</v>
          </cell>
          <cell r="H341" t="b">
            <v>0</v>
          </cell>
          <cell r="J341" t="str">
            <v>JYSWAP1F MTRT Curncy</v>
          </cell>
          <cell r="K341" t="str">
            <v>JYSWAP1F</v>
          </cell>
          <cell r="L341" t="str">
            <v>MTRT</v>
          </cell>
          <cell r="M341" t="str">
            <v>Curncy</v>
          </cell>
          <cell r="N341" t="str">
            <v>SWAP</v>
          </cell>
          <cell r="O341" t="str">
            <v>18M</v>
          </cell>
          <cell r="P341" t="b">
            <v>0</v>
          </cell>
          <cell r="R341" t="str">
            <v>JYBC8 MTRT Curncy</v>
          </cell>
          <cell r="S341" t="str">
            <v>JYBC8</v>
          </cell>
          <cell r="T341" t="str">
            <v>MTRT</v>
          </cell>
          <cell r="U341" t="str">
            <v>Curncy</v>
          </cell>
          <cell r="V341" t="str">
            <v>TENOR-BASIS</v>
          </cell>
          <cell r="W341" t="str">
            <v>8Y</v>
          </cell>
          <cell r="X341" t="b">
            <v>1</v>
          </cell>
          <cell r="Z341" t="str">
            <v>JYBB8 MTRT Curncy</v>
          </cell>
          <cell r="AA341" t="str">
            <v>JYBB8</v>
          </cell>
          <cell r="AB341" t="str">
            <v>MTRT</v>
          </cell>
          <cell r="AC341" t="str">
            <v>Curncy</v>
          </cell>
          <cell r="AD341" t="str">
            <v>TENOR-BASIS</v>
          </cell>
          <cell r="AE341" t="str">
            <v>8Y</v>
          </cell>
          <cell r="AF341" t="b">
            <v>1</v>
          </cell>
          <cell r="AH341" t="str">
            <v xml:space="preserve">  </v>
          </cell>
          <cell r="AP341" t="str">
            <v>JYBS8 MTRT Curncy</v>
          </cell>
          <cell r="AQ341" t="str">
            <v>JYBS8</v>
          </cell>
          <cell r="AR341" t="str">
            <v>MTRT</v>
          </cell>
          <cell r="AS341" t="str">
            <v>Curncy</v>
          </cell>
          <cell r="AT341" t="str">
            <v>XCCY-BASIS</v>
          </cell>
          <cell r="AU341" t="str">
            <v>8Y</v>
          </cell>
          <cell r="AV341" t="b">
            <v>1</v>
          </cell>
        </row>
        <row r="342">
          <cell r="B342" t="str">
            <v>JYSOE MTRT Curncy</v>
          </cell>
          <cell r="C342" t="str">
            <v>JYSOE</v>
          </cell>
          <cell r="D342" t="str">
            <v>MTRT</v>
          </cell>
          <cell r="E342" t="str">
            <v>Curncy</v>
          </cell>
          <cell r="F342" t="str">
            <v>OIS</v>
          </cell>
          <cell r="G342" t="str">
            <v>5M</v>
          </cell>
          <cell r="H342" t="b">
            <v>0</v>
          </cell>
          <cell r="J342" t="str">
            <v>JYSWAP2 MTRT Curncy</v>
          </cell>
          <cell r="K342" t="str">
            <v>JYSWAP2</v>
          </cell>
          <cell r="L342" t="str">
            <v>MTRT</v>
          </cell>
          <cell r="M342" t="str">
            <v>Curncy</v>
          </cell>
          <cell r="N342" t="str">
            <v>SWAP</v>
          </cell>
          <cell r="O342" t="str">
            <v>2Y</v>
          </cell>
          <cell r="P342" t="b">
            <v>1</v>
          </cell>
          <cell r="R342" t="str">
            <v>JYBC9 MTRT Curncy</v>
          </cell>
          <cell r="S342" t="str">
            <v>JYBC9</v>
          </cell>
          <cell r="T342" t="str">
            <v>MTRT</v>
          </cell>
          <cell r="U342" t="str">
            <v>Curncy</v>
          </cell>
          <cell r="V342" t="str">
            <v>TENOR-BASIS</v>
          </cell>
          <cell r="W342" t="str">
            <v>9Y</v>
          </cell>
          <cell r="X342" t="b">
            <v>1</v>
          </cell>
          <cell r="Z342" t="str">
            <v>JYBB9 MTRT Curncy</v>
          </cell>
          <cell r="AA342" t="str">
            <v>JYBB9</v>
          </cell>
          <cell r="AB342" t="str">
            <v>MTRT</v>
          </cell>
          <cell r="AC342" t="str">
            <v>Curncy</v>
          </cell>
          <cell r="AD342" t="str">
            <v>TENOR-BASIS</v>
          </cell>
          <cell r="AE342" t="str">
            <v>9Y</v>
          </cell>
          <cell r="AF342" t="b">
            <v>1</v>
          </cell>
          <cell r="AH342" t="str">
            <v xml:space="preserve">  </v>
          </cell>
          <cell r="AP342" t="str">
            <v>JYBS9 MTRT Curncy</v>
          </cell>
          <cell r="AQ342" t="str">
            <v>JYBS9</v>
          </cell>
          <cell r="AR342" t="str">
            <v>MTRT</v>
          </cell>
          <cell r="AS342" t="str">
            <v>Curncy</v>
          </cell>
          <cell r="AT342" t="str">
            <v>XCCY-BASIS</v>
          </cell>
          <cell r="AU342" t="str">
            <v>9Y</v>
          </cell>
          <cell r="AV342" t="b">
            <v>1</v>
          </cell>
        </row>
        <row r="343">
          <cell r="B343" t="str">
            <v>JYSOF MTRT Curncy</v>
          </cell>
          <cell r="C343" t="str">
            <v>JYSOF</v>
          </cell>
          <cell r="D343" t="str">
            <v>MTRT</v>
          </cell>
          <cell r="E343" t="str">
            <v>Curncy</v>
          </cell>
          <cell r="F343" t="str">
            <v>OIS</v>
          </cell>
          <cell r="G343" t="str">
            <v>6M</v>
          </cell>
          <cell r="H343" t="b">
            <v>1</v>
          </cell>
          <cell r="J343" t="str">
            <v>JYSWAP3 MTRT Curncy</v>
          </cell>
          <cell r="K343" t="str">
            <v>JYSWAP3</v>
          </cell>
          <cell r="L343" t="str">
            <v>MTRT</v>
          </cell>
          <cell r="M343" t="str">
            <v>Curncy</v>
          </cell>
          <cell r="N343" t="str">
            <v>SWAP</v>
          </cell>
          <cell r="O343" t="str">
            <v>3Y</v>
          </cell>
          <cell r="P343" t="b">
            <v>1</v>
          </cell>
          <cell r="R343" t="str">
            <v>JYBC10 MTRT Curncy</v>
          </cell>
          <cell r="S343" t="str">
            <v>JYBC10</v>
          </cell>
          <cell r="T343" t="str">
            <v>MTRT</v>
          </cell>
          <cell r="U343" t="str">
            <v>Curncy</v>
          </cell>
          <cell r="V343" t="str">
            <v>TENOR-BASIS</v>
          </cell>
          <cell r="W343" t="str">
            <v>10Y</v>
          </cell>
          <cell r="X343" t="b">
            <v>1</v>
          </cell>
          <cell r="Z343" t="str">
            <v>JYBB10 MTRT Curncy</v>
          </cell>
          <cell r="AA343" t="str">
            <v>JYBB10</v>
          </cell>
          <cell r="AB343" t="str">
            <v>MTRT</v>
          </cell>
          <cell r="AC343" t="str">
            <v>Curncy</v>
          </cell>
          <cell r="AD343" t="str">
            <v>TENOR-BASIS</v>
          </cell>
          <cell r="AE343" t="str">
            <v>10Y</v>
          </cell>
          <cell r="AF343" t="b">
            <v>1</v>
          </cell>
          <cell r="AH343" t="str">
            <v xml:space="preserve">  </v>
          </cell>
          <cell r="AP343" t="str">
            <v>JYBS10 MTRT Curncy</v>
          </cell>
          <cell r="AQ343" t="str">
            <v>JYBS10</v>
          </cell>
          <cell r="AR343" t="str">
            <v>MTRT</v>
          </cell>
          <cell r="AS343" t="str">
            <v>Curncy</v>
          </cell>
          <cell r="AT343" t="str">
            <v>XCCY-BASIS</v>
          </cell>
          <cell r="AU343" t="str">
            <v>10Y</v>
          </cell>
          <cell r="AV343" t="b">
            <v>1</v>
          </cell>
        </row>
        <row r="344">
          <cell r="B344" t="str">
            <v>JYSOG MTRT Curncy</v>
          </cell>
          <cell r="C344" t="str">
            <v>JYSOG</v>
          </cell>
          <cell r="D344" t="str">
            <v>MTRT</v>
          </cell>
          <cell r="E344" t="str">
            <v>Curncy</v>
          </cell>
          <cell r="F344" t="str">
            <v>OIS</v>
          </cell>
          <cell r="G344" t="str">
            <v>7M</v>
          </cell>
          <cell r="H344" t="b">
            <v>0</v>
          </cell>
          <cell r="J344" t="str">
            <v>JYSWAP4 MTRT Curncy</v>
          </cell>
          <cell r="K344" t="str">
            <v>JYSWAP4</v>
          </cell>
          <cell r="L344" t="str">
            <v>MTRT</v>
          </cell>
          <cell r="M344" t="str">
            <v>Curncy</v>
          </cell>
          <cell r="N344" t="str">
            <v>SWAP</v>
          </cell>
          <cell r="O344" t="str">
            <v>4Y</v>
          </cell>
          <cell r="P344" t="b">
            <v>1</v>
          </cell>
          <cell r="R344" t="str">
            <v>JYBC11 MTRT Curncy</v>
          </cell>
          <cell r="S344" t="str">
            <v>JYBC11</v>
          </cell>
          <cell r="T344" t="str">
            <v>MTRT</v>
          </cell>
          <cell r="U344" t="str">
            <v>Curncy</v>
          </cell>
          <cell r="V344" t="str">
            <v>TENOR-BASIS</v>
          </cell>
          <cell r="W344" t="str">
            <v>11Y</v>
          </cell>
          <cell r="X344" t="b">
            <v>1</v>
          </cell>
          <cell r="Z344" t="str">
            <v>JYBB12 MTRT Curncy</v>
          </cell>
          <cell r="AA344" t="str">
            <v>JYBB12</v>
          </cell>
          <cell r="AB344" t="str">
            <v>MTRT</v>
          </cell>
          <cell r="AC344" t="str">
            <v>Curncy</v>
          </cell>
          <cell r="AD344" t="str">
            <v>TENOR-BASIS</v>
          </cell>
          <cell r="AE344" t="str">
            <v>12Y</v>
          </cell>
          <cell r="AF344" t="b">
            <v>1</v>
          </cell>
          <cell r="AH344" t="str">
            <v xml:space="preserve">  </v>
          </cell>
          <cell r="AP344" t="str">
            <v>JYBS11 MTRT Curncy</v>
          </cell>
          <cell r="AQ344" t="str">
            <v>JYBS11</v>
          </cell>
          <cell r="AR344" t="str">
            <v>MTRT</v>
          </cell>
          <cell r="AS344" t="str">
            <v>Curncy</v>
          </cell>
          <cell r="AT344" t="str">
            <v>XCCY-BASIS</v>
          </cell>
          <cell r="AU344" t="str">
            <v>11Y</v>
          </cell>
          <cell r="AV344" t="b">
            <v>1</v>
          </cell>
        </row>
        <row r="345">
          <cell r="B345" t="str">
            <v>JYSOH MTRT Curncy</v>
          </cell>
          <cell r="C345" t="str">
            <v>JYSOH</v>
          </cell>
          <cell r="D345" t="str">
            <v>MTRT</v>
          </cell>
          <cell r="E345" t="str">
            <v>Curncy</v>
          </cell>
          <cell r="F345" t="str">
            <v>OIS</v>
          </cell>
          <cell r="G345" t="str">
            <v>8M</v>
          </cell>
          <cell r="H345" t="b">
            <v>0</v>
          </cell>
          <cell r="J345" t="str">
            <v>JYSWAP5 MTRT Curncy</v>
          </cell>
          <cell r="K345" t="str">
            <v>JYSWAP5</v>
          </cell>
          <cell r="L345" t="str">
            <v>MTRT</v>
          </cell>
          <cell r="M345" t="str">
            <v>Curncy</v>
          </cell>
          <cell r="N345" t="str">
            <v>SWAP</v>
          </cell>
          <cell r="O345" t="str">
            <v>5Y</v>
          </cell>
          <cell r="P345" t="b">
            <v>1</v>
          </cell>
          <cell r="R345" t="str">
            <v>JYBC12 MTRT Curncy</v>
          </cell>
          <cell r="S345" t="str">
            <v>JYBC12</v>
          </cell>
          <cell r="T345" t="str">
            <v>MTRT</v>
          </cell>
          <cell r="U345" t="str">
            <v>Curncy</v>
          </cell>
          <cell r="V345" t="str">
            <v>TENOR-BASIS</v>
          </cell>
          <cell r="W345" t="str">
            <v>12Y</v>
          </cell>
          <cell r="X345" t="b">
            <v>1</v>
          </cell>
          <cell r="Z345" t="str">
            <v>JYBB15 MTRT Curncy</v>
          </cell>
          <cell r="AA345" t="str">
            <v>JYBB15</v>
          </cell>
          <cell r="AB345" t="str">
            <v>MTRT</v>
          </cell>
          <cell r="AC345" t="str">
            <v>Curncy</v>
          </cell>
          <cell r="AD345" t="str">
            <v>TENOR-BASIS</v>
          </cell>
          <cell r="AE345" t="str">
            <v>15Y</v>
          </cell>
          <cell r="AF345" t="b">
            <v>1</v>
          </cell>
          <cell r="AH345" t="str">
            <v xml:space="preserve">  </v>
          </cell>
          <cell r="AP345" t="str">
            <v>JYBS12 MTRT Curncy</v>
          </cell>
          <cell r="AQ345" t="str">
            <v>JYBS12</v>
          </cell>
          <cell r="AR345" t="str">
            <v>MTRT</v>
          </cell>
          <cell r="AS345" t="str">
            <v>Curncy</v>
          </cell>
          <cell r="AT345" t="str">
            <v>XCCY-BASIS</v>
          </cell>
          <cell r="AU345" t="str">
            <v>12Y</v>
          </cell>
          <cell r="AV345" t="b">
            <v>1</v>
          </cell>
        </row>
        <row r="346">
          <cell r="B346" t="str">
            <v>JYSOI MTRT Curncy</v>
          </cell>
          <cell r="C346" t="str">
            <v>JYSOI</v>
          </cell>
          <cell r="D346" t="str">
            <v>MTRT</v>
          </cell>
          <cell r="E346" t="str">
            <v>Curncy</v>
          </cell>
          <cell r="F346" t="str">
            <v>OIS</v>
          </cell>
          <cell r="G346" t="str">
            <v>9M</v>
          </cell>
          <cell r="H346" t="b">
            <v>0</v>
          </cell>
          <cell r="J346" t="str">
            <v>JYSWAP6 MTRT Curncy</v>
          </cell>
          <cell r="K346" t="str">
            <v>JYSWAP6</v>
          </cell>
          <cell r="L346" t="str">
            <v>MTRT</v>
          </cell>
          <cell r="M346" t="str">
            <v>Curncy</v>
          </cell>
          <cell r="N346" t="str">
            <v>SWAP</v>
          </cell>
          <cell r="O346" t="str">
            <v>6Y</v>
          </cell>
          <cell r="P346" t="b">
            <v>1</v>
          </cell>
          <cell r="R346" t="str">
            <v>JYBC15 MTRT Curncy</v>
          </cell>
          <cell r="S346" t="str">
            <v>JYBC15</v>
          </cell>
          <cell r="T346" t="str">
            <v>MTRT</v>
          </cell>
          <cell r="U346" t="str">
            <v>Curncy</v>
          </cell>
          <cell r="V346" t="str">
            <v>TENOR-BASIS</v>
          </cell>
          <cell r="W346" t="str">
            <v>15Y</v>
          </cell>
          <cell r="X346" t="b">
            <v>1</v>
          </cell>
          <cell r="Z346" t="str">
            <v>JYBB20 MTRT Curncy</v>
          </cell>
          <cell r="AA346" t="str">
            <v>JYBB20</v>
          </cell>
          <cell r="AB346" t="str">
            <v>MTRT</v>
          </cell>
          <cell r="AC346" t="str">
            <v>Curncy</v>
          </cell>
          <cell r="AD346" t="str">
            <v>TENOR-BASIS</v>
          </cell>
          <cell r="AE346" t="str">
            <v>20Y</v>
          </cell>
          <cell r="AF346" t="b">
            <v>1</v>
          </cell>
          <cell r="AH346" t="str">
            <v xml:space="preserve">  </v>
          </cell>
          <cell r="AP346" t="str">
            <v>JYBS13 MTRT Curncy</v>
          </cell>
          <cell r="AQ346" t="str">
            <v>JYBS13</v>
          </cell>
          <cell r="AR346" t="str">
            <v>MTRT</v>
          </cell>
          <cell r="AS346" t="str">
            <v>Curncy</v>
          </cell>
          <cell r="AT346" t="str">
            <v>XCCY-BASIS</v>
          </cell>
          <cell r="AU346" t="str">
            <v>13Y</v>
          </cell>
          <cell r="AV346" t="b">
            <v>1</v>
          </cell>
        </row>
        <row r="347">
          <cell r="B347" t="str">
            <v>JYSOJ MTRT Curncy</v>
          </cell>
          <cell r="C347" t="str">
            <v>JYSOJ</v>
          </cell>
          <cell r="D347" t="str">
            <v>MTRT</v>
          </cell>
          <cell r="E347" t="str">
            <v>Curncy</v>
          </cell>
          <cell r="F347" t="str">
            <v>OIS</v>
          </cell>
          <cell r="G347" t="str">
            <v>10M</v>
          </cell>
          <cell r="H347" t="b">
            <v>0</v>
          </cell>
          <cell r="J347" t="str">
            <v>JYSWAP7 MTRT Curncy</v>
          </cell>
          <cell r="K347" t="str">
            <v>JYSWAP7</v>
          </cell>
          <cell r="L347" t="str">
            <v>MTRT</v>
          </cell>
          <cell r="M347" t="str">
            <v>Curncy</v>
          </cell>
          <cell r="N347" t="str">
            <v>SWAP</v>
          </cell>
          <cell r="O347" t="str">
            <v>7Y</v>
          </cell>
          <cell r="P347" t="b">
            <v>1</v>
          </cell>
          <cell r="R347" t="str">
            <v>JYBC20 MTRT Curncy</v>
          </cell>
          <cell r="S347" t="str">
            <v>JYBC20</v>
          </cell>
          <cell r="T347" t="str">
            <v>MTRT</v>
          </cell>
          <cell r="U347" t="str">
            <v>Curncy</v>
          </cell>
          <cell r="V347" t="str">
            <v>TENOR-BASIS</v>
          </cell>
          <cell r="W347" t="str">
            <v>20Y</v>
          </cell>
          <cell r="X347" t="b">
            <v>1</v>
          </cell>
          <cell r="Z347" t="str">
            <v>JYBB25 MTRT Curncy</v>
          </cell>
          <cell r="AA347" t="str">
            <v>JYBB25</v>
          </cell>
          <cell r="AB347" t="str">
            <v>MTRT</v>
          </cell>
          <cell r="AC347" t="str">
            <v>Curncy</v>
          </cell>
          <cell r="AD347" t="str">
            <v>TENOR-BASIS</v>
          </cell>
          <cell r="AE347" t="str">
            <v>25Y</v>
          </cell>
          <cell r="AF347" t="b">
            <v>1</v>
          </cell>
          <cell r="AH347" t="str">
            <v xml:space="preserve">  </v>
          </cell>
          <cell r="AP347" t="str">
            <v>JYBS14 MTRT Curncy</v>
          </cell>
          <cell r="AQ347" t="str">
            <v>JYBS14</v>
          </cell>
          <cell r="AR347" t="str">
            <v>MTRT</v>
          </cell>
          <cell r="AS347" t="str">
            <v>Curncy</v>
          </cell>
          <cell r="AT347" t="str">
            <v>XCCY-BASIS</v>
          </cell>
          <cell r="AU347" t="str">
            <v>14Y</v>
          </cell>
          <cell r="AV347" t="b">
            <v>1</v>
          </cell>
        </row>
        <row r="348">
          <cell r="B348" t="str">
            <v>JYSOK MTRT Curncy</v>
          </cell>
          <cell r="C348" t="str">
            <v>JYSOK</v>
          </cell>
          <cell r="D348" t="str">
            <v>MTRT</v>
          </cell>
          <cell r="E348" t="str">
            <v>Curncy</v>
          </cell>
          <cell r="F348" t="str">
            <v>OIS</v>
          </cell>
          <cell r="G348" t="str">
            <v>11M</v>
          </cell>
          <cell r="H348" t="b">
            <v>0</v>
          </cell>
          <cell r="J348" t="str">
            <v>JYSWAP8 MTRT Curncy</v>
          </cell>
          <cell r="K348" t="str">
            <v>JYSWAP8</v>
          </cell>
          <cell r="L348" t="str">
            <v>MTRT</v>
          </cell>
          <cell r="M348" t="str">
            <v>Curncy</v>
          </cell>
          <cell r="N348" t="str">
            <v>SWAP</v>
          </cell>
          <cell r="O348" t="str">
            <v>8Y</v>
          </cell>
          <cell r="P348" t="b">
            <v>1</v>
          </cell>
          <cell r="R348" t="str">
            <v>JYBC25 MTRT Curncy</v>
          </cell>
          <cell r="S348" t="str">
            <v>JYBC25</v>
          </cell>
          <cell r="T348" t="str">
            <v>MTRT</v>
          </cell>
          <cell r="U348" t="str">
            <v>Curncy</v>
          </cell>
          <cell r="V348" t="str">
            <v>TENOR-BASIS</v>
          </cell>
          <cell r="W348" t="str">
            <v>25Y</v>
          </cell>
          <cell r="X348" t="b">
            <v>1</v>
          </cell>
          <cell r="Z348" t="str">
            <v>JYBB30 MTRT Curncy</v>
          </cell>
          <cell r="AA348" t="str">
            <v>JYBB30</v>
          </cell>
          <cell r="AB348" t="str">
            <v>MTRT</v>
          </cell>
          <cell r="AC348" t="str">
            <v>Curncy</v>
          </cell>
          <cell r="AD348" t="str">
            <v>TENOR-BASIS</v>
          </cell>
          <cell r="AE348" t="str">
            <v>30Y</v>
          </cell>
          <cell r="AF348" t="b">
            <v>1</v>
          </cell>
          <cell r="AH348" t="str">
            <v xml:space="preserve">  </v>
          </cell>
          <cell r="AP348" t="str">
            <v>JYBS15 MTRT Curncy</v>
          </cell>
          <cell r="AQ348" t="str">
            <v>JYBS15</v>
          </cell>
          <cell r="AR348" t="str">
            <v>MTRT</v>
          </cell>
          <cell r="AS348" t="str">
            <v>Curncy</v>
          </cell>
          <cell r="AT348" t="str">
            <v>XCCY-BASIS</v>
          </cell>
          <cell r="AU348" t="str">
            <v>15Y</v>
          </cell>
          <cell r="AV348" t="b">
            <v>1</v>
          </cell>
        </row>
        <row r="349">
          <cell r="B349" t="str">
            <v>JYSO1 MTRT Curncy</v>
          </cell>
          <cell r="C349" t="str">
            <v>JYSO1</v>
          </cell>
          <cell r="D349" t="str">
            <v>MTRT</v>
          </cell>
          <cell r="E349" t="str">
            <v>Curncy</v>
          </cell>
          <cell r="F349" t="str">
            <v>OIS</v>
          </cell>
          <cell r="G349" t="str">
            <v>12M</v>
          </cell>
          <cell r="H349" t="b">
            <v>1</v>
          </cell>
          <cell r="J349" t="str">
            <v>JYSWAP9 MTRT Curncy</v>
          </cell>
          <cell r="K349" t="str">
            <v>JYSWAP9</v>
          </cell>
          <cell r="L349" t="str">
            <v>MTRT</v>
          </cell>
          <cell r="M349" t="str">
            <v>Curncy</v>
          </cell>
          <cell r="N349" t="str">
            <v>SWAP</v>
          </cell>
          <cell r="O349" t="str">
            <v>9Y</v>
          </cell>
          <cell r="P349" t="b">
            <v>1</v>
          </cell>
          <cell r="R349" t="str">
            <v>JYBC30 MTRT Curncy</v>
          </cell>
          <cell r="S349" t="str">
            <v>JYBC30</v>
          </cell>
          <cell r="T349" t="str">
            <v>MTRT</v>
          </cell>
          <cell r="U349" t="str">
            <v>Curncy</v>
          </cell>
          <cell r="V349" t="str">
            <v>TENOR-BASIS</v>
          </cell>
          <cell r="W349" t="str">
            <v>30Y</v>
          </cell>
          <cell r="X349" t="b">
            <v>1</v>
          </cell>
          <cell r="Z349" t="str">
            <v>JYBB40 MTRT Curncy</v>
          </cell>
          <cell r="AA349" t="str">
            <v>JYBB40</v>
          </cell>
          <cell r="AB349" t="str">
            <v>MTRT</v>
          </cell>
          <cell r="AC349" t="str">
            <v>Curncy</v>
          </cell>
          <cell r="AD349" t="str">
            <v>TENOR-BASIS</v>
          </cell>
          <cell r="AE349" t="str">
            <v>40Y</v>
          </cell>
          <cell r="AF349" t="b">
            <v>1</v>
          </cell>
          <cell r="AH349" t="str">
            <v xml:space="preserve">  </v>
          </cell>
          <cell r="AP349" t="str">
            <v>JYBS20 MTRT Curncy</v>
          </cell>
          <cell r="AQ349" t="str">
            <v>JYBS20</v>
          </cell>
          <cell r="AR349" t="str">
            <v>MTRT</v>
          </cell>
          <cell r="AS349" t="str">
            <v>Curncy</v>
          </cell>
          <cell r="AT349" t="str">
            <v>XCCY-BASIS</v>
          </cell>
          <cell r="AU349" t="str">
            <v>20Y</v>
          </cell>
          <cell r="AV349" t="b">
            <v>1</v>
          </cell>
        </row>
        <row r="350">
          <cell r="B350" t="str">
            <v>JYSO1F MTRT Curncy</v>
          </cell>
          <cell r="C350" t="str">
            <v>JYSO1F</v>
          </cell>
          <cell r="D350" t="str">
            <v>MTRT</v>
          </cell>
          <cell r="E350" t="str">
            <v>Curncy</v>
          </cell>
          <cell r="F350" t="str">
            <v>OIS</v>
          </cell>
          <cell r="G350" t="str">
            <v>18M</v>
          </cell>
          <cell r="H350" t="b">
            <v>0</v>
          </cell>
          <cell r="J350" t="str">
            <v>JYSWAP10 MTRT Curncy</v>
          </cell>
          <cell r="K350" t="str">
            <v>JYSWAP10</v>
          </cell>
          <cell r="L350" t="str">
            <v>MTRT</v>
          </cell>
          <cell r="M350" t="str">
            <v>Curncy</v>
          </cell>
          <cell r="N350" t="str">
            <v>SWAP</v>
          </cell>
          <cell r="O350" t="str">
            <v>10Y</v>
          </cell>
          <cell r="P350" t="b">
            <v>1</v>
          </cell>
          <cell r="R350" t="str">
            <v>JYBC40 MTRT Curncy</v>
          </cell>
          <cell r="S350" t="str">
            <v>JYBC40</v>
          </cell>
          <cell r="T350" t="str">
            <v>MTRT</v>
          </cell>
          <cell r="U350" t="str">
            <v>Curncy</v>
          </cell>
          <cell r="V350" t="str">
            <v>TENOR-BASIS</v>
          </cell>
          <cell r="W350" t="str">
            <v>40Y</v>
          </cell>
          <cell r="X350" t="b">
            <v>1</v>
          </cell>
          <cell r="Z350" t="str">
            <v xml:space="preserve">  </v>
          </cell>
          <cell r="AH350" t="str">
            <v xml:space="preserve">  </v>
          </cell>
          <cell r="AP350" t="str">
            <v>JYBS25 MTRT Curncy</v>
          </cell>
          <cell r="AQ350" t="str">
            <v>JYBS25</v>
          </cell>
          <cell r="AR350" t="str">
            <v>MTRT</v>
          </cell>
          <cell r="AS350" t="str">
            <v>Curncy</v>
          </cell>
          <cell r="AT350" t="str">
            <v>XCCY-BASIS</v>
          </cell>
          <cell r="AU350" t="str">
            <v>25Y</v>
          </cell>
          <cell r="AV350" t="b">
            <v>1</v>
          </cell>
        </row>
        <row r="351">
          <cell r="B351" t="str">
            <v>JYSO2 MTRT Curncy</v>
          </cell>
          <cell r="C351" t="str">
            <v>JYSO2</v>
          </cell>
          <cell r="D351" t="str">
            <v>MTRT</v>
          </cell>
          <cell r="E351" t="str">
            <v>Curncy</v>
          </cell>
          <cell r="F351" t="str">
            <v>OIS</v>
          </cell>
          <cell r="G351" t="str">
            <v>2Y</v>
          </cell>
          <cell r="H351" t="b">
            <v>1</v>
          </cell>
          <cell r="J351" t="str">
            <v>JYSWAP12 MTRT Curncy</v>
          </cell>
          <cell r="K351" t="str">
            <v>JYSWAP12</v>
          </cell>
          <cell r="L351" t="str">
            <v>MTRT</v>
          </cell>
          <cell r="M351" t="str">
            <v>Curncy</v>
          </cell>
          <cell r="N351" t="str">
            <v>SWAP</v>
          </cell>
          <cell r="O351" t="str">
            <v>12Y</v>
          </cell>
          <cell r="P351" t="b">
            <v>1</v>
          </cell>
          <cell r="R351" t="str">
            <v xml:space="preserve">  </v>
          </cell>
          <cell r="Z351" t="str">
            <v xml:space="preserve">  </v>
          </cell>
          <cell r="AH351" t="str">
            <v xml:space="preserve">  </v>
          </cell>
          <cell r="AP351" t="str">
            <v>JYBS30 MTRT Curncy</v>
          </cell>
          <cell r="AQ351" t="str">
            <v>JYBS30</v>
          </cell>
          <cell r="AR351" t="str">
            <v>MTRT</v>
          </cell>
          <cell r="AS351" t="str">
            <v>Curncy</v>
          </cell>
          <cell r="AT351" t="str">
            <v>XCCY-BASIS</v>
          </cell>
          <cell r="AU351" t="str">
            <v>30Y</v>
          </cell>
          <cell r="AV351" t="b">
            <v>1</v>
          </cell>
        </row>
        <row r="352">
          <cell r="B352" t="str">
            <v>JYSO3 MTRT Curncy</v>
          </cell>
          <cell r="C352" t="str">
            <v>JYSO3</v>
          </cell>
          <cell r="D352" t="str">
            <v>MTRT</v>
          </cell>
          <cell r="E352" t="str">
            <v>Curncy</v>
          </cell>
          <cell r="F352" t="str">
            <v>OIS</v>
          </cell>
          <cell r="G352" t="str">
            <v>3Y</v>
          </cell>
          <cell r="H352" t="b">
            <v>1</v>
          </cell>
          <cell r="J352" t="str">
            <v>JYSW15 MTRT Curncy</v>
          </cell>
          <cell r="K352" t="str">
            <v>JYSW15</v>
          </cell>
          <cell r="L352" t="str">
            <v>MTRT</v>
          </cell>
          <cell r="M352" t="str">
            <v>Curncy</v>
          </cell>
          <cell r="N352" t="str">
            <v>SWAP</v>
          </cell>
          <cell r="O352" t="str">
            <v>15Y</v>
          </cell>
          <cell r="P352" t="b">
            <v>1</v>
          </cell>
          <cell r="R352" t="str">
            <v xml:space="preserve">  </v>
          </cell>
          <cell r="Z352" t="str">
            <v xml:space="preserve">  </v>
          </cell>
          <cell r="AH352" t="str">
            <v xml:space="preserve">  </v>
          </cell>
          <cell r="AP352" t="str">
            <v xml:space="preserve">  </v>
          </cell>
        </row>
        <row r="353">
          <cell r="B353" t="str">
            <v>JYSO4 MTRT Curncy</v>
          </cell>
          <cell r="C353" t="str">
            <v>JYSO4</v>
          </cell>
          <cell r="D353" t="str">
            <v>MTRT</v>
          </cell>
          <cell r="E353" t="str">
            <v>Curncy</v>
          </cell>
          <cell r="F353" t="str">
            <v>OIS</v>
          </cell>
          <cell r="G353" t="str">
            <v>4Y</v>
          </cell>
          <cell r="H353" t="b">
            <v>1</v>
          </cell>
          <cell r="J353" t="str">
            <v>JYSW20 MTRT Curncy</v>
          </cell>
          <cell r="K353" t="str">
            <v>JYSW20</v>
          </cell>
          <cell r="L353" t="str">
            <v>MTRT</v>
          </cell>
          <cell r="M353" t="str">
            <v>Curncy</v>
          </cell>
          <cell r="N353" t="str">
            <v>SWAP</v>
          </cell>
          <cell r="O353" t="str">
            <v>20Y</v>
          </cell>
          <cell r="P353" t="b">
            <v>1</v>
          </cell>
          <cell r="R353" t="str">
            <v xml:space="preserve">  </v>
          </cell>
          <cell r="Z353" t="str">
            <v xml:space="preserve">  </v>
          </cell>
          <cell r="AH353" t="str">
            <v xml:space="preserve">  </v>
          </cell>
          <cell r="AP353" t="str">
            <v xml:space="preserve">  </v>
          </cell>
        </row>
        <row r="354">
          <cell r="B354" t="str">
            <v>JYSO5 MTRT Curncy</v>
          </cell>
          <cell r="C354" t="str">
            <v>JYSO5</v>
          </cell>
          <cell r="D354" t="str">
            <v>MTRT</v>
          </cell>
          <cell r="E354" t="str">
            <v>Curncy</v>
          </cell>
          <cell r="F354" t="str">
            <v>OIS</v>
          </cell>
          <cell r="G354" t="str">
            <v>5Y</v>
          </cell>
          <cell r="H354" t="b">
            <v>1</v>
          </cell>
          <cell r="J354" t="str">
            <v>JYSW25 MTRT Curncy</v>
          </cell>
          <cell r="K354" t="str">
            <v>JYSW25</v>
          </cell>
          <cell r="L354" t="str">
            <v>MTRT</v>
          </cell>
          <cell r="M354" t="str">
            <v>Curncy</v>
          </cell>
          <cell r="N354" t="str">
            <v>SWAP</v>
          </cell>
          <cell r="O354" t="str">
            <v>25Y</v>
          </cell>
          <cell r="P354" t="b">
            <v>1</v>
          </cell>
          <cell r="R354" t="str">
            <v xml:space="preserve">  </v>
          </cell>
          <cell r="Z354" t="str">
            <v xml:space="preserve">  </v>
          </cell>
          <cell r="AH354" t="str">
            <v xml:space="preserve">  </v>
          </cell>
          <cell r="AP354" t="str">
            <v xml:space="preserve">  </v>
          </cell>
        </row>
        <row r="355">
          <cell r="B355" t="str">
            <v>JYSO6 MTRT Curncy</v>
          </cell>
          <cell r="C355" t="str">
            <v>JYSO6</v>
          </cell>
          <cell r="D355" t="str">
            <v>MTRT</v>
          </cell>
          <cell r="E355" t="str">
            <v>Curncy</v>
          </cell>
          <cell r="F355" t="str">
            <v>OIS</v>
          </cell>
          <cell r="G355" t="str">
            <v>6Y</v>
          </cell>
          <cell r="H355" t="b">
            <v>1</v>
          </cell>
          <cell r="J355" t="str">
            <v>JYSW30 MTRT Curncy</v>
          </cell>
          <cell r="K355" t="str">
            <v>JYSW30</v>
          </cell>
          <cell r="L355" t="str">
            <v>MTRT</v>
          </cell>
          <cell r="M355" t="str">
            <v>Curncy</v>
          </cell>
          <cell r="N355" t="str">
            <v>SWAP</v>
          </cell>
          <cell r="O355" t="str">
            <v>30Y</v>
          </cell>
          <cell r="P355" t="b">
            <v>1</v>
          </cell>
          <cell r="R355" t="str">
            <v xml:space="preserve">  </v>
          </cell>
          <cell r="Z355" t="str">
            <v xml:space="preserve">  </v>
          </cell>
          <cell r="AH355" t="str">
            <v xml:space="preserve">  </v>
          </cell>
          <cell r="AP355" t="str">
            <v xml:space="preserve">  </v>
          </cell>
        </row>
        <row r="356">
          <cell r="B356" t="str">
            <v>JYSO7 MTRT Curncy</v>
          </cell>
          <cell r="C356" t="str">
            <v>JYSO7</v>
          </cell>
          <cell r="D356" t="str">
            <v>MTRT</v>
          </cell>
          <cell r="E356" t="str">
            <v>Curncy</v>
          </cell>
          <cell r="F356" t="str">
            <v>OIS</v>
          </cell>
          <cell r="G356" t="str">
            <v>7Y</v>
          </cell>
          <cell r="H356" t="b">
            <v>1</v>
          </cell>
          <cell r="J356" t="str">
            <v>JYSW35 MTRT Curncy</v>
          </cell>
          <cell r="K356" t="str">
            <v>JYSW35</v>
          </cell>
          <cell r="L356" t="str">
            <v>MTRT</v>
          </cell>
          <cell r="M356" t="str">
            <v>Curncy</v>
          </cell>
          <cell r="N356" t="str">
            <v>SWAP</v>
          </cell>
          <cell r="O356" t="str">
            <v>35Y</v>
          </cell>
          <cell r="P356" t="b">
            <v>1</v>
          </cell>
          <cell r="R356" t="str">
            <v xml:space="preserve">  </v>
          </cell>
          <cell r="Z356" t="str">
            <v xml:space="preserve">  </v>
          </cell>
          <cell r="AH356" t="str">
            <v xml:space="preserve">  </v>
          </cell>
          <cell r="AP356" t="str">
            <v xml:space="preserve">  </v>
          </cell>
        </row>
        <row r="357">
          <cell r="B357" t="str">
            <v>JYSO8 MTRT Curncy</v>
          </cell>
          <cell r="C357" t="str">
            <v>JYSO8</v>
          </cell>
          <cell r="D357" t="str">
            <v>MTRT</v>
          </cell>
          <cell r="E357" t="str">
            <v>Curncy</v>
          </cell>
          <cell r="F357" t="str">
            <v>OIS</v>
          </cell>
          <cell r="G357" t="str">
            <v>8Y</v>
          </cell>
          <cell r="H357" t="b">
            <v>1</v>
          </cell>
          <cell r="J357" t="str">
            <v>JYSW40 MTRT Curncy</v>
          </cell>
          <cell r="K357" t="str">
            <v>JYSW40</v>
          </cell>
          <cell r="L357" t="str">
            <v>MTRT</v>
          </cell>
          <cell r="M357" t="str">
            <v>Curncy</v>
          </cell>
          <cell r="N357" t="str">
            <v>SWAP</v>
          </cell>
          <cell r="O357" t="str">
            <v>40Y</v>
          </cell>
          <cell r="P357" t="b">
            <v>1</v>
          </cell>
          <cell r="R357" t="str">
            <v xml:space="preserve">  </v>
          </cell>
          <cell r="Z357" t="str">
            <v xml:space="preserve">  </v>
          </cell>
          <cell r="AH357" t="str">
            <v xml:space="preserve">  </v>
          </cell>
          <cell r="AP357" t="str">
            <v xml:space="preserve">  </v>
          </cell>
        </row>
        <row r="358">
          <cell r="B358" t="str">
            <v>JYSO9 MTRT Curncy</v>
          </cell>
          <cell r="C358" t="str">
            <v>JYSO9</v>
          </cell>
          <cell r="D358" t="str">
            <v>MTRT</v>
          </cell>
          <cell r="E358" t="str">
            <v>Curncy</v>
          </cell>
          <cell r="F358" t="str">
            <v>OIS</v>
          </cell>
          <cell r="G358" t="str">
            <v>9Y</v>
          </cell>
          <cell r="H358" t="b">
            <v>1</v>
          </cell>
          <cell r="J358" t="str">
            <v xml:space="preserve">  </v>
          </cell>
          <cell r="R358" t="str">
            <v xml:space="preserve">  </v>
          </cell>
          <cell r="Z358" t="str">
            <v xml:space="preserve">  </v>
          </cell>
          <cell r="AH358" t="str">
            <v xml:space="preserve">  </v>
          </cell>
          <cell r="AP358" t="str">
            <v xml:space="preserve">  </v>
          </cell>
        </row>
        <row r="359">
          <cell r="B359" t="str">
            <v>JYSO10 MTRT Curncy</v>
          </cell>
          <cell r="C359" t="str">
            <v>JYSO10</v>
          </cell>
          <cell r="D359" t="str">
            <v>MTRT</v>
          </cell>
          <cell r="E359" t="str">
            <v>Curncy</v>
          </cell>
          <cell r="F359" t="str">
            <v>OIS</v>
          </cell>
          <cell r="G359" t="str">
            <v>10Y</v>
          </cell>
          <cell r="H359" t="b">
            <v>1</v>
          </cell>
          <cell r="J359" t="str">
            <v xml:space="preserve">  </v>
          </cell>
          <cell r="R359" t="str">
            <v xml:space="preserve">  </v>
          </cell>
          <cell r="Z359" t="str">
            <v xml:space="preserve">  </v>
          </cell>
          <cell r="AH359" t="str">
            <v xml:space="preserve">  </v>
          </cell>
          <cell r="AP359" t="str">
            <v xml:space="preserve">  </v>
          </cell>
        </row>
        <row r="360">
          <cell r="B360" t="str">
            <v>JYSO11 MTRT Curncy</v>
          </cell>
          <cell r="C360" t="str">
            <v>JYSO11</v>
          </cell>
          <cell r="D360" t="str">
            <v>MTRT</v>
          </cell>
          <cell r="E360" t="str">
            <v>Curncy</v>
          </cell>
          <cell r="F360" t="str">
            <v>OIS</v>
          </cell>
          <cell r="G360" t="str">
            <v>11Y</v>
          </cell>
          <cell r="H360" t="b">
            <v>1</v>
          </cell>
          <cell r="J360" t="str">
            <v xml:space="preserve">  </v>
          </cell>
          <cell r="R360" t="str">
            <v xml:space="preserve">  </v>
          </cell>
          <cell r="Z360" t="str">
            <v xml:space="preserve">  </v>
          </cell>
          <cell r="AH360" t="str">
            <v xml:space="preserve">  </v>
          </cell>
          <cell r="AP360" t="str">
            <v xml:space="preserve">  </v>
          </cell>
        </row>
        <row r="361">
          <cell r="B361" t="str">
            <v>JYSO12 MTRT Curncy</v>
          </cell>
          <cell r="C361" t="str">
            <v>JYSO12</v>
          </cell>
          <cell r="D361" t="str">
            <v>MTRT</v>
          </cell>
          <cell r="E361" t="str">
            <v>Curncy</v>
          </cell>
          <cell r="F361" t="str">
            <v>OIS</v>
          </cell>
          <cell r="G361" t="str">
            <v>12Y</v>
          </cell>
          <cell r="H361" t="b">
            <v>1</v>
          </cell>
          <cell r="J361" t="str">
            <v xml:space="preserve">  </v>
          </cell>
          <cell r="R361" t="str">
            <v xml:space="preserve">  </v>
          </cell>
          <cell r="Z361" t="str">
            <v xml:space="preserve">  </v>
          </cell>
          <cell r="AH361" t="str">
            <v xml:space="preserve">  </v>
          </cell>
          <cell r="AP361" t="str">
            <v xml:space="preserve">  </v>
          </cell>
        </row>
        <row r="362">
          <cell r="B362" t="str">
            <v>JYSO15 MTRT Curncy</v>
          </cell>
          <cell r="C362" t="str">
            <v>JYSO15</v>
          </cell>
          <cell r="D362" t="str">
            <v>MTRT</v>
          </cell>
          <cell r="E362" t="str">
            <v>Curncy</v>
          </cell>
          <cell r="F362" t="str">
            <v>OIS</v>
          </cell>
          <cell r="G362" t="str">
            <v>15Y</v>
          </cell>
          <cell r="H362" t="b">
            <v>1</v>
          </cell>
          <cell r="J362" t="str">
            <v xml:space="preserve">  </v>
          </cell>
          <cell r="R362" t="str">
            <v xml:space="preserve">  </v>
          </cell>
          <cell r="Z362" t="str">
            <v xml:space="preserve">  </v>
          </cell>
          <cell r="AH362" t="str">
            <v xml:space="preserve">  </v>
          </cell>
          <cell r="AP362" t="str">
            <v xml:space="preserve">  </v>
          </cell>
        </row>
        <row r="363">
          <cell r="B363" t="str">
            <v>JYSO20 MTRT Curncy</v>
          </cell>
          <cell r="C363" t="str">
            <v>JYSO20</v>
          </cell>
          <cell r="D363" t="str">
            <v>MTRT</v>
          </cell>
          <cell r="E363" t="str">
            <v>Curncy</v>
          </cell>
          <cell r="F363" t="str">
            <v>OIS</v>
          </cell>
          <cell r="G363" t="str">
            <v>20Y</v>
          </cell>
          <cell r="H363" t="b">
            <v>1</v>
          </cell>
          <cell r="J363" t="str">
            <v xml:space="preserve">  </v>
          </cell>
          <cell r="R363" t="str">
            <v xml:space="preserve">  </v>
          </cell>
          <cell r="Z363" t="str">
            <v xml:space="preserve">  </v>
          </cell>
          <cell r="AH363" t="str">
            <v xml:space="preserve">  </v>
          </cell>
          <cell r="AP363" t="str">
            <v xml:space="preserve">  </v>
          </cell>
        </row>
        <row r="364">
          <cell r="B364" t="str">
            <v>JYSO25 MTRT Curncy</v>
          </cell>
          <cell r="C364" t="str">
            <v>JYSO25</v>
          </cell>
          <cell r="D364" t="str">
            <v>MTRT</v>
          </cell>
          <cell r="E364" t="str">
            <v>Curncy</v>
          </cell>
          <cell r="F364" t="str">
            <v>OIS</v>
          </cell>
          <cell r="G364" t="str">
            <v>25Y</v>
          </cell>
          <cell r="H364" t="b">
            <v>1</v>
          </cell>
          <cell r="J364" t="str">
            <v xml:space="preserve">  </v>
          </cell>
          <cell r="R364" t="str">
            <v xml:space="preserve">  </v>
          </cell>
          <cell r="Z364" t="str">
            <v xml:space="preserve">  </v>
          </cell>
          <cell r="AH364" t="str">
            <v xml:space="preserve">  </v>
          </cell>
          <cell r="AP364" t="str">
            <v xml:space="preserve">  </v>
          </cell>
        </row>
        <row r="365">
          <cell r="B365" t="str">
            <v>JYSO30 MTRT Curncy</v>
          </cell>
          <cell r="C365" t="str">
            <v>JYSO30</v>
          </cell>
          <cell r="D365" t="str">
            <v>MTRT</v>
          </cell>
          <cell r="E365" t="str">
            <v>Curncy</v>
          </cell>
          <cell r="F365" t="str">
            <v>OIS</v>
          </cell>
          <cell r="G365" t="str">
            <v>30Y</v>
          </cell>
          <cell r="H365" t="b">
            <v>1</v>
          </cell>
          <cell r="J365" t="str">
            <v xml:space="preserve">  </v>
          </cell>
          <cell r="R365" t="str">
            <v xml:space="preserve">  </v>
          </cell>
          <cell r="Z365" t="str">
            <v xml:space="preserve">  </v>
          </cell>
          <cell r="AH365" t="str">
            <v xml:space="preserve">  </v>
          </cell>
          <cell r="AP365" t="str">
            <v xml:space="preserve">  </v>
          </cell>
        </row>
        <row r="366">
          <cell r="B366" t="str">
            <v>JYSO35 MTRT Curncy</v>
          </cell>
          <cell r="C366" t="str">
            <v>JYSO35</v>
          </cell>
          <cell r="D366" t="str">
            <v>MTRT</v>
          </cell>
          <cell r="E366" t="str">
            <v>Curncy</v>
          </cell>
          <cell r="F366" t="str">
            <v>OIS</v>
          </cell>
          <cell r="G366" t="str">
            <v>35Y</v>
          </cell>
          <cell r="H366" t="b">
            <v>0</v>
          </cell>
          <cell r="J366" t="str">
            <v xml:space="preserve">  </v>
          </cell>
          <cell r="R366" t="str">
            <v xml:space="preserve">  </v>
          </cell>
          <cell r="Z366" t="str">
            <v xml:space="preserve">  </v>
          </cell>
          <cell r="AH366" t="str">
            <v xml:space="preserve">  </v>
          </cell>
          <cell r="AP366" t="str">
            <v xml:space="preserve">  </v>
          </cell>
        </row>
        <row r="367">
          <cell r="B367" t="str">
            <v>JYSO40 MTRT Curncy</v>
          </cell>
          <cell r="C367" t="str">
            <v>JYSO40</v>
          </cell>
          <cell r="D367" t="str">
            <v>MTRT</v>
          </cell>
          <cell r="E367" t="str">
            <v>Curncy</v>
          </cell>
          <cell r="F367" t="str">
            <v>OIS</v>
          </cell>
          <cell r="G367" t="str">
            <v>40Y</v>
          </cell>
          <cell r="H367" t="b">
            <v>0</v>
          </cell>
          <cell r="J367" t="str">
            <v xml:space="preserve">  </v>
          </cell>
          <cell r="R367" t="str">
            <v xml:space="preserve">  </v>
          </cell>
          <cell r="Z367" t="str">
            <v xml:space="preserve">  </v>
          </cell>
          <cell r="AH367" t="str">
            <v xml:space="preserve">  </v>
          </cell>
          <cell r="AP367" t="str">
            <v xml:space="preserve">  </v>
          </cell>
        </row>
        <row r="368">
          <cell r="B368" t="str">
            <v xml:space="preserve">  </v>
          </cell>
          <cell r="J368" t="str">
            <v xml:space="preserve">  </v>
          </cell>
          <cell r="R368" t="str">
            <v xml:space="preserve">  </v>
          </cell>
          <cell r="Z368" t="str">
            <v xml:space="preserve">  </v>
          </cell>
          <cell r="AH368" t="str">
            <v xml:space="preserve">  </v>
          </cell>
          <cell r="AP368" t="str">
            <v xml:space="preserve">  </v>
          </cell>
        </row>
        <row r="369">
          <cell r="B369" t="str">
            <v xml:space="preserve">  </v>
          </cell>
          <cell r="J369" t="str">
            <v xml:space="preserve">  </v>
          </cell>
          <cell r="R369" t="str">
            <v xml:space="preserve">  </v>
          </cell>
          <cell r="Z369" t="str">
            <v xml:space="preserve">  </v>
          </cell>
          <cell r="AH369" t="str">
            <v xml:space="preserve">  </v>
          </cell>
          <cell r="AP369" t="str">
            <v xml:space="preserve">  </v>
          </cell>
        </row>
        <row r="370">
          <cell r="B370" t="str">
            <v xml:space="preserve">  </v>
          </cell>
          <cell r="J370" t="str">
            <v xml:space="preserve">  </v>
          </cell>
          <cell r="R370" t="str">
            <v xml:space="preserve">  </v>
          </cell>
          <cell r="Z370" t="str">
            <v xml:space="preserve">  </v>
          </cell>
          <cell r="AH370" t="str">
            <v xml:space="preserve">  </v>
          </cell>
          <cell r="AP370" t="str">
            <v xml:space="preserve">  </v>
          </cell>
        </row>
        <row r="371">
          <cell r="B371" t="str">
            <v xml:space="preserve">  </v>
          </cell>
          <cell r="J371" t="str">
            <v xml:space="preserve">  </v>
          </cell>
          <cell r="R371" t="str">
            <v xml:space="preserve">  </v>
          </cell>
          <cell r="Z371" t="str">
            <v xml:space="preserve">  </v>
          </cell>
          <cell r="AH371" t="str">
            <v xml:space="preserve">  </v>
          </cell>
          <cell r="AP371" t="str">
            <v xml:space="preserve">  </v>
          </cell>
        </row>
        <row r="372">
          <cell r="B372" t="str">
            <v xml:space="preserve">  </v>
          </cell>
          <cell r="J372" t="str">
            <v xml:space="preserve">  </v>
          </cell>
          <cell r="R372" t="str">
            <v xml:space="preserve">  </v>
          </cell>
          <cell r="Z372" t="str">
            <v xml:space="preserve">  </v>
          </cell>
          <cell r="AH372" t="str">
            <v xml:space="preserve">  </v>
          </cell>
          <cell r="AP372" t="str">
            <v xml:space="preserve">  </v>
          </cell>
        </row>
        <row r="373">
          <cell r="B373" t="str">
            <v xml:space="preserve">  </v>
          </cell>
          <cell r="J373" t="str">
            <v xml:space="preserve">  </v>
          </cell>
          <cell r="R373" t="str">
            <v xml:space="preserve">  </v>
          </cell>
          <cell r="Z373" t="str">
            <v xml:space="preserve">  </v>
          </cell>
          <cell r="AH373" t="str">
            <v xml:space="preserve">  </v>
          </cell>
          <cell r="AP373" t="str">
            <v xml:space="preserve">  </v>
          </cell>
        </row>
        <row r="374">
          <cell r="B374" t="str">
            <v xml:space="preserve">  </v>
          </cell>
          <cell r="J374" t="str">
            <v xml:space="preserve">  </v>
          </cell>
          <cell r="R374" t="str">
            <v xml:space="preserve">  </v>
          </cell>
          <cell r="Z374" t="str">
            <v xml:space="preserve">  </v>
          </cell>
          <cell r="AH374" t="str">
            <v xml:space="preserve">  </v>
          </cell>
          <cell r="AP374" t="str">
            <v xml:space="preserve">  </v>
          </cell>
        </row>
        <row r="375">
          <cell r="B375" t="str">
            <v xml:space="preserve">  </v>
          </cell>
          <cell r="J375" t="str">
            <v xml:space="preserve">  </v>
          </cell>
          <cell r="R375" t="str">
            <v xml:space="preserve">  </v>
          </cell>
          <cell r="Z375" t="str">
            <v xml:space="preserve">  </v>
          </cell>
          <cell r="AH375" t="str">
            <v xml:space="preserve">  </v>
          </cell>
          <cell r="AP375" t="str">
            <v xml:space="preserve">  </v>
          </cell>
        </row>
        <row r="376">
          <cell r="B376" t="str">
            <v xml:space="preserve">  </v>
          </cell>
          <cell r="J376" t="str">
            <v xml:space="preserve">  </v>
          </cell>
          <cell r="R376" t="str">
            <v xml:space="preserve">  </v>
          </cell>
          <cell r="Z376" t="str">
            <v xml:space="preserve">  </v>
          </cell>
          <cell r="AH376" t="str">
            <v xml:space="preserve">  </v>
          </cell>
          <cell r="AP376" t="str">
            <v xml:space="preserve">  </v>
          </cell>
        </row>
        <row r="377">
          <cell r="B377" t="str">
            <v xml:space="preserve">  </v>
          </cell>
          <cell r="J377" t="str">
            <v xml:space="preserve">  </v>
          </cell>
          <cell r="R377" t="str">
            <v xml:space="preserve">  </v>
          </cell>
          <cell r="Z377" t="str">
            <v xml:space="preserve">  </v>
          </cell>
          <cell r="AH377" t="str">
            <v xml:space="preserve">  </v>
          </cell>
          <cell r="AP377" t="str">
            <v xml:space="preserve">  </v>
          </cell>
        </row>
        <row r="378">
          <cell r="B378" t="str">
            <v xml:space="preserve">  </v>
          </cell>
          <cell r="J378" t="str">
            <v xml:space="preserve">  </v>
          </cell>
          <cell r="R378" t="str">
            <v xml:space="preserve">  </v>
          </cell>
          <cell r="Z378" t="str">
            <v xml:space="preserve">  </v>
          </cell>
          <cell r="AH378" t="str">
            <v xml:space="preserve">  </v>
          </cell>
          <cell r="AP378" t="str">
            <v xml:space="preserve">  </v>
          </cell>
        </row>
        <row r="379">
          <cell r="B379" t="str">
            <v xml:space="preserve">  </v>
          </cell>
          <cell r="J379" t="str">
            <v xml:space="preserve">  </v>
          </cell>
          <cell r="R379" t="str">
            <v xml:space="preserve">  </v>
          </cell>
          <cell r="Z379" t="str">
            <v xml:space="preserve">  </v>
          </cell>
          <cell r="AH379" t="str">
            <v xml:space="preserve">  </v>
          </cell>
          <cell r="AP379" t="str">
            <v xml:space="preserve">  </v>
          </cell>
        </row>
        <row r="380">
          <cell r="B380" t="str">
            <v xml:space="preserve">  </v>
          </cell>
          <cell r="J380" t="str">
            <v xml:space="preserve">  </v>
          </cell>
          <cell r="R380" t="str">
            <v xml:space="preserve">  </v>
          </cell>
          <cell r="Z380" t="str">
            <v xml:space="preserve">  </v>
          </cell>
          <cell r="AH380" t="str">
            <v xml:space="preserve">  </v>
          </cell>
          <cell r="AP380" t="str">
            <v xml:space="preserve">  </v>
          </cell>
        </row>
        <row r="381">
          <cell r="B381" t="str">
            <v xml:space="preserve">  </v>
          </cell>
          <cell r="J381" t="str">
            <v xml:space="preserve">  </v>
          </cell>
          <cell r="R381" t="str">
            <v xml:space="preserve">  </v>
          </cell>
          <cell r="Z381" t="str">
            <v xml:space="preserve">  </v>
          </cell>
          <cell r="AH381" t="str">
            <v xml:space="preserve">  </v>
          </cell>
          <cell r="AP381" t="str">
            <v xml:space="preserve">  </v>
          </cell>
        </row>
        <row r="382">
          <cell r="B382" t="str">
            <v xml:space="preserve">  </v>
          </cell>
          <cell r="J382" t="str">
            <v xml:space="preserve">  </v>
          </cell>
          <cell r="R382" t="str">
            <v xml:space="preserve">  </v>
          </cell>
          <cell r="Z382" t="str">
            <v xml:space="preserve">  </v>
          </cell>
          <cell r="AH382" t="str">
            <v xml:space="preserve">  </v>
          </cell>
          <cell r="AP382" t="str">
            <v xml:space="preserve">  </v>
          </cell>
        </row>
        <row r="383">
          <cell r="B383" t="str">
            <v xml:space="preserve">  </v>
          </cell>
          <cell r="J383" t="str">
            <v xml:space="preserve">  </v>
          </cell>
          <cell r="R383" t="str">
            <v xml:space="preserve">  </v>
          </cell>
          <cell r="Z383" t="str">
            <v xml:space="preserve">  </v>
          </cell>
          <cell r="AH383" t="str">
            <v xml:space="preserve">  </v>
          </cell>
          <cell r="AP383" t="str">
            <v xml:space="preserve">  </v>
          </cell>
        </row>
        <row r="384">
          <cell r="B384" t="str">
            <v xml:space="preserve">  </v>
          </cell>
          <cell r="J384" t="str">
            <v xml:space="preserve">  </v>
          </cell>
          <cell r="R384" t="str">
            <v xml:space="preserve">  </v>
          </cell>
          <cell r="Z384" t="str">
            <v xml:space="preserve">  </v>
          </cell>
          <cell r="AH384" t="str">
            <v xml:space="preserve">  </v>
          </cell>
          <cell r="AP384" t="str">
            <v xml:space="preserve">  </v>
          </cell>
        </row>
        <row r="385">
          <cell r="B385" t="str">
            <v xml:space="preserve">  </v>
          </cell>
          <cell r="J385" t="str">
            <v xml:space="preserve">  </v>
          </cell>
          <cell r="R385" t="str">
            <v xml:space="preserve">  </v>
          </cell>
          <cell r="Z385" t="str">
            <v xml:space="preserve">  </v>
          </cell>
          <cell r="AH385" t="str">
            <v xml:space="preserve">  </v>
          </cell>
          <cell r="AP385" t="str">
            <v xml:space="preserve">  </v>
          </cell>
        </row>
        <row r="386">
          <cell r="B386" t="str">
            <v xml:space="preserve">  </v>
          </cell>
          <cell r="J386" t="str">
            <v xml:space="preserve">  </v>
          </cell>
          <cell r="R386" t="str">
            <v xml:space="preserve">  </v>
          </cell>
          <cell r="Z386" t="str">
            <v xml:space="preserve">  </v>
          </cell>
          <cell r="AH386" t="str">
            <v xml:space="preserve">  </v>
          </cell>
          <cell r="AP386" t="str">
            <v xml:space="preserve">  </v>
          </cell>
        </row>
        <row r="387">
          <cell r="B387" t="str">
            <v xml:space="preserve">  </v>
          </cell>
          <cell r="J387" t="str">
            <v xml:space="preserve">  </v>
          </cell>
          <cell r="R387" t="str">
            <v xml:space="preserve">  </v>
          </cell>
          <cell r="Z387" t="str">
            <v xml:space="preserve">  </v>
          </cell>
          <cell r="AH387" t="str">
            <v xml:space="preserve">  </v>
          </cell>
          <cell r="AP387" t="str">
            <v xml:space="preserve">  </v>
          </cell>
        </row>
        <row r="388">
          <cell r="B388" t="str">
            <v xml:space="preserve">  </v>
          </cell>
          <cell r="J388" t="str">
            <v xml:space="preserve">  </v>
          </cell>
          <cell r="R388" t="str">
            <v xml:space="preserve">  </v>
          </cell>
          <cell r="Z388" t="str">
            <v xml:space="preserve">  </v>
          </cell>
          <cell r="AH388" t="str">
            <v xml:space="preserve">  </v>
          </cell>
          <cell r="AP388" t="str">
            <v xml:space="preserve">  </v>
          </cell>
        </row>
        <row r="389">
          <cell r="B389" t="str">
            <v xml:space="preserve">  </v>
          </cell>
          <cell r="J389" t="str">
            <v xml:space="preserve">  </v>
          </cell>
          <cell r="R389" t="str">
            <v xml:space="preserve">  </v>
          </cell>
          <cell r="Z389" t="str">
            <v xml:space="preserve">  </v>
          </cell>
          <cell r="AH389" t="str">
            <v xml:space="preserve">  </v>
          </cell>
          <cell r="AP389" t="str">
            <v xml:space="preserve">  </v>
          </cell>
        </row>
        <row r="390">
          <cell r="B390" t="str">
            <v xml:space="preserve">  </v>
          </cell>
          <cell r="J390" t="str">
            <v xml:space="preserve">  </v>
          </cell>
          <cell r="R390" t="str">
            <v xml:space="preserve">  </v>
          </cell>
          <cell r="Z390" t="str">
            <v xml:space="preserve">  </v>
          </cell>
          <cell r="AH390" t="str">
            <v xml:space="preserve">  </v>
          </cell>
          <cell r="AP390" t="str">
            <v xml:space="preserve">  </v>
          </cell>
        </row>
        <row r="391">
          <cell r="B391" t="str">
            <v xml:space="preserve">  </v>
          </cell>
          <cell r="J391" t="str">
            <v xml:space="preserve">  </v>
          </cell>
          <cell r="R391" t="str">
            <v xml:space="preserve">  </v>
          </cell>
          <cell r="Z391" t="str">
            <v xml:space="preserve">  </v>
          </cell>
          <cell r="AH391" t="str">
            <v xml:space="preserve">  </v>
          </cell>
          <cell r="AP391" t="str">
            <v xml:space="preserve">  </v>
          </cell>
        </row>
        <row r="392">
          <cell r="B392" t="str">
            <v xml:space="preserve">  </v>
          </cell>
          <cell r="J392" t="str">
            <v xml:space="preserve">  </v>
          </cell>
          <cell r="R392" t="str">
            <v xml:space="preserve">  </v>
          </cell>
          <cell r="Z392" t="str">
            <v xml:space="preserve">  </v>
          </cell>
          <cell r="AH392" t="str">
            <v xml:space="preserve">  </v>
          </cell>
          <cell r="AP392" t="str">
            <v xml:space="preserve">  </v>
          </cell>
        </row>
        <row r="393">
          <cell r="B393" t="str">
            <v xml:space="preserve">  </v>
          </cell>
          <cell r="J393" t="str">
            <v xml:space="preserve">  </v>
          </cell>
          <cell r="R393" t="str">
            <v xml:space="preserve">  </v>
          </cell>
          <cell r="Z393" t="str">
            <v xml:space="preserve">  </v>
          </cell>
          <cell r="AH393" t="str">
            <v xml:space="preserve">  </v>
          </cell>
          <cell r="AP393" t="str">
            <v xml:space="preserve">  </v>
          </cell>
        </row>
        <row r="394">
          <cell r="B394" t="str">
            <v xml:space="preserve">  </v>
          </cell>
          <cell r="J394" t="str">
            <v xml:space="preserve">  </v>
          </cell>
          <cell r="R394" t="str">
            <v xml:space="preserve">  </v>
          </cell>
          <cell r="Z394" t="str">
            <v xml:space="preserve">  </v>
          </cell>
          <cell r="AH394" t="str">
            <v xml:space="preserve">  </v>
          </cell>
          <cell r="AP394" t="str">
            <v xml:space="preserve">  </v>
          </cell>
        </row>
        <row r="395">
          <cell r="B395" t="str">
            <v xml:space="preserve">  </v>
          </cell>
          <cell r="J395" t="str">
            <v xml:space="preserve">  </v>
          </cell>
          <cell r="R395" t="str">
            <v xml:space="preserve">  </v>
          </cell>
          <cell r="Z395" t="str">
            <v xml:space="preserve">  </v>
          </cell>
          <cell r="AH395" t="str">
            <v xml:space="preserve">  </v>
          </cell>
          <cell r="AP395" t="str">
            <v xml:space="preserve">  </v>
          </cell>
        </row>
        <row r="396">
          <cell r="B396" t="str">
            <v xml:space="preserve">  </v>
          </cell>
          <cell r="J396" t="str">
            <v xml:space="preserve">  </v>
          </cell>
          <cell r="R396" t="str">
            <v xml:space="preserve">  </v>
          </cell>
          <cell r="Z396" t="str">
            <v xml:space="preserve">  </v>
          </cell>
          <cell r="AH396" t="str">
            <v xml:space="preserve">  </v>
          </cell>
          <cell r="AP396" t="str">
            <v xml:space="preserve">  </v>
          </cell>
        </row>
        <row r="397">
          <cell r="B397" t="str">
            <v xml:space="preserve">  </v>
          </cell>
          <cell r="J397" t="str">
            <v xml:space="preserve">  </v>
          </cell>
          <cell r="R397" t="str">
            <v xml:space="preserve">  </v>
          </cell>
          <cell r="Z397" t="str">
            <v xml:space="preserve">  </v>
          </cell>
          <cell r="AH397" t="str">
            <v xml:space="preserve">  </v>
          </cell>
          <cell r="AP397" t="str">
            <v xml:space="preserve">  </v>
          </cell>
        </row>
        <row r="398">
          <cell r="B398" t="str">
            <v xml:space="preserve">  </v>
          </cell>
          <cell r="J398" t="str">
            <v xml:space="preserve">  </v>
          </cell>
          <cell r="R398" t="str">
            <v xml:space="preserve">  </v>
          </cell>
          <cell r="Z398" t="str">
            <v xml:space="preserve">  </v>
          </cell>
          <cell r="AH398" t="str">
            <v xml:space="preserve">  </v>
          </cell>
          <cell r="AP398" t="str">
            <v xml:space="preserve">  </v>
          </cell>
        </row>
        <row r="399">
          <cell r="B399" t="str">
            <v xml:space="preserve">  </v>
          </cell>
          <cell r="J399" t="str">
            <v xml:space="preserve">  </v>
          </cell>
          <cell r="R399" t="str">
            <v xml:space="preserve">  </v>
          </cell>
          <cell r="Z399" t="str">
            <v xml:space="preserve">  </v>
          </cell>
          <cell r="AH399" t="str">
            <v xml:space="preserve">  </v>
          </cell>
          <cell r="AP399" t="str">
            <v xml:space="preserve">  </v>
          </cell>
        </row>
        <row r="400">
          <cell r="B400" t="str">
            <v xml:space="preserve">  </v>
          </cell>
          <cell r="J400" t="str">
            <v xml:space="preserve">  </v>
          </cell>
          <cell r="R400" t="str">
            <v xml:space="preserve">  </v>
          </cell>
          <cell r="Z400" t="str">
            <v xml:space="preserve">  </v>
          </cell>
          <cell r="AH400" t="str">
            <v xml:space="preserve">  </v>
          </cell>
          <cell r="AP400" t="str">
            <v xml:space="preserve">  </v>
          </cell>
        </row>
        <row r="401">
          <cell r="B401" t="str">
            <v xml:space="preserve">  </v>
          </cell>
          <cell r="J401" t="str">
            <v xml:space="preserve">  </v>
          </cell>
          <cell r="R401" t="str">
            <v xml:space="preserve">  </v>
          </cell>
          <cell r="Z401" t="str">
            <v xml:space="preserve">  </v>
          </cell>
          <cell r="AH401" t="str">
            <v xml:space="preserve">  </v>
          </cell>
          <cell r="AP401" t="str">
            <v xml:space="preserve">  </v>
          </cell>
        </row>
        <row r="402">
          <cell r="B402" t="str">
            <v xml:space="preserve">  </v>
          </cell>
          <cell r="J402" t="str">
            <v xml:space="preserve">  </v>
          </cell>
          <cell r="R402" t="str">
            <v xml:space="preserve">  </v>
          </cell>
          <cell r="Z402" t="str">
            <v xml:space="preserve">  </v>
          </cell>
          <cell r="AH402" t="str">
            <v xml:space="preserve">  </v>
          </cell>
          <cell r="AP402" t="str">
            <v xml:space="preserve">  </v>
          </cell>
        </row>
        <row r="403">
          <cell r="B403" t="str">
            <v xml:space="preserve">  </v>
          </cell>
          <cell r="J403" t="str">
            <v xml:space="preserve">  </v>
          </cell>
          <cell r="R403" t="str">
            <v xml:space="preserve">  </v>
          </cell>
          <cell r="Z403" t="str">
            <v xml:space="preserve">  </v>
          </cell>
          <cell r="AH403" t="str">
            <v xml:space="preserve">  </v>
          </cell>
          <cell r="AP403" t="str">
            <v xml:space="preserve">  </v>
          </cell>
        </row>
        <row r="404">
          <cell r="B404" t="str">
            <v xml:space="preserve">  </v>
          </cell>
          <cell r="J404" t="str">
            <v xml:space="preserve">  </v>
          </cell>
          <cell r="R404" t="str">
            <v xml:space="preserve">  </v>
          </cell>
          <cell r="Z404" t="str">
            <v xml:space="preserve">  </v>
          </cell>
          <cell r="AH404" t="str">
            <v xml:space="preserve">  </v>
          </cell>
          <cell r="AP404" t="str">
            <v xml:space="preserve">  </v>
          </cell>
        </row>
        <row r="405">
          <cell r="B405" t="str">
            <v xml:space="preserve">  </v>
          </cell>
          <cell r="J405" t="str">
            <v xml:space="preserve">  </v>
          </cell>
          <cell r="R405" t="str">
            <v xml:space="preserve">  </v>
          </cell>
          <cell r="Z405" t="str">
            <v xml:space="preserve">  </v>
          </cell>
          <cell r="AH405" t="str">
            <v xml:space="preserve">  </v>
          </cell>
          <cell r="AP405" t="str">
            <v xml:space="preserve">  </v>
          </cell>
        </row>
        <row r="406">
          <cell r="B406" t="str">
            <v xml:space="preserve">  </v>
          </cell>
          <cell r="J406" t="str">
            <v xml:space="preserve">  </v>
          </cell>
          <cell r="R406" t="str">
            <v xml:space="preserve">  </v>
          </cell>
          <cell r="Z406" t="str">
            <v xml:space="preserve">  </v>
          </cell>
          <cell r="AH406" t="str">
            <v xml:space="preserve">  </v>
          </cell>
          <cell r="AP406" t="str">
            <v xml:space="preserve">  </v>
          </cell>
        </row>
        <row r="407">
          <cell r="B407" t="str">
            <v xml:space="preserve">  </v>
          </cell>
          <cell r="J407" t="str">
            <v xml:space="preserve">  </v>
          </cell>
          <cell r="R407" t="str">
            <v xml:space="preserve">  </v>
          </cell>
          <cell r="Z407" t="str">
            <v xml:space="preserve">  </v>
          </cell>
          <cell r="AH407" t="str">
            <v xml:space="preserve">  </v>
          </cell>
          <cell r="AP407" t="str">
            <v xml:space="preserve">  </v>
          </cell>
        </row>
        <row r="408">
          <cell r="B408" t="str">
            <v xml:space="preserve">  </v>
          </cell>
          <cell r="J408" t="str">
            <v xml:space="preserve">  </v>
          </cell>
          <cell r="R408" t="str">
            <v xml:space="preserve">  </v>
          </cell>
          <cell r="Z408" t="str">
            <v xml:space="preserve">  </v>
          </cell>
          <cell r="AH408" t="str">
            <v xml:space="preserve">  </v>
          </cell>
          <cell r="AP408" t="str">
            <v xml:space="preserve">  </v>
          </cell>
        </row>
        <row r="409">
          <cell r="B409" t="str">
            <v xml:space="preserve">  </v>
          </cell>
          <cell r="J409" t="str">
            <v xml:space="preserve">  </v>
          </cell>
          <cell r="R409" t="str">
            <v xml:space="preserve">  </v>
          </cell>
          <cell r="Z409" t="str">
            <v xml:space="preserve">  </v>
          </cell>
          <cell r="AH409" t="str">
            <v xml:space="preserve">  </v>
          </cell>
          <cell r="AP409" t="str">
            <v xml:space="preserve">  </v>
          </cell>
        </row>
        <row r="410">
          <cell r="B410" t="str">
            <v xml:space="preserve">  </v>
          </cell>
          <cell r="J410" t="str">
            <v xml:space="preserve">  </v>
          </cell>
          <cell r="R410" t="str">
            <v xml:space="preserve">  </v>
          </cell>
          <cell r="Z410" t="str">
            <v xml:space="preserve">  </v>
          </cell>
          <cell r="AH410" t="str">
            <v xml:space="preserve">  </v>
          </cell>
          <cell r="AP410" t="str">
            <v xml:space="preserve">  </v>
          </cell>
        </row>
        <row r="411">
          <cell r="B411" t="str">
            <v xml:space="preserve">  </v>
          </cell>
          <cell r="J411" t="str">
            <v xml:space="preserve">  </v>
          </cell>
          <cell r="R411" t="str">
            <v xml:space="preserve">  </v>
          </cell>
          <cell r="Z411" t="str">
            <v xml:space="preserve">  </v>
          </cell>
          <cell r="AH411" t="str">
            <v xml:space="preserve">  </v>
          </cell>
          <cell r="AP411" t="str">
            <v xml:space="preserve">  </v>
          </cell>
        </row>
        <row r="412">
          <cell r="B412" t="str">
            <v xml:space="preserve">  </v>
          </cell>
          <cell r="J412" t="str">
            <v xml:space="preserve">  </v>
          </cell>
          <cell r="R412" t="str">
            <v xml:space="preserve">  </v>
          </cell>
          <cell r="Z412" t="str">
            <v xml:space="preserve">  </v>
          </cell>
          <cell r="AH412" t="str">
            <v xml:space="preserve">  </v>
          </cell>
          <cell r="AP412" t="str">
            <v xml:space="preserve">  </v>
          </cell>
        </row>
        <row r="413">
          <cell r="B413" t="str">
            <v xml:space="preserve">  </v>
          </cell>
          <cell r="J413" t="str">
            <v xml:space="preserve">  </v>
          </cell>
          <cell r="R413" t="str">
            <v xml:space="preserve">  </v>
          </cell>
          <cell r="Z413" t="str">
            <v xml:space="preserve">  </v>
          </cell>
          <cell r="AH413" t="str">
            <v xml:space="preserve">  </v>
          </cell>
          <cell r="AP413" t="str">
            <v xml:space="preserve">  </v>
          </cell>
        </row>
        <row r="414">
          <cell r="B414" t="str">
            <v xml:space="preserve">  </v>
          </cell>
          <cell r="J414" t="str">
            <v xml:space="preserve">  </v>
          </cell>
          <cell r="R414" t="str">
            <v xml:space="preserve">  </v>
          </cell>
          <cell r="Z414" t="str">
            <v xml:space="preserve">  </v>
          </cell>
          <cell r="AH414" t="str">
            <v xml:space="preserve">  </v>
          </cell>
          <cell r="AP414" t="str">
            <v xml:space="preserve">  </v>
          </cell>
        </row>
        <row r="415">
          <cell r="B415" t="str">
            <v xml:space="preserve">  </v>
          </cell>
          <cell r="J415" t="str">
            <v xml:space="preserve">  </v>
          </cell>
          <cell r="R415" t="str">
            <v xml:space="preserve">  </v>
          </cell>
          <cell r="Z415" t="str">
            <v xml:space="preserve">  </v>
          </cell>
          <cell r="AH415" t="str">
            <v xml:space="preserve">  </v>
          </cell>
          <cell r="AP415" t="str">
            <v xml:space="preserve">  </v>
          </cell>
        </row>
        <row r="416">
          <cell r="B416" t="str">
            <v xml:space="preserve">  </v>
          </cell>
          <cell r="J416" t="str">
            <v xml:space="preserve">  </v>
          </cell>
          <cell r="R416" t="str">
            <v xml:space="preserve">  </v>
          </cell>
          <cell r="Z416" t="str">
            <v xml:space="preserve">  </v>
          </cell>
          <cell r="AH416" t="str">
            <v xml:space="preserve">  </v>
          </cell>
          <cell r="AP416" t="str">
            <v xml:space="preserve">  </v>
          </cell>
        </row>
        <row r="417">
          <cell r="B417" t="str">
            <v xml:space="preserve">  </v>
          </cell>
          <cell r="J417" t="str">
            <v xml:space="preserve">  </v>
          </cell>
          <cell r="R417" t="str">
            <v xml:space="preserve">  </v>
          </cell>
          <cell r="Z417" t="str">
            <v xml:space="preserve">  </v>
          </cell>
          <cell r="AH417" t="str">
            <v xml:space="preserve">  </v>
          </cell>
          <cell r="AP417" t="str">
            <v xml:space="preserve">  </v>
          </cell>
        </row>
        <row r="418">
          <cell r="B418" t="str">
            <v xml:space="preserve">  </v>
          </cell>
          <cell r="J418" t="str">
            <v xml:space="preserve">  </v>
          </cell>
          <cell r="R418" t="str">
            <v xml:space="preserve">  </v>
          </cell>
          <cell r="Z418" t="str">
            <v xml:space="preserve">  </v>
          </cell>
          <cell r="AH418" t="str">
            <v xml:space="preserve">  </v>
          </cell>
          <cell r="AP418" t="str">
            <v xml:space="preserve">  </v>
          </cell>
        </row>
        <row r="419">
          <cell r="B419" t="str">
            <v xml:space="preserve">  </v>
          </cell>
          <cell r="J419" t="str">
            <v xml:space="preserve">  </v>
          </cell>
          <cell r="R419" t="str">
            <v xml:space="preserve">  </v>
          </cell>
          <cell r="Z419" t="str">
            <v xml:space="preserve">  </v>
          </cell>
          <cell r="AH419" t="str">
            <v xml:space="preserve">  </v>
          </cell>
          <cell r="AP419" t="str">
            <v xml:space="preserve">  </v>
          </cell>
        </row>
        <row r="420">
          <cell r="B420" t="str">
            <v xml:space="preserve">  </v>
          </cell>
          <cell r="J420" t="str">
            <v xml:space="preserve">  </v>
          </cell>
          <cell r="R420" t="str">
            <v xml:space="preserve">  </v>
          </cell>
          <cell r="Z420" t="str">
            <v xml:space="preserve">  </v>
          </cell>
          <cell r="AH420" t="str">
            <v xml:space="preserve">  </v>
          </cell>
          <cell r="AP420" t="str">
            <v xml:space="preserve">  </v>
          </cell>
        </row>
        <row r="421">
          <cell r="B421" t="str">
            <v xml:space="preserve">  </v>
          </cell>
          <cell r="J421" t="str">
            <v xml:space="preserve">  </v>
          </cell>
          <cell r="R421" t="str">
            <v xml:space="preserve">  </v>
          </cell>
          <cell r="Z421" t="str">
            <v xml:space="preserve">  </v>
          </cell>
          <cell r="AH421" t="str">
            <v xml:space="preserve">  </v>
          </cell>
          <cell r="AP421" t="str">
            <v xml:space="preserve">  </v>
          </cell>
        </row>
        <row r="422">
          <cell r="B422" t="str">
            <v xml:space="preserve">  </v>
          </cell>
          <cell r="J422" t="str">
            <v xml:space="preserve">  </v>
          </cell>
          <cell r="R422" t="str">
            <v xml:space="preserve">  </v>
          </cell>
          <cell r="Z422" t="str">
            <v xml:space="preserve">  </v>
          </cell>
          <cell r="AH422" t="str">
            <v xml:space="preserve">  </v>
          </cell>
          <cell r="AP422" t="str">
            <v xml:space="preserve">  </v>
          </cell>
        </row>
        <row r="423">
          <cell r="B423" t="str">
            <v xml:space="preserve">  </v>
          </cell>
          <cell r="J423" t="str">
            <v xml:space="preserve">  </v>
          </cell>
          <cell r="R423" t="str">
            <v xml:space="preserve">  </v>
          </cell>
          <cell r="Z423" t="str">
            <v xml:space="preserve">  </v>
          </cell>
          <cell r="AH423" t="str">
            <v xml:space="preserve">  </v>
          </cell>
          <cell r="AP423" t="str">
            <v xml:space="preserve">  </v>
          </cell>
        </row>
        <row r="424">
          <cell r="B424" t="str">
            <v xml:space="preserve">  </v>
          </cell>
          <cell r="J424" t="str">
            <v xml:space="preserve">  </v>
          </cell>
          <cell r="R424" t="str">
            <v xml:space="preserve">  </v>
          </cell>
          <cell r="Z424" t="str">
            <v xml:space="preserve">  </v>
          </cell>
          <cell r="AH424" t="str">
            <v xml:space="preserve">  </v>
          </cell>
          <cell r="AP424" t="str">
            <v xml:space="preserve">  </v>
          </cell>
        </row>
        <row r="425">
          <cell r="B425" t="str">
            <v xml:space="preserve">  </v>
          </cell>
          <cell r="J425" t="str">
            <v xml:space="preserve">  </v>
          </cell>
          <cell r="R425" t="str">
            <v xml:space="preserve">  </v>
          </cell>
          <cell r="Z425" t="str">
            <v xml:space="preserve">  </v>
          </cell>
          <cell r="AH425" t="str">
            <v xml:space="preserve">  </v>
          </cell>
          <cell r="AP425" t="str">
            <v xml:space="preserve">  </v>
          </cell>
        </row>
        <row r="426">
          <cell r="B426" t="str">
            <v xml:space="preserve">  </v>
          </cell>
          <cell r="J426" t="str">
            <v xml:space="preserve">  </v>
          </cell>
          <cell r="R426" t="str">
            <v xml:space="preserve">  </v>
          </cell>
          <cell r="Z426" t="str">
            <v xml:space="preserve">  </v>
          </cell>
          <cell r="AH426" t="str">
            <v xml:space="preserve">  </v>
          </cell>
          <cell r="AP426" t="str">
            <v xml:space="preserve">  </v>
          </cell>
        </row>
        <row r="427">
          <cell r="B427" t="str">
            <v xml:space="preserve">  </v>
          </cell>
          <cell r="J427" t="str">
            <v xml:space="preserve">  </v>
          </cell>
          <cell r="R427" t="str">
            <v xml:space="preserve">  </v>
          </cell>
          <cell r="Z427" t="str">
            <v xml:space="preserve">  </v>
          </cell>
          <cell r="AH427" t="str">
            <v xml:space="preserve">  </v>
          </cell>
          <cell r="AP427" t="str">
            <v xml:space="preserve">  </v>
          </cell>
        </row>
        <row r="428">
          <cell r="B428" t="str">
            <v xml:space="preserve">  </v>
          </cell>
          <cell r="J428" t="str">
            <v xml:space="preserve">  </v>
          </cell>
          <cell r="R428" t="str">
            <v xml:space="preserve">  </v>
          </cell>
          <cell r="Z428" t="str">
            <v xml:space="preserve">  </v>
          </cell>
          <cell r="AH428" t="str">
            <v xml:space="preserve">  </v>
          </cell>
          <cell r="AP428" t="str">
            <v xml:space="preserve">  </v>
          </cell>
        </row>
        <row r="429">
          <cell r="B429" t="str">
            <v xml:space="preserve">  </v>
          </cell>
          <cell r="J429" t="str">
            <v xml:space="preserve">  </v>
          </cell>
          <cell r="R429" t="str">
            <v xml:space="preserve">  </v>
          </cell>
          <cell r="Z429" t="str">
            <v xml:space="preserve">  </v>
          </cell>
          <cell r="AH429" t="str">
            <v xml:space="preserve">  </v>
          </cell>
          <cell r="AP429" t="str">
            <v xml:space="preserve">  </v>
          </cell>
        </row>
        <row r="430">
          <cell r="B430" t="str">
            <v xml:space="preserve">  </v>
          </cell>
          <cell r="J430" t="str">
            <v xml:space="preserve">  </v>
          </cell>
          <cell r="R430" t="str">
            <v xml:space="preserve">  </v>
          </cell>
          <cell r="Z430" t="str">
            <v xml:space="preserve">  </v>
          </cell>
          <cell r="AH430" t="str">
            <v xml:space="preserve">  </v>
          </cell>
          <cell r="AP430" t="str">
            <v xml:space="preserve">  </v>
          </cell>
        </row>
        <row r="431">
          <cell r="B431" t="str">
            <v xml:space="preserve">  </v>
          </cell>
          <cell r="J431" t="str">
            <v xml:space="preserve">  </v>
          </cell>
          <cell r="R431" t="str">
            <v xml:space="preserve">  </v>
          </cell>
          <cell r="Z431" t="str">
            <v xml:space="preserve">  </v>
          </cell>
          <cell r="AH431" t="str">
            <v xml:space="preserve">  </v>
          </cell>
          <cell r="AP431" t="str">
            <v xml:space="preserve">  </v>
          </cell>
        </row>
        <row r="432">
          <cell r="B432" t="str">
            <v xml:space="preserve">  </v>
          </cell>
          <cell r="J432" t="str">
            <v xml:space="preserve">  </v>
          </cell>
          <cell r="R432" t="str">
            <v xml:space="preserve">  </v>
          </cell>
          <cell r="Z432" t="str">
            <v xml:space="preserve">  </v>
          </cell>
          <cell r="AH432" t="str">
            <v xml:space="preserve">  </v>
          </cell>
          <cell r="AP432" t="str">
            <v xml:space="preserve">  </v>
          </cell>
        </row>
        <row r="433">
          <cell r="B433" t="str">
            <v xml:space="preserve">  </v>
          </cell>
          <cell r="J433" t="str">
            <v xml:space="preserve">  </v>
          </cell>
          <cell r="R433" t="str">
            <v xml:space="preserve">  </v>
          </cell>
          <cell r="Z433" t="str">
            <v xml:space="preserve">  </v>
          </cell>
          <cell r="AH433" t="str">
            <v xml:space="preserve">  </v>
          </cell>
          <cell r="AP433" t="str">
            <v xml:space="preserve">  </v>
          </cell>
        </row>
      </sheetData>
      <sheetData sheetId="2">
        <row r="120">
          <cell r="AO120" t="str">
            <v>EUBS1 ICPL Curncy</v>
          </cell>
          <cell r="AP120" t="str">
            <v>BASIS SWAP</v>
          </cell>
          <cell r="AQ120" t="str">
            <v>EURUSD BS (3M VS 3M) 1Y</v>
          </cell>
          <cell r="AR120">
            <v>-12</v>
          </cell>
        </row>
        <row r="121">
          <cell r="AO121" t="str">
            <v>EUBS2 ICPL Curncy</v>
          </cell>
          <cell r="AP121" t="str">
            <v>BASIS SWAP</v>
          </cell>
          <cell r="AQ121" t="str">
            <v>EURUSD BS (3M VS 3M) 2Y</v>
          </cell>
          <cell r="AR121">
            <v>-11.875</v>
          </cell>
        </row>
        <row r="122">
          <cell r="AO122" t="str">
            <v>EUBS3 ICPL Curncy</v>
          </cell>
          <cell r="AP122" t="str">
            <v>BASIS SWAP</v>
          </cell>
          <cell r="AQ122" t="str">
            <v>EURUSD BS (3M VS 3M) 3Y</v>
          </cell>
          <cell r="AR122">
            <v>-12.25</v>
          </cell>
        </row>
        <row r="123">
          <cell r="AO123" t="str">
            <v>EUBS4 ICPL Curncy</v>
          </cell>
          <cell r="AP123" t="str">
            <v>BASIS SWAP</v>
          </cell>
          <cell r="AQ123" t="str">
            <v>EURUSD BS (3M VS 3M) 4Y</v>
          </cell>
          <cell r="AR123">
            <v>-13.125</v>
          </cell>
        </row>
        <row r="124">
          <cell r="AO124" t="str">
            <v>EUBS5 ICPL Curncy</v>
          </cell>
          <cell r="AP124" t="str">
            <v>BASIS SWAP</v>
          </cell>
          <cell r="AQ124" t="str">
            <v>EURUSD BS (3M VS 3M) 5Y</v>
          </cell>
          <cell r="AR124">
            <v>-14</v>
          </cell>
        </row>
        <row r="125">
          <cell r="AO125" t="str">
            <v>EUBS6 ICPL Curncy</v>
          </cell>
          <cell r="AP125" t="str">
            <v>BASIS SWAP</v>
          </cell>
          <cell r="AQ125" t="str">
            <v>EURUSD BS (3M VS 3M) 6Y</v>
          </cell>
          <cell r="AR125">
            <v>-14.625</v>
          </cell>
        </row>
        <row r="126">
          <cell r="AO126" t="str">
            <v>EUBS7 ICPL Curncy</v>
          </cell>
          <cell r="AP126" t="str">
            <v>BASIS SWAP</v>
          </cell>
          <cell r="AQ126" t="str">
            <v>EURUSD BS (3M VS 3M) 7Y</v>
          </cell>
          <cell r="AR126">
            <v>-15</v>
          </cell>
        </row>
        <row r="127">
          <cell r="AO127" t="str">
            <v>EUBS8 ICPL Curncy</v>
          </cell>
          <cell r="AP127" t="str">
            <v>BASIS SWAP</v>
          </cell>
          <cell r="AQ127" t="str">
            <v>EURUSD BS (3M VS 3M) 8Y</v>
          </cell>
          <cell r="AR127">
            <v>-15.125</v>
          </cell>
        </row>
        <row r="128">
          <cell r="AO128" t="str">
            <v>EUBS9 ICPL Curncy</v>
          </cell>
          <cell r="AP128" t="str">
            <v>BASIS SWAP</v>
          </cell>
          <cell r="AQ128" t="str">
            <v>EURUSD BS (3M VS 3M) 9Y</v>
          </cell>
          <cell r="AR128">
            <v>-15.125</v>
          </cell>
        </row>
        <row r="129">
          <cell r="AO129" t="str">
            <v>EUBS10 ICPL Curncy</v>
          </cell>
          <cell r="AP129" t="str">
            <v>BASIS SWAP</v>
          </cell>
          <cell r="AQ129" t="str">
            <v>EURUSD BS (3M VS 3M) 10Y</v>
          </cell>
          <cell r="AR129">
            <v>-14.875</v>
          </cell>
        </row>
        <row r="130">
          <cell r="AO130" t="str">
            <v>EUBS11 ICPL Curncy</v>
          </cell>
          <cell r="AP130" t="str">
            <v>BASIS SWAP</v>
          </cell>
          <cell r="AQ130" t="str">
            <v>EURUSD BS (3M VS 3M) 11Y</v>
          </cell>
          <cell r="AR130" t="str">
            <v>N/A</v>
          </cell>
        </row>
        <row r="131">
          <cell r="AO131" t="str">
            <v>EUBS12 ICPL Curncy</v>
          </cell>
          <cell r="AP131" t="str">
            <v>BASIS SWAP</v>
          </cell>
          <cell r="AQ131" t="str">
            <v>EURUSD BS (3M VS 3M) 12Y</v>
          </cell>
          <cell r="AR131">
            <v>-13.75</v>
          </cell>
        </row>
        <row r="132">
          <cell r="AO132" t="str">
            <v>EUBS13 ICPL Curncy</v>
          </cell>
          <cell r="AP132" t="str">
            <v>BASIS SWAP</v>
          </cell>
          <cell r="AQ132" t="str">
            <v>EURUSD BS (3M VS 3M) 13Y</v>
          </cell>
          <cell r="AR132" t="str">
            <v>N/A</v>
          </cell>
        </row>
        <row r="133">
          <cell r="AO133" t="str">
            <v>EUBS14 ICPL Curncy</v>
          </cell>
          <cell r="AP133" t="str">
            <v>BASIS SWAP</v>
          </cell>
          <cell r="AQ133" t="str">
            <v>EURUSD BS (3M VS 3M) 14Y</v>
          </cell>
          <cell r="AR133" t="str">
            <v>N/A</v>
          </cell>
        </row>
        <row r="134">
          <cell r="AO134" t="str">
            <v>EUBS15 ICPL Curncy</v>
          </cell>
          <cell r="AP134" t="str">
            <v>BASIS SWAP</v>
          </cell>
          <cell r="AQ134" t="str">
            <v>EURUSD BS (3M VS 3M) 15Y</v>
          </cell>
          <cell r="AR134">
            <v>-11.625</v>
          </cell>
        </row>
        <row r="135">
          <cell r="AO135" t="str">
            <v>EUBS20 ICPL Curncy</v>
          </cell>
          <cell r="AP135" t="str">
            <v>BASIS SWAP</v>
          </cell>
          <cell r="AQ135" t="str">
            <v>EURUSD BS (3M VS 3M) 20Y</v>
          </cell>
          <cell r="AR135">
            <v>-6.375</v>
          </cell>
        </row>
        <row r="136">
          <cell r="AO136" t="str">
            <v>EUBS25 ICPL Curncy</v>
          </cell>
          <cell r="AP136" t="str">
            <v>BASIS SWAP</v>
          </cell>
          <cell r="AQ136" t="str">
            <v>EURUSD BS (3M VS 3M) 25Y</v>
          </cell>
          <cell r="AR136">
            <v>-1.125</v>
          </cell>
        </row>
        <row r="137">
          <cell r="AO137" t="str">
            <v>EUBS30 ICPL Curncy</v>
          </cell>
          <cell r="AP137" t="str">
            <v>BASIS SWAP</v>
          </cell>
          <cell r="AQ137" t="str">
            <v>EURUSD BS (3M VS 3M) 30Y</v>
          </cell>
          <cell r="AR137">
            <v>2.25</v>
          </cell>
        </row>
        <row r="227">
          <cell r="AO227" t="str">
            <v>BPBS1 ICPL Curncy</v>
          </cell>
          <cell r="AP227" t="str">
            <v>BASIS SWAP</v>
          </cell>
          <cell r="AQ227" t="str">
            <v>GBP-USD BS (3M V 3M) 1Y</v>
          </cell>
          <cell r="AR227">
            <v>2.625</v>
          </cell>
        </row>
        <row r="228">
          <cell r="AO228" t="str">
            <v>BPBS2 ICPL Curncy</v>
          </cell>
          <cell r="AP228" t="str">
            <v>BASIS SWAP</v>
          </cell>
          <cell r="AQ228" t="str">
            <v>GBP-USD BS (3M V 3M) 2Y</v>
          </cell>
          <cell r="AR228">
            <v>4.875</v>
          </cell>
        </row>
        <row r="229">
          <cell r="AO229" t="str">
            <v>BPBS3 ICPL Curncy</v>
          </cell>
          <cell r="AP229" t="str">
            <v>BASIS SWAP</v>
          </cell>
          <cell r="AQ229" t="str">
            <v>GBP-USD BS (3M V 3M) 3Y</v>
          </cell>
          <cell r="AR229">
            <v>6.25</v>
          </cell>
        </row>
        <row r="230">
          <cell r="AO230" t="str">
            <v>BPBS4 ICPL Curncy</v>
          </cell>
          <cell r="AP230" t="str">
            <v>BASIS SWAP</v>
          </cell>
          <cell r="AQ230" t="str">
            <v>GBP-USD BS (3M V 3M) 4Y</v>
          </cell>
          <cell r="AR230">
            <v>7.75</v>
          </cell>
        </row>
        <row r="231">
          <cell r="AO231" t="str">
            <v>BPBS5 ICPL Curncy</v>
          </cell>
          <cell r="AP231" t="str">
            <v>BASIS SWAP</v>
          </cell>
          <cell r="AQ231" t="str">
            <v>GBP-USD BS (3M V 3M) 5Y</v>
          </cell>
          <cell r="AR231">
            <v>9.375</v>
          </cell>
        </row>
        <row r="232">
          <cell r="AO232" t="str">
            <v>BPBS6 ICPL Curncy</v>
          </cell>
          <cell r="AP232" t="str">
            <v>BASIS SWAP</v>
          </cell>
          <cell r="AQ232" t="str">
            <v>GBP-USD BS (3M V 3M) 6Y</v>
          </cell>
          <cell r="AR232">
            <v>11.375</v>
          </cell>
        </row>
        <row r="233">
          <cell r="AO233" t="str">
            <v>BPBS7 ICPL Curncy</v>
          </cell>
          <cell r="AP233" t="str">
            <v>BASIS SWAP</v>
          </cell>
          <cell r="AQ233" t="str">
            <v>GBP-USD BS (3M V 3M) 7Y</v>
          </cell>
          <cell r="AR233">
            <v>13.375</v>
          </cell>
        </row>
        <row r="234">
          <cell r="AO234" t="str">
            <v>BPBS8 ICPL Curncy</v>
          </cell>
          <cell r="AP234" t="str">
            <v>BASIS SWAP</v>
          </cell>
          <cell r="AQ234" t="str">
            <v>GBP-USD BS (3M V 3M) 8Y</v>
          </cell>
          <cell r="AR234">
            <v>15</v>
          </cell>
        </row>
        <row r="235">
          <cell r="AO235" t="str">
            <v>BPBS9 ICPL Curncy</v>
          </cell>
          <cell r="AP235" t="str">
            <v>BASIS SWAP</v>
          </cell>
          <cell r="AQ235" t="str">
            <v>GBP-USD BS (3M V 3M) 9Y</v>
          </cell>
          <cell r="AR235">
            <v>16.25</v>
          </cell>
        </row>
        <row r="236">
          <cell r="AO236" t="str">
            <v>BPBS10 ICPL Curncy</v>
          </cell>
          <cell r="AP236" t="str">
            <v>BASIS SWAP</v>
          </cell>
          <cell r="AQ236" t="str">
            <v>GBP-USD BS (3M V 3M) 10Y</v>
          </cell>
          <cell r="AR236">
            <v>17.125</v>
          </cell>
        </row>
        <row r="237">
          <cell r="AO237" t="str">
            <v>BPBS11 ICPL Curncy</v>
          </cell>
          <cell r="AP237" t="str">
            <v>BASIS SWAP</v>
          </cell>
          <cell r="AQ237" t="str">
            <v>GBP-USD BS (3M V 3M) 11Y</v>
          </cell>
          <cell r="AR237" t="str">
            <v>N/A</v>
          </cell>
        </row>
        <row r="238">
          <cell r="AO238" t="str">
            <v>BPBS12 ICPL Curncy</v>
          </cell>
          <cell r="AP238" t="str">
            <v>BASIS SWAP</v>
          </cell>
          <cell r="AQ238" t="str">
            <v>GBP-USD BS (3M V 3M) 12Y</v>
          </cell>
          <cell r="AR238">
            <v>17.625</v>
          </cell>
        </row>
        <row r="239">
          <cell r="AO239" t="str">
            <v>BPBS13 ICPL Curncy</v>
          </cell>
          <cell r="AP239" t="str">
            <v>BASIS SWAP</v>
          </cell>
          <cell r="AQ239" t="str">
            <v>GBP-USD BS (3M V 3M) 13Y</v>
          </cell>
          <cell r="AR239" t="str">
            <v>N/A</v>
          </cell>
        </row>
        <row r="240">
          <cell r="AO240" t="str">
            <v>BPBS14 ICPL Curncy</v>
          </cell>
          <cell r="AP240" t="str">
            <v>BASIS SWAP</v>
          </cell>
          <cell r="AQ240" t="str">
            <v>GBP-USD BS (3M V 3M) 14Y</v>
          </cell>
          <cell r="AR240" t="str">
            <v>N/A</v>
          </cell>
        </row>
        <row r="241">
          <cell r="AO241" t="str">
            <v>BPBS15 ICPL Curncy</v>
          </cell>
          <cell r="AP241" t="str">
            <v>BASIS SWAP</v>
          </cell>
          <cell r="AQ241" t="str">
            <v>GBP-USD BS (3M V 3M) 15Y</v>
          </cell>
          <cell r="AR241">
            <v>16.375</v>
          </cell>
        </row>
        <row r="242">
          <cell r="AO242" t="str">
            <v>BPBS20 ICPL Curncy</v>
          </cell>
          <cell r="AP242" t="str">
            <v>BASIS SWAP</v>
          </cell>
          <cell r="AQ242" t="str">
            <v>GBP-USD BS (3M V 3M) 20Y</v>
          </cell>
          <cell r="AR242">
            <v>13.75</v>
          </cell>
        </row>
        <row r="243">
          <cell r="AO243" t="str">
            <v>BPBS25 ICPL Curncy</v>
          </cell>
          <cell r="AP243" t="str">
            <v>BASIS SWAP</v>
          </cell>
          <cell r="AQ243" t="str">
            <v>GBP-USD BS (3M V 3M) 25Y</v>
          </cell>
          <cell r="AR243">
            <v>12.75</v>
          </cell>
        </row>
        <row r="244">
          <cell r="AO244" t="str">
            <v>BPBS30 ICPL Curncy</v>
          </cell>
          <cell r="AP244" t="str">
            <v>BASIS SWAP</v>
          </cell>
          <cell r="AQ244" t="str">
            <v>GBP-USD BS (3M V 3M) 30Y</v>
          </cell>
          <cell r="AR244">
            <v>14.875</v>
          </cell>
        </row>
        <row r="334">
          <cell r="AO334" t="str">
            <v>JYBS1 MTRT Curncy</v>
          </cell>
          <cell r="AP334" t="str">
            <v>BASIS SWAP</v>
          </cell>
          <cell r="AQ334" t="str">
            <v>JPY-USD BSW(3M v 3M) 1Y</v>
          </cell>
          <cell r="AR334">
            <v>-28</v>
          </cell>
        </row>
        <row r="335">
          <cell r="AO335" t="str">
            <v>JYBS2 MTRT Curncy</v>
          </cell>
          <cell r="AP335" t="str">
            <v>BASIS SWAP</v>
          </cell>
          <cell r="AQ335" t="str">
            <v>JPY-USD BSW(3M v 3M) 2Y</v>
          </cell>
          <cell r="AR335">
            <v>-33.375</v>
          </cell>
        </row>
        <row r="336">
          <cell r="AO336" t="str">
            <v>JYBS3 MTRT Curncy</v>
          </cell>
          <cell r="AP336" t="str">
            <v>BASIS SWAP</v>
          </cell>
          <cell r="AQ336" t="str">
            <v>JPY-USD BSW(3M v 3M) 3Y</v>
          </cell>
          <cell r="AR336">
            <v>-38.75</v>
          </cell>
        </row>
        <row r="337">
          <cell r="AO337" t="str">
            <v>JYBS4 MTRT Curncy</v>
          </cell>
          <cell r="AP337" t="str">
            <v>BASIS SWAP</v>
          </cell>
          <cell r="AQ337" t="str">
            <v>JPY-USD BSW(3M v 3M) 4Y</v>
          </cell>
          <cell r="AR337">
            <v>-43.5</v>
          </cell>
        </row>
        <row r="338">
          <cell r="AO338" t="str">
            <v>JYBS5 MTRT Curncy</v>
          </cell>
          <cell r="AP338" t="str">
            <v>BASIS SWAP</v>
          </cell>
          <cell r="AQ338" t="str">
            <v>JPY-USD BSW(3M v 3M) 5Y</v>
          </cell>
          <cell r="AR338">
            <v>-47.375</v>
          </cell>
        </row>
        <row r="339">
          <cell r="AO339" t="str">
            <v>JYBS6 MTRT Curncy</v>
          </cell>
          <cell r="AP339" t="str">
            <v>BASIS SWAP</v>
          </cell>
          <cell r="AQ339" t="str">
            <v>JPY-USD BSW(3M v 3M) 6Y</v>
          </cell>
          <cell r="AR339">
            <v>-50.25</v>
          </cell>
        </row>
        <row r="340">
          <cell r="AO340" t="str">
            <v>JYBS7 MTRT Curncy</v>
          </cell>
          <cell r="AP340" t="str">
            <v>BASIS SWAP</v>
          </cell>
          <cell r="AQ340" t="str">
            <v>JPY-USD BSW(3M v 3M) 7Y</v>
          </cell>
          <cell r="AR340">
            <v>-52.125</v>
          </cell>
        </row>
        <row r="341">
          <cell r="AO341" t="str">
            <v>JYBS8 MTRT Curncy</v>
          </cell>
          <cell r="AP341" t="str">
            <v>BASIS SWAP</v>
          </cell>
          <cell r="AQ341" t="str">
            <v>JPY-USD BSW(3M v 3M) 8Y</v>
          </cell>
          <cell r="AR341">
            <v>-53.125</v>
          </cell>
        </row>
        <row r="342">
          <cell r="AO342" t="str">
            <v>JYBS9 MTRT Curncy</v>
          </cell>
          <cell r="AP342" t="str">
            <v>BASIS SWAP</v>
          </cell>
          <cell r="AQ342" t="str">
            <v>JPY-USD BSW(3M v 3M) 9Y</v>
          </cell>
          <cell r="AR342">
            <v>-53.5</v>
          </cell>
        </row>
        <row r="343">
          <cell r="AO343" t="str">
            <v>JYBS10 MTRT Curncy</v>
          </cell>
          <cell r="AP343" t="str">
            <v>BASIS SWAP</v>
          </cell>
          <cell r="AQ343" t="str">
            <v>JPY-USD BSW(3M v 3M) 10Y</v>
          </cell>
          <cell r="AR343">
            <v>-53.25</v>
          </cell>
        </row>
        <row r="344">
          <cell r="AO344" t="str">
            <v>JYBS11 MTRT Curncy</v>
          </cell>
          <cell r="AP344" t="str">
            <v>BASIS SWAP</v>
          </cell>
          <cell r="AQ344" t="str">
            <v>JPY-USD BSW(3M v 3M) 11Y</v>
          </cell>
          <cell r="AR344">
            <v>-52.5</v>
          </cell>
        </row>
        <row r="345">
          <cell r="AO345" t="str">
            <v>JYBS12 MTRT Curncy</v>
          </cell>
          <cell r="AP345" t="str">
            <v>BASIS SWAP</v>
          </cell>
          <cell r="AQ345" t="str">
            <v>JPY-USD BSW(3M v 3M) 12Y</v>
          </cell>
          <cell r="AR345">
            <v>-51.5</v>
          </cell>
        </row>
        <row r="346">
          <cell r="AO346" t="str">
            <v>JYBS13 MTRT Curncy</v>
          </cell>
          <cell r="AP346" t="str">
            <v>BASIS SWAP</v>
          </cell>
          <cell r="AQ346" t="str">
            <v>JPY-USD BSW(3M v 3M) 13Y</v>
          </cell>
          <cell r="AR346" t="str">
            <v>N/A</v>
          </cell>
        </row>
        <row r="347">
          <cell r="AO347" t="str">
            <v>JYBS14 MTRT Curncy</v>
          </cell>
          <cell r="AP347" t="str">
            <v>BASIS SWAP</v>
          </cell>
          <cell r="AQ347" t="str">
            <v>JPY-USD BSW(3M v 3M) 14Y</v>
          </cell>
          <cell r="AR347" t="str">
            <v>N/A</v>
          </cell>
        </row>
        <row r="348">
          <cell r="AO348" t="str">
            <v>JYBS15 MTRT Curncy</v>
          </cell>
          <cell r="AP348" t="str">
            <v>BASIS SWAP</v>
          </cell>
          <cell r="AQ348" t="str">
            <v>JPY-USD BSW(3M v 3M) 15Y</v>
          </cell>
          <cell r="AR348">
            <v>-48.25</v>
          </cell>
        </row>
        <row r="349">
          <cell r="AO349" t="str">
            <v>JYBS20 MTRT Curncy</v>
          </cell>
          <cell r="AP349" t="str">
            <v>BASIS SWAP</v>
          </cell>
          <cell r="AQ349" t="str">
            <v>JPY-USD BSW(3M v 3M) 20Y</v>
          </cell>
          <cell r="AR349">
            <v>-42.75</v>
          </cell>
        </row>
        <row r="350">
          <cell r="AO350" t="str">
            <v>JYBS25 MTRT Curncy</v>
          </cell>
          <cell r="AP350" t="str">
            <v>BASIS SWAP</v>
          </cell>
          <cell r="AQ350" t="str">
            <v>JPY-USD BSW(3M v 3M) 25Y</v>
          </cell>
          <cell r="AR350">
            <v>-38.5</v>
          </cell>
        </row>
        <row r="351">
          <cell r="AO351" t="str">
            <v>JYBS30 MTRT Curncy</v>
          </cell>
          <cell r="AP351" t="str">
            <v>BASIS SWAP</v>
          </cell>
          <cell r="AQ351" t="str">
            <v>JPY-USD BSW(3M v 3M) 30Y</v>
          </cell>
          <cell r="AR351">
            <v>-34.875</v>
          </cell>
        </row>
      </sheetData>
      <sheetData sheetId="3"/>
      <sheetData sheetId="4"/>
      <sheetData sheetId="5"/>
      <sheetData sheetId="6"/>
      <sheetData sheetId="7"/>
      <sheetData sheetId="8">
        <row r="6">
          <cell r="AN6" t="str">
            <v>calendar</v>
          </cell>
          <cell r="AO6" t="str">
            <v>NYB</v>
          </cell>
          <cell r="AQ6" t="str">
            <v>calendar</v>
          </cell>
          <cell r="AR6" t="str">
            <v>NYB</v>
          </cell>
        </row>
        <row r="7">
          <cell r="AN7" t="str">
            <v>daycount</v>
          </cell>
          <cell r="AO7" t="str">
            <v>act/360</v>
          </cell>
          <cell r="AQ7" t="str">
            <v>daycount</v>
          </cell>
          <cell r="AR7" t="str">
            <v>act/360</v>
          </cell>
        </row>
        <row r="8">
          <cell r="C8" t="str">
            <v>OIS:USDDF:USDDF_NOCSA:USDDF_USDCSA:USDOIS</v>
          </cell>
          <cell r="G8" t="str">
            <v>AsOfDate</v>
          </cell>
          <cell r="H8">
            <v>43487</v>
          </cell>
          <cell r="J8" t="str">
            <v>calendar</v>
          </cell>
          <cell r="K8" t="str">
            <v>NYB</v>
          </cell>
          <cell r="AH8" t="str">
            <v>AsOfDate</v>
          </cell>
          <cell r="AI8">
            <v>43487</v>
          </cell>
          <cell r="AK8" t="str">
            <v>calendar</v>
          </cell>
          <cell r="AL8" t="str">
            <v>NYB</v>
          </cell>
          <cell r="AN8" t="str">
            <v>resetlag</v>
          </cell>
          <cell r="AO8" t="str">
            <v>2</v>
          </cell>
          <cell r="AQ8" t="str">
            <v>resetlag</v>
          </cell>
          <cell r="AR8" t="str">
            <v>2</v>
          </cell>
          <cell r="AW8" t="str">
            <v>Calendar</v>
          </cell>
          <cell r="AX8" t="str">
            <v>LNB:NYB</v>
          </cell>
          <cell r="BD8" t="str">
            <v>AsOfDate</v>
          </cell>
          <cell r="BE8">
            <v>43487</v>
          </cell>
          <cell r="CH8" t="str">
            <v>AsOfDate</v>
          </cell>
          <cell r="CI8">
            <v>43487</v>
          </cell>
          <cell r="CK8" t="str">
            <v>leg1discount</v>
          </cell>
          <cell r="CL8" t="str">
            <v>EURYC:OIS</v>
          </cell>
          <cell r="CN8" t="str">
            <v>leg1discount</v>
          </cell>
          <cell r="CO8" t="str">
            <v>GBPYC:OIS</v>
          </cell>
          <cell r="CQ8" t="str">
            <v>leg1discount</v>
          </cell>
          <cell r="CR8" t="str">
            <v>JPYYC:OIS</v>
          </cell>
        </row>
        <row r="9">
          <cell r="C9" t="str">
            <v>STD:USD3ML</v>
          </cell>
          <cell r="G9" t="str">
            <v>Currency</v>
          </cell>
          <cell r="H9" t="str">
            <v>USD</v>
          </cell>
          <cell r="J9" t="str">
            <v>daycount</v>
          </cell>
          <cell r="K9" t="str">
            <v>ACT/360</v>
          </cell>
          <cell r="M9" t="e">
            <v>#VALUE!</v>
          </cell>
          <cell r="N9" t="e">
            <v>#VALUE!</v>
          </cell>
          <cell r="O9" t="e">
            <v>#VALUE!</v>
          </cell>
          <cell r="P9" t="e">
            <v>#VALUE!</v>
          </cell>
          <cell r="Q9" t="e">
            <v>#VALUE!</v>
          </cell>
          <cell r="AH9" t="str">
            <v>Currency</v>
          </cell>
          <cell r="AI9" t="str">
            <v>USD</v>
          </cell>
          <cell r="AK9" t="str">
            <v>daycount</v>
          </cell>
          <cell r="AL9" t="str">
            <v>act/360</v>
          </cell>
          <cell r="AN9" t="str">
            <v>slidingrule</v>
          </cell>
          <cell r="AO9" t="str">
            <v>MOD_FOLLOWING</v>
          </cell>
          <cell r="AQ9" t="str">
            <v>slidingrule</v>
          </cell>
          <cell r="AR9" t="str">
            <v>MOD_FOLLOWING</v>
          </cell>
          <cell r="AW9" t="str">
            <v>DayCount</v>
          </cell>
          <cell r="AX9" t="str">
            <v>30/360</v>
          </cell>
          <cell r="AZ9" t="e">
            <v>#VALUE!</v>
          </cell>
          <cell r="BA9" t="e">
            <v>#VALUE!</v>
          </cell>
          <cell r="BB9" t="e">
            <v>#VALUE!</v>
          </cell>
          <cell r="BD9" t="str">
            <v>Currency</v>
          </cell>
          <cell r="BE9" t="str">
            <v>USD</v>
          </cell>
          <cell r="BG9" t="str">
            <v>IsLeg1Spread</v>
          </cell>
          <cell r="BH9" t="str">
            <v>FALSE</v>
          </cell>
          <cell r="BJ9" t="e">
            <v>#VALUE!</v>
          </cell>
          <cell r="BK9" t="e">
            <v>#VALUE!</v>
          </cell>
          <cell r="BM9" t="str">
            <v>IsLeg1Spread</v>
          </cell>
          <cell r="BN9" t="str">
            <v>FALSE</v>
          </cell>
          <cell r="BP9" t="e">
            <v>#VALUE!</v>
          </cell>
          <cell r="BQ9" t="e">
            <v>#VALUE!</v>
          </cell>
          <cell r="BS9" t="str">
            <v>IsLeg1Spread</v>
          </cell>
          <cell r="BT9" t="str">
            <v>FALSE</v>
          </cell>
          <cell r="BV9" t="e">
            <v>#VALUE!</v>
          </cell>
          <cell r="BW9" t="e">
            <v>#VALUE!</v>
          </cell>
          <cell r="CH9" t="str">
            <v>Currency</v>
          </cell>
          <cell r="CI9" t="str">
            <v>USD</v>
          </cell>
          <cell r="CK9" t="str">
            <v>leg1forecast</v>
          </cell>
          <cell r="CL9" t="str">
            <v>EURYC:XccyBasis</v>
          </cell>
          <cell r="CN9" t="str">
            <v>leg1forecast</v>
          </cell>
          <cell r="CO9" t="str">
            <v>GBPYC:XccyBasis</v>
          </cell>
          <cell r="CQ9" t="str">
            <v>leg1forecast</v>
          </cell>
          <cell r="CR9" t="str">
            <v>JPYYC:XccyBasis</v>
          </cell>
        </row>
        <row r="10">
          <cell r="C10" t="str">
            <v>3M6MBasis:USD6ML</v>
          </cell>
          <cell r="G10" t="str">
            <v>yieldgen.interpolation</v>
          </cell>
          <cell r="H10" t="str">
            <v>FN_SPLINEINTERPOLATION</v>
          </cell>
          <cell r="J10" t="str">
            <v>frequency</v>
          </cell>
          <cell r="K10" t="str">
            <v>Annual</v>
          </cell>
          <cell r="M10" t="e">
            <v>#VALUE!</v>
          </cell>
          <cell r="N10" t="e">
            <v>#VALUE!</v>
          </cell>
          <cell r="O10" t="e">
            <v>#VALUE!</v>
          </cell>
          <cell r="P10" t="e">
            <v>#VALUE!</v>
          </cell>
          <cell r="Q10" t="b">
            <v>1</v>
          </cell>
          <cell r="AH10" t="str">
            <v>future.interpolation</v>
          </cell>
          <cell r="AI10" t="str">
            <v>FN_LINEARSPLINEINTERPOLATION</v>
          </cell>
          <cell r="AK10" t="str">
            <v>slidingrule</v>
          </cell>
          <cell r="AL10" t="str">
            <v>following</v>
          </cell>
          <cell r="AN10" t="str">
            <v>IsEomRoll</v>
          </cell>
          <cell r="AO10" t="b">
            <v>0</v>
          </cell>
          <cell r="AQ10" t="str">
            <v>MeanReversion</v>
          </cell>
          <cell r="AR10">
            <v>0.03</v>
          </cell>
          <cell r="AW10" t="str">
            <v>DayCountFix</v>
          </cell>
          <cell r="AX10" t="str">
            <v>30/360</v>
          </cell>
          <cell r="AZ10" t="e">
            <v>#VALUE!</v>
          </cell>
          <cell r="BA10" t="e">
            <v>#VALUE!</v>
          </cell>
          <cell r="BB10" t="e">
            <v>#VALUE!</v>
          </cell>
          <cell r="BD10" t="str">
            <v>basis.interpolation</v>
          </cell>
          <cell r="BE10" t="str">
            <v>FN_SPLINEINTERPOLATION</v>
          </cell>
          <cell r="BG10" t="str">
            <v>Leg1cashlet.calendar</v>
          </cell>
          <cell r="BH10" t="str">
            <v>NYB</v>
          </cell>
          <cell r="BJ10" t="e">
            <v>#VALUE!</v>
          </cell>
          <cell r="BK10" t="e">
            <v>#VALUE!</v>
          </cell>
          <cell r="BM10" t="str">
            <v>Leg1cashlet.calendar</v>
          </cell>
          <cell r="BN10" t="str">
            <v>NYB</v>
          </cell>
          <cell r="BP10" t="e">
            <v>#VALUE!</v>
          </cell>
          <cell r="BQ10" t="e">
            <v>#VALUE!</v>
          </cell>
          <cell r="BS10" t="str">
            <v>Leg1cashlet.calendar</v>
          </cell>
          <cell r="BT10" t="str">
            <v>NYB</v>
          </cell>
          <cell r="BV10" t="e">
            <v>#VALUE!</v>
          </cell>
          <cell r="BW10" t="e">
            <v>#VALUE!</v>
          </cell>
          <cell r="CH10" t="str">
            <v>basis.interpolation</v>
          </cell>
          <cell r="CI10" t="str">
            <v>FN_SPLINEINTERPOLATION</v>
          </cell>
          <cell r="CK10" t="str">
            <v>leg2discount</v>
          </cell>
          <cell r="CL10" t="str">
            <v>USDYC:OIS</v>
          </cell>
          <cell r="CN10" t="str">
            <v>leg2discount</v>
          </cell>
          <cell r="CO10" t="str">
            <v>USDYC:OIS</v>
          </cell>
          <cell r="CQ10" t="str">
            <v>leg2discount</v>
          </cell>
          <cell r="CR10" t="str">
            <v>USDYC:OIS</v>
          </cell>
        </row>
        <row r="11">
          <cell r="C11" t="str">
            <v>1M3MBasis:USD1ML</v>
          </cell>
          <cell r="J11" t="str">
            <v>generatemethod</v>
          </cell>
          <cell r="K11" t="str">
            <v>dailycompounding</v>
          </cell>
          <cell r="M11" t="e">
            <v>#VALUE!</v>
          </cell>
          <cell r="N11" t="e">
            <v>#VALUE!</v>
          </cell>
          <cell r="O11" t="e">
            <v>#VALUE!</v>
          </cell>
          <cell r="P11" t="e">
            <v>#VALUE!</v>
          </cell>
          <cell r="Q11" t="b">
            <v>1</v>
          </cell>
          <cell r="AH11" t="str">
            <v>interpolation</v>
          </cell>
          <cell r="AI11" t="str">
            <v>FN_LINEARSPLINEINTERPOLATION</v>
          </cell>
          <cell r="AN11" t="str">
            <v>ApplyTension</v>
          </cell>
          <cell r="AO11" t="b">
            <v>0</v>
          </cell>
          <cell r="AQ11" t="str">
            <v>ApplyTension</v>
          </cell>
          <cell r="AR11" t="b">
            <v>0</v>
          </cell>
          <cell r="AW11" t="str">
            <v>DayCountFloat</v>
          </cell>
          <cell r="AX11" t="str">
            <v>ACT/360</v>
          </cell>
          <cell r="AZ11" t="e">
            <v>#VALUE!</v>
          </cell>
          <cell r="BA11" t="e">
            <v>#VALUE!</v>
          </cell>
          <cell r="BB11" t="e">
            <v>#VALUE!</v>
          </cell>
          <cell r="BD11" t="str">
            <v>future.interpolation</v>
          </cell>
          <cell r="BE11" t="str">
            <v>FN_LINEARINTERPOLATION</v>
          </cell>
          <cell r="BG11" t="str">
            <v>Leg1cashlet.daycount</v>
          </cell>
          <cell r="BH11" t="str">
            <v>Act/360</v>
          </cell>
          <cell r="BJ11" t="e">
            <v>#VALUE!</v>
          </cell>
          <cell r="BK11" t="e">
            <v>#VALUE!</v>
          </cell>
          <cell r="BM11" t="str">
            <v>Leg1cashlet.daycount</v>
          </cell>
          <cell r="BN11" t="str">
            <v>Act/360</v>
          </cell>
          <cell r="BP11" t="e">
            <v>#VALUE!</v>
          </cell>
          <cell r="BQ11" t="e">
            <v>#VALUE!</v>
          </cell>
          <cell r="BS11" t="str">
            <v>Leg1cashlet.daycount</v>
          </cell>
          <cell r="BT11" t="str">
            <v>Act/360</v>
          </cell>
          <cell r="BV11" t="e">
            <v>#VALUE!</v>
          </cell>
          <cell r="BW11" t="e">
            <v>#VALUE!</v>
          </cell>
          <cell r="CH11" t="str">
            <v>future.interpolation</v>
          </cell>
          <cell r="CI11" t="str">
            <v>FN_LINEARINTERPOLATION</v>
          </cell>
          <cell r="CK11" t="str">
            <v>leg2forecast</v>
          </cell>
          <cell r="CL11" t="str">
            <v>USDYC:OIS</v>
          </cell>
          <cell r="CN11" t="str">
            <v>leg2forecast</v>
          </cell>
          <cell r="CO11" t="str">
            <v>USDYC:OIS</v>
          </cell>
          <cell r="CQ11" t="str">
            <v>leg2forecast</v>
          </cell>
          <cell r="CR11" t="str">
            <v>USDYC:OIS</v>
          </cell>
        </row>
        <row r="12">
          <cell r="C12" t="str">
            <v>3M12MBasis:USD12ML</v>
          </cell>
          <cell r="J12" t="str">
            <v>resetlag</v>
          </cell>
          <cell r="K12" t="str">
            <v>2d</v>
          </cell>
          <cell r="M12" t="e">
            <v>#VALUE!</v>
          </cell>
          <cell r="N12" t="e">
            <v>#VALUE!</v>
          </cell>
          <cell r="O12" t="e">
            <v>#VALUE!</v>
          </cell>
          <cell r="P12" t="e">
            <v>#VALUE!</v>
          </cell>
          <cell r="Q12" t="e">
            <v>#VALUE!</v>
          </cell>
          <cell r="AH12" t="str">
            <v>Frequency</v>
          </cell>
          <cell r="AI12" t="str">
            <v>SIMPLE</v>
          </cell>
          <cell r="AN12" t="str">
            <v>TensionGap</v>
          </cell>
          <cell r="AO12">
            <v>2</v>
          </cell>
          <cell r="AQ12" t="str">
            <v>TensionGap</v>
          </cell>
          <cell r="AR12">
            <v>2</v>
          </cell>
          <cell r="AW12" t="str">
            <v>Frequency</v>
          </cell>
          <cell r="AX12" t="str">
            <v>Semi-Annual</v>
          </cell>
          <cell r="AZ12" t="e">
            <v>#VALUE!</v>
          </cell>
          <cell r="BA12" t="e">
            <v>#VALUE!</v>
          </cell>
          <cell r="BB12" t="e">
            <v>#VALUE!</v>
          </cell>
          <cell r="BD12" t="str">
            <v>interpolation</v>
          </cell>
          <cell r="BE12" t="str">
            <v>FN_SPLINEINTERPOLATION</v>
          </cell>
          <cell r="BG12" t="str">
            <v>Leg1cashlet.frequency</v>
          </cell>
          <cell r="BH12" t="str">
            <v>Semi-Annual</v>
          </cell>
          <cell r="BJ12" t="e">
            <v>#VALUE!</v>
          </cell>
          <cell r="BK12" t="e">
            <v>#VALUE!</v>
          </cell>
          <cell r="BM12" t="str">
            <v>Leg1cashlet.frequency</v>
          </cell>
          <cell r="BN12" t="str">
            <v>Quarterly</v>
          </cell>
          <cell r="BP12" t="e">
            <v>#VALUE!</v>
          </cell>
          <cell r="BQ12" t="e">
            <v>#VALUE!</v>
          </cell>
          <cell r="BS12" t="str">
            <v>Leg1cashlet.frequency</v>
          </cell>
          <cell r="BT12" t="str">
            <v>Annual</v>
          </cell>
          <cell r="BV12" t="e">
            <v>#VALUE!</v>
          </cell>
          <cell r="BW12" t="e">
            <v>#VALUE!</v>
          </cell>
          <cell r="CH12" t="str">
            <v>interpolation</v>
          </cell>
          <cell r="CI12" t="str">
            <v>FN_SPLINEINTERPOLATION</v>
          </cell>
          <cell r="CK12" t="str">
            <v>target</v>
          </cell>
          <cell r="CL12" t="str">
            <v>Leg2Discount</v>
          </cell>
          <cell r="CN12" t="str">
            <v>target</v>
          </cell>
          <cell r="CO12" t="str">
            <v>Leg2Discount</v>
          </cell>
          <cell r="CQ12" t="str">
            <v>target</v>
          </cell>
          <cell r="CR12" t="str">
            <v>Leg2Discount</v>
          </cell>
        </row>
        <row r="13">
          <cell r="J13" t="str">
            <v>firstrate</v>
          </cell>
          <cell r="K13" t="str">
            <v>ShortMarket</v>
          </cell>
          <cell r="M13" t="e">
            <v>#VALUE!</v>
          </cell>
          <cell r="N13" t="e">
            <v>#VALUE!</v>
          </cell>
          <cell r="O13" t="e">
            <v>#VALUE!</v>
          </cell>
          <cell r="P13" t="e">
            <v>#VALUE!</v>
          </cell>
          <cell r="Q13" t="e">
            <v>#VALUE!</v>
          </cell>
          <cell r="AH13" t="str">
            <v>yieldgen.interpolation</v>
          </cell>
          <cell r="AI13" t="str">
            <v>FN_LINEARSPLINEINTERPOLATION</v>
          </cell>
          <cell r="AW13" t="str">
            <v>FrequencyFloat</v>
          </cell>
          <cell r="AX13" t="str">
            <v>Quarterly</v>
          </cell>
          <cell r="AZ13" t="e">
            <v>#VALUE!</v>
          </cell>
          <cell r="BA13" t="e">
            <v>#VALUE!</v>
          </cell>
          <cell r="BB13" t="e">
            <v>#VALUE!</v>
          </cell>
          <cell r="BD13" t="str">
            <v>isadjustdf</v>
          </cell>
          <cell r="BE13" t="b">
            <v>0</v>
          </cell>
          <cell r="BG13" t="str">
            <v>Leg1cashlet.slidingrule</v>
          </cell>
          <cell r="BH13" t="str">
            <v>MOD_FOLLOWING</v>
          </cell>
          <cell r="BJ13" t="e">
            <v>#VALUE!</v>
          </cell>
          <cell r="BK13" t="e">
            <v>#VALUE!</v>
          </cell>
          <cell r="BM13" t="str">
            <v>Leg1cashlet.slidingrule</v>
          </cell>
          <cell r="BN13" t="str">
            <v>MOD_FOLLOWING</v>
          </cell>
          <cell r="BP13" t="e">
            <v>#VALUE!</v>
          </cell>
          <cell r="BQ13" t="e">
            <v>#VALUE!</v>
          </cell>
          <cell r="BS13" t="str">
            <v>Leg1cashlet.slidingrule</v>
          </cell>
          <cell r="BT13" t="str">
            <v>MOD_FOLLOWING</v>
          </cell>
          <cell r="BV13" t="e">
            <v>#VALUE!</v>
          </cell>
          <cell r="BW13" t="e">
            <v>#VALUE!</v>
          </cell>
          <cell r="CH13" t="str">
            <v>isadjustdf</v>
          </cell>
          <cell r="CI13" t="b">
            <v>0</v>
          </cell>
        </row>
        <row r="14">
          <cell r="C14" t="str">
            <v>USDDF_EURCSA</v>
          </cell>
          <cell r="J14" t="str">
            <v>slidingrule</v>
          </cell>
          <cell r="K14" t="str">
            <v>MOD_FOLLOWING</v>
          </cell>
          <cell r="M14" t="e">
            <v>#VALUE!</v>
          </cell>
          <cell r="N14" t="e">
            <v>#VALUE!</v>
          </cell>
          <cell r="O14" t="e">
            <v>#VALUE!</v>
          </cell>
          <cell r="P14" t="e">
            <v>#VALUE!</v>
          </cell>
          <cell r="Q14" t="e">
            <v>#VALUE!</v>
          </cell>
          <cell r="AH14" t="str">
            <v>isfrause</v>
          </cell>
          <cell r="AI14" t="b">
            <v>0</v>
          </cell>
          <cell r="AW14" t="str">
            <v>basis.interpolation</v>
          </cell>
          <cell r="AX14" t="str">
            <v>FN_SPLINEINTERPOLATION</v>
          </cell>
          <cell r="AZ14" t="e">
            <v>#VALUE!</v>
          </cell>
          <cell r="BA14" t="e">
            <v>#VALUE!</v>
          </cell>
          <cell r="BB14" t="e">
            <v>#VALUE!</v>
          </cell>
          <cell r="BD14" t="str">
            <v>isspotuse</v>
          </cell>
          <cell r="BE14" t="b">
            <v>0</v>
          </cell>
          <cell r="BG14" t="str">
            <v>Leg1cashlet.spotlag</v>
          </cell>
          <cell r="BH14" t="str">
            <v>2</v>
          </cell>
          <cell r="BJ14" t="e">
            <v>#VALUE!</v>
          </cell>
          <cell r="BK14" t="e">
            <v>#VALUE!</v>
          </cell>
          <cell r="BM14" t="str">
            <v>Leg1cashlet.spotlag</v>
          </cell>
          <cell r="BN14" t="str">
            <v>2</v>
          </cell>
          <cell r="BP14" t="e">
            <v>#VALUE!</v>
          </cell>
          <cell r="BQ14" t="e">
            <v>#VALUE!</v>
          </cell>
          <cell r="BS14" t="str">
            <v>Leg1cashlet.spotlag</v>
          </cell>
          <cell r="BT14" t="str">
            <v>2</v>
          </cell>
          <cell r="BV14" t="e">
            <v>#VALUE!</v>
          </cell>
          <cell r="BW14" t="e">
            <v>#VALUE!</v>
          </cell>
          <cell r="CH14" t="str">
            <v>isspotuse</v>
          </cell>
          <cell r="CI14" t="b">
            <v>0</v>
          </cell>
        </row>
        <row r="15">
          <cell r="C15" t="str">
            <v>USDDF_GBPCSA</v>
          </cell>
          <cell r="J15" t="str">
            <v>shorttermconvention</v>
          </cell>
          <cell r="K15" t="str">
            <v>arithmeticaverage</v>
          </cell>
          <cell r="M15" t="e">
            <v>#VALUE!</v>
          </cell>
          <cell r="N15" t="e">
            <v>#VALUE!</v>
          </cell>
          <cell r="O15" t="e">
            <v>#VALUE!</v>
          </cell>
          <cell r="P15" t="e">
            <v>#VALUE!</v>
          </cell>
          <cell r="Q15" t="e">
            <v>#VALUE!</v>
          </cell>
          <cell r="AH15" t="str">
            <v>isfutureuse</v>
          </cell>
          <cell r="AI15" t="b">
            <v>1</v>
          </cell>
          <cell r="AK15" t="str">
            <v>calendar</v>
          </cell>
          <cell r="AL15" t="str">
            <v>LNB:NYB</v>
          </cell>
          <cell r="AW15" t="str">
            <v>IsEomRoll</v>
          </cell>
          <cell r="AX15" t="b">
            <v>1</v>
          </cell>
          <cell r="AZ15" t="e">
            <v>#VALUE!</v>
          </cell>
          <cell r="BA15" t="e">
            <v>#VALUE!</v>
          </cell>
          <cell r="BB15" t="e">
            <v>#VALUE!</v>
          </cell>
          <cell r="BD15" t="str">
            <v>isswaptenoradjust</v>
          </cell>
          <cell r="BE15" t="b">
            <v>0</v>
          </cell>
          <cell r="BG15" t="str">
            <v>Leg1discount</v>
          </cell>
          <cell r="BH15" t="str">
            <v>OIS</v>
          </cell>
          <cell r="BJ15" t="e">
            <v>#VALUE!</v>
          </cell>
          <cell r="BK15" t="e">
            <v>#VALUE!</v>
          </cell>
          <cell r="BM15" t="str">
            <v>Leg1discount</v>
          </cell>
          <cell r="BN15" t="str">
            <v>OIS</v>
          </cell>
          <cell r="BP15" t="e">
            <v>#VALUE!</v>
          </cell>
          <cell r="BQ15" t="e">
            <v>#VALUE!</v>
          </cell>
          <cell r="BS15" t="str">
            <v>Leg1discount</v>
          </cell>
          <cell r="BT15" t="str">
            <v>OIS</v>
          </cell>
          <cell r="BV15" t="e">
            <v>#VALUE!</v>
          </cell>
          <cell r="BW15" t="e">
            <v>#VALUE!</v>
          </cell>
          <cell r="CH15" t="str">
            <v>isswaptenoradjust</v>
          </cell>
          <cell r="CI15" t="b">
            <v>0</v>
          </cell>
        </row>
        <row r="16">
          <cell r="C16" t="str">
            <v>USDDF_JPYCSA</v>
          </cell>
          <cell r="J16" t="str">
            <v>shorttermconvention</v>
          </cell>
          <cell r="K16" t="str">
            <v>arithmeticaverage</v>
          </cell>
          <cell r="M16" t="e">
            <v>#VALUE!</v>
          </cell>
          <cell r="N16" t="e">
            <v>#VALUE!</v>
          </cell>
          <cell r="O16" t="e">
            <v>#VALUE!</v>
          </cell>
          <cell r="P16" t="e">
            <v>#VALUE!</v>
          </cell>
          <cell r="Q16" t="e">
            <v>#VALUE!</v>
          </cell>
          <cell r="AH16" t="str">
            <v>dfcurvename</v>
          </cell>
          <cell r="AI16" t="str">
            <v>OIS</v>
          </cell>
          <cell r="AK16" t="str">
            <v>daycount</v>
          </cell>
          <cell r="AL16" t="str">
            <v>act/360</v>
          </cell>
          <cell r="AQ16" t="e">
            <v>#VALUE!</v>
          </cell>
          <cell r="AR16" t="e">
            <v>#VALUE!</v>
          </cell>
          <cell r="AS16" t="e">
            <v>#VALUE!</v>
          </cell>
          <cell r="AT16" t="e">
            <v>#VALUE!</v>
          </cell>
          <cell r="AU16" t="e">
            <v>#VALUE!</v>
          </cell>
          <cell r="AW16" t="str">
            <v>IsNewtonraphson</v>
          </cell>
          <cell r="AX16" t="b">
            <v>1</v>
          </cell>
          <cell r="AZ16" t="e">
            <v>#VALUE!</v>
          </cell>
          <cell r="BA16" t="e">
            <v>#VALUE!</v>
          </cell>
          <cell r="BB16" t="e">
            <v>#VALUE!</v>
          </cell>
          <cell r="BD16" t="str">
            <v>yieldgen.interpolation</v>
          </cell>
          <cell r="BE16" t="str">
            <v>FN_SPLINEINTERPOLATION</v>
          </cell>
          <cell r="BG16" t="str">
            <v>Leg1forecast</v>
          </cell>
          <cell r="BH16" t="str">
            <v>STD</v>
          </cell>
          <cell r="BJ16" t="e">
            <v>#VALUE!</v>
          </cell>
          <cell r="BK16" t="e">
            <v>#VALUE!</v>
          </cell>
          <cell r="BM16" t="str">
            <v>Leg1forecast</v>
          </cell>
          <cell r="BN16" t="str">
            <v>STD</v>
          </cell>
          <cell r="BP16" t="e">
            <v>#VALUE!</v>
          </cell>
          <cell r="BQ16" t="e">
            <v>#VALUE!</v>
          </cell>
          <cell r="BS16" t="str">
            <v>Leg1forecast</v>
          </cell>
          <cell r="BT16" t="str">
            <v>STD</v>
          </cell>
          <cell r="BV16" t="e">
            <v>#VALUE!</v>
          </cell>
          <cell r="BW16" t="e">
            <v>#VALUE!</v>
          </cell>
          <cell r="CH16" t="str">
            <v>yieldgen.interpolation</v>
          </cell>
          <cell r="CI16" t="str">
            <v>FN_SPLINEINTERPOLATION</v>
          </cell>
        </row>
        <row r="17">
          <cell r="J17" t="str">
            <v>longtermconvention</v>
          </cell>
          <cell r="K17" t="str">
            <v>LOBASIS</v>
          </cell>
          <cell r="M17" t="e">
            <v>#VALUE!</v>
          </cell>
          <cell r="N17" t="e">
            <v>#VALUE!</v>
          </cell>
          <cell r="O17" t="e">
            <v>#VALUE!</v>
          </cell>
          <cell r="P17" t="e">
            <v>#VALUE!</v>
          </cell>
          <cell r="Q17" t="e">
            <v>#VALUE!</v>
          </cell>
          <cell r="AH17" t="str">
            <v>GenerateForwardsFromSwapsOnly</v>
          </cell>
          <cell r="AI17" t="b">
            <v>1</v>
          </cell>
          <cell r="AK17" t="str">
            <v>frequency</v>
          </cell>
          <cell r="AL17" t="str">
            <v>simple</v>
          </cell>
          <cell r="AQ17" t="e">
            <v>#VALUE!</v>
          </cell>
          <cell r="AR17" t="e">
            <v>#VALUE!</v>
          </cell>
          <cell r="AS17" t="e">
            <v>#VALUE!</v>
          </cell>
          <cell r="AT17" t="e">
            <v>#VALUE!</v>
          </cell>
          <cell r="AU17" t="e">
            <v>#VALUE!</v>
          </cell>
          <cell r="AW17" t="str">
            <v>IsTimeInterpolation</v>
          </cell>
          <cell r="AX17" t="b">
            <v>1</v>
          </cell>
          <cell r="AZ17" t="e">
            <v>#VALUE!</v>
          </cell>
          <cell r="BA17" t="e">
            <v>#VALUE!</v>
          </cell>
          <cell r="BB17" t="e">
            <v>#VALUE!</v>
          </cell>
          <cell r="BD17" t="str">
            <v>isrenotionaladjust</v>
          </cell>
          <cell r="BE17" t="b">
            <v>1</v>
          </cell>
          <cell r="BG17" t="str">
            <v>Leg1index.accessary</v>
          </cell>
          <cell r="BH17" t="str">
            <v>6M</v>
          </cell>
          <cell r="BJ17" t="e">
            <v>#VALUE!</v>
          </cell>
          <cell r="BK17" t="e">
            <v>#VALUE!</v>
          </cell>
          <cell r="BM17" t="str">
            <v>Leg1index.accessary</v>
          </cell>
          <cell r="BN17" t="str">
            <v>3M</v>
          </cell>
          <cell r="BP17" t="e">
            <v>#VALUE!</v>
          </cell>
          <cell r="BQ17" t="e">
            <v>#VALUE!</v>
          </cell>
          <cell r="BS17" t="str">
            <v>Leg1index.accessary</v>
          </cell>
          <cell r="BT17" t="str">
            <v>12M</v>
          </cell>
          <cell r="BV17" t="e">
            <v>#VALUE!</v>
          </cell>
          <cell r="BW17" t="e">
            <v>#VALUE!</v>
          </cell>
          <cell r="CH17" t="str">
            <v>isrenotionaladjust</v>
          </cell>
          <cell r="CI17" t="b">
            <v>1</v>
          </cell>
        </row>
        <row r="18">
          <cell r="J18" t="str">
            <v>longterm</v>
          </cell>
          <cell r="K18" t="str">
            <v>3Y</v>
          </cell>
          <cell r="M18" t="e">
            <v>#VALUE!</v>
          </cell>
          <cell r="N18" t="e">
            <v>#VALUE!</v>
          </cell>
          <cell r="O18" t="e">
            <v>#VALUE!</v>
          </cell>
          <cell r="P18" t="e">
            <v>#VALUE!</v>
          </cell>
          <cell r="Q18" t="e">
            <v>#VALUE!</v>
          </cell>
          <cell r="AK18" t="str">
            <v>resetlag</v>
          </cell>
          <cell r="AL18" t="str">
            <v>2</v>
          </cell>
          <cell r="AQ18" t="e">
            <v>#VALUE!</v>
          </cell>
          <cell r="AR18" t="e">
            <v>#VALUE!</v>
          </cell>
          <cell r="AS18" t="e">
            <v>#VALUE!</v>
          </cell>
          <cell r="AT18" t="e">
            <v>#VALUE!</v>
          </cell>
          <cell r="AU18" t="e">
            <v>#VALUE!</v>
          </cell>
          <cell r="AW18" t="str">
            <v>Resetlag</v>
          </cell>
          <cell r="AX18">
            <v>2</v>
          </cell>
          <cell r="AZ18" t="e">
            <v>#VALUE!</v>
          </cell>
          <cell r="BA18" t="e">
            <v>#VALUE!</v>
          </cell>
          <cell r="BB18" t="e">
            <v>#VALUE!</v>
          </cell>
          <cell r="BD18" t="str">
            <v>basis.interpolation.3m6mbasis</v>
          </cell>
          <cell r="BE18" t="str">
            <v>FN_SPLINEINTERPOLATION</v>
          </cell>
          <cell r="BG18" t="str">
            <v>Leg1index.daycount</v>
          </cell>
          <cell r="BH18" t="str">
            <v>Act/360</v>
          </cell>
          <cell r="BJ18" t="e">
            <v>#VALUE!</v>
          </cell>
          <cell r="BK18" t="e">
            <v>#VALUE!</v>
          </cell>
          <cell r="BM18" t="str">
            <v>Leg1index.daycount</v>
          </cell>
          <cell r="BN18" t="str">
            <v>Act/360</v>
          </cell>
          <cell r="BP18" t="e">
            <v>#VALUE!</v>
          </cell>
          <cell r="BQ18" t="e">
            <v>#VALUE!</v>
          </cell>
          <cell r="BS18" t="str">
            <v>Leg1index.daycount</v>
          </cell>
          <cell r="BT18" t="str">
            <v>Act/360</v>
          </cell>
          <cell r="BV18" t="e">
            <v>#VALUE!</v>
          </cell>
          <cell r="BW18" t="e">
            <v>#VALUE!</v>
          </cell>
          <cell r="CH18" t="str">
            <v>basis.interpolation.3m6mbasis</v>
          </cell>
          <cell r="CI18" t="str">
            <v>FN_SPLINEINTERPOLATION</v>
          </cell>
        </row>
        <row r="19">
          <cell r="J19" t="str">
            <v>longterm.generatemethod</v>
          </cell>
          <cell r="K19" t="str">
            <v>dailyaveraging</v>
          </cell>
          <cell r="M19" t="e">
            <v>#VALUE!</v>
          </cell>
          <cell r="N19" t="e">
            <v>#VALUE!</v>
          </cell>
          <cell r="O19" t="e">
            <v>#VALUE!</v>
          </cell>
          <cell r="P19" t="e">
            <v>#VALUE!</v>
          </cell>
          <cell r="Q19" t="e">
            <v>#VALUE!</v>
          </cell>
          <cell r="AK19" t="str">
            <v>slidingrule</v>
          </cell>
          <cell r="AL19" t="str">
            <v>mod_following</v>
          </cell>
          <cell r="AQ19" t="e">
            <v>#VALUE!</v>
          </cell>
          <cell r="AR19" t="e">
            <v>#VALUE!</v>
          </cell>
          <cell r="AS19" t="e">
            <v>#VALUE!</v>
          </cell>
          <cell r="AT19" t="e">
            <v>#VALUE!</v>
          </cell>
          <cell r="AU19" t="e">
            <v>#VALUE!</v>
          </cell>
          <cell r="AW19" t="str">
            <v>SlidingRule</v>
          </cell>
          <cell r="AX19" t="str">
            <v>MOD_FOLLOWING</v>
          </cell>
          <cell r="AZ19" t="e">
            <v>#VALUE!</v>
          </cell>
          <cell r="BA19" t="e">
            <v>#VALUE!</v>
          </cell>
          <cell r="BB19" t="e">
            <v>#VALUE!</v>
          </cell>
          <cell r="BD19" t="str">
            <v>dfcurvename</v>
          </cell>
          <cell r="BE19" t="str">
            <v>OIS</v>
          </cell>
          <cell r="BG19" t="str">
            <v>Leg1index.fixing.calendar</v>
          </cell>
          <cell r="BH19" t="str">
            <v>LNB:NYB</v>
          </cell>
          <cell r="BJ19" t="e">
            <v>#VALUE!</v>
          </cell>
          <cell r="BK19" t="e">
            <v>#VALUE!</v>
          </cell>
          <cell r="BM19" t="str">
            <v>Leg1index.fixing.calendar</v>
          </cell>
          <cell r="BN19" t="str">
            <v>LNB:NYB</v>
          </cell>
          <cell r="BP19" t="e">
            <v>#VALUE!</v>
          </cell>
          <cell r="BQ19" t="e">
            <v>#VALUE!</v>
          </cell>
          <cell r="BS19" t="str">
            <v>Leg1index.fixing.calendar</v>
          </cell>
          <cell r="BT19" t="str">
            <v>LNB:NYB</v>
          </cell>
          <cell r="BV19" t="e">
            <v>#VALUE!</v>
          </cell>
          <cell r="BW19" t="e">
            <v>#VALUE!</v>
          </cell>
          <cell r="CH19" t="str">
            <v>dfcurvename</v>
          </cell>
          <cell r="CI19" t="str">
            <v>OIS</v>
          </cell>
        </row>
        <row r="20">
          <cell r="J20" t="str">
            <v>SmoothShortEnd</v>
          </cell>
          <cell r="K20" t="b">
            <v>1</v>
          </cell>
          <cell r="M20" t="e">
            <v>#VALUE!</v>
          </cell>
          <cell r="N20" t="e">
            <v>#VALUE!</v>
          </cell>
          <cell r="O20" t="e">
            <v>#VALUE!</v>
          </cell>
          <cell r="P20" t="e">
            <v>#VALUE!</v>
          </cell>
          <cell r="Q20" t="e">
            <v>#VALUE!</v>
          </cell>
          <cell r="AK20" t="str">
            <v>IsEomRoll</v>
          </cell>
          <cell r="AL20" t="b">
            <v>1</v>
          </cell>
          <cell r="AQ20" t="e">
            <v>#VALUE!</v>
          </cell>
          <cell r="AR20" t="e">
            <v>#VALUE!</v>
          </cell>
          <cell r="AS20" t="e">
            <v>#VALUE!</v>
          </cell>
          <cell r="AT20" t="e">
            <v>#VALUE!</v>
          </cell>
          <cell r="AU20" t="e">
            <v>#VALUE!</v>
          </cell>
          <cell r="AW20" t="str">
            <v>issimultaneouseq</v>
          </cell>
          <cell r="AX20" t="b">
            <v>1</v>
          </cell>
          <cell r="AZ20" t="e">
            <v>#VALUE!</v>
          </cell>
          <cell r="BA20" t="e">
            <v>#VALUE!</v>
          </cell>
          <cell r="BB20" t="e">
            <v>#VALUE!</v>
          </cell>
          <cell r="BD20" t="str">
            <v>isFwdInterp</v>
          </cell>
          <cell r="BE20" t="b">
            <v>1</v>
          </cell>
          <cell r="BG20" t="str">
            <v>Leg1index.frequency</v>
          </cell>
          <cell r="BH20" t="str">
            <v>Simple</v>
          </cell>
          <cell r="BJ20" t="e">
            <v>#VALUE!</v>
          </cell>
          <cell r="BK20" t="e">
            <v>#VALUE!</v>
          </cell>
          <cell r="BM20" t="str">
            <v>Leg1index.frequency</v>
          </cell>
          <cell r="BN20" t="str">
            <v>Simple</v>
          </cell>
          <cell r="BP20" t="e">
            <v>#VALUE!</v>
          </cell>
          <cell r="BQ20" t="e">
            <v>#VALUE!</v>
          </cell>
          <cell r="BS20" t="str">
            <v>Leg1index.frequency</v>
          </cell>
          <cell r="BT20" t="str">
            <v>Simple</v>
          </cell>
          <cell r="BV20" t="e">
            <v>#VALUE!</v>
          </cell>
          <cell r="BW20" t="e">
            <v>#VALUE!</v>
          </cell>
        </row>
        <row r="21">
          <cell r="J21" t="str">
            <v>CompoundingMethod</v>
          </cell>
          <cell r="K21" t="str">
            <v>ARITHMETIC</v>
          </cell>
          <cell r="M21" t="e">
            <v>#VALUE!</v>
          </cell>
          <cell r="N21" t="e">
            <v>#VALUE!</v>
          </cell>
          <cell r="O21" t="e">
            <v>#VALUE!</v>
          </cell>
          <cell r="P21" t="e">
            <v>#VALUE!</v>
          </cell>
          <cell r="Q21" t="e">
            <v>#VALUE!</v>
          </cell>
          <cell r="AQ21" t="e">
            <v>#VALUE!</v>
          </cell>
          <cell r="AR21" t="e">
            <v>#VALUE!</v>
          </cell>
          <cell r="AS21" t="e">
            <v>#VALUE!</v>
          </cell>
          <cell r="AT21" t="e">
            <v>#VALUE!</v>
          </cell>
          <cell r="AU21" t="e">
            <v>#VALUE!</v>
          </cell>
          <cell r="AW21" t="str">
            <v>optimizemethod</v>
          </cell>
          <cell r="AX21" t="str">
            <v>NL2SOL</v>
          </cell>
          <cell r="AZ21" t="e">
            <v>#VALUE!</v>
          </cell>
          <cell r="BA21" t="e">
            <v>#VALUE!</v>
          </cell>
          <cell r="BB21" t="e">
            <v>#VALUE!</v>
          </cell>
          <cell r="BG21" t="str">
            <v>Leg1index.payment.calendar</v>
          </cell>
          <cell r="BH21" t="str">
            <v>LnB</v>
          </cell>
          <cell r="BJ21" t="e">
            <v>#VALUE!</v>
          </cell>
          <cell r="BK21" t="e">
            <v>#VALUE!</v>
          </cell>
          <cell r="BM21" t="str">
            <v>Leg1index.payment.calendar</v>
          </cell>
          <cell r="BN21" t="str">
            <v>LnB</v>
          </cell>
          <cell r="BP21" t="e">
            <v>#VALUE!</v>
          </cell>
          <cell r="BQ21" t="e">
            <v>#VALUE!</v>
          </cell>
          <cell r="BS21" t="str">
            <v>Leg1index.payment.calendar</v>
          </cell>
          <cell r="BT21" t="str">
            <v>LnB</v>
          </cell>
          <cell r="BV21" t="e">
            <v>#VALUE!</v>
          </cell>
          <cell r="BW21" t="e">
            <v>#VALUE!</v>
          </cell>
        </row>
        <row r="22">
          <cell r="M22" t="e">
            <v>#VALUE!</v>
          </cell>
          <cell r="N22" t="e">
            <v>#VALUE!</v>
          </cell>
          <cell r="O22" t="e">
            <v>#VALUE!</v>
          </cell>
          <cell r="P22" t="e">
            <v>#VALUE!</v>
          </cell>
          <cell r="Q22" t="e">
            <v>#VALUE!</v>
          </cell>
          <cell r="AQ22" t="e">
            <v>#VALUE!</v>
          </cell>
          <cell r="AR22" t="e">
            <v>#VALUE!</v>
          </cell>
          <cell r="AS22" t="e">
            <v>#VALUE!</v>
          </cell>
          <cell r="AT22" t="e">
            <v>#VALUE!</v>
          </cell>
          <cell r="AU22" t="e">
            <v>#VALUE!</v>
          </cell>
          <cell r="AZ22" t="e">
            <v>#VALUE!</v>
          </cell>
          <cell r="BA22" t="e">
            <v>#VALUE!</v>
          </cell>
          <cell r="BB22" t="e">
            <v>#VALUE!</v>
          </cell>
          <cell r="BG22" t="str">
            <v>Leg1index.resetlag</v>
          </cell>
          <cell r="BH22" t="str">
            <v>2</v>
          </cell>
          <cell r="BJ22" t="e">
            <v>#VALUE!</v>
          </cell>
          <cell r="BK22" t="e">
            <v>#VALUE!</v>
          </cell>
          <cell r="BM22" t="str">
            <v>Leg1index.resetlag</v>
          </cell>
          <cell r="BN22" t="str">
            <v>2</v>
          </cell>
          <cell r="BP22" t="e">
            <v>#VALUE!</v>
          </cell>
          <cell r="BQ22" t="e">
            <v>#VALUE!</v>
          </cell>
          <cell r="BS22" t="str">
            <v>Leg1index.resetlag</v>
          </cell>
          <cell r="BT22" t="str">
            <v>2</v>
          </cell>
          <cell r="BV22" t="e">
            <v>#VALUE!</v>
          </cell>
          <cell r="BW22" t="e">
            <v>#VALUE!</v>
          </cell>
        </row>
        <row r="23">
          <cell r="M23" t="e">
            <v>#VALUE!</v>
          </cell>
          <cell r="N23" t="e">
            <v>#VALUE!</v>
          </cell>
          <cell r="O23" t="e">
            <v>#VALUE!</v>
          </cell>
          <cell r="P23" t="e">
            <v>#VALUE!</v>
          </cell>
          <cell r="Q23" t="e">
            <v>#VALUE!</v>
          </cell>
          <cell r="AQ23" t="e">
            <v>#VALUE!</v>
          </cell>
          <cell r="AR23" t="e">
            <v>#VALUE!</v>
          </cell>
          <cell r="AS23" t="e">
            <v>#VALUE!</v>
          </cell>
          <cell r="AT23" t="e">
            <v>#VALUE!</v>
          </cell>
          <cell r="AU23" t="e">
            <v>#VALUE!</v>
          </cell>
          <cell r="AZ23" t="e">
            <v>#VALUE!</v>
          </cell>
          <cell r="BA23" t="e">
            <v>#VALUE!</v>
          </cell>
          <cell r="BB23" t="e">
            <v>#VALUE!</v>
          </cell>
          <cell r="BG23" t="str">
            <v>Leg1index.slidingrule</v>
          </cell>
          <cell r="BH23" t="str">
            <v>MOD_FOLLOWING</v>
          </cell>
          <cell r="BJ23" t="e">
            <v>#VALUE!</v>
          </cell>
          <cell r="BK23" t="e">
            <v>#VALUE!</v>
          </cell>
          <cell r="BM23" t="str">
            <v>Leg1index.slidingrule</v>
          </cell>
          <cell r="BN23" t="str">
            <v>MOD_FOLLOWING</v>
          </cell>
          <cell r="BP23" t="e">
            <v>#VALUE!</v>
          </cell>
          <cell r="BQ23" t="e">
            <v>#VALUE!</v>
          </cell>
          <cell r="BS23" t="str">
            <v>Leg1index.slidingrule</v>
          </cell>
          <cell r="BT23" t="str">
            <v>MOD_FOLLOWING</v>
          </cell>
          <cell r="BV23" t="e">
            <v>#VALUE!</v>
          </cell>
          <cell r="BW23" t="e">
            <v>#VALUE!</v>
          </cell>
        </row>
        <row r="24">
          <cell r="M24" t="e">
            <v>#VALUE!</v>
          </cell>
          <cell r="N24" t="e">
            <v>#VALUE!</v>
          </cell>
          <cell r="O24" t="e">
            <v>#VALUE!</v>
          </cell>
          <cell r="P24" t="e">
            <v>#VALUE!</v>
          </cell>
          <cell r="Q24" t="e">
            <v>#VALUE!</v>
          </cell>
          <cell r="AQ24" t="e">
            <v>#VALUE!</v>
          </cell>
          <cell r="AR24" t="e">
            <v>#VALUE!</v>
          </cell>
          <cell r="AS24" t="e">
            <v>#VALUE!</v>
          </cell>
          <cell r="AT24" t="e">
            <v>#VALUE!</v>
          </cell>
          <cell r="AU24" t="e">
            <v>#VALUE!</v>
          </cell>
          <cell r="AZ24" t="e">
            <v>#VALUE!</v>
          </cell>
          <cell r="BA24" t="e">
            <v>#VALUE!</v>
          </cell>
          <cell r="BB24" t="e">
            <v>#VALUE!</v>
          </cell>
          <cell r="BG24" t="str">
            <v>Leg2cashlet.calendar</v>
          </cell>
          <cell r="BH24" t="str">
            <v>LNB:NYB</v>
          </cell>
          <cell r="BJ24" t="e">
            <v>#VALUE!</v>
          </cell>
          <cell r="BK24" t="e">
            <v>#VALUE!</v>
          </cell>
          <cell r="BM24" t="str">
            <v>Leg2cashlet.calendar</v>
          </cell>
          <cell r="BN24" t="str">
            <v>LNB:NYB</v>
          </cell>
          <cell r="BP24" t="e">
            <v>#VALUE!</v>
          </cell>
          <cell r="BQ24" t="e">
            <v>#VALUE!</v>
          </cell>
          <cell r="BS24" t="str">
            <v>Leg2cashlet.calendar</v>
          </cell>
          <cell r="BT24" t="str">
            <v>LNB:NYB</v>
          </cell>
          <cell r="BV24" t="e">
            <v>#VALUE!</v>
          </cell>
          <cell r="BW24" t="e">
            <v>#VALUE!</v>
          </cell>
        </row>
        <row r="25">
          <cell r="M25" t="e">
            <v>#VALUE!</v>
          </cell>
          <cell r="N25" t="e">
            <v>#VALUE!</v>
          </cell>
          <cell r="O25" t="e">
            <v>#VALUE!</v>
          </cell>
          <cell r="P25" t="e">
            <v>#VALUE!</v>
          </cell>
          <cell r="Q25" t="e">
            <v>#VALUE!</v>
          </cell>
          <cell r="AQ25" t="e">
            <v>#VALUE!</v>
          </cell>
          <cell r="AR25" t="e">
            <v>#VALUE!</v>
          </cell>
          <cell r="AS25" t="e">
            <v>#VALUE!</v>
          </cell>
          <cell r="AT25" t="e">
            <v>#VALUE!</v>
          </cell>
          <cell r="AU25" t="e">
            <v>#VALUE!</v>
          </cell>
          <cell r="AZ25" t="e">
            <v>#VALUE!</v>
          </cell>
          <cell r="BA25" t="e">
            <v>#VALUE!</v>
          </cell>
          <cell r="BB25" t="e">
            <v>#VALUE!</v>
          </cell>
          <cell r="BG25" t="str">
            <v>Leg2cashlet.daycount</v>
          </cell>
          <cell r="BH25" t="str">
            <v>Act/360</v>
          </cell>
          <cell r="BJ25" t="e">
            <v>#VALUE!</v>
          </cell>
          <cell r="BK25" t="e">
            <v>#VALUE!</v>
          </cell>
          <cell r="BM25" t="str">
            <v>Leg2cashlet.daycount</v>
          </cell>
          <cell r="BN25" t="str">
            <v>Act/360</v>
          </cell>
          <cell r="BP25" t="e">
            <v>#VALUE!</v>
          </cell>
          <cell r="BQ25" t="e">
            <v>#VALUE!</v>
          </cell>
          <cell r="BS25" t="str">
            <v>Leg2cashlet.daycount</v>
          </cell>
          <cell r="BT25" t="str">
            <v>Act/360</v>
          </cell>
          <cell r="BV25" t="e">
            <v>#VALUE!</v>
          </cell>
          <cell r="BW25" t="e">
            <v>#VALUE!</v>
          </cell>
        </row>
        <row r="26">
          <cell r="M26" t="e">
            <v>#VALUE!</v>
          </cell>
          <cell r="N26" t="e">
            <v>#VALUE!</v>
          </cell>
          <cell r="O26" t="e">
            <v>#VALUE!</v>
          </cell>
          <cell r="P26" t="e">
            <v>#VALUE!</v>
          </cell>
          <cell r="Q26" t="e">
            <v>#VALUE!</v>
          </cell>
          <cell r="AQ26" t="e">
            <v>#VALUE!</v>
          </cell>
          <cell r="AR26" t="e">
            <v>#VALUE!</v>
          </cell>
          <cell r="AS26" t="e">
            <v>#VALUE!</v>
          </cell>
          <cell r="AT26" t="e">
            <v>#VALUE!</v>
          </cell>
          <cell r="AU26" t="e">
            <v>#VALUE!</v>
          </cell>
          <cell r="AZ26" t="e">
            <v>#VALUE!</v>
          </cell>
          <cell r="BA26" t="e">
            <v>#VALUE!</v>
          </cell>
          <cell r="BB26" t="e">
            <v>#VALUE!</v>
          </cell>
          <cell r="BG26" t="str">
            <v>Leg2cashlet.frequency</v>
          </cell>
          <cell r="BH26" t="str">
            <v>Quarterly</v>
          </cell>
          <cell r="BJ26" t="e">
            <v>#VALUE!</v>
          </cell>
          <cell r="BK26" t="e">
            <v>#VALUE!</v>
          </cell>
          <cell r="BM26" t="str">
            <v>Leg2cashlet.frequency</v>
          </cell>
          <cell r="BN26" t="str">
            <v>Monthly</v>
          </cell>
          <cell r="BP26" t="e">
            <v>#VALUE!</v>
          </cell>
          <cell r="BQ26" t="e">
            <v>#VALUE!</v>
          </cell>
          <cell r="BS26" t="str">
            <v>Leg2cashlet.frequency</v>
          </cell>
          <cell r="BT26" t="str">
            <v>Quarterly</v>
          </cell>
          <cell r="BV26" t="e">
            <v>#VALUE!</v>
          </cell>
          <cell r="BW26" t="e">
            <v>#VALUE!</v>
          </cell>
        </row>
        <row r="27">
          <cell r="M27" t="e">
            <v>#VALUE!</v>
          </cell>
          <cell r="N27" t="e">
            <v>#VALUE!</v>
          </cell>
          <cell r="O27" t="e">
            <v>#VALUE!</v>
          </cell>
          <cell r="P27" t="e">
            <v>#VALUE!</v>
          </cell>
          <cell r="Q27" t="e">
            <v>#VALUE!</v>
          </cell>
          <cell r="AQ27" t="e">
            <v>#VALUE!</v>
          </cell>
          <cell r="AR27" t="e">
            <v>#VALUE!</v>
          </cell>
          <cell r="AS27" t="e">
            <v>#VALUE!</v>
          </cell>
          <cell r="AT27" t="e">
            <v>#VALUE!</v>
          </cell>
          <cell r="AU27" t="e">
            <v>#VALUE!</v>
          </cell>
          <cell r="AZ27" t="e">
            <v>#VALUE!</v>
          </cell>
          <cell r="BA27" t="e">
            <v>#VALUE!</v>
          </cell>
          <cell r="BB27" t="e">
            <v>#VALUE!</v>
          </cell>
          <cell r="BG27" t="str">
            <v>Leg2cashlet.frequencycompound</v>
          </cell>
          <cell r="BH27" t="str">
            <v>Semi-Annual</v>
          </cell>
          <cell r="BM27" t="str">
            <v>Leg2cashlet.frequencycompound</v>
          </cell>
          <cell r="BN27" t="str">
            <v>Quarterly</v>
          </cell>
          <cell r="BS27" t="str">
            <v>Leg2cashlet.frequencycompound</v>
          </cell>
          <cell r="BT27" t="str">
            <v>Annual</v>
          </cell>
          <cell r="BV27" t="e">
            <v>#VALUE!</v>
          </cell>
          <cell r="BW27" t="e">
            <v>#VALUE!</v>
          </cell>
        </row>
        <row r="28">
          <cell r="M28" t="e">
            <v>#VALUE!</v>
          </cell>
          <cell r="N28" t="e">
            <v>#VALUE!</v>
          </cell>
          <cell r="O28" t="e">
            <v>#VALUE!</v>
          </cell>
          <cell r="P28" t="e">
            <v>#VALUE!</v>
          </cell>
          <cell r="Q28" t="e">
            <v>#VALUE!</v>
          </cell>
          <cell r="AQ28" t="e">
            <v>#VALUE!</v>
          </cell>
          <cell r="AR28" t="e">
            <v>#VALUE!</v>
          </cell>
          <cell r="AS28" t="e">
            <v>#VALUE!</v>
          </cell>
          <cell r="AT28" t="e">
            <v>#VALUE!</v>
          </cell>
          <cell r="AU28" t="e">
            <v>#VALUE!</v>
          </cell>
          <cell r="AZ28" t="e">
            <v>#VALUE!</v>
          </cell>
          <cell r="BA28" t="e">
            <v>#VALUE!</v>
          </cell>
          <cell r="BB28" t="e">
            <v>#VALUE!</v>
          </cell>
          <cell r="BG28" t="str">
            <v>Leg2cashlet.slidingrule</v>
          </cell>
          <cell r="BH28" t="str">
            <v>MOD_FOLLOWING</v>
          </cell>
          <cell r="BJ28" t="e">
            <v>#VALUE!</v>
          </cell>
          <cell r="BK28" t="e">
            <v>#VALUE!</v>
          </cell>
          <cell r="BM28" t="str">
            <v>Leg2cashlet.slidingrule</v>
          </cell>
          <cell r="BN28" t="str">
            <v>MOD_FOLLOWING</v>
          </cell>
          <cell r="BP28" t="e">
            <v>#VALUE!</v>
          </cell>
          <cell r="BQ28" t="e">
            <v>#VALUE!</v>
          </cell>
          <cell r="BS28" t="str">
            <v>Leg2cashlet.slidingrule</v>
          </cell>
          <cell r="BT28" t="str">
            <v>MOD_FOLLOWING</v>
          </cell>
          <cell r="BV28" t="e">
            <v>#VALUE!</v>
          </cell>
          <cell r="BW28" t="e">
            <v>#VALUE!</v>
          </cell>
        </row>
        <row r="29">
          <cell r="M29" t="e">
            <v>#VALUE!</v>
          </cell>
          <cell r="N29" t="e">
            <v>#VALUE!</v>
          </cell>
          <cell r="O29" t="e">
            <v>#VALUE!</v>
          </cell>
          <cell r="P29" t="e">
            <v>#VALUE!</v>
          </cell>
          <cell r="Q29" t="e">
            <v>#VALUE!</v>
          </cell>
          <cell r="AK29" t="e">
            <v>#VALUE!</v>
          </cell>
          <cell r="AL29" t="e">
            <v>#VALUE!</v>
          </cell>
          <cell r="AQ29" t="e">
            <v>#VALUE!</v>
          </cell>
          <cell r="AR29" t="e">
            <v>#VALUE!</v>
          </cell>
          <cell r="AS29" t="e">
            <v>#VALUE!</v>
          </cell>
          <cell r="AT29" t="e">
            <v>#VALUE!</v>
          </cell>
          <cell r="AU29" t="e">
            <v>#VALUE!</v>
          </cell>
          <cell r="AZ29" t="e">
            <v>#VALUE!</v>
          </cell>
          <cell r="BA29" t="e">
            <v>#VALUE!</v>
          </cell>
          <cell r="BB29" t="e">
            <v>#VALUE!</v>
          </cell>
          <cell r="BG29" t="str">
            <v>Leg2cashlet.spotlag</v>
          </cell>
          <cell r="BH29" t="str">
            <v>2</v>
          </cell>
          <cell r="BJ29" t="e">
            <v>#VALUE!</v>
          </cell>
          <cell r="BK29" t="e">
            <v>#VALUE!</v>
          </cell>
          <cell r="BM29" t="str">
            <v>Leg2cashlet.spotlag</v>
          </cell>
          <cell r="BN29" t="str">
            <v>2</v>
          </cell>
          <cell r="BP29" t="e">
            <v>#VALUE!</v>
          </cell>
          <cell r="BQ29" t="e">
            <v>#VALUE!</v>
          </cell>
          <cell r="BS29" t="str">
            <v>Leg2cashlet.spotlag</v>
          </cell>
          <cell r="BT29" t="str">
            <v>2</v>
          </cell>
          <cell r="BV29" t="e">
            <v>#VALUE!</v>
          </cell>
          <cell r="BW29" t="e">
            <v>#VALUE!</v>
          </cell>
        </row>
        <row r="30">
          <cell r="M30" t="e">
            <v>#VALUE!</v>
          </cell>
          <cell r="N30" t="e">
            <v>#VALUE!</v>
          </cell>
          <cell r="O30" t="e">
            <v>#VALUE!</v>
          </cell>
          <cell r="P30" t="e">
            <v>#VALUE!</v>
          </cell>
          <cell r="Q30" t="e">
            <v>#VALUE!</v>
          </cell>
          <cell r="AQ30" t="e">
            <v>#VALUE!</v>
          </cell>
          <cell r="AR30" t="e">
            <v>#VALUE!</v>
          </cell>
          <cell r="AS30" t="e">
            <v>#VALUE!</v>
          </cell>
          <cell r="AT30" t="e">
            <v>#VALUE!</v>
          </cell>
          <cell r="AU30" t="e">
            <v>#VALUE!</v>
          </cell>
          <cell r="AZ30" t="e">
            <v>#VALUE!</v>
          </cell>
          <cell r="BA30" t="e">
            <v>#VALUE!</v>
          </cell>
          <cell r="BB30" t="e">
            <v>#VALUE!</v>
          </cell>
          <cell r="BG30" t="str">
            <v>Leg2discount</v>
          </cell>
          <cell r="BH30" t="str">
            <v>OIS</v>
          </cell>
          <cell r="BJ30" t="e">
            <v>#VALUE!</v>
          </cell>
          <cell r="BK30" t="e">
            <v>#VALUE!</v>
          </cell>
          <cell r="BM30" t="str">
            <v>Leg2discount</v>
          </cell>
          <cell r="BN30" t="str">
            <v>OIS</v>
          </cell>
          <cell r="BP30" t="e">
            <v>#VALUE!</v>
          </cell>
          <cell r="BQ30" t="e">
            <v>#VALUE!</v>
          </cell>
          <cell r="BS30" t="str">
            <v>Leg2discount</v>
          </cell>
          <cell r="BT30" t="str">
            <v>OIS</v>
          </cell>
          <cell r="BV30" t="e">
            <v>#VALUE!</v>
          </cell>
          <cell r="BW30" t="e">
            <v>#VALUE!</v>
          </cell>
        </row>
        <row r="31">
          <cell r="M31" t="e">
            <v>#VALUE!</v>
          </cell>
          <cell r="N31" t="e">
            <v>#VALUE!</v>
          </cell>
          <cell r="O31" t="e">
            <v>#VALUE!</v>
          </cell>
          <cell r="P31" t="e">
            <v>#VALUE!</v>
          </cell>
          <cell r="Q31" t="e">
            <v>#VALUE!</v>
          </cell>
          <cell r="AQ31" t="e">
            <v>#VALUE!</v>
          </cell>
          <cell r="AR31" t="e">
            <v>#VALUE!</v>
          </cell>
          <cell r="AS31" t="e">
            <v>#VALUE!</v>
          </cell>
          <cell r="AT31" t="e">
            <v>#VALUE!</v>
          </cell>
          <cell r="AU31" t="e">
            <v>#VALUE!</v>
          </cell>
          <cell r="AZ31" t="e">
            <v>#VALUE!</v>
          </cell>
          <cell r="BA31" t="e">
            <v>#VALUE!</v>
          </cell>
          <cell r="BB31" t="e">
            <v>#VALUE!</v>
          </cell>
          <cell r="BG31" t="str">
            <v>Leg2forecast</v>
          </cell>
          <cell r="BH31" t="str">
            <v>STD</v>
          </cell>
          <cell r="BJ31" t="e">
            <v>#VALUE!</v>
          </cell>
          <cell r="BK31" t="e">
            <v>#VALUE!</v>
          </cell>
          <cell r="BM31" t="str">
            <v>Leg2forecast</v>
          </cell>
          <cell r="BN31" t="str">
            <v>STD</v>
          </cell>
          <cell r="BP31" t="e">
            <v>#VALUE!</v>
          </cell>
          <cell r="BQ31" t="e">
            <v>#VALUE!</v>
          </cell>
          <cell r="BS31" t="str">
            <v>Leg2forecast</v>
          </cell>
          <cell r="BT31" t="str">
            <v>STD</v>
          </cell>
          <cell r="BV31" t="e">
            <v>#VALUE!</v>
          </cell>
          <cell r="BW31" t="e">
            <v>#VALUE!</v>
          </cell>
        </row>
        <row r="32">
          <cell r="M32" t="e">
            <v>#VALUE!</v>
          </cell>
          <cell r="N32" t="e">
            <v>#VALUE!</v>
          </cell>
          <cell r="O32" t="e">
            <v>#VALUE!</v>
          </cell>
          <cell r="P32" t="e">
            <v>#VALUE!</v>
          </cell>
          <cell r="Q32" t="e">
            <v>#VALUE!</v>
          </cell>
          <cell r="AQ32" t="e">
            <v>#VALUE!</v>
          </cell>
          <cell r="AR32" t="e">
            <v>#VALUE!</v>
          </cell>
          <cell r="AS32" t="e">
            <v>#VALUE!</v>
          </cell>
          <cell r="AT32" t="e">
            <v>#VALUE!</v>
          </cell>
          <cell r="AU32" t="e">
            <v>#VALUE!</v>
          </cell>
          <cell r="AZ32" t="e">
            <v>#VALUE!</v>
          </cell>
          <cell r="BA32" t="e">
            <v>#VALUE!</v>
          </cell>
          <cell r="BB32" t="e">
            <v>#VALUE!</v>
          </cell>
          <cell r="BG32" t="str">
            <v>Leg2index.accessary</v>
          </cell>
          <cell r="BH32" t="str">
            <v>3M</v>
          </cell>
          <cell r="BJ32" t="e">
            <v>#VALUE!</v>
          </cell>
          <cell r="BK32" t="e">
            <v>#VALUE!</v>
          </cell>
          <cell r="BM32" t="str">
            <v>Leg2index.accessary</v>
          </cell>
          <cell r="BN32" t="str">
            <v>1M</v>
          </cell>
          <cell r="BP32" t="e">
            <v>#VALUE!</v>
          </cell>
          <cell r="BQ32" t="e">
            <v>#VALUE!</v>
          </cell>
          <cell r="BS32" t="str">
            <v>Leg2index.accessary</v>
          </cell>
          <cell r="BT32" t="str">
            <v>3M</v>
          </cell>
          <cell r="BV32" t="e">
            <v>#VALUE!</v>
          </cell>
          <cell r="BW32" t="e">
            <v>#VALUE!</v>
          </cell>
        </row>
        <row r="33">
          <cell r="M33" t="e">
            <v>#VALUE!</v>
          </cell>
          <cell r="N33" t="e">
            <v>#VALUE!</v>
          </cell>
          <cell r="O33" t="e">
            <v>#VALUE!</v>
          </cell>
          <cell r="P33" t="e">
            <v>#VALUE!</v>
          </cell>
          <cell r="Q33" t="e">
            <v>#VALUE!</v>
          </cell>
          <cell r="AQ33" t="e">
            <v>#VALUE!</v>
          </cell>
          <cell r="AR33" t="e">
            <v>#VALUE!</v>
          </cell>
          <cell r="AS33" t="e">
            <v>#VALUE!</v>
          </cell>
          <cell r="AT33" t="e">
            <v>#VALUE!</v>
          </cell>
          <cell r="AU33" t="e">
            <v>#VALUE!</v>
          </cell>
          <cell r="AZ33" t="e">
            <v>#VALUE!</v>
          </cell>
          <cell r="BA33" t="e">
            <v>#VALUE!</v>
          </cell>
          <cell r="BB33" t="e">
            <v>#VALUE!</v>
          </cell>
          <cell r="BG33" t="str">
            <v>Leg2index.daycount</v>
          </cell>
          <cell r="BH33" t="str">
            <v>Act/360</v>
          </cell>
          <cell r="BJ33" t="e">
            <v>#VALUE!</v>
          </cell>
          <cell r="BK33" t="e">
            <v>#VALUE!</v>
          </cell>
          <cell r="BM33" t="str">
            <v>Leg2index.daycount</v>
          </cell>
          <cell r="BN33" t="str">
            <v>Act/360</v>
          </cell>
          <cell r="BP33" t="e">
            <v>#VALUE!</v>
          </cell>
          <cell r="BQ33" t="e">
            <v>#VALUE!</v>
          </cell>
          <cell r="BS33" t="str">
            <v>Leg2index.daycount</v>
          </cell>
          <cell r="BT33" t="str">
            <v>Act/360</v>
          </cell>
          <cell r="BV33" t="e">
            <v>#VALUE!</v>
          </cell>
          <cell r="BW33" t="e">
            <v>#VALUE!</v>
          </cell>
        </row>
        <row r="34">
          <cell r="M34" t="e">
            <v>#VALUE!</v>
          </cell>
          <cell r="N34" t="e">
            <v>#VALUE!</v>
          </cell>
          <cell r="O34" t="e">
            <v>#VALUE!</v>
          </cell>
          <cell r="P34" t="e">
            <v>#VALUE!</v>
          </cell>
          <cell r="Q34" t="e">
            <v>#VALUE!</v>
          </cell>
          <cell r="AQ34" t="e">
            <v>#VALUE!</v>
          </cell>
          <cell r="AR34" t="e">
            <v>#VALUE!</v>
          </cell>
          <cell r="AS34" t="e">
            <v>#VALUE!</v>
          </cell>
          <cell r="AT34" t="e">
            <v>#VALUE!</v>
          </cell>
          <cell r="AU34" t="e">
            <v>#VALUE!</v>
          </cell>
          <cell r="AZ34" t="e">
            <v>#VALUE!</v>
          </cell>
          <cell r="BA34" t="e">
            <v>#VALUE!</v>
          </cell>
          <cell r="BB34" t="e">
            <v>#VALUE!</v>
          </cell>
          <cell r="BG34" t="str">
            <v>Leg2index.fixing.calendar</v>
          </cell>
          <cell r="BH34" t="str">
            <v>LNB:NYB</v>
          </cell>
          <cell r="BJ34" t="e">
            <v>#VALUE!</v>
          </cell>
          <cell r="BK34" t="e">
            <v>#VALUE!</v>
          </cell>
          <cell r="BM34" t="str">
            <v>Leg2index.fixing.calendar</v>
          </cell>
          <cell r="BN34" t="str">
            <v>LNB:NYB</v>
          </cell>
          <cell r="BP34" t="e">
            <v>#VALUE!</v>
          </cell>
          <cell r="BQ34" t="e">
            <v>#VALUE!</v>
          </cell>
          <cell r="BS34" t="str">
            <v>Leg2index.fixing.calendar</v>
          </cell>
          <cell r="BT34" t="str">
            <v>LNB:NYB</v>
          </cell>
          <cell r="BV34" t="e">
            <v>#VALUE!</v>
          </cell>
          <cell r="BW34" t="e">
            <v>#VALUE!</v>
          </cell>
        </row>
        <row r="35">
          <cell r="M35" t="e">
            <v>#VALUE!</v>
          </cell>
          <cell r="N35" t="e">
            <v>#VALUE!</v>
          </cell>
          <cell r="O35" t="e">
            <v>#VALUE!</v>
          </cell>
          <cell r="P35" t="e">
            <v>#VALUE!</v>
          </cell>
          <cell r="Q35" t="e">
            <v>#VALUE!</v>
          </cell>
          <cell r="AQ35" t="e">
            <v>#VALUE!</v>
          </cell>
          <cell r="AR35" t="e">
            <v>#VALUE!</v>
          </cell>
          <cell r="AS35" t="e">
            <v>#VALUE!</v>
          </cell>
          <cell r="AT35" t="e">
            <v>#VALUE!</v>
          </cell>
          <cell r="AU35" t="e">
            <v>#VALUE!</v>
          </cell>
          <cell r="AZ35" t="e">
            <v>#VALUE!</v>
          </cell>
          <cell r="BA35" t="e">
            <v>#VALUE!</v>
          </cell>
          <cell r="BB35" t="e">
            <v>#VALUE!</v>
          </cell>
          <cell r="BG35" t="str">
            <v>Leg2index.frequency</v>
          </cell>
          <cell r="BH35" t="str">
            <v>Simple</v>
          </cell>
          <cell r="BJ35" t="e">
            <v>#VALUE!</v>
          </cell>
          <cell r="BK35" t="e">
            <v>#VALUE!</v>
          </cell>
          <cell r="BM35" t="str">
            <v>Leg2index.frequency</v>
          </cell>
          <cell r="BN35" t="str">
            <v>Simple</v>
          </cell>
          <cell r="BP35" t="e">
            <v>#VALUE!</v>
          </cell>
          <cell r="BQ35" t="e">
            <v>#VALUE!</v>
          </cell>
          <cell r="BS35" t="str">
            <v>Leg2index.frequency</v>
          </cell>
          <cell r="BT35" t="str">
            <v>Simple</v>
          </cell>
          <cell r="BV35" t="e">
            <v>#VALUE!</v>
          </cell>
          <cell r="BW35" t="e">
            <v>#VALUE!</v>
          </cell>
        </row>
        <row r="36">
          <cell r="M36" t="e">
            <v>#VALUE!</v>
          </cell>
          <cell r="N36" t="e">
            <v>#VALUE!</v>
          </cell>
          <cell r="O36" t="e">
            <v>#VALUE!</v>
          </cell>
          <cell r="P36" t="e">
            <v>#VALUE!</v>
          </cell>
          <cell r="Q36" t="e">
            <v>#VALUE!</v>
          </cell>
          <cell r="AQ36" t="e">
            <v>#VALUE!</v>
          </cell>
          <cell r="AR36" t="e">
            <v>#VALUE!</v>
          </cell>
          <cell r="AS36" t="e">
            <v>#VALUE!</v>
          </cell>
          <cell r="AT36" t="e">
            <v>#VALUE!</v>
          </cell>
          <cell r="AU36" t="e">
            <v>#VALUE!</v>
          </cell>
          <cell r="AZ36" t="e">
            <v>#VALUE!</v>
          </cell>
          <cell r="BA36" t="e">
            <v>#VALUE!</v>
          </cell>
          <cell r="BB36" t="e">
            <v>#VALUE!</v>
          </cell>
          <cell r="BG36" t="str">
            <v>Leg2index.payment.calendar</v>
          </cell>
          <cell r="BH36" t="str">
            <v>LNB:NYB</v>
          </cell>
          <cell r="BJ36" t="e">
            <v>#VALUE!</v>
          </cell>
          <cell r="BK36" t="e">
            <v>#VALUE!</v>
          </cell>
          <cell r="BM36" t="str">
            <v>Leg2index.payment.calendar</v>
          </cell>
          <cell r="BN36" t="str">
            <v>LNB:NYB</v>
          </cell>
          <cell r="BP36" t="e">
            <v>#VALUE!</v>
          </cell>
          <cell r="BQ36" t="e">
            <v>#VALUE!</v>
          </cell>
          <cell r="BS36" t="str">
            <v>Leg2index.payment.calendar</v>
          </cell>
          <cell r="BT36" t="str">
            <v>LNB:NYB</v>
          </cell>
          <cell r="BV36" t="e">
            <v>#VALUE!</v>
          </cell>
          <cell r="BW36" t="e">
            <v>#VALUE!</v>
          </cell>
        </row>
        <row r="37">
          <cell r="M37" t="e">
            <v>#VALUE!</v>
          </cell>
          <cell r="N37" t="e">
            <v>#VALUE!</v>
          </cell>
          <cell r="O37" t="e">
            <v>#VALUE!</v>
          </cell>
          <cell r="P37" t="e">
            <v>#VALUE!</v>
          </cell>
          <cell r="Q37" t="e">
            <v>#VALUE!</v>
          </cell>
          <cell r="AQ37" t="e">
            <v>#VALUE!</v>
          </cell>
          <cell r="AR37" t="e">
            <v>#VALUE!</v>
          </cell>
          <cell r="AS37" t="e">
            <v>#VALUE!</v>
          </cell>
          <cell r="AT37" t="e">
            <v>#VALUE!</v>
          </cell>
          <cell r="AU37" t="e">
            <v>#VALUE!</v>
          </cell>
          <cell r="AZ37" t="e">
            <v>#VALUE!</v>
          </cell>
          <cell r="BA37" t="e">
            <v>#VALUE!</v>
          </cell>
          <cell r="BB37" t="e">
            <v>#VALUE!</v>
          </cell>
          <cell r="BG37" t="str">
            <v>Leg2index.resetlag</v>
          </cell>
          <cell r="BH37" t="str">
            <v>2</v>
          </cell>
          <cell r="BJ37" t="e">
            <v>#VALUE!</v>
          </cell>
          <cell r="BK37" t="e">
            <v>#VALUE!</v>
          </cell>
          <cell r="BM37" t="str">
            <v>Leg2index.resetlag</v>
          </cell>
          <cell r="BN37" t="str">
            <v>2</v>
          </cell>
          <cell r="BP37" t="e">
            <v>#VALUE!</v>
          </cell>
          <cell r="BQ37" t="e">
            <v>#VALUE!</v>
          </cell>
          <cell r="BS37" t="str">
            <v>Leg2index.resetlag</v>
          </cell>
          <cell r="BT37" t="str">
            <v>2</v>
          </cell>
          <cell r="BV37" t="e">
            <v>#VALUE!</v>
          </cell>
          <cell r="BW37" t="e">
            <v>#VALUE!</v>
          </cell>
        </row>
        <row r="38">
          <cell r="M38" t="e">
            <v>#VALUE!</v>
          </cell>
          <cell r="N38" t="e">
            <v>#VALUE!</v>
          </cell>
          <cell r="O38" t="e">
            <v>#VALUE!</v>
          </cell>
          <cell r="P38" t="e">
            <v>#VALUE!</v>
          </cell>
          <cell r="Q38" t="e">
            <v>#VALUE!</v>
          </cell>
          <cell r="AQ38" t="e">
            <v>#VALUE!</v>
          </cell>
          <cell r="AR38" t="e">
            <v>#VALUE!</v>
          </cell>
          <cell r="AS38" t="e">
            <v>#VALUE!</v>
          </cell>
          <cell r="AT38" t="e">
            <v>#VALUE!</v>
          </cell>
          <cell r="AU38" t="e">
            <v>#VALUE!</v>
          </cell>
          <cell r="AZ38" t="e">
            <v>#VALUE!</v>
          </cell>
          <cell r="BA38" t="e">
            <v>#VALUE!</v>
          </cell>
          <cell r="BB38" t="e">
            <v>#VALUE!</v>
          </cell>
          <cell r="BG38" t="str">
            <v>Leg2index.slidingrule</v>
          </cell>
          <cell r="BH38" t="str">
            <v>MOD_FOLLOWING</v>
          </cell>
          <cell r="BJ38" t="e">
            <v>#VALUE!</v>
          </cell>
          <cell r="BK38" t="e">
            <v>#VALUE!</v>
          </cell>
          <cell r="BM38" t="str">
            <v>Leg2index.slidingrule</v>
          </cell>
          <cell r="BN38" t="str">
            <v>MOD_FOLLOWING</v>
          </cell>
          <cell r="BP38" t="e">
            <v>#VALUE!</v>
          </cell>
          <cell r="BQ38" t="e">
            <v>#VALUE!</v>
          </cell>
          <cell r="BS38" t="str">
            <v>Leg2index.slidingrule</v>
          </cell>
          <cell r="BT38" t="str">
            <v>MOD_FOLLOWING</v>
          </cell>
          <cell r="BV38" t="e">
            <v>#VALUE!</v>
          </cell>
          <cell r="BW38" t="e">
            <v>#VALUE!</v>
          </cell>
        </row>
        <row r="39">
          <cell r="M39" t="e">
            <v>#VALUE!</v>
          </cell>
          <cell r="N39" t="e">
            <v>#VALUE!</v>
          </cell>
          <cell r="O39" t="e">
            <v>#VALUE!</v>
          </cell>
          <cell r="P39" t="e">
            <v>#VALUE!</v>
          </cell>
          <cell r="Q39" t="e">
            <v>#VALUE!</v>
          </cell>
          <cell r="AQ39" t="e">
            <v>#VALUE!</v>
          </cell>
          <cell r="AR39" t="e">
            <v>#VALUE!</v>
          </cell>
          <cell r="AS39" t="e">
            <v>#VALUE!</v>
          </cell>
          <cell r="AT39" t="e">
            <v>#VALUE!</v>
          </cell>
          <cell r="AU39" t="e">
            <v>#VALUE!</v>
          </cell>
          <cell r="AZ39" t="e">
            <v>#VALUE!</v>
          </cell>
          <cell r="BA39" t="e">
            <v>#VALUE!</v>
          </cell>
          <cell r="BB39" t="e">
            <v>#VALUE!</v>
          </cell>
          <cell r="BG39" t="str">
            <v>Target</v>
          </cell>
          <cell r="BH39" t="str">
            <v>Leg1Forecast</v>
          </cell>
          <cell r="BJ39" t="e">
            <v>#VALUE!</v>
          </cell>
          <cell r="BK39" t="e">
            <v>#VALUE!</v>
          </cell>
          <cell r="BM39" t="str">
            <v>Target</v>
          </cell>
          <cell r="BN39" t="str">
            <v>Leg2Forecast</v>
          </cell>
          <cell r="BP39" t="e">
            <v>#VALUE!</v>
          </cell>
          <cell r="BQ39" t="e">
            <v>#VALUE!</v>
          </cell>
          <cell r="BS39" t="str">
            <v>Target</v>
          </cell>
          <cell r="BT39" t="str">
            <v>Leg1Forecast</v>
          </cell>
          <cell r="BV39" t="e">
            <v>#VALUE!</v>
          </cell>
          <cell r="BW39" t="e">
            <v>#VALUE!</v>
          </cell>
        </row>
        <row r="40">
          <cell r="M40" t="e">
            <v>#VALUE!</v>
          </cell>
          <cell r="N40" t="e">
            <v>#VALUE!</v>
          </cell>
          <cell r="O40" t="e">
            <v>#VALUE!</v>
          </cell>
          <cell r="P40" t="e">
            <v>#VALUE!</v>
          </cell>
          <cell r="Q40" t="e">
            <v>#VALUE!</v>
          </cell>
          <cell r="AQ40" t="e">
            <v>#VALUE!</v>
          </cell>
          <cell r="AR40" t="e">
            <v>#VALUE!</v>
          </cell>
          <cell r="AS40" t="e">
            <v>#VALUE!</v>
          </cell>
          <cell r="AT40" t="e">
            <v>#VALUE!</v>
          </cell>
          <cell r="AU40" t="e">
            <v>#VALUE!</v>
          </cell>
          <cell r="AZ40" t="e">
            <v>#VALUE!</v>
          </cell>
          <cell r="BA40" t="e">
            <v>#VALUE!</v>
          </cell>
          <cell r="BB40" t="e">
            <v>#VALUE!</v>
          </cell>
          <cell r="BG40" t="str">
            <v>issimultaneouseq</v>
          </cell>
          <cell r="BH40" t="b">
            <v>1</v>
          </cell>
          <cell r="BJ40" t="e">
            <v>#VALUE!</v>
          </cell>
          <cell r="BK40" t="e">
            <v>#VALUE!</v>
          </cell>
          <cell r="BM40" t="str">
            <v>issimultaneouseq</v>
          </cell>
          <cell r="BN40" t="b">
            <v>1</v>
          </cell>
          <cell r="BP40" t="e">
            <v>#VALUE!</v>
          </cell>
          <cell r="BQ40" t="e">
            <v>#VALUE!</v>
          </cell>
          <cell r="BS40" t="str">
            <v>issimultaneouseq</v>
          </cell>
          <cell r="BT40" t="b">
            <v>1</v>
          </cell>
          <cell r="BV40" t="e">
            <v>#VALUE!</v>
          </cell>
          <cell r="BW40" t="e">
            <v>#VALUE!</v>
          </cell>
        </row>
        <row r="41">
          <cell r="M41" t="e">
            <v>#VALUE!</v>
          </cell>
          <cell r="N41" t="e">
            <v>#VALUE!</v>
          </cell>
          <cell r="O41" t="e">
            <v>#VALUE!</v>
          </cell>
          <cell r="P41" t="e">
            <v>#VALUE!</v>
          </cell>
          <cell r="Q41" t="e">
            <v>#VALUE!</v>
          </cell>
          <cell r="AQ41" t="e">
            <v>#VALUE!</v>
          </cell>
          <cell r="AR41" t="e">
            <v>#VALUE!</v>
          </cell>
          <cell r="AS41" t="e">
            <v>#VALUE!</v>
          </cell>
          <cell r="AT41" t="e">
            <v>#VALUE!</v>
          </cell>
          <cell r="AU41" t="e">
            <v>#VALUE!</v>
          </cell>
          <cell r="AZ41" t="e">
            <v>#VALUE!</v>
          </cell>
          <cell r="BA41" t="e">
            <v>#VALUE!</v>
          </cell>
          <cell r="BB41" t="e">
            <v>#VALUE!</v>
          </cell>
          <cell r="BG41" t="str">
            <v>isfwdinter</v>
          </cell>
          <cell r="BH41" t="b">
            <v>1</v>
          </cell>
          <cell r="BJ41" t="e">
            <v>#VALUE!</v>
          </cell>
          <cell r="BK41" t="e">
            <v>#VALUE!</v>
          </cell>
          <cell r="BM41" t="str">
            <v>isfwdinter</v>
          </cell>
          <cell r="BN41" t="b">
            <v>1</v>
          </cell>
          <cell r="BP41" t="e">
            <v>#VALUE!</v>
          </cell>
          <cell r="BQ41" t="e">
            <v>#VALUE!</v>
          </cell>
          <cell r="BS41" t="str">
            <v>isfwdinter</v>
          </cell>
          <cell r="BT41" t="b">
            <v>1</v>
          </cell>
          <cell r="BV41" t="e">
            <v>#VALUE!</v>
          </cell>
          <cell r="BW41" t="e">
            <v>#VALUE!</v>
          </cell>
        </row>
        <row r="42">
          <cell r="M42" t="e">
            <v>#VALUE!</v>
          </cell>
          <cell r="N42" t="e">
            <v>#VALUE!</v>
          </cell>
          <cell r="O42" t="e">
            <v>#VALUE!</v>
          </cell>
          <cell r="P42" t="e">
            <v>#VALUE!</v>
          </cell>
          <cell r="Q42" t="e">
            <v>#VALUE!</v>
          </cell>
          <cell r="AQ42" t="e">
            <v>#VALUE!</v>
          </cell>
          <cell r="AR42" t="e">
            <v>#VALUE!</v>
          </cell>
          <cell r="AS42" t="e">
            <v>#VALUE!</v>
          </cell>
          <cell r="AT42" t="e">
            <v>#VALUE!</v>
          </cell>
          <cell r="AU42" t="e">
            <v>#VALUE!</v>
          </cell>
          <cell r="AZ42" t="e">
            <v>#VALUE!</v>
          </cell>
          <cell r="BA42" t="e">
            <v>#VALUE!</v>
          </cell>
          <cell r="BB42" t="e">
            <v>#VALUE!</v>
          </cell>
          <cell r="BG42" t="str">
            <v>fwdinterpolation</v>
          </cell>
          <cell r="BH42" t="str">
            <v>FN_SPLINEINTERPOLATION</v>
          </cell>
          <cell r="BJ42" t="e">
            <v>#VALUE!</v>
          </cell>
          <cell r="BK42" t="e">
            <v>#VALUE!</v>
          </cell>
          <cell r="BM42" t="str">
            <v>fwdinterpolation</v>
          </cell>
          <cell r="BN42" t="str">
            <v>FN_SPLINEINTERPOLATION</v>
          </cell>
          <cell r="BP42" t="e">
            <v>#VALUE!</v>
          </cell>
          <cell r="BQ42" t="e">
            <v>#VALUE!</v>
          </cell>
          <cell r="BS42" t="str">
            <v>fwdinterpolation</v>
          </cell>
          <cell r="BT42" t="str">
            <v>FN_SPLINEINTERPOLATION</v>
          </cell>
          <cell r="BV42" t="e">
            <v>#VALUE!</v>
          </cell>
          <cell r="BW42" t="e">
            <v>#VALUE!</v>
          </cell>
        </row>
        <row r="43">
          <cell r="M43" t="e">
            <v>#VALUE!</v>
          </cell>
          <cell r="N43" t="e">
            <v>#VALUE!</v>
          </cell>
          <cell r="O43" t="e">
            <v>#VALUE!</v>
          </cell>
          <cell r="P43" t="e">
            <v>#VALUE!</v>
          </cell>
          <cell r="Q43" t="e">
            <v>#VALUE!</v>
          </cell>
          <cell r="AQ43" t="e">
            <v>#VALUE!</v>
          </cell>
          <cell r="AR43" t="e">
            <v>#VALUE!</v>
          </cell>
          <cell r="AS43" t="e">
            <v>#VALUE!</v>
          </cell>
          <cell r="AT43" t="e">
            <v>#VALUE!</v>
          </cell>
          <cell r="AU43" t="e">
            <v>#VALUE!</v>
          </cell>
          <cell r="AZ43" t="e">
            <v>#VALUE!</v>
          </cell>
          <cell r="BA43" t="e">
            <v>#VALUE!</v>
          </cell>
          <cell r="BB43" t="e">
            <v>#VALUE!</v>
          </cell>
          <cell r="BG43" t="str">
            <v>issamegridindex</v>
          </cell>
          <cell r="BH43" t="b">
            <v>1</v>
          </cell>
          <cell r="BJ43" t="e">
            <v>#VALUE!</v>
          </cell>
          <cell r="BK43" t="e">
            <v>#VALUE!</v>
          </cell>
          <cell r="BM43" t="str">
            <v>issamegridindex</v>
          </cell>
          <cell r="BN43" t="b">
            <v>1</v>
          </cell>
          <cell r="BP43" t="e">
            <v>#VALUE!</v>
          </cell>
          <cell r="BQ43" t="e">
            <v>#VALUE!</v>
          </cell>
          <cell r="BS43" t="str">
            <v>issamegridindex</v>
          </cell>
          <cell r="BT43" t="b">
            <v>1</v>
          </cell>
          <cell r="BV43" t="e">
            <v>#VALUE!</v>
          </cell>
          <cell r="BW43" t="e">
            <v>#VALUE!</v>
          </cell>
        </row>
        <row r="44">
          <cell r="M44" t="e">
            <v>#VALUE!</v>
          </cell>
          <cell r="N44" t="e">
            <v>#VALUE!</v>
          </cell>
          <cell r="O44" t="e">
            <v>#VALUE!</v>
          </cell>
          <cell r="P44" t="e">
            <v>#VALUE!</v>
          </cell>
          <cell r="Q44" t="e">
            <v>#VALUE!</v>
          </cell>
          <cell r="AQ44" t="e">
            <v>#VALUE!</v>
          </cell>
          <cell r="AR44" t="e">
            <v>#VALUE!</v>
          </cell>
          <cell r="AS44" t="e">
            <v>#VALUE!</v>
          </cell>
          <cell r="AT44" t="e">
            <v>#VALUE!</v>
          </cell>
          <cell r="AU44" t="e">
            <v>#VALUE!</v>
          </cell>
          <cell r="AZ44" t="e">
            <v>#VALUE!</v>
          </cell>
          <cell r="BA44" t="e">
            <v>#VALUE!</v>
          </cell>
          <cell r="BB44" t="e">
            <v>#VALUE!</v>
          </cell>
          <cell r="BG44" t="str">
            <v>isyieldspreadcalc</v>
          </cell>
          <cell r="BH44" t="b">
            <v>0</v>
          </cell>
          <cell r="BJ44" t="e">
            <v>#VALUE!</v>
          </cell>
          <cell r="BK44" t="e">
            <v>#VALUE!</v>
          </cell>
          <cell r="BM44" t="str">
            <v>isyieldspreadcalc</v>
          </cell>
          <cell r="BN44" t="b">
            <v>0</v>
          </cell>
          <cell r="BP44" t="e">
            <v>#VALUE!</v>
          </cell>
          <cell r="BQ44" t="e">
            <v>#VALUE!</v>
          </cell>
          <cell r="BS44" t="str">
            <v>isyieldspreadcalc</v>
          </cell>
          <cell r="BT44" t="b">
            <v>0</v>
          </cell>
          <cell r="BV44" t="e">
            <v>#VALUE!</v>
          </cell>
          <cell r="BW44" t="e">
            <v>#VALUE!</v>
          </cell>
        </row>
        <row r="45">
          <cell r="M45" t="e">
            <v>#VALUE!</v>
          </cell>
          <cell r="N45" t="e">
            <v>#VALUE!</v>
          </cell>
          <cell r="O45" t="e">
            <v>#VALUE!</v>
          </cell>
          <cell r="P45" t="e">
            <v>#VALUE!</v>
          </cell>
          <cell r="Q45" t="e">
            <v>#VALUE!</v>
          </cell>
          <cell r="AQ45" t="e">
            <v>#VALUE!</v>
          </cell>
          <cell r="AR45" t="e">
            <v>#VALUE!</v>
          </cell>
          <cell r="AS45" t="e">
            <v>#VALUE!</v>
          </cell>
          <cell r="AT45" t="e">
            <v>#VALUE!</v>
          </cell>
          <cell r="AU45" t="e">
            <v>#VALUE!</v>
          </cell>
          <cell r="AZ45" t="e">
            <v>#VALUE!</v>
          </cell>
          <cell r="BA45" t="e">
            <v>#VALUE!</v>
          </cell>
          <cell r="BB45" t="e">
            <v>#VALUE!</v>
          </cell>
          <cell r="BG45" t="str">
            <v>spotrateterm</v>
          </cell>
          <cell r="BH45" t="str">
            <v>6M</v>
          </cell>
          <cell r="BJ45" t="e">
            <v>#VALUE!</v>
          </cell>
          <cell r="BK45" t="e">
            <v>#VALUE!</v>
          </cell>
          <cell r="BM45" t="str">
            <v>spotrateterm</v>
          </cell>
          <cell r="BN45" t="str">
            <v>1M</v>
          </cell>
          <cell r="BP45" t="e">
            <v>#VALUE!</v>
          </cell>
          <cell r="BQ45" t="e">
            <v>#VALUE!</v>
          </cell>
          <cell r="BS45" t="str">
            <v>spotrateterm</v>
          </cell>
          <cell r="BT45" t="str">
            <v>12M</v>
          </cell>
          <cell r="BV45" t="e">
            <v>#VALUE!</v>
          </cell>
          <cell r="BW45" t="e">
            <v>#VALUE!</v>
          </cell>
        </row>
        <row r="46">
          <cell r="M46" t="e">
            <v>#VALUE!</v>
          </cell>
          <cell r="N46" t="e">
            <v>#VALUE!</v>
          </cell>
          <cell r="O46" t="e">
            <v>#VALUE!</v>
          </cell>
          <cell r="P46" t="e">
            <v>#VALUE!</v>
          </cell>
          <cell r="Q46" t="e">
            <v>#VALUE!</v>
          </cell>
          <cell r="AQ46" t="e">
            <v>#VALUE!</v>
          </cell>
          <cell r="AR46" t="e">
            <v>#VALUE!</v>
          </cell>
          <cell r="AS46" t="e">
            <v>#VALUE!</v>
          </cell>
          <cell r="AT46" t="e">
            <v>#VALUE!</v>
          </cell>
          <cell r="AU46" t="e">
            <v>#VALUE!</v>
          </cell>
          <cell r="AZ46" t="e">
            <v>#VALUE!</v>
          </cell>
          <cell r="BA46" t="e">
            <v>#VALUE!</v>
          </cell>
          <cell r="BB46" t="e">
            <v>#VALUE!</v>
          </cell>
          <cell r="BJ46" t="e">
            <v>#VALUE!</v>
          </cell>
          <cell r="BK46" t="e">
            <v>#VALUE!</v>
          </cell>
          <cell r="BP46" t="e">
            <v>#VALUE!</v>
          </cell>
          <cell r="BQ46" t="e">
            <v>#VALUE!</v>
          </cell>
          <cell r="BV46" t="e">
            <v>#VALUE!</v>
          </cell>
          <cell r="BW46" t="e">
            <v>#VALUE!</v>
          </cell>
        </row>
        <row r="47">
          <cell r="M47" t="e">
            <v>#VALUE!</v>
          </cell>
          <cell r="N47" t="e">
            <v>#VALUE!</v>
          </cell>
          <cell r="O47" t="e">
            <v>#VALUE!</v>
          </cell>
          <cell r="P47" t="e">
            <v>#VALUE!</v>
          </cell>
          <cell r="Q47" t="e">
            <v>#VALUE!</v>
          </cell>
          <cell r="AQ47" t="e">
            <v>#VALUE!</v>
          </cell>
          <cell r="AR47" t="e">
            <v>#VALUE!</v>
          </cell>
          <cell r="AS47" t="e">
            <v>#VALUE!</v>
          </cell>
          <cell r="AT47" t="e">
            <v>#VALUE!</v>
          </cell>
          <cell r="AU47" t="e">
            <v>#VALUE!</v>
          </cell>
          <cell r="AZ47" t="e">
            <v>#VALUE!</v>
          </cell>
          <cell r="BA47" t="e">
            <v>#VALUE!</v>
          </cell>
          <cell r="BB47" t="e">
            <v>#VALUE!</v>
          </cell>
          <cell r="BJ47" t="e">
            <v>#VALUE!</v>
          </cell>
          <cell r="BK47" t="e">
            <v>#VALUE!</v>
          </cell>
          <cell r="BP47" t="e">
            <v>#VALUE!</v>
          </cell>
          <cell r="BQ47" t="e">
            <v>#VALUE!</v>
          </cell>
          <cell r="BV47" t="e">
            <v>#VALUE!</v>
          </cell>
          <cell r="BW47" t="e">
            <v>#VALUE!</v>
          </cell>
        </row>
        <row r="48">
          <cell r="M48" t="e">
            <v>#VALUE!</v>
          </cell>
          <cell r="N48" t="e">
            <v>#VALUE!</v>
          </cell>
          <cell r="O48" t="e">
            <v>#VALUE!</v>
          </cell>
          <cell r="P48" t="e">
            <v>#VALUE!</v>
          </cell>
          <cell r="Q48" t="e">
            <v>#VALUE!</v>
          </cell>
          <cell r="AQ48" t="e">
            <v>#VALUE!</v>
          </cell>
          <cell r="AR48" t="e">
            <v>#VALUE!</v>
          </cell>
          <cell r="AS48" t="e">
            <v>#VALUE!</v>
          </cell>
          <cell r="AT48" t="e">
            <v>#VALUE!</v>
          </cell>
          <cell r="AU48" t="e">
            <v>#VALUE!</v>
          </cell>
          <cell r="AZ48" t="e">
            <v>#VALUE!</v>
          </cell>
          <cell r="BA48" t="e">
            <v>#VALUE!</v>
          </cell>
          <cell r="BB48" t="e">
            <v>#VALUE!</v>
          </cell>
          <cell r="BJ48" t="e">
            <v>#VALUE!</v>
          </cell>
          <cell r="BK48" t="e">
            <v>#VALUE!</v>
          </cell>
          <cell r="BP48" t="e">
            <v>#VALUE!</v>
          </cell>
          <cell r="BQ48" t="e">
            <v>#VALUE!</v>
          </cell>
          <cell r="BV48" t="e">
            <v>#VALUE!</v>
          </cell>
          <cell r="BW48" t="e">
            <v>#VALUE!</v>
          </cell>
        </row>
        <row r="49">
          <cell r="M49" t="e">
            <v>#VALUE!</v>
          </cell>
          <cell r="N49" t="e">
            <v>#VALUE!</v>
          </cell>
          <cell r="O49" t="e">
            <v>#VALUE!</v>
          </cell>
          <cell r="P49" t="e">
            <v>#VALUE!</v>
          </cell>
          <cell r="Q49" t="e">
            <v>#VALUE!</v>
          </cell>
          <cell r="AQ49" t="e">
            <v>#VALUE!</v>
          </cell>
          <cell r="AR49" t="e">
            <v>#VALUE!</v>
          </cell>
          <cell r="AS49" t="e">
            <v>#VALUE!</v>
          </cell>
          <cell r="AT49" t="e">
            <v>#VALUE!</v>
          </cell>
          <cell r="AU49" t="e">
            <v>#VALUE!</v>
          </cell>
          <cell r="AZ49" t="e">
            <v>#VALUE!</v>
          </cell>
          <cell r="BA49" t="e">
            <v>#VALUE!</v>
          </cell>
          <cell r="BB49" t="e">
            <v>#VALUE!</v>
          </cell>
          <cell r="BJ49" t="e">
            <v>#VALUE!</v>
          </cell>
          <cell r="BK49" t="e">
            <v>#VALUE!</v>
          </cell>
          <cell r="BP49" t="e">
            <v>#VALUE!</v>
          </cell>
          <cell r="BQ49" t="e">
            <v>#VALUE!</v>
          </cell>
          <cell r="BV49" t="e">
            <v>#VALUE!</v>
          </cell>
          <cell r="BW49" t="e">
            <v>#VALUE!</v>
          </cell>
        </row>
        <row r="50">
          <cell r="M50" t="e">
            <v>#VALUE!</v>
          </cell>
          <cell r="N50" t="e">
            <v>#VALUE!</v>
          </cell>
          <cell r="O50" t="e">
            <v>#VALUE!</v>
          </cell>
          <cell r="P50" t="e">
            <v>#VALUE!</v>
          </cell>
          <cell r="Q50" t="e">
            <v>#VALUE!</v>
          </cell>
          <cell r="AQ50" t="e">
            <v>#VALUE!</v>
          </cell>
          <cell r="AR50" t="e">
            <v>#VALUE!</v>
          </cell>
          <cell r="AS50" t="e">
            <v>#VALUE!</v>
          </cell>
          <cell r="AT50" t="e">
            <v>#VALUE!</v>
          </cell>
          <cell r="AU50" t="e">
            <v>#VALUE!</v>
          </cell>
          <cell r="AZ50" t="e">
            <v>#VALUE!</v>
          </cell>
          <cell r="BA50" t="e">
            <v>#VALUE!</v>
          </cell>
          <cell r="BB50" t="e">
            <v>#VALUE!</v>
          </cell>
          <cell r="BJ50" t="e">
            <v>#VALUE!</v>
          </cell>
          <cell r="BK50" t="e">
            <v>#VALUE!</v>
          </cell>
          <cell r="BP50" t="e">
            <v>#VALUE!</v>
          </cell>
          <cell r="BQ50" t="e">
            <v>#VALUE!</v>
          </cell>
          <cell r="BV50" t="e">
            <v>#VALUE!</v>
          </cell>
          <cell r="BW50" t="e">
            <v>#VALUE!</v>
          </cell>
        </row>
        <row r="51">
          <cell r="M51" t="e">
            <v>#VALUE!</v>
          </cell>
          <cell r="N51" t="e">
            <v>#VALUE!</v>
          </cell>
          <cell r="O51" t="e">
            <v>#VALUE!</v>
          </cell>
          <cell r="P51" t="e">
            <v>#VALUE!</v>
          </cell>
          <cell r="Q51" t="e">
            <v>#VALUE!</v>
          </cell>
          <cell r="AQ51" t="e">
            <v>#VALUE!</v>
          </cell>
          <cell r="AR51" t="e">
            <v>#VALUE!</v>
          </cell>
          <cell r="AS51" t="e">
            <v>#VALUE!</v>
          </cell>
          <cell r="AT51" t="e">
            <v>#VALUE!</v>
          </cell>
          <cell r="AU51" t="e">
            <v>#VALUE!</v>
          </cell>
          <cell r="AZ51" t="e">
            <v>#VALUE!</v>
          </cell>
          <cell r="BA51" t="e">
            <v>#VALUE!</v>
          </cell>
          <cell r="BB51" t="e">
            <v>#VALUE!</v>
          </cell>
          <cell r="BJ51" t="e">
            <v>#VALUE!</v>
          </cell>
          <cell r="BK51" t="e">
            <v>#VALUE!</v>
          </cell>
          <cell r="BP51" t="e">
            <v>#VALUE!</v>
          </cell>
          <cell r="BQ51" t="e">
            <v>#VALUE!</v>
          </cell>
          <cell r="BV51" t="e">
            <v>#VALUE!</v>
          </cell>
          <cell r="BW51" t="e">
            <v>#VALUE!</v>
          </cell>
        </row>
        <row r="52">
          <cell r="M52" t="e">
            <v>#VALUE!</v>
          </cell>
          <cell r="N52" t="e">
            <v>#VALUE!</v>
          </cell>
          <cell r="O52" t="e">
            <v>#VALUE!</v>
          </cell>
          <cell r="P52" t="e">
            <v>#VALUE!</v>
          </cell>
          <cell r="Q52" t="e">
            <v>#VALUE!</v>
          </cell>
          <cell r="AQ52" t="e">
            <v>#VALUE!</v>
          </cell>
          <cell r="AR52" t="e">
            <v>#VALUE!</v>
          </cell>
          <cell r="AS52" t="e">
            <v>#VALUE!</v>
          </cell>
          <cell r="AT52" t="e">
            <v>#VALUE!</v>
          </cell>
          <cell r="AU52" t="e">
            <v>#VALUE!</v>
          </cell>
          <cell r="AZ52" t="e">
            <v>#VALUE!</v>
          </cell>
          <cell r="BA52" t="e">
            <v>#VALUE!</v>
          </cell>
          <cell r="BB52" t="e">
            <v>#VALUE!</v>
          </cell>
          <cell r="BJ52" t="e">
            <v>#VALUE!</v>
          </cell>
          <cell r="BK52" t="e">
            <v>#VALUE!</v>
          </cell>
          <cell r="BP52" t="e">
            <v>#VALUE!</v>
          </cell>
          <cell r="BQ52" t="e">
            <v>#VALUE!</v>
          </cell>
          <cell r="BV52" t="e">
            <v>#VALUE!</v>
          </cell>
          <cell r="BW52" t="e">
            <v>#VALUE!</v>
          </cell>
        </row>
        <row r="53">
          <cell r="M53" t="e">
            <v>#VALUE!</v>
          </cell>
          <cell r="N53" t="e">
            <v>#VALUE!</v>
          </cell>
          <cell r="O53" t="e">
            <v>#VALUE!</v>
          </cell>
          <cell r="P53" t="e">
            <v>#VALUE!</v>
          </cell>
          <cell r="Q53" t="e">
            <v>#VALUE!</v>
          </cell>
          <cell r="AQ53" t="e">
            <v>#VALUE!</v>
          </cell>
          <cell r="AR53" t="e">
            <v>#VALUE!</v>
          </cell>
          <cell r="AS53" t="e">
            <v>#VALUE!</v>
          </cell>
          <cell r="AT53" t="e">
            <v>#VALUE!</v>
          </cell>
          <cell r="AU53" t="e">
            <v>#VALUE!</v>
          </cell>
          <cell r="AZ53" t="e">
            <v>#VALUE!</v>
          </cell>
          <cell r="BA53" t="e">
            <v>#VALUE!</v>
          </cell>
          <cell r="BB53" t="e">
            <v>#VALUE!</v>
          </cell>
          <cell r="BJ53" t="e">
            <v>#VALUE!</v>
          </cell>
          <cell r="BK53" t="e">
            <v>#VALUE!</v>
          </cell>
          <cell r="BP53" t="e">
            <v>#VALUE!</v>
          </cell>
          <cell r="BQ53" t="e">
            <v>#VALUE!</v>
          </cell>
          <cell r="BV53" t="e">
            <v>#VALUE!</v>
          </cell>
          <cell r="BW53" t="e">
            <v>#VALUE!</v>
          </cell>
        </row>
        <row r="54">
          <cell r="M54" t="e">
            <v>#VALUE!</v>
          </cell>
          <cell r="N54" t="e">
            <v>#VALUE!</v>
          </cell>
          <cell r="O54" t="e">
            <v>#VALUE!</v>
          </cell>
          <cell r="P54" t="e">
            <v>#VALUE!</v>
          </cell>
          <cell r="Q54" t="e">
            <v>#VALUE!</v>
          </cell>
          <cell r="AQ54" t="e">
            <v>#VALUE!</v>
          </cell>
          <cell r="AR54" t="e">
            <v>#VALUE!</v>
          </cell>
          <cell r="AS54" t="e">
            <v>#VALUE!</v>
          </cell>
          <cell r="AT54" t="e">
            <v>#VALUE!</v>
          </cell>
          <cell r="AU54" t="e">
            <v>#VALUE!</v>
          </cell>
          <cell r="AZ54" t="e">
            <v>#VALUE!</v>
          </cell>
          <cell r="BA54" t="e">
            <v>#VALUE!</v>
          </cell>
          <cell r="BB54" t="e">
            <v>#VALUE!</v>
          </cell>
          <cell r="BJ54" t="e">
            <v>#VALUE!</v>
          </cell>
          <cell r="BK54" t="e">
            <v>#VALUE!</v>
          </cell>
          <cell r="BP54" t="e">
            <v>#VALUE!</v>
          </cell>
          <cell r="BQ54" t="e">
            <v>#VALUE!</v>
          </cell>
          <cell r="BV54" t="e">
            <v>#VALUE!</v>
          </cell>
          <cell r="BW54" t="e">
            <v>#VALUE!</v>
          </cell>
        </row>
        <row r="55">
          <cell r="M55" t="e">
            <v>#VALUE!</v>
          </cell>
          <cell r="N55" t="e">
            <v>#VALUE!</v>
          </cell>
          <cell r="O55" t="e">
            <v>#VALUE!</v>
          </cell>
          <cell r="P55" t="e">
            <v>#VALUE!</v>
          </cell>
          <cell r="Q55" t="e">
            <v>#VALUE!</v>
          </cell>
          <cell r="AQ55" t="e">
            <v>#VALUE!</v>
          </cell>
          <cell r="AR55" t="e">
            <v>#VALUE!</v>
          </cell>
          <cell r="AS55" t="e">
            <v>#VALUE!</v>
          </cell>
          <cell r="AT55" t="e">
            <v>#VALUE!</v>
          </cell>
          <cell r="AU55" t="e">
            <v>#VALUE!</v>
          </cell>
          <cell r="AZ55" t="e">
            <v>#VALUE!</v>
          </cell>
          <cell r="BA55" t="e">
            <v>#VALUE!</v>
          </cell>
          <cell r="BB55" t="e">
            <v>#VALUE!</v>
          </cell>
          <cell r="BJ55" t="e">
            <v>#VALUE!</v>
          </cell>
          <cell r="BK55" t="e">
            <v>#VALUE!</v>
          </cell>
          <cell r="BP55" t="e">
            <v>#VALUE!</v>
          </cell>
          <cell r="BQ55" t="e">
            <v>#VALUE!</v>
          </cell>
          <cell r="BV55" t="e">
            <v>#VALUE!</v>
          </cell>
          <cell r="BW55" t="e">
            <v>#VALUE!</v>
          </cell>
        </row>
        <row r="56">
          <cell r="M56" t="e">
            <v>#VALUE!</v>
          </cell>
          <cell r="N56" t="e">
            <v>#VALUE!</v>
          </cell>
          <cell r="O56" t="e">
            <v>#VALUE!</v>
          </cell>
          <cell r="P56" t="e">
            <v>#VALUE!</v>
          </cell>
          <cell r="Q56" t="e">
            <v>#VALUE!</v>
          </cell>
          <cell r="AQ56" t="e">
            <v>#VALUE!</v>
          </cell>
          <cell r="AR56" t="e">
            <v>#VALUE!</v>
          </cell>
          <cell r="AS56" t="e">
            <v>#VALUE!</v>
          </cell>
          <cell r="AT56" t="e">
            <v>#VALUE!</v>
          </cell>
          <cell r="AU56" t="e">
            <v>#VALUE!</v>
          </cell>
          <cell r="AZ56" t="e">
            <v>#VALUE!</v>
          </cell>
          <cell r="BA56" t="e">
            <v>#VALUE!</v>
          </cell>
          <cell r="BB56" t="e">
            <v>#VALUE!</v>
          </cell>
          <cell r="BJ56" t="e">
            <v>#VALUE!</v>
          </cell>
          <cell r="BK56" t="e">
            <v>#VALUE!</v>
          </cell>
          <cell r="BP56" t="e">
            <v>#VALUE!</v>
          </cell>
          <cell r="BQ56" t="e">
            <v>#VALUE!</v>
          </cell>
          <cell r="BV56" t="e">
            <v>#VALUE!</v>
          </cell>
          <cell r="BW56" t="e">
            <v>#VALUE!</v>
          </cell>
        </row>
        <row r="57">
          <cell r="M57" t="e">
            <v>#VALUE!</v>
          </cell>
          <cell r="N57" t="e">
            <v>#VALUE!</v>
          </cell>
          <cell r="O57" t="e">
            <v>#VALUE!</v>
          </cell>
          <cell r="P57" t="e">
            <v>#VALUE!</v>
          </cell>
          <cell r="Q57" t="e">
            <v>#VALUE!</v>
          </cell>
          <cell r="AQ57" t="e">
            <v>#VALUE!</v>
          </cell>
          <cell r="AR57" t="e">
            <v>#VALUE!</v>
          </cell>
          <cell r="AS57" t="e">
            <v>#VALUE!</v>
          </cell>
          <cell r="AT57" t="e">
            <v>#VALUE!</v>
          </cell>
          <cell r="AU57" t="e">
            <v>#VALUE!</v>
          </cell>
          <cell r="AZ57" t="e">
            <v>#VALUE!</v>
          </cell>
          <cell r="BA57" t="e">
            <v>#VALUE!</v>
          </cell>
          <cell r="BB57" t="e">
            <v>#VALUE!</v>
          </cell>
          <cell r="BJ57" t="e">
            <v>#VALUE!</v>
          </cell>
          <cell r="BK57" t="e">
            <v>#VALUE!</v>
          </cell>
          <cell r="BP57" t="e">
            <v>#VALUE!</v>
          </cell>
          <cell r="BQ57" t="e">
            <v>#VALUE!</v>
          </cell>
          <cell r="BV57" t="e">
            <v>#VALUE!</v>
          </cell>
          <cell r="BW57" t="e">
            <v>#VALUE!</v>
          </cell>
        </row>
        <row r="58">
          <cell r="M58" t="e">
            <v>#VALUE!</v>
          </cell>
          <cell r="N58" t="e">
            <v>#VALUE!</v>
          </cell>
          <cell r="O58" t="e">
            <v>#VALUE!</v>
          </cell>
          <cell r="P58" t="e">
            <v>#VALUE!</v>
          </cell>
          <cell r="Q58" t="e">
            <v>#VALUE!</v>
          </cell>
          <cell r="AQ58" t="e">
            <v>#VALUE!</v>
          </cell>
          <cell r="AR58" t="e">
            <v>#VALUE!</v>
          </cell>
          <cell r="AS58" t="e">
            <v>#VALUE!</v>
          </cell>
          <cell r="AT58" t="e">
            <v>#VALUE!</v>
          </cell>
          <cell r="AU58" t="e">
            <v>#VALUE!</v>
          </cell>
          <cell r="AZ58" t="e">
            <v>#VALUE!</v>
          </cell>
          <cell r="BA58" t="e">
            <v>#VALUE!</v>
          </cell>
          <cell r="BB58" t="e">
            <v>#VALUE!</v>
          </cell>
          <cell r="BJ58" t="e">
            <v>#VALUE!</v>
          </cell>
          <cell r="BK58" t="e">
            <v>#VALUE!</v>
          </cell>
          <cell r="BP58" t="e">
            <v>#VALUE!</v>
          </cell>
          <cell r="BQ58" t="e">
            <v>#VALUE!</v>
          </cell>
          <cell r="BV58" t="e">
            <v>#VALUE!</v>
          </cell>
          <cell r="BW58" t="e">
            <v>#VALUE!</v>
          </cell>
        </row>
        <row r="59">
          <cell r="M59" t="e">
            <v>#VALUE!</v>
          </cell>
          <cell r="N59" t="e">
            <v>#VALUE!</v>
          </cell>
          <cell r="O59" t="e">
            <v>#VALUE!</v>
          </cell>
          <cell r="P59" t="e">
            <v>#VALUE!</v>
          </cell>
          <cell r="Q59" t="e">
            <v>#VALUE!</v>
          </cell>
          <cell r="AQ59" t="e">
            <v>#VALUE!</v>
          </cell>
          <cell r="AR59" t="e">
            <v>#VALUE!</v>
          </cell>
          <cell r="AS59" t="e">
            <v>#VALUE!</v>
          </cell>
          <cell r="AT59" t="e">
            <v>#VALUE!</v>
          </cell>
          <cell r="AU59" t="e">
            <v>#VALUE!</v>
          </cell>
          <cell r="AZ59" t="e">
            <v>#VALUE!</v>
          </cell>
          <cell r="BA59" t="e">
            <v>#VALUE!</v>
          </cell>
          <cell r="BB59" t="e">
            <v>#VALUE!</v>
          </cell>
          <cell r="BJ59" t="e">
            <v>#VALUE!</v>
          </cell>
          <cell r="BK59" t="e">
            <v>#VALUE!</v>
          </cell>
          <cell r="BP59" t="e">
            <v>#VALUE!</v>
          </cell>
          <cell r="BQ59" t="e">
            <v>#VALUE!</v>
          </cell>
          <cell r="BV59" t="e">
            <v>#VALUE!</v>
          </cell>
          <cell r="BW59" t="e">
            <v>#VALUE!</v>
          </cell>
        </row>
        <row r="60">
          <cell r="M60" t="e">
            <v>#VALUE!</v>
          </cell>
          <cell r="N60" t="e">
            <v>#VALUE!</v>
          </cell>
          <cell r="O60" t="e">
            <v>#VALUE!</v>
          </cell>
          <cell r="P60" t="e">
            <v>#VALUE!</v>
          </cell>
          <cell r="Q60" t="e">
            <v>#VALUE!</v>
          </cell>
          <cell r="AQ60" t="e">
            <v>#VALUE!</v>
          </cell>
          <cell r="AR60" t="e">
            <v>#VALUE!</v>
          </cell>
          <cell r="AS60" t="e">
            <v>#VALUE!</v>
          </cell>
          <cell r="AT60" t="e">
            <v>#VALUE!</v>
          </cell>
          <cell r="AU60" t="e">
            <v>#VALUE!</v>
          </cell>
          <cell r="AZ60" t="e">
            <v>#VALUE!</v>
          </cell>
          <cell r="BA60" t="e">
            <v>#VALUE!</v>
          </cell>
          <cell r="BB60" t="e">
            <v>#VALUE!</v>
          </cell>
          <cell r="BJ60" t="e">
            <v>#VALUE!</v>
          </cell>
          <cell r="BK60" t="e">
            <v>#VALUE!</v>
          </cell>
          <cell r="BP60" t="e">
            <v>#VALUE!</v>
          </cell>
          <cell r="BQ60" t="e">
            <v>#VALUE!</v>
          </cell>
          <cell r="BV60" t="e">
            <v>#VALUE!</v>
          </cell>
          <cell r="BW60" t="e">
            <v>#VALUE!</v>
          </cell>
        </row>
        <row r="61">
          <cell r="M61" t="e">
            <v>#VALUE!</v>
          </cell>
          <cell r="N61" t="e">
            <v>#VALUE!</v>
          </cell>
          <cell r="O61" t="e">
            <v>#VALUE!</v>
          </cell>
          <cell r="P61" t="e">
            <v>#VALUE!</v>
          </cell>
          <cell r="Q61" t="e">
            <v>#VALUE!</v>
          </cell>
          <cell r="AQ61" t="e">
            <v>#VALUE!</v>
          </cell>
          <cell r="AR61" t="e">
            <v>#VALUE!</v>
          </cell>
          <cell r="AS61" t="e">
            <v>#VALUE!</v>
          </cell>
          <cell r="AT61" t="e">
            <v>#VALUE!</v>
          </cell>
          <cell r="AU61" t="e">
            <v>#VALUE!</v>
          </cell>
          <cell r="AZ61" t="e">
            <v>#VALUE!</v>
          </cell>
          <cell r="BA61" t="e">
            <v>#VALUE!</v>
          </cell>
          <cell r="BB61" t="e">
            <v>#VALUE!</v>
          </cell>
          <cell r="BJ61" t="e">
            <v>#VALUE!</v>
          </cell>
          <cell r="BK61" t="e">
            <v>#VALUE!</v>
          </cell>
          <cell r="BP61" t="e">
            <v>#VALUE!</v>
          </cell>
          <cell r="BQ61" t="e">
            <v>#VALUE!</v>
          </cell>
          <cell r="BV61" t="e">
            <v>#VALUE!</v>
          </cell>
          <cell r="BW61" t="e">
            <v>#VALUE!</v>
          </cell>
        </row>
        <row r="62">
          <cell r="M62" t="e">
            <v>#VALUE!</v>
          </cell>
          <cell r="N62" t="e">
            <v>#VALUE!</v>
          </cell>
          <cell r="O62" t="e">
            <v>#VALUE!</v>
          </cell>
          <cell r="P62" t="e">
            <v>#VALUE!</v>
          </cell>
          <cell r="Q62" t="e">
            <v>#VALUE!</v>
          </cell>
          <cell r="AQ62" t="e">
            <v>#VALUE!</v>
          </cell>
          <cell r="AR62" t="e">
            <v>#VALUE!</v>
          </cell>
          <cell r="AS62" t="e">
            <v>#VALUE!</v>
          </cell>
          <cell r="AT62" t="e">
            <v>#VALUE!</v>
          </cell>
          <cell r="AU62" t="e">
            <v>#VALUE!</v>
          </cell>
          <cell r="AZ62" t="e">
            <v>#VALUE!</v>
          </cell>
          <cell r="BA62" t="e">
            <v>#VALUE!</v>
          </cell>
          <cell r="BB62" t="e">
            <v>#VALUE!</v>
          </cell>
          <cell r="BJ62" t="e">
            <v>#VALUE!</v>
          </cell>
          <cell r="BK62" t="e">
            <v>#VALUE!</v>
          </cell>
          <cell r="BP62" t="e">
            <v>#VALUE!</v>
          </cell>
          <cell r="BQ62" t="e">
            <v>#VALUE!</v>
          </cell>
          <cell r="BV62" t="e">
            <v>#VALUE!</v>
          </cell>
          <cell r="BW62" t="e">
            <v>#VALUE!</v>
          </cell>
        </row>
        <row r="63">
          <cell r="M63" t="e">
            <v>#VALUE!</v>
          </cell>
          <cell r="N63" t="e">
            <v>#VALUE!</v>
          </cell>
          <cell r="O63" t="e">
            <v>#VALUE!</v>
          </cell>
          <cell r="P63" t="e">
            <v>#VALUE!</v>
          </cell>
          <cell r="Q63" t="e">
            <v>#VALUE!</v>
          </cell>
          <cell r="AQ63" t="e">
            <v>#VALUE!</v>
          </cell>
          <cell r="AR63" t="e">
            <v>#VALUE!</v>
          </cell>
          <cell r="AS63" t="e">
            <v>#VALUE!</v>
          </cell>
          <cell r="AT63" t="e">
            <v>#VALUE!</v>
          </cell>
          <cell r="AU63" t="e">
            <v>#VALUE!</v>
          </cell>
          <cell r="AZ63" t="e">
            <v>#VALUE!</v>
          </cell>
          <cell r="BA63" t="e">
            <v>#VALUE!</v>
          </cell>
          <cell r="BB63" t="e">
            <v>#VALUE!</v>
          </cell>
          <cell r="BJ63" t="e">
            <v>#VALUE!</v>
          </cell>
          <cell r="BK63" t="e">
            <v>#VALUE!</v>
          </cell>
          <cell r="BP63" t="e">
            <v>#VALUE!</v>
          </cell>
          <cell r="BQ63" t="e">
            <v>#VALUE!</v>
          </cell>
          <cell r="BV63" t="e">
            <v>#VALUE!</v>
          </cell>
          <cell r="BW63" t="e">
            <v>#VALUE!</v>
          </cell>
        </row>
        <row r="64">
          <cell r="M64" t="e">
            <v>#VALUE!</v>
          </cell>
          <cell r="N64" t="e">
            <v>#VALUE!</v>
          </cell>
          <cell r="O64" t="e">
            <v>#VALUE!</v>
          </cell>
          <cell r="P64" t="e">
            <v>#VALUE!</v>
          </cell>
          <cell r="Q64" t="e">
            <v>#VALUE!</v>
          </cell>
          <cell r="AQ64" t="e">
            <v>#VALUE!</v>
          </cell>
          <cell r="AR64" t="e">
            <v>#VALUE!</v>
          </cell>
          <cell r="AS64" t="e">
            <v>#VALUE!</v>
          </cell>
          <cell r="AT64" t="e">
            <v>#VALUE!</v>
          </cell>
          <cell r="AU64" t="e">
            <v>#VALUE!</v>
          </cell>
          <cell r="AZ64" t="e">
            <v>#VALUE!</v>
          </cell>
          <cell r="BA64" t="e">
            <v>#VALUE!</v>
          </cell>
          <cell r="BB64" t="e">
            <v>#VALUE!</v>
          </cell>
          <cell r="BJ64" t="e">
            <v>#VALUE!</v>
          </cell>
          <cell r="BK64" t="e">
            <v>#VALUE!</v>
          </cell>
          <cell r="BP64" t="e">
            <v>#VALUE!</v>
          </cell>
          <cell r="BQ64" t="e">
            <v>#VALUE!</v>
          </cell>
          <cell r="BV64" t="e">
            <v>#VALUE!</v>
          </cell>
          <cell r="BW64" t="e">
            <v>#VALUE!</v>
          </cell>
        </row>
        <row r="65">
          <cell r="M65" t="e">
            <v>#VALUE!</v>
          </cell>
          <cell r="N65" t="e">
            <v>#VALUE!</v>
          </cell>
          <cell r="O65" t="e">
            <v>#VALUE!</v>
          </cell>
          <cell r="P65" t="e">
            <v>#VALUE!</v>
          </cell>
          <cell r="Q65" t="e">
            <v>#VALUE!</v>
          </cell>
          <cell r="AQ65" t="e">
            <v>#VALUE!</v>
          </cell>
          <cell r="AR65" t="e">
            <v>#VALUE!</v>
          </cell>
          <cell r="AS65" t="e">
            <v>#VALUE!</v>
          </cell>
          <cell r="AT65" t="e">
            <v>#VALUE!</v>
          </cell>
          <cell r="AU65" t="e">
            <v>#VALUE!</v>
          </cell>
          <cell r="AZ65" t="e">
            <v>#VALUE!</v>
          </cell>
          <cell r="BA65" t="e">
            <v>#VALUE!</v>
          </cell>
          <cell r="BB65" t="e">
            <v>#VALUE!</v>
          </cell>
          <cell r="BJ65" t="e">
            <v>#VALUE!</v>
          </cell>
          <cell r="BK65" t="e">
            <v>#VALUE!</v>
          </cell>
          <cell r="BP65" t="e">
            <v>#VALUE!</v>
          </cell>
          <cell r="BQ65" t="e">
            <v>#VALUE!</v>
          </cell>
          <cell r="BV65" t="e">
            <v>#VALUE!</v>
          </cell>
          <cell r="BW65" t="e">
            <v>#VALUE!</v>
          </cell>
        </row>
        <row r="66">
          <cell r="M66" t="e">
            <v>#VALUE!</v>
          </cell>
          <cell r="N66" t="e">
            <v>#VALUE!</v>
          </cell>
          <cell r="O66" t="e">
            <v>#VALUE!</v>
          </cell>
          <cell r="P66" t="e">
            <v>#VALUE!</v>
          </cell>
          <cell r="Q66" t="e">
            <v>#VALUE!</v>
          </cell>
          <cell r="AQ66" t="e">
            <v>#VALUE!</v>
          </cell>
          <cell r="AR66" t="e">
            <v>#VALUE!</v>
          </cell>
          <cell r="AS66" t="e">
            <v>#VALUE!</v>
          </cell>
          <cell r="AT66" t="e">
            <v>#VALUE!</v>
          </cell>
          <cell r="AU66" t="e">
            <v>#VALUE!</v>
          </cell>
          <cell r="AZ66" t="e">
            <v>#VALUE!</v>
          </cell>
          <cell r="BA66" t="e">
            <v>#VALUE!</v>
          </cell>
          <cell r="BB66" t="e">
            <v>#VALUE!</v>
          </cell>
          <cell r="BJ66" t="e">
            <v>#VALUE!</v>
          </cell>
          <cell r="BK66" t="e">
            <v>#VALUE!</v>
          </cell>
          <cell r="BP66" t="e">
            <v>#VALUE!</v>
          </cell>
          <cell r="BQ66" t="e">
            <v>#VALUE!</v>
          </cell>
          <cell r="BV66" t="e">
            <v>#VALUE!</v>
          </cell>
          <cell r="BW66" t="e">
            <v>#VALUE!</v>
          </cell>
        </row>
        <row r="67">
          <cell r="M67" t="e">
            <v>#VALUE!</v>
          </cell>
          <cell r="N67" t="e">
            <v>#VALUE!</v>
          </cell>
          <cell r="O67" t="e">
            <v>#VALUE!</v>
          </cell>
          <cell r="P67" t="e">
            <v>#VALUE!</v>
          </cell>
          <cell r="Q67" t="e">
            <v>#VALUE!</v>
          </cell>
          <cell r="AQ67" t="e">
            <v>#VALUE!</v>
          </cell>
          <cell r="AR67" t="e">
            <v>#VALUE!</v>
          </cell>
          <cell r="AS67" t="e">
            <v>#VALUE!</v>
          </cell>
          <cell r="AT67" t="e">
            <v>#VALUE!</v>
          </cell>
          <cell r="AU67" t="e">
            <v>#VALUE!</v>
          </cell>
          <cell r="AZ67" t="e">
            <v>#VALUE!</v>
          </cell>
          <cell r="BA67" t="e">
            <v>#VALUE!</v>
          </cell>
          <cell r="BB67" t="e">
            <v>#VALUE!</v>
          </cell>
          <cell r="BJ67" t="e">
            <v>#VALUE!</v>
          </cell>
          <cell r="BK67" t="e">
            <v>#VALUE!</v>
          </cell>
          <cell r="BP67" t="e">
            <v>#VALUE!</v>
          </cell>
          <cell r="BQ67" t="e">
            <v>#VALUE!</v>
          </cell>
          <cell r="BV67" t="e">
            <v>#VALUE!</v>
          </cell>
          <cell r="BW67" t="e">
            <v>#VALUE!</v>
          </cell>
        </row>
        <row r="68">
          <cell r="M68" t="e">
            <v>#VALUE!</v>
          </cell>
          <cell r="N68" t="e">
            <v>#VALUE!</v>
          </cell>
          <cell r="O68" t="e">
            <v>#VALUE!</v>
          </cell>
          <cell r="P68" t="e">
            <v>#VALUE!</v>
          </cell>
          <cell r="Q68" t="e">
            <v>#VALUE!</v>
          </cell>
          <cell r="AQ68" t="e">
            <v>#VALUE!</v>
          </cell>
          <cell r="AR68" t="e">
            <v>#VALUE!</v>
          </cell>
          <cell r="AS68" t="e">
            <v>#VALUE!</v>
          </cell>
          <cell r="AT68" t="e">
            <v>#VALUE!</v>
          </cell>
          <cell r="AU68" t="e">
            <v>#VALUE!</v>
          </cell>
          <cell r="AZ68" t="e">
            <v>#VALUE!</v>
          </cell>
          <cell r="BA68" t="e">
            <v>#VALUE!</v>
          </cell>
          <cell r="BB68" t="e">
            <v>#VALUE!</v>
          </cell>
          <cell r="BJ68" t="e">
            <v>#VALUE!</v>
          </cell>
          <cell r="BK68" t="e">
            <v>#VALUE!</v>
          </cell>
          <cell r="BP68" t="e">
            <v>#VALUE!</v>
          </cell>
          <cell r="BQ68" t="e">
            <v>#VALUE!</v>
          </cell>
          <cell r="BV68" t="e">
            <v>#VALUE!</v>
          </cell>
          <cell r="BW68" t="e">
            <v>#VALUE!</v>
          </cell>
        </row>
        <row r="69">
          <cell r="M69" t="e">
            <v>#VALUE!</v>
          </cell>
          <cell r="N69" t="e">
            <v>#VALUE!</v>
          </cell>
          <cell r="O69" t="e">
            <v>#VALUE!</v>
          </cell>
          <cell r="P69" t="e">
            <v>#VALUE!</v>
          </cell>
          <cell r="Q69" t="e">
            <v>#VALUE!</v>
          </cell>
          <cell r="AQ69" t="e">
            <v>#VALUE!</v>
          </cell>
          <cell r="AR69" t="e">
            <v>#VALUE!</v>
          </cell>
          <cell r="AS69" t="e">
            <v>#VALUE!</v>
          </cell>
          <cell r="AT69" t="e">
            <v>#VALUE!</v>
          </cell>
          <cell r="AU69" t="e">
            <v>#VALUE!</v>
          </cell>
          <cell r="AZ69" t="e">
            <v>#VALUE!</v>
          </cell>
          <cell r="BA69" t="e">
            <v>#VALUE!</v>
          </cell>
          <cell r="BB69" t="e">
            <v>#VALUE!</v>
          </cell>
          <cell r="BJ69" t="e">
            <v>#VALUE!</v>
          </cell>
          <cell r="BK69" t="e">
            <v>#VALUE!</v>
          </cell>
          <cell r="BP69" t="e">
            <v>#VALUE!</v>
          </cell>
          <cell r="BQ69" t="e">
            <v>#VALUE!</v>
          </cell>
          <cell r="BV69" t="e">
            <v>#VALUE!</v>
          </cell>
          <cell r="BW69" t="e">
            <v>#VALUE!</v>
          </cell>
        </row>
        <row r="70">
          <cell r="M70" t="e">
            <v>#VALUE!</v>
          </cell>
          <cell r="N70" t="e">
            <v>#VALUE!</v>
          </cell>
          <cell r="O70" t="e">
            <v>#VALUE!</v>
          </cell>
          <cell r="P70" t="e">
            <v>#VALUE!</v>
          </cell>
          <cell r="Q70" t="e">
            <v>#VALUE!</v>
          </cell>
          <cell r="AQ70" t="e">
            <v>#VALUE!</v>
          </cell>
          <cell r="AR70" t="e">
            <v>#VALUE!</v>
          </cell>
          <cell r="AS70" t="e">
            <v>#VALUE!</v>
          </cell>
          <cell r="AT70" t="e">
            <v>#VALUE!</v>
          </cell>
          <cell r="AU70" t="e">
            <v>#VALUE!</v>
          </cell>
          <cell r="AZ70" t="e">
            <v>#VALUE!</v>
          </cell>
          <cell r="BA70" t="e">
            <v>#VALUE!</v>
          </cell>
          <cell r="BB70" t="e">
            <v>#VALUE!</v>
          </cell>
          <cell r="BJ70" t="e">
            <v>#VALUE!</v>
          </cell>
          <cell r="BK70" t="e">
            <v>#VALUE!</v>
          </cell>
          <cell r="BP70" t="e">
            <v>#VALUE!</v>
          </cell>
          <cell r="BQ70" t="e">
            <v>#VALUE!</v>
          </cell>
          <cell r="BV70" t="e">
            <v>#VALUE!</v>
          </cell>
          <cell r="BW70" t="e">
            <v>#VALUE!</v>
          </cell>
        </row>
        <row r="71">
          <cell r="M71" t="e">
            <v>#VALUE!</v>
          </cell>
          <cell r="N71" t="e">
            <v>#VALUE!</v>
          </cell>
          <cell r="O71" t="e">
            <v>#VALUE!</v>
          </cell>
          <cell r="P71" t="e">
            <v>#VALUE!</v>
          </cell>
          <cell r="Q71" t="e">
            <v>#VALUE!</v>
          </cell>
          <cell r="AQ71" t="e">
            <v>#VALUE!</v>
          </cell>
          <cell r="AR71" t="e">
            <v>#VALUE!</v>
          </cell>
          <cell r="AS71" t="e">
            <v>#VALUE!</v>
          </cell>
          <cell r="AT71" t="e">
            <v>#VALUE!</v>
          </cell>
          <cell r="AU71" t="e">
            <v>#VALUE!</v>
          </cell>
          <cell r="AZ71" t="e">
            <v>#VALUE!</v>
          </cell>
          <cell r="BA71" t="e">
            <v>#VALUE!</v>
          </cell>
          <cell r="BB71" t="e">
            <v>#VALUE!</v>
          </cell>
          <cell r="BJ71" t="e">
            <v>#VALUE!</v>
          </cell>
          <cell r="BK71" t="e">
            <v>#VALUE!</v>
          </cell>
          <cell r="BP71" t="e">
            <v>#VALUE!</v>
          </cell>
          <cell r="BQ71" t="e">
            <v>#VALUE!</v>
          </cell>
          <cell r="BV71" t="e">
            <v>#VALUE!</v>
          </cell>
          <cell r="BW71" t="e">
            <v>#VALUE!</v>
          </cell>
        </row>
        <row r="72">
          <cell r="M72" t="e">
            <v>#VALUE!</v>
          </cell>
          <cell r="N72" t="e">
            <v>#VALUE!</v>
          </cell>
          <cell r="O72" t="e">
            <v>#VALUE!</v>
          </cell>
          <cell r="P72" t="e">
            <v>#VALUE!</v>
          </cell>
          <cell r="Q72" t="e">
            <v>#VALUE!</v>
          </cell>
          <cell r="AQ72" t="e">
            <v>#VALUE!</v>
          </cell>
          <cell r="AR72" t="e">
            <v>#VALUE!</v>
          </cell>
          <cell r="AS72" t="e">
            <v>#VALUE!</v>
          </cell>
          <cell r="AT72" t="e">
            <v>#VALUE!</v>
          </cell>
          <cell r="AU72" t="e">
            <v>#VALUE!</v>
          </cell>
          <cell r="AZ72" t="e">
            <v>#VALUE!</v>
          </cell>
          <cell r="BA72" t="e">
            <v>#VALUE!</v>
          </cell>
          <cell r="BB72" t="e">
            <v>#VALUE!</v>
          </cell>
          <cell r="BJ72" t="e">
            <v>#VALUE!</v>
          </cell>
          <cell r="BK72" t="e">
            <v>#VALUE!</v>
          </cell>
          <cell r="BP72" t="e">
            <v>#VALUE!</v>
          </cell>
          <cell r="BQ72" t="e">
            <v>#VALUE!</v>
          </cell>
          <cell r="BV72" t="e">
            <v>#VALUE!</v>
          </cell>
          <cell r="BW72" t="e">
            <v>#VALUE!</v>
          </cell>
        </row>
        <row r="73">
          <cell r="M73" t="e">
            <v>#VALUE!</v>
          </cell>
          <cell r="N73" t="e">
            <v>#VALUE!</v>
          </cell>
          <cell r="O73" t="e">
            <v>#VALUE!</v>
          </cell>
          <cell r="P73" t="e">
            <v>#VALUE!</v>
          </cell>
          <cell r="Q73" t="e">
            <v>#VALUE!</v>
          </cell>
          <cell r="AQ73" t="e">
            <v>#VALUE!</v>
          </cell>
          <cell r="AR73" t="e">
            <v>#VALUE!</v>
          </cell>
          <cell r="AS73" t="e">
            <v>#VALUE!</v>
          </cell>
          <cell r="AT73" t="e">
            <v>#VALUE!</v>
          </cell>
          <cell r="AU73" t="e">
            <v>#VALUE!</v>
          </cell>
          <cell r="AZ73" t="e">
            <v>#VALUE!</v>
          </cell>
          <cell r="BA73" t="e">
            <v>#VALUE!</v>
          </cell>
          <cell r="BB73" t="e">
            <v>#VALUE!</v>
          </cell>
          <cell r="BJ73" t="e">
            <v>#VALUE!</v>
          </cell>
          <cell r="BK73" t="e">
            <v>#VALUE!</v>
          </cell>
          <cell r="BP73" t="e">
            <v>#VALUE!</v>
          </cell>
          <cell r="BQ73" t="e">
            <v>#VALUE!</v>
          </cell>
          <cell r="BV73" t="e">
            <v>#VALUE!</v>
          </cell>
          <cell r="BW73" t="e">
            <v>#VALUE!</v>
          </cell>
        </row>
        <row r="74">
          <cell r="M74" t="e">
            <v>#VALUE!</v>
          </cell>
          <cell r="N74" t="e">
            <v>#VALUE!</v>
          </cell>
          <cell r="O74" t="e">
            <v>#VALUE!</v>
          </cell>
          <cell r="P74" t="e">
            <v>#VALUE!</v>
          </cell>
          <cell r="Q74" t="e">
            <v>#VALUE!</v>
          </cell>
          <cell r="AQ74" t="e">
            <v>#VALUE!</v>
          </cell>
          <cell r="AR74" t="e">
            <v>#VALUE!</v>
          </cell>
          <cell r="AS74" t="e">
            <v>#VALUE!</v>
          </cell>
          <cell r="AT74" t="e">
            <v>#VALUE!</v>
          </cell>
          <cell r="AU74" t="e">
            <v>#VALUE!</v>
          </cell>
          <cell r="AZ74" t="e">
            <v>#VALUE!</v>
          </cell>
          <cell r="BA74" t="e">
            <v>#VALUE!</v>
          </cell>
          <cell r="BB74" t="e">
            <v>#VALUE!</v>
          </cell>
          <cell r="BJ74" t="e">
            <v>#VALUE!</v>
          </cell>
          <cell r="BK74" t="e">
            <v>#VALUE!</v>
          </cell>
          <cell r="BP74" t="e">
            <v>#VALUE!</v>
          </cell>
          <cell r="BQ74" t="e">
            <v>#VALUE!</v>
          </cell>
          <cell r="BV74" t="e">
            <v>#VALUE!</v>
          </cell>
          <cell r="BW74" t="e">
            <v>#VALUE!</v>
          </cell>
        </row>
        <row r="75">
          <cell r="M75" t="e">
            <v>#VALUE!</v>
          </cell>
          <cell r="N75" t="e">
            <v>#VALUE!</v>
          </cell>
          <cell r="O75" t="e">
            <v>#VALUE!</v>
          </cell>
          <cell r="P75" t="e">
            <v>#VALUE!</v>
          </cell>
          <cell r="Q75" t="e">
            <v>#VALUE!</v>
          </cell>
          <cell r="AQ75" t="e">
            <v>#VALUE!</v>
          </cell>
          <cell r="AR75" t="e">
            <v>#VALUE!</v>
          </cell>
          <cell r="AS75" t="e">
            <v>#VALUE!</v>
          </cell>
          <cell r="AT75" t="e">
            <v>#VALUE!</v>
          </cell>
          <cell r="AU75" t="e">
            <v>#VALUE!</v>
          </cell>
          <cell r="AZ75" t="e">
            <v>#VALUE!</v>
          </cell>
          <cell r="BA75" t="e">
            <v>#VALUE!</v>
          </cell>
          <cell r="BB75" t="e">
            <v>#VALUE!</v>
          </cell>
          <cell r="BJ75" t="e">
            <v>#VALUE!</v>
          </cell>
          <cell r="BK75" t="e">
            <v>#VALUE!</v>
          </cell>
          <cell r="BP75" t="e">
            <v>#VALUE!</v>
          </cell>
          <cell r="BQ75" t="e">
            <v>#VALUE!</v>
          </cell>
          <cell r="BV75" t="e">
            <v>#VALUE!</v>
          </cell>
          <cell r="BW75" t="e">
            <v>#VALUE!</v>
          </cell>
        </row>
        <row r="76">
          <cell r="M76" t="e">
            <v>#VALUE!</v>
          </cell>
          <cell r="N76" t="e">
            <v>#VALUE!</v>
          </cell>
          <cell r="O76" t="e">
            <v>#VALUE!</v>
          </cell>
          <cell r="P76" t="e">
            <v>#VALUE!</v>
          </cell>
          <cell r="Q76" t="e">
            <v>#VALUE!</v>
          </cell>
          <cell r="AQ76" t="e">
            <v>#VALUE!</v>
          </cell>
          <cell r="AR76" t="e">
            <v>#VALUE!</v>
          </cell>
          <cell r="AS76" t="e">
            <v>#VALUE!</v>
          </cell>
          <cell r="AT76" t="e">
            <v>#VALUE!</v>
          </cell>
          <cell r="AU76" t="e">
            <v>#VALUE!</v>
          </cell>
          <cell r="AZ76" t="e">
            <v>#VALUE!</v>
          </cell>
          <cell r="BA76" t="e">
            <v>#VALUE!</v>
          </cell>
          <cell r="BB76" t="e">
            <v>#VALUE!</v>
          </cell>
          <cell r="BJ76" t="e">
            <v>#VALUE!</v>
          </cell>
          <cell r="BK76" t="e">
            <v>#VALUE!</v>
          </cell>
          <cell r="BP76" t="e">
            <v>#VALUE!</v>
          </cell>
          <cell r="BQ76" t="e">
            <v>#VALUE!</v>
          </cell>
          <cell r="BV76" t="e">
            <v>#VALUE!</v>
          </cell>
          <cell r="BW76" t="e">
            <v>#VALUE!</v>
          </cell>
        </row>
        <row r="77">
          <cell r="M77" t="e">
            <v>#VALUE!</v>
          </cell>
          <cell r="N77" t="e">
            <v>#VALUE!</v>
          </cell>
          <cell r="O77" t="e">
            <v>#VALUE!</v>
          </cell>
          <cell r="P77" t="e">
            <v>#VALUE!</v>
          </cell>
          <cell r="Q77" t="e">
            <v>#VALUE!</v>
          </cell>
          <cell r="AQ77" t="e">
            <v>#VALUE!</v>
          </cell>
          <cell r="AR77" t="e">
            <v>#VALUE!</v>
          </cell>
          <cell r="AS77" t="e">
            <v>#VALUE!</v>
          </cell>
          <cell r="AT77" t="e">
            <v>#VALUE!</v>
          </cell>
          <cell r="AU77" t="e">
            <v>#VALUE!</v>
          </cell>
          <cell r="AZ77" t="e">
            <v>#VALUE!</v>
          </cell>
          <cell r="BA77" t="e">
            <v>#VALUE!</v>
          </cell>
          <cell r="BB77" t="e">
            <v>#VALUE!</v>
          </cell>
          <cell r="BJ77" t="e">
            <v>#VALUE!</v>
          </cell>
          <cell r="BK77" t="e">
            <v>#VALUE!</v>
          </cell>
          <cell r="BP77" t="e">
            <v>#VALUE!</v>
          </cell>
          <cell r="BQ77" t="e">
            <v>#VALUE!</v>
          </cell>
          <cell r="BV77" t="e">
            <v>#VALUE!</v>
          </cell>
          <cell r="BW77" t="e">
            <v>#VALUE!</v>
          </cell>
        </row>
        <row r="78">
          <cell r="M78" t="e">
            <v>#VALUE!</v>
          </cell>
          <cell r="N78" t="e">
            <v>#VALUE!</v>
          </cell>
          <cell r="O78" t="e">
            <v>#VALUE!</v>
          </cell>
          <cell r="P78" t="e">
            <v>#VALUE!</v>
          </cell>
          <cell r="Q78" t="e">
            <v>#VALUE!</v>
          </cell>
          <cell r="AQ78" t="e">
            <v>#VALUE!</v>
          </cell>
          <cell r="AR78" t="e">
            <v>#VALUE!</v>
          </cell>
          <cell r="AS78" t="e">
            <v>#VALUE!</v>
          </cell>
          <cell r="AT78" t="e">
            <v>#VALUE!</v>
          </cell>
          <cell r="AU78" t="e">
            <v>#VALUE!</v>
          </cell>
          <cell r="AZ78" t="e">
            <v>#VALUE!</v>
          </cell>
          <cell r="BA78" t="e">
            <v>#VALUE!</v>
          </cell>
          <cell r="BB78" t="e">
            <v>#VALUE!</v>
          </cell>
          <cell r="BJ78" t="e">
            <v>#VALUE!</v>
          </cell>
          <cell r="BK78" t="e">
            <v>#VALUE!</v>
          </cell>
          <cell r="BP78" t="e">
            <v>#VALUE!</v>
          </cell>
          <cell r="BQ78" t="e">
            <v>#VALUE!</v>
          </cell>
          <cell r="BV78" t="e">
            <v>#VALUE!</v>
          </cell>
          <cell r="BW78" t="e">
            <v>#VALUE!</v>
          </cell>
        </row>
      </sheetData>
      <sheetData sheetId="9"/>
      <sheetData sheetId="10"/>
      <sheetData sheetId="11">
        <row r="10">
          <cell r="M10">
            <v>5</v>
          </cell>
        </row>
        <row r="21">
          <cell r="M21">
            <v>5</v>
          </cell>
        </row>
        <row r="32">
          <cell r="M32">
            <v>5</v>
          </cell>
        </row>
        <row r="43">
          <cell r="M43">
            <v>4</v>
          </cell>
        </row>
      </sheetData>
      <sheetData sheetId="12">
        <row r="5">
          <cell r="C5" t="str">
            <v>EURYC</v>
          </cell>
        </row>
        <row r="6">
          <cell r="E6">
            <v>43487</v>
          </cell>
          <cell r="F6">
            <v>-3.3389660697554862E-3</v>
          </cell>
        </row>
        <row r="8">
          <cell r="C8" t="str">
            <v>6M</v>
          </cell>
        </row>
        <row r="9">
          <cell r="C9">
            <v>10</v>
          </cell>
        </row>
        <row r="13">
          <cell r="C13">
            <v>2</v>
          </cell>
        </row>
        <row r="20">
          <cell r="B20">
            <v>3650</v>
          </cell>
        </row>
        <row r="25">
          <cell r="E25">
            <v>43514</v>
          </cell>
        </row>
      </sheetData>
      <sheetData sheetId="13"/>
      <sheetData sheetId="14"/>
      <sheetData sheetId="15"/>
      <sheetData sheetId="16"/>
      <sheetData sheetId="17">
        <row r="27">
          <cell r="C27" t="b">
            <v>1</v>
          </cell>
        </row>
        <row r="59">
          <cell r="C59" t="b">
            <v>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5">
          <cell r="N5" t="str">
            <v>LegType</v>
          </cell>
          <cell r="O5" t="str">
            <v>Currency</v>
          </cell>
          <cell r="P5" t="str">
            <v>PayReceive</v>
          </cell>
          <cell r="Q5" t="str">
            <v>Notional</v>
          </cell>
          <cell r="R5" t="str">
            <v>NotionalExchange</v>
          </cell>
          <cell r="S5" t="str">
            <v>Leverage</v>
          </cell>
          <cell r="T5" t="str">
            <v>EffectiveDate</v>
          </cell>
          <cell r="U5" t="str">
            <v>MaturityDate</v>
          </cell>
          <cell r="V5" t="str">
            <v>Frequency</v>
          </cell>
          <cell r="W5" t="str">
            <v>FloatSpread</v>
          </cell>
          <cell r="X5" t="str">
            <v>CurveCollection</v>
          </cell>
          <cell r="Y5" t="str">
            <v>ForecastCurve</v>
          </cell>
          <cell r="Z5" t="str">
            <v>DiscountCurve</v>
          </cell>
          <cell r="AA5" t="str">
            <v>Daycount</v>
          </cell>
          <cell r="AB5" t="str">
            <v>AccrualBusinessDayAdjustment</v>
          </cell>
          <cell r="AC5" t="str">
            <v>AccrualCalendar</v>
          </cell>
          <cell r="AD5" t="str">
            <v>FixingBusinessDayAdjustment</v>
          </cell>
          <cell r="AE5" t="str">
            <v>FixingCalendar</v>
          </cell>
          <cell r="AF5" t="str">
            <v>FixingLag</v>
          </cell>
          <cell r="AG5" t="str">
            <v>PaymentBusinessDayAdjustment</v>
          </cell>
          <cell r="AH5" t="str">
            <v>PaymentCalendar</v>
          </cell>
          <cell r="AI5" t="str">
            <v>PaymentLag</v>
          </cell>
          <cell r="AJ5" t="str">
            <v>RollDay</v>
          </cell>
          <cell r="AK5" t="str">
            <v>FirstStubDate</v>
          </cell>
          <cell r="AL5" t="str">
            <v>LastStubDate</v>
          </cell>
          <cell r="AM5" t="str">
            <v>FirstStubCurveIndex</v>
          </cell>
          <cell r="AN5" t="str">
            <v>LastStubCurveIndex</v>
          </cell>
          <cell r="AO5" t="str">
            <v>FirstFixing</v>
          </cell>
          <cell r="AP5" t="str">
            <v>LastFixing</v>
          </cell>
          <cell r="AQ5" t="str">
            <v>StubType</v>
          </cell>
          <cell r="AS5" t="str">
            <v>LegType</v>
          </cell>
          <cell r="AT5" t="str">
            <v>Currency</v>
          </cell>
          <cell r="AU5" t="str">
            <v>PayReceive</v>
          </cell>
          <cell r="AV5" t="str">
            <v>Notional</v>
          </cell>
          <cell r="AW5" t="str">
            <v>NotionalExchange</v>
          </cell>
          <cell r="AX5" t="str">
            <v>Leverage</v>
          </cell>
          <cell r="AY5" t="str">
            <v>EffectiveDate</v>
          </cell>
          <cell r="AZ5" t="str">
            <v>MaturityDate</v>
          </cell>
          <cell r="BA5" t="str">
            <v>Frequency</v>
          </cell>
          <cell r="BB5" t="str">
            <v>FloatSpread</v>
          </cell>
          <cell r="BC5" t="str">
            <v>CurveCollection</v>
          </cell>
          <cell r="BD5" t="str">
            <v>ForecastCurve</v>
          </cell>
          <cell r="BE5" t="str">
            <v>DiscountCurve</v>
          </cell>
          <cell r="BF5" t="str">
            <v>Daycount</v>
          </cell>
          <cell r="BG5" t="str">
            <v>AccrualBusinessDayAdjustment</v>
          </cell>
          <cell r="BH5" t="str">
            <v>AccrualCalendar</v>
          </cell>
          <cell r="BI5" t="str">
            <v>FixingBusinessDayAdjustment</v>
          </cell>
          <cell r="BJ5" t="str">
            <v>FixingCalendar</v>
          </cell>
          <cell r="BK5" t="str">
            <v>FixingLag</v>
          </cell>
          <cell r="BL5" t="str">
            <v>PaymentBusinessDayAdjustment</v>
          </cell>
          <cell r="BM5" t="str">
            <v>PaymentCalendar</v>
          </cell>
          <cell r="BN5" t="str">
            <v>PaymentLag</v>
          </cell>
          <cell r="BO5" t="str">
            <v>RollDay</v>
          </cell>
          <cell r="BP5" t="str">
            <v>FirstStubDate</v>
          </cell>
          <cell r="BQ5" t="str">
            <v>LastStubDate</v>
          </cell>
          <cell r="BR5" t="str">
            <v>CalibrationLookup1</v>
          </cell>
          <cell r="BS5" t="str">
            <v>CalibrationLookup2</v>
          </cell>
          <cell r="BT5" t="str">
            <v>FirstStubCurveIndex</v>
          </cell>
          <cell r="BU5" t="str">
            <v>LastStubCurveIndex</v>
          </cell>
          <cell r="BV5" t="str">
            <v>FirstFixing</v>
          </cell>
          <cell r="BW5" t="str">
            <v>LastFixing</v>
          </cell>
          <cell r="BX5" t="str">
            <v>StubType</v>
          </cell>
        </row>
      </sheetData>
      <sheetData sheetId="36"/>
      <sheetData sheetId="37"/>
      <sheetData sheetId="38"/>
      <sheetData sheetId="39">
        <row r="10">
          <cell r="C10">
            <v>43487</v>
          </cell>
        </row>
        <row r="11">
          <cell r="C11" t="str">
            <v>2D</v>
          </cell>
        </row>
        <row r="12">
          <cell r="C12" t="str">
            <v>5Y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>
        <row r="148">
          <cell r="B148" t="str">
            <v>MOD_FOLLOWING</v>
          </cell>
        </row>
        <row r="149">
          <cell r="B149" t="str">
            <v>TGT</v>
          </cell>
        </row>
        <row r="156">
          <cell r="B156" t="str">
            <v>MOD_FOLLOWING</v>
          </cell>
        </row>
        <row r="158">
          <cell r="B158" t="str">
            <v>NYB:LNB</v>
          </cell>
        </row>
        <row r="164">
          <cell r="B164" t="str">
            <v>MOD_FOLLOWING</v>
          </cell>
        </row>
        <row r="166">
          <cell r="B166" t="str">
            <v>LNB</v>
          </cell>
        </row>
        <row r="172">
          <cell r="B172" t="str">
            <v>MOD_FOLLOWING</v>
          </cell>
        </row>
        <row r="174">
          <cell r="B174" t="str">
            <v>TKB:LNB</v>
          </cell>
        </row>
      </sheetData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Curve Dependencies"/>
      <sheetName val="FX Forward Invariance"/>
      <sheetName val="Non-Standard CSA Curves"/>
      <sheetName val="MKT DATA USD"/>
      <sheetName val="USD OIS"/>
      <sheetName val="USD SWAP 3ML"/>
      <sheetName val="USD BASIS 6ML"/>
      <sheetName val="USD BASIS 1ML"/>
      <sheetName val="USD BASIS 12ML"/>
      <sheetName val="USD CSA CURVES"/>
      <sheetName val="USD FORWARDS"/>
      <sheetName val="USD DISC FACTORS"/>
      <sheetName val="USD SWAPS"/>
      <sheetName val="MKT DATA GBP"/>
      <sheetName val="GBP OIS"/>
      <sheetName val="GBP SWAP 3ML"/>
      <sheetName val="GBP BASIS 6ML"/>
      <sheetName val="GBP BASIS 1ML"/>
      <sheetName val="GBP BASIS 12ML"/>
      <sheetName val="GBP XCCY BASIS"/>
      <sheetName val="GBP CSA CURVES"/>
      <sheetName val="GBP FORWARDS"/>
      <sheetName val="GBP DISC FACTORS"/>
      <sheetName val="GBP SWAPS"/>
      <sheetName val="MKT DATA EUR"/>
      <sheetName val="EUR OIS"/>
      <sheetName val="EUR SWAP 3ML"/>
      <sheetName val="EUR SWAP 6ML"/>
      <sheetName val="EUR BASIS 1ML"/>
      <sheetName val="EUR BASIS 12ML"/>
      <sheetName val="EUR XCCY BASIS"/>
      <sheetName val="EUR CSA CURVES"/>
      <sheetName val="EUR FORWARDS"/>
      <sheetName val="EUR DISC FACTORS"/>
      <sheetName val="EUR SWAPS"/>
      <sheetName val="MKT DATA AUD"/>
      <sheetName val="AUD OIS"/>
      <sheetName val="AUD SWAP 3ML"/>
      <sheetName val="AUD SWAP 6ML"/>
      <sheetName val="AUD XCCY BASIS"/>
      <sheetName val="AUD CSA CURVES"/>
      <sheetName val="AUD FORWARDS"/>
      <sheetName val="AUD DISC FACTORS"/>
      <sheetName val="AUD SWAPS"/>
      <sheetName val="MKT DATA JPY"/>
      <sheetName val="JPY OIS JSCC"/>
      <sheetName val="JPY SWAP 6ML JSCC"/>
      <sheetName val="JPY BASIS 3ML JSCC"/>
      <sheetName val="JPY BASIS 1ML JSCC"/>
      <sheetName val="JPY FORWARDS JSCC"/>
      <sheetName val="JPY SWAPS JSCC"/>
      <sheetName val="JPY OIS LCH"/>
      <sheetName val="JPY SWAP 6ML LCH"/>
      <sheetName val="JPY BASIS 3ML LCH"/>
      <sheetName val="JPY BASIS 1ML LCH"/>
      <sheetName val="JPY XCCY BASIS LCH"/>
      <sheetName val="JPY CSA CURVES LCH"/>
      <sheetName val="JPY FORWARDS LCH"/>
      <sheetName val="JPY DISC FACTORS"/>
      <sheetName val="JPY SWAPS LCH"/>
      <sheetName val="JPY OIS TIBOR"/>
      <sheetName val="JPY BASIS 6ML TIBOR"/>
      <sheetName val="JPY BASIS 3ML TIBOR"/>
      <sheetName val="JPY BASIS 1ML TIBOR"/>
      <sheetName val="JPY FORWARDS TIBOR"/>
      <sheetName val="JPY SWAPS TIBOR"/>
    </sheetNames>
    <sheetDataSet>
      <sheetData sheetId="0">
        <row r="4">
          <cell r="C4">
            <v>43220</v>
          </cell>
          <cell r="E4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1:Q33"/>
  <sheetViews>
    <sheetView showGridLines="0" workbookViewId="0"/>
  </sheetViews>
  <sheetFormatPr defaultRowHeight="15"/>
  <cols>
    <col min="1" max="2" width="2.7109375" customWidth="1"/>
    <col min="3" max="3" width="30.7109375" customWidth="1"/>
    <col min="4" max="4" width="34.28515625" bestFit="1" customWidth="1"/>
    <col min="5" max="5" width="2.7109375" customWidth="1"/>
    <col min="6" max="6" width="10.7109375" customWidth="1"/>
    <col min="7" max="7" width="15.7109375" customWidth="1"/>
    <col min="8" max="10" width="9.28515625" customWidth="1"/>
    <col min="11" max="11" width="2.7109375" customWidth="1"/>
    <col min="12" max="12" width="10.7109375" customWidth="1"/>
    <col min="13" max="13" width="15.7109375" customWidth="1"/>
    <col min="14" max="14" width="2.7109375" customWidth="1"/>
    <col min="15" max="15" width="10.7109375" customWidth="1"/>
    <col min="16" max="16" width="15.7109375" customWidth="1"/>
    <col min="17" max="17" width="2.7109375" customWidth="1"/>
  </cols>
  <sheetData>
    <row r="1" spans="2:17">
      <c r="F1" s="14"/>
    </row>
    <row r="2" spans="2:17">
      <c r="B2" s="22"/>
      <c r="D2" s="23"/>
      <c r="G2" s="24"/>
    </row>
    <row r="3" spans="2:17">
      <c r="B3" s="15"/>
      <c r="C3" s="25"/>
      <c r="D3" s="26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8"/>
    </row>
    <row r="4" spans="2:17">
      <c r="B4" s="29"/>
      <c r="C4" s="33" t="s">
        <v>57</v>
      </c>
      <c r="D4" s="34"/>
      <c r="E4" s="31"/>
      <c r="F4" s="35" t="s">
        <v>58</v>
      </c>
      <c r="G4" s="36"/>
      <c r="H4" s="37"/>
      <c r="I4" s="37"/>
      <c r="J4" s="37"/>
      <c r="K4" s="37"/>
      <c r="L4" s="35" t="s">
        <v>59</v>
      </c>
      <c r="M4" s="35"/>
      <c r="N4" s="37" t="s">
        <v>60</v>
      </c>
      <c r="O4" s="35" t="s">
        <v>61</v>
      </c>
      <c r="P4" s="37"/>
      <c r="Q4" s="32"/>
    </row>
    <row r="5" spans="2:17">
      <c r="B5" s="29" t="s">
        <v>60</v>
      </c>
      <c r="C5" s="34"/>
      <c r="D5" s="34"/>
      <c r="E5" s="31" t="s">
        <v>60</v>
      </c>
      <c r="F5" s="38" t="s">
        <v>62</v>
      </c>
      <c r="G5" s="38" t="s">
        <v>63</v>
      </c>
      <c r="H5" s="38" t="s">
        <v>64</v>
      </c>
      <c r="I5" s="38" t="s">
        <v>65</v>
      </c>
      <c r="J5" s="38" t="s">
        <v>66</v>
      </c>
      <c r="K5" s="31"/>
      <c r="L5" s="38" t="s">
        <v>62</v>
      </c>
      <c r="M5" s="38" t="s">
        <v>63</v>
      </c>
      <c r="N5" s="31"/>
      <c r="O5" s="38" t="s">
        <v>62</v>
      </c>
      <c r="P5" s="38" t="s">
        <v>63</v>
      </c>
      <c r="Q5" s="32"/>
    </row>
    <row r="6" spans="2:17">
      <c r="B6" s="29"/>
      <c r="C6" s="40" t="s">
        <v>23</v>
      </c>
      <c r="D6" s="41" t="s">
        <v>67</v>
      </c>
      <c r="E6" s="31" t="s">
        <v>60</v>
      </c>
      <c r="F6" s="91" t="s">
        <v>68</v>
      </c>
      <c r="G6" s="101">
        <v>2.4E-2</v>
      </c>
      <c r="H6" s="102"/>
      <c r="I6" s="103"/>
      <c r="J6" s="104" t="b">
        <v>1</v>
      </c>
      <c r="K6" s="105"/>
      <c r="L6" s="67" t="s">
        <v>69</v>
      </c>
      <c r="M6" s="106">
        <v>3.7000000000000002E-3</v>
      </c>
      <c r="N6" s="105"/>
      <c r="O6" s="67" t="s">
        <v>69</v>
      </c>
      <c r="P6" s="92">
        <v>2.8883000000000002E-2</v>
      </c>
      <c r="Q6" s="32"/>
    </row>
    <row r="7" spans="2:17">
      <c r="B7" s="29"/>
      <c r="C7" s="42" t="s">
        <v>70</v>
      </c>
      <c r="D7" s="43" t="s">
        <v>58</v>
      </c>
      <c r="E7" s="31" t="s">
        <v>60</v>
      </c>
      <c r="F7" s="67" t="s">
        <v>71</v>
      </c>
      <c r="G7" s="107">
        <v>1.7096E-2</v>
      </c>
      <c r="H7" s="103"/>
      <c r="I7" s="103"/>
      <c r="J7" s="104" t="b">
        <v>1</v>
      </c>
      <c r="K7" s="105"/>
      <c r="L7" s="67" t="s">
        <v>18</v>
      </c>
      <c r="M7" s="106">
        <v>3.7125000000000001E-3</v>
      </c>
      <c r="N7" s="105"/>
      <c r="O7" s="67" t="s">
        <v>18</v>
      </c>
      <c r="P7" s="92">
        <v>2.9146000000000002E-2</v>
      </c>
      <c r="Q7" s="32"/>
    </row>
    <row r="8" spans="2:17">
      <c r="B8" s="29"/>
      <c r="C8" s="42" t="s">
        <v>73</v>
      </c>
      <c r="D8" s="43" t="s">
        <v>74</v>
      </c>
      <c r="E8" s="31" t="s">
        <v>60</v>
      </c>
      <c r="F8" s="67" t="s">
        <v>75</v>
      </c>
      <c r="G8" s="107">
        <v>1.7101999999999999E-2</v>
      </c>
      <c r="H8" s="103"/>
      <c r="I8" s="103"/>
      <c r="J8" s="104" t="b">
        <v>1</v>
      </c>
      <c r="K8" s="105"/>
      <c r="L8" s="67" t="s">
        <v>76</v>
      </c>
      <c r="M8" s="106">
        <v>3.7875000000000001E-3</v>
      </c>
      <c r="N8" s="105"/>
      <c r="O8" s="67" t="s">
        <v>76</v>
      </c>
      <c r="P8" s="92">
        <v>2.9454999999999999E-2</v>
      </c>
      <c r="Q8" s="32"/>
    </row>
    <row r="9" spans="2:17">
      <c r="B9" s="29"/>
      <c r="C9" s="45" t="s">
        <v>77</v>
      </c>
      <c r="D9" s="125">
        <f ca="1">TODAY()</f>
        <v>43487</v>
      </c>
      <c r="E9" s="31" t="s">
        <v>60</v>
      </c>
      <c r="F9" s="67" t="s">
        <v>78</v>
      </c>
      <c r="G9" s="107">
        <v>1.711E-2</v>
      </c>
      <c r="H9" s="103"/>
      <c r="I9" s="103"/>
      <c r="J9" s="104" t="b">
        <v>1</v>
      </c>
      <c r="K9" s="105"/>
      <c r="L9" s="67" t="s">
        <v>79</v>
      </c>
      <c r="M9" s="106">
        <v>4.0000000000000001E-3</v>
      </c>
      <c r="N9" s="105"/>
      <c r="O9" s="67" t="s">
        <v>79</v>
      </c>
      <c r="P9" s="92">
        <v>2.9869E-2</v>
      </c>
      <c r="Q9" s="32"/>
    </row>
    <row r="10" spans="2:17">
      <c r="B10" s="29"/>
      <c r="C10" s="34"/>
      <c r="D10" s="34"/>
      <c r="E10" s="31" t="s">
        <v>60</v>
      </c>
      <c r="F10" s="67" t="s">
        <v>80</v>
      </c>
      <c r="G10" s="107">
        <v>1.7094999999999999E-2</v>
      </c>
      <c r="H10" s="103"/>
      <c r="I10" s="103"/>
      <c r="J10" s="104" t="b">
        <v>1</v>
      </c>
      <c r="K10" s="105"/>
      <c r="L10" s="67" t="s">
        <v>81</v>
      </c>
      <c r="M10" s="106">
        <v>4.0880000000000005E-3</v>
      </c>
      <c r="N10" s="105"/>
      <c r="O10" s="67" t="s">
        <v>81</v>
      </c>
      <c r="P10" s="92">
        <v>3.0121999999999999E-2</v>
      </c>
      <c r="Q10" s="32"/>
    </row>
    <row r="11" spans="2:17">
      <c r="B11" s="29"/>
      <c r="C11" s="31"/>
      <c r="D11" s="31"/>
      <c r="E11" s="31" t="s">
        <v>60</v>
      </c>
      <c r="F11" s="67" t="s">
        <v>82</v>
      </c>
      <c r="G11" s="107">
        <v>1.7780000000000001E-2</v>
      </c>
      <c r="H11" s="103"/>
      <c r="I11" s="103"/>
      <c r="J11" s="104" t="b">
        <v>1</v>
      </c>
      <c r="K11" s="105"/>
      <c r="L11" s="67" t="s">
        <v>83</v>
      </c>
      <c r="M11" s="106">
        <v>4.2750000000000002E-3</v>
      </c>
      <c r="N11" s="105"/>
      <c r="O11" s="67" t="s">
        <v>83</v>
      </c>
      <c r="P11" s="92">
        <v>3.0339000000000001E-2</v>
      </c>
      <c r="Q11" s="32"/>
    </row>
    <row r="12" spans="2:17">
      <c r="B12" s="29"/>
      <c r="C12" s="48" t="s">
        <v>84</v>
      </c>
      <c r="D12" s="34"/>
      <c r="E12" s="31" t="s">
        <v>60</v>
      </c>
      <c r="F12" s="67" t="s">
        <v>85</v>
      </c>
      <c r="G12" s="107">
        <v>1.8324E-2</v>
      </c>
      <c r="H12" s="103"/>
      <c r="I12" s="103"/>
      <c r="J12" s="104" t="b">
        <v>1</v>
      </c>
      <c r="K12" s="105"/>
      <c r="L12" s="67" t="s">
        <v>86</v>
      </c>
      <c r="M12" s="106">
        <v>4.45E-3</v>
      </c>
      <c r="N12" s="105"/>
      <c r="O12" s="67" t="s">
        <v>86</v>
      </c>
      <c r="P12" s="92">
        <v>3.0478999999999999E-2</v>
      </c>
      <c r="Q12" s="32"/>
    </row>
    <row r="13" spans="2:17">
      <c r="B13" s="29"/>
      <c r="C13" s="30" t="s">
        <v>87</v>
      </c>
      <c r="D13" s="16" t="s">
        <v>88</v>
      </c>
      <c r="E13" s="31" t="s">
        <v>60</v>
      </c>
      <c r="F13" s="67" t="s">
        <v>89</v>
      </c>
      <c r="G13" s="107">
        <v>1.8643E-2</v>
      </c>
      <c r="H13" s="103"/>
      <c r="I13" s="103"/>
      <c r="J13" s="104" t="b">
        <v>1</v>
      </c>
      <c r="K13" s="105"/>
      <c r="L13" s="67" t="s">
        <v>90</v>
      </c>
      <c r="M13" s="106">
        <v>4.5250000000000004E-3</v>
      </c>
      <c r="N13" s="105"/>
      <c r="O13" s="67" t="s">
        <v>90</v>
      </c>
      <c r="P13" s="92">
        <v>3.0363999999999999E-2</v>
      </c>
      <c r="Q13" s="32"/>
    </row>
    <row r="14" spans="2:17">
      <c r="B14" s="29"/>
      <c r="C14" s="44" t="s">
        <v>91</v>
      </c>
      <c r="D14" s="49" t="str">
        <f ca="1">_xll.meLWOCurveMarketDataCreate(D13,C4,C6:D9,F4,F6:J31,L4,L6:M31,O4,O6:P31)</f>
        <v>USD_OIS_CURVE_MARKETDATA@3:6</v>
      </c>
      <c r="E14" s="31" t="s">
        <v>60</v>
      </c>
      <c r="F14" s="67" t="s">
        <v>92</v>
      </c>
      <c r="G14" s="107">
        <v>1.8867999999999999E-2</v>
      </c>
      <c r="H14" s="103"/>
      <c r="I14" s="103"/>
      <c r="J14" s="104" t="b">
        <v>1</v>
      </c>
      <c r="K14" s="105"/>
      <c r="L14" s="67" t="s">
        <v>93</v>
      </c>
      <c r="M14" s="106">
        <v>4.5875000000000004E-3</v>
      </c>
      <c r="N14" s="105"/>
      <c r="O14" s="67" t="s">
        <v>93</v>
      </c>
      <c r="P14" s="92">
        <v>3.0171E-2</v>
      </c>
      <c r="Q14" s="32"/>
    </row>
    <row r="15" spans="2:17">
      <c r="B15" s="29"/>
      <c r="C15" s="50"/>
      <c r="D15" s="34"/>
      <c r="E15" s="31" t="s">
        <v>60</v>
      </c>
      <c r="F15" s="67" t="s">
        <v>94</v>
      </c>
      <c r="G15" s="107">
        <v>1.9292E-2</v>
      </c>
      <c r="H15" s="103"/>
      <c r="I15" s="103"/>
      <c r="J15" s="104" t="b">
        <v>1</v>
      </c>
      <c r="K15" s="105"/>
      <c r="L15" s="67"/>
      <c r="M15" s="106"/>
      <c r="N15" s="105"/>
      <c r="O15" s="67"/>
      <c r="P15" s="92"/>
      <c r="Q15" s="32"/>
    </row>
    <row r="16" spans="2:17">
      <c r="B16" s="29"/>
      <c r="C16" s="50"/>
      <c r="D16" s="34"/>
      <c r="E16" s="31" t="s">
        <v>60</v>
      </c>
      <c r="F16" s="67" t="s">
        <v>95</v>
      </c>
      <c r="G16" s="107">
        <v>2.0283000000000002E-2</v>
      </c>
      <c r="H16" s="103"/>
      <c r="I16" s="103"/>
      <c r="J16" s="104" t="b">
        <v>1</v>
      </c>
      <c r="K16" s="105"/>
      <c r="L16" s="67"/>
      <c r="M16" s="106"/>
      <c r="N16" s="105"/>
      <c r="O16" s="67"/>
      <c r="P16" s="92"/>
      <c r="Q16" s="32"/>
    </row>
    <row r="17" spans="2:17">
      <c r="B17" s="29"/>
      <c r="C17" s="50"/>
      <c r="D17" s="34"/>
      <c r="E17" s="31" t="s">
        <v>60</v>
      </c>
      <c r="F17" s="67" t="s">
        <v>96</v>
      </c>
      <c r="G17" s="107">
        <v>2.1090000000000001E-2</v>
      </c>
      <c r="H17" s="103"/>
      <c r="I17" s="103"/>
      <c r="J17" s="104" t="b">
        <v>1</v>
      </c>
      <c r="K17" s="105"/>
      <c r="L17" s="67"/>
      <c r="M17" s="106"/>
      <c r="N17" s="105"/>
      <c r="O17" s="67"/>
      <c r="P17" s="92"/>
      <c r="Q17" s="32"/>
    </row>
    <row r="18" spans="2:17">
      <c r="B18" s="29"/>
      <c r="C18" s="50"/>
      <c r="D18" s="34"/>
      <c r="E18" s="31" t="s">
        <v>60</v>
      </c>
      <c r="F18" s="67" t="s">
        <v>97</v>
      </c>
      <c r="G18" s="107">
        <v>2.3434E-2</v>
      </c>
      <c r="H18" s="103"/>
      <c r="I18" s="103"/>
      <c r="J18" s="104" t="b">
        <v>1</v>
      </c>
      <c r="K18" s="105"/>
      <c r="L18" s="67"/>
      <c r="M18" s="106"/>
      <c r="N18" s="105"/>
      <c r="O18" s="67"/>
      <c r="P18" s="92"/>
      <c r="Q18" s="32"/>
    </row>
    <row r="19" spans="2:17">
      <c r="B19" s="29"/>
      <c r="C19" s="50"/>
      <c r="D19" s="34"/>
      <c r="E19" s="31" t="s">
        <v>60</v>
      </c>
      <c r="F19" s="67"/>
      <c r="G19" s="107"/>
      <c r="H19" s="103"/>
      <c r="I19" s="103"/>
      <c r="J19" s="104"/>
      <c r="K19" s="105"/>
      <c r="L19" s="67"/>
      <c r="M19" s="106"/>
      <c r="N19" s="105"/>
      <c r="O19" s="67"/>
      <c r="P19" s="92"/>
      <c r="Q19" s="32"/>
    </row>
    <row r="20" spans="2:17">
      <c r="B20" s="29"/>
      <c r="C20" s="51" t="s">
        <v>98</v>
      </c>
      <c r="D20" s="34"/>
      <c r="E20" s="31" t="s">
        <v>60</v>
      </c>
      <c r="F20" s="67"/>
      <c r="G20" s="107"/>
      <c r="H20" s="103"/>
      <c r="I20" s="103"/>
      <c r="J20" s="104"/>
      <c r="K20" s="105"/>
      <c r="L20" s="67"/>
      <c r="M20" s="106"/>
      <c r="N20" s="105"/>
      <c r="O20" s="67"/>
      <c r="P20" s="92"/>
      <c r="Q20" s="32"/>
    </row>
    <row r="21" spans="2:17">
      <c r="B21" s="29"/>
      <c r="C21" s="52" t="s">
        <v>87</v>
      </c>
      <c r="D21" s="53" t="s">
        <v>99</v>
      </c>
      <c r="E21" s="31" t="s">
        <v>60</v>
      </c>
      <c r="F21" s="67"/>
      <c r="G21" s="107"/>
      <c r="H21" s="103"/>
      <c r="I21" s="103"/>
      <c r="J21" s="104"/>
      <c r="K21" s="105"/>
      <c r="L21" s="67"/>
      <c r="M21" s="106"/>
      <c r="N21" s="105"/>
      <c r="O21" s="67"/>
      <c r="P21" s="92"/>
      <c r="Q21" s="32"/>
    </row>
    <row r="22" spans="2:17">
      <c r="B22" s="29"/>
      <c r="C22" s="54" t="s">
        <v>101</v>
      </c>
      <c r="D22" s="55" t="s">
        <v>102</v>
      </c>
      <c r="E22" s="31" t="s">
        <v>60</v>
      </c>
      <c r="F22" s="67"/>
      <c r="G22" s="107"/>
      <c r="H22" s="103"/>
      <c r="I22" s="103"/>
      <c r="J22" s="104"/>
      <c r="K22" s="105"/>
      <c r="L22" s="67"/>
      <c r="M22" s="106"/>
      <c r="N22" s="105"/>
      <c r="O22" s="67"/>
      <c r="P22" s="92"/>
      <c r="Q22" s="32"/>
    </row>
    <row r="23" spans="2:17">
      <c r="B23" s="29"/>
      <c r="C23" s="54" t="s">
        <v>103</v>
      </c>
      <c r="D23" s="55" t="s">
        <v>72</v>
      </c>
      <c r="E23" s="31" t="s">
        <v>60</v>
      </c>
      <c r="F23" s="67"/>
      <c r="G23" s="107"/>
      <c r="H23" s="103"/>
      <c r="I23" s="103"/>
      <c r="J23" s="104"/>
      <c r="K23" s="105"/>
      <c r="L23" s="67"/>
      <c r="M23" s="106"/>
      <c r="N23" s="105"/>
      <c r="O23" s="67"/>
      <c r="P23" s="92"/>
      <c r="Q23" s="32"/>
    </row>
    <row r="24" spans="2:17">
      <c r="B24" s="29"/>
      <c r="C24" s="56" t="s">
        <v>104</v>
      </c>
      <c r="D24" s="57"/>
      <c r="E24" s="31" t="s">
        <v>60</v>
      </c>
      <c r="F24" s="67"/>
      <c r="G24" s="107"/>
      <c r="H24" s="103"/>
      <c r="I24" s="103"/>
      <c r="J24" s="104"/>
      <c r="K24" s="105"/>
      <c r="L24" s="67"/>
      <c r="M24" s="106"/>
      <c r="N24" s="105"/>
      <c r="O24" s="67"/>
      <c r="P24" s="92"/>
      <c r="Q24" s="32"/>
    </row>
    <row r="25" spans="2:17">
      <c r="B25" s="29"/>
      <c r="C25" s="31"/>
      <c r="D25" s="31"/>
      <c r="E25" s="31" t="s">
        <v>60</v>
      </c>
      <c r="F25" s="67"/>
      <c r="G25" s="107"/>
      <c r="H25" s="103"/>
      <c r="I25" s="103"/>
      <c r="J25" s="104"/>
      <c r="K25" s="105"/>
      <c r="L25" s="67"/>
      <c r="M25" s="106"/>
      <c r="N25" s="105"/>
      <c r="O25" s="67"/>
      <c r="P25" s="92"/>
      <c r="Q25" s="32"/>
    </row>
    <row r="26" spans="2:17">
      <c r="B26" s="29"/>
      <c r="C26" s="31"/>
      <c r="D26" s="31"/>
      <c r="E26" s="31" t="s">
        <v>60</v>
      </c>
      <c r="F26" s="67"/>
      <c r="G26" s="107"/>
      <c r="H26" s="103"/>
      <c r="I26" s="103"/>
      <c r="J26" s="104"/>
      <c r="K26" s="105"/>
      <c r="L26" s="67"/>
      <c r="M26" s="106"/>
      <c r="N26" s="105"/>
      <c r="O26" s="67"/>
      <c r="P26" s="92"/>
      <c r="Q26" s="32"/>
    </row>
    <row r="27" spans="2:17">
      <c r="B27" s="29"/>
      <c r="C27" s="51" t="s">
        <v>105</v>
      </c>
      <c r="D27" s="31"/>
      <c r="E27" s="31" t="s">
        <v>60</v>
      </c>
      <c r="F27" s="67"/>
      <c r="G27" s="107"/>
      <c r="H27" s="103"/>
      <c r="I27" s="103"/>
      <c r="J27" s="104"/>
      <c r="K27" s="105"/>
      <c r="L27" s="67"/>
      <c r="M27" s="106"/>
      <c r="N27" s="105"/>
      <c r="O27" s="67"/>
      <c r="P27" s="92"/>
      <c r="Q27" s="32"/>
    </row>
    <row r="28" spans="2:17">
      <c r="B28" s="29"/>
      <c r="C28" s="59" t="s">
        <v>87</v>
      </c>
      <c r="D28" s="60" t="str">
        <f t="array" aca="1" ref="D28:D31" ca="1">_xll.meLWOCurveCalibrate(D21,D22,D14,D23,D24)</f>
        <v>USD_OIS_CURVE@4:6</v>
      </c>
      <c r="E28" s="31" t="s">
        <v>60</v>
      </c>
      <c r="F28" s="67"/>
      <c r="G28" s="107"/>
      <c r="H28" s="103"/>
      <c r="I28" s="103"/>
      <c r="J28" s="104"/>
      <c r="K28" s="105"/>
      <c r="L28" s="67"/>
      <c r="M28" s="106"/>
      <c r="N28" s="105"/>
      <c r="O28" s="67"/>
      <c r="P28" s="92"/>
      <c r="Q28" s="32"/>
    </row>
    <row r="29" spans="2:17">
      <c r="B29" s="29"/>
      <c r="C29" s="63" t="s">
        <v>106</v>
      </c>
      <c r="D29" s="61" t="str">
        <f ca="1"/>
        <v>USDYC</v>
      </c>
      <c r="E29" s="31" t="s">
        <v>60</v>
      </c>
      <c r="F29" s="67"/>
      <c r="G29" s="107"/>
      <c r="H29" s="103"/>
      <c r="I29" s="103"/>
      <c r="J29" s="104"/>
      <c r="K29" s="105"/>
      <c r="L29" s="67"/>
      <c r="M29" s="106"/>
      <c r="N29" s="105"/>
      <c r="O29" s="67"/>
      <c r="P29" s="92"/>
      <c r="Q29" s="32"/>
    </row>
    <row r="30" spans="2:17">
      <c r="B30" s="29"/>
      <c r="C30" s="63" t="s">
        <v>107</v>
      </c>
      <c r="D30" s="61" t="str">
        <f ca="1"/>
        <v>OIS:USDOIS:USDDF:USDDF_USDCSA:USDDF_NOCSA</v>
      </c>
      <c r="E30" s="31" t="s">
        <v>60</v>
      </c>
      <c r="F30" s="67"/>
      <c r="G30" s="107"/>
      <c r="H30" s="103"/>
      <c r="I30" s="103"/>
      <c r="J30" s="104"/>
      <c r="K30" s="105"/>
      <c r="L30" s="67"/>
      <c r="M30" s="106"/>
      <c r="N30" s="105"/>
      <c r="O30" s="67"/>
      <c r="P30" s="92"/>
      <c r="Q30" s="32"/>
    </row>
    <row r="31" spans="2:17">
      <c r="B31" s="29"/>
      <c r="C31" s="64" t="s">
        <v>108</v>
      </c>
      <c r="D31" s="62" t="str">
        <f ca="1"/>
        <v>0.01400 sec</v>
      </c>
      <c r="E31" s="31" t="s">
        <v>60</v>
      </c>
      <c r="F31" s="68"/>
      <c r="G31" s="93"/>
      <c r="H31" s="108"/>
      <c r="I31" s="108"/>
      <c r="J31" s="109"/>
      <c r="K31" s="105"/>
      <c r="L31" s="68"/>
      <c r="M31" s="110"/>
      <c r="N31" s="105"/>
      <c r="O31" s="68"/>
      <c r="P31" s="90"/>
      <c r="Q31" s="32"/>
    </row>
    <row r="32" spans="2:17">
      <c r="B32" s="29"/>
      <c r="C32" s="65" t="s">
        <v>109</v>
      </c>
      <c r="D32" s="66" t="b">
        <f ca="1">LEFT(D28,3)=LEFT(D21,3)</f>
        <v>1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2"/>
    </row>
    <row r="33" spans="2:17">
      <c r="B33" s="18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B2:U33"/>
  <sheetViews>
    <sheetView showGridLines="0" workbookViewId="0"/>
  </sheetViews>
  <sheetFormatPr defaultRowHeight="15"/>
  <cols>
    <col min="1" max="2" width="2.7109375" customWidth="1"/>
    <col min="3" max="3" width="30.7109375" customWidth="1"/>
    <col min="4" max="4" width="25.7109375" customWidth="1"/>
    <col min="5" max="5" width="2.7109375" customWidth="1"/>
    <col min="6" max="6" width="13.42578125" bestFit="1" customWidth="1"/>
    <col min="7" max="7" width="10.7109375" customWidth="1"/>
    <col min="8" max="8" width="2.7109375" customWidth="1"/>
    <col min="9" max="10" width="8.7109375" hidden="1" customWidth="1"/>
    <col min="11" max="11" width="2.7109375" hidden="1" customWidth="1"/>
    <col min="12" max="12" width="13.28515625" bestFit="1" customWidth="1"/>
    <col min="13" max="16" width="12.7109375" customWidth="1"/>
    <col min="17" max="17" width="2.7109375" customWidth="1"/>
    <col min="18" max="20" width="12.7109375" customWidth="1"/>
    <col min="21" max="21" width="2.7109375" customWidth="1"/>
  </cols>
  <sheetData>
    <row r="2" spans="2:21">
      <c r="M2" s="69"/>
    </row>
    <row r="3" spans="2:21">
      <c r="B3" s="70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2"/>
    </row>
    <row r="4" spans="2:21">
      <c r="B4" s="73"/>
      <c r="C4" s="35" t="s">
        <v>57</v>
      </c>
      <c r="D4" s="37"/>
      <c r="E4" s="31"/>
      <c r="F4" s="35" t="s">
        <v>114</v>
      </c>
      <c r="G4" s="36"/>
      <c r="H4" s="31"/>
      <c r="I4" s="35" t="s">
        <v>115</v>
      </c>
      <c r="J4" s="37"/>
      <c r="K4" s="31"/>
      <c r="L4" s="35" t="s">
        <v>116</v>
      </c>
      <c r="M4" s="36"/>
      <c r="N4" s="36"/>
      <c r="O4" s="36"/>
      <c r="P4" s="37"/>
      <c r="Q4" s="31"/>
      <c r="R4" s="35" t="s">
        <v>61</v>
      </c>
      <c r="S4" s="36"/>
      <c r="T4" s="31"/>
      <c r="U4" s="74"/>
    </row>
    <row r="5" spans="2:21">
      <c r="B5" s="73"/>
      <c r="C5" s="75" t="s">
        <v>23</v>
      </c>
      <c r="D5" s="76" t="s">
        <v>67</v>
      </c>
      <c r="E5" s="31" t="s">
        <v>60</v>
      </c>
      <c r="F5" s="34" t="s">
        <v>62</v>
      </c>
      <c r="G5" s="34" t="s">
        <v>63</v>
      </c>
      <c r="H5" s="50"/>
      <c r="I5" s="34" t="s">
        <v>62</v>
      </c>
      <c r="J5" s="34" t="s">
        <v>63</v>
      </c>
      <c r="K5" s="50"/>
      <c r="L5" s="77" t="s">
        <v>62</v>
      </c>
      <c r="M5" s="77" t="s">
        <v>64</v>
      </c>
      <c r="N5" s="77" t="s">
        <v>65</v>
      </c>
      <c r="O5" s="77" t="s">
        <v>63</v>
      </c>
      <c r="P5" s="77" t="s">
        <v>117</v>
      </c>
      <c r="Q5" s="50"/>
      <c r="R5" s="78" t="s">
        <v>62</v>
      </c>
      <c r="S5" s="34" t="s">
        <v>63</v>
      </c>
      <c r="T5" s="34" t="s">
        <v>66</v>
      </c>
      <c r="U5" s="74"/>
    </row>
    <row r="6" spans="2:21">
      <c r="B6" s="73"/>
      <c r="C6" s="79" t="s">
        <v>70</v>
      </c>
      <c r="D6" s="80" t="s">
        <v>44</v>
      </c>
      <c r="E6" s="31" t="s">
        <v>60</v>
      </c>
      <c r="F6" s="91" t="s">
        <v>85</v>
      </c>
      <c r="G6" s="111">
        <v>2.3580500000000001E-2</v>
      </c>
      <c r="H6" s="58"/>
      <c r="I6" s="112"/>
      <c r="J6" s="113"/>
      <c r="K6" s="58"/>
      <c r="L6" s="114" t="s">
        <v>129</v>
      </c>
      <c r="M6" s="115">
        <v>43544</v>
      </c>
      <c r="N6" s="115">
        <v>43635</v>
      </c>
      <c r="O6" s="116">
        <v>97.63</v>
      </c>
      <c r="P6" s="81">
        <v>8.0000000000000002E-3</v>
      </c>
      <c r="Q6" s="58"/>
      <c r="R6" s="112" t="s">
        <v>110</v>
      </c>
      <c r="S6" s="117">
        <v>2.8429000000000003E-2</v>
      </c>
      <c r="T6" s="82" t="b">
        <v>1</v>
      </c>
      <c r="U6" s="74"/>
    </row>
    <row r="7" spans="2:21">
      <c r="B7" s="73"/>
      <c r="C7" s="79" t="s">
        <v>73</v>
      </c>
      <c r="D7" s="80" t="s">
        <v>113</v>
      </c>
      <c r="E7" s="31" t="s">
        <v>60</v>
      </c>
      <c r="F7" s="67"/>
      <c r="G7" s="106"/>
      <c r="H7" s="58"/>
      <c r="I7" s="114"/>
      <c r="J7" s="118"/>
      <c r="K7" s="58"/>
      <c r="L7" s="114" t="s">
        <v>130</v>
      </c>
      <c r="M7" s="115">
        <v>43635</v>
      </c>
      <c r="N7" s="115">
        <v>43726</v>
      </c>
      <c r="O7" s="116">
        <v>97.51</v>
      </c>
      <c r="P7" s="81">
        <v>8.0000000000000002E-3</v>
      </c>
      <c r="Q7" s="58"/>
      <c r="R7" s="114" t="s">
        <v>69</v>
      </c>
      <c r="S7" s="119">
        <v>2.8883000000000002E-2</v>
      </c>
      <c r="T7" s="83" t="b">
        <v>1</v>
      </c>
      <c r="U7" s="74"/>
    </row>
    <row r="8" spans="2:21">
      <c r="B8" s="73"/>
      <c r="C8" s="79" t="s">
        <v>77</v>
      </c>
      <c r="D8" s="84">
        <f ca="1">TODAY()</f>
        <v>43487</v>
      </c>
      <c r="E8" s="31" t="s">
        <v>60</v>
      </c>
      <c r="F8" s="67"/>
      <c r="G8" s="106"/>
      <c r="H8" s="58"/>
      <c r="I8" s="114"/>
      <c r="J8" s="118"/>
      <c r="K8" s="58"/>
      <c r="L8" s="114" t="s">
        <v>131</v>
      </c>
      <c r="M8" s="115">
        <v>43726</v>
      </c>
      <c r="N8" s="115">
        <v>43817</v>
      </c>
      <c r="O8" s="116">
        <v>97.355000000000004</v>
      </c>
      <c r="P8" s="81">
        <v>8.0000000000000002E-3</v>
      </c>
      <c r="Q8" s="58"/>
      <c r="R8" s="114" t="s">
        <v>18</v>
      </c>
      <c r="S8" s="119">
        <v>2.9146000000000002E-2</v>
      </c>
      <c r="T8" s="83" t="b">
        <v>1</v>
      </c>
      <c r="U8" s="74"/>
    </row>
    <row r="9" spans="2:21">
      <c r="B9" s="73"/>
      <c r="C9" s="39"/>
      <c r="D9" s="85"/>
      <c r="E9" s="31" t="s">
        <v>60</v>
      </c>
      <c r="F9" s="67"/>
      <c r="G9" s="106"/>
      <c r="H9" s="58"/>
      <c r="I9" s="114"/>
      <c r="J9" s="118"/>
      <c r="K9" s="58"/>
      <c r="L9" s="114" t="s">
        <v>132</v>
      </c>
      <c r="M9" s="115">
        <v>43817</v>
      </c>
      <c r="N9" s="115">
        <v>43908</v>
      </c>
      <c r="O9" s="116">
        <v>97.245000000000005</v>
      </c>
      <c r="P9" s="81">
        <v>8.0000000000000002E-3</v>
      </c>
      <c r="Q9" s="58"/>
      <c r="R9" s="114" t="s">
        <v>76</v>
      </c>
      <c r="S9" s="119">
        <v>2.9454999999999999E-2</v>
      </c>
      <c r="T9" s="83" t="b">
        <v>1</v>
      </c>
      <c r="U9" s="74"/>
    </row>
    <row r="10" spans="2:21">
      <c r="B10" s="73"/>
      <c r="C10" s="44"/>
      <c r="D10" s="86"/>
      <c r="E10" s="31" t="s">
        <v>60</v>
      </c>
      <c r="F10" s="68"/>
      <c r="G10" s="90"/>
      <c r="H10" s="58"/>
      <c r="I10" s="114"/>
      <c r="J10" s="118"/>
      <c r="K10" s="58"/>
      <c r="L10" s="114" t="s">
        <v>133</v>
      </c>
      <c r="M10" s="115">
        <v>43908</v>
      </c>
      <c r="N10" s="115">
        <v>43999</v>
      </c>
      <c r="O10" s="116">
        <v>97.15</v>
      </c>
      <c r="P10" s="81">
        <v>8.0000000000000002E-3</v>
      </c>
      <c r="Q10" s="58"/>
      <c r="R10" s="114" t="s">
        <v>118</v>
      </c>
      <c r="S10" s="119">
        <v>2.9595000000000003E-2</v>
      </c>
      <c r="T10" s="83" t="b">
        <v>1</v>
      </c>
      <c r="U10" s="74"/>
    </row>
    <row r="11" spans="2:21">
      <c r="B11" s="73"/>
      <c r="C11" s="31"/>
      <c r="D11" s="31"/>
      <c r="E11" s="31" t="s">
        <v>60</v>
      </c>
      <c r="F11" s="58"/>
      <c r="G11" s="58"/>
      <c r="H11" s="58"/>
      <c r="I11" s="114"/>
      <c r="J11" s="118"/>
      <c r="K11" s="58"/>
      <c r="L11" s="114" t="s">
        <v>134</v>
      </c>
      <c r="M11" s="115">
        <v>43999</v>
      </c>
      <c r="N11" s="115">
        <v>44090</v>
      </c>
      <c r="O11" s="116">
        <v>97.09</v>
      </c>
      <c r="P11" s="81">
        <v>8.0000000000000002E-3</v>
      </c>
      <c r="Q11" s="58"/>
      <c r="R11" s="114" t="s">
        <v>119</v>
      </c>
      <c r="S11" s="119">
        <v>2.9731999999999998E-2</v>
      </c>
      <c r="T11" s="83" t="b">
        <v>1</v>
      </c>
      <c r="U11" s="74"/>
    </row>
    <row r="12" spans="2:21">
      <c r="B12" s="73"/>
      <c r="C12" s="48" t="s">
        <v>84</v>
      </c>
      <c r="D12" s="34"/>
      <c r="E12" s="31" t="s">
        <v>60</v>
      </c>
      <c r="F12" s="58"/>
      <c r="G12" s="58"/>
      <c r="H12" s="58"/>
      <c r="I12" s="114"/>
      <c r="J12" s="118"/>
      <c r="K12" s="58"/>
      <c r="L12" s="114" t="s">
        <v>135</v>
      </c>
      <c r="M12" s="115">
        <v>44090</v>
      </c>
      <c r="N12" s="115">
        <v>44181</v>
      </c>
      <c r="O12" s="116">
        <v>97.03</v>
      </c>
      <c r="P12" s="81">
        <v>8.0000000000000002E-3</v>
      </c>
      <c r="Q12" s="58"/>
      <c r="R12" s="114" t="s">
        <v>79</v>
      </c>
      <c r="S12" s="119">
        <v>2.9869E-2</v>
      </c>
      <c r="T12" s="83" t="b">
        <v>1</v>
      </c>
      <c r="U12" s="74"/>
    </row>
    <row r="13" spans="2:21">
      <c r="B13" s="73"/>
      <c r="C13" s="30" t="s">
        <v>87</v>
      </c>
      <c r="D13" s="16" t="s">
        <v>120</v>
      </c>
      <c r="E13" s="31" t="s">
        <v>60</v>
      </c>
      <c r="F13" s="58"/>
      <c r="G13" s="58"/>
      <c r="H13" s="58"/>
      <c r="I13" s="114"/>
      <c r="J13" s="118"/>
      <c r="K13" s="58"/>
      <c r="L13" s="114" t="s">
        <v>136</v>
      </c>
      <c r="M13" s="115">
        <v>44181</v>
      </c>
      <c r="N13" s="115">
        <v>44272</v>
      </c>
      <c r="O13" s="116">
        <v>97.01</v>
      </c>
      <c r="P13" s="81">
        <v>8.0000000000000002E-3</v>
      </c>
      <c r="Q13" s="58"/>
      <c r="R13" s="114" t="s">
        <v>81</v>
      </c>
      <c r="S13" s="119">
        <v>3.0121999999999999E-2</v>
      </c>
      <c r="T13" s="83" t="b">
        <v>1</v>
      </c>
      <c r="U13" s="74"/>
    </row>
    <row r="14" spans="2:21">
      <c r="B14" s="73"/>
      <c r="C14" s="44" t="s">
        <v>91</v>
      </c>
      <c r="D14" s="49" t="str">
        <f ca="1">_xll.meLWOCurveMarketDataCreate(D13,C4,C5:D10,F4,F6:G10,I4,I6:J31,L4,L6:P31,R4,R6:T31)</f>
        <v>USD_SWAP_3M_CURVE_MARKETDATA@5:6</v>
      </c>
      <c r="E14" s="31" t="s">
        <v>60</v>
      </c>
      <c r="F14" s="58"/>
      <c r="G14" s="58"/>
      <c r="H14" s="58"/>
      <c r="I14" s="114"/>
      <c r="J14" s="118"/>
      <c r="K14" s="58"/>
      <c r="L14" s="114"/>
      <c r="M14" s="115"/>
      <c r="N14" s="115"/>
      <c r="O14" s="116"/>
      <c r="P14" s="81"/>
      <c r="Q14" s="58"/>
      <c r="R14" s="114" t="s">
        <v>83</v>
      </c>
      <c r="S14" s="119">
        <v>3.0339000000000001E-2</v>
      </c>
      <c r="T14" s="83" t="b">
        <v>1</v>
      </c>
      <c r="U14" s="74"/>
    </row>
    <row r="15" spans="2:21">
      <c r="B15" s="73"/>
      <c r="C15" s="31"/>
      <c r="D15" s="31"/>
      <c r="E15" s="31" t="s">
        <v>60</v>
      </c>
      <c r="F15" s="58"/>
      <c r="G15" s="58"/>
      <c r="H15" s="58"/>
      <c r="I15" s="114"/>
      <c r="J15" s="118"/>
      <c r="K15" s="58"/>
      <c r="L15" s="114"/>
      <c r="M15" s="115"/>
      <c r="N15" s="115"/>
      <c r="O15" s="116"/>
      <c r="P15" s="81"/>
      <c r="Q15" s="58"/>
      <c r="R15" s="114" t="s">
        <v>86</v>
      </c>
      <c r="S15" s="119">
        <v>3.0478999999999999E-2</v>
      </c>
      <c r="T15" s="83" t="b">
        <v>1</v>
      </c>
      <c r="U15" s="74"/>
    </row>
    <row r="16" spans="2:21">
      <c r="B16" s="73"/>
      <c r="C16" s="31"/>
      <c r="D16" s="31"/>
      <c r="E16" s="31" t="s">
        <v>60</v>
      </c>
      <c r="F16" s="58"/>
      <c r="G16" s="58"/>
      <c r="H16" s="58"/>
      <c r="I16" s="114"/>
      <c r="J16" s="118"/>
      <c r="K16" s="58"/>
      <c r="L16" s="114"/>
      <c r="M16" s="115"/>
      <c r="N16" s="115"/>
      <c r="O16" s="116"/>
      <c r="P16" s="81"/>
      <c r="Q16" s="58"/>
      <c r="R16" s="114" t="s">
        <v>90</v>
      </c>
      <c r="S16" s="119">
        <v>3.0363999999999999E-2</v>
      </c>
      <c r="T16" s="83" t="b">
        <v>1</v>
      </c>
      <c r="U16" s="74"/>
    </row>
    <row r="17" spans="2:21">
      <c r="B17" s="73"/>
      <c r="C17" s="31"/>
      <c r="D17" s="31"/>
      <c r="E17" s="31" t="s">
        <v>60</v>
      </c>
      <c r="F17" s="58"/>
      <c r="G17" s="58"/>
      <c r="H17" s="58"/>
      <c r="I17" s="114"/>
      <c r="J17" s="118"/>
      <c r="K17" s="58"/>
      <c r="L17" s="114"/>
      <c r="M17" s="115"/>
      <c r="N17" s="115"/>
      <c r="O17" s="116"/>
      <c r="P17" s="81"/>
      <c r="Q17" s="58"/>
      <c r="R17" s="114" t="s">
        <v>93</v>
      </c>
      <c r="S17" s="119">
        <v>3.0171E-2</v>
      </c>
      <c r="T17" s="83" t="b">
        <v>1</v>
      </c>
      <c r="U17" s="74"/>
    </row>
    <row r="18" spans="2:21">
      <c r="B18" s="73"/>
      <c r="C18" s="31"/>
      <c r="D18" s="31"/>
      <c r="E18" s="31"/>
      <c r="F18" s="58"/>
      <c r="G18" s="58"/>
      <c r="H18" s="58"/>
      <c r="I18" s="114"/>
      <c r="J18" s="118"/>
      <c r="K18" s="58"/>
      <c r="L18" s="114"/>
      <c r="M18" s="115"/>
      <c r="N18" s="115"/>
      <c r="O18" s="116"/>
      <c r="P18" s="81"/>
      <c r="Q18" s="58"/>
      <c r="R18" s="114" t="s">
        <v>121</v>
      </c>
      <c r="S18" s="119">
        <v>2.9789E-2</v>
      </c>
      <c r="T18" s="83" t="b">
        <v>1</v>
      </c>
      <c r="U18" s="74"/>
    </row>
    <row r="19" spans="2:21">
      <c r="B19" s="73"/>
      <c r="C19" s="31"/>
      <c r="D19" s="31"/>
      <c r="E19" s="31" t="s">
        <v>60</v>
      </c>
      <c r="F19" s="58"/>
      <c r="G19" s="58"/>
      <c r="H19" s="58"/>
      <c r="I19" s="114"/>
      <c r="J19" s="118"/>
      <c r="K19" s="58"/>
      <c r="L19" s="114"/>
      <c r="M19" s="115"/>
      <c r="N19" s="115"/>
      <c r="O19" s="116"/>
      <c r="P19" s="81"/>
      <c r="Q19" s="58"/>
      <c r="R19" s="114" t="s">
        <v>122</v>
      </c>
      <c r="S19" s="119">
        <v>2.9290000000000004E-2</v>
      </c>
      <c r="T19" s="83" t="b">
        <v>1</v>
      </c>
      <c r="U19" s="74"/>
    </row>
    <row r="20" spans="2:21">
      <c r="B20" s="73"/>
      <c r="C20" s="51" t="s">
        <v>98</v>
      </c>
      <c r="D20" s="87"/>
      <c r="E20" s="31" t="s">
        <v>60</v>
      </c>
      <c r="F20" s="58"/>
      <c r="G20" s="58"/>
      <c r="H20" s="58"/>
      <c r="I20" s="114"/>
      <c r="J20" s="118"/>
      <c r="K20" s="58"/>
      <c r="L20" s="114"/>
      <c r="M20" s="115"/>
      <c r="N20" s="115"/>
      <c r="O20" s="116"/>
      <c r="P20" s="81"/>
      <c r="Q20" s="58"/>
      <c r="R20" s="114"/>
      <c r="S20" s="119"/>
      <c r="T20" s="83"/>
      <c r="U20" s="74"/>
    </row>
    <row r="21" spans="2:21">
      <c r="B21" s="73"/>
      <c r="C21" s="52" t="s">
        <v>87</v>
      </c>
      <c r="D21" s="53" t="s">
        <v>123</v>
      </c>
      <c r="E21" s="31" t="s">
        <v>60</v>
      </c>
      <c r="F21" s="58"/>
      <c r="G21" s="58"/>
      <c r="H21" s="58"/>
      <c r="I21" s="114"/>
      <c r="J21" s="118"/>
      <c r="K21" s="58"/>
      <c r="L21" s="114"/>
      <c r="M21" s="115"/>
      <c r="N21" s="115"/>
      <c r="O21" s="116"/>
      <c r="P21" s="81"/>
      <c r="Q21" s="58"/>
      <c r="R21" s="114"/>
      <c r="S21" s="119"/>
      <c r="T21" s="83"/>
      <c r="U21" s="74"/>
    </row>
    <row r="22" spans="2:21">
      <c r="B22" s="73"/>
      <c r="C22" s="54" t="s">
        <v>101</v>
      </c>
      <c r="D22" s="63" t="s">
        <v>124</v>
      </c>
      <c r="E22" s="31" t="s">
        <v>60</v>
      </c>
      <c r="F22" s="58"/>
      <c r="G22" s="58"/>
      <c r="H22" s="58"/>
      <c r="I22" s="114"/>
      <c r="J22" s="118"/>
      <c r="K22" s="58"/>
      <c r="L22" s="114"/>
      <c r="M22" s="115"/>
      <c r="N22" s="115"/>
      <c r="O22" s="116"/>
      <c r="P22" s="81"/>
      <c r="Q22" s="58"/>
      <c r="R22" s="114"/>
      <c r="S22" s="119"/>
      <c r="T22" s="83"/>
      <c r="U22" s="74"/>
    </row>
    <row r="23" spans="2:21">
      <c r="B23" s="73"/>
      <c r="C23" s="54" t="s">
        <v>103</v>
      </c>
      <c r="D23" s="55" t="s">
        <v>72</v>
      </c>
      <c r="E23" s="31" t="s">
        <v>60</v>
      </c>
      <c r="F23" s="58"/>
      <c r="G23" s="58"/>
      <c r="H23" s="58"/>
      <c r="I23" s="114"/>
      <c r="J23" s="118"/>
      <c r="K23" s="58"/>
      <c r="L23" s="114"/>
      <c r="M23" s="115"/>
      <c r="N23" s="115"/>
      <c r="O23" s="116"/>
      <c r="P23" s="81"/>
      <c r="Q23" s="58"/>
      <c r="R23" s="114"/>
      <c r="S23" s="119"/>
      <c r="T23" s="83"/>
      <c r="U23" s="74"/>
    </row>
    <row r="24" spans="2:21">
      <c r="B24" s="73"/>
      <c r="C24" s="56" t="s">
        <v>104</v>
      </c>
      <c r="D24" s="57"/>
      <c r="E24" s="31" t="s">
        <v>60</v>
      </c>
      <c r="F24" s="58"/>
      <c r="G24" s="58"/>
      <c r="H24" s="58"/>
      <c r="I24" s="114"/>
      <c r="J24" s="118"/>
      <c r="K24" s="58"/>
      <c r="L24" s="114"/>
      <c r="M24" s="115"/>
      <c r="N24" s="115"/>
      <c r="O24" s="116"/>
      <c r="P24" s="81"/>
      <c r="Q24" s="58"/>
      <c r="R24" s="114"/>
      <c r="S24" s="119"/>
      <c r="T24" s="83"/>
      <c r="U24" s="74"/>
    </row>
    <row r="25" spans="2:21">
      <c r="B25" s="73"/>
      <c r="C25" s="31"/>
      <c r="D25" s="31"/>
      <c r="E25" s="31" t="s">
        <v>60</v>
      </c>
      <c r="F25" s="58"/>
      <c r="G25" s="58"/>
      <c r="H25" s="58"/>
      <c r="I25" s="114"/>
      <c r="J25" s="118"/>
      <c r="K25" s="58"/>
      <c r="L25" s="114"/>
      <c r="M25" s="115"/>
      <c r="N25" s="115"/>
      <c r="O25" s="116"/>
      <c r="P25" s="81"/>
      <c r="Q25" s="58"/>
      <c r="R25" s="114"/>
      <c r="S25" s="119"/>
      <c r="T25" s="83"/>
      <c r="U25" s="74"/>
    </row>
    <row r="26" spans="2:21">
      <c r="B26" s="73"/>
      <c r="C26" s="31"/>
      <c r="D26" s="31"/>
      <c r="E26" s="31" t="s">
        <v>60</v>
      </c>
      <c r="F26" s="58"/>
      <c r="G26" s="58"/>
      <c r="H26" s="58"/>
      <c r="I26" s="114"/>
      <c r="J26" s="118"/>
      <c r="K26" s="58"/>
      <c r="L26" s="114"/>
      <c r="M26" s="115"/>
      <c r="N26" s="115"/>
      <c r="O26" s="116"/>
      <c r="P26" s="81"/>
      <c r="Q26" s="58"/>
      <c r="R26" s="114"/>
      <c r="S26" s="119"/>
      <c r="T26" s="83"/>
      <c r="U26" s="74"/>
    </row>
    <row r="27" spans="2:21">
      <c r="B27" s="73"/>
      <c r="C27" s="51" t="s">
        <v>105</v>
      </c>
      <c r="D27" s="31"/>
      <c r="E27" s="31" t="s">
        <v>60</v>
      </c>
      <c r="F27" s="58"/>
      <c r="G27" s="58"/>
      <c r="H27" s="58"/>
      <c r="I27" s="114"/>
      <c r="J27" s="118"/>
      <c r="K27" s="58"/>
      <c r="L27" s="114"/>
      <c r="M27" s="115"/>
      <c r="N27" s="115"/>
      <c r="O27" s="116"/>
      <c r="P27" s="81"/>
      <c r="Q27" s="58"/>
      <c r="R27" s="114"/>
      <c r="S27" s="119"/>
      <c r="T27" s="83"/>
      <c r="U27" s="74"/>
    </row>
    <row r="28" spans="2:21">
      <c r="B28" s="73"/>
      <c r="C28" s="59" t="s">
        <v>87</v>
      </c>
      <c r="D28" s="60" t="str">
        <f t="array" aca="1" ref="D28:D31" ca="1">IF(isUSDOISLoaded,_xll.meLWOCurveCalibrate(D21,D22,D14,D23),"#WAIT")</f>
        <v>USD_SWAP_3M_CURVE@6:6</v>
      </c>
      <c r="E28" s="31" t="s">
        <v>60</v>
      </c>
      <c r="F28" s="58"/>
      <c r="G28" s="58"/>
      <c r="H28" s="58"/>
      <c r="I28" s="114"/>
      <c r="J28" s="118"/>
      <c r="K28" s="58"/>
      <c r="L28" s="114"/>
      <c r="M28" s="115"/>
      <c r="N28" s="115"/>
      <c r="O28" s="116"/>
      <c r="P28" s="81"/>
      <c r="Q28" s="58"/>
      <c r="R28" s="114"/>
      <c r="S28" s="119"/>
      <c r="T28" s="83"/>
      <c r="U28" s="74"/>
    </row>
    <row r="29" spans="2:21">
      <c r="B29" s="73"/>
      <c r="C29" s="63" t="s">
        <v>106</v>
      </c>
      <c r="D29" s="61" t="str">
        <f ca="1"/>
        <v>USDYC</v>
      </c>
      <c r="E29" s="31" t="s">
        <v>60</v>
      </c>
      <c r="F29" s="58"/>
      <c r="G29" s="58"/>
      <c r="H29" s="58"/>
      <c r="I29" s="114"/>
      <c r="J29" s="118"/>
      <c r="K29" s="58"/>
      <c r="L29" s="114"/>
      <c r="M29" s="115"/>
      <c r="N29" s="115"/>
      <c r="O29" s="116"/>
      <c r="P29" s="81"/>
      <c r="Q29" s="58"/>
      <c r="R29" s="114"/>
      <c r="S29" s="119"/>
      <c r="T29" s="83"/>
      <c r="U29" s="74"/>
    </row>
    <row r="30" spans="2:21">
      <c r="B30" s="73"/>
      <c r="C30" s="63" t="s">
        <v>107</v>
      </c>
      <c r="D30" s="61" t="str">
        <f ca="1"/>
        <v>STD:USD3ML</v>
      </c>
      <c r="E30" s="31" t="s">
        <v>60</v>
      </c>
      <c r="F30" s="58"/>
      <c r="G30" s="58"/>
      <c r="H30" s="58"/>
      <c r="I30" s="114"/>
      <c r="J30" s="118"/>
      <c r="K30" s="58"/>
      <c r="L30" s="114"/>
      <c r="M30" s="115"/>
      <c r="N30" s="115"/>
      <c r="O30" s="116"/>
      <c r="P30" s="81"/>
      <c r="Q30" s="58"/>
      <c r="R30" s="114"/>
      <c r="S30" s="119"/>
      <c r="T30" s="83"/>
      <c r="U30" s="74"/>
    </row>
    <row r="31" spans="2:21">
      <c r="B31" s="73"/>
      <c r="C31" s="64" t="s">
        <v>108</v>
      </c>
      <c r="D31" s="62" t="str">
        <f ca="1"/>
        <v>0.00900 sec</v>
      </c>
      <c r="E31" s="31" t="s">
        <v>60</v>
      </c>
      <c r="F31" s="58"/>
      <c r="G31" s="58"/>
      <c r="H31" s="58"/>
      <c r="I31" s="120"/>
      <c r="J31" s="121"/>
      <c r="K31" s="58"/>
      <c r="L31" s="120"/>
      <c r="M31" s="122"/>
      <c r="N31" s="122"/>
      <c r="O31" s="123"/>
      <c r="P31" s="88"/>
      <c r="Q31" s="58"/>
      <c r="R31" s="120"/>
      <c r="S31" s="124"/>
      <c r="T31" s="89"/>
      <c r="U31" s="74"/>
    </row>
    <row r="32" spans="2:21">
      <c r="B32" s="73"/>
      <c r="C32" s="65" t="s">
        <v>109</v>
      </c>
      <c r="D32" s="66" t="b">
        <f ca="1">LEFT(D28,3)=LEFT(D21,3)</f>
        <v>1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74"/>
    </row>
    <row r="33" spans="2:21">
      <c r="B33" s="94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B3:G39"/>
  <sheetViews>
    <sheetView showGridLines="0" tabSelected="1" workbookViewId="0"/>
  </sheetViews>
  <sheetFormatPr defaultRowHeight="15"/>
  <cols>
    <col min="1" max="1" width="9.140625" style="139"/>
    <col min="2" max="2" width="30.7109375" style="139" customWidth="1"/>
    <col min="3" max="4" width="20.7109375" style="139" customWidth="1"/>
    <col min="5" max="5" width="9.140625" style="139" customWidth="1"/>
    <col min="6" max="6" width="20.140625" style="139" customWidth="1"/>
    <col min="7" max="7" width="29.28515625" style="139" bestFit="1" customWidth="1"/>
    <col min="8" max="10" width="9.140625" style="139" customWidth="1"/>
    <col min="11" max="16384" width="9.140625" style="139"/>
  </cols>
  <sheetData>
    <row r="3" spans="2:7">
      <c r="B3" s="128" t="s">
        <v>138</v>
      </c>
      <c r="F3" s="140" t="s">
        <v>143</v>
      </c>
      <c r="G3" s="131"/>
    </row>
    <row r="4" spans="2:7">
      <c r="B4" s="141" t="s">
        <v>6</v>
      </c>
      <c r="C4" s="6" t="s">
        <v>7</v>
      </c>
      <c r="D4" s="6" t="s">
        <v>8</v>
      </c>
      <c r="F4" s="142" t="s">
        <v>152</v>
      </c>
      <c r="G4" s="137" t="str">
        <f ca="1">_xll.meLWOVolatilityCreate(G5,F8:G14)</f>
        <v>USD_5Y_CAP_VOL@2:66</v>
      </c>
    </row>
    <row r="5" spans="2:7">
      <c r="B5" s="143" t="s">
        <v>9</v>
      </c>
      <c r="C5" s="7" t="s">
        <v>111</v>
      </c>
      <c r="D5" s="7" t="s">
        <v>111</v>
      </c>
      <c r="F5" s="144" t="s">
        <v>41</v>
      </c>
      <c r="G5" s="138" t="s">
        <v>149</v>
      </c>
    </row>
    <row r="6" spans="2:7">
      <c r="B6" s="143" t="s">
        <v>10</v>
      </c>
      <c r="C6" s="8">
        <v>1000000</v>
      </c>
      <c r="D6" s="8">
        <v>1000000</v>
      </c>
    </row>
    <row r="7" spans="2:7">
      <c r="B7" s="143" t="s">
        <v>11</v>
      </c>
      <c r="C7" s="8">
        <v>100000</v>
      </c>
      <c r="D7" s="8">
        <v>100000</v>
      </c>
      <c r="F7" s="140" t="s">
        <v>142</v>
      </c>
      <c r="G7" s="131"/>
    </row>
    <row r="8" spans="2:7">
      <c r="B8" s="143" t="s">
        <v>12</v>
      </c>
      <c r="C8" s="8">
        <v>1</v>
      </c>
      <c r="D8" s="8">
        <v>2</v>
      </c>
      <c r="F8" s="145" t="s">
        <v>43</v>
      </c>
      <c r="G8" s="4" t="s">
        <v>144</v>
      </c>
    </row>
    <row r="9" spans="2:7">
      <c r="B9" s="143" t="s">
        <v>13</v>
      </c>
      <c r="C9" s="97" t="s">
        <v>14</v>
      </c>
      <c r="D9" s="97" t="s">
        <v>15</v>
      </c>
      <c r="F9" s="146" t="s">
        <v>77</v>
      </c>
      <c r="G9" s="132">
        <f ca="1">TODAY()</f>
        <v>43487</v>
      </c>
    </row>
    <row r="10" spans="2:7">
      <c r="B10" s="143" t="s">
        <v>16</v>
      </c>
      <c r="C10" s="98">
        <f ca="1">TODAY()</f>
        <v>43487</v>
      </c>
      <c r="D10" s="98">
        <f ca="1">TODAY()</f>
        <v>43487</v>
      </c>
      <c r="F10" s="146" t="s">
        <v>23</v>
      </c>
      <c r="G10" s="133" t="s">
        <v>67</v>
      </c>
    </row>
    <row r="11" spans="2:7">
      <c r="B11" s="143" t="s">
        <v>17</v>
      </c>
      <c r="C11" s="98" t="s">
        <v>18</v>
      </c>
      <c r="D11" s="98" t="s">
        <v>18</v>
      </c>
      <c r="F11" s="146" t="s">
        <v>145</v>
      </c>
      <c r="G11" s="133" t="s">
        <v>146</v>
      </c>
    </row>
    <row r="12" spans="2:7">
      <c r="B12" s="143" t="s">
        <v>19</v>
      </c>
      <c r="C12" s="9" t="s">
        <v>20</v>
      </c>
      <c r="D12" s="9" t="s">
        <v>125</v>
      </c>
      <c r="F12" s="146" t="s">
        <v>117</v>
      </c>
      <c r="G12" s="134">
        <v>0.28000000000000003</v>
      </c>
    </row>
    <row r="13" spans="2:7">
      <c r="B13" s="143" t="s">
        <v>21</v>
      </c>
      <c r="C13" s="8"/>
      <c r="D13" s="8" t="s">
        <v>126</v>
      </c>
      <c r="F13" s="146" t="s">
        <v>150</v>
      </c>
      <c r="G13" s="135" t="s">
        <v>147</v>
      </c>
    </row>
    <row r="14" spans="2:7">
      <c r="B14" s="143" t="s">
        <v>22</v>
      </c>
      <c r="C14" s="10" t="s">
        <v>127</v>
      </c>
      <c r="D14" s="10" t="s">
        <v>127</v>
      </c>
      <c r="F14" s="147" t="s">
        <v>148</v>
      </c>
      <c r="G14" s="136">
        <v>0</v>
      </c>
    </row>
    <row r="15" spans="2:7">
      <c r="B15" s="143" t="s">
        <v>23</v>
      </c>
      <c r="C15" s="10" t="s">
        <v>67</v>
      </c>
      <c r="D15" s="10" t="s">
        <v>67</v>
      </c>
    </row>
    <row r="16" spans="2:7">
      <c r="B16" s="11" t="s">
        <v>24</v>
      </c>
      <c r="C16" s="9" t="s">
        <v>112</v>
      </c>
      <c r="D16" s="9" t="s">
        <v>112</v>
      </c>
    </row>
    <row r="17" spans="2:7">
      <c r="B17" s="143" t="s">
        <v>25</v>
      </c>
      <c r="C17" s="12">
        <v>1</v>
      </c>
      <c r="D17" s="12">
        <v>1</v>
      </c>
    </row>
    <row r="18" spans="2:7">
      <c r="B18" s="143" t="s">
        <v>26</v>
      </c>
      <c r="C18" s="99">
        <v>0.01</v>
      </c>
      <c r="D18" s="99"/>
    </row>
    <row r="19" spans="2:7">
      <c r="B19" s="143" t="s">
        <v>27</v>
      </c>
      <c r="C19" s="9"/>
      <c r="D19" s="9" t="s">
        <v>28</v>
      </c>
    </row>
    <row r="20" spans="2:7">
      <c r="B20" s="143" t="s">
        <v>29</v>
      </c>
      <c r="C20" s="9"/>
      <c r="D20" s="9" t="s">
        <v>28</v>
      </c>
    </row>
    <row r="21" spans="2:7">
      <c r="B21" s="143" t="s">
        <v>30</v>
      </c>
      <c r="C21" s="10"/>
      <c r="D21" s="13"/>
    </row>
    <row r="22" spans="2:7">
      <c r="B22" s="143" t="s">
        <v>31</v>
      </c>
      <c r="C22" s="10"/>
      <c r="D22" s="10"/>
    </row>
    <row r="23" spans="2:7">
      <c r="B23" s="143" t="s">
        <v>32</v>
      </c>
      <c r="C23" s="100"/>
      <c r="D23" s="100">
        <v>0</v>
      </c>
      <c r="F23" s="140" t="s">
        <v>139</v>
      </c>
    </row>
    <row r="24" spans="2:7">
      <c r="B24" s="143" t="s">
        <v>33</v>
      </c>
      <c r="C24" s="17" t="s">
        <v>34</v>
      </c>
      <c r="D24" s="17" t="s">
        <v>35</v>
      </c>
      <c r="F24" s="142" t="s">
        <v>3</v>
      </c>
      <c r="G24" s="137" t="str">
        <f ca="1">_xll.meLWOSwapCreate(G$25,B$4:D$37,TRUE)</f>
        <v>USD_LIBOR_IN_ARREARS@1:66</v>
      </c>
    </row>
    <row r="25" spans="2:7">
      <c r="B25" s="143" t="s">
        <v>36</v>
      </c>
      <c r="C25" s="19"/>
      <c r="D25" s="9" t="s">
        <v>37</v>
      </c>
      <c r="F25" s="144" t="s">
        <v>4</v>
      </c>
      <c r="G25" s="138" t="s">
        <v>128</v>
      </c>
    </row>
    <row r="26" spans="2:7">
      <c r="B26" s="143" t="s">
        <v>38</v>
      </c>
      <c r="C26" s="19"/>
      <c r="D26" s="9" t="s">
        <v>100</v>
      </c>
    </row>
    <row r="27" spans="2:7">
      <c r="B27" s="143" t="s">
        <v>39</v>
      </c>
      <c r="C27" s="9" t="s">
        <v>37</v>
      </c>
      <c r="D27" s="9" t="s">
        <v>37</v>
      </c>
    </row>
    <row r="28" spans="2:7">
      <c r="B28" s="143" t="s">
        <v>40</v>
      </c>
      <c r="C28" s="9" t="s">
        <v>100</v>
      </c>
      <c r="D28" s="9" t="s">
        <v>100</v>
      </c>
      <c r="F28" s="140" t="s">
        <v>137</v>
      </c>
    </row>
    <row r="29" spans="2:7">
      <c r="B29" s="143" t="s">
        <v>42</v>
      </c>
      <c r="C29" s="9" t="s">
        <v>37</v>
      </c>
      <c r="D29" s="9" t="s">
        <v>37</v>
      </c>
      <c r="F29" s="145" t="s">
        <v>5</v>
      </c>
      <c r="G29" s="129" t="s">
        <v>72</v>
      </c>
    </row>
    <row r="30" spans="2:7">
      <c r="B30" s="143" t="s">
        <v>45</v>
      </c>
      <c r="C30" s="9" t="s">
        <v>100</v>
      </c>
      <c r="D30" s="9" t="s">
        <v>100</v>
      </c>
      <c r="F30" s="146" t="s">
        <v>140</v>
      </c>
      <c r="G30" s="130">
        <f ca="1">TODAY()</f>
        <v>43487</v>
      </c>
    </row>
    <row r="31" spans="2:7">
      <c r="B31" s="143" t="s">
        <v>46</v>
      </c>
      <c r="C31" s="9" t="s">
        <v>47</v>
      </c>
      <c r="D31" s="9" t="s">
        <v>47</v>
      </c>
      <c r="F31" s="147" t="s">
        <v>141</v>
      </c>
      <c r="G31" s="5" t="s">
        <v>153</v>
      </c>
    </row>
    <row r="32" spans="2:7">
      <c r="B32" s="143" t="s">
        <v>48</v>
      </c>
      <c r="C32" s="19"/>
      <c r="D32" s="17" t="s">
        <v>49</v>
      </c>
    </row>
    <row r="33" spans="2:7">
      <c r="B33" s="152" t="s">
        <v>50</v>
      </c>
      <c r="C33" s="153"/>
      <c r="D33" s="127" t="s">
        <v>51</v>
      </c>
      <c r="G33" s="151"/>
    </row>
    <row r="34" spans="2:7">
      <c r="B34" s="143" t="s">
        <v>52</v>
      </c>
      <c r="C34" s="17" t="s">
        <v>49</v>
      </c>
      <c r="D34" s="17" t="s">
        <v>49</v>
      </c>
      <c r="F34" s="140" t="s">
        <v>151</v>
      </c>
      <c r="G34" s="126"/>
    </row>
    <row r="35" spans="2:7">
      <c r="B35" s="143" t="s">
        <v>53</v>
      </c>
      <c r="C35" s="20"/>
      <c r="D35" s="20"/>
      <c r="F35" s="142" t="s">
        <v>0</v>
      </c>
      <c r="G35" s="1">
        <f ca="1">_xll.meLWOSwapParRate(G$24,$F$29:$G$31)</f>
        <v>2.0245900069463977E-2</v>
      </c>
    </row>
    <row r="36" spans="2:7">
      <c r="B36" s="143" t="s">
        <v>54</v>
      </c>
      <c r="C36" s="20"/>
      <c r="D36" s="20"/>
      <c r="F36" s="148" t="s">
        <v>1</v>
      </c>
      <c r="G36" s="2">
        <f ca="1">_xll.meLWOSwapPV(G$24,$F$29:$G$31)</f>
        <v>38346.684527769059</v>
      </c>
    </row>
    <row r="37" spans="2:7">
      <c r="B37" s="149" t="s">
        <v>55</v>
      </c>
      <c r="C37" s="21" t="s">
        <v>56</v>
      </c>
      <c r="D37" s="21" t="s">
        <v>56</v>
      </c>
      <c r="F37" s="144" t="s">
        <v>2</v>
      </c>
      <c r="G37" s="3">
        <f ca="1">_xll.meLWOSwapPV01(G$24,$F$29:$G$31)</f>
        <v>374.26369833582811</v>
      </c>
    </row>
    <row r="39" spans="2:7">
      <c r="G39" s="150"/>
    </row>
  </sheetData>
  <dataValidations count="10">
    <dataValidation type="list" allowBlank="1" showInputMessage="1" showErrorMessage="1" sqref="C20:D20">
      <formula1>"NATURAL,1D,1M,3M,6M,12M"</formula1>
    </dataValidation>
    <dataValidation type="list" allowBlank="1" showInputMessage="1" showErrorMessage="1" sqref="C9:D9">
      <formula1>"PAY,RECEIVE"</formula1>
    </dataValidation>
    <dataValidation type="list" allowBlank="1" showInputMessage="1" showErrorMessage="1" sqref="C5:D5">
      <formula1>"NONE,START,END,START_AND_END"</formula1>
    </dataValidation>
    <dataValidation type="list" allowBlank="1" showInputMessage="1" showErrorMessage="1" sqref="C12:D12">
      <formula1>"Annual,Semi-Annual,Quarterly,Monthly"</formula1>
    </dataValidation>
    <dataValidation type="list" allowBlank="1" showInputMessage="1" showErrorMessage="1" sqref="C24:D24">
      <formula1>"30/360,ACT/360,ACT/365"</formula1>
    </dataValidation>
    <dataValidation type="list" allowBlank="1" showInputMessage="1" showErrorMessage="1" sqref="C37:D37">
      <formula1>"None,ShortStart,ShortEnd,LongStart,LongEnd"</formula1>
    </dataValidation>
    <dataValidation type="list" allowBlank="1" showInputMessage="1" showErrorMessage="1" sqref="C29:D29 D25 C27:D27">
      <formula1>"MOD_FOLLOWING,FOLLOWING,MOD_PRECEDING,PRECEDING,NO_CHANGE"</formula1>
    </dataValidation>
    <dataValidation type="list" allowBlank="1" showInputMessage="1" showErrorMessage="1" sqref="C28:D28 C30:D30 D26">
      <formula1>"TGT,NYB:LNB,LNB,TKB:LNB"</formula1>
    </dataValidation>
    <dataValidation type="list" allowBlank="1" showInputMessage="1" showErrorMessage="1" sqref="G13">
      <formula1>"NORMAL,LOGNORMAL,SHIFTED_LOGNORMAL"</formula1>
    </dataValidation>
    <dataValidation type="list" allowBlank="1" showInputMessage="1" showErrorMessage="1" sqref="D33">
      <formula1>"ADVANCE,ARREARS"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USD_OIS</vt:lpstr>
      <vt:lpstr>USD_3ML</vt:lpstr>
      <vt:lpstr>USD LIBOR IN-ARREARS</vt:lpstr>
      <vt:lpstr>USD_OIS!Display.Generator</vt:lpstr>
      <vt:lpstr>isUSD3MLLoaded</vt:lpstr>
      <vt:lpstr>isUSDOISLoaded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2019-01-22T13:09:15Z</dcterms:created>
  <dcterms:modified xsi:type="dcterms:W3CDTF">2019-01-22T13:51:29Z</dcterms:modified>
</cp:coreProperties>
</file>