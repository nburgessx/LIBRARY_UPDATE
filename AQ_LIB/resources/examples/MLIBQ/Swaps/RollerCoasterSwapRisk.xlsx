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Swaps\"/>
    </mc:Choice>
  </mc:AlternateContent>
  <bookViews>
    <workbookView xWindow="120" yWindow="135" windowWidth="17235" windowHeight="13350" firstSheet="6" activeTab="10"/>
  </bookViews>
  <sheets>
    <sheet name="Raw Schedule" sheetId="1" state="hidden" r:id="rId1"/>
    <sheet name="USD OIS" sheetId="6" r:id="rId2"/>
    <sheet name="USD SWAP 3ML" sheetId="7" r:id="rId3"/>
    <sheet name="USD BASIS 6ML" sheetId="8" r:id="rId4"/>
    <sheet name="USD BASIS 1ML" sheetId="9" r:id="rId5"/>
    <sheet name="USD BASIS 12ML" sheetId="10" r:id="rId6"/>
    <sheet name="Fixing Table" sheetId="5" r:id="rId7"/>
    <sheet name="Fixed Schedule" sheetId="12" r:id="rId8"/>
    <sheet name="Float Schedule" sheetId="2" r:id="rId9"/>
    <sheet name="Create Trade &amp; Price" sheetId="3" r:id="rId10"/>
    <sheet name="Risk" sheetId="11" r:id="rId11"/>
    <sheet name="Hard-Coded Results" sheetId="4" state="hidden" r:id="rId12"/>
  </sheets>
  <definedNames>
    <definedName name="COB">'USD OIS'!$D$9</definedName>
  </definedNames>
  <calcPr calcId="162913"/>
</workbook>
</file>

<file path=xl/calcChain.xml><?xml version="1.0" encoding="utf-8"?>
<calcChain xmlns="http://schemas.openxmlformats.org/spreadsheetml/2006/main">
  <c r="B4" i="11" l="1"/>
  <c r="E7" i="12"/>
  <c r="H7" i="12"/>
  <c r="I7" i="12"/>
  <c r="E8" i="12"/>
  <c r="H8" i="12"/>
  <c r="I8" i="12"/>
  <c r="E9" i="12"/>
  <c r="H9" i="12"/>
  <c r="I9" i="12"/>
  <c r="E10" i="12"/>
  <c r="H10" i="12"/>
  <c r="I10" i="12"/>
  <c r="E11" i="12"/>
  <c r="H11" i="12"/>
  <c r="I11" i="12"/>
  <c r="E12" i="12"/>
  <c r="H12" i="12"/>
  <c r="I12" i="12"/>
  <c r="E13" i="12"/>
  <c r="H13" i="12"/>
  <c r="I13" i="12"/>
  <c r="E14" i="12"/>
  <c r="H14" i="12"/>
  <c r="I14" i="12"/>
  <c r="E15" i="12"/>
  <c r="H15" i="12"/>
  <c r="I15" i="12"/>
  <c r="E16" i="12"/>
  <c r="H16" i="12"/>
  <c r="I16" i="12"/>
  <c r="E17" i="12"/>
  <c r="H17" i="12"/>
  <c r="I17" i="12"/>
  <c r="E18" i="12"/>
  <c r="H18" i="12"/>
  <c r="I18" i="12"/>
  <c r="E19" i="12"/>
  <c r="H19" i="12"/>
  <c r="I19" i="12"/>
  <c r="E20" i="12"/>
  <c r="H20" i="12"/>
  <c r="I20" i="12"/>
  <c r="E21" i="12"/>
  <c r="H21" i="12"/>
  <c r="I21" i="12"/>
  <c r="E22" i="12"/>
  <c r="H22" i="12"/>
  <c r="I22" i="12"/>
  <c r="E23" i="12"/>
  <c r="H23" i="12"/>
  <c r="I23" i="12"/>
  <c r="E24" i="12"/>
  <c r="H24" i="12"/>
  <c r="I24" i="12"/>
  <c r="E25" i="12"/>
  <c r="H25" i="12"/>
  <c r="I25" i="12"/>
  <c r="E26" i="12"/>
  <c r="H26" i="12"/>
  <c r="I26" i="12"/>
  <c r="E27" i="12"/>
  <c r="H27" i="12"/>
  <c r="I27" i="12"/>
  <c r="E28" i="12"/>
  <c r="H28" i="12"/>
  <c r="I28" i="12"/>
  <c r="E29" i="12"/>
  <c r="H29" i="12"/>
  <c r="I29" i="12"/>
  <c r="E30" i="12"/>
  <c r="H30" i="12"/>
  <c r="I30" i="12"/>
  <c r="E31" i="12"/>
  <c r="H31" i="12"/>
  <c r="I31" i="12"/>
  <c r="E32" i="12"/>
  <c r="H32" i="12"/>
  <c r="I32" i="12"/>
  <c r="E33" i="12"/>
  <c r="H33" i="12"/>
  <c r="I33" i="12"/>
  <c r="E34" i="12"/>
  <c r="H34" i="12"/>
  <c r="I34" i="12"/>
  <c r="E35" i="12"/>
  <c r="H35" i="12"/>
  <c r="I35" i="12"/>
  <c r="E36" i="12"/>
  <c r="H36" i="12"/>
  <c r="I36" i="12"/>
  <c r="E37" i="12"/>
  <c r="H37" i="12"/>
  <c r="I37" i="12"/>
  <c r="E38" i="12"/>
  <c r="H38" i="12"/>
  <c r="I38" i="12"/>
  <c r="E39" i="12"/>
  <c r="H39" i="12"/>
  <c r="I39" i="12"/>
  <c r="E40" i="12"/>
  <c r="H40" i="12"/>
  <c r="I40" i="12"/>
  <c r="E41" i="12"/>
  <c r="H41" i="12"/>
  <c r="I41" i="12"/>
  <c r="E42" i="12"/>
  <c r="H42" i="12"/>
  <c r="I42" i="12"/>
  <c r="E43" i="12"/>
  <c r="H43" i="12"/>
  <c r="I43" i="12"/>
  <c r="E44" i="12"/>
  <c r="H44" i="12"/>
  <c r="I44" i="12"/>
  <c r="E45" i="12"/>
  <c r="H45" i="12"/>
  <c r="I45" i="12"/>
  <c r="E46" i="12"/>
  <c r="H46" i="12"/>
  <c r="I46" i="12"/>
  <c r="E47" i="12"/>
  <c r="H47" i="12"/>
  <c r="I47" i="12"/>
  <c r="E48" i="12"/>
  <c r="H48" i="12"/>
  <c r="I48" i="12"/>
  <c r="E49" i="12"/>
  <c r="H49" i="12"/>
  <c r="I49" i="12"/>
  <c r="E50" i="12"/>
  <c r="H50" i="12"/>
  <c r="I50" i="12"/>
  <c r="E51" i="12"/>
  <c r="H51" i="12"/>
  <c r="I51" i="12"/>
  <c r="E52" i="12"/>
  <c r="H52" i="12"/>
  <c r="I52" i="12"/>
  <c r="E53" i="12"/>
  <c r="H53" i="12"/>
  <c r="I53" i="12"/>
  <c r="E54" i="12"/>
  <c r="H54" i="12"/>
  <c r="I54" i="12"/>
  <c r="E55" i="12"/>
  <c r="H55" i="12"/>
  <c r="I55" i="1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L7" i="10"/>
  <c r="L7" i="9"/>
  <c r="D8" i="7"/>
  <c r="L7" i="8"/>
  <c r="C65" i="10"/>
  <c r="E18" i="10"/>
  <c r="E5" i="10"/>
  <c r="C65" i="9"/>
  <c r="E18" i="9"/>
  <c r="E5" i="9"/>
  <c r="C65" i="8"/>
  <c r="E18" i="8"/>
  <c r="E5" i="8"/>
  <c r="C6" i="5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E44" i="2"/>
  <c r="E45" i="2"/>
  <c r="E46" i="2"/>
  <c r="E47" i="2"/>
  <c r="E48" i="2"/>
  <c r="E49" i="2"/>
  <c r="E50" i="2"/>
  <c r="E51" i="2"/>
  <c r="E52" i="2"/>
  <c r="E53" i="2"/>
  <c r="E54" i="2"/>
  <c r="E5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" i="1"/>
  <c r="I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  <c r="I7" i="2"/>
  <c r="I9" i="2"/>
  <c r="I11" i="2"/>
  <c r="I13" i="2"/>
  <c r="I15" i="2"/>
  <c r="I17" i="2"/>
  <c r="I19" i="2"/>
  <c r="I21" i="2"/>
  <c r="I23" i="2"/>
  <c r="I25" i="2"/>
  <c r="I27" i="2"/>
  <c r="I29" i="2"/>
  <c r="I31" i="2"/>
  <c r="I33" i="2"/>
  <c r="I35" i="2"/>
  <c r="I37" i="2"/>
  <c r="I39" i="2"/>
  <c r="I41" i="2"/>
  <c r="I43" i="2"/>
  <c r="I45" i="2"/>
  <c r="I47" i="2"/>
  <c r="I49" i="2"/>
  <c r="I51" i="2"/>
  <c r="I53" i="2"/>
  <c r="I55" i="2"/>
  <c r="L8" i="2"/>
  <c r="L20" i="2"/>
  <c r="L32" i="2"/>
  <c r="L40" i="2"/>
  <c r="L50" i="2"/>
  <c r="D14" i="7"/>
  <c r="J8" i="12"/>
  <c r="J10" i="12"/>
  <c r="J12" i="12"/>
  <c r="J14" i="12"/>
  <c r="J16" i="12"/>
  <c r="J18" i="12"/>
  <c r="J20" i="12"/>
  <c r="J22" i="12"/>
  <c r="J24" i="12"/>
  <c r="J26" i="12"/>
  <c r="J28" i="12"/>
  <c r="J30" i="12"/>
  <c r="J32" i="12"/>
  <c r="J34" i="12"/>
  <c r="J36" i="12"/>
  <c r="J38" i="12"/>
  <c r="J40" i="12"/>
  <c r="J42" i="12"/>
  <c r="J44" i="12"/>
  <c r="J46" i="12"/>
  <c r="J48" i="12"/>
  <c r="J50" i="12"/>
  <c r="J52" i="12"/>
  <c r="J54" i="12"/>
  <c r="L12" i="2"/>
  <c r="L22" i="2"/>
  <c r="L34" i="2"/>
  <c r="L46" i="2"/>
  <c r="L11" i="9"/>
  <c r="L7" i="2"/>
  <c r="L9" i="2"/>
  <c r="L11" i="2"/>
  <c r="L13" i="2"/>
  <c r="L15" i="2"/>
  <c r="L17" i="2"/>
  <c r="L19" i="2"/>
  <c r="L21" i="2"/>
  <c r="L23" i="2"/>
  <c r="L25" i="2"/>
  <c r="L27" i="2"/>
  <c r="L29" i="2"/>
  <c r="L31" i="2"/>
  <c r="L33" i="2"/>
  <c r="L35" i="2"/>
  <c r="L37" i="2"/>
  <c r="L39" i="2"/>
  <c r="L41" i="2"/>
  <c r="L43" i="2"/>
  <c r="L45" i="2"/>
  <c r="L47" i="2"/>
  <c r="L49" i="2"/>
  <c r="L51" i="2"/>
  <c r="L53" i="2"/>
  <c r="L55" i="2"/>
  <c r="C2" i="5"/>
  <c r="L16" i="2"/>
  <c r="L28" i="2"/>
  <c r="L42" i="2"/>
  <c r="L11" i="10"/>
  <c r="L10" i="2"/>
  <c r="L18" i="2"/>
  <c r="L26" i="2"/>
  <c r="L36" i="2"/>
  <c r="L44" i="2"/>
  <c r="L54" i="2"/>
  <c r="I8" i="2"/>
  <c r="I10" i="2"/>
  <c r="I12" i="2"/>
  <c r="I14" i="2"/>
  <c r="I16" i="2"/>
  <c r="I18" i="2"/>
  <c r="I20" i="2"/>
  <c r="I22" i="2"/>
  <c r="I24" i="2"/>
  <c r="I26" i="2"/>
  <c r="I28" i="2"/>
  <c r="I30" i="2"/>
  <c r="I32" i="2"/>
  <c r="I34" i="2"/>
  <c r="I36" i="2"/>
  <c r="I38" i="2"/>
  <c r="I40" i="2"/>
  <c r="I42" i="2"/>
  <c r="I44" i="2"/>
  <c r="I46" i="2"/>
  <c r="I48" i="2"/>
  <c r="I50" i="2"/>
  <c r="I52" i="2"/>
  <c r="I54" i="2"/>
  <c r="L14" i="2"/>
  <c r="L30" i="2"/>
  <c r="L48" i="2"/>
  <c r="J7" i="12"/>
  <c r="J9" i="12"/>
  <c r="J11" i="12"/>
  <c r="J13" i="12"/>
  <c r="J15" i="12"/>
  <c r="J17" i="12"/>
  <c r="J19" i="12"/>
  <c r="J21" i="12"/>
  <c r="J23" i="12"/>
  <c r="J25" i="12"/>
  <c r="J27" i="12"/>
  <c r="J29" i="12"/>
  <c r="J31" i="12"/>
  <c r="J33" i="12"/>
  <c r="J35" i="12"/>
  <c r="J37" i="12"/>
  <c r="J39" i="12"/>
  <c r="J41" i="12"/>
  <c r="J43" i="12"/>
  <c r="J45" i="12"/>
  <c r="J47" i="12"/>
  <c r="J49" i="12"/>
  <c r="J51" i="12"/>
  <c r="J53" i="12"/>
  <c r="J55" i="12"/>
  <c r="L11" i="8"/>
  <c r="D14" i="6"/>
  <c r="D28" i="6" s="1" a="1"/>
  <c r="E3" i="12"/>
  <c r="L24" i="2"/>
  <c r="L38" i="2"/>
  <c r="L52" i="2"/>
  <c r="E3" i="2" s="1"/>
  <c r="F7" i="3" l="1"/>
  <c r="D29" i="6"/>
  <c r="D30" i="6"/>
  <c r="D31" i="6"/>
  <c r="D28" i="6"/>
  <c r="I7" i="3"/>
  <c r="F3" i="3"/>
  <c r="I3" i="3"/>
  <c r="D32" i="6"/>
  <c r="F15" i="3"/>
  <c r="I15" i="3"/>
  <c r="B18" i="3" a="1"/>
  <c r="I20" i="3" l="1"/>
  <c r="M24" i="3"/>
  <c r="K21" i="3"/>
  <c r="O25" i="3"/>
  <c r="J19" i="3"/>
  <c r="N23" i="3"/>
  <c r="B18" i="3"/>
  <c r="F22" i="3"/>
  <c r="J26" i="3"/>
  <c r="E20" i="3"/>
  <c r="O19" i="3"/>
  <c r="E25" i="3"/>
  <c r="M30" i="3"/>
  <c r="B35" i="3"/>
  <c r="F39" i="3"/>
  <c r="J43" i="3"/>
  <c r="N47" i="3"/>
  <c r="C52" i="3"/>
  <c r="G56" i="3"/>
  <c r="K60" i="3"/>
  <c r="B21" i="3"/>
  <c r="F25" i="3"/>
  <c r="D22" i="3"/>
  <c r="H26" i="3"/>
  <c r="C20" i="3"/>
  <c r="G24" i="3"/>
  <c r="J18" i="3"/>
  <c r="N22" i="3"/>
  <c r="C27" i="3"/>
  <c r="M20" i="3"/>
  <c r="H20" i="3"/>
  <c r="E26" i="3"/>
  <c r="F31" i="3"/>
  <c r="J35" i="3"/>
  <c r="N39" i="3"/>
  <c r="C44" i="3"/>
  <c r="J21" i="3"/>
  <c r="H18" i="3"/>
  <c r="L22" i="3"/>
  <c r="P26" i="3"/>
  <c r="K20" i="3"/>
  <c r="O24" i="3"/>
  <c r="C19" i="3"/>
  <c r="G23" i="3"/>
  <c r="K27" i="3"/>
  <c r="F21" i="3"/>
  <c r="P20" i="3"/>
  <c r="D27" i="3"/>
  <c r="N31" i="3"/>
  <c r="C36" i="3"/>
  <c r="G40" i="3"/>
  <c r="K44" i="3"/>
  <c r="O48" i="3"/>
  <c r="D53" i="3"/>
  <c r="H57" i="3"/>
  <c r="F20" i="3"/>
  <c r="L28" i="3"/>
  <c r="C22" i="3"/>
  <c r="P18" i="3"/>
  <c r="E23" i="3"/>
  <c r="I27" i="3"/>
  <c r="D21" i="3"/>
  <c r="H25" i="3"/>
  <c r="K19" i="3"/>
  <c r="O23" i="3"/>
  <c r="D28" i="3"/>
  <c r="N21" i="3"/>
  <c r="I21" i="3"/>
  <c r="O27" i="3"/>
  <c r="G32" i="3"/>
  <c r="K36" i="3"/>
  <c r="O40" i="3"/>
  <c r="D45" i="3"/>
  <c r="H49" i="3"/>
  <c r="L53" i="3"/>
  <c r="P57" i="3"/>
  <c r="B22" i="3"/>
  <c r="E29" i="3"/>
  <c r="G18" i="3"/>
  <c r="K22" i="3"/>
  <c r="I19" i="3"/>
  <c r="M23" i="3"/>
  <c r="B28" i="3"/>
  <c r="L21" i="3"/>
  <c r="P25" i="3"/>
  <c r="D20" i="3"/>
  <c r="H24" i="3"/>
  <c r="C18" i="3"/>
  <c r="G22" i="3"/>
  <c r="N19" i="3"/>
  <c r="K28" i="3"/>
  <c r="O32" i="3"/>
  <c r="D37" i="3"/>
  <c r="H41" i="3"/>
  <c r="L45" i="3"/>
  <c r="P49" i="3"/>
  <c r="E54" i="3"/>
  <c r="I58" i="3"/>
  <c r="H23" i="3"/>
  <c r="M29" i="3"/>
  <c r="O18" i="3"/>
  <c r="D23" i="3"/>
  <c r="B20" i="3"/>
  <c r="F24" i="3"/>
  <c r="J28" i="3"/>
  <c r="E22" i="3"/>
  <c r="I26" i="3"/>
  <c r="L20" i="3"/>
  <c r="P24" i="3"/>
  <c r="K18" i="3"/>
  <c r="F18" i="3"/>
  <c r="P21" i="3"/>
  <c r="D29" i="3"/>
  <c r="H33" i="3"/>
  <c r="L37" i="3"/>
  <c r="P41" i="3"/>
  <c r="E46" i="3"/>
  <c r="I50" i="3"/>
  <c r="M54" i="3"/>
  <c r="B59" i="3"/>
  <c r="I24" i="3"/>
  <c r="H19" i="3"/>
  <c r="L23" i="3"/>
  <c r="J20" i="3"/>
  <c r="N24" i="3"/>
  <c r="I18" i="3"/>
  <c r="M22" i="3"/>
  <c r="B27" i="3"/>
  <c r="E21" i="3"/>
  <c r="I25" i="3"/>
  <c r="D19" i="3"/>
  <c r="N18" i="3"/>
  <c r="C23" i="3"/>
  <c r="L29" i="3"/>
  <c r="P33" i="3"/>
  <c r="E38" i="3"/>
  <c r="I42" i="3"/>
  <c r="M46" i="3"/>
  <c r="B51" i="3"/>
  <c r="F55" i="3"/>
  <c r="J59" i="3"/>
  <c r="J25" i="3"/>
  <c r="P19" i="3"/>
  <c r="E24" i="3"/>
  <c r="C21" i="3"/>
  <c r="G25" i="3"/>
  <c r="B19" i="3"/>
  <c r="F23" i="3"/>
  <c r="J27" i="3"/>
  <c r="M21" i="3"/>
  <c r="B26" i="3"/>
  <c r="L19" i="3"/>
  <c r="G19" i="3"/>
  <c r="D24" i="3"/>
  <c r="E30" i="3"/>
  <c r="I34" i="3"/>
  <c r="M38" i="3"/>
  <c r="B43" i="3"/>
  <c r="F47" i="3"/>
  <c r="J51" i="3"/>
  <c r="N55" i="3"/>
  <c r="C60" i="3"/>
  <c r="F26" i="3"/>
  <c r="O56" i="3"/>
  <c r="L36" i="3"/>
  <c r="P40" i="3"/>
  <c r="E45" i="3"/>
  <c r="I49" i="3"/>
  <c r="M53" i="3"/>
  <c r="B58" i="3"/>
  <c r="I23" i="3"/>
  <c r="N29" i="3"/>
  <c r="C34" i="3"/>
  <c r="G38" i="3"/>
  <c r="K42" i="3"/>
  <c r="O46" i="3"/>
  <c r="D51" i="3"/>
  <c r="H55" i="3"/>
  <c r="L59" i="3"/>
  <c r="K26" i="3"/>
  <c r="P27" i="3"/>
  <c r="B34" i="3"/>
  <c r="F38" i="3"/>
  <c r="J42" i="3"/>
  <c r="N46" i="3"/>
  <c r="C51" i="3"/>
  <c r="G55" i="3"/>
  <c r="K59" i="3"/>
  <c r="G26" i="3"/>
  <c r="H31" i="3"/>
  <c r="L35" i="3"/>
  <c r="P39" i="3"/>
  <c r="E44" i="3"/>
  <c r="I48" i="3"/>
  <c r="M52" i="3"/>
  <c r="B57" i="3"/>
  <c r="N20" i="3"/>
  <c r="N28" i="3"/>
  <c r="C33" i="3"/>
  <c r="G37" i="3"/>
  <c r="K41" i="3"/>
  <c r="O45" i="3"/>
  <c r="D50" i="3"/>
  <c r="H54" i="3"/>
  <c r="L58" i="3"/>
  <c r="L24" i="3"/>
  <c r="I30" i="3"/>
  <c r="M34" i="3"/>
  <c r="B39" i="3"/>
  <c r="F43" i="3"/>
  <c r="J47" i="3"/>
  <c r="N51" i="3"/>
  <c r="C56" i="3"/>
  <c r="G60" i="3"/>
  <c r="L27" i="3"/>
  <c r="D32" i="3"/>
  <c r="H36" i="3"/>
  <c r="L40" i="3"/>
  <c r="P44" i="3"/>
  <c r="E49" i="3"/>
  <c r="I53" i="3"/>
  <c r="M57" i="3"/>
  <c r="B23" i="3"/>
  <c r="K29" i="3"/>
  <c r="O33" i="3"/>
  <c r="D38" i="3"/>
  <c r="H42" i="3"/>
  <c r="L46" i="3"/>
  <c r="P50" i="3"/>
  <c r="J52" i="3"/>
  <c r="O62" i="3"/>
  <c r="D67" i="3"/>
  <c r="H71" i="3"/>
  <c r="M32" i="3"/>
  <c r="H59" i="3"/>
  <c r="J64" i="3"/>
  <c r="N68" i="3"/>
  <c r="B29" i="3"/>
  <c r="G57" i="3"/>
  <c r="C64" i="3"/>
  <c r="G68" i="3"/>
  <c r="J67" i="3"/>
  <c r="O50" i="3"/>
  <c r="J62" i="3"/>
  <c r="N66" i="3"/>
  <c r="C71" i="3"/>
  <c r="K38" i="3"/>
  <c r="B61" i="3"/>
  <c r="F65" i="3"/>
  <c r="J69" i="3"/>
  <c r="O34" i="3"/>
  <c r="I60" i="3"/>
  <c r="N64" i="3"/>
  <c r="C69" i="3"/>
  <c r="B52" i="3"/>
  <c r="M62" i="3"/>
  <c r="L69" i="3"/>
  <c r="I52" i="3"/>
  <c r="N62" i="3"/>
  <c r="C67" i="3"/>
  <c r="G71" i="3"/>
  <c r="E59" i="3"/>
  <c r="G52" i="3"/>
  <c r="E19" i="3"/>
  <c r="L32" i="3"/>
  <c r="F30" i="3"/>
  <c r="J34" i="3"/>
  <c r="N38" i="3"/>
  <c r="C43" i="3"/>
  <c r="G47" i="3"/>
  <c r="K51" i="3"/>
  <c r="O55" i="3"/>
  <c r="D60" i="3"/>
  <c r="F27" i="3"/>
  <c r="P31" i="3"/>
  <c r="E36" i="3"/>
  <c r="I40" i="3"/>
  <c r="M44" i="3"/>
  <c r="B49" i="3"/>
  <c r="F53" i="3"/>
  <c r="J57" i="3"/>
  <c r="I22" i="3"/>
  <c r="G29" i="3"/>
  <c r="K33" i="3"/>
  <c r="O37" i="3"/>
  <c r="D42" i="3"/>
  <c r="H46" i="3"/>
  <c r="L50" i="3"/>
  <c r="P54" i="3"/>
  <c r="M25" i="3"/>
  <c r="B31" i="3"/>
  <c r="F35" i="3"/>
  <c r="J39" i="3"/>
  <c r="N43" i="3"/>
  <c r="C48" i="3"/>
  <c r="K56" i="3"/>
  <c r="G28" i="3"/>
  <c r="K52" i="3"/>
  <c r="O31" i="3"/>
  <c r="D36" i="3"/>
  <c r="H40" i="3"/>
  <c r="L44" i="3"/>
  <c r="P48" i="3"/>
  <c r="E53" i="3"/>
  <c r="I57" i="3"/>
  <c r="H22" i="3"/>
  <c r="F29" i="3"/>
  <c r="J33" i="3"/>
  <c r="N37" i="3"/>
  <c r="C42" i="3"/>
  <c r="G46" i="3"/>
  <c r="K50" i="3"/>
  <c r="O54" i="3"/>
  <c r="D59" i="3"/>
  <c r="L25" i="3"/>
  <c r="P30" i="3"/>
  <c r="E35" i="3"/>
  <c r="I39" i="3"/>
  <c r="M43" i="3"/>
  <c r="B48" i="3"/>
  <c r="F52" i="3"/>
  <c r="J56" i="3"/>
  <c r="M18" i="3"/>
  <c r="F28" i="3"/>
  <c r="K32" i="3"/>
  <c r="O36" i="3"/>
  <c r="D41" i="3"/>
  <c r="H45" i="3"/>
  <c r="L49" i="3"/>
  <c r="P53" i="3"/>
  <c r="E58" i="3"/>
  <c r="P23" i="3"/>
  <c r="B30" i="3"/>
  <c r="F34" i="3"/>
  <c r="J38" i="3"/>
  <c r="N42" i="3"/>
  <c r="C47" i="3"/>
  <c r="G51" i="3"/>
  <c r="K55" i="3"/>
  <c r="O59" i="3"/>
  <c r="O26" i="3"/>
  <c r="M31" i="3"/>
  <c r="B36" i="3"/>
  <c r="F40" i="3"/>
  <c r="J44" i="3"/>
  <c r="N48" i="3"/>
  <c r="I36" i="3"/>
  <c r="M60" i="3"/>
  <c r="B65" i="3"/>
  <c r="F69" i="3"/>
  <c r="D69" i="3"/>
  <c r="N49" i="3"/>
  <c r="H62" i="3"/>
  <c r="L66" i="3"/>
  <c r="P70" i="3"/>
  <c r="C46" i="3"/>
  <c r="P61" i="3"/>
  <c r="E66" i="3"/>
  <c r="I70" i="3"/>
  <c r="N33" i="3"/>
  <c r="P59" i="3"/>
  <c r="L64" i="3"/>
  <c r="P68" i="3"/>
  <c r="E70" i="3"/>
  <c r="K53" i="3"/>
  <c r="D63" i="3"/>
  <c r="H67" i="3"/>
  <c r="L71" i="3"/>
  <c r="P51" i="3"/>
  <c r="L62" i="3"/>
  <c r="P66" i="3"/>
  <c r="E71" i="3"/>
  <c r="J60" i="3"/>
  <c r="O64" i="3"/>
  <c r="P35" i="3"/>
  <c r="L60" i="3"/>
  <c r="P64" i="3"/>
  <c r="E69" i="3"/>
  <c r="M51" i="3"/>
  <c r="F71" i="3"/>
  <c r="B60" i="3"/>
  <c r="E61" i="3"/>
  <c r="N30" i="3"/>
  <c r="M37" i="3"/>
  <c r="F46" i="3"/>
  <c r="N54" i="3"/>
  <c r="K25" i="3"/>
  <c r="D35" i="3"/>
  <c r="L43" i="3"/>
  <c r="E52" i="3"/>
  <c r="L18" i="3"/>
  <c r="B32" i="3"/>
  <c r="P38" i="3"/>
  <c r="G45" i="3"/>
  <c r="N52" i="3"/>
  <c r="M59" i="3"/>
  <c r="H29" i="3"/>
  <c r="G36" i="3"/>
  <c r="M42" i="3"/>
  <c r="E50" i="3"/>
  <c r="D57" i="3"/>
  <c r="N25" i="3"/>
  <c r="M33" i="3"/>
  <c r="K39" i="3"/>
  <c r="I45" i="3"/>
  <c r="N50" i="3"/>
  <c r="L56" i="3"/>
  <c r="C24" i="3"/>
  <c r="E31" i="3"/>
  <c r="C37" i="3"/>
  <c r="P42" i="3"/>
  <c r="F48" i="3"/>
  <c r="B45" i="3"/>
  <c r="H63" i="3"/>
  <c r="M68" i="3"/>
  <c r="F19" i="3"/>
  <c r="N60" i="3"/>
  <c r="D66" i="3"/>
  <c r="C68" i="3"/>
  <c r="I59" i="3"/>
  <c r="L65" i="3"/>
  <c r="J71" i="3"/>
  <c r="J53" i="3"/>
  <c r="D64" i="3"/>
  <c r="B70" i="3"/>
  <c r="O42" i="3"/>
  <c r="K62" i="3"/>
  <c r="I68" i="3"/>
  <c r="D39" i="3"/>
  <c r="D62" i="3"/>
  <c r="B68" i="3"/>
  <c r="D54" i="3"/>
  <c r="G64" i="3"/>
  <c r="I44" i="3"/>
  <c r="G63" i="3"/>
  <c r="L68" i="3"/>
  <c r="M50" i="3"/>
  <c r="O51" i="3"/>
  <c r="F32" i="3"/>
  <c r="I43" i="3"/>
  <c r="P63" i="3"/>
  <c r="H28" i="3"/>
  <c r="G61" i="3"/>
  <c r="H21" i="3"/>
  <c r="M66" i="3"/>
  <c r="L55" i="3"/>
  <c r="J70" i="3"/>
  <c r="B69" i="3"/>
  <c r="J68" i="3"/>
  <c r="H65" i="3"/>
  <c r="M69" i="3"/>
  <c r="G58" i="3"/>
  <c r="J66" i="3"/>
  <c r="G31" i="3"/>
  <c r="G39" i="3"/>
  <c r="O47" i="3"/>
  <c r="H56" i="3"/>
  <c r="C28" i="3"/>
  <c r="M36" i="3"/>
  <c r="F45" i="3"/>
  <c r="N53" i="3"/>
  <c r="J23" i="3"/>
  <c r="J32" i="3"/>
  <c r="B40" i="3"/>
  <c r="P46" i="3"/>
  <c r="G53" i="3"/>
  <c r="F60" i="3"/>
  <c r="P29" i="3"/>
  <c r="H37" i="3"/>
  <c r="G44" i="3"/>
  <c r="L57" i="3"/>
  <c r="M26" i="3"/>
  <c r="N34" i="3"/>
  <c r="D40" i="3"/>
  <c r="B46" i="3"/>
  <c r="E57" i="3"/>
  <c r="D25" i="3"/>
  <c r="K37" i="3"/>
  <c r="G49" i="3"/>
  <c r="N69" i="3"/>
  <c r="E67" i="3"/>
  <c r="C26" i="3"/>
  <c r="D47" i="3"/>
  <c r="E63" i="3"/>
  <c r="M48" i="3"/>
  <c r="M71" i="3"/>
  <c r="H32" i="3"/>
  <c r="O39" i="3"/>
  <c r="H48" i="3"/>
  <c r="P56" i="3"/>
  <c r="M28" i="3"/>
  <c r="F37" i="3"/>
  <c r="N45" i="3"/>
  <c r="G54" i="3"/>
  <c r="K24" i="3"/>
  <c r="D34" i="3"/>
  <c r="J40" i="3"/>
  <c r="I47" i="3"/>
  <c r="O53" i="3"/>
  <c r="O20" i="3"/>
  <c r="J31" i="3"/>
  <c r="P37" i="3"/>
  <c r="O44" i="3"/>
  <c r="F51" i="3"/>
  <c r="M58" i="3"/>
  <c r="P28" i="3"/>
  <c r="G35" i="3"/>
  <c r="E41" i="3"/>
  <c r="J46" i="3"/>
  <c r="H52" i="3"/>
  <c r="F58" i="3"/>
  <c r="D26" i="3"/>
  <c r="N32" i="3"/>
  <c r="L38" i="3"/>
  <c r="B44" i="3"/>
  <c r="O49" i="3"/>
  <c r="L54" i="3"/>
  <c r="I64" i="3"/>
  <c r="G70" i="3"/>
  <c r="B37" i="3"/>
  <c r="O61" i="3"/>
  <c r="M67" i="3"/>
  <c r="F33" i="3"/>
  <c r="H61" i="3"/>
  <c r="F67" i="3"/>
  <c r="N71" i="3"/>
  <c r="N57" i="3"/>
  <c r="M65" i="3"/>
  <c r="K71" i="3"/>
  <c r="H51" i="3"/>
  <c r="E64" i="3"/>
  <c r="C70" i="3"/>
  <c r="L47" i="3"/>
  <c r="M63" i="3"/>
  <c r="K69" i="3"/>
  <c r="H58" i="3"/>
  <c r="B67" i="3"/>
  <c r="K54" i="3"/>
  <c r="H64" i="3"/>
  <c r="F70" i="3"/>
  <c r="O35" i="3"/>
  <c r="P52" i="3"/>
  <c r="N58" i="3"/>
  <c r="G33" i="3"/>
  <c r="E39" i="3"/>
  <c r="C45" i="3"/>
  <c r="N56" i="3"/>
  <c r="J65" i="3"/>
  <c r="O70" i="3"/>
  <c r="F41" i="3"/>
  <c r="F68" i="3"/>
  <c r="J37" i="3"/>
  <c r="I62" i="3"/>
  <c r="N67" i="3"/>
  <c r="P22" i="3"/>
  <c r="P60" i="3"/>
  <c r="F66" i="3"/>
  <c r="D31" i="3"/>
  <c r="M55" i="3"/>
  <c r="K70" i="3"/>
  <c r="C54" i="3"/>
  <c r="F64" i="3"/>
  <c r="D70" i="3"/>
  <c r="D61" i="3"/>
  <c r="K68" i="3"/>
  <c r="M56" i="3"/>
  <c r="I65" i="3"/>
  <c r="N70" i="3"/>
  <c r="N65" i="3"/>
  <c r="E56" i="3"/>
  <c r="L70" i="3"/>
  <c r="L61" i="3"/>
  <c r="O58" i="3"/>
  <c r="B66" i="3"/>
  <c r="O71" i="3"/>
  <c r="G48" i="3"/>
  <c r="D52" i="3"/>
  <c r="E18" i="3"/>
  <c r="I32" i="3"/>
  <c r="B41" i="3"/>
  <c r="O29" i="3"/>
  <c r="K49" i="3"/>
  <c r="L33" i="3"/>
  <c r="G21" i="3"/>
  <c r="G43" i="3"/>
  <c r="H60" i="3"/>
  <c r="N40" i="3"/>
  <c r="K66" i="3"/>
  <c r="O69" i="3"/>
  <c r="C38" i="3"/>
  <c r="G66" i="3"/>
  <c r="N26" i="3"/>
  <c r="P32" i="3"/>
  <c r="I41" i="3"/>
  <c r="B50" i="3"/>
  <c r="J58" i="3"/>
  <c r="G30" i="3"/>
  <c r="O38" i="3"/>
  <c r="H47" i="3"/>
  <c r="P55" i="3"/>
  <c r="G27" i="3"/>
  <c r="L34" i="3"/>
  <c r="C41" i="3"/>
  <c r="J48" i="3"/>
  <c r="I55" i="3"/>
  <c r="J22" i="3"/>
  <c r="C32" i="3"/>
  <c r="I38" i="3"/>
  <c r="P45" i="3"/>
  <c r="O52" i="3"/>
  <c r="F59" i="3"/>
  <c r="I29" i="3"/>
  <c r="M41" i="3"/>
  <c r="K47" i="3"/>
  <c r="N27" i="3"/>
  <c r="H50" i="3"/>
  <c r="P62" i="3"/>
  <c r="M64" i="3"/>
  <c r="K43" i="3"/>
  <c r="C58" i="3"/>
  <c r="E43" i="3"/>
  <c r="C57" i="3"/>
  <c r="K40" i="3"/>
  <c r="I54" i="3"/>
  <c r="I37" i="3"/>
  <c r="J54" i="3"/>
  <c r="C29" i="3"/>
  <c r="D46" i="3"/>
  <c r="F61" i="3"/>
  <c r="L39" i="3"/>
  <c r="B64" i="3"/>
  <c r="G50" i="3"/>
  <c r="H69" i="3"/>
  <c r="O67" i="3"/>
  <c r="O65" i="3"/>
  <c r="I33" i="3"/>
  <c r="B42" i="3"/>
  <c r="J50" i="3"/>
  <c r="C59" i="3"/>
  <c r="O30" i="3"/>
  <c r="H39" i="3"/>
  <c r="P47" i="3"/>
  <c r="I56" i="3"/>
  <c r="E28" i="3"/>
  <c r="M35" i="3"/>
  <c r="L42" i="3"/>
  <c r="C49" i="3"/>
  <c r="B56" i="3"/>
  <c r="K23" i="3"/>
  <c r="D33" i="3"/>
  <c r="C40" i="3"/>
  <c r="I46" i="3"/>
  <c r="H53" i="3"/>
  <c r="N59" i="3"/>
  <c r="J30" i="3"/>
  <c r="P36" i="3"/>
  <c r="F42" i="3"/>
  <c r="D48" i="3"/>
  <c r="B54" i="3"/>
  <c r="G59" i="3"/>
  <c r="I28" i="3"/>
  <c r="H34" i="3"/>
  <c r="M39" i="3"/>
  <c r="K45" i="3"/>
  <c r="I51" i="3"/>
  <c r="P58" i="3"/>
  <c r="C66" i="3"/>
  <c r="P71" i="3"/>
  <c r="J45" i="3"/>
  <c r="I63" i="3"/>
  <c r="G69" i="3"/>
  <c r="N41" i="3"/>
  <c r="B63" i="3"/>
  <c r="O68" i="3"/>
  <c r="J29" i="3"/>
  <c r="I61" i="3"/>
  <c r="G67" i="3"/>
  <c r="I66" i="3"/>
  <c r="O57" i="3"/>
  <c r="D71" i="3"/>
  <c r="G65" i="3"/>
  <c r="M70" i="3"/>
  <c r="C35" i="3"/>
  <c r="J49" i="3"/>
  <c r="F36" i="3"/>
  <c r="L26" i="3"/>
  <c r="B47" i="3"/>
  <c r="C31" i="3"/>
  <c r="L48" i="3"/>
  <c r="P34" i="3"/>
  <c r="M27" i="3"/>
  <c r="B53" i="3"/>
  <c r="J63" i="3"/>
  <c r="B62" i="3"/>
  <c r="H35" i="3"/>
  <c r="D18" i="3"/>
  <c r="K35" i="3"/>
  <c r="D44" i="3"/>
  <c r="L52" i="3"/>
  <c r="G20" i="3"/>
  <c r="B33" i="3"/>
  <c r="J41" i="3"/>
  <c r="C50" i="3"/>
  <c r="K58" i="3"/>
  <c r="H30" i="3"/>
  <c r="N36" i="3"/>
  <c r="F44" i="3"/>
  <c r="E51" i="3"/>
  <c r="K57" i="3"/>
  <c r="H27" i="3"/>
  <c r="E34" i="3"/>
  <c r="L41" i="3"/>
  <c r="K48" i="3"/>
  <c r="B55" i="3"/>
  <c r="O22" i="3"/>
  <c r="K31" i="3"/>
  <c r="B38" i="3"/>
  <c r="O43" i="3"/>
  <c r="M49" i="3"/>
  <c r="C55" i="3"/>
  <c r="M19" i="3"/>
  <c r="D30" i="3"/>
  <c r="I35" i="3"/>
  <c r="G41" i="3"/>
  <c r="E47" i="3"/>
  <c r="E32" i="3"/>
  <c r="N61" i="3"/>
  <c r="L67" i="3"/>
  <c r="P65" i="3"/>
  <c r="D55" i="3"/>
  <c r="C65" i="3"/>
  <c r="H70" i="3"/>
  <c r="C53" i="3"/>
  <c r="K64" i="3"/>
  <c r="P69" i="3"/>
  <c r="G42" i="3"/>
  <c r="C63" i="3"/>
  <c r="H68" i="3"/>
  <c r="C30" i="3"/>
  <c r="J61" i="3"/>
  <c r="O66" i="3"/>
  <c r="C25" i="3"/>
  <c r="C61" i="3"/>
  <c r="H66" i="3"/>
  <c r="P43" i="3"/>
  <c r="F63" i="3"/>
  <c r="L31" i="3"/>
  <c r="M61" i="3"/>
  <c r="K67" i="3"/>
  <c r="E27" i="3"/>
  <c r="E37" i="3"/>
  <c r="M45" i="3"/>
  <c r="F54" i="3"/>
  <c r="J24" i="3"/>
  <c r="K34" i="3"/>
  <c r="D43" i="3"/>
  <c r="L51" i="3"/>
  <c r="E60" i="3"/>
  <c r="I31" i="3"/>
  <c r="H38" i="3"/>
  <c r="N44" i="3"/>
  <c r="D58" i="3"/>
  <c r="O28" i="3"/>
  <c r="N35" i="3"/>
  <c r="E42" i="3"/>
  <c r="D49" i="3"/>
  <c r="J55" i="3"/>
  <c r="B25" i="3"/>
  <c r="E33" i="3"/>
  <c r="C39" i="3"/>
  <c r="H44" i="3"/>
  <c r="F50" i="3"/>
  <c r="D56" i="3"/>
  <c r="O21" i="3"/>
  <c r="L30" i="3"/>
  <c r="J36" i="3"/>
  <c r="O41" i="3"/>
  <c r="M47" i="3"/>
  <c r="M40" i="3"/>
  <c r="G62" i="3"/>
  <c r="E68" i="3"/>
  <c r="F57" i="3"/>
  <c r="K65" i="3"/>
  <c r="I71" i="3"/>
  <c r="E55" i="3"/>
  <c r="D65" i="3"/>
  <c r="B71" i="3"/>
  <c r="K46" i="3"/>
  <c r="K63" i="3"/>
  <c r="I69" i="3"/>
  <c r="G34" i="3"/>
  <c r="C62" i="3"/>
  <c r="P67" i="3"/>
  <c r="K30" i="3"/>
  <c r="K61" i="3"/>
  <c r="I67" i="3"/>
  <c r="E48" i="3"/>
  <c r="N63" i="3"/>
  <c r="E40" i="3"/>
  <c r="F62" i="3"/>
  <c r="D68" i="3"/>
  <c r="F49" i="3"/>
  <c r="O60" i="3"/>
  <c r="E65" i="3"/>
  <c r="L63" i="3"/>
  <c r="H43" i="3"/>
  <c r="F56" i="3"/>
  <c r="O63" i="3"/>
  <c r="B24" i="3"/>
  <c r="E62" i="3"/>
  <c r="C6" i="3"/>
  <c r="C5" i="3"/>
  <c r="D28" i="7" a="1"/>
  <c r="D31" i="7" l="1"/>
  <c r="D30" i="7"/>
  <c r="D28" i="7"/>
  <c r="D29" i="7"/>
  <c r="D32" i="7"/>
  <c r="L21" i="8" a="1"/>
  <c r="L22" i="8" l="1"/>
  <c r="L23" i="8"/>
  <c r="L24" i="8"/>
  <c r="L21" i="8"/>
  <c r="L25" i="8"/>
  <c r="L21" i="9" a="1"/>
  <c r="L21" i="9" l="1"/>
  <c r="L22" i="9"/>
  <c r="L23" i="9"/>
  <c r="L24" i="9"/>
  <c r="L25" i="9"/>
  <c r="L21" i="10" a="1"/>
  <c r="L24" i="10" l="1"/>
  <c r="L21" i="10"/>
  <c r="L22" i="10"/>
  <c r="L23" i="10"/>
  <c r="L25" i="10"/>
  <c r="C3" i="3"/>
  <c r="C15" i="3"/>
  <c r="B3" i="11"/>
  <c r="B7" i="11" a="1"/>
  <c r="B11" i="11"/>
  <c r="C18" i="11"/>
  <c r="D25" i="11"/>
  <c r="E32" i="11"/>
  <c r="F39" i="11"/>
  <c r="G46" i="11"/>
  <c r="H53" i="11"/>
  <c r="I60" i="11"/>
  <c r="B12" i="11"/>
  <c r="C19" i="11"/>
  <c r="D26" i="11"/>
  <c r="E33" i="11"/>
  <c r="F40" i="11"/>
  <c r="G47" i="11"/>
  <c r="H54" i="11"/>
  <c r="I61" i="11"/>
  <c r="B13" i="11"/>
  <c r="C20" i="11"/>
  <c r="D27" i="11"/>
  <c r="E34" i="11"/>
  <c r="F41" i="11"/>
  <c r="G48" i="11"/>
  <c r="H55" i="11"/>
  <c r="I62" i="11"/>
  <c r="B14" i="11"/>
  <c r="C21" i="11"/>
  <c r="D28" i="11"/>
  <c r="E35" i="11"/>
  <c r="F42" i="11"/>
  <c r="G49" i="11"/>
  <c r="H56" i="11"/>
  <c r="B7" i="11"/>
  <c r="C14" i="11"/>
  <c r="D21" i="11"/>
  <c r="E28" i="11"/>
  <c r="F35" i="11"/>
  <c r="G42" i="11"/>
  <c r="H49" i="11"/>
  <c r="I56" i="11"/>
  <c r="D8" i="11"/>
  <c r="E15" i="11"/>
  <c r="F22" i="11"/>
  <c r="G29" i="11"/>
  <c r="H36" i="11"/>
  <c r="I43" i="11"/>
  <c r="J50" i="11"/>
  <c r="B58" i="11"/>
  <c r="B17" i="11"/>
  <c r="F45" i="11"/>
  <c r="I17" i="11"/>
  <c r="D46" i="11"/>
  <c r="J17" i="11"/>
  <c r="E46" i="11"/>
  <c r="H18" i="11"/>
  <c r="C47" i="11"/>
  <c r="I18" i="11"/>
  <c r="D47" i="11"/>
  <c r="G19" i="11"/>
  <c r="B48" i="11"/>
  <c r="F20" i="11"/>
  <c r="J48" i="11"/>
  <c r="D55" i="11"/>
  <c r="H51" i="11"/>
  <c r="J11" i="11"/>
  <c r="B19" i="11"/>
  <c r="C26" i="11"/>
  <c r="D33" i="11"/>
  <c r="E40" i="11"/>
  <c r="F47" i="11"/>
  <c r="G54" i="11"/>
  <c r="H61" i="11"/>
  <c r="J12" i="11"/>
  <c r="B20" i="11"/>
  <c r="C27" i="11"/>
  <c r="D34" i="11"/>
  <c r="E41" i="11"/>
  <c r="F48" i="11"/>
  <c r="G55" i="11"/>
  <c r="H62" i="11"/>
  <c r="J13" i="11"/>
  <c r="B21" i="11"/>
  <c r="C28" i="11"/>
  <c r="D35" i="11"/>
  <c r="E42" i="11"/>
  <c r="F49" i="11"/>
  <c r="G56" i="11"/>
  <c r="I7" i="11"/>
  <c r="J14" i="11"/>
  <c r="B22" i="11"/>
  <c r="C29" i="11"/>
  <c r="D36" i="11"/>
  <c r="E43" i="11"/>
  <c r="F50" i="11"/>
  <c r="G57" i="11"/>
  <c r="J7" i="11"/>
  <c r="B15" i="11"/>
  <c r="C22" i="11"/>
  <c r="D29" i="11"/>
  <c r="E36" i="11"/>
  <c r="F43" i="11"/>
  <c r="G50" i="11"/>
  <c r="H57" i="11"/>
  <c r="C9" i="11"/>
  <c r="D16" i="11"/>
  <c r="E23" i="11"/>
  <c r="F30" i="11"/>
  <c r="G37" i="11"/>
  <c r="H44" i="11"/>
  <c r="I51" i="11"/>
  <c r="J58" i="11"/>
  <c r="G20" i="11"/>
  <c r="B49" i="11"/>
  <c r="E21" i="11"/>
  <c r="I49" i="11"/>
  <c r="F21" i="11"/>
  <c r="J49" i="11"/>
  <c r="D22" i="11"/>
  <c r="H50" i="11"/>
  <c r="E22" i="11"/>
  <c r="I50" i="11"/>
  <c r="C23" i="11"/>
  <c r="G51" i="11"/>
  <c r="B24" i="11"/>
  <c r="F52" i="11"/>
  <c r="G12" i="11"/>
  <c r="I26" i="11"/>
  <c r="I12" i="11"/>
  <c r="J19" i="11"/>
  <c r="B27" i="11"/>
  <c r="C34" i="11"/>
  <c r="D41" i="11"/>
  <c r="E48" i="11"/>
  <c r="F55" i="11"/>
  <c r="G62" i="11"/>
  <c r="I13" i="11"/>
  <c r="J20" i="11"/>
  <c r="B28" i="11"/>
  <c r="C35" i="11"/>
  <c r="D42" i="11"/>
  <c r="E49" i="11"/>
  <c r="F56" i="11"/>
  <c r="H7" i="11"/>
  <c r="I14" i="11"/>
  <c r="J21" i="11"/>
  <c r="B29" i="11"/>
  <c r="C36" i="11"/>
  <c r="D43" i="11"/>
  <c r="E50" i="11"/>
  <c r="F57" i="11"/>
  <c r="H8" i="11"/>
  <c r="I15" i="11"/>
  <c r="J22" i="11"/>
  <c r="B30" i="11"/>
  <c r="C37" i="11"/>
  <c r="D44" i="11"/>
  <c r="E51" i="11"/>
  <c r="F58" i="11"/>
  <c r="I8" i="11"/>
  <c r="J15" i="11"/>
  <c r="B23" i="11"/>
  <c r="C30" i="11"/>
  <c r="D37" i="11"/>
  <c r="E44" i="11"/>
  <c r="F51" i="11"/>
  <c r="G58" i="11"/>
  <c r="B10" i="11"/>
  <c r="C17" i="11"/>
  <c r="D24" i="11"/>
  <c r="E31" i="11"/>
  <c r="F38" i="11"/>
  <c r="G45" i="11"/>
  <c r="H52" i="11"/>
  <c r="I59" i="11"/>
  <c r="C24" i="11"/>
  <c r="G52" i="11"/>
  <c r="J24" i="11"/>
  <c r="E53" i="11"/>
  <c r="B25" i="11"/>
  <c r="F53" i="11"/>
  <c r="I25" i="11"/>
  <c r="D54" i="11"/>
  <c r="J25" i="11"/>
  <c r="E54" i="11"/>
  <c r="H26" i="11"/>
  <c r="C55" i="11"/>
  <c r="G27" i="11"/>
  <c r="B56" i="11"/>
  <c r="B41" i="11"/>
  <c r="E30" i="11"/>
  <c r="H13" i="11"/>
  <c r="I20" i="11"/>
  <c r="J27" i="11"/>
  <c r="B35" i="11"/>
  <c r="C42" i="11"/>
  <c r="D49" i="11"/>
  <c r="E56" i="11"/>
  <c r="G7" i="11"/>
  <c r="H14" i="11"/>
  <c r="I21" i="11"/>
  <c r="J28" i="11"/>
  <c r="B36" i="11"/>
  <c r="C43" i="11"/>
  <c r="D50" i="11"/>
  <c r="E57" i="11"/>
  <c r="G8" i="11"/>
  <c r="H15" i="11"/>
  <c r="I22" i="11"/>
  <c r="J29" i="11"/>
  <c r="B37" i="11"/>
  <c r="C44" i="11"/>
  <c r="D51" i="11"/>
  <c r="E58" i="11"/>
  <c r="G9" i="11"/>
  <c r="H16" i="11"/>
  <c r="I23" i="11"/>
  <c r="J30" i="11"/>
  <c r="B38" i="11"/>
  <c r="C45" i="11"/>
  <c r="D52" i="11"/>
  <c r="E59" i="11"/>
  <c r="H9" i="11"/>
  <c r="I16" i="11"/>
  <c r="J23" i="11"/>
  <c r="B31" i="11"/>
  <c r="C38" i="11"/>
  <c r="D45" i="11"/>
  <c r="E52" i="11"/>
  <c r="F59" i="11"/>
  <c r="J10" i="11"/>
  <c r="B18" i="11"/>
  <c r="C25" i="11"/>
  <c r="D32" i="11"/>
  <c r="E39" i="11"/>
  <c r="F46" i="11"/>
  <c r="G53" i="11"/>
  <c r="H60" i="11"/>
  <c r="H27" i="11"/>
  <c r="C56" i="11"/>
  <c r="F28" i="11"/>
  <c r="J56" i="11"/>
  <c r="G28" i="11"/>
  <c r="B57" i="11"/>
  <c r="E29" i="11"/>
  <c r="I57" i="11"/>
  <c r="F29" i="11"/>
  <c r="J57" i="11"/>
  <c r="D30" i="11"/>
  <c r="H58" i="11"/>
  <c r="C31" i="11"/>
  <c r="G59" i="11"/>
  <c r="C16" i="11"/>
  <c r="I58" i="11"/>
  <c r="F7" i="11"/>
  <c r="G14" i="11"/>
  <c r="H21" i="11"/>
  <c r="I28" i="11"/>
  <c r="J35" i="11"/>
  <c r="B43" i="11"/>
  <c r="C50" i="11"/>
  <c r="D57" i="11"/>
  <c r="F8" i="11"/>
  <c r="G15" i="11"/>
  <c r="H22" i="11"/>
  <c r="I29" i="11"/>
  <c r="J36" i="11"/>
  <c r="B44" i="11"/>
  <c r="C51" i="11"/>
  <c r="D58" i="11"/>
  <c r="F9" i="11"/>
  <c r="G16" i="11"/>
  <c r="H23" i="11"/>
  <c r="I30" i="11"/>
  <c r="J37" i="11"/>
  <c r="B45" i="11"/>
  <c r="C52" i="11"/>
  <c r="D59" i="11"/>
  <c r="F10" i="11"/>
  <c r="G17" i="11"/>
  <c r="H24" i="11"/>
  <c r="I31" i="11"/>
  <c r="J38" i="11"/>
  <c r="B46" i="11"/>
  <c r="C53" i="11"/>
  <c r="D60" i="11"/>
  <c r="G10" i="11"/>
  <c r="H17" i="11"/>
  <c r="I24" i="11"/>
  <c r="J31" i="11"/>
  <c r="B39" i="11"/>
  <c r="C46" i="11"/>
  <c r="D53" i="11"/>
  <c r="E60" i="11"/>
  <c r="I11" i="11"/>
  <c r="J18" i="11"/>
  <c r="B26" i="11"/>
  <c r="C33" i="11"/>
  <c r="D40" i="11"/>
  <c r="E47" i="11"/>
  <c r="F54" i="11"/>
  <c r="G61" i="11"/>
  <c r="D31" i="11"/>
  <c r="H59" i="11"/>
  <c r="B32" i="11"/>
  <c r="F60" i="11"/>
  <c r="C32" i="11"/>
  <c r="G60" i="11"/>
  <c r="J32" i="11"/>
  <c r="E61" i="11"/>
  <c r="B33" i="11"/>
  <c r="F61" i="11"/>
  <c r="I33" i="11"/>
  <c r="D62" i="11"/>
  <c r="H34" i="11"/>
  <c r="J33" i="11"/>
  <c r="G44" i="11"/>
  <c r="E8" i="11"/>
  <c r="F15" i="11"/>
  <c r="G22" i="11"/>
  <c r="H29" i="11"/>
  <c r="I36" i="11"/>
  <c r="J43" i="11"/>
  <c r="B51" i="11"/>
  <c r="C58" i="11"/>
  <c r="E9" i="11"/>
  <c r="F16" i="11"/>
  <c r="G23" i="11"/>
  <c r="H30" i="11"/>
  <c r="I37" i="11"/>
  <c r="J44" i="11"/>
  <c r="B52" i="11"/>
  <c r="C59" i="11"/>
  <c r="E10" i="11"/>
  <c r="F17" i="11"/>
  <c r="G24" i="11"/>
  <c r="H31" i="11"/>
  <c r="I38" i="11"/>
  <c r="J45" i="11"/>
  <c r="B53" i="11"/>
  <c r="C60" i="11"/>
  <c r="E11" i="11"/>
  <c r="F18" i="11"/>
  <c r="G25" i="11"/>
  <c r="H32" i="11"/>
  <c r="I39" i="11"/>
  <c r="J46" i="11"/>
  <c r="B54" i="11"/>
  <c r="C61" i="11"/>
  <c r="F11" i="11"/>
  <c r="G18" i="11"/>
  <c r="H25" i="11"/>
  <c r="I32" i="11"/>
  <c r="J39" i="11"/>
  <c r="B47" i="11"/>
  <c r="C54" i="11"/>
  <c r="D61" i="11"/>
  <c r="H12" i="11"/>
  <c r="I19" i="11"/>
  <c r="J26" i="11"/>
  <c r="B34" i="11"/>
  <c r="C41" i="11"/>
  <c r="D48" i="11"/>
  <c r="E55" i="11"/>
  <c r="F62" i="11"/>
  <c r="I34" i="11"/>
  <c r="C7" i="11"/>
  <c r="G35" i="11"/>
  <c r="D7" i="11"/>
  <c r="H35" i="11"/>
  <c r="B8" i="11"/>
  <c r="F36" i="11"/>
  <c r="C8" i="11"/>
  <c r="G36" i="11"/>
  <c r="J8" i="11"/>
  <c r="E37" i="11"/>
  <c r="I9" i="11"/>
  <c r="D38" i="11"/>
  <c r="E62" i="11"/>
  <c r="H19" i="11"/>
  <c r="D9" i="11"/>
  <c r="E16" i="11"/>
  <c r="F23" i="11"/>
  <c r="G30" i="11"/>
  <c r="H37" i="11"/>
  <c r="I44" i="11"/>
  <c r="J51" i="11"/>
  <c r="B59" i="11"/>
  <c r="D10" i="11"/>
  <c r="E17" i="11"/>
  <c r="F24" i="11"/>
  <c r="G31" i="11"/>
  <c r="H38" i="11"/>
  <c r="I45" i="11"/>
  <c r="J52" i="11"/>
  <c r="B60" i="11"/>
  <c r="D11" i="11"/>
  <c r="E18" i="11"/>
  <c r="F25" i="11"/>
  <c r="G32" i="11"/>
  <c r="H39" i="11"/>
  <c r="I46" i="11"/>
  <c r="J53" i="11"/>
  <c r="B61" i="11"/>
  <c r="D12" i="11"/>
  <c r="E19" i="11"/>
  <c r="F26" i="11"/>
  <c r="G33" i="11"/>
  <c r="H40" i="11"/>
  <c r="I47" i="11"/>
  <c r="J54" i="11"/>
  <c r="B62" i="11"/>
  <c r="E12" i="11"/>
  <c r="F19" i="11"/>
  <c r="G26" i="11"/>
  <c r="H33" i="11"/>
  <c r="I40" i="11"/>
  <c r="J47" i="11"/>
  <c r="B55" i="11"/>
  <c r="C62" i="11"/>
  <c r="G13" i="11"/>
  <c r="H20" i="11"/>
  <c r="I27" i="11"/>
  <c r="J34" i="11"/>
  <c r="B42" i="11"/>
  <c r="C49" i="11"/>
  <c r="D56" i="11"/>
  <c r="J9" i="11"/>
  <c r="E38" i="11"/>
  <c r="H10" i="11"/>
  <c r="C39" i="11"/>
  <c r="I10" i="11"/>
  <c r="D39" i="11"/>
  <c r="G11" i="11"/>
  <c r="B40" i="11"/>
  <c r="H11" i="11"/>
  <c r="C40" i="11"/>
  <c r="F12" i="11"/>
  <c r="J40" i="11"/>
  <c r="E13" i="11"/>
  <c r="I41" i="11"/>
  <c r="B9" i="11"/>
  <c r="C48" i="11"/>
  <c r="C10" i="11"/>
  <c r="D17" i="11"/>
  <c r="E24" i="11"/>
  <c r="F31" i="11"/>
  <c r="G38" i="11"/>
  <c r="H45" i="11"/>
  <c r="I52" i="11"/>
  <c r="J59" i="11"/>
  <c r="C11" i="11"/>
  <c r="D18" i="11"/>
  <c r="E25" i="11"/>
  <c r="F32" i="11"/>
  <c r="G39" i="11"/>
  <c r="H46" i="11"/>
  <c r="I53" i="11"/>
  <c r="J60" i="11"/>
  <c r="C12" i="11"/>
  <c r="D19" i="11"/>
  <c r="E26" i="11"/>
  <c r="F33" i="11"/>
  <c r="G40" i="11"/>
  <c r="H47" i="11"/>
  <c r="I54" i="11"/>
  <c r="J61" i="11"/>
  <c r="C13" i="11"/>
  <c r="D20" i="11"/>
  <c r="E27" i="11"/>
  <c r="F34" i="11"/>
  <c r="G41" i="11"/>
  <c r="H48" i="11"/>
  <c r="I55" i="11"/>
  <c r="J62" i="11"/>
  <c r="D13" i="11"/>
  <c r="E20" i="11"/>
  <c r="F27" i="11"/>
  <c r="G34" i="11"/>
  <c r="H41" i="11"/>
  <c r="I48" i="11"/>
  <c r="J55" i="11"/>
  <c r="E7" i="11"/>
  <c r="F14" i="11"/>
  <c r="G21" i="11"/>
  <c r="H28" i="11"/>
  <c r="I35" i="11"/>
  <c r="J42" i="11"/>
  <c r="B50" i="11"/>
  <c r="C57" i="11"/>
  <c r="F13" i="11"/>
  <c r="J41" i="11"/>
  <c r="D14" i="11"/>
  <c r="H42" i="11"/>
  <c r="E14" i="11"/>
  <c r="I42" i="11"/>
  <c r="C15" i="11"/>
  <c r="G43" i="11"/>
  <c r="D15" i="11"/>
  <c r="H43" i="11"/>
  <c r="B16" i="11"/>
  <c r="F44" i="11"/>
  <c r="J16" i="11"/>
  <c r="E45" i="11"/>
  <c r="F37" i="11"/>
  <c r="D23" i="11"/>
</calcChain>
</file>

<file path=xl/sharedStrings.xml><?xml version="1.0" encoding="utf-8"?>
<sst xmlns="http://schemas.openxmlformats.org/spreadsheetml/2006/main" count="945" uniqueCount="253">
  <si>
    <t>Trade Information</t>
  </si>
  <si>
    <t>Basis Points</t>
  </si>
  <si>
    <t>Rate or Index</t>
  </si>
  <si>
    <t>Float Schedule</t>
  </si>
  <si>
    <t>Notional</t>
  </si>
  <si>
    <t>Leverage</t>
  </si>
  <si>
    <t>FloatSpread</t>
  </si>
  <si>
    <t>ForecastCurve</t>
  </si>
  <si>
    <t>FixingDate</t>
  </si>
  <si>
    <t>AccrualStart</t>
  </si>
  <si>
    <t>AccrualEnd</t>
  </si>
  <si>
    <t>PaymentDate</t>
  </si>
  <si>
    <t>CouponMultiplier</t>
  </si>
  <si>
    <t>AccrualDaycount</t>
  </si>
  <si>
    <t>USD3ML</t>
  </si>
  <si>
    <t>ACT/360</t>
  </si>
  <si>
    <t>FixingLag</t>
  </si>
  <si>
    <t>PaymentLag</t>
  </si>
  <si>
    <t>2D</t>
  </si>
  <si>
    <t>USD6ML</t>
  </si>
  <si>
    <t>-2D</t>
  </si>
  <si>
    <t>Schedule Properties</t>
  </si>
  <si>
    <t>ScheduleType</t>
  </si>
  <si>
    <t>FLOAT</t>
  </si>
  <si>
    <t>PayReceive</t>
  </si>
  <si>
    <t>RECEIVE</t>
  </si>
  <si>
    <t>NotionalExchange</t>
  </si>
  <si>
    <t>NONE</t>
  </si>
  <si>
    <t>FixingBusinessDayAdjustment</t>
  </si>
  <si>
    <t>FixingCalendar</t>
  </si>
  <si>
    <t>PRECEDING</t>
  </si>
  <si>
    <t>NYB</t>
  </si>
  <si>
    <t>FloatSchedule</t>
  </si>
  <si>
    <t>LegType</t>
  </si>
  <si>
    <t>DiscountCurve</t>
  </si>
  <si>
    <t>USDOIS</t>
  </si>
  <si>
    <t>Currency</t>
  </si>
  <si>
    <t>USD</t>
  </si>
  <si>
    <t>Curve</t>
  </si>
  <si>
    <t>USDYC</t>
  </si>
  <si>
    <t>#4   Price</t>
  </si>
  <si>
    <t>Trade Leg PV</t>
  </si>
  <si>
    <t>#5   Display Cashflows</t>
  </si>
  <si>
    <t>Float Spread (Bps)</t>
  </si>
  <si>
    <t>AccrualDays</t>
  </si>
  <si>
    <t>AccrualYearFractions</t>
  </si>
  <si>
    <t>FloatRate</t>
  </si>
  <si>
    <t>Coupon</t>
  </si>
  <si>
    <t>DiscountFactor</t>
  </si>
  <si>
    <t>CouponPV</t>
  </si>
  <si>
    <t>CreateFixingTable</t>
  </si>
  <si>
    <t>Fixing Table &amp; Index Information</t>
  </si>
  <si>
    <t>TableName</t>
  </si>
  <si>
    <t>CurveTenor</t>
  </si>
  <si>
    <t>3M</t>
  </si>
  <si>
    <t>FixingValue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</si>
  <si>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</si>
  <si>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</si>
  <si>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</si>
  <si>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</si>
  <si>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</si>
  <si>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</si>
  <si>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</si>
  <si>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</si>
  <si>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</si>
  <si>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</si>
  <si>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 Names</t>
  </si>
  <si>
    <t>CurveType</t>
  </si>
  <si>
    <t>CurveCollection</t>
  </si>
  <si>
    <t>CurveIndexFrequency</t>
  </si>
  <si>
    <t>DAILY</t>
  </si>
  <si>
    <t>StaticDataTable</t>
  </si>
  <si>
    <t>AsOfDate</t>
  </si>
  <si>
    <t>IndexName(s)</t>
  </si>
  <si>
    <t>Create Market Data Handle</t>
  </si>
  <si>
    <t>Handle Name</t>
  </si>
  <si>
    <t>USD_OIS_CURVE_MARKETDATA</t>
  </si>
  <si>
    <t>Curve Build Properties</t>
  </si>
  <si>
    <t>Market Data Handle</t>
  </si>
  <si>
    <t>interpolation</t>
  </si>
  <si>
    <t>FN_SPLINEINTERPOLATION</t>
  </si>
  <si>
    <t>yieldgen.interpolation</t>
  </si>
  <si>
    <t>Curve Dictionary</t>
  </si>
  <si>
    <t>USD_OIS_CURVE</t>
  </si>
  <si>
    <t>Curve Generator</t>
  </si>
  <si>
    <t>USD_OIS</t>
  </si>
  <si>
    <t>Domestic Curve Collection</t>
  </si>
  <si>
    <t>Foreign Curve Collection</t>
  </si>
  <si>
    <t>ANNUAL</t>
  </si>
  <si>
    <t>Curve Build</t>
  </si>
  <si>
    <t>MOD_FOLLOWING</t>
  </si>
  <si>
    <t>eomday</t>
  </si>
  <si>
    <t>Curve Collection</t>
  </si>
  <si>
    <t>Curve Index</t>
  </si>
  <si>
    <t>Calibration Time Taken</t>
  </si>
  <si>
    <t>Curve Loaded</t>
  </si>
  <si>
    <t>3Y</t>
  </si>
  <si>
    <t>Epsilon</t>
  </si>
  <si>
    <t>MaxLoop</t>
  </si>
  <si>
    <t>LNB:NYB</t>
  </si>
  <si>
    <t>QUARTERLY</t>
  </si>
  <si>
    <t>SEMI-ANNUAL</t>
  </si>
  <si>
    <t>LIBORFIXINGS</t>
  </si>
  <si>
    <t>FUTURES</t>
  </si>
  <si>
    <t>Volatility</t>
  </si>
  <si>
    <t>SWAP</t>
  </si>
  <si>
    <t>STD</t>
  </si>
  <si>
    <t>USD_SWAP_3M_CURVE_MARKETDATA</t>
  </si>
  <si>
    <t>FN_LINEARSPLINEINTERPOLATION</t>
  </si>
  <si>
    <t>USD_SWAP_3M_CURVE</t>
  </si>
  <si>
    <t>SIMPLE</t>
  </si>
  <si>
    <t>USD_SWAP_3M</t>
  </si>
  <si>
    <t>2</t>
  </si>
  <si>
    <t>issimultaneouseq</t>
  </si>
  <si>
    <t>meCurveCalibrateBasis</t>
  </si>
  <si>
    <t>BASISSWAPS</t>
  </si>
  <si>
    <t>1=IF(AND(isUSD3MLLoaded),meCurveCalibrateBasis(CurveCollection,StaticDataTable,IndexName,CurveBuildProperties,TenorBasisConventions,TenorBasisMarketData),"Please load curve dependencies")</t>
  </si>
  <si>
    <t>TENORBASIS</t>
  </si>
  <si>
    <t>CREATE MARKET DATA HANDLE</t>
  </si>
  <si>
    <t>3M6MBasis</t>
  </si>
  <si>
    <t>USD_BASIS_3X6_MARKETDATA</t>
  </si>
  <si>
    <t>3M6MBasis:USD6ML</t>
  </si>
  <si>
    <t>CURVE DICTIONARY</t>
  </si>
  <si>
    <t>HandleName</t>
  </si>
  <si>
    <t>USD_BASIS_6M_CURVE</t>
  </si>
  <si>
    <t>CurveGenerator</t>
  </si>
  <si>
    <t>USD_BASIS_3X6</t>
  </si>
  <si>
    <t>DomesticCurve</t>
  </si>
  <si>
    <t>ForeignCurve</t>
  </si>
  <si>
    <t>CREATE CURVE HANDLE</t>
  </si>
  <si>
    <t>basis.interpolation</t>
  </si>
  <si>
    <t>isFwdBasis</t>
  </si>
  <si>
    <t>dfCurveName</t>
  </si>
  <si>
    <t>IsCurveLoaded</t>
  </si>
  <si>
    <t>Tenor Basis Swaps</t>
  </si>
  <si>
    <t>Tenor Basis Conventions ( 3 X 6 )</t>
  </si>
  <si>
    <t>Tenor Basis Spreads ( 3 X 6 )</t>
  </si>
  <si>
    <t>MarketName</t>
  </si>
  <si>
    <t>Known Leg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</si>
  <si>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</si>
  <si>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</si>
  <si>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</si>
  <si>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</si>
  <si>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</si>
  <si>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</si>
  <si>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</si>
  <si>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</si>
  <si>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</si>
  <si>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6M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</si>
  <si>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</si>
  <si>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</si>
  <si>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</si>
  <si>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</si>
  <si>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</si>
  <si>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</si>
  <si>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Leg2Forecast Unknown : 
STD is the initial guess</t>
  </si>
  <si>
    <t>Leg2cashlet.calendar</t>
  </si>
  <si>
    <t>Leg2cashlet.daycount</t>
  </si>
  <si>
    <t>Leg2cashlet.frequency</t>
  </si>
  <si>
    <t>Leg2cashlet.frequencycompound</t>
  </si>
  <si>
    <t>Leg2cashlet.slidingrule</t>
  </si>
  <si>
    <t>Leg2cashlet.spotlag</t>
  </si>
  <si>
    <t>Leg2discount</t>
  </si>
  <si>
    <t>Leg2forecast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</si>
  <si>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</si>
  <si>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</si>
  <si>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</si>
  <si>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</si>
  <si>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</si>
  <si>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</si>
  <si>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</si>
  <si>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</si>
  <si>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Leg1Forecast</t>
  </si>
  <si>
    <t>fwdinterpolation</t>
  </si>
  <si>
    <t>issamegridindex</t>
  </si>
  <si>
    <t>SpotRateTerm</t>
  </si>
  <si>
    <t>isyieldspreadcalc</t>
  </si>
  <si>
    <t>isFwdInter</t>
  </si>
  <si>
    <t>IsEOMRoll</t>
  </si>
  <si>
    <t>MONTHLY</t>
  </si>
  <si>
    <t>1M3MBasis</t>
  </si>
  <si>
    <t>USD_BASIS_1X3_MARKETDATA</t>
  </si>
  <si>
    <t>1M3MBasis:USD1ML</t>
  </si>
  <si>
    <t>USD_BASIS_1M_CURVE</t>
  </si>
  <si>
    <t>USD_BASIS_1X3</t>
  </si>
  <si>
    <t>Tenor Basis Conventions ( 1 X 3 )</t>
  </si>
  <si>
    <t>Tenor Basis Spreads ( 1 X 3 )</t>
  </si>
  <si>
    <t>1M</t>
  </si>
  <si>
    <t>Leg2Forecast</t>
  </si>
  <si>
    <t>3M12MBasis</t>
  </si>
  <si>
    <t>USD_BASIS_3X12_MARKETDATA</t>
  </si>
  <si>
    <t>3M12MBasis:USD12ML</t>
  </si>
  <si>
    <t>USD_BASIS_12M_CURVE</t>
  </si>
  <si>
    <t>USD_BASIS_3X12</t>
  </si>
  <si>
    <t>Tenor Basis Conventions ( 3 X 12 )</t>
  </si>
  <si>
    <t>Tenor Basis Spreads ( 3 X 12 )</t>
  </si>
  <si>
    <t>12M</t>
  </si>
  <si>
    <t>ON</t>
  </si>
  <si>
    <t>1Y</t>
  </si>
  <si>
    <t>1W</t>
  </si>
  <si>
    <t>2Y</t>
  </si>
  <si>
    <t>2W</t>
  </si>
  <si>
    <t>3W</t>
  </si>
  <si>
    <t>4Y</t>
  </si>
  <si>
    <t>5Y</t>
  </si>
  <si>
    <t>2M</t>
  </si>
  <si>
    <t>7Y</t>
  </si>
  <si>
    <t>10Y</t>
  </si>
  <si>
    <t>4M</t>
  </si>
  <si>
    <t>12Y</t>
  </si>
  <si>
    <t>5M</t>
  </si>
  <si>
    <t>15Y</t>
  </si>
  <si>
    <t>20Y</t>
  </si>
  <si>
    <t>9M</t>
  </si>
  <si>
    <t>25Y</t>
  </si>
  <si>
    <t>30Y</t>
  </si>
  <si>
    <t>ED1 Comdty</t>
  </si>
  <si>
    <t>ED2 Comdty</t>
  </si>
  <si>
    <t>ED3 Comdty</t>
  </si>
  <si>
    <t>ED4 Comdty</t>
  </si>
  <si>
    <t>ED5 Comdty</t>
  </si>
  <si>
    <t>8Y</t>
  </si>
  <si>
    <t>ED6 Comdty</t>
  </si>
  <si>
    <t>9Y</t>
  </si>
  <si>
    <t>ED7 Comdty</t>
  </si>
  <si>
    <t>ED8 Comdty</t>
  </si>
  <si>
    <t>6Y</t>
  </si>
  <si>
    <t>Risk</t>
  </si>
  <si>
    <t>FIXED</t>
  </si>
  <si>
    <t>FixedRate</t>
  </si>
  <si>
    <t>PAY</t>
  </si>
  <si>
    <t>Create Schedule</t>
  </si>
  <si>
    <t>Create Float Leg</t>
  </si>
  <si>
    <t>Price Float Leg</t>
  </si>
  <si>
    <t>Display Float Cashflows</t>
  </si>
  <si>
    <t>LEG2:FLOAT</t>
  </si>
  <si>
    <t>Create Fixed Leg</t>
  </si>
  <si>
    <t>LEG1:FIXED</t>
  </si>
  <si>
    <t>Price Fixed Leg</t>
  </si>
  <si>
    <t>Fixed Leg PV</t>
  </si>
  <si>
    <t>Float Leg PV</t>
  </si>
  <si>
    <t>FIXED LEG</t>
  </si>
  <si>
    <t>FLOAT LEG</t>
  </si>
  <si>
    <t>CUSTOM ROLLERCOASTER SWAP</t>
  </si>
  <si>
    <t>Create Swap</t>
  </si>
  <si>
    <t>TradeLegs</t>
  </si>
  <si>
    <t>Trade Specification</t>
  </si>
  <si>
    <t>USD1ML:USD3ML:USD6ML</t>
  </si>
  <si>
    <t>USD1ML</t>
  </si>
  <si>
    <t>*</t>
  </si>
  <si>
    <t>* List all Curve Indices Here (Needed for Risk Calculation)</t>
  </si>
  <si>
    <t>Price Trade</t>
  </si>
  <si>
    <t>Trade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</si>
</sst>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%"/>
    <numFmt numFmtId="168" formatCode="0.0000"/>
    <numFmt numFmtId="169" formatCode="0.000%"/>
    <numFmt numFmtId="170" formatCode="#\ ###\ ###\ ###\ ##0.00"/>
    <numFmt numFmtId="171" formatCode="&quot;YEAR&quot;\ 0"/>
    <numFmt numFmtId="172" formatCode="#,##0.0"/>
    <numFmt numFmtId="173" formatCode="_-* #,##0.00,,\ _-;\(#,##0.00,,\)_-;_-* &quot;-&quot;??_-;_-@_-"/>
    <numFmt numFmtId="174" formatCode="_-* #,##0,,\ _-;\(#,##0,,\)_-;_-* &quot;-&quot;??_-;_-@_-"/>
    <numFmt numFmtId="175" formatCode="_(* #,##0_);_(* \(#,##0\);_(* &quot;-&quot;??_);_(@_)"/>
    <numFmt numFmtId="176" formatCode="#,##0.0_);[Red]\(#,##0.0\)"/>
    <numFmt numFmtId="177" formatCode="0.00\x"/>
    <numFmt numFmtId="178" formatCode="General_)"/>
    <numFmt numFmtId="179" formatCode="0.000"/>
    <numFmt numFmtId="180" formatCode="dd\ mmm\ yyyy_);&quot;#date&quot;_);&quot;-  &quot;;&quot; &quot;@"/>
    <numFmt numFmtId="181" formatCode="#,##0.0000_);\(#,##0.0000\);&quot;-  &quot;;&quot; &quot;@"/>
    <numFmt numFmtId="182" formatCode="#,##0_);\(#,##0\);&quot;-  &quot;;&quot; &quot;@"/>
    <numFmt numFmtId="183" formatCode="#,##0_);\(#,##0\);\-"/>
    <numFmt numFmtId="184" formatCode="#,##0.0_);\(#,##0.0\)"/>
    <numFmt numFmtId="185" formatCode="###0.0;[Red]\-###0.0"/>
    <numFmt numFmtId="186" formatCode="[=1]&quot;Yes&quot;;[=0]&quot;No&quot;;&quot;Error&quot;"/>
    <numFmt numFmtId="187" formatCode="#,##0_);\(#,##0\);\-_)"/>
    <numFmt numFmtId="188" formatCode="#,##0.00_);\(#,##0.00\);\-_)"/>
    <numFmt numFmtId="189" formatCode="0.0%_);\(0.0%\);\-_)"/>
    <numFmt numFmtId="190" formatCode="0.00%_);\(0.00%\);\-_)"/>
    <numFmt numFmtId="191" formatCode="0%_);\(0%\);\-_)"/>
    <numFmt numFmtId="192" formatCode="#,##0.000_);\(#,##0.000\);\-_)"/>
    <numFmt numFmtId="193" formatCode="#,##0.00\x_);\(#,##0.00\x\);\-_)"/>
    <numFmt numFmtId="194" formatCode="#,##0.0000_);\(#,##0.0000\);\-_)"/>
    <numFmt numFmtId="195" formatCode="0.000%_);\(0.000%\);\-_)"/>
    <numFmt numFmtId="196" formatCode="#,##0;[Red]\(#,##0\);\-"/>
    <numFmt numFmtId="197" formatCode="#,##0_ ;\(#,##0\)_-;&quot;-&quot;"/>
    <numFmt numFmtId="198" formatCode="#."/>
    <numFmt numFmtId="199" formatCode="#\ ###\ ###\ ###\ ##0.00;\-#\ ###\ ###\ ###\ ##0.00;\-_)"/>
    <numFmt numFmtId="200" formatCode="0.000000"/>
    <numFmt numFmtId="201" formatCode="d\ mmm\ yy"/>
    <numFmt numFmtId="202" formatCode="#,##0_);\-#,##0_);\-_)"/>
    <numFmt numFmtId="203" formatCode="#,##0.00_);\-#,##0.00_);\-_)"/>
    <numFmt numFmtId="204" formatCode="#,##0.0_);\-#,##0.0_);\-_)"/>
    <numFmt numFmtId="205" formatCode="#,##0,_);\(#,##0,\);\-_0"/>
    <numFmt numFmtId="206" formatCode="dd\ mmm\ yy_);;&quot;-  &quot;;&quot; &quot;@"/>
    <numFmt numFmtId="207" formatCode="0.00%_);\-0.00%_);&quot;-  &quot;;&quot; &quot;@"/>
    <numFmt numFmtId="208" formatCode="[$-409]d\-mmm\-yy;@"/>
    <numFmt numFmtId="209" formatCode="_-* #,##0_-;\-* #,##0_-;_-* &quot;-&quot;??_-;_-@_-"/>
    <numFmt numFmtId="210" formatCode="0.00000%"/>
    <numFmt numFmtId="211" formatCode="ddd\,\ d\-mmm\-yy"/>
    <numFmt numFmtId="212" formatCode="0.0000%"/>
    <numFmt numFmtId="213" formatCode="#,##0.000"/>
    <numFmt numFmtId="214" formatCode="#,##0.000000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8"/>
      <name val="Book Antiqua"/>
      <family val="1"/>
    </font>
    <font>
      <sz val="10"/>
      <name val="Geneva"/>
      <family val="2"/>
    </font>
    <font>
      <sz val="8"/>
      <name val="Palatino"/>
      <family val="1"/>
    </font>
    <font>
      <sz val="12"/>
      <name val="Arial"/>
      <family val="2"/>
    </font>
    <font>
      <sz val="11"/>
      <color indexed="12"/>
      <name val="Book Antiqua"/>
      <family val="1"/>
    </font>
    <font>
      <i/>
      <sz val="11"/>
      <color indexed="23"/>
      <name val="Calibri"/>
      <family val="2"/>
    </font>
    <font>
      <sz val="7"/>
      <name val="Palatino"/>
      <family val="1"/>
    </font>
    <font>
      <sz val="11"/>
      <color indexed="17"/>
      <name val="Calibri"/>
      <family val="2"/>
    </font>
    <font>
      <sz val="6"/>
      <color indexed="16"/>
      <name val="Palatino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10"/>
      <color indexed="62"/>
      <name val="Arial"/>
      <family val="2"/>
    </font>
    <font>
      <b/>
      <sz val="12"/>
      <color indexed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indexed="6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color indexed="16"/>
      <name val="Helvetica-Black"/>
    </font>
    <font>
      <b/>
      <sz val="18"/>
      <color indexed="56"/>
      <name val="Cambria"/>
      <family val="2"/>
    </font>
    <font>
      <b/>
      <sz val="12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17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sz val="8"/>
      <color indexed="8"/>
      <name val="Arial"/>
      <family val="2"/>
    </font>
    <font>
      <sz val="10"/>
      <name val="Frutiger 55 Roman"/>
    </font>
    <font>
      <sz val="8"/>
      <name val="Times New Roman"/>
      <family val="1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name val="Helv"/>
    </font>
    <font>
      <b/>
      <sz val="26"/>
      <name val="Times New Roman"/>
      <family val="1"/>
    </font>
    <font>
      <b/>
      <sz val="18"/>
      <name val="Times New Roman"/>
      <family val="1"/>
    </font>
    <font>
      <b/>
      <sz val="13"/>
      <color indexed="9"/>
      <name val="Frutiger 55 Roman"/>
    </font>
    <font>
      <sz val="10"/>
      <name val="Times New Roman"/>
      <family val="1"/>
    </font>
    <font>
      <b/>
      <sz val="9"/>
      <name val="Arial"/>
      <family val="2"/>
    </font>
    <font>
      <sz val="7"/>
      <name val="Times New Roman"/>
      <family val="1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1"/>
      <name val="BiText"/>
    </font>
    <font>
      <sz val="12"/>
      <color indexed="48"/>
      <name val="Times New Roman"/>
      <family val="1"/>
    </font>
    <font>
      <sz val="8"/>
      <color indexed="47"/>
      <name val="DateInput"/>
    </font>
    <font>
      <sz val="8"/>
      <color indexed="60"/>
      <name val="Arial"/>
      <family val="2"/>
    </font>
    <font>
      <sz val="8"/>
      <color indexed="47"/>
      <name val="Arial"/>
      <family val="2"/>
    </font>
    <font>
      <u/>
      <sz val="8"/>
      <color indexed="60"/>
      <name val="Arial"/>
      <family val="2"/>
    </font>
    <font>
      <b/>
      <sz val="12"/>
      <name val="Geneva"/>
      <family val="2"/>
    </font>
    <font>
      <sz val="10"/>
      <name val="Palatino"/>
      <family val="1"/>
    </font>
    <font>
      <sz val="8"/>
      <color indexed="8"/>
      <name val="DateInput"/>
    </font>
    <font>
      <sz val="8"/>
      <color indexed="60"/>
      <name val="DateInput"/>
    </font>
    <font>
      <sz val="9.5"/>
      <color indexed="23"/>
      <name val="Helvetica-Black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8"/>
      <name val="Arial"/>
      <family val="2"/>
    </font>
    <font>
      <b/>
      <sz val="10"/>
      <name val="Times New Roman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u/>
      <sz val="8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3"/>
      <name val="Arial"/>
      <family val="2"/>
    </font>
    <font>
      <sz val="10"/>
      <color rgb="FF9C6500"/>
      <name val="Arial"/>
      <family val="2"/>
    </font>
    <font>
      <sz val="10"/>
      <name val="Geneva"/>
    </font>
    <font>
      <sz val="10"/>
      <color indexed="12"/>
      <name val="Helvetica-Narrow"/>
      <family val="2"/>
    </font>
    <font>
      <b/>
      <sz val="11"/>
      <color indexed="62"/>
      <name val="Calibri"/>
      <family val="2"/>
    </font>
    <font>
      <b/>
      <sz val="11"/>
      <color indexed="17"/>
      <name val="Calibri"/>
      <family val="2"/>
    </font>
    <font>
      <b/>
      <sz val="9"/>
      <color indexed="18"/>
      <name val="Arial"/>
      <family val="2"/>
    </font>
    <font>
      <b/>
      <sz val="14"/>
      <color indexed="8"/>
      <name val="Arial"/>
      <family val="2"/>
    </font>
    <font>
      <sz val="11"/>
      <color indexed="61"/>
      <name val="Calibri"/>
      <family val="2"/>
    </font>
    <font>
      <sz val="10"/>
      <name val="Helvetica-Narrow"/>
      <family val="2"/>
    </font>
    <font>
      <i/>
      <sz val="11"/>
      <color indexed="31"/>
      <name val="Calibri"/>
      <family val="2"/>
    </font>
    <font>
      <sz val="12"/>
      <name val="SWISS"/>
    </font>
    <font>
      <sz val="11"/>
      <color indexed="15"/>
      <name val="Calibri"/>
      <family val="2"/>
    </font>
    <font>
      <sz val="18"/>
      <name val="Arial"/>
      <family val="2"/>
    </font>
    <font>
      <u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</font>
    <font>
      <sz val="10"/>
      <name val="Century"/>
      <family val="1"/>
    </font>
    <font>
      <sz val="11"/>
      <color theme="1"/>
      <name val="Calibri"/>
      <family val="2"/>
      <charset val="162"/>
      <scheme val="minor"/>
    </font>
    <font>
      <sz val="10"/>
      <color indexed="59"/>
      <name val="Arial"/>
      <family val="2"/>
    </font>
    <font>
      <b/>
      <sz val="8"/>
      <name val="Times New Roman"/>
      <family val="1"/>
    </font>
    <font>
      <b/>
      <sz val="10"/>
      <color indexed="56"/>
      <name val="Arial"/>
      <family val="2"/>
    </font>
    <font>
      <b/>
      <sz val="8"/>
      <color indexed="18"/>
      <name val="Arial"/>
      <family val="2"/>
    </font>
    <font>
      <sz val="11"/>
      <color indexed="16"/>
      <name val="Calibri"/>
      <family val="2"/>
    </font>
    <font>
      <b/>
      <sz val="18"/>
      <color indexed="12"/>
      <name val="Helvetica-Narrow"/>
      <family val="2"/>
    </font>
    <font>
      <b/>
      <sz val="12"/>
      <color indexed="18"/>
      <name val="Arial"/>
      <family val="2"/>
    </font>
    <font>
      <sz val="10"/>
      <color indexed="55"/>
      <name val="Arial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61"/>
      <name val="Calibri"/>
      <family val="2"/>
    </font>
    <font>
      <sz val="10"/>
      <color indexed="22"/>
      <name val="Helvetica-Narrow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20"/>
      <name val="Calibri"/>
      <family val="2"/>
      <scheme val="minor"/>
    </font>
    <font>
      <sz val="20"/>
      <color rgb="FF0000FF"/>
      <name val="Calibri"/>
      <family val="2"/>
      <scheme val="minor"/>
    </font>
    <font>
      <sz val="11"/>
      <color theme="7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3"/>
        <bgColor indexed="63"/>
      </patternFill>
    </fill>
    <fill>
      <patternFill patternType="solid">
        <fgColor indexed="9"/>
        <bgColor indexed="63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125">
        <fgColor indexed="11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1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lightGray">
        <bgColor indexed="9"/>
      </patternFill>
    </fill>
    <fill>
      <patternFill patternType="solid">
        <fgColor indexed="24"/>
      </patternFill>
    </fill>
    <fill>
      <patternFill patternType="solid">
        <fgColor indexed="20"/>
      </patternFill>
    </fill>
    <fill>
      <patternFill patternType="solid">
        <fgColor indexed="13"/>
      </patternFill>
    </fill>
    <fill>
      <patternFill patternType="solid">
        <fgColor indexed="50"/>
      </patternFill>
    </fill>
    <fill>
      <patternFill patternType="solid">
        <fgColor indexed="14"/>
      </patternFill>
    </fill>
    <fill>
      <patternFill patternType="solid">
        <fgColor indexed="17"/>
      </patternFill>
    </fill>
    <fill>
      <patternFill patternType="solid">
        <fgColor indexed="44"/>
        <bgColor indexed="64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2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1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40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29"/>
      </top>
      <bottom style="double">
        <color indexed="29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double">
        <color theme="0" tint="-0.24994659260841701"/>
      </right>
      <top style="thin">
        <color theme="0" tint="-0.24994659260841701"/>
      </top>
      <bottom/>
      <diagonal/>
    </border>
    <border>
      <left style="double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458815271462"/>
      </left>
      <right style="thin">
        <color theme="0" tint="-0.1498458815271462"/>
      </right>
      <top/>
      <bottom/>
      <diagonal/>
    </border>
    <border>
      <left style="thin">
        <color theme="0" tint="-0.1498458815271462"/>
      </left>
      <right style="thin">
        <color theme="0" tint="-0.1498458815271462"/>
      </right>
      <top/>
      <bottom style="thin">
        <color theme="0" tint="-0.1498458815271462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78484450819421"/>
      </left>
      <right style="thin">
        <color theme="0" tint="-0.14978484450819421"/>
      </right>
      <top style="thin">
        <color theme="0" tint="-0.14978484450819421"/>
      </top>
      <bottom/>
      <diagonal/>
    </border>
    <border>
      <left style="thin">
        <color theme="0" tint="-0.14978484450819421"/>
      </left>
      <right style="thin">
        <color theme="0" tint="-0.14978484450819421"/>
      </right>
      <top/>
      <bottom/>
      <diagonal/>
    </border>
    <border>
      <left style="thin">
        <color theme="0" tint="-0.14978484450819421"/>
      </left>
      <right style="thin">
        <color theme="0" tint="-0.14978484450819421"/>
      </right>
      <top/>
      <bottom style="thin">
        <color theme="0" tint="-0.149784844508194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/>
      <right style="thin">
        <color theme="0" tint="-0.24994659260841701"/>
      </right>
      <top style="dotted">
        <color theme="0" tint="-0.24994659260841701"/>
      </top>
      <bottom/>
      <diagonal/>
    </border>
    <border>
      <left/>
      <right style="double">
        <color theme="0" tint="-0.24994659260841701"/>
      </right>
      <top/>
      <bottom style="thin">
        <color theme="0" tint="-0.24994659260841701"/>
      </bottom>
      <diagonal/>
    </border>
    <border>
      <left style="double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1536301767021"/>
      </top>
      <bottom/>
      <diagonal/>
    </border>
  </borders>
  <cellStyleXfs count="935">
    <xf numFmtId="208" fontId="0" fillId="0" borderId="0"/>
    <xf numFmtId="43" fontId="1" fillId="0" borderId="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208" fontId="3" fillId="0" borderId="0"/>
    <xf numFmtId="208" fontId="3" fillId="0" borderId="0"/>
    <xf numFmtId="208" fontId="3" fillId="0" borderId="0"/>
    <xf numFmtId="208" fontId="3" fillId="0" borderId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2" borderId="0" applyNumberFormat="0" applyBorder="0" applyAlignment="0" applyProtection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7" borderId="0" applyNumberFormat="0" applyBorder="0" applyAlignment="0" applyProtection="0"/>
    <xf numFmtId="208" fontId="45" fillId="8" borderId="0">
      <alignment vertical="center"/>
    </xf>
    <xf numFmtId="208" fontId="41" fillId="9" borderId="2"/>
    <xf numFmtId="208" fontId="41" fillId="9" borderId="3"/>
    <xf numFmtId="208" fontId="41" fillId="9" borderId="4"/>
    <xf numFmtId="208" fontId="41" fillId="9" borderId="5"/>
    <xf numFmtId="208" fontId="41" fillId="10" borderId="6"/>
    <xf numFmtId="208" fontId="41" fillId="9" borderId="5"/>
    <xf numFmtId="208" fontId="41" fillId="10" borderId="7"/>
    <xf numFmtId="208" fontId="41" fillId="10" borderId="8"/>
    <xf numFmtId="208" fontId="45" fillId="8" borderId="0">
      <alignment vertical="center"/>
    </xf>
    <xf numFmtId="208" fontId="45" fillId="11" borderId="6">
      <alignment vertical="center"/>
    </xf>
    <xf numFmtId="208" fontId="45" fillId="11" borderId="0">
      <alignment vertical="center"/>
    </xf>
    <xf numFmtId="208" fontId="45" fillId="11" borderId="0">
      <alignment vertical="center"/>
    </xf>
    <xf numFmtId="208" fontId="45" fillId="11" borderId="8">
      <alignment vertical="center"/>
    </xf>
    <xf numFmtId="208" fontId="45" fillId="12" borderId="9">
      <alignment vertical="center"/>
    </xf>
    <xf numFmtId="208" fontId="45" fillId="11" borderId="0">
      <alignment vertical="center"/>
    </xf>
    <xf numFmtId="208" fontId="45" fillId="12" borderId="0">
      <alignment vertical="center"/>
    </xf>
    <xf numFmtId="208" fontId="45" fillId="12" borderId="10">
      <alignment vertical="center"/>
    </xf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13" borderId="0" applyNumberFormat="0" applyBorder="0" applyAlignment="0" applyProtection="0"/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16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21" borderId="0" applyNumberFormat="0" applyBorder="0" applyAlignment="0" applyProtection="0"/>
    <xf numFmtId="208" fontId="6" fillId="22" borderId="0" applyNumberFormat="0" applyBorder="0" applyAlignment="0" applyProtection="0"/>
    <xf numFmtId="208" fontId="6" fillId="23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4" borderId="0" applyNumberFormat="0" applyBorder="0" applyAlignment="0" applyProtection="0"/>
    <xf numFmtId="208" fontId="46" fillId="25" borderId="11" applyNumberFormat="0">
      <alignment horizontal="center"/>
    </xf>
    <xf numFmtId="208" fontId="39" fillId="0" borderId="0" applyNumberFormat="0" applyFill="0" applyBorder="0" applyAlignment="0" applyProtection="0"/>
    <xf numFmtId="184" fontId="60" fillId="0" borderId="0" applyNumberFormat="0" applyFill="0" applyBorder="0" applyAlignment="0" applyProtection="0"/>
    <xf numFmtId="208" fontId="7" fillId="3" borderId="0" applyNumberFormat="0" applyBorder="0" applyAlignment="0" applyProtection="0"/>
    <xf numFmtId="9" fontId="3" fillId="0" borderId="0" applyFill="0" applyBorder="0"/>
    <xf numFmtId="9" fontId="22" fillId="0" borderId="0" applyFill="0" applyBorder="0"/>
    <xf numFmtId="208" fontId="47" fillId="0" borderId="12" applyNumberFormat="0" applyFont="0" applyFill="0" applyAlignment="0" applyProtection="0"/>
    <xf numFmtId="208" fontId="47" fillId="0" borderId="12" applyNumberFormat="0" applyFont="0" applyFill="0" applyAlignment="0" applyProtection="0"/>
    <xf numFmtId="178" fontId="3" fillId="0" borderId="13" applyNumberFormat="0" applyFill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32" fillId="0" borderId="15" applyNumberFormat="0" applyFill="0" applyAlignment="0" applyProtection="0"/>
    <xf numFmtId="3" fontId="3" fillId="0" borderId="0" applyBorder="0">
      <alignment horizontal="center"/>
    </xf>
    <xf numFmtId="3" fontId="3" fillId="0" borderId="0" applyBorder="0">
      <alignment horizontal="center"/>
    </xf>
    <xf numFmtId="208" fontId="9" fillId="27" borderId="16" applyNumberFormat="0" applyAlignment="0" applyProtection="0"/>
    <xf numFmtId="208" fontId="10" fillId="0" borderId="8" applyNumberFormat="0" applyFill="0" applyBorder="0" applyAlignment="0" applyProtection="0">
      <alignment horizontal="center"/>
    </xf>
    <xf numFmtId="172" fontId="11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" fontId="13" fillId="0" borderId="0" applyFont="0" applyFill="0" applyBorder="0" applyAlignment="0" applyProtection="0"/>
    <xf numFmtId="208" fontId="13" fillId="0" borderId="0"/>
    <xf numFmtId="208" fontId="59" fillId="28" borderId="17" applyNumberFormat="0" applyFont="0" applyAlignment="0" applyProtection="0"/>
    <xf numFmtId="166" fontId="3" fillId="0" borderId="0" applyFont="0" applyFill="0" applyBorder="0" applyAlignment="0" applyProtection="0"/>
    <xf numFmtId="208" fontId="14" fillId="0" borderId="18">
      <protection locked="0"/>
    </xf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>
      <alignment horizontal="right"/>
    </xf>
    <xf numFmtId="166" fontId="3" fillId="0" borderId="0" applyFont="0" applyFill="0" applyBorder="0" applyAlignment="0" applyProtection="0"/>
    <xf numFmtId="208" fontId="13" fillId="0" borderId="0" applyFont="0" applyFill="0" applyBorder="0" applyAlignment="0" applyProtection="0"/>
    <xf numFmtId="15" fontId="3" fillId="0" borderId="0" applyFont="0" applyFill="0" applyBorder="0" applyAlignment="0" applyProtection="0">
      <alignment horizontal="right"/>
    </xf>
    <xf numFmtId="15" fontId="3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/>
    <xf numFmtId="178" fontId="47" fillId="0" borderId="0" applyFont="0" applyFill="0" applyBorder="0" applyProtection="0">
      <alignment horizontal="right"/>
    </xf>
    <xf numFmtId="15" fontId="61" fillId="0" borderId="0"/>
    <xf numFmtId="15" fontId="6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208" fontId="44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19" applyNumberFormat="0" applyFont="0" applyFill="0" applyAlignment="0" applyProtection="0"/>
    <xf numFmtId="3" fontId="3" fillId="0" borderId="19" applyNumberFormat="0" applyFont="0" applyFill="0" applyAlignment="0" applyProtection="0"/>
    <xf numFmtId="208" fontId="12" fillId="0" borderId="20" applyNumberFormat="0" applyFont="0" applyFill="0" applyAlignment="0" applyProtection="0"/>
    <xf numFmtId="208" fontId="31" fillId="7" borderId="14" applyNumberFormat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15" fillId="0" borderId="0" applyNumberFormat="0" applyFill="0" applyBorder="0" applyAlignment="0" applyProtection="0"/>
    <xf numFmtId="208" fontId="48" fillId="29" borderId="11">
      <alignment vertical="center"/>
    </xf>
    <xf numFmtId="208" fontId="49" fillId="30" borderId="11">
      <alignment vertical="center"/>
    </xf>
    <xf numFmtId="208" fontId="45" fillId="31" borderId="0">
      <alignment vertical="center"/>
    </xf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2" fontId="13" fillId="0" borderId="0" applyFont="0" applyFill="0" applyBorder="0" applyAlignment="0" applyProtection="0"/>
    <xf numFmtId="186" fontId="41" fillId="0" borderId="0"/>
    <xf numFmtId="186" fontId="63" fillId="0" borderId="0"/>
    <xf numFmtId="208" fontId="16" fillId="0" borderId="0" applyFill="0" applyBorder="0" applyProtection="0">
      <alignment horizontal="left"/>
    </xf>
    <xf numFmtId="3" fontId="42" fillId="0" borderId="11">
      <alignment horizontal="center"/>
    </xf>
    <xf numFmtId="3" fontId="44" fillId="0" borderId="11">
      <alignment horizontal="center"/>
    </xf>
    <xf numFmtId="3" fontId="44" fillId="0" borderId="11">
      <alignment horizontal="center"/>
    </xf>
    <xf numFmtId="208" fontId="17" fillId="4" borderId="0" applyNumberFormat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8" fillId="0" borderId="0" applyProtection="0">
      <alignment horizontal="right"/>
    </xf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46" fillId="32" borderId="11" applyNumberFormat="0">
      <alignment horizontal="center"/>
    </xf>
    <xf numFmtId="15" fontId="22" fillId="30" borderId="0" applyBorder="0"/>
    <xf numFmtId="16" fontId="3" fillId="30" borderId="24" applyBorder="0" applyProtection="0"/>
    <xf numFmtId="208" fontId="3" fillId="30" borderId="25" applyBorder="0" applyProtection="0">
      <alignment horizontal="right"/>
    </xf>
    <xf numFmtId="208" fontId="23" fillId="30" borderId="26" applyBorder="0">
      <alignment horizontal="right"/>
      <protection locked="0"/>
    </xf>
    <xf numFmtId="1" fontId="22" fillId="30" borderId="0" applyBorder="0" applyAlignment="0" applyProtection="0"/>
    <xf numFmtId="1" fontId="22" fillId="30" borderId="0" applyBorder="0" applyAlignment="0" applyProtection="0"/>
    <xf numFmtId="170" fontId="22" fillId="30" borderId="0" applyBorder="0" applyProtection="0"/>
    <xf numFmtId="170" fontId="3" fillId="33" borderId="0" applyBorder="0"/>
    <xf numFmtId="169" fontId="22" fillId="30" borderId="0" applyBorder="0" applyProtection="0"/>
    <xf numFmtId="169" fontId="3" fillId="33" borderId="0">
      <alignment horizontal="right"/>
    </xf>
    <xf numFmtId="168" fontId="22" fillId="30" borderId="27" applyBorder="0" applyProtection="0"/>
    <xf numFmtId="208" fontId="24" fillId="30" borderId="28" applyBorder="0" applyProtection="0"/>
    <xf numFmtId="208" fontId="22" fillId="30" borderId="0" applyBorder="0">
      <alignment horizontal="left" indent="2"/>
      <protection locked="0"/>
    </xf>
    <xf numFmtId="208" fontId="3" fillId="0" borderId="0" applyFill="0" applyBorder="0" applyAlignment="0"/>
    <xf numFmtId="173" fontId="3" fillId="0" borderId="0" applyFill="0" applyBorder="0"/>
    <xf numFmtId="174" fontId="3" fillId="0" borderId="29" applyBorder="0"/>
    <xf numFmtId="174" fontId="3" fillId="0" borderId="29" applyBorder="0"/>
    <xf numFmtId="173" fontId="3" fillId="0" borderId="0" applyFill="0" applyBorder="0"/>
    <xf numFmtId="10" fontId="25" fillId="0" borderId="0" applyFill="0" applyBorder="0">
      <alignment horizontal="right"/>
    </xf>
    <xf numFmtId="173" fontId="26" fillId="0" borderId="0" applyFill="0"/>
    <xf numFmtId="173" fontId="26" fillId="0" borderId="30"/>
    <xf numFmtId="208" fontId="27" fillId="34" borderId="0"/>
    <xf numFmtId="208" fontId="28" fillId="34" borderId="0"/>
    <xf numFmtId="208" fontId="29" fillId="34" borderId="0"/>
    <xf numFmtId="15" fontId="3" fillId="0" borderId="0" applyFill="0" applyBorder="0"/>
    <xf numFmtId="16" fontId="3" fillId="0" borderId="0" applyBorder="0"/>
    <xf numFmtId="15" fontId="22" fillId="30" borderId="31" applyBorder="0"/>
    <xf numFmtId="15" fontId="22" fillId="30" borderId="31" applyBorder="0"/>
    <xf numFmtId="208" fontId="3" fillId="0" borderId="0" applyBorder="0">
      <alignment horizontal="right"/>
    </xf>
    <xf numFmtId="208" fontId="3" fillId="0" borderId="0" applyFill="0" applyBorder="0">
      <alignment horizontal="right"/>
    </xf>
    <xf numFmtId="1" fontId="3" fillId="0" borderId="27" applyFill="0" applyBorder="0" applyAlignment="0"/>
    <xf numFmtId="1" fontId="3" fillId="0" borderId="27" applyFill="0" applyBorder="0" applyAlignment="0"/>
    <xf numFmtId="170" fontId="3" fillId="0" borderId="27" applyFill="0" applyBorder="0"/>
    <xf numFmtId="170" fontId="23" fillId="30" borderId="31" applyBorder="0"/>
    <xf numFmtId="170" fontId="23" fillId="30" borderId="31" applyBorder="0"/>
    <xf numFmtId="170" fontId="26" fillId="0" borderId="0" applyFill="0" applyBorder="0"/>
    <xf numFmtId="170" fontId="30" fillId="30" borderId="32" applyBorder="0"/>
    <xf numFmtId="208" fontId="26" fillId="0" borderId="0" applyFill="0" applyBorder="0"/>
    <xf numFmtId="169" fontId="3" fillId="0" borderId="27" applyFont="0" applyBorder="0">
      <alignment horizontal="right"/>
    </xf>
    <xf numFmtId="169" fontId="23" fillId="30" borderId="31" applyBorder="0">
      <alignment horizontal="right"/>
    </xf>
    <xf numFmtId="169" fontId="23" fillId="30" borderId="31" applyBorder="0">
      <alignment horizontal="right"/>
    </xf>
    <xf numFmtId="168" fontId="3" fillId="0" borderId="0" applyFill="0" applyBorder="0">
      <alignment horizontal="right"/>
    </xf>
    <xf numFmtId="168" fontId="23" fillId="30" borderId="31" applyBorder="0">
      <alignment horizontal="right"/>
    </xf>
    <xf numFmtId="168" fontId="23" fillId="30" borderId="31" applyBorder="0">
      <alignment horizontal="right"/>
    </xf>
    <xf numFmtId="171" fontId="3" fillId="0" borderId="0" applyFont="0" applyFill="0" applyBorder="0"/>
    <xf numFmtId="171" fontId="23" fillId="30" borderId="33" applyBorder="0"/>
    <xf numFmtId="171" fontId="23" fillId="30" borderId="33" applyBorder="0"/>
    <xf numFmtId="208" fontId="58" fillId="34" borderId="0"/>
    <xf numFmtId="208" fontId="64" fillId="0" borderId="0">
      <alignment horizontal="center"/>
    </xf>
    <xf numFmtId="208" fontId="31" fillId="7" borderId="14" applyNumberFormat="0" applyAlignment="0" applyProtection="0"/>
    <xf numFmtId="208" fontId="41" fillId="0" borderId="0" applyNumberFormat="0" applyFill="0" applyBorder="0" applyAlignment="0">
      <protection locked="0"/>
    </xf>
    <xf numFmtId="185" fontId="65" fillId="35" borderId="0" applyNumberFormat="0" applyFont="0" applyBorder="0" applyAlignment="0" applyProtection="0">
      <alignment horizontal="left"/>
    </xf>
    <xf numFmtId="208" fontId="7" fillId="3" borderId="0" applyNumberFormat="0" applyBorder="0" applyAlignment="0" applyProtection="0"/>
    <xf numFmtId="208" fontId="3" fillId="0" borderId="0" applyFill="0" applyBorder="0">
      <alignment wrapText="1"/>
    </xf>
    <xf numFmtId="208" fontId="3" fillId="36" borderId="11" applyNumberFormat="0">
      <alignment horizontal="center"/>
      <protection locked="0"/>
    </xf>
    <xf numFmtId="208" fontId="32" fillId="0" borderId="15" applyNumberFormat="0" applyFill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33" fillId="37" borderId="0" applyNumberFormat="0" applyBorder="0" applyAlignment="0" applyProtection="0"/>
    <xf numFmtId="208" fontId="33" fillId="37" borderId="0" applyNumberFormat="0" applyBorder="0" applyAlignment="0" applyProtection="0"/>
    <xf numFmtId="208" fontId="50" fillId="0" borderId="0"/>
    <xf numFmtId="208" fontId="3" fillId="0" borderId="0"/>
    <xf numFmtId="208" fontId="5" fillId="0" borderId="0"/>
    <xf numFmtId="208" fontId="5" fillId="0" borderId="0"/>
    <xf numFmtId="208" fontId="5" fillId="0" borderId="0"/>
    <xf numFmtId="208" fontId="3" fillId="0" borderId="0" applyFill="0" applyBorder="0" applyAlignment="0" applyProtection="0"/>
    <xf numFmtId="208" fontId="41" fillId="0" borderId="0" applyFont="0" applyFill="0" applyBorder="0" applyAlignment="0" applyProtection="0"/>
    <xf numFmtId="208" fontId="3" fillId="0" borderId="0"/>
    <xf numFmtId="208" fontId="66" fillId="0" borderId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188" fontId="45" fillId="0" borderId="0"/>
    <xf numFmtId="193" fontId="45" fillId="0" borderId="0">
      <alignment horizontal="right"/>
    </xf>
    <xf numFmtId="192" fontId="45" fillId="0" borderId="0"/>
    <xf numFmtId="194" fontId="45" fillId="0" borderId="0"/>
    <xf numFmtId="187" fontId="45" fillId="0" borderId="0"/>
    <xf numFmtId="188" fontId="63" fillId="0" borderId="0"/>
    <xf numFmtId="194" fontId="63" fillId="0" borderId="0"/>
    <xf numFmtId="187" fontId="63" fillId="0" borderId="0"/>
    <xf numFmtId="188" fontId="62" fillId="0" borderId="0"/>
    <xf numFmtId="194" fontId="62" fillId="0" borderId="0"/>
    <xf numFmtId="187" fontId="62" fillId="0" borderId="0"/>
    <xf numFmtId="208" fontId="34" fillId="26" borderId="34" applyNumberFormat="0" applyAlignment="0" applyProtection="0"/>
    <xf numFmtId="10" fontId="3" fillId="0" borderId="0" applyFill="0" applyBorder="0">
      <alignment horizontal="center" vertical="center"/>
    </xf>
    <xf numFmtId="208" fontId="51" fillId="0" borderId="0" applyFill="0" applyBorder="0" applyProtection="0">
      <alignment horizontal="left"/>
    </xf>
    <xf numFmtId="208" fontId="52" fillId="0" borderId="0" applyFill="0" applyBorder="0" applyProtection="0">
      <alignment horizontal="left"/>
    </xf>
    <xf numFmtId="1" fontId="35" fillId="0" borderId="0" applyProtection="0">
      <alignment horizontal="right" vertical="center"/>
    </xf>
    <xf numFmtId="191" fontId="67" fillId="0" borderId="0">
      <alignment horizontal="right"/>
    </xf>
    <xf numFmtId="189" fontId="67" fillId="0" borderId="0">
      <alignment horizontal="right"/>
    </xf>
    <xf numFmtId="190" fontId="67" fillId="0" borderId="0">
      <alignment horizontal="right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47" fillId="0" borderId="0" applyFont="0" applyFill="0" applyBorder="0" applyProtection="0">
      <alignment horizontal="right"/>
    </xf>
    <xf numFmtId="191" fontId="61" fillId="0" borderId="0">
      <alignment horizontal="right"/>
    </xf>
    <xf numFmtId="189" fontId="61" fillId="0" borderId="0"/>
    <xf numFmtId="190" fontId="61" fillId="0" borderId="0"/>
    <xf numFmtId="195" fontId="61" fillId="0" borderId="0"/>
    <xf numFmtId="191" fontId="68" fillId="0" borderId="0">
      <alignment horizontal="right"/>
    </xf>
    <xf numFmtId="189" fontId="68" fillId="0" borderId="0"/>
    <xf numFmtId="190" fontId="68" fillId="0" borderId="0"/>
    <xf numFmtId="167" fontId="3" fillId="9" borderId="35" applyBorder="0"/>
    <xf numFmtId="167" fontId="3" fillId="9" borderId="35" applyBorder="0"/>
    <xf numFmtId="165" fontId="3" fillId="0" borderId="0" applyFont="0" applyFill="0" applyBorder="0" applyAlignment="0" applyProtection="0"/>
    <xf numFmtId="9" fontId="43" fillId="0" borderId="0" applyFill="0" applyBorder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17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9" fontId="44" fillId="0" borderId="11" applyFill="0" applyBorder="0"/>
    <xf numFmtId="208" fontId="69" fillId="0" borderId="37">
      <alignment vertical="center"/>
    </xf>
    <xf numFmtId="208" fontId="17" fillId="4" borderId="0" applyNumberFormat="0" applyBorder="0" applyAlignment="0" applyProtection="0"/>
    <xf numFmtId="208" fontId="53" fillId="38" borderId="0" applyNumberFormat="0"/>
    <xf numFmtId="208" fontId="54" fillId="39" borderId="0" applyNumberFormat="0" applyFont="0" applyBorder="0" applyAlignment="0" applyProtection="0"/>
    <xf numFmtId="208" fontId="34" fillId="26" borderId="34" applyNumberFormat="0" applyAlignment="0" applyProtection="0"/>
    <xf numFmtId="208" fontId="3" fillId="0" borderId="0"/>
    <xf numFmtId="208" fontId="3" fillId="0" borderId="0" applyFont="0" applyFill="0" applyBorder="0" applyAlignment="0" applyProtection="0"/>
    <xf numFmtId="208" fontId="55" fillId="0" borderId="0" applyFill="0" applyBorder="0" applyProtection="0">
      <alignment horizontal="center" vertical="center"/>
    </xf>
    <xf numFmtId="208" fontId="70" fillId="0" borderId="0" applyBorder="0" applyProtection="0">
      <alignment vertical="center"/>
    </xf>
    <xf numFmtId="208" fontId="70" fillId="0" borderId="8" applyBorder="0" applyProtection="0">
      <alignment horizontal="right" vertical="center"/>
    </xf>
    <xf numFmtId="208" fontId="71" fillId="40" borderId="0" applyBorder="0" applyProtection="0">
      <alignment horizontal="centerContinuous" vertical="center"/>
    </xf>
    <xf numFmtId="208" fontId="71" fillId="41" borderId="8" applyBorder="0" applyProtection="0">
      <alignment horizontal="centerContinuous" vertical="center"/>
    </xf>
    <xf numFmtId="208" fontId="72" fillId="0" borderId="0"/>
    <xf numFmtId="208" fontId="73" fillId="0" borderId="0" applyBorder="0" applyProtection="0">
      <alignment horizontal="left"/>
    </xf>
    <xf numFmtId="208" fontId="55" fillId="0" borderId="0" applyFill="0" applyBorder="0" applyProtection="0"/>
    <xf numFmtId="208" fontId="66" fillId="0" borderId="0"/>
    <xf numFmtId="208" fontId="26" fillId="0" borderId="0" applyFill="0" applyBorder="0" applyProtection="0">
      <alignment horizontal="left"/>
    </xf>
    <xf numFmtId="208" fontId="56" fillId="0" borderId="0" applyFill="0" applyBorder="0" applyProtection="0">
      <alignment horizontal="left" vertical="top"/>
    </xf>
    <xf numFmtId="208" fontId="74" fillId="0" borderId="0">
      <alignment horizontal="centerContinuous"/>
    </xf>
    <xf numFmtId="208" fontId="75" fillId="0" borderId="0"/>
    <xf numFmtId="208" fontId="76" fillId="0" borderId="0"/>
    <xf numFmtId="208" fontId="41" fillId="0" borderId="0">
      <alignment horizontal="center"/>
    </xf>
    <xf numFmtId="208" fontId="15" fillId="0" borderId="0" applyNumberFormat="0" applyFill="0" applyBorder="0" applyAlignment="0" applyProtection="0"/>
    <xf numFmtId="183" fontId="63" fillId="0" borderId="0" applyBorder="0"/>
    <xf numFmtId="183" fontId="63" fillId="0" borderId="0" applyBorder="0">
      <alignment horizontal="center"/>
    </xf>
    <xf numFmtId="208" fontId="36" fillId="0" borderId="0" applyNumberFormat="0" applyFill="0" applyBorder="0" applyAlignment="0" applyProtection="0"/>
    <xf numFmtId="208" fontId="36" fillId="0" borderId="0" applyNumberFormat="0" applyFill="0" applyBorder="0" applyAlignment="0" applyProtection="0"/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37" fillId="0" borderId="0" applyNumberFormat="0" applyFill="0" applyBorder="0" applyAlignment="0" applyProtection="0">
      <alignment horizontal="left"/>
      <protection locked="0"/>
    </xf>
    <xf numFmtId="208" fontId="38" fillId="0" borderId="38" applyNumberFormat="0" applyFill="0" applyAlignment="0" applyProtection="0"/>
    <xf numFmtId="208" fontId="77" fillId="0" borderId="0">
      <alignment horizontal="fill"/>
    </xf>
    <xf numFmtId="177" fontId="3" fillId="0" borderId="0" applyFont="0" applyFill="0" applyBorder="0" applyAlignment="0" applyProtection="0"/>
    <xf numFmtId="208" fontId="9" fillId="27" borderId="16" applyNumberFormat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208" fontId="39" fillId="0" borderId="0" applyNumberFormat="0" applyFill="0" applyBorder="0" applyAlignment="0" applyProtection="0"/>
    <xf numFmtId="178" fontId="47" fillId="0" borderId="0" applyFont="0" applyFill="0" applyBorder="0" applyProtection="0">
      <alignment horizontal="right"/>
    </xf>
    <xf numFmtId="208" fontId="1" fillId="0" borderId="0"/>
    <xf numFmtId="196" fontId="78" fillId="0" borderId="0"/>
    <xf numFmtId="164" fontId="5" fillId="0" borderId="0" applyFont="0" applyFill="0" applyBorder="0" applyAlignment="0" applyProtection="0"/>
    <xf numFmtId="208" fontId="79" fillId="43" borderId="0" applyNumberFormat="0" applyAlignment="0" applyProtection="0"/>
    <xf numFmtId="208" fontId="78" fillId="0" borderId="0" applyNumberFormat="0" applyAlignment="0" applyProtection="0"/>
    <xf numFmtId="208" fontId="80" fillId="44" borderId="46" applyNumberFormat="0" applyProtection="0">
      <alignment horizontal="center"/>
    </xf>
    <xf numFmtId="208" fontId="2" fillId="0" borderId="1" applyNumberFormat="0" applyFill="0" applyAlignment="0" applyProtection="0"/>
    <xf numFmtId="208" fontId="81" fillId="42" borderId="45" applyNumberFormat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208" fontId="1" fillId="0" borderId="0"/>
    <xf numFmtId="208" fontId="47" fillId="0" borderId="44" applyNumberFormat="0" applyFont="0" applyFill="0" applyAlignment="0" applyProtection="0"/>
    <xf numFmtId="208" fontId="47" fillId="0" borderId="44" applyNumberFormat="0" applyFont="0" applyFill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1" fontId="23" fillId="30" borderId="33" applyBorder="0"/>
    <xf numFmtId="171" fontId="23" fillId="30" borderId="33" applyBorder="0"/>
    <xf numFmtId="208" fontId="1" fillId="0" borderId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45" fillId="8" borderId="0">
      <alignment vertical="center"/>
    </xf>
    <xf numFmtId="208" fontId="41" fillId="9" borderId="2"/>
    <xf numFmtId="208" fontId="41" fillId="9" borderId="3"/>
    <xf numFmtId="208" fontId="41" fillId="9" borderId="4"/>
    <xf numFmtId="208" fontId="41" fillId="9" borderId="5"/>
    <xf numFmtId="208" fontId="41" fillId="10" borderId="6"/>
    <xf numFmtId="208" fontId="41" fillId="9" borderId="5"/>
    <xf numFmtId="208" fontId="41" fillId="10" borderId="7"/>
    <xf numFmtId="208" fontId="41" fillId="10" borderId="8"/>
    <xf numFmtId="208" fontId="45" fillId="8" borderId="0">
      <alignment vertical="center"/>
    </xf>
    <xf numFmtId="208" fontId="45" fillId="11" borderId="6">
      <alignment vertical="center"/>
    </xf>
    <xf numFmtId="208" fontId="45" fillId="11" borderId="0">
      <alignment vertical="center"/>
    </xf>
    <xf numFmtId="208" fontId="45" fillId="11" borderId="0">
      <alignment vertical="center"/>
    </xf>
    <xf numFmtId="208" fontId="45" fillId="11" borderId="8">
      <alignment vertical="center"/>
    </xf>
    <xf numFmtId="208" fontId="45" fillId="12" borderId="9">
      <alignment vertical="center"/>
    </xf>
    <xf numFmtId="208" fontId="45" fillId="11" borderId="0">
      <alignment vertical="center"/>
    </xf>
    <xf numFmtId="208" fontId="45" fillId="12" borderId="0">
      <alignment vertical="center"/>
    </xf>
    <xf numFmtId="208" fontId="45" fillId="12" borderId="10">
      <alignment vertical="center"/>
    </xf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17" borderId="0" applyNumberFormat="0" applyBorder="0" applyAlignment="0" applyProtection="0"/>
    <xf numFmtId="208" fontId="6" fillId="14" borderId="0" applyNumberFormat="0" applyBorder="0" applyAlignment="0" applyProtection="0"/>
    <xf numFmtId="208" fontId="6" fillId="15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0" borderId="0" applyNumberFormat="0" applyBorder="0" applyAlignment="0" applyProtection="0"/>
    <xf numFmtId="208" fontId="6" fillId="21" borderId="0" applyNumberFormat="0" applyBorder="0" applyAlignment="0" applyProtection="0"/>
    <xf numFmtId="208" fontId="6" fillId="22" borderId="0" applyNumberFormat="0" applyBorder="0" applyAlignment="0" applyProtection="0"/>
    <xf numFmtId="208" fontId="6" fillId="23" borderId="0" applyNumberFormat="0" applyBorder="0" applyAlignment="0" applyProtection="0"/>
    <xf numFmtId="208" fontId="6" fillId="18" borderId="0" applyNumberFormat="0" applyBorder="0" applyAlignment="0" applyProtection="0"/>
    <xf numFmtId="208" fontId="6" fillId="19" borderId="0" applyNumberFormat="0" applyBorder="0" applyAlignment="0" applyProtection="0"/>
    <xf numFmtId="208" fontId="6" fillId="24" borderId="0" applyNumberFormat="0" applyBorder="0" applyAlignment="0" applyProtection="0"/>
    <xf numFmtId="208" fontId="46" fillId="25" borderId="11" applyNumberFormat="0">
      <alignment horizontal="center"/>
    </xf>
    <xf numFmtId="208" fontId="39" fillId="0" borderId="0" applyNumberFormat="0" applyFill="0" applyBorder="0" applyAlignment="0" applyProtection="0"/>
    <xf numFmtId="208" fontId="7" fillId="3" borderId="0" applyNumberFormat="0" applyBorder="0" applyAlignment="0" applyProtection="0"/>
    <xf numFmtId="208" fontId="47" fillId="0" borderId="44" applyNumberFormat="0" applyFont="0" applyFill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32" fillId="0" borderId="15" applyNumberFormat="0" applyFill="0" applyAlignment="0" applyProtection="0"/>
    <xf numFmtId="208" fontId="9" fillId="27" borderId="16" applyNumberFormat="0" applyAlignment="0" applyProtection="0"/>
    <xf numFmtId="208" fontId="10" fillId="0" borderId="8" applyNumberFormat="0" applyFill="0" applyBorder="0" applyAlignment="0" applyProtection="0">
      <alignment horizontal="center"/>
    </xf>
    <xf numFmtId="164" fontId="3" fillId="0" borderId="0" applyFont="0" applyFill="0" applyBorder="0" applyAlignment="0" applyProtection="0"/>
    <xf numFmtId="172" fontId="82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>
      <alignment horizontal="right"/>
    </xf>
    <xf numFmtId="208" fontId="13" fillId="0" borderId="0"/>
    <xf numFmtId="208" fontId="59" fillId="28" borderId="17" applyNumberFormat="0" applyFont="0" applyAlignment="0" applyProtection="0"/>
    <xf numFmtId="208" fontId="14" fillId="0" borderId="18">
      <protection locked="0"/>
    </xf>
    <xf numFmtId="208" fontId="12" fillId="0" borderId="0" applyFont="0" applyFill="0" applyBorder="0" applyAlignment="0" applyProtection="0">
      <alignment horizontal="right"/>
    </xf>
    <xf numFmtId="208" fontId="12" fillId="0" borderId="0" applyFont="0" applyFill="0" applyBorder="0" applyAlignment="0" applyProtection="0">
      <alignment horizontal="right"/>
    </xf>
    <xf numFmtId="208" fontId="13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44" fillId="0" borderId="0" applyFont="0" applyFill="0" applyBorder="0" applyAlignment="0" applyProtection="0"/>
    <xf numFmtId="208" fontId="12" fillId="0" borderId="20" applyNumberFormat="0" applyFont="0" applyFill="0" applyAlignment="0" applyProtection="0"/>
    <xf numFmtId="208" fontId="31" fillId="7" borderId="14" applyNumberFormat="0" applyAlignment="0" applyProtection="0"/>
    <xf numFmtId="208" fontId="3" fillId="0" borderId="0" applyFont="0" applyFill="0" applyBorder="0" applyAlignment="0" applyProtection="0"/>
    <xf numFmtId="208" fontId="15" fillId="0" borderId="0" applyNumberFormat="0" applyFill="0" applyBorder="0" applyAlignment="0" applyProtection="0"/>
    <xf numFmtId="208" fontId="48" fillId="29" borderId="11">
      <alignment vertical="center"/>
    </xf>
    <xf numFmtId="208" fontId="49" fillId="30" borderId="11">
      <alignment vertical="center"/>
    </xf>
    <xf numFmtId="208" fontId="45" fillId="31" borderId="0">
      <alignment vertical="center"/>
    </xf>
    <xf numFmtId="208" fontId="16" fillId="0" borderId="0" applyFill="0" applyBorder="0" applyProtection="0">
      <alignment horizontal="left"/>
    </xf>
    <xf numFmtId="208" fontId="17" fillId="4" borderId="0" applyNumberFormat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18" fillId="0" borderId="0" applyProtection="0">
      <alignment horizontal="right"/>
    </xf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46" fillId="32" borderId="11" applyNumberFormat="0">
      <alignment horizontal="center"/>
    </xf>
    <xf numFmtId="208" fontId="3" fillId="30" borderId="25" applyBorder="0" applyProtection="0">
      <alignment horizontal="right"/>
    </xf>
    <xf numFmtId="208" fontId="23" fillId="30" borderId="26" applyBorder="0">
      <alignment horizontal="right"/>
      <protection locked="0"/>
    </xf>
    <xf numFmtId="208" fontId="24" fillId="30" borderId="28" applyBorder="0" applyProtection="0"/>
    <xf numFmtId="208" fontId="22" fillId="30" borderId="0" applyBorder="0">
      <alignment horizontal="left" indent="2"/>
      <protection locked="0"/>
    </xf>
    <xf numFmtId="208" fontId="3" fillId="0" borderId="0" applyFill="0" applyBorder="0" applyAlignment="0"/>
    <xf numFmtId="208" fontId="27" fillId="34" borderId="0"/>
    <xf numFmtId="208" fontId="28" fillId="34" borderId="0"/>
    <xf numFmtId="208" fontId="29" fillId="34" borderId="0"/>
    <xf numFmtId="208" fontId="3" fillId="0" borderId="0" applyBorder="0">
      <alignment horizontal="right"/>
    </xf>
    <xf numFmtId="208" fontId="3" fillId="0" borderId="0" applyFill="0" applyBorder="0">
      <alignment horizontal="right"/>
    </xf>
    <xf numFmtId="208" fontId="31" fillId="7" borderId="14" applyNumberFormat="0" applyAlignment="0" applyProtection="0"/>
    <xf numFmtId="208" fontId="41" fillId="0" borderId="0" applyNumberFormat="0" applyFill="0" applyBorder="0" applyAlignment="0">
      <protection locked="0"/>
    </xf>
    <xf numFmtId="208" fontId="7" fillId="3" borderId="0" applyNumberFormat="0" applyBorder="0" applyAlignment="0" applyProtection="0"/>
    <xf numFmtId="208" fontId="3" fillId="0" borderId="0" applyFill="0" applyBorder="0">
      <alignment wrapText="1"/>
    </xf>
    <xf numFmtId="208" fontId="32" fillId="0" borderId="15" applyNumberFormat="0" applyFill="0" applyAlignment="0" applyProtection="0"/>
    <xf numFmtId="208" fontId="3" fillId="0" borderId="0" applyFont="0" applyFill="0" applyBorder="0" applyAlignment="0" applyProtection="0"/>
    <xf numFmtId="208" fontId="12" fillId="0" borderId="0" applyFont="0" applyFill="0" applyBorder="0" applyAlignment="0" applyProtection="0">
      <alignment horizontal="right"/>
    </xf>
    <xf numFmtId="208" fontId="33" fillId="37" borderId="0" applyNumberFormat="0" applyBorder="0" applyAlignment="0" applyProtection="0"/>
    <xf numFmtId="208" fontId="33" fillId="37" borderId="0" applyNumberFormat="0" applyBorder="0" applyAlignment="0" applyProtection="0"/>
    <xf numFmtId="208" fontId="3" fillId="0" borderId="0"/>
    <xf numFmtId="208" fontId="5" fillId="0" borderId="0"/>
    <xf numFmtId="208" fontId="5" fillId="0" borderId="0"/>
    <xf numFmtId="208" fontId="3" fillId="0" borderId="0" applyFill="0" applyBorder="0" applyAlignment="0" applyProtection="0"/>
    <xf numFmtId="208" fontId="3" fillId="28" borderId="17" applyNumberFormat="0" applyFont="0" applyAlignment="0" applyProtection="0"/>
    <xf numFmtId="208" fontId="34" fillId="26" borderId="34" applyNumberFormat="0" applyAlignment="0" applyProtection="0"/>
    <xf numFmtId="208" fontId="51" fillId="0" borderId="0" applyFill="0" applyBorder="0" applyProtection="0">
      <alignment horizontal="left"/>
    </xf>
    <xf numFmtId="208" fontId="52" fillId="0" borderId="0" applyFill="0" applyBorder="0" applyProtection="0">
      <alignment horizontal="left"/>
    </xf>
    <xf numFmtId="208" fontId="47" fillId="0" borderId="0" applyFont="0" applyFill="0" applyBorder="0" applyProtection="0">
      <alignment horizontal="right"/>
    </xf>
    <xf numFmtId="208" fontId="3" fillId="0" borderId="36" applyFont="0" applyFill="0" applyBorder="0" applyAlignment="0" applyProtection="0"/>
    <xf numFmtId="208" fontId="3" fillId="0" borderId="0" applyFont="0" applyFill="0" applyBorder="0" applyAlignment="0" applyProtection="0"/>
    <xf numFmtId="208" fontId="17" fillId="4" borderId="0" applyNumberFormat="0" applyBorder="0" applyAlignment="0" applyProtection="0"/>
    <xf numFmtId="208" fontId="53" fillId="38" borderId="0" applyNumberFormat="0"/>
    <xf numFmtId="208" fontId="54" fillId="39" borderId="0" applyNumberFormat="0" applyFont="0" applyBorder="0" applyAlignment="0" applyProtection="0"/>
    <xf numFmtId="208" fontId="34" fillId="26" borderId="34" applyNumberFormat="0" applyAlignment="0" applyProtection="0"/>
    <xf numFmtId="208" fontId="55" fillId="0" borderId="0" applyFill="0" applyBorder="0" applyProtection="0">
      <alignment horizontal="center" vertical="center"/>
    </xf>
    <xf numFmtId="208" fontId="55" fillId="0" borderId="0" applyFill="0" applyBorder="0" applyProtection="0"/>
    <xf numFmtId="208" fontId="26" fillId="0" borderId="0" applyFill="0" applyBorder="0" applyProtection="0">
      <alignment horizontal="left"/>
    </xf>
    <xf numFmtId="208" fontId="56" fillId="0" borderId="0" applyFill="0" applyBorder="0" applyProtection="0">
      <alignment horizontal="left" vertical="top"/>
    </xf>
    <xf numFmtId="208" fontId="15" fillId="0" borderId="0" applyNumberFormat="0" applyFill="0" applyBorder="0" applyAlignment="0" applyProtection="0"/>
    <xf numFmtId="208" fontId="36" fillId="0" borderId="0" applyNumberFormat="0" applyFill="0" applyBorder="0" applyAlignment="0" applyProtection="0"/>
    <xf numFmtId="208" fontId="36" fillId="0" borderId="0" applyNumberFormat="0" applyFill="0" applyBorder="0" applyAlignment="0" applyProtection="0"/>
    <xf numFmtId="208" fontId="19" fillId="0" borderId="21" applyNumberFormat="0" applyFill="0" applyAlignment="0" applyProtection="0"/>
    <xf numFmtId="208" fontId="20" fillId="0" borderId="22" applyNumberFormat="0" applyFill="0" applyAlignment="0" applyProtection="0"/>
    <xf numFmtId="208" fontId="21" fillId="0" borderId="23" applyNumberFormat="0" applyFill="0" applyAlignment="0" applyProtection="0"/>
    <xf numFmtId="208" fontId="21" fillId="0" borderId="0" applyNumberFormat="0" applyFill="0" applyBorder="0" applyAlignment="0" applyProtection="0"/>
    <xf numFmtId="208" fontId="37" fillId="0" borderId="0" applyNumberFormat="0" applyFill="0" applyBorder="0" applyAlignment="0" applyProtection="0">
      <alignment horizontal="left"/>
      <protection locked="0"/>
    </xf>
    <xf numFmtId="208" fontId="38" fillId="0" borderId="38" applyNumberFormat="0" applyFill="0" applyAlignment="0" applyProtection="0"/>
    <xf numFmtId="208" fontId="9" fillId="27" borderId="16" applyNumberFormat="0" applyAlignment="0" applyProtection="0"/>
    <xf numFmtId="208" fontId="3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208" fontId="34" fillId="26" borderId="34" applyNumberFormat="0" applyAlignment="0" applyProtection="0"/>
    <xf numFmtId="208" fontId="1" fillId="0" borderId="0"/>
    <xf numFmtId="164" fontId="3" fillId="0" borderId="0" applyFont="0" applyFill="0" applyBorder="0" applyAlignment="0" applyProtection="0"/>
    <xf numFmtId="208" fontId="1" fillId="0" borderId="0"/>
    <xf numFmtId="208" fontId="3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8" fontId="3" fillId="0" borderId="0"/>
    <xf numFmtId="208" fontId="5" fillId="2" borderId="0" applyNumberFormat="0" applyBorder="0" applyAlignment="0" applyProtection="0"/>
    <xf numFmtId="208" fontId="5" fillId="3" borderId="0" applyNumberFormat="0" applyBorder="0" applyAlignment="0" applyProtection="0"/>
    <xf numFmtId="208" fontId="5" fillId="4" borderId="0" applyNumberFormat="0" applyBorder="0" applyAlignment="0" applyProtection="0"/>
    <xf numFmtId="208" fontId="5" fillId="5" borderId="0" applyNumberFormat="0" applyBorder="0" applyAlignment="0" applyProtection="0"/>
    <xf numFmtId="208" fontId="5" fillId="6" borderId="0" applyNumberFormat="0" applyBorder="0" applyAlignment="0" applyProtection="0"/>
    <xf numFmtId="208" fontId="5" fillId="7" borderId="0" applyNumberFormat="0" applyBorder="0" applyAlignment="0" applyProtection="0"/>
    <xf numFmtId="208" fontId="5" fillId="46" borderId="0" applyNumberFormat="0" applyBorder="0" applyAlignment="0" applyProtection="0"/>
    <xf numFmtId="208" fontId="5" fillId="47" borderId="0" applyNumberFormat="0" applyBorder="0" applyAlignment="0" applyProtection="0"/>
    <xf numFmtId="208" fontId="5" fillId="47" borderId="0" applyNumberFormat="0" applyBorder="0" applyAlignment="0" applyProtection="0"/>
    <xf numFmtId="208" fontId="5" fillId="5" borderId="0" applyNumberFormat="0" applyBorder="0" applyAlignment="0" applyProtection="0"/>
    <xf numFmtId="208" fontId="5" fillId="46" borderId="0" applyNumberFormat="0" applyBorder="0" applyAlignment="0" applyProtection="0"/>
    <xf numFmtId="208" fontId="5" fillId="4" borderId="0" applyNumberFormat="0" applyBorder="0" applyAlignment="0" applyProtection="0"/>
    <xf numFmtId="208" fontId="41" fillId="10" borderId="47"/>
    <xf numFmtId="208" fontId="45" fillId="11" borderId="47">
      <alignment vertical="center"/>
    </xf>
    <xf numFmtId="208" fontId="45" fillId="12" borderId="9">
      <alignment vertical="center"/>
    </xf>
    <xf numFmtId="208" fontId="5" fillId="13" borderId="0" applyNumberFormat="0" applyBorder="0" applyAlignment="0" applyProtection="0"/>
    <xf numFmtId="208" fontId="5" fillId="14" borderId="0" applyNumberFormat="0" applyBorder="0" applyAlignment="0" applyProtection="0"/>
    <xf numFmtId="208" fontId="5" fillId="15" borderId="0" applyNumberFormat="0" applyBorder="0" applyAlignment="0" applyProtection="0"/>
    <xf numFmtId="208" fontId="5" fillId="5" borderId="0" applyNumberFormat="0" applyBorder="0" applyAlignment="0" applyProtection="0"/>
    <xf numFmtId="208" fontId="5" fillId="13" borderId="0" applyNumberFormat="0" applyBorder="0" applyAlignment="0" applyProtection="0"/>
    <xf numFmtId="208" fontId="5" fillId="16" borderId="0" applyNumberFormat="0" applyBorder="0" applyAlignment="0" applyProtection="0"/>
    <xf numFmtId="208" fontId="5" fillId="46" borderId="0" applyNumberFormat="0" applyBorder="0" applyAlignment="0" applyProtection="0"/>
    <xf numFmtId="208" fontId="5" fillId="47" borderId="0" applyNumberFormat="0" applyBorder="0" applyAlignment="0" applyProtection="0"/>
    <xf numFmtId="208" fontId="5" fillId="47" borderId="0" applyNumberFormat="0" applyBorder="0" applyAlignment="0" applyProtection="0"/>
    <xf numFmtId="208" fontId="5" fillId="13" borderId="0" applyNumberFormat="0" applyBorder="0" applyAlignment="0" applyProtection="0"/>
    <xf numFmtId="208" fontId="5" fillId="46" borderId="0" applyNumberFormat="0" applyBorder="0" applyAlignment="0" applyProtection="0"/>
    <xf numFmtId="208" fontId="5" fillId="4" borderId="0" applyNumberFormat="0" applyBorder="0" applyAlignment="0" applyProtection="0"/>
    <xf numFmtId="208" fontId="6" fillId="17" borderId="0" applyNumberFormat="0" applyBorder="0" applyAlignment="0" applyProtection="0"/>
    <xf numFmtId="208" fontId="6" fillId="47" borderId="0" applyNumberFormat="0" applyBorder="0" applyAlignment="0" applyProtection="0"/>
    <xf numFmtId="208" fontId="6" fillId="47" borderId="0" applyNumberFormat="0" applyBorder="0" applyAlignment="0" applyProtection="0"/>
    <xf numFmtId="208" fontId="6" fillId="13" borderId="0" applyNumberFormat="0" applyBorder="0" applyAlignment="0" applyProtection="0"/>
    <xf numFmtId="208" fontId="6" fillId="17" borderId="0" applyNumberFormat="0" applyBorder="0" applyAlignment="0" applyProtection="0"/>
    <xf numFmtId="208" fontId="6" fillId="4" borderId="0" applyNumberFormat="0" applyBorder="0" applyAlignment="0" applyProtection="0"/>
    <xf numFmtId="208" fontId="6" fillId="14" borderId="0" applyNumberFormat="0" applyBorder="0" applyAlignment="0" applyProtection="0"/>
    <xf numFmtId="208" fontId="6" fillId="48" borderId="0" applyNumberFormat="0" applyBorder="0" applyAlignment="0" applyProtection="0"/>
    <xf numFmtId="208" fontId="6" fillId="49" borderId="0" applyNumberFormat="0" applyBorder="0" applyAlignment="0" applyProtection="0"/>
    <xf numFmtId="208" fontId="6" fillId="24" borderId="0" applyNumberFormat="0" applyBorder="0" applyAlignment="0" applyProtection="0"/>
    <xf numFmtId="208" fontId="6" fillId="50" borderId="0" applyNumberFormat="0" applyBorder="0" applyAlignment="0" applyProtection="0"/>
    <xf numFmtId="208" fontId="6" fillId="51" borderId="0" applyNumberFormat="0" applyBorder="0" applyAlignment="0" applyProtection="0"/>
    <xf numFmtId="208" fontId="47" fillId="0" borderId="0">
      <alignment horizontal="center" wrapText="1"/>
      <protection locked="0"/>
    </xf>
    <xf numFmtId="208" fontId="83" fillId="52" borderId="48" applyNumberFormat="0" applyAlignment="0" applyProtection="0"/>
    <xf numFmtId="208" fontId="84" fillId="53" borderId="49" applyNumberFormat="0" applyAlignment="0" applyProtection="0"/>
    <xf numFmtId="208" fontId="84" fillId="53" borderId="49" applyNumberFormat="0" applyAlignment="0" applyProtection="0"/>
    <xf numFmtId="208" fontId="85" fillId="53" borderId="50" applyNumberFormat="0" applyAlignment="0" applyProtection="0"/>
    <xf numFmtId="208" fontId="85" fillId="53" borderId="50" applyNumberFormat="0" applyAlignment="0" applyProtection="0"/>
    <xf numFmtId="178" fontId="3" fillId="0" borderId="13" applyNumberFormat="0" applyFill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10" fillId="0" borderId="8" applyNumberFormat="0" applyFill="0" applyBorder="0" applyAlignment="0" applyProtection="0">
      <alignment horizontal="center"/>
    </xf>
    <xf numFmtId="1" fontId="86" fillId="0" borderId="39">
      <alignment vertical="top"/>
    </xf>
    <xf numFmtId="17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172" fontId="87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08" fontId="88" fillId="4" borderId="50" applyNumberFormat="0" applyAlignment="0" applyProtection="0"/>
    <xf numFmtId="208" fontId="88" fillId="4" borderId="50" applyNumberFormat="0" applyAlignment="0" applyProtection="0"/>
    <xf numFmtId="208" fontId="89" fillId="45" borderId="51" applyNumberFormat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8" fillId="0" borderId="52" applyNumberFormat="0" applyFill="0" applyAlignment="0" applyProtection="0"/>
    <xf numFmtId="208" fontId="38" fillId="0" borderId="52" applyNumberFormat="0" applyFill="0" applyAlignment="0" applyProtection="0"/>
    <xf numFmtId="208" fontId="90" fillId="0" borderId="0" applyNumberFormat="0" applyFill="0" applyBorder="0" applyAlignment="0" applyProtection="0"/>
    <xf numFmtId="208" fontId="91" fillId="0" borderId="0" applyFont="0" applyFill="0" applyBorder="0" applyAlignment="0" applyProtection="0"/>
    <xf numFmtId="208" fontId="92" fillId="54" borderId="0" applyNumberFormat="0" applyBorder="0" applyAlignment="0" applyProtection="0"/>
    <xf numFmtId="208" fontId="93" fillId="0" borderId="44">
      <alignment horizontal="left"/>
    </xf>
    <xf numFmtId="208" fontId="37" fillId="0" borderId="42" applyNumberFormat="0" applyAlignment="0" applyProtection="0">
      <alignment horizontal="left" vertic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94" fillId="0" borderId="0"/>
    <xf numFmtId="197" fontId="40" fillId="0" borderId="0">
      <alignment horizontal="left"/>
    </xf>
    <xf numFmtId="198" fontId="95" fillId="0" borderId="0">
      <protection locked="0"/>
    </xf>
    <xf numFmtId="198" fontId="95" fillId="0" borderId="0">
      <protection locked="0"/>
    </xf>
    <xf numFmtId="15" fontId="22" fillId="30" borderId="0" applyBorder="0"/>
    <xf numFmtId="15" fontId="22" fillId="30" borderId="0" applyBorder="0"/>
    <xf numFmtId="15" fontId="22" fillId="55" borderId="43" applyBorder="0">
      <protection locked="0"/>
    </xf>
    <xf numFmtId="15" fontId="22" fillId="55" borderId="43" applyBorder="0">
      <protection locked="0"/>
    </xf>
    <xf numFmtId="15" fontId="22" fillId="55" borderId="43" applyBorder="0">
      <protection locked="0"/>
    </xf>
    <xf numFmtId="15" fontId="22" fillId="30" borderId="0" applyBorder="0"/>
    <xf numFmtId="208" fontId="3" fillId="30" borderId="25" applyBorder="0" applyProtection="0">
      <alignment horizontal="right"/>
    </xf>
    <xf numFmtId="208" fontId="22" fillId="30" borderId="0" applyBorder="0" applyProtection="0"/>
    <xf numFmtId="199" fontId="22" fillId="55" borderId="26" applyBorder="0">
      <protection locked="0"/>
    </xf>
    <xf numFmtId="199" fontId="22" fillId="55" borderId="26" applyBorder="0">
      <protection locked="0"/>
    </xf>
    <xf numFmtId="199" fontId="22" fillId="55" borderId="26" applyBorder="0">
      <protection locked="0"/>
    </xf>
    <xf numFmtId="199" fontId="22" fillId="30" borderId="0" applyBorder="0" applyProtection="0"/>
    <xf numFmtId="169" fontId="22" fillId="30" borderId="0" applyBorder="0" applyProtection="0"/>
    <xf numFmtId="200" fontId="22" fillId="55" borderId="31" applyBorder="0">
      <protection locked="0"/>
    </xf>
    <xf numFmtId="168" fontId="22" fillId="30" borderId="27" applyBorder="0" applyProtection="0"/>
    <xf numFmtId="208" fontId="22" fillId="55" borderId="0" applyBorder="0">
      <alignment horizontal="left" indent="2"/>
      <protection locked="0"/>
    </xf>
    <xf numFmtId="208" fontId="22" fillId="30" borderId="0" applyBorder="0">
      <alignment horizontal="left" indent="2"/>
      <protection locked="0"/>
    </xf>
    <xf numFmtId="208" fontId="3" fillId="0" borderId="0" applyFill="0" applyBorder="0" applyAlignment="0"/>
    <xf numFmtId="173" fontId="3" fillId="0" borderId="0" applyFill="0" applyBorder="0"/>
    <xf numFmtId="173" fontId="26" fillId="0" borderId="30"/>
    <xf numFmtId="173" fontId="26" fillId="0" borderId="30"/>
    <xf numFmtId="173" fontId="26" fillId="0" borderId="30"/>
    <xf numFmtId="173" fontId="26" fillId="0" borderId="0" applyFill="0"/>
    <xf numFmtId="208" fontId="27" fillId="34" borderId="0"/>
    <xf numFmtId="15" fontId="3" fillId="0" borderId="0" applyFill="0" applyBorder="0"/>
    <xf numFmtId="201" fontId="3" fillId="0" borderId="0" applyFill="0" applyBorder="0"/>
    <xf numFmtId="15" fontId="3" fillId="0" borderId="0" applyFill="0" applyBorder="0"/>
    <xf numFmtId="15" fontId="3" fillId="0" borderId="0" applyFill="0" applyBorder="0"/>
    <xf numFmtId="1" fontId="3" fillId="0" borderId="27" applyFill="0" applyBorder="0" applyAlignment="0"/>
    <xf numFmtId="3" fontId="3" fillId="0" borderId="27" applyFill="0" applyBorder="0"/>
    <xf numFmtId="208" fontId="3" fillId="0" borderId="27" applyFill="0" applyBorder="0"/>
    <xf numFmtId="199" fontId="3" fillId="0" borderId="27" applyFill="0" applyBorder="0"/>
    <xf numFmtId="10" fontId="3" fillId="0" borderId="27" applyFont="0" applyFill="0" applyBorder="0"/>
    <xf numFmtId="169" fontId="3" fillId="0" borderId="27" applyFont="0" applyBorder="0">
      <alignment horizontal="right"/>
    </xf>
    <xf numFmtId="179" fontId="3" fillId="0" borderId="0" applyFill="0" applyBorder="0"/>
    <xf numFmtId="168" fontId="3" fillId="0" borderId="0" applyFill="0" applyBorder="0">
      <alignment horizontal="right"/>
    </xf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171" fontId="23" fillId="30" borderId="33" applyBorder="0"/>
    <xf numFmtId="208" fontId="57" fillId="0" borderId="0" applyNumberFormat="0" applyFill="0" applyBorder="0" applyAlignment="0" applyProtection="0">
      <alignment vertical="top"/>
      <protection locked="0"/>
    </xf>
    <xf numFmtId="208" fontId="57" fillId="0" borderId="0" applyNumberFormat="0" applyFill="0" applyBorder="0" applyAlignment="0" applyProtection="0">
      <alignment vertical="top"/>
      <protection locked="0"/>
    </xf>
    <xf numFmtId="208" fontId="31" fillId="7" borderId="14" applyNumberFormat="0" applyAlignment="0" applyProtection="0"/>
    <xf numFmtId="184" fontId="96" fillId="56" borderId="0"/>
    <xf numFmtId="208" fontId="89" fillId="0" borderId="51" applyNumberFormat="0"/>
    <xf numFmtId="208" fontId="89" fillId="0" borderId="53" applyNumberFormat="0" applyFill="0" applyAlignment="0"/>
    <xf numFmtId="208" fontId="3" fillId="0" borderId="0" applyFont="0" applyFill="0" applyBorder="0" applyAlignment="0" applyProtection="0"/>
    <xf numFmtId="202" fontId="41" fillId="0" borderId="0"/>
    <xf numFmtId="203" fontId="41" fillId="0" borderId="0"/>
    <xf numFmtId="208" fontId="3" fillId="0" borderId="0"/>
    <xf numFmtId="208" fontId="3" fillId="0" borderId="0"/>
    <xf numFmtId="208" fontId="97" fillId="0" borderId="0">
      <alignment vertical="center"/>
    </xf>
    <xf numFmtId="208" fontId="3" fillId="0" borderId="0"/>
    <xf numFmtId="208" fontId="3" fillId="0" borderId="0"/>
    <xf numFmtId="208" fontId="3" fillId="0" borderId="0"/>
    <xf numFmtId="208" fontId="97" fillId="0" borderId="0">
      <alignment vertical="center"/>
    </xf>
    <xf numFmtId="208" fontId="97" fillId="0" borderId="0">
      <alignment vertical="center"/>
    </xf>
    <xf numFmtId="208" fontId="3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3" fillId="0" borderId="0"/>
    <xf numFmtId="208" fontId="3" fillId="0" borderId="0"/>
    <xf numFmtId="208" fontId="3" fillId="0" borderId="0"/>
    <xf numFmtId="208" fontId="41" fillId="0" borderId="0" applyFont="0" applyFill="0" applyBorder="0" applyAlignment="0" applyProtection="0"/>
    <xf numFmtId="208" fontId="97" fillId="0" borderId="0">
      <alignment vertical="center"/>
    </xf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97" fillId="0" borderId="0">
      <alignment vertical="center"/>
    </xf>
    <xf numFmtId="208" fontId="41" fillId="0" borderId="0" applyFill="0" applyBorder="0" applyAlignment="0" applyProtection="0"/>
    <xf numFmtId="208" fontId="97" fillId="0" borderId="0">
      <alignment vertical="center"/>
    </xf>
    <xf numFmtId="208" fontId="5" fillId="0" borderId="0"/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8" fillId="0" borderId="0"/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3" fillId="0" borderId="0"/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97" fillId="0" borderId="0">
      <alignment vertical="center"/>
    </xf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41" fillId="4" borderId="54" applyNumberFormat="0" applyFont="0" applyAlignment="0" applyProtection="0"/>
    <xf numFmtId="208" fontId="41" fillId="4" borderId="54" applyNumberFormat="0" applyFont="0" applyAlignment="0" applyProtection="0"/>
    <xf numFmtId="208" fontId="99" fillId="31" borderId="55" applyNumberFormat="0"/>
    <xf numFmtId="208" fontId="34" fillId="26" borderId="34" applyNumberFormat="0" applyAlignment="0" applyProtection="0"/>
    <xf numFmtId="14" fontId="47" fillId="0" borderId="0">
      <alignment horizontal="center" wrapText="1"/>
      <protection locked="0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00" fillId="0" borderId="0">
      <alignment horizontal="left"/>
    </xf>
    <xf numFmtId="208" fontId="3" fillId="0" borderId="36" applyFont="0" applyFill="0" applyBorder="0" applyAlignment="0" applyProtection="0"/>
    <xf numFmtId="208" fontId="101" fillId="9" borderId="56" applyNumberFormat="0">
      <alignment horizontal="center"/>
    </xf>
    <xf numFmtId="204" fontId="102" fillId="0" borderId="0"/>
    <xf numFmtId="208" fontId="69" fillId="0" borderId="37">
      <alignment vertical="center"/>
    </xf>
    <xf numFmtId="208" fontId="103" fillId="3" borderId="0" applyNumberFormat="0" applyBorder="0" applyAlignment="0" applyProtection="0"/>
    <xf numFmtId="208" fontId="104" fillId="9" borderId="0">
      <alignment horizontal="left"/>
    </xf>
    <xf numFmtId="204" fontId="105" fillId="0" borderId="0"/>
    <xf numFmtId="172" fontId="37" fillId="0" borderId="0"/>
    <xf numFmtId="208" fontId="70" fillId="0" borderId="47" applyBorder="0" applyProtection="0">
      <alignment horizontal="right" vertical="center"/>
    </xf>
    <xf numFmtId="208" fontId="70" fillId="0" borderId="47" applyBorder="0" applyProtection="0">
      <alignment horizontal="right" vertical="center"/>
    </xf>
    <xf numFmtId="208" fontId="71" fillId="41" borderId="47" applyBorder="0" applyProtection="0">
      <alignment horizontal="centerContinuous" vertical="center"/>
    </xf>
    <xf numFmtId="208" fontId="71" fillId="41" borderId="47" applyBorder="0" applyProtection="0">
      <alignment horizontal="centerContinuous" vertical="center"/>
    </xf>
    <xf numFmtId="208" fontId="106" fillId="39" borderId="51" applyNumberFormat="0">
      <alignment horizontal="right"/>
    </xf>
    <xf numFmtId="208" fontId="38" fillId="0" borderId="38" applyNumberFormat="0" applyFill="0" applyAlignment="0" applyProtection="0"/>
    <xf numFmtId="204" fontId="86" fillId="0" borderId="40" applyAlignment="0">
      <alignment horizontal="right"/>
    </xf>
    <xf numFmtId="202" fontId="86" fillId="0" borderId="40" applyAlignment="0"/>
    <xf numFmtId="203" fontId="86" fillId="0" borderId="40" applyAlignment="0"/>
    <xf numFmtId="208" fontId="107" fillId="0" borderId="0" applyNumberFormat="0" applyFill="0" applyBorder="0" applyAlignment="0" applyProtection="0"/>
    <xf numFmtId="208" fontId="108" fillId="0" borderId="57" applyNumberFormat="0" applyFill="0" applyAlignment="0" applyProtection="0"/>
    <xf numFmtId="208" fontId="109" fillId="0" borderId="58" applyNumberFormat="0" applyFill="0" applyAlignment="0" applyProtection="0"/>
    <xf numFmtId="208" fontId="110" fillId="0" borderId="23" applyNumberFormat="0" applyFill="0" applyAlignment="0" applyProtection="0"/>
    <xf numFmtId="208" fontId="110" fillId="0" borderId="0" applyNumberFormat="0" applyFill="0" applyBorder="0" applyAlignment="0" applyProtection="0"/>
    <xf numFmtId="208" fontId="111" fillId="0" borderId="0" applyNumberFormat="0" applyProtection="0"/>
    <xf numFmtId="208" fontId="17" fillId="0" borderId="59" applyNumberFormat="0" applyFill="0" applyAlignment="0" applyProtection="0"/>
    <xf numFmtId="208" fontId="17" fillId="0" borderId="0" applyNumberFormat="0" applyFill="0" applyBorder="0" applyAlignment="0" applyProtection="0"/>
    <xf numFmtId="208" fontId="55" fillId="0" borderId="40" applyFont="0" applyFill="0" applyBorder="0" applyAlignment="0" applyProtection="0"/>
    <xf numFmtId="208" fontId="9" fillId="57" borderId="60" applyNumberFormat="0" applyAlignment="0" applyProtection="0"/>
    <xf numFmtId="208" fontId="3" fillId="0" borderId="0"/>
    <xf numFmtId="164" fontId="1" fillId="0" borderId="0" applyFont="0" applyFill="0" applyBorder="0" applyAlignment="0" applyProtection="0"/>
    <xf numFmtId="208" fontId="3" fillId="0" borderId="0"/>
    <xf numFmtId="208" fontId="3" fillId="0" borderId="0" applyFill="0" applyProtection="0"/>
    <xf numFmtId="208" fontId="3" fillId="0" borderId="0" applyFill="0" applyBorder="0"/>
    <xf numFmtId="205" fontId="3" fillId="0" borderId="36" applyFont="0" applyFill="0" applyBorder="0" applyAlignment="0" applyProtection="0"/>
    <xf numFmtId="208" fontId="3" fillId="0" borderId="0" applyFill="0" applyBorder="0" applyAlignment="0"/>
    <xf numFmtId="208" fontId="3" fillId="0" borderId="0" applyFill="0" applyBorder="0"/>
    <xf numFmtId="208" fontId="1" fillId="0" borderId="0"/>
    <xf numFmtId="208" fontId="3" fillId="0" borderId="0" applyFont="0" applyFill="0" applyBorder="0" applyAlignment="0" applyProtection="0"/>
    <xf numFmtId="208" fontId="1" fillId="0" borderId="0"/>
    <xf numFmtId="20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3" fillId="0" borderId="27" applyFill="0" applyBorder="0"/>
    <xf numFmtId="169" fontId="3" fillId="0" borderId="27" applyFont="0" applyBorder="0">
      <alignment horizontal="right"/>
    </xf>
    <xf numFmtId="182" fontId="3" fillId="0" borderId="0" applyFont="0" applyFill="0" applyBorder="0" applyProtection="0">
      <alignment vertical="top"/>
    </xf>
    <xf numFmtId="206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43" fontId="3" fillId="0" borderId="0" applyFont="0" applyFill="0" applyBorder="0" applyAlignment="0" applyProtection="0"/>
    <xf numFmtId="207" fontId="3" fillId="0" borderId="0" applyFont="0" applyFill="0" applyBorder="0" applyProtection="0">
      <alignment vertical="top"/>
    </xf>
    <xf numFmtId="164" fontId="3" fillId="0" borderId="0" applyFont="0" applyFill="0" applyBorder="0" applyAlignment="0" applyProtection="0"/>
    <xf numFmtId="168" fontId="3" fillId="0" borderId="0" applyFill="0" applyBorder="0">
      <alignment horizontal="right"/>
    </xf>
    <xf numFmtId="208" fontId="1" fillId="0" borderId="0"/>
    <xf numFmtId="208" fontId="1" fillId="0" borderId="0"/>
    <xf numFmtId="164" fontId="1" fillId="0" borderId="0" applyFont="0" applyFill="0" applyBorder="0" applyAlignment="0" applyProtection="0"/>
    <xf numFmtId="208" fontId="3" fillId="0" borderId="0" applyFill="0" applyProtection="0"/>
    <xf numFmtId="182" fontId="3" fillId="0" borderId="0" applyFont="0" applyFill="0" applyBorder="0" applyProtection="0">
      <alignment vertical="top"/>
    </xf>
    <xf numFmtId="208" fontId="1" fillId="0" borderId="0"/>
    <xf numFmtId="3" fontId="3" fillId="0" borderId="0" applyFont="0" applyFill="0" applyBorder="0" applyAlignment="0" applyProtection="0"/>
    <xf numFmtId="208" fontId="3" fillId="0" borderId="0" applyFill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112" fillId="0" borderId="0" applyNumberFormat="0" applyBorder="0" applyAlignment="0"/>
    <xf numFmtId="208" fontId="3" fillId="0" borderId="0"/>
    <xf numFmtId="164" fontId="3" fillId="0" borderId="0" applyFont="0" applyFill="0" applyBorder="0" applyAlignment="0" applyProtection="0"/>
    <xf numFmtId="208" fontId="1" fillId="0" borderId="0"/>
    <xf numFmtId="208" fontId="41" fillId="9" borderId="3"/>
    <xf numFmtId="208" fontId="41" fillId="9" borderId="3"/>
    <xf numFmtId="208" fontId="41" fillId="9" borderId="5"/>
    <xf numFmtId="208" fontId="41" fillId="9" borderId="5"/>
    <xf numFmtId="208" fontId="41" fillId="9" borderId="5"/>
    <xf numFmtId="208" fontId="41" fillId="9" borderId="5"/>
    <xf numFmtId="208" fontId="41" fillId="10" borderId="8"/>
    <xf numFmtId="208" fontId="45" fillId="11" borderId="8">
      <alignment vertical="center"/>
    </xf>
    <xf numFmtId="208" fontId="45" fillId="12" borderId="9">
      <alignment vertical="center"/>
    </xf>
    <xf numFmtId="208" fontId="45" fillId="12" borderId="9">
      <alignment vertical="center"/>
    </xf>
    <xf numFmtId="208" fontId="45" fillId="12" borderId="9">
      <alignment vertical="center"/>
    </xf>
    <xf numFmtId="208" fontId="45" fillId="12" borderId="10">
      <alignment vertical="center"/>
    </xf>
    <xf numFmtId="208" fontId="45" fillId="12" borderId="10">
      <alignment vertical="center"/>
    </xf>
    <xf numFmtId="208" fontId="46" fillId="25" borderId="11" applyNumberFormat="0">
      <alignment horizontal="center"/>
    </xf>
    <xf numFmtId="208" fontId="46" fillId="25" borderId="11" applyNumberFormat="0">
      <alignment horizontal="center"/>
    </xf>
    <xf numFmtId="208" fontId="83" fillId="52" borderId="48" applyNumberFormat="0" applyAlignment="0" applyProtection="0"/>
    <xf numFmtId="208" fontId="84" fillId="53" borderId="49" applyNumberFormat="0" applyAlignment="0" applyProtection="0"/>
    <xf numFmtId="208" fontId="84" fillId="53" borderId="49" applyNumberFormat="0" applyAlignment="0" applyProtection="0"/>
    <xf numFmtId="208" fontId="85" fillId="53" borderId="50" applyNumberFormat="0" applyAlignment="0" applyProtection="0"/>
    <xf numFmtId="208" fontId="85" fillId="53" borderId="50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208" fontId="8" fillId="26" borderId="14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208" fontId="59" fillId="28" borderId="17" applyNumberFormat="0" applyFont="0" applyAlignment="0" applyProtection="0"/>
    <xf numFmtId="208" fontId="14" fillId="0" borderId="18">
      <protection locked="0"/>
    </xf>
    <xf numFmtId="208" fontId="14" fillId="0" borderId="18">
      <protection locked="0"/>
    </xf>
    <xf numFmtId="208" fontId="88" fillId="4" borderId="50" applyNumberFormat="0" applyAlignment="0" applyProtection="0"/>
    <xf numFmtId="208" fontId="88" fillId="4" borderId="50" applyNumberFormat="0" applyAlignment="0" applyProtection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38" fillId="0" borderId="52" applyNumberFormat="0" applyFill="0" applyAlignment="0" applyProtection="0"/>
    <xf numFmtId="208" fontId="38" fillId="0" borderId="52" applyNumberFormat="0" applyFill="0" applyAlignment="0" applyProtection="0"/>
    <xf numFmtId="208" fontId="48" fillId="29" borderId="11">
      <alignment vertical="center"/>
    </xf>
    <xf numFmtId="208" fontId="48" fillId="29" borderId="11">
      <alignment vertical="center"/>
    </xf>
    <xf numFmtId="208" fontId="49" fillId="30" borderId="11">
      <alignment vertical="center"/>
    </xf>
    <xf numFmtId="208" fontId="49" fillId="30" borderId="11">
      <alignment vertical="center"/>
    </xf>
    <xf numFmtId="3" fontId="42" fillId="0" borderId="11">
      <alignment horizontal="center"/>
    </xf>
    <xf numFmtId="3" fontId="44" fillId="0" borderId="11">
      <alignment horizontal="center"/>
    </xf>
    <xf numFmtId="3" fontId="44" fillId="0" borderId="11">
      <alignment horizont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37" fillId="0" borderId="41">
      <alignment horizontal="left" vertical="center"/>
    </xf>
    <xf numFmtId="208" fontId="46" fillId="32" borderId="11" applyNumberFormat="0">
      <alignment horizontal="center"/>
    </xf>
    <xf numFmtId="208" fontId="46" fillId="32" borderId="11" applyNumberFormat="0">
      <alignment horizontal="center"/>
    </xf>
    <xf numFmtId="15" fontId="22" fillId="55" borderId="43" applyBorder="0">
      <protection locked="0"/>
    </xf>
    <xf numFmtId="15" fontId="22" fillId="55" borderId="43" applyBorder="0">
      <protection locked="0"/>
    </xf>
    <xf numFmtId="15" fontId="22" fillId="55" borderId="43" applyBorder="0">
      <protection locked="0"/>
    </xf>
    <xf numFmtId="173" fontId="26" fillId="0" borderId="30"/>
    <xf numFmtId="173" fontId="26" fillId="0" borderId="30"/>
    <xf numFmtId="173" fontId="26" fillId="0" borderId="30"/>
    <xf numFmtId="173" fontId="26" fillId="0" borderId="30"/>
    <xf numFmtId="208" fontId="31" fillId="7" borderId="14" applyNumberFormat="0" applyAlignment="0" applyProtection="0"/>
    <xf numFmtId="208" fontId="31" fillId="7" borderId="14" applyNumberFormat="0" applyAlignment="0" applyProtection="0"/>
    <xf numFmtId="208" fontId="89" fillId="0" borderId="51" applyNumberFormat="0"/>
    <xf numFmtId="208" fontId="81" fillId="42" borderId="45" applyNumberFormat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182" fontId="3" fillId="0" borderId="0" applyFont="0" applyFill="0" applyBorder="0" applyProtection="0">
      <alignment vertical="top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3" fillId="28" borderId="17" applyNumberFormat="0" applyFont="0" applyAlignment="0" applyProtection="0"/>
    <xf numFmtId="208" fontId="41" fillId="4" borderId="54" applyNumberFormat="0" applyFont="0" applyAlignment="0" applyProtection="0"/>
    <xf numFmtId="208" fontId="41" fillId="4" borderId="54" applyNumberFormat="0" applyFont="0" applyAlignment="0" applyProtection="0"/>
    <xf numFmtId="208" fontId="99" fillId="31" borderId="55" applyNumberFormat="0"/>
    <xf numFmtId="208" fontId="34" fillId="26" borderId="34" applyNumberFormat="0" applyAlignment="0" applyProtection="0"/>
    <xf numFmtId="208" fontId="34" fillId="26" borderId="34" applyNumberFormat="0" applyAlignment="0" applyProtection="0"/>
    <xf numFmtId="208" fontId="34" fillId="26" borderId="3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208" fontId="3" fillId="0" borderId="36" applyFont="0" applyFill="0" applyBorder="0" applyAlignment="0" applyProtection="0"/>
    <xf numFmtId="205" fontId="3" fillId="0" borderId="36" applyFont="0" applyFill="0" applyBorder="0" applyAlignment="0" applyProtection="0"/>
    <xf numFmtId="208" fontId="101" fillId="9" borderId="56" applyNumberFormat="0">
      <alignment horizontal="center"/>
    </xf>
    <xf numFmtId="208" fontId="34" fillId="26" borderId="34" applyNumberFormat="0" applyAlignment="0" applyProtection="0"/>
    <xf numFmtId="208" fontId="34" fillId="26" borderId="34" applyNumberFormat="0" applyAlignment="0" applyProtection="0"/>
    <xf numFmtId="208" fontId="70" fillId="0" borderId="8" applyBorder="0" applyProtection="0">
      <alignment horizontal="right" vertical="center"/>
    </xf>
    <xf numFmtId="208" fontId="70" fillId="0" borderId="8" applyBorder="0" applyProtection="0">
      <alignment horizontal="right" vertical="center"/>
    </xf>
    <xf numFmtId="208" fontId="71" fillId="41" borderId="8" applyBorder="0" applyProtection="0">
      <alignment horizontal="centerContinuous" vertical="center"/>
    </xf>
    <xf numFmtId="208" fontId="71" fillId="41" borderId="8" applyBorder="0" applyProtection="0">
      <alignment horizontal="centerContinuous" vertical="center"/>
    </xf>
    <xf numFmtId="208" fontId="38" fillId="0" borderId="38" applyNumberFormat="0" applyFill="0" applyAlignment="0" applyProtection="0"/>
    <xf numFmtId="208" fontId="38" fillId="0" borderId="38" applyNumberFormat="0" applyFill="0" applyAlignment="0" applyProtection="0"/>
    <xf numFmtId="204" fontId="86" fillId="0" borderId="40" applyAlignment="0">
      <alignment horizontal="right"/>
    </xf>
    <xf numFmtId="202" fontId="86" fillId="0" borderId="40" applyAlignment="0"/>
    <xf numFmtId="203" fontId="86" fillId="0" borderId="40" applyAlignment="0"/>
    <xf numFmtId="208" fontId="55" fillId="0" borderId="40" applyFont="0" applyFill="0" applyBorder="0" applyAlignment="0" applyProtection="0"/>
    <xf numFmtId="20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8" fontId="1" fillId="0" borderId="0"/>
    <xf numFmtId="208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8" fontId="1" fillId="0" borderId="0"/>
    <xf numFmtId="208" fontId="1" fillId="0" borderId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208" fontId="34" fillId="26" borderId="34" applyNumberFormat="0" applyAlignment="0" applyProtection="0"/>
    <xf numFmtId="0" fontId="1" fillId="0" borderId="0"/>
    <xf numFmtId="0" fontId="124" fillId="0" borderId="0">
      <alignment vertical="center"/>
    </xf>
    <xf numFmtId="41" fontId="1" fillId="0" borderId="0" applyFont="0" applyFill="0" applyBorder="0" applyAlignment="0" applyProtection="0"/>
  </cellStyleXfs>
  <cellXfs count="338">
    <xf numFmtId="208" fontId="0" fillId="0" borderId="0" xfId="0"/>
    <xf numFmtId="208" fontId="4" fillId="0" borderId="0" xfId="2" applyNumberFormat="1" applyFont="1" applyFill="1" applyBorder="1" applyAlignment="1" applyProtection="1"/>
    <xf numFmtId="208" fontId="4" fillId="0" borderId="30" xfId="2" applyNumberFormat="1" applyFont="1" applyFill="1" applyBorder="1" applyAlignment="1" applyProtection="1"/>
    <xf numFmtId="209" fontId="0" fillId="0" borderId="0" xfId="0" applyNumberFormat="1"/>
    <xf numFmtId="43" fontId="2" fillId="0" borderId="0" xfId="0" applyNumberFormat="1" applyFont="1"/>
    <xf numFmtId="43" fontId="0" fillId="0" borderId="0" xfId="0" applyNumberFormat="1"/>
    <xf numFmtId="2" fontId="0" fillId="0" borderId="0" xfId="0" applyNumberFormat="1"/>
    <xf numFmtId="209" fontId="0" fillId="59" borderId="0" xfId="1" applyNumberFormat="1" applyFont="1" applyFill="1"/>
    <xf numFmtId="164" fontId="3" fillId="59" borderId="0" xfId="929" applyFont="1" applyFill="1" applyBorder="1" applyAlignment="1" applyProtection="1"/>
    <xf numFmtId="208" fontId="4" fillId="59" borderId="0" xfId="2" applyNumberFormat="1" applyFont="1" applyFill="1" applyBorder="1" applyAlignment="1" applyProtection="1"/>
    <xf numFmtId="208" fontId="4" fillId="58" borderId="0" xfId="2" applyNumberFormat="1" applyFont="1" applyFill="1" applyBorder="1" applyAlignment="1" applyProtection="1"/>
    <xf numFmtId="168" fontId="0" fillId="0" borderId="0" xfId="0" applyNumberFormat="1"/>
    <xf numFmtId="164" fontId="3" fillId="58" borderId="0" xfId="929" applyFont="1" applyFill="1" applyBorder="1" applyAlignment="1" applyProtection="1"/>
    <xf numFmtId="43" fontId="0" fillId="0" borderId="0" xfId="1" applyFont="1"/>
    <xf numFmtId="209" fontId="0" fillId="0" borderId="0" xfId="1" applyNumberFormat="1" applyFont="1"/>
    <xf numFmtId="164" fontId="3" fillId="0" borderId="0" xfId="929" applyFont="1" applyFill="1" applyBorder="1" applyAlignment="1" applyProtection="1"/>
    <xf numFmtId="164" fontId="3" fillId="0" borderId="30" xfId="929" applyFont="1" applyFill="1" applyBorder="1" applyAlignment="1" applyProtection="1"/>
    <xf numFmtId="209" fontId="0" fillId="0" borderId="0" xfId="1" applyNumberFormat="1" applyFont="1" applyFill="1"/>
    <xf numFmtId="2" fontId="0" fillId="0" borderId="0" xfId="0" applyNumberFormat="1" applyFill="1"/>
    <xf numFmtId="2" fontId="0" fillId="59" borderId="0" xfId="0" applyNumberFormat="1" applyFill="1"/>
    <xf numFmtId="208" fontId="2" fillId="0" borderId="0" xfId="0" applyFont="1"/>
    <xf numFmtId="4" fontId="113" fillId="0" borderId="0" xfId="0" applyNumberFormat="1" applyFont="1" applyAlignment="1">
      <alignment horizontal="center" vertical="center"/>
    </xf>
    <xf numFmtId="208" fontId="114" fillId="60" borderId="61" xfId="0" applyFont="1" applyFill="1" applyBorder="1" applyAlignment="1">
      <alignment horizontal="center" vertical="center"/>
    </xf>
    <xf numFmtId="208" fontId="114" fillId="60" borderId="62" xfId="0" applyFont="1" applyFill="1" applyBorder="1" applyAlignment="1">
      <alignment horizontal="center" vertical="center"/>
    </xf>
    <xf numFmtId="4" fontId="114" fillId="60" borderId="62" xfId="0" applyNumberFormat="1" applyFont="1" applyFill="1" applyBorder="1" applyAlignment="1">
      <alignment horizontal="center" vertical="center"/>
    </xf>
    <xf numFmtId="210" fontId="115" fillId="60" borderId="63" xfId="0" applyNumberFormat="1" applyFont="1" applyFill="1" applyBorder="1" applyAlignment="1">
      <alignment horizontal="center" vertical="center"/>
    </xf>
    <xf numFmtId="208" fontId="114" fillId="60" borderId="64" xfId="0" applyFont="1" applyFill="1" applyBorder="1" applyAlignment="1">
      <alignment horizontal="center" vertical="center"/>
    </xf>
    <xf numFmtId="208" fontId="114" fillId="60" borderId="65" xfId="0" applyFont="1" applyFill="1" applyBorder="1" applyAlignment="1">
      <alignment horizontal="center" vertical="center"/>
    </xf>
    <xf numFmtId="3" fontId="116" fillId="60" borderId="66" xfId="0" applyNumberFormat="1" applyFont="1" applyFill="1" applyBorder="1" applyAlignment="1">
      <alignment horizontal="center" vertical="center"/>
    </xf>
    <xf numFmtId="4" fontId="116" fillId="60" borderId="0" xfId="0" applyNumberFormat="1" applyFont="1" applyFill="1" applyBorder="1" applyAlignment="1">
      <alignment horizontal="center" vertical="center"/>
    </xf>
    <xf numFmtId="210" fontId="117" fillId="60" borderId="67" xfId="0" applyNumberFormat="1" applyFont="1" applyFill="1" applyBorder="1" applyAlignment="1">
      <alignment horizontal="center" vertical="center"/>
    </xf>
    <xf numFmtId="211" fontId="116" fillId="60" borderId="68" xfId="0" applyNumberFormat="1" applyFont="1" applyFill="1" applyBorder="1" applyAlignment="1">
      <alignment horizontal="center" vertical="center"/>
    </xf>
    <xf numFmtId="211" fontId="116" fillId="60" borderId="0" xfId="0" applyNumberFormat="1" applyFont="1" applyFill="1" applyBorder="1" applyAlignment="1">
      <alignment horizontal="center" vertical="center"/>
    </xf>
    <xf numFmtId="211" fontId="116" fillId="60" borderId="69" xfId="0" applyNumberFormat="1" applyFont="1" applyFill="1" applyBorder="1" applyAlignment="1">
      <alignment horizontal="center" vertical="center"/>
    </xf>
    <xf numFmtId="208" fontId="0" fillId="0" borderId="0" xfId="0" applyAlignment="1">
      <alignment horizontal="center" vertical="center"/>
    </xf>
    <xf numFmtId="208" fontId="0" fillId="61" borderId="0" xfId="0" applyFill="1" applyAlignment="1">
      <alignment horizontal="center" vertical="center"/>
    </xf>
    <xf numFmtId="4" fontId="0" fillId="0" borderId="0" xfId="0" applyNumberFormat="1"/>
    <xf numFmtId="3" fontId="118" fillId="60" borderId="66" xfId="0" applyNumberFormat="1" applyFont="1" applyFill="1" applyBorder="1" applyAlignment="1">
      <alignment horizontal="center" vertical="center"/>
    </xf>
    <xf numFmtId="4" fontId="118" fillId="60" borderId="0" xfId="0" applyNumberFormat="1" applyFont="1" applyFill="1" applyBorder="1" applyAlignment="1">
      <alignment horizontal="center" vertical="center"/>
    </xf>
    <xf numFmtId="211" fontId="118" fillId="60" borderId="68" xfId="0" applyNumberFormat="1" applyFont="1" applyFill="1" applyBorder="1" applyAlignment="1">
      <alignment horizontal="center" vertical="center"/>
    </xf>
    <xf numFmtId="211" fontId="118" fillId="60" borderId="0" xfId="0" applyNumberFormat="1" applyFont="1" applyFill="1" applyBorder="1" applyAlignment="1">
      <alignment horizontal="center" vertical="center"/>
    </xf>
    <xf numFmtId="211" fontId="118" fillId="60" borderId="69" xfId="0" applyNumberFormat="1" applyFont="1" applyFill="1" applyBorder="1" applyAlignment="1">
      <alignment horizontal="center" vertical="center"/>
    </xf>
    <xf numFmtId="208" fontId="0" fillId="61" borderId="0" xfId="0" quotePrefix="1" applyFill="1" applyAlignment="1">
      <alignment horizontal="center" vertical="center"/>
    </xf>
    <xf numFmtId="208" fontId="119" fillId="60" borderId="70" xfId="0" applyFont="1" applyFill="1" applyBorder="1"/>
    <xf numFmtId="208" fontId="119" fillId="62" borderId="71" xfId="0" applyFont="1" applyFill="1" applyBorder="1" applyAlignment="1">
      <alignment horizontal="center"/>
    </xf>
    <xf numFmtId="208" fontId="119" fillId="60" borderId="72" xfId="0" applyFont="1" applyFill="1" applyBorder="1"/>
    <xf numFmtId="208" fontId="119" fillId="62" borderId="73" xfId="0" applyFont="1" applyFill="1" applyBorder="1" applyAlignment="1">
      <alignment horizontal="center"/>
    </xf>
    <xf numFmtId="208" fontId="119" fillId="60" borderId="74" xfId="0" applyFont="1" applyFill="1" applyBorder="1"/>
    <xf numFmtId="208" fontId="119" fillId="62" borderId="75" xfId="0" applyFont="1" applyFill="1" applyBorder="1" applyAlignment="1">
      <alignment horizontal="center"/>
    </xf>
    <xf numFmtId="208" fontId="120" fillId="61" borderId="73" xfId="0" applyFont="1" applyFill="1" applyBorder="1" applyAlignment="1">
      <alignment horizontal="center"/>
    </xf>
    <xf numFmtId="208" fontId="115" fillId="0" borderId="0" xfId="0" applyFont="1"/>
    <xf numFmtId="208" fontId="0" fillId="0" borderId="0" xfId="0" applyAlignment="1">
      <alignment horizontal="center"/>
    </xf>
    <xf numFmtId="0" fontId="0" fillId="63" borderId="0" xfId="0" applyNumberFormat="1" applyFont="1" applyFill="1" applyBorder="1" applyAlignment="1">
      <alignment horizontal="left" vertical="center" wrapText="1"/>
    </xf>
    <xf numFmtId="0" fontId="115" fillId="0" borderId="0" xfId="0" applyNumberFormat="1" applyFont="1" applyFill="1" applyBorder="1" applyAlignment="1">
      <alignment horizontal="left" vertical="center" wrapText="1"/>
    </xf>
    <xf numFmtId="3" fontId="0" fillId="63" borderId="0" xfId="0" applyNumberFormat="1" applyFont="1" applyFill="1" applyBorder="1" applyAlignment="1">
      <alignment horizontal="center" vertical="center" wrapText="1"/>
    </xf>
    <xf numFmtId="208" fontId="0" fillId="0" borderId="61" xfId="0" applyBorder="1" applyAlignment="1">
      <alignment horizontal="center" vertical="center"/>
    </xf>
    <xf numFmtId="208" fontId="0" fillId="0" borderId="62" xfId="0" applyBorder="1" applyAlignment="1">
      <alignment horizontal="center" vertical="center"/>
    </xf>
    <xf numFmtId="208" fontId="0" fillId="0" borderId="65" xfId="0" applyBorder="1" applyAlignment="1">
      <alignment horizontal="center" vertical="center"/>
    </xf>
    <xf numFmtId="208" fontId="0" fillId="0" borderId="66" xfId="0" applyBorder="1" applyAlignment="1">
      <alignment horizontal="center" vertical="center"/>
    </xf>
    <xf numFmtId="208" fontId="0" fillId="0" borderId="0" xfId="0" applyBorder="1" applyAlignment="1">
      <alignment horizontal="center" vertical="center"/>
    </xf>
    <xf numFmtId="208" fontId="0" fillId="0" borderId="69" xfId="0" applyBorder="1" applyAlignment="1">
      <alignment horizontal="center" vertical="center"/>
    </xf>
    <xf numFmtId="208" fontId="0" fillId="0" borderId="78" xfId="0" applyBorder="1" applyAlignment="1">
      <alignment horizontal="center" vertical="center"/>
    </xf>
    <xf numFmtId="208" fontId="0" fillId="0" borderId="79" xfId="0" applyBorder="1" applyAlignment="1">
      <alignment horizontal="center" vertical="center"/>
    </xf>
    <xf numFmtId="208" fontId="0" fillId="0" borderId="80" xfId="0" applyBorder="1" applyAlignment="1">
      <alignment horizontal="center" vertical="center"/>
    </xf>
    <xf numFmtId="4" fontId="0" fillId="0" borderId="62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79" xfId="0" applyNumberFormat="1" applyBorder="1" applyAlignment="1">
      <alignment horizontal="center" vertical="center"/>
    </xf>
    <xf numFmtId="3" fontId="0" fillId="0" borderId="0" xfId="0" applyNumberFormat="1"/>
    <xf numFmtId="3" fontId="0" fillId="0" borderId="62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79" xfId="0" applyNumberFormat="1" applyBorder="1" applyAlignment="1">
      <alignment horizontal="center" vertical="center"/>
    </xf>
    <xf numFmtId="212" fontId="0" fillId="0" borderId="0" xfId="0" applyNumberFormat="1"/>
    <xf numFmtId="212" fontId="0" fillId="0" borderId="62" xfId="0" applyNumberFormat="1" applyBorder="1" applyAlignment="1">
      <alignment horizontal="center" vertical="center"/>
    </xf>
    <xf numFmtId="212" fontId="0" fillId="0" borderId="0" xfId="0" applyNumberFormat="1" applyBorder="1" applyAlignment="1">
      <alignment horizontal="center" vertical="center"/>
    </xf>
    <xf numFmtId="212" fontId="0" fillId="0" borderId="79" xfId="0" applyNumberFormat="1" applyBorder="1" applyAlignment="1">
      <alignment horizontal="center" vertical="center"/>
    </xf>
    <xf numFmtId="213" fontId="0" fillId="0" borderId="0" xfId="0" applyNumberFormat="1"/>
    <xf numFmtId="213" fontId="0" fillId="0" borderId="62" xfId="0" applyNumberFormat="1" applyBorder="1" applyAlignment="1">
      <alignment horizontal="center" vertical="center"/>
    </xf>
    <xf numFmtId="213" fontId="0" fillId="0" borderId="0" xfId="0" applyNumberFormat="1" applyBorder="1" applyAlignment="1">
      <alignment horizontal="center" vertical="center"/>
    </xf>
    <xf numFmtId="213" fontId="0" fillId="0" borderId="79" xfId="0" applyNumberFormat="1" applyBorder="1" applyAlignment="1">
      <alignment horizontal="center" vertical="center"/>
    </xf>
    <xf numFmtId="214" fontId="0" fillId="0" borderId="0" xfId="0" applyNumberFormat="1"/>
    <xf numFmtId="214" fontId="0" fillId="0" borderId="62" xfId="0" applyNumberFormat="1" applyBorder="1" applyAlignment="1">
      <alignment horizontal="center" vertical="center"/>
    </xf>
    <xf numFmtId="214" fontId="0" fillId="0" borderId="0" xfId="0" applyNumberFormat="1" applyBorder="1" applyAlignment="1">
      <alignment horizontal="center" vertical="center"/>
    </xf>
    <xf numFmtId="214" fontId="0" fillId="0" borderId="79" xfId="0" applyNumberFormat="1" applyBorder="1" applyAlignment="1">
      <alignment horizontal="center" vertical="center"/>
    </xf>
    <xf numFmtId="4" fontId="0" fillId="61" borderId="0" xfId="0" quotePrefix="1" applyNumberFormat="1" applyFill="1" applyAlignment="1">
      <alignment horizontal="center" vertical="center"/>
    </xf>
    <xf numFmtId="208" fontId="0" fillId="63" borderId="81" xfId="0" applyFill="1" applyBorder="1" applyAlignment="1">
      <alignment horizontal="left" vertical="center"/>
    </xf>
    <xf numFmtId="208" fontId="116" fillId="0" borderId="81" xfId="0" applyFont="1" applyBorder="1" applyAlignment="1">
      <alignment horizontal="center" vertical="center"/>
    </xf>
    <xf numFmtId="208" fontId="0" fillId="0" borderId="0" xfId="0" applyAlignment="1">
      <alignment horizontal="left" vertical="center"/>
    </xf>
    <xf numFmtId="208" fontId="0" fillId="0" borderId="0" xfId="0" applyFont="1" applyAlignment="1">
      <alignment horizontal="left" vertical="center"/>
    </xf>
    <xf numFmtId="208" fontId="0" fillId="63" borderId="82" xfId="0" applyFill="1" applyBorder="1" applyAlignment="1">
      <alignment horizontal="left" vertical="center"/>
    </xf>
    <xf numFmtId="208" fontId="0" fillId="0" borderId="82" xfId="0" applyBorder="1" applyAlignment="1">
      <alignment horizontal="center" vertical="center"/>
    </xf>
    <xf numFmtId="208" fontId="0" fillId="63" borderId="83" xfId="0" applyFill="1" applyBorder="1" applyAlignment="1">
      <alignment horizontal="left" vertical="center"/>
    </xf>
    <xf numFmtId="208" fontId="0" fillId="0" borderId="83" xfId="0" applyBorder="1" applyAlignment="1">
      <alignment horizontal="center" vertical="center"/>
    </xf>
    <xf numFmtId="208" fontId="0" fillId="63" borderId="84" xfId="0" applyFill="1" applyBorder="1" applyAlignment="1">
      <alignment horizontal="left" vertical="center"/>
    </xf>
    <xf numFmtId="208" fontId="0" fillId="64" borderId="84" xfId="0" applyFont="1" applyFill="1" applyBorder="1" applyAlignment="1">
      <alignment horizontal="center" vertical="center"/>
    </xf>
    <xf numFmtId="208" fontId="0" fillId="0" borderId="0" xfId="0" applyFont="1" applyAlignment="1">
      <alignment horizontal="center" vertical="center"/>
    </xf>
    <xf numFmtId="211" fontId="0" fillId="63" borderId="82" xfId="0" applyNumberFormat="1" applyFill="1" applyBorder="1" applyAlignment="1">
      <alignment horizontal="left" vertical="center"/>
    </xf>
    <xf numFmtId="211" fontId="0" fillId="63" borderId="83" xfId="0" applyNumberFormat="1" applyFill="1" applyBorder="1" applyAlignment="1">
      <alignment horizontal="left" vertical="center"/>
    </xf>
    <xf numFmtId="213" fontId="0" fillId="63" borderId="83" xfId="0" applyNumberFormat="1" applyFill="1" applyBorder="1" applyAlignment="1">
      <alignment horizontal="center" vertical="center"/>
    </xf>
    <xf numFmtId="211" fontId="0" fillId="63" borderId="84" xfId="0" applyNumberFormat="1" applyFill="1" applyBorder="1" applyAlignment="1">
      <alignment horizontal="left" vertical="center"/>
    </xf>
    <xf numFmtId="213" fontId="0" fillId="63" borderId="84" xfId="0" applyNumberFormat="1" applyFill="1" applyBorder="1" applyAlignment="1">
      <alignment horizontal="center" vertical="center"/>
    </xf>
    <xf numFmtId="210" fontId="0" fillId="63" borderId="82" xfId="0" applyNumberFormat="1" applyFill="1" applyBorder="1" applyAlignment="1">
      <alignment horizontal="center" vertical="center"/>
    </xf>
    <xf numFmtId="208" fontId="115" fillId="0" borderId="85" xfId="0" applyFont="1" applyFill="1" applyBorder="1"/>
    <xf numFmtId="208" fontId="0" fillId="0" borderId="86" xfId="0" applyFill="1" applyBorder="1"/>
    <xf numFmtId="208" fontId="0" fillId="0" borderId="87" xfId="0" applyFill="1" applyBorder="1"/>
    <xf numFmtId="0" fontId="1" fillId="0" borderId="0" xfId="932"/>
    <xf numFmtId="0" fontId="1" fillId="63" borderId="61" xfId="932" applyFill="1" applyBorder="1"/>
    <xf numFmtId="0" fontId="115" fillId="63" borderId="62" xfId="932" applyFont="1" applyFill="1" applyBorder="1"/>
    <xf numFmtId="0" fontId="117" fillId="63" borderId="62" xfId="932" applyFont="1" applyFill="1" applyBorder="1" applyAlignment="1">
      <alignment horizontal="center" vertical="center"/>
    </xf>
    <xf numFmtId="0" fontId="1" fillId="63" borderId="62" xfId="932" applyFill="1" applyBorder="1"/>
    <xf numFmtId="0" fontId="1" fillId="63" borderId="65" xfId="932" applyFill="1" applyBorder="1"/>
    <xf numFmtId="0" fontId="1" fillId="63" borderId="66" xfId="932" applyFill="1" applyBorder="1"/>
    <xf numFmtId="0" fontId="1" fillId="60" borderId="82" xfId="932" applyFill="1" applyBorder="1"/>
    <xf numFmtId="0" fontId="1" fillId="63" borderId="0" xfId="932" applyFill="1" applyBorder="1"/>
    <xf numFmtId="0" fontId="1" fillId="63" borderId="69" xfId="932" applyFill="1" applyBorder="1"/>
    <xf numFmtId="0" fontId="120" fillId="63" borderId="0" xfId="932" applyFont="1" applyFill="1" applyBorder="1"/>
    <xf numFmtId="0" fontId="115" fillId="63" borderId="0" xfId="932" applyFont="1" applyFill="1" applyBorder="1"/>
    <xf numFmtId="0" fontId="0" fillId="63" borderId="0" xfId="932" applyFont="1" applyFill="1" applyBorder="1" applyAlignment="1">
      <alignment horizontal="center" vertical="center"/>
    </xf>
    <xf numFmtId="0" fontId="115" fillId="63" borderId="0" xfId="932" applyFont="1" applyFill="1"/>
    <xf numFmtId="0" fontId="1" fillId="63" borderId="0" xfId="932" applyFill="1"/>
    <xf numFmtId="0" fontId="119" fillId="63" borderId="79" xfId="932" applyFont="1" applyFill="1" applyBorder="1" applyAlignment="1">
      <alignment horizontal="center" vertical="center"/>
    </xf>
    <xf numFmtId="0" fontId="117" fillId="63" borderId="0" xfId="932" applyFont="1" applyFill="1" applyBorder="1" applyAlignment="1">
      <alignment horizontal="center" vertical="center"/>
    </xf>
    <xf numFmtId="0" fontId="1" fillId="60" borderId="83" xfId="932" applyFill="1" applyBorder="1"/>
    <xf numFmtId="0" fontId="0" fillId="60" borderId="82" xfId="932" applyFont="1" applyFill="1" applyBorder="1"/>
    <xf numFmtId="0" fontId="0" fillId="60" borderId="82" xfId="932" applyFont="1" applyFill="1" applyBorder="1" applyAlignment="1">
      <alignment horizontal="left" vertical="center"/>
    </xf>
    <xf numFmtId="0" fontId="114" fillId="0" borderId="61" xfId="932" applyFont="1" applyFill="1" applyBorder="1" applyAlignment="1">
      <alignment horizontal="center" vertical="center"/>
    </xf>
    <xf numFmtId="210" fontId="114" fillId="0" borderId="62" xfId="932" applyNumberFormat="1" applyFont="1" applyFill="1" applyBorder="1" applyAlignment="1">
      <alignment horizontal="center" vertical="center"/>
    </xf>
    <xf numFmtId="15" fontId="114" fillId="0" borderId="62" xfId="932" applyNumberFormat="1" applyFont="1" applyFill="1" applyBorder="1" applyAlignment="1">
      <alignment horizontal="center" vertical="center"/>
    </xf>
    <xf numFmtId="15" fontId="114" fillId="0" borderId="0" xfId="932" applyNumberFormat="1" applyFont="1" applyFill="1" applyBorder="1" applyAlignment="1">
      <alignment horizontal="center" vertical="center"/>
    </xf>
    <xf numFmtId="15" fontId="119" fillId="0" borderId="69" xfId="932" applyNumberFormat="1" applyFont="1" applyFill="1" applyBorder="1" applyAlignment="1">
      <alignment horizontal="center" vertical="center"/>
    </xf>
    <xf numFmtId="210" fontId="114" fillId="0" borderId="65" xfId="932" applyNumberFormat="1" applyFont="1" applyFill="1" applyBorder="1" applyAlignment="1">
      <alignment horizontal="center" vertical="center"/>
    </xf>
    <xf numFmtId="0" fontId="120" fillId="63" borderId="79" xfId="932" applyFont="1" applyFill="1" applyBorder="1"/>
    <xf numFmtId="0" fontId="121" fillId="63" borderId="79" xfId="932" applyFont="1" applyFill="1" applyBorder="1" applyAlignment="1">
      <alignment horizontal="center" vertical="center"/>
    </xf>
    <xf numFmtId="0" fontId="0" fillId="60" borderId="83" xfId="932" applyFont="1" applyFill="1" applyBorder="1"/>
    <xf numFmtId="0" fontId="0" fillId="60" borderId="83" xfId="932" applyFont="1" applyFill="1" applyBorder="1" applyAlignment="1">
      <alignment horizontal="left" vertical="center"/>
    </xf>
    <xf numFmtId="0" fontId="114" fillId="0" borderId="66" xfId="932" applyFont="1" applyFill="1" applyBorder="1" applyAlignment="1">
      <alignment horizontal="center" vertical="center"/>
    </xf>
    <xf numFmtId="210" fontId="114" fillId="0" borderId="0" xfId="932" applyNumberFormat="1" applyFont="1" applyFill="1" applyBorder="1" applyAlignment="1">
      <alignment horizontal="center" vertical="center"/>
    </xf>
    <xf numFmtId="210" fontId="114" fillId="0" borderId="69" xfId="932" applyNumberFormat="1" applyFont="1" applyFill="1" applyBorder="1" applyAlignment="1">
      <alignment horizontal="center" vertical="center"/>
    </xf>
    <xf numFmtId="0" fontId="119" fillId="0" borderId="82" xfId="932" applyFont="1" applyFill="1" applyBorder="1" applyAlignment="1">
      <alignment vertical="center"/>
    </xf>
    <xf numFmtId="15" fontId="119" fillId="0" borderId="82" xfId="932" applyNumberFormat="1" applyFont="1" applyFill="1" applyBorder="1" applyAlignment="1">
      <alignment horizontal="center" vertical="center"/>
    </xf>
    <xf numFmtId="0" fontId="1" fillId="60" borderId="84" xfId="932" applyFill="1" applyBorder="1"/>
    <xf numFmtId="0" fontId="119" fillId="0" borderId="83" xfId="932" applyFont="1" applyFill="1" applyBorder="1" applyAlignment="1">
      <alignment vertical="center"/>
    </xf>
    <xf numFmtId="0" fontId="119" fillId="0" borderId="83" xfId="932" applyFont="1" applyFill="1" applyBorder="1" applyAlignment="1">
      <alignment horizontal="center" vertical="center"/>
    </xf>
    <xf numFmtId="0" fontId="0" fillId="60" borderId="84" xfId="932" applyFont="1" applyFill="1" applyBorder="1"/>
    <xf numFmtId="0" fontId="119" fillId="0" borderId="84" xfId="932" applyFont="1" applyFill="1" applyBorder="1" applyAlignment="1">
      <alignment horizontal="left" vertical="center"/>
    </xf>
    <xf numFmtId="0" fontId="1" fillId="63" borderId="78" xfId="932" applyFill="1" applyBorder="1"/>
    <xf numFmtId="0" fontId="1" fillId="63" borderId="79" xfId="932" applyFill="1" applyBorder="1"/>
    <xf numFmtId="0" fontId="1" fillId="63" borderId="80" xfId="932" applyFill="1" applyBorder="1"/>
    <xf numFmtId="0" fontId="119" fillId="0" borderId="83" xfId="932" applyFont="1" applyFill="1" applyBorder="1"/>
    <xf numFmtId="0" fontId="2" fillId="63" borderId="0" xfId="932" applyFont="1" applyFill="1"/>
    <xf numFmtId="0" fontId="1" fillId="60" borderId="82" xfId="932" applyFill="1" applyBorder="1" applyAlignment="1">
      <alignment horizontal="left" vertical="center"/>
    </xf>
    <xf numFmtId="0" fontId="117" fillId="0" borderId="0" xfId="932" applyFont="1"/>
    <xf numFmtId="0" fontId="114" fillId="60" borderId="84" xfId="932" applyFont="1" applyFill="1" applyBorder="1" applyAlignment="1">
      <alignment horizontal="left" vertical="center"/>
    </xf>
    <xf numFmtId="0" fontId="117" fillId="63" borderId="79" xfId="932" applyFont="1" applyFill="1" applyBorder="1" applyAlignment="1">
      <alignment horizontal="center" vertical="center"/>
    </xf>
    <xf numFmtId="0" fontId="119" fillId="0" borderId="83" xfId="932" applyFont="1" applyFill="1" applyBorder="1" applyAlignment="1">
      <alignment horizontal="left" vertical="center"/>
    </xf>
    <xf numFmtId="15" fontId="114" fillId="65" borderId="81" xfId="932" applyNumberFormat="1" applyFont="1" applyFill="1" applyBorder="1" applyAlignment="1">
      <alignment horizontal="center" vertical="center"/>
    </xf>
    <xf numFmtId="0" fontId="118" fillId="0" borderId="66" xfId="932" applyFont="1" applyFill="1" applyBorder="1" applyAlignment="1">
      <alignment horizontal="center" vertical="center"/>
    </xf>
    <xf numFmtId="210" fontId="118" fillId="0" borderId="69" xfId="932" applyNumberFormat="1" applyFont="1" applyFill="1" applyBorder="1" applyAlignment="1">
      <alignment horizontal="center" vertical="center"/>
    </xf>
    <xf numFmtId="0" fontId="118" fillId="63" borderId="0" xfId="932" applyFont="1" applyFill="1"/>
    <xf numFmtId="0" fontId="118" fillId="63" borderId="69" xfId="932" applyFont="1" applyFill="1" applyBorder="1"/>
    <xf numFmtId="0" fontId="119" fillId="0" borderId="84" xfId="932" applyFont="1" applyFill="1" applyBorder="1"/>
    <xf numFmtId="0" fontId="119" fillId="0" borderId="84" xfId="932" applyFont="1" applyFill="1" applyBorder="1" applyAlignment="1">
      <alignment horizontal="center" vertical="center"/>
    </xf>
    <xf numFmtId="0" fontId="2" fillId="63" borderId="0" xfId="932" applyFont="1" applyFill="1" applyBorder="1"/>
    <xf numFmtId="0" fontId="0" fillId="0" borderId="82" xfId="932" applyFont="1" applyFill="1" applyBorder="1"/>
    <xf numFmtId="0" fontId="0" fillId="0" borderId="82" xfId="932" applyFont="1" applyFill="1" applyBorder="1" applyAlignment="1">
      <alignment horizontal="left" vertical="center"/>
    </xf>
    <xf numFmtId="0" fontId="116" fillId="0" borderId="84" xfId="932" applyFont="1" applyFill="1" applyBorder="1" applyAlignment="1">
      <alignment horizontal="center" vertical="center"/>
    </xf>
    <xf numFmtId="0" fontId="0" fillId="0" borderId="83" xfId="932" applyFont="1" applyFill="1" applyBorder="1"/>
    <xf numFmtId="0" fontId="0" fillId="0" borderId="83" xfId="932" applyFont="1" applyFill="1" applyBorder="1" applyAlignment="1">
      <alignment horizontal="left" vertical="center"/>
    </xf>
    <xf numFmtId="0" fontId="0" fillId="0" borderId="84" xfId="932" applyFont="1" applyFill="1" applyBorder="1"/>
    <xf numFmtId="0" fontId="0" fillId="0" borderId="84" xfId="932" applyFont="1" applyFill="1" applyBorder="1" applyAlignment="1">
      <alignment horizontal="left" vertical="center"/>
    </xf>
    <xf numFmtId="0" fontId="119" fillId="63" borderId="0" xfId="932" applyFont="1" applyFill="1" applyBorder="1"/>
    <xf numFmtId="0" fontId="119" fillId="63" borderId="69" xfId="932" applyFont="1" applyFill="1" applyBorder="1"/>
    <xf numFmtId="0" fontId="119" fillId="0" borderId="65" xfId="932" applyFont="1" applyFill="1" applyBorder="1" applyAlignment="1">
      <alignment horizontal="center" vertical="center"/>
    </xf>
    <xf numFmtId="0" fontId="1" fillId="0" borderId="82" xfId="932" applyBorder="1"/>
    <xf numFmtId="0" fontId="114" fillId="0" borderId="82" xfId="932" applyFont="1" applyFill="1" applyBorder="1" applyAlignment="1">
      <alignment horizontal="left" vertical="center"/>
    </xf>
    <xf numFmtId="0" fontId="1" fillId="0" borderId="83" xfId="932" applyBorder="1" applyAlignment="1">
      <alignment horizontal="left"/>
    </xf>
    <xf numFmtId="0" fontId="1" fillId="0" borderId="84" xfId="932" applyBorder="1" applyAlignment="1">
      <alignment horizontal="left"/>
    </xf>
    <xf numFmtId="0" fontId="119" fillId="0" borderId="69" xfId="932" applyFont="1" applyFill="1" applyBorder="1" applyAlignment="1">
      <alignment horizontal="center" vertical="center"/>
    </xf>
    <xf numFmtId="0" fontId="123" fillId="63" borderId="0" xfId="932" applyFont="1" applyFill="1" applyBorder="1"/>
    <xf numFmtId="0" fontId="1" fillId="0" borderId="83" xfId="932" applyBorder="1"/>
    <xf numFmtId="15" fontId="116" fillId="0" borderId="69" xfId="932" applyNumberFormat="1" applyFont="1" applyFill="1" applyBorder="1" applyAlignment="1">
      <alignment horizontal="center" vertical="center"/>
    </xf>
    <xf numFmtId="0" fontId="1" fillId="0" borderId="84" xfId="932" applyBorder="1"/>
    <xf numFmtId="0" fontId="114" fillId="0" borderId="78" xfId="932" applyFont="1" applyFill="1" applyBorder="1" applyAlignment="1">
      <alignment horizontal="center" vertical="center"/>
    </xf>
    <xf numFmtId="210" fontId="114" fillId="0" borderId="79" xfId="932" applyNumberFormat="1" applyFont="1" applyFill="1" applyBorder="1" applyAlignment="1">
      <alignment horizontal="center" vertical="center"/>
    </xf>
    <xf numFmtId="15" fontId="114" fillId="0" borderId="79" xfId="932" applyNumberFormat="1" applyFont="1" applyFill="1" applyBorder="1" applyAlignment="1">
      <alignment horizontal="center" vertical="center"/>
    </xf>
    <xf numFmtId="15" fontId="116" fillId="0" borderId="80" xfId="932" applyNumberFormat="1" applyFont="1" applyFill="1" applyBorder="1" applyAlignment="1">
      <alignment horizontal="center" vertical="center"/>
    </xf>
    <xf numFmtId="210" fontId="114" fillId="0" borderId="80" xfId="932" applyNumberFormat="1" applyFont="1" applyFill="1" applyBorder="1" applyAlignment="1">
      <alignment horizontal="center" vertical="center"/>
    </xf>
    <xf numFmtId="0" fontId="117" fillId="63" borderId="0" xfId="932" applyFont="1" applyFill="1" applyBorder="1" applyAlignment="1">
      <alignment horizontal="left" vertical="center"/>
    </xf>
    <xf numFmtId="0" fontId="116" fillId="63" borderId="0" xfId="932" applyFont="1" applyFill="1" applyBorder="1" applyAlignment="1">
      <alignment horizontal="left" vertical="center"/>
    </xf>
    <xf numFmtId="3" fontId="119" fillId="0" borderId="69" xfId="932" applyNumberFormat="1" applyFont="1" applyFill="1" applyBorder="1" applyAlignment="1">
      <alignment horizontal="center" vertical="center"/>
    </xf>
    <xf numFmtId="0" fontId="119" fillId="0" borderId="66" xfId="932" applyFont="1" applyFill="1" applyBorder="1" applyAlignment="1">
      <alignment horizontal="center" vertical="center"/>
    </xf>
    <xf numFmtId="0" fontId="116" fillId="0" borderId="66" xfId="932" applyFont="1" applyFill="1" applyBorder="1" applyAlignment="1">
      <alignment horizontal="center" vertical="center"/>
    </xf>
    <xf numFmtId="0" fontId="116" fillId="0" borderId="80" xfId="932" applyFont="1" applyFill="1" applyBorder="1"/>
    <xf numFmtId="0" fontId="0" fillId="63" borderId="0" xfId="932" applyFont="1" applyFill="1" applyBorder="1"/>
    <xf numFmtId="0" fontId="1" fillId="63" borderId="88" xfId="932" applyFill="1" applyBorder="1"/>
    <xf numFmtId="0" fontId="1" fillId="63" borderId="89" xfId="932" applyFill="1" applyBorder="1"/>
    <xf numFmtId="0" fontId="1" fillId="63" borderId="90" xfId="932" applyFill="1" applyBorder="1"/>
    <xf numFmtId="0" fontId="1" fillId="63" borderId="91" xfId="932" applyFill="1" applyBorder="1"/>
    <xf numFmtId="0" fontId="1" fillId="63" borderId="0" xfId="932" applyFill="1" applyBorder="1" applyAlignment="1">
      <alignment horizontal="center" vertical="center"/>
    </xf>
    <xf numFmtId="0" fontId="1" fillId="63" borderId="92" xfId="932" applyFill="1" applyBorder="1"/>
    <xf numFmtId="0" fontId="119" fillId="60" borderId="82" xfId="932" applyFont="1" applyFill="1" applyBorder="1"/>
    <xf numFmtId="15" fontId="119" fillId="60" borderId="82" xfId="932" applyNumberFormat="1" applyFont="1" applyFill="1" applyBorder="1" applyAlignment="1">
      <alignment horizontal="left" vertical="center"/>
    </xf>
    <xf numFmtId="0" fontId="0" fillId="63" borderId="79" xfId="932" applyFont="1" applyFill="1" applyBorder="1" applyAlignment="1">
      <alignment horizontal="center" vertical="center"/>
    </xf>
    <xf numFmtId="0" fontId="119" fillId="63" borderId="0" xfId="932" applyFont="1" applyFill="1" applyBorder="1" applyAlignment="1">
      <alignment horizontal="center" vertical="center"/>
    </xf>
    <xf numFmtId="0" fontId="119" fillId="60" borderId="83" xfId="932" applyFont="1" applyFill="1" applyBorder="1"/>
    <xf numFmtId="15" fontId="119" fillId="60" borderId="83" xfId="932" applyNumberFormat="1" applyFont="1" applyFill="1" applyBorder="1" applyAlignment="1">
      <alignment horizontal="left" vertical="center"/>
    </xf>
    <xf numFmtId="0" fontId="116" fillId="0" borderId="61" xfId="932" applyFont="1" applyFill="1" applyBorder="1" applyAlignment="1">
      <alignment horizontal="center" vertical="center"/>
    </xf>
    <xf numFmtId="212" fontId="116" fillId="0" borderId="65" xfId="932" applyNumberFormat="1" applyFont="1" applyFill="1" applyBorder="1" applyAlignment="1">
      <alignment horizontal="center" vertical="center"/>
    </xf>
    <xf numFmtId="0" fontId="116" fillId="60" borderId="61" xfId="932" applyFont="1" applyFill="1" applyBorder="1" applyAlignment="1">
      <alignment horizontal="center" vertical="center"/>
    </xf>
    <xf numFmtId="15" fontId="116" fillId="60" borderId="62" xfId="933" quotePrefix="1" applyNumberFormat="1" applyFont="1" applyFill="1" applyBorder="1" applyAlignment="1">
      <alignment horizontal="center" vertical="center"/>
    </xf>
    <xf numFmtId="213" fontId="116" fillId="60" borderId="62" xfId="932" applyNumberFormat="1" applyFont="1" applyFill="1" applyBorder="1" applyAlignment="1">
      <alignment horizontal="center" vertical="center"/>
    </xf>
    <xf numFmtId="169" fontId="119" fillId="60" borderId="65" xfId="934" quotePrefix="1" applyNumberFormat="1" applyFont="1" applyFill="1" applyBorder="1" applyAlignment="1">
      <alignment horizontal="center" vertical="center"/>
    </xf>
    <xf numFmtId="212" fontId="116" fillId="60" borderId="62" xfId="932" applyNumberFormat="1" applyFont="1" applyFill="1" applyBorder="1" applyAlignment="1">
      <alignment horizontal="center" vertical="center"/>
    </xf>
    <xf numFmtId="0" fontId="119" fillId="60" borderId="65" xfId="932" applyFont="1" applyFill="1" applyBorder="1" applyAlignment="1">
      <alignment horizontal="center" vertical="center"/>
    </xf>
    <xf numFmtId="212" fontId="116" fillId="0" borderId="69" xfId="932" applyNumberFormat="1" applyFont="1" applyFill="1" applyBorder="1" applyAlignment="1">
      <alignment horizontal="center" vertical="center"/>
    </xf>
    <xf numFmtId="0" fontId="116" fillId="60" borderId="66" xfId="932" applyFont="1" applyFill="1" applyBorder="1" applyAlignment="1">
      <alignment horizontal="center" vertical="center"/>
    </xf>
    <xf numFmtId="15" fontId="116" fillId="60" borderId="0" xfId="933" quotePrefix="1" applyNumberFormat="1" applyFont="1" applyFill="1" applyBorder="1" applyAlignment="1">
      <alignment horizontal="center" vertical="center"/>
    </xf>
    <xf numFmtId="213" fontId="116" fillId="60" borderId="0" xfId="932" applyNumberFormat="1" applyFont="1" applyFill="1" applyBorder="1" applyAlignment="1">
      <alignment horizontal="center" vertical="center"/>
    </xf>
    <xf numFmtId="169" fontId="119" fillId="60" borderId="69" xfId="934" quotePrefix="1" applyNumberFormat="1" applyFont="1" applyFill="1" applyBorder="1" applyAlignment="1">
      <alignment horizontal="center" vertical="center"/>
    </xf>
    <xf numFmtId="212" fontId="116" fillId="60" borderId="0" xfId="932" applyNumberFormat="1" applyFont="1" applyFill="1" applyBorder="1" applyAlignment="1">
      <alignment horizontal="center" vertical="center"/>
    </xf>
    <xf numFmtId="0" fontId="119" fillId="60" borderId="69" xfId="932" applyFont="1" applyFill="1" applyBorder="1" applyAlignment="1">
      <alignment horizontal="center" vertical="center"/>
    </xf>
    <xf numFmtId="211" fontId="114" fillId="60" borderId="83" xfId="932" applyNumberFormat="1" applyFont="1" applyFill="1" applyBorder="1" applyAlignment="1">
      <alignment horizontal="left" vertical="center"/>
    </xf>
    <xf numFmtId="15" fontId="116" fillId="60" borderId="0" xfId="933" applyNumberFormat="1" applyFont="1" applyFill="1" applyBorder="1" applyAlignment="1">
      <alignment horizontal="center" vertical="center"/>
    </xf>
    <xf numFmtId="169" fontId="119" fillId="60" borderId="69" xfId="934" applyNumberFormat="1" applyFont="1" applyFill="1" applyBorder="1" applyAlignment="1">
      <alignment horizontal="center" vertical="center"/>
    </xf>
    <xf numFmtId="0" fontId="119" fillId="60" borderId="83" xfId="932" applyFont="1" applyFill="1" applyBorder="1" applyAlignment="1">
      <alignment horizontal="left"/>
    </xf>
    <xf numFmtId="0" fontId="119" fillId="60" borderId="84" xfId="932" applyFont="1" applyFill="1" applyBorder="1" applyAlignment="1">
      <alignment horizontal="left"/>
    </xf>
    <xf numFmtId="0" fontId="119" fillId="0" borderId="78" xfId="932" applyFont="1" applyFill="1" applyBorder="1" applyAlignment="1">
      <alignment horizontal="center" vertical="center"/>
    </xf>
    <xf numFmtId="210" fontId="116" fillId="0" borderId="80" xfId="932" applyNumberFormat="1" applyFont="1" applyFill="1" applyBorder="1" applyAlignment="1">
      <alignment horizontal="center" vertical="center"/>
    </xf>
    <xf numFmtId="0" fontId="118" fillId="60" borderId="66" xfId="932" applyFont="1" applyFill="1" applyBorder="1" applyAlignment="1">
      <alignment horizontal="center" vertical="center"/>
    </xf>
    <xf numFmtId="212" fontId="118" fillId="60" borderId="0" xfId="932" applyNumberFormat="1" applyFont="1" applyFill="1" applyBorder="1" applyAlignment="1">
      <alignment horizontal="center" vertical="center"/>
    </xf>
    <xf numFmtId="0" fontId="118" fillId="60" borderId="69" xfId="932" applyFont="1" applyFill="1" applyBorder="1" applyAlignment="1">
      <alignment horizontal="center" vertical="center"/>
    </xf>
    <xf numFmtId="0" fontId="118" fillId="63" borderId="92" xfId="932" applyFont="1" applyFill="1" applyBorder="1"/>
    <xf numFmtId="0" fontId="125" fillId="63" borderId="0" xfId="932" applyFont="1" applyFill="1" applyBorder="1" applyAlignment="1">
      <alignment horizontal="left" vertical="center"/>
    </xf>
    <xf numFmtId="0" fontId="116" fillId="60" borderId="69" xfId="932" applyFont="1" applyFill="1" applyBorder="1" applyAlignment="1">
      <alignment horizontal="center" vertical="center"/>
    </xf>
    <xf numFmtId="0" fontId="116" fillId="60" borderId="78" xfId="932" applyFont="1" applyFill="1" applyBorder="1" applyAlignment="1">
      <alignment horizontal="center" vertical="center"/>
    </xf>
    <xf numFmtId="15" fontId="116" fillId="60" borderId="79" xfId="933" applyNumberFormat="1" applyFont="1" applyFill="1" applyBorder="1" applyAlignment="1">
      <alignment horizontal="center" vertical="center"/>
    </xf>
    <xf numFmtId="213" fontId="116" fillId="60" borderId="79" xfId="932" applyNumberFormat="1" applyFont="1" applyFill="1" applyBorder="1" applyAlignment="1">
      <alignment horizontal="center" vertical="center"/>
    </xf>
    <xf numFmtId="169" fontId="119" fillId="60" borderId="80" xfId="934" applyNumberFormat="1" applyFont="1" applyFill="1" applyBorder="1" applyAlignment="1">
      <alignment horizontal="center" vertical="center"/>
    </xf>
    <xf numFmtId="212" fontId="116" fillId="60" borderId="79" xfId="932" applyNumberFormat="1" applyFont="1" applyFill="1" applyBorder="1" applyAlignment="1">
      <alignment horizontal="center" vertical="center"/>
    </xf>
    <xf numFmtId="0" fontId="116" fillId="60" borderId="80" xfId="932" applyFont="1" applyFill="1" applyBorder="1" applyAlignment="1">
      <alignment horizontal="center" vertical="center"/>
    </xf>
    <xf numFmtId="210" fontId="116" fillId="0" borderId="69" xfId="932" applyNumberFormat="1" applyFont="1" applyFill="1" applyBorder="1" applyAlignment="1">
      <alignment horizontal="center" vertical="center"/>
    </xf>
    <xf numFmtId="11" fontId="119" fillId="0" borderId="69" xfId="932" applyNumberFormat="1" applyFont="1" applyFill="1" applyBorder="1" applyAlignment="1">
      <alignment horizontal="center" vertical="center"/>
    </xf>
    <xf numFmtId="210" fontId="119" fillId="0" borderId="69" xfId="932" applyNumberFormat="1" applyFont="1" applyFill="1" applyBorder="1" applyAlignment="1">
      <alignment horizontal="center" vertical="center"/>
    </xf>
    <xf numFmtId="0" fontId="1" fillId="63" borderId="93" xfId="932" applyFill="1" applyBorder="1"/>
    <xf numFmtId="0" fontId="1" fillId="63" borderId="94" xfId="932" applyFill="1" applyBorder="1"/>
    <xf numFmtId="0" fontId="1" fillId="63" borderId="95" xfId="932" applyFill="1" applyBorder="1"/>
    <xf numFmtId="0" fontId="1" fillId="0" borderId="0" xfId="932" applyAlignment="1">
      <alignment horizontal="left" vertical="center"/>
    </xf>
    <xf numFmtId="0" fontId="115" fillId="0" borderId="0" xfId="932" applyFont="1"/>
    <xf numFmtId="0" fontId="115" fillId="0" borderId="0" xfId="932" applyFont="1" applyFill="1" applyBorder="1"/>
    <xf numFmtId="0" fontId="119" fillId="0" borderId="0" xfId="932" applyFont="1" applyFill="1" applyBorder="1"/>
    <xf numFmtId="0" fontId="122" fillId="0" borderId="81" xfId="932" applyFont="1" applyFill="1" applyBorder="1"/>
    <xf numFmtId="0" fontId="114" fillId="0" borderId="96" xfId="932" applyFont="1" applyFill="1" applyBorder="1" applyAlignment="1">
      <alignment horizontal="left" vertical="center"/>
    </xf>
    <xf numFmtId="0" fontId="114" fillId="0" borderId="97" xfId="932" applyFont="1" applyFill="1" applyBorder="1" applyAlignment="1">
      <alignment horizontal="center" vertical="center"/>
    </xf>
    <xf numFmtId="0" fontId="114" fillId="0" borderId="98" xfId="932" applyFont="1" applyFill="1" applyBorder="1" applyAlignment="1">
      <alignment horizontal="center" vertical="center"/>
    </xf>
    <xf numFmtId="0" fontId="1" fillId="0" borderId="82" xfId="932" applyBorder="1" applyAlignment="1">
      <alignment horizontal="left" vertical="center"/>
    </xf>
    <xf numFmtId="0" fontId="119" fillId="63" borderId="61" xfId="932" applyFont="1" applyFill="1" applyBorder="1" applyAlignment="1">
      <alignment horizontal="center" vertical="center"/>
    </xf>
    <xf numFmtId="0" fontId="119" fillId="63" borderId="65" xfId="932" applyFont="1" applyFill="1" applyBorder="1" applyAlignment="1">
      <alignment horizontal="center" vertical="center"/>
    </xf>
    <xf numFmtId="0" fontId="1" fillId="0" borderId="83" xfId="932" applyBorder="1" applyAlignment="1">
      <alignment horizontal="left" vertical="center"/>
    </xf>
    <xf numFmtId="0" fontId="114" fillId="63" borderId="66" xfId="932" applyFont="1" applyFill="1" applyBorder="1" applyAlignment="1">
      <alignment horizontal="center" vertical="center"/>
    </xf>
    <xf numFmtId="210" fontId="114" fillId="63" borderId="69" xfId="932" applyNumberFormat="1" applyFont="1" applyFill="1" applyBorder="1" applyAlignment="1">
      <alignment horizontal="center" vertical="center"/>
    </xf>
    <xf numFmtId="211" fontId="114" fillId="0" borderId="84" xfId="932" applyNumberFormat="1" applyFont="1" applyBorder="1" applyAlignment="1">
      <alignment horizontal="left" vertical="center"/>
    </xf>
    <xf numFmtId="0" fontId="119" fillId="0" borderId="82" xfId="932" applyFont="1" applyFill="1" applyBorder="1" applyAlignment="1">
      <alignment horizontal="left" vertical="center"/>
    </xf>
    <xf numFmtId="0" fontId="2" fillId="0" borderId="0" xfId="932" applyFont="1"/>
    <xf numFmtId="0" fontId="114" fillId="0" borderId="83" xfId="932" applyFont="1" applyBorder="1" applyAlignment="1">
      <alignment horizontal="left" vertical="center"/>
    </xf>
    <xf numFmtId="0" fontId="1" fillId="0" borderId="84" xfId="932" applyBorder="1" applyAlignment="1">
      <alignment horizontal="left" vertical="center"/>
    </xf>
    <xf numFmtId="0" fontId="118" fillId="63" borderId="66" xfId="932" applyFont="1" applyFill="1" applyBorder="1" applyAlignment="1">
      <alignment horizontal="center" vertical="center"/>
    </xf>
    <xf numFmtId="210" fontId="118" fillId="63" borderId="69" xfId="932" applyNumberFormat="1" applyFont="1" applyFill="1" applyBorder="1" applyAlignment="1">
      <alignment horizontal="center" vertical="center"/>
    </xf>
    <xf numFmtId="0" fontId="118" fillId="0" borderId="0" xfId="932" applyFont="1"/>
    <xf numFmtId="0" fontId="114" fillId="0" borderId="82" xfId="932" applyFont="1" applyBorder="1"/>
    <xf numFmtId="0" fontId="116" fillId="0" borderId="83" xfId="932" applyFont="1" applyBorder="1" applyAlignment="1">
      <alignment horizontal="left" vertical="center"/>
    </xf>
    <xf numFmtId="0" fontId="116" fillId="0" borderId="84" xfId="932" applyFont="1" applyBorder="1" applyAlignment="1">
      <alignment horizontal="left" vertical="center"/>
    </xf>
    <xf numFmtId="0" fontId="119" fillId="63" borderId="66" xfId="932" applyFont="1" applyFill="1" applyBorder="1" applyAlignment="1">
      <alignment horizontal="center" vertical="center"/>
    </xf>
    <xf numFmtId="210" fontId="119" fillId="63" borderId="69" xfId="932" applyNumberFormat="1" applyFont="1" applyFill="1" applyBorder="1" applyAlignment="1">
      <alignment horizontal="center" vertical="center"/>
    </xf>
    <xf numFmtId="0" fontId="119" fillId="63" borderId="78" xfId="932" applyFont="1" applyFill="1" applyBorder="1" applyAlignment="1">
      <alignment horizontal="center" vertical="center"/>
    </xf>
    <xf numFmtId="210" fontId="119" fillId="63" borderId="80" xfId="932" applyNumberFormat="1" applyFont="1" applyFill="1" applyBorder="1" applyAlignment="1">
      <alignment horizontal="center" vertical="center"/>
    </xf>
    <xf numFmtId="0" fontId="116" fillId="0" borderId="83" xfId="932" applyFont="1" applyFill="1" applyBorder="1" applyAlignment="1">
      <alignment horizontal="center" vertical="center"/>
    </xf>
    <xf numFmtId="0" fontId="1" fillId="0" borderId="0" xfId="932" applyFill="1" applyBorder="1"/>
    <xf numFmtId="0" fontId="114" fillId="0" borderId="0" xfId="932" applyFont="1" applyFill="1" applyBorder="1" applyAlignment="1">
      <alignment horizontal="left" vertical="center"/>
    </xf>
    <xf numFmtId="0" fontId="117" fillId="0" borderId="99" xfId="932" applyFont="1" applyFill="1" applyBorder="1" applyAlignment="1">
      <alignment horizontal="center" vertical="center"/>
    </xf>
    <xf numFmtId="0" fontId="119" fillId="0" borderId="101" xfId="932" applyFont="1" applyFill="1" applyBorder="1" applyAlignment="1">
      <alignment horizontal="left" vertical="center"/>
    </xf>
    <xf numFmtId="0" fontId="119" fillId="0" borderId="100" xfId="932" applyFont="1" applyFill="1" applyBorder="1" applyAlignment="1">
      <alignment horizontal="left" vertical="center"/>
    </xf>
    <xf numFmtId="0" fontId="119" fillId="0" borderId="102" xfId="932" applyFont="1" applyFill="1" applyBorder="1" applyAlignment="1">
      <alignment horizontal="center" vertical="center"/>
    </xf>
    <xf numFmtId="0" fontId="119" fillId="0" borderId="100" xfId="932" applyFont="1" applyFill="1" applyBorder="1" applyAlignment="1">
      <alignment horizontal="center" vertical="center"/>
    </xf>
    <xf numFmtId="0" fontId="114" fillId="60" borderId="0" xfId="932" applyFont="1" applyFill="1" applyBorder="1" applyAlignment="1">
      <alignment horizontal="left" vertical="center"/>
    </xf>
    <xf numFmtId="0" fontId="119" fillId="0" borderId="100" xfId="932" applyFont="1" applyFill="1" applyBorder="1" applyAlignment="1">
      <alignment vertical="center"/>
    </xf>
    <xf numFmtId="0" fontId="119" fillId="0" borderId="101" xfId="932" applyFont="1" applyFill="1" applyBorder="1" applyAlignment="1">
      <alignment vertical="center"/>
    </xf>
    <xf numFmtId="0" fontId="119" fillId="0" borderId="101" xfId="932" applyFont="1" applyFill="1" applyBorder="1" applyAlignment="1">
      <alignment horizontal="center" vertical="center"/>
    </xf>
    <xf numFmtId="211" fontId="120" fillId="61" borderId="84" xfId="932" applyNumberFormat="1" applyFont="1" applyFill="1" applyBorder="1" applyAlignment="1">
      <alignment horizontal="left" vertical="center"/>
    </xf>
    <xf numFmtId="208" fontId="116" fillId="0" borderId="0" xfId="0" applyFont="1"/>
    <xf numFmtId="10" fontId="116" fillId="60" borderId="0" xfId="0" applyNumberFormat="1" applyFont="1" applyFill="1" applyBorder="1" applyAlignment="1">
      <alignment horizontal="center" vertical="center"/>
    </xf>
    <xf numFmtId="10" fontId="118" fillId="60" borderId="0" xfId="0" applyNumberFormat="1" applyFont="1" applyFill="1" applyBorder="1" applyAlignment="1">
      <alignment horizontal="center" vertical="center"/>
    </xf>
    <xf numFmtId="3" fontId="118" fillId="60" borderId="78" xfId="0" applyNumberFormat="1" applyFont="1" applyFill="1" applyBorder="1" applyAlignment="1">
      <alignment horizontal="center" vertical="center"/>
    </xf>
    <xf numFmtId="4" fontId="118" fillId="60" borderId="79" xfId="0" applyNumberFormat="1" applyFont="1" applyFill="1" applyBorder="1" applyAlignment="1">
      <alignment horizontal="center" vertical="center"/>
    </xf>
    <xf numFmtId="10" fontId="118" fillId="60" borderId="79" xfId="0" applyNumberFormat="1" applyFont="1" applyFill="1" applyBorder="1" applyAlignment="1">
      <alignment horizontal="center" vertical="center"/>
    </xf>
    <xf numFmtId="210" fontId="117" fillId="60" borderId="103" xfId="0" applyNumberFormat="1" applyFont="1" applyFill="1" applyBorder="1" applyAlignment="1">
      <alignment horizontal="center" vertical="center"/>
    </xf>
    <xf numFmtId="211" fontId="118" fillId="60" borderId="104" xfId="0" applyNumberFormat="1" applyFont="1" applyFill="1" applyBorder="1" applyAlignment="1">
      <alignment horizontal="center" vertical="center"/>
    </xf>
    <xf numFmtId="211" fontId="118" fillId="60" borderId="79" xfId="0" applyNumberFormat="1" applyFont="1" applyFill="1" applyBorder="1" applyAlignment="1">
      <alignment horizontal="center" vertical="center"/>
    </xf>
    <xf numFmtId="211" fontId="118" fillId="60" borderId="80" xfId="0" applyNumberFormat="1" applyFont="1" applyFill="1" applyBorder="1" applyAlignment="1">
      <alignment horizontal="center" vertical="center"/>
    </xf>
    <xf numFmtId="0" fontId="0" fillId="0" borderId="76" xfId="0" applyNumberFormat="1" applyFont="1" applyFill="1" applyBorder="1" applyAlignment="1">
      <alignment horizontal="left" vertical="center" wrapText="1"/>
    </xf>
    <xf numFmtId="0" fontId="0" fillId="0" borderId="77" xfId="0" applyNumberFormat="1" applyFont="1" applyFill="1" applyBorder="1" applyAlignment="1">
      <alignment horizontal="left" vertical="center" wrapText="1"/>
    </xf>
    <xf numFmtId="208" fontId="116" fillId="0" borderId="87" xfId="0" applyFont="1" applyFill="1" applyBorder="1" applyAlignment="1">
      <alignment horizontal="center"/>
    </xf>
    <xf numFmtId="208" fontId="119" fillId="0" borderId="87" xfId="0" applyFont="1" applyFill="1" applyBorder="1"/>
    <xf numFmtId="3" fontId="116" fillId="6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105" xfId="0" applyNumberFormat="1" applyFont="1" applyFill="1" applyBorder="1" applyAlignment="1">
      <alignment horizontal="left" vertical="center" wrapText="1"/>
    </xf>
    <xf numFmtId="208" fontId="116" fillId="0" borderId="85" xfId="0" applyFont="1" applyFill="1" applyBorder="1" applyAlignment="1">
      <alignment horizontal="center" vertical="center"/>
    </xf>
    <xf numFmtId="3" fontId="116" fillId="0" borderId="105" xfId="0" applyNumberFormat="1" applyFont="1" applyFill="1" applyBorder="1" applyAlignment="1">
      <alignment horizontal="center" vertical="center"/>
    </xf>
    <xf numFmtId="3" fontId="116" fillId="0" borderId="76" xfId="0" applyNumberFormat="1" applyFont="1" applyFill="1" applyBorder="1" applyAlignment="1">
      <alignment horizontal="center" vertical="center"/>
    </xf>
    <xf numFmtId="208" fontId="119" fillId="0" borderId="76" xfId="0" applyFont="1" applyFill="1" applyBorder="1" applyAlignment="1">
      <alignment horizontal="center"/>
    </xf>
    <xf numFmtId="208" fontId="119" fillId="0" borderId="77" xfId="0" applyFont="1" applyFill="1" applyBorder="1" applyAlignment="1">
      <alignment horizontal="center"/>
    </xf>
    <xf numFmtId="208" fontId="0" fillId="0" borderId="86" xfId="0" applyFill="1" applyBorder="1" applyAlignment="1">
      <alignment horizontal="center"/>
    </xf>
    <xf numFmtId="208" fontId="119" fillId="61" borderId="76" xfId="0" applyFont="1" applyFill="1" applyBorder="1" applyAlignment="1">
      <alignment horizontal="center"/>
    </xf>
    <xf numFmtId="3" fontId="2" fillId="0" borderId="0" xfId="0" applyNumberFormat="1" applyFont="1"/>
    <xf numFmtId="3" fontId="116" fillId="0" borderId="0" xfId="0" applyNumberFormat="1" applyFont="1"/>
    <xf numFmtId="208" fontId="118" fillId="0" borderId="0" xfId="0" applyFont="1"/>
    <xf numFmtId="3" fontId="128" fillId="60" borderId="66" xfId="0" applyNumberFormat="1" applyFont="1" applyFill="1" applyBorder="1" applyAlignment="1">
      <alignment horizontal="center" vertical="center"/>
    </xf>
    <xf numFmtId="4" fontId="128" fillId="60" borderId="0" xfId="0" applyNumberFormat="1" applyFont="1" applyFill="1" applyBorder="1" applyAlignment="1">
      <alignment horizontal="center" vertical="center"/>
    </xf>
    <xf numFmtId="211" fontId="128" fillId="60" borderId="68" xfId="0" applyNumberFormat="1" applyFont="1" applyFill="1" applyBorder="1" applyAlignment="1">
      <alignment horizontal="center" vertical="center"/>
    </xf>
    <xf numFmtId="211" fontId="128" fillId="60" borderId="0" xfId="0" applyNumberFormat="1" applyFont="1" applyFill="1" applyBorder="1" applyAlignment="1">
      <alignment horizontal="center" vertical="center"/>
    </xf>
    <xf numFmtId="211" fontId="128" fillId="60" borderId="69" xfId="0" applyNumberFormat="1" applyFont="1" applyFill="1" applyBorder="1" applyAlignment="1">
      <alignment horizontal="center" vertical="center"/>
    </xf>
    <xf numFmtId="208" fontId="116" fillId="63" borderId="88" xfId="0" applyFont="1" applyFill="1" applyBorder="1"/>
    <xf numFmtId="208" fontId="116" fillId="63" borderId="89" xfId="0" applyFont="1" applyFill="1" applyBorder="1"/>
    <xf numFmtId="208" fontId="116" fillId="63" borderId="90" xfId="0" applyFont="1" applyFill="1" applyBorder="1"/>
    <xf numFmtId="208" fontId="116" fillId="63" borderId="91" xfId="0" applyFont="1" applyFill="1" applyBorder="1"/>
    <xf numFmtId="3" fontId="116" fillId="63" borderId="0" xfId="0" applyNumberFormat="1" applyFont="1" applyFill="1" applyBorder="1" applyAlignment="1">
      <alignment horizontal="center" vertical="center"/>
    </xf>
    <xf numFmtId="208" fontId="116" fillId="63" borderId="0" xfId="0" applyFont="1" applyFill="1" applyBorder="1"/>
    <xf numFmtId="208" fontId="116" fillId="63" borderId="92" xfId="0" applyFont="1" applyFill="1" applyBorder="1"/>
    <xf numFmtId="208" fontId="116" fillId="63" borderId="93" xfId="0" applyFont="1" applyFill="1" applyBorder="1"/>
    <xf numFmtId="3" fontId="116" fillId="63" borderId="94" xfId="0" applyNumberFormat="1" applyFont="1" applyFill="1" applyBorder="1" applyAlignment="1">
      <alignment horizontal="center" vertical="center"/>
    </xf>
    <xf numFmtId="208" fontId="116" fillId="63" borderId="94" xfId="0" applyFont="1" applyFill="1" applyBorder="1"/>
    <xf numFmtId="208" fontId="116" fillId="63" borderId="95" xfId="0" applyFont="1" applyFill="1" applyBorder="1"/>
    <xf numFmtId="0" fontId="126" fillId="0" borderId="100" xfId="932" applyFont="1" applyFill="1" applyBorder="1" applyAlignment="1">
      <alignment horizontal="center" vertical="center" textRotation="90"/>
    </xf>
    <xf numFmtId="0" fontId="126" fillId="0" borderId="83" xfId="932" applyFont="1" applyBorder="1" applyAlignment="1">
      <alignment horizontal="center" vertical="center" textRotation="90"/>
    </xf>
    <xf numFmtId="0" fontId="126" fillId="0" borderId="101" xfId="932" applyFont="1" applyBorder="1" applyAlignment="1">
      <alignment horizontal="center" vertical="center" textRotation="90"/>
    </xf>
    <xf numFmtId="0" fontId="127" fillId="0" borderId="100" xfId="932" applyFont="1" applyFill="1" applyBorder="1" applyAlignment="1">
      <alignment horizontal="center" vertical="center" textRotation="90" wrapText="1"/>
    </xf>
    <xf numFmtId="0" fontId="127" fillId="0" borderId="83" xfId="932" applyFont="1" applyBorder="1" applyAlignment="1">
      <alignment horizontal="center" vertical="center" textRotation="90"/>
    </xf>
    <xf numFmtId="0" fontId="126" fillId="0" borderId="83" xfId="932" applyFont="1" applyFill="1" applyBorder="1" applyAlignment="1">
      <alignment horizontal="center" vertical="center" textRotation="90" wrapText="1"/>
    </xf>
    <xf numFmtId="0" fontId="126" fillId="0" borderId="83" xfId="932" applyFont="1" applyBorder="1" applyAlignment="1">
      <alignment horizontal="center" vertical="center" textRotation="90" wrapText="1"/>
    </xf>
    <xf numFmtId="0" fontId="126" fillId="0" borderId="84" xfId="932" applyFont="1" applyBorder="1" applyAlignment="1">
      <alignment horizontal="center" vertical="center" textRotation="90" wrapText="1"/>
    </xf>
  </cellXfs>
  <cellStyles count="935">
    <cellStyle name="_x0013_" xfId="4"/>
    <cellStyle name="_x0013_ 2" xfId="5"/>
    <cellStyle name="_x0013_ 3" xfId="326"/>
    <cellStyle name="_x0013_ 4" xfId="482"/>
    <cellStyle name="=C:\WINNT35\SYSTEM32\COMMAND.COM" xfId="6"/>
    <cellStyle name="=C:\WINNT35\SYSTEM32\COMMAND.COM 2" xfId="7"/>
    <cellStyle name="=C:\WINNT35\SYSTEM32\COMMAND.COM 3" xfId="327"/>
    <cellStyle name="20 % - Accent1" xfId="8"/>
    <cellStyle name="20 % - Accent1 2" xfId="328"/>
    <cellStyle name="20 % - Accent2" xfId="9"/>
    <cellStyle name="20 % - Accent2 2" xfId="329"/>
    <cellStyle name="20 % - Accent3" xfId="10"/>
    <cellStyle name="20 % - Accent3 2" xfId="330"/>
    <cellStyle name="20 % - Accent4" xfId="11"/>
    <cellStyle name="20 % - Accent4 2" xfId="331"/>
    <cellStyle name="20 % - Accent5" xfId="12"/>
    <cellStyle name="20 % - Accent5 2" xfId="332"/>
    <cellStyle name="20 % - Accent6" xfId="13"/>
    <cellStyle name="20 % - Accent6 2" xfId="333"/>
    <cellStyle name="20% - Accent1 2" xfId="15"/>
    <cellStyle name="20% - Accent1 2 2" xfId="483"/>
    <cellStyle name="20% - Accent1 3" xfId="334"/>
    <cellStyle name="20% - Accent1 4" xfId="14"/>
    <cellStyle name="20% - Accent2 2" xfId="17"/>
    <cellStyle name="20% - Accent2 2 2" xfId="484"/>
    <cellStyle name="20% - Accent2 3" xfId="335"/>
    <cellStyle name="20% - Accent2 4" xfId="16"/>
    <cellStyle name="20% - Accent3 2" xfId="19"/>
    <cellStyle name="20% - Accent3 2 2" xfId="485"/>
    <cellStyle name="20% - Accent3 3" xfId="336"/>
    <cellStyle name="20% - Accent3 4" xfId="18"/>
    <cellStyle name="20% - Accent4 2" xfId="21"/>
    <cellStyle name="20% - Accent4 2 2" xfId="486"/>
    <cellStyle name="20% - Accent4 3" xfId="337"/>
    <cellStyle name="20% - Accent4 4" xfId="20"/>
    <cellStyle name="20% - Accent5 2" xfId="23"/>
    <cellStyle name="20% - Accent5 2 2" xfId="487"/>
    <cellStyle name="20% - Accent5 3" xfId="338"/>
    <cellStyle name="20% - Accent5 4" xfId="22"/>
    <cellStyle name="20% - Accent6 2" xfId="25"/>
    <cellStyle name="20% - Accent6 2 2" xfId="488"/>
    <cellStyle name="20% - Accent6 3" xfId="339"/>
    <cellStyle name="20% - Accent6 4" xfId="24"/>
    <cellStyle name="20% - Akzent1" xfId="489"/>
    <cellStyle name="20% - Akzent2" xfId="490"/>
    <cellStyle name="20% - Akzent3" xfId="491"/>
    <cellStyle name="20% - Akzent4" xfId="492"/>
    <cellStyle name="20% - Akzent5" xfId="493"/>
    <cellStyle name="20% - Akzent6" xfId="494"/>
    <cellStyle name="3D.Button.Inhalt" xfId="26"/>
    <cellStyle name="3D.Button.Inhalt 2" xfId="340"/>
    <cellStyle name="3D.Button.Links" xfId="27"/>
    <cellStyle name="3D.Button.Links 2" xfId="341"/>
    <cellStyle name="3D.Button.LinksOben" xfId="28"/>
    <cellStyle name="3D.Button.LinksOben 2" xfId="342"/>
    <cellStyle name="3D.Button.LinksOben 2 2" xfId="786"/>
    <cellStyle name="3D.Button.LinksOben 3" xfId="785"/>
    <cellStyle name="3D.Button.LinksUnten" xfId="29"/>
    <cellStyle name="3D.Button.LinksUnten 2" xfId="343"/>
    <cellStyle name="3D.Button.Oben" xfId="30"/>
    <cellStyle name="3D.Button.Oben 2" xfId="344"/>
    <cellStyle name="3D.Button.Oben 2 2" xfId="788"/>
    <cellStyle name="3D.Button.Oben 3" xfId="787"/>
    <cellStyle name="3D.Button.Rechts" xfId="31"/>
    <cellStyle name="3D.Button.Rechts 2" xfId="345"/>
    <cellStyle name="3D.Button.RechtsOben" xfId="32"/>
    <cellStyle name="3D.Button.RechtsOben 2" xfId="346"/>
    <cellStyle name="3D.Button.RechtsOben 2 2" xfId="790"/>
    <cellStyle name="3D.Button.RechtsOben 3" xfId="789"/>
    <cellStyle name="3D.Button.RechtsUnten" xfId="33"/>
    <cellStyle name="3D.Button.RechtsUnten 2" xfId="347"/>
    <cellStyle name="3D.Button.Unten" xfId="34"/>
    <cellStyle name="3D.Button.Unten 2" xfId="348"/>
    <cellStyle name="3D.Button.Unten 2 2" xfId="495"/>
    <cellStyle name="3D.Button.Unten 2 2 2" xfId="791"/>
    <cellStyle name="3D.Zelle.Inhalt" xfId="35"/>
    <cellStyle name="3D.Zelle.Inhalt 2" xfId="349"/>
    <cellStyle name="3D.Zelle.Links" xfId="36"/>
    <cellStyle name="3D.Zelle.Links 2" xfId="350"/>
    <cellStyle name="3D.Zelle.LinksOben" xfId="37"/>
    <cellStyle name="3D.Zelle.LinksOben 2" xfId="351"/>
    <cellStyle name="3D.Zelle.LinksUnten" xfId="38"/>
    <cellStyle name="3D.Zelle.LinksUnten 2" xfId="352"/>
    <cellStyle name="3D.Zelle.Oben" xfId="39"/>
    <cellStyle name="3D.Zelle.Oben 2" xfId="353"/>
    <cellStyle name="3D.Zelle.Oben 2 2" xfId="496"/>
    <cellStyle name="3D.Zelle.Oben 2 2 2" xfId="792"/>
    <cellStyle name="3D.Zelle.Rechts" xfId="40"/>
    <cellStyle name="3D.Zelle.Rechts 2" xfId="354"/>
    <cellStyle name="3D.Zelle.Rechts 2 2" xfId="497"/>
    <cellStyle name="3D.Zelle.Rechts 2 2 2" xfId="795"/>
    <cellStyle name="3D.Zelle.Rechts 2 3" xfId="794"/>
    <cellStyle name="3D.Zelle.Rechts 3" xfId="793"/>
    <cellStyle name="3D.Zelle.RechtsOben" xfId="41"/>
    <cellStyle name="3D.Zelle.RechtsOben 2" xfId="355"/>
    <cellStyle name="3D.Zelle.RechtsUnten" xfId="42"/>
    <cellStyle name="3D.Zelle.RechtsUnten 2" xfId="356"/>
    <cellStyle name="3D.Zelle.Unten" xfId="43"/>
    <cellStyle name="3D.Zelle.Unten 2" xfId="357"/>
    <cellStyle name="3D.Zelle.Unten 2 2" xfId="797"/>
    <cellStyle name="3D.Zelle.Unten 3" xfId="796"/>
    <cellStyle name="40 % - Accent1" xfId="44"/>
    <cellStyle name="40 % - Accent1 2" xfId="358"/>
    <cellStyle name="40 % - Accent2" xfId="45"/>
    <cellStyle name="40 % - Accent2 2" xfId="359"/>
    <cellStyle name="40 % - Accent3" xfId="46"/>
    <cellStyle name="40 % - Accent3 2" xfId="360"/>
    <cellStyle name="40 % - Accent4" xfId="47"/>
    <cellStyle name="40 % - Accent4 2" xfId="361"/>
    <cellStyle name="40 % - Accent5" xfId="48"/>
    <cellStyle name="40 % - Accent5 2" xfId="362"/>
    <cellStyle name="40 % - Accent6" xfId="49"/>
    <cellStyle name="40 % - Accent6 2" xfId="363"/>
    <cellStyle name="40% - Accent1 2" xfId="51"/>
    <cellStyle name="40% - Accent1 2 2" xfId="498"/>
    <cellStyle name="40% - Accent1 3" xfId="364"/>
    <cellStyle name="40% - Accent1 4" xfId="50"/>
    <cellStyle name="40% - Accent2 2" xfId="53"/>
    <cellStyle name="40% - Accent2 2 2" xfId="499"/>
    <cellStyle name="40% - Accent2 3" xfId="365"/>
    <cellStyle name="40% - Accent2 4" xfId="52"/>
    <cellStyle name="40% - Accent3 2" xfId="55"/>
    <cellStyle name="40% - Accent3 2 2" xfId="500"/>
    <cellStyle name="40% - Accent3 3" xfId="366"/>
    <cellStyle name="40% - Accent3 4" xfId="54"/>
    <cellStyle name="40% - Accent4 2" xfId="57"/>
    <cellStyle name="40% - Accent4 2 2" xfId="501"/>
    <cellStyle name="40% - Accent4 3" xfId="367"/>
    <cellStyle name="40% - Accent4 4" xfId="56"/>
    <cellStyle name="40% - Accent5 2" xfId="59"/>
    <cellStyle name="40% - Accent5 2 2" xfId="502"/>
    <cellStyle name="40% - Accent5 3" xfId="368"/>
    <cellStyle name="40% - Accent5 4" xfId="58"/>
    <cellStyle name="40% - Accent6 2" xfId="61"/>
    <cellStyle name="40% - Accent6 2 2" xfId="503"/>
    <cellStyle name="40% - Accent6 3" xfId="369"/>
    <cellStyle name="40% - Accent6 4" xfId="60"/>
    <cellStyle name="40% - Akzent1" xfId="504"/>
    <cellStyle name="40% - Akzent2" xfId="505"/>
    <cellStyle name="40% - Akzent3" xfId="506"/>
    <cellStyle name="40% - Akzent4" xfId="507"/>
    <cellStyle name="40% - Akzent5" xfId="508"/>
    <cellStyle name="40% - Akzent6" xfId="509"/>
    <cellStyle name="60 % - Accent1" xfId="62"/>
    <cellStyle name="60 % - Accent1 2" xfId="370"/>
    <cellStyle name="60 % - Accent2" xfId="63"/>
    <cellStyle name="60 % - Accent2 2" xfId="371"/>
    <cellStyle name="60 % - Accent3" xfId="64"/>
    <cellStyle name="60 % - Accent3 2" xfId="372"/>
    <cellStyle name="60 % - Accent4" xfId="65"/>
    <cellStyle name="60 % - Accent4 2" xfId="373"/>
    <cellStyle name="60 % - Accent5" xfId="66"/>
    <cellStyle name="60 % - Accent5 2" xfId="374"/>
    <cellStyle name="60 % - Accent6" xfId="67"/>
    <cellStyle name="60 % - Accent6 2" xfId="375"/>
    <cellStyle name="60% - Accent1 2" xfId="376"/>
    <cellStyle name="60% - Accent1 3" xfId="68"/>
    <cellStyle name="60% - Accent2 2" xfId="377"/>
    <cellStyle name="60% - Accent2 3" xfId="69"/>
    <cellStyle name="60% - Accent3 2" xfId="378"/>
    <cellStyle name="60% - Accent3 3" xfId="70"/>
    <cellStyle name="60% - Accent4 2" xfId="379"/>
    <cellStyle name="60% - Accent4 3" xfId="71"/>
    <cellStyle name="60% - Accent5 2" xfId="380"/>
    <cellStyle name="60% - Accent5 3" xfId="72"/>
    <cellStyle name="60% - Accent6 2" xfId="381"/>
    <cellStyle name="60% - Accent6 3" xfId="73"/>
    <cellStyle name="60% - Akzent1" xfId="510"/>
    <cellStyle name="60% - Akzent2" xfId="511"/>
    <cellStyle name="60% - Akzent3" xfId="512"/>
    <cellStyle name="60% - Akzent4" xfId="513"/>
    <cellStyle name="60% - Akzent5" xfId="514"/>
    <cellStyle name="60% - Akzent6" xfId="515"/>
    <cellStyle name="Accent1 2" xfId="382"/>
    <cellStyle name="Accent1 3" xfId="74"/>
    <cellStyle name="Accent2 2" xfId="383"/>
    <cellStyle name="Accent2 3" xfId="75"/>
    <cellStyle name="Accent3 2" xfId="384"/>
    <cellStyle name="Accent3 3" xfId="76"/>
    <cellStyle name="Accent4 2" xfId="385"/>
    <cellStyle name="Accent4 3" xfId="77"/>
    <cellStyle name="Accent5 2" xfId="386"/>
    <cellStyle name="Accent5 3" xfId="78"/>
    <cellStyle name="Accent6 2" xfId="387"/>
    <cellStyle name="Accent6 3" xfId="79"/>
    <cellStyle name="Addon output" xfId="80"/>
    <cellStyle name="Addon output 2" xfId="388"/>
    <cellStyle name="Addon output 2 2" xfId="799"/>
    <cellStyle name="Addon output 3" xfId="798"/>
    <cellStyle name="Akzent1" xfId="516"/>
    <cellStyle name="Akzent2" xfId="517"/>
    <cellStyle name="Akzent3" xfId="518"/>
    <cellStyle name="Akzent4" xfId="519"/>
    <cellStyle name="Akzent5" xfId="520"/>
    <cellStyle name="Akzent6" xfId="521"/>
    <cellStyle name="args.style" xfId="522"/>
    <cellStyle name="Assumption" xfId="523"/>
    <cellStyle name="Assumption 2" xfId="800"/>
    <cellStyle name="Ausgabe" xfId="524"/>
    <cellStyle name="Ausgabe 2" xfId="525"/>
    <cellStyle name="Ausgabe 2 2" xfId="802"/>
    <cellStyle name="Ausgabe 3" xfId="801"/>
    <cellStyle name="Avertissement" xfId="81"/>
    <cellStyle name="Avertissement 2" xfId="389"/>
    <cellStyle name="b" xfId="82"/>
    <cellStyle name="Bad 2" xfId="390"/>
    <cellStyle name="Bad 3" xfId="83"/>
    <cellStyle name="Berechnung" xfId="526"/>
    <cellStyle name="Berechnung 2" xfId="527"/>
    <cellStyle name="Berechnung 2 2" xfId="804"/>
    <cellStyle name="Berechnung 3" xfId="803"/>
    <cellStyle name="black_%" xfId="84"/>
    <cellStyle name="blue_%" xfId="85"/>
    <cellStyle name="Border Heavy" xfId="86"/>
    <cellStyle name="Border Heavy 2" xfId="87"/>
    <cellStyle name="Border Heavy 2 2" xfId="315"/>
    <cellStyle name="Border Heavy 3" xfId="316"/>
    <cellStyle name="Border Heavy 4" xfId="391"/>
    <cellStyle name="Border Thin" xfId="88"/>
    <cellStyle name="Border Thin 2" xfId="528"/>
    <cellStyle name="Calcul" xfId="89"/>
    <cellStyle name="Calcul 2" xfId="392"/>
    <cellStyle name="Calcul 2 2" xfId="529"/>
    <cellStyle name="Calcul 2 2 2" xfId="807"/>
    <cellStyle name="Calcul 2 3" xfId="806"/>
    <cellStyle name="Calcul 3" xfId="530"/>
    <cellStyle name="Calcul 3 2" xfId="808"/>
    <cellStyle name="Calcul 4" xfId="805"/>
    <cellStyle name="Calculation 2" xfId="308"/>
    <cellStyle name="Calculation 2 2" xfId="531"/>
    <cellStyle name="Calculation 2 2 2" xfId="532"/>
    <cellStyle name="Calculation 2 2 2 2" xfId="810"/>
    <cellStyle name="Calculation 2 2 3" xfId="809"/>
    <cellStyle name="Calculation 2 3" xfId="533"/>
    <cellStyle name="Calculation 2 3 2" xfId="811"/>
    <cellStyle name="Calculation 3" xfId="393"/>
    <cellStyle name="Calculation 3 2" xfId="812"/>
    <cellStyle name="Calculation 4" xfId="90"/>
    <cellStyle name="Cellule liée" xfId="91"/>
    <cellStyle name="Cellule liée 2" xfId="394"/>
    <cellStyle name="CHECK" xfId="92"/>
    <cellStyle name="CHECK 2" xfId="93"/>
    <cellStyle name="Check Cell 2" xfId="395"/>
    <cellStyle name="Check Cell 3" xfId="94"/>
    <cellStyle name="COL HEADINGS" xfId="95"/>
    <cellStyle name="COL HEADINGS 2" xfId="396"/>
    <cellStyle name="COL HEADINGS 2 2" xfId="534"/>
    <cellStyle name="ColumnHeading" xfId="535"/>
    <cellStyle name="Comma" xfId="1" builtinId="3"/>
    <cellStyle name="Comma ,0" xfId="96"/>
    <cellStyle name="Comma ,0 2" xfId="398"/>
    <cellStyle name="Comma [0] 2" xfId="536"/>
    <cellStyle name="Comma [0] 5" xfId="934"/>
    <cellStyle name="Comma 0" xfId="97"/>
    <cellStyle name="Comma 0 2" xfId="399"/>
    <cellStyle name="Comma 0*" xfId="98"/>
    <cellStyle name="Comma 10" xfId="477"/>
    <cellStyle name="Comma 10 5" xfId="771"/>
    <cellStyle name="Comma 11" xfId="537"/>
    <cellStyle name="Comma 12" xfId="538"/>
    <cellStyle name="Comma 13" xfId="539"/>
    <cellStyle name="Comma 14" xfId="540"/>
    <cellStyle name="Comma 14 2" xfId="813"/>
    <cellStyle name="Comma 15" xfId="541"/>
    <cellStyle name="Comma 16" xfId="542"/>
    <cellStyle name="Comma 17" xfId="543"/>
    <cellStyle name="Comma 18" xfId="481"/>
    <cellStyle name="Comma 18 2" xfId="814"/>
    <cellStyle name="Comma 19" xfId="745"/>
    <cellStyle name="Comma 2" xfId="99"/>
    <cellStyle name="Comma 2 2" xfId="312"/>
    <cellStyle name="Comma 2 2 2" xfId="317"/>
    <cellStyle name="Comma 2 2 2 2" xfId="737"/>
    <cellStyle name="Comma 2 2 2 2 2" xfId="817"/>
    <cellStyle name="Comma 2 2 2 3" xfId="816"/>
    <cellStyle name="Comma 2 2 3" xfId="757"/>
    <cellStyle name="Comma 2 2 4" xfId="815"/>
    <cellStyle name="Comma 2 3" xfId="400"/>
    <cellStyle name="Comma 2 4" xfId="544"/>
    <cellStyle name="Comma 2 4 2" xfId="818"/>
    <cellStyle name="Comma 20" xfId="748"/>
    <cellStyle name="Comma 20 2" xfId="819"/>
    <cellStyle name="Comma 21" xfId="754"/>
    <cellStyle name="Comma 22" xfId="761"/>
    <cellStyle name="Comma 22 2" xfId="820"/>
    <cellStyle name="Comma 23" xfId="767"/>
    <cellStyle name="Comma 23 2" xfId="821"/>
    <cellStyle name="Comma 23 3" xfId="920"/>
    <cellStyle name="Comma 24" xfId="770"/>
    <cellStyle name="Comma 24 2" xfId="822"/>
    <cellStyle name="Comma 25" xfId="774"/>
    <cellStyle name="Comma 25 2" xfId="823"/>
    <cellStyle name="Comma 26" xfId="783"/>
    <cellStyle name="Comma 27" xfId="3"/>
    <cellStyle name="Comma 27 2" xfId="926"/>
    <cellStyle name="Comma 28" xfId="925"/>
    <cellStyle name="Comma 29" xfId="929"/>
    <cellStyle name="Comma 3" xfId="100"/>
    <cellStyle name="Comma 3 2" xfId="545"/>
    <cellStyle name="Comma 3 2 10 2" xfId="755"/>
    <cellStyle name="Comma 4" xfId="101"/>
    <cellStyle name="Comma 4 2" xfId="546"/>
    <cellStyle name="Comma 5" xfId="306"/>
    <cellStyle name="Comma 6" xfId="313"/>
    <cellStyle name="Comma 7" xfId="318"/>
    <cellStyle name="Comma 8" xfId="397"/>
    <cellStyle name="Comma 9" xfId="474"/>
    <cellStyle name="Comma0" xfId="102"/>
    <cellStyle name="Comment" xfId="103"/>
    <cellStyle name="Comment 2" xfId="401"/>
    <cellStyle name="Commentaire" xfId="104"/>
    <cellStyle name="Commentaire 2" xfId="402"/>
    <cellStyle name="Commentaire 2 2" xfId="547"/>
    <cellStyle name="Commentaire 2 2 2" xfId="826"/>
    <cellStyle name="Commentaire 2 3" xfId="825"/>
    <cellStyle name="Commentaire 3" xfId="548"/>
    <cellStyle name="Commentaire 3 2" xfId="827"/>
    <cellStyle name="Commentaire 4" xfId="824"/>
    <cellStyle name="CountryTitle" xfId="549"/>
    <cellStyle name="Currency [2]" xfId="106"/>
    <cellStyle name="Currency [2] 2" xfId="403"/>
    <cellStyle name="Currency [2] 2 2" xfId="829"/>
    <cellStyle name="Currency [2] 3" xfId="828"/>
    <cellStyle name="Currency 0" xfId="107"/>
    <cellStyle name="Currency 0 2" xfId="404"/>
    <cellStyle name="Currency 10" xfId="550"/>
    <cellStyle name="Currency 11" xfId="551"/>
    <cellStyle name="Currency 12" xfId="552"/>
    <cellStyle name="Currency 13" xfId="553"/>
    <cellStyle name="Currency 14" xfId="554"/>
    <cellStyle name="Currency 15" xfId="555"/>
    <cellStyle name="Currency 16" xfId="556"/>
    <cellStyle name="Currency 17" xfId="557"/>
    <cellStyle name="Currency 18" xfId="558"/>
    <cellStyle name="Currency 19" xfId="105"/>
    <cellStyle name="Currency 2" xfId="108"/>
    <cellStyle name="Currency 2 2" xfId="405"/>
    <cellStyle name="Currency 20" xfId="930"/>
    <cellStyle name="Currency 3" xfId="109"/>
    <cellStyle name="Currency 3 2" xfId="765"/>
    <cellStyle name="Currency 4" xfId="319"/>
    <cellStyle name="Currency 5" xfId="559"/>
    <cellStyle name="Currency 6" xfId="560"/>
    <cellStyle name="Currency 7" xfId="561"/>
    <cellStyle name="Currency 8" xfId="562"/>
    <cellStyle name="Currency 9" xfId="563"/>
    <cellStyle name="Currency0" xfId="110"/>
    <cellStyle name="Currency0 2" xfId="406"/>
    <cellStyle name="Date" xfId="111"/>
    <cellStyle name="Date 2" xfId="112"/>
    <cellStyle name="Date Aligned" xfId="113"/>
    <cellStyle name="Date Aligned 2" xfId="407"/>
    <cellStyle name="Date_ACWA template 00" xfId="114"/>
    <cellStyle name="DateInput" xfId="115"/>
    <cellStyle name="DateLink" xfId="116"/>
    <cellStyle name="DateLong" xfId="117"/>
    <cellStyle name="DateLong 2" xfId="118"/>
    <cellStyle name="DateShort" xfId="119"/>
    <cellStyle name="DateShort 2" xfId="408"/>
    <cellStyle name="DateShort 2 2" xfId="753"/>
    <cellStyle name="Dezimal [0]_ECO" xfId="120"/>
    <cellStyle name="Dezimal_ECO" xfId="121"/>
    <cellStyle name="Discontinuity" xfId="122"/>
    <cellStyle name="Discontinuity 2" xfId="123"/>
    <cellStyle name="Dotted Line" xfId="124"/>
    <cellStyle name="Dotted Line 2" xfId="409"/>
    <cellStyle name="Eingabe" xfId="564"/>
    <cellStyle name="Eingabe 2" xfId="565"/>
    <cellStyle name="Eingabe 2 2" xfId="831"/>
    <cellStyle name="Eingabe 3" xfId="830"/>
    <cellStyle name="Empty_Cell" xfId="566"/>
    <cellStyle name="Entrée" xfId="125"/>
    <cellStyle name="Entrée 2" xfId="410"/>
    <cellStyle name="Entrée 2 2" xfId="567"/>
    <cellStyle name="Entrée 2 2 2" xfId="834"/>
    <cellStyle name="Entrée 2 3" xfId="833"/>
    <cellStyle name="Entrée 3" xfId="568"/>
    <cellStyle name="Entrée 3 2" xfId="835"/>
    <cellStyle name="Entrée 4" xfId="832"/>
    <cellStyle name="Ergebnis" xfId="569"/>
    <cellStyle name="Ergebnis 2" xfId="570"/>
    <cellStyle name="Ergebnis 2 2" xfId="837"/>
    <cellStyle name="Ergebnis 3" xfId="836"/>
    <cellStyle name="Erklärender Text" xfId="571"/>
    <cellStyle name="Euro" xfId="126"/>
    <cellStyle name="Euro 2" xfId="127"/>
    <cellStyle name="Euro 3" xfId="411"/>
    <cellStyle name="Euro 4" xfId="572"/>
    <cellStyle name="Explanatory Text 2" xfId="412"/>
    <cellStyle name="Explanatory Text 3" xfId="128"/>
    <cellStyle name="F.Daten" xfId="129"/>
    <cellStyle name="F.Daten 2" xfId="413"/>
    <cellStyle name="F.Daten 2 2" xfId="839"/>
    <cellStyle name="F.Daten 3" xfId="838"/>
    <cellStyle name="F.DatenFormel" xfId="130"/>
    <cellStyle name="F.DatenFormel 2" xfId="414"/>
    <cellStyle name="F.DatenFormel 2 2" xfId="841"/>
    <cellStyle name="F.DatenFormel 3" xfId="840"/>
    <cellStyle name="F.Hintergrund" xfId="131"/>
    <cellStyle name="F.Hintergrund 2" xfId="415"/>
    <cellStyle name="Factor" xfId="132"/>
    <cellStyle name="Factor 2" xfId="133"/>
    <cellStyle name="Fixed" xfId="134"/>
    <cellStyle name="Flag" xfId="135"/>
    <cellStyle name="FlagInput" xfId="136"/>
    <cellStyle name="Footnote" xfId="137"/>
    <cellStyle name="Footnote 2" xfId="416"/>
    <cellStyle name="formula" xfId="138"/>
    <cellStyle name="formula 2" xfId="842"/>
    <cellStyle name="from model" xfId="139"/>
    <cellStyle name="from model 2" xfId="140"/>
    <cellStyle name="from model 2 2" xfId="844"/>
    <cellStyle name="from model 3" xfId="843"/>
    <cellStyle name="Good 2" xfId="417"/>
    <cellStyle name="Good 3" xfId="141"/>
    <cellStyle name="Gut" xfId="573"/>
    <cellStyle name="Hard Percent" xfId="142"/>
    <cellStyle name="Hard Percent 2" xfId="418"/>
    <cellStyle name="Header" xfId="143"/>
    <cellStyle name="Header 2" xfId="419"/>
    <cellStyle name="Header0" xfId="574"/>
    <cellStyle name="Header1" xfId="575"/>
    <cellStyle name="Header2" xfId="576"/>
    <cellStyle name="Header2 2" xfId="577"/>
    <cellStyle name="Header2 2 2" xfId="846"/>
    <cellStyle name="Header2 3" xfId="578"/>
    <cellStyle name="Header2 3 2" xfId="847"/>
    <cellStyle name="Header2 4" xfId="845"/>
    <cellStyle name="Header3" xfId="579"/>
    <cellStyle name="Heading 1 2" xfId="307"/>
    <cellStyle name="Heading 1 3" xfId="420"/>
    <cellStyle name="Heading 1 4" xfId="144"/>
    <cellStyle name="Heading 2 2" xfId="421"/>
    <cellStyle name="Heading 2 3" xfId="145"/>
    <cellStyle name="Heading 3 2" xfId="422"/>
    <cellStyle name="Heading 3 3" xfId="146"/>
    <cellStyle name="Heading 4 2" xfId="423"/>
    <cellStyle name="Heading 4 3" xfId="147"/>
    <cellStyle name="Heading1" xfId="580"/>
    <cellStyle name="Heading1 2" xfId="581"/>
    <cellStyle name="Heading2" xfId="582"/>
    <cellStyle name="Headings" xfId="148"/>
    <cellStyle name="Headings 2" xfId="424"/>
    <cellStyle name="Headings 2 2" xfId="849"/>
    <cellStyle name="Headings 3" xfId="848"/>
    <cellStyle name="HSBC Input Date" xfId="149"/>
    <cellStyle name="HSBC Input Date 2" xfId="150"/>
    <cellStyle name="HSBC Input Date 2 2" xfId="583"/>
    <cellStyle name="HSBC Input Date 3" xfId="584"/>
    <cellStyle name="HSBC Input Date Link" xfId="585"/>
    <cellStyle name="HSBC Input Date Link 2" xfId="586"/>
    <cellStyle name="HSBC Input Date Link 2 2" xfId="587"/>
    <cellStyle name="HSBC Input Date Link 2 2 2" xfId="852"/>
    <cellStyle name="HSBC Input Date Link 2 3" xfId="851"/>
    <cellStyle name="HSBC Input Date Link 3" xfId="850"/>
    <cellStyle name="HSBC Input Date_2010-01-07-Copy of Financial Bid Formsheets HI J (07 01 2010)-1" xfId="588"/>
    <cellStyle name="HSBC Input Logical" xfId="151"/>
    <cellStyle name="HSBC Input Logical 2" xfId="425"/>
    <cellStyle name="HSBC Input Logical Link" xfId="152"/>
    <cellStyle name="HSBC Input Logical Link 2" xfId="426"/>
    <cellStyle name="HSBC Input Logical_ADWEA S2_Bid Forms_V018_09 09 28" xfId="589"/>
    <cellStyle name="HSBC Input Number 1" xfId="153"/>
    <cellStyle name="HSBC Input Number 1 2" xfId="154"/>
    <cellStyle name="HSBC Input Number 2" xfId="155"/>
    <cellStyle name="HSBC Input Number 2 2" xfId="590"/>
    <cellStyle name="HSBC Input Number 2 Link" xfId="591"/>
    <cellStyle name="HSBC Input Number 2 Link 2" xfId="592"/>
    <cellStyle name="HSBC Input Number 2 Link 2 2" xfId="593"/>
    <cellStyle name="HSBC Input Number 2_2010-01-07-Copy of Financial Bid Formsheets HI J (07 01 2010)-1" xfId="594"/>
    <cellStyle name="HSBC Input Number Link" xfId="156"/>
    <cellStyle name="HSBC Input Percent" xfId="157"/>
    <cellStyle name="HSBC Input Percent Link" xfId="158"/>
    <cellStyle name="HSBC Input Percent_2010-01-07-Copy of Financial Bid Formsheets HI J (07 01 2010)-1" xfId="595"/>
    <cellStyle name="HSBC Input Ratio" xfId="159"/>
    <cellStyle name="HSBC Input Ratio Link" xfId="596"/>
    <cellStyle name="HSBC Input Ratio_2010-01-07-Copy of Financial Bid Formsheets HI J (07 01 2010)-1" xfId="597"/>
    <cellStyle name="HSBC Input Text" xfId="160"/>
    <cellStyle name="HSBC Input Text 2" xfId="161"/>
    <cellStyle name="HSBC Input Text 2 2" xfId="428"/>
    <cellStyle name="HSBC Input Text 2 Link" xfId="598"/>
    <cellStyle name="HSBC Input Text 2_H IWPP Bidder Form" xfId="599"/>
    <cellStyle name="HSBC Input Text 3" xfId="427"/>
    <cellStyle name="HSBC Normal" xfId="162"/>
    <cellStyle name="HSBC Normal 2" xfId="429"/>
    <cellStyle name="HSBC Normal 3" xfId="600"/>
    <cellStyle name="HSBC Normal_ADWEA S2_Bid Forms_V018_09 09 28" xfId="742"/>
    <cellStyle name="HSBC Report Number" xfId="163"/>
    <cellStyle name="HSBC Report Number 0" xfId="164"/>
    <cellStyle name="HSBC Report Number 0 2" xfId="165"/>
    <cellStyle name="HSBC Report Number 2" xfId="166"/>
    <cellStyle name="HSBC Report Number_2010-01-07-Copy of Financial Bid Formsheets HI J (07 01 2010)-1" xfId="601"/>
    <cellStyle name="HSBC Report Percent" xfId="167"/>
    <cellStyle name="HSBC Report Total" xfId="168"/>
    <cellStyle name="HSBC Report Total Main" xfId="169"/>
    <cellStyle name="HSBC Report Total Main 2" xfId="602"/>
    <cellStyle name="HSBC Report Total Main 2 2" xfId="603"/>
    <cellStyle name="HSBC Report Total Main 2 2 2" xfId="855"/>
    <cellStyle name="HSBC Report Total Main 2 3" xfId="854"/>
    <cellStyle name="HSBC Report Total Main 3" xfId="604"/>
    <cellStyle name="HSBC Report Total Main 3 2" xfId="856"/>
    <cellStyle name="HSBC Report Total Main 4" xfId="853"/>
    <cellStyle name="HSBC Report Total_2010-01-07-Copy of Financial Bid Formsheets HI J (07 01 2010)-1" xfId="605"/>
    <cellStyle name="HSBC Title Main" xfId="170"/>
    <cellStyle name="HSBC Title Main 2" xfId="430"/>
    <cellStyle name="HSBC Title Main Sub" xfId="171"/>
    <cellStyle name="HSBC Title Main Sub 2" xfId="431"/>
    <cellStyle name="HSBC Title Main_2010-01-07-Copy of Financial Bid Formsheets HI J (07 01 2010)-1" xfId="606"/>
    <cellStyle name="HSBC Title Module" xfId="172"/>
    <cellStyle name="HSBC Title Module 2" xfId="432"/>
    <cellStyle name="HSBC WK Date" xfId="173"/>
    <cellStyle name="HSBC WK Date 2" xfId="174"/>
    <cellStyle name="HSBC WK Date 2 2" xfId="607"/>
    <cellStyle name="HSBC WK Date 3" xfId="608"/>
    <cellStyle name="HSBC WK Date 3 2" xfId="609"/>
    <cellStyle name="HSBC WK Date Link" xfId="175"/>
    <cellStyle name="HSBC WK Date Link 2" xfId="176"/>
    <cellStyle name="HSBC WK Date_2010-01-07-Copy of Financial Bid Formsheets HI J (07 01 2010)-1" xfId="610"/>
    <cellStyle name="HSBC WK Logical 1" xfId="177"/>
    <cellStyle name="HSBC WK Logical 1 2" xfId="433"/>
    <cellStyle name="HSBC WK Logical 2" xfId="178"/>
    <cellStyle name="HSBC WK Logical 2 2" xfId="434"/>
    <cellStyle name="HSBC WK Number 1" xfId="179"/>
    <cellStyle name="HSBC WK Number 1 2" xfId="180"/>
    <cellStyle name="HSBC WK Number 1_Form_Sheets_FGH_290609" xfId="611"/>
    <cellStyle name="HSBC WK Number 2" xfId="181"/>
    <cellStyle name="HSBC WK Number 2 2" xfId="612"/>
    <cellStyle name="HSBC WK Number 2 2 2" xfId="613"/>
    <cellStyle name="HSBC WK Number 2 2 2 2" xfId="750"/>
    <cellStyle name="HSBC WK Number 2 Link" xfId="182"/>
    <cellStyle name="HSBC WK Number 2 Link 2" xfId="183"/>
    <cellStyle name="HSBC WK Number 2 T" xfId="184"/>
    <cellStyle name="HSBC WK Number 2 T Link" xfId="185"/>
    <cellStyle name="HSBC WK Number 2 T_ACWA template 00" xfId="186"/>
    <cellStyle name="HSBC WK Number 2_2010-01-07-Copy of Financial Bid Formsheets HI J (07 01 2010)-1" xfId="614"/>
    <cellStyle name="HSBC WK Percent" xfId="187"/>
    <cellStyle name="HSBC WK Percent 2" xfId="615"/>
    <cellStyle name="HSBC WK Percent 2 2" xfId="751"/>
    <cellStyle name="HSBC WK Percent Link" xfId="188"/>
    <cellStyle name="HSBC WK Percent Link 2" xfId="189"/>
    <cellStyle name="HSBC WK Percent_2010-01-07-Copy of Financial Bid Formsheets HI J (07 01 2010)-1" xfId="616"/>
    <cellStyle name="HSBC WK Ratios" xfId="190"/>
    <cellStyle name="HSBC WK Ratios 2" xfId="617"/>
    <cellStyle name="HSBC WK Ratios 2 2" xfId="758"/>
    <cellStyle name="HSBC WK Ratios Link" xfId="191"/>
    <cellStyle name="HSBC WK Ratios Link 2" xfId="192"/>
    <cellStyle name="HSBC WK Ratios_2010-01-07-Copy of Financial Bid Formsheets HI J (07 01 2010)-1" xfId="618"/>
    <cellStyle name="HSBC WK Year Format" xfId="193"/>
    <cellStyle name="HSBC WK Year Format Link" xfId="194"/>
    <cellStyle name="HSBC WK Year Format Link 2" xfId="195"/>
    <cellStyle name="HSBC WK Year Format Link 2 2" xfId="320"/>
    <cellStyle name="HSBC WK Year Format Link 2 2 2" xfId="619"/>
    <cellStyle name="HSBC WK Year Format Link 2 3" xfId="620"/>
    <cellStyle name="HSBC WK Year Format Link 2 3 2" xfId="621"/>
    <cellStyle name="HSBC WK Year Format Link 2 4" xfId="622"/>
    <cellStyle name="HSBC WK Year Format Link 3" xfId="321"/>
    <cellStyle name="HSBC WK Year Format Link 3 2" xfId="623"/>
    <cellStyle name="HSBC WK Year Format Link 4" xfId="624"/>
    <cellStyle name="HSBC WK Year Format Link 4 2" xfId="625"/>
    <cellStyle name="HSBC WK Year Format Link 5" xfId="626"/>
    <cellStyle name="HSBC_Summary_Header" xfId="196"/>
    <cellStyle name="Hyperlink 2" xfId="627"/>
    <cellStyle name="Hyperlink 3" xfId="628"/>
    <cellStyle name="HyperlinkM" xfId="197"/>
    <cellStyle name="Input 2" xfId="309"/>
    <cellStyle name="Input 2 2" xfId="629"/>
    <cellStyle name="Input 2 2 2" xfId="857"/>
    <cellStyle name="Input 3" xfId="435"/>
    <cellStyle name="Input 3 2" xfId="858"/>
    <cellStyle name="Input 4" xfId="198"/>
    <cellStyle name="Input Cells" xfId="630"/>
    <cellStyle name="InputBlueFont" xfId="199"/>
    <cellStyle name="InputBlueFont 2" xfId="436"/>
    <cellStyle name="InputCells" xfId="200"/>
    <cellStyle name="Insatisfaisant" xfId="201"/>
    <cellStyle name="Insatisfaisant 2" xfId="437"/>
    <cellStyle name="InSheet" xfId="631"/>
    <cellStyle name="InSheet 2" xfId="859"/>
    <cellStyle name="Label" xfId="202"/>
    <cellStyle name="Label 2" xfId="438"/>
    <cellStyle name="Line_ClosingBal" xfId="632"/>
    <cellStyle name="Link_addon" xfId="203"/>
    <cellStyle name="Linked Cell 2" xfId="439"/>
    <cellStyle name="Linked Cell 3" xfId="204"/>
    <cellStyle name="Millions" xfId="205"/>
    <cellStyle name="Millions 2" xfId="206"/>
    <cellStyle name="Millions 3" xfId="440"/>
    <cellStyle name="Millions 4" xfId="633"/>
    <cellStyle name="Money" xfId="207"/>
    <cellStyle name="Money 2" xfId="208"/>
    <cellStyle name="Multiple" xfId="209"/>
    <cellStyle name="Multiple 2" xfId="441"/>
    <cellStyle name="Neutral 2" xfId="311"/>
    <cellStyle name="Neutral 2 2" xfId="860"/>
    <cellStyle name="Neutral 3" xfId="442"/>
    <cellStyle name="Neutral 4" xfId="210"/>
    <cellStyle name="Neutre" xfId="211"/>
    <cellStyle name="Neutre 2" xfId="443"/>
    <cellStyle name="Normaali_Layo9704" xfId="212"/>
    <cellStyle name="Normal" xfId="0" builtinId="0"/>
    <cellStyle name="Normal [0]" xfId="634"/>
    <cellStyle name="Normal [2]" xfId="635"/>
    <cellStyle name="Normal 10" xfId="636"/>
    <cellStyle name="Normal 11" xfId="637"/>
    <cellStyle name="Normal 114" xfId="638"/>
    <cellStyle name="Normal 12" xfId="639"/>
    <cellStyle name="Normal 12 2" xfId="762"/>
    <cellStyle name="Normal 13" xfId="640"/>
    <cellStyle name="Normal 14" xfId="641"/>
    <cellStyle name="Normal 145" xfId="642"/>
    <cellStyle name="Normal 146" xfId="643"/>
    <cellStyle name="Normal 15" xfId="644"/>
    <cellStyle name="Normal 16" xfId="645"/>
    <cellStyle name="Normal 16 2" xfId="646"/>
    <cellStyle name="Normal 16 2 2" xfId="647"/>
    <cellStyle name="Normal 16 2 2 2" xfId="648"/>
    <cellStyle name="Normal 16 2 2 2 2" xfId="864"/>
    <cellStyle name="Normal 16 2 2 3" xfId="863"/>
    <cellStyle name="Normal 16 2 3" xfId="649"/>
    <cellStyle name="Normal 16 2 3 2" xfId="865"/>
    <cellStyle name="Normal 16 2 4" xfId="862"/>
    <cellStyle name="Normal 16 3" xfId="650"/>
    <cellStyle name="Normal 16 3 2" xfId="651"/>
    <cellStyle name="Normal 16 3 2 2" xfId="867"/>
    <cellStyle name="Normal 16 3 3" xfId="866"/>
    <cellStyle name="Normal 16 4" xfId="652"/>
    <cellStyle name="Normal 16 4 2" xfId="653"/>
    <cellStyle name="Normal 16 4 2 2" xfId="869"/>
    <cellStyle name="Normal 16 4 3" xfId="868"/>
    <cellStyle name="Normal 16 5" xfId="654"/>
    <cellStyle name="Normal 16 5 2" xfId="870"/>
    <cellStyle name="Normal 16 6" xfId="861"/>
    <cellStyle name="Normal 17" xfId="655"/>
    <cellStyle name="Normal 18" xfId="656"/>
    <cellStyle name="Normal 19" xfId="657"/>
    <cellStyle name="Normal 2" xfId="213"/>
    <cellStyle name="Normal 2 2" xfId="214"/>
    <cellStyle name="Normal 2 2 2" xfId="445"/>
    <cellStyle name="Normal 2 2 5" xfId="743"/>
    <cellStyle name="Normal 2 3" xfId="215"/>
    <cellStyle name="Normal 2 3 2" xfId="446"/>
    <cellStyle name="Normal 2 4" xfId="314"/>
    <cellStyle name="Normal 2 4 2" xfId="322"/>
    <cellStyle name="Normal 2 4 2 2" xfId="872"/>
    <cellStyle name="Normal 2 4 3" xfId="766"/>
    <cellStyle name="Normal 2 4 4" xfId="871"/>
    <cellStyle name="Normal 2 5" xfId="444"/>
    <cellStyle name="Normal 2 5 2" xfId="658"/>
    <cellStyle name="Normal 2 5 3" xfId="479"/>
    <cellStyle name="Normal 2 6" xfId="659"/>
    <cellStyle name="Normal 2_Oued Sebt Model (Base case 97% avail)" xfId="216"/>
    <cellStyle name="Normal 20" xfId="660"/>
    <cellStyle name="Normal 21" xfId="661"/>
    <cellStyle name="Normal 22" xfId="662"/>
    <cellStyle name="Normal 23" xfId="663"/>
    <cellStyle name="Normal 24" xfId="664"/>
    <cellStyle name="Normal 25" xfId="478"/>
    <cellStyle name="Normal 25 2" xfId="873"/>
    <cellStyle name="Normal 26" xfId="739"/>
    <cellStyle name="Normal 27" xfId="744"/>
    <cellStyle name="Normal 27 2" xfId="747"/>
    <cellStyle name="Normal 27 2 2" xfId="874"/>
    <cellStyle name="Normal 27 3" xfId="784"/>
    <cellStyle name="Normal 27 3 2 2" xfId="927"/>
    <cellStyle name="Normal 28" xfId="665"/>
    <cellStyle name="Normal 29" xfId="738"/>
    <cellStyle name="Normal 3" xfId="217"/>
    <cellStyle name="Normal 3 2" xfId="447"/>
    <cellStyle name="Normal 3 2 2" xfId="666"/>
    <cellStyle name="Normal 3 3" xfId="667"/>
    <cellStyle name="Normal 3 8" xfId="764"/>
    <cellStyle name="Normal 3 8 2" xfId="875"/>
    <cellStyle name="Normal 3 8 3" xfId="919"/>
    <cellStyle name="Normal 3_Fuel Pricing" xfId="668"/>
    <cellStyle name="Normal 30" xfId="746"/>
    <cellStyle name="Normal 30 2" xfId="876"/>
    <cellStyle name="Normal 31" xfId="669"/>
    <cellStyle name="Normal 32" xfId="759"/>
    <cellStyle name="Normal 32 2" xfId="877"/>
    <cellStyle name="Normal 33" xfId="760"/>
    <cellStyle name="Normal 33 2" xfId="878"/>
    <cellStyle name="Normal 34" xfId="670"/>
    <cellStyle name="Normal 35" xfId="763"/>
    <cellStyle name="Normal 35 2" xfId="879"/>
    <cellStyle name="Normal 36" xfId="769"/>
    <cellStyle name="Normal 36 2" xfId="880"/>
    <cellStyle name="Normal 37" xfId="671"/>
    <cellStyle name="Normal 38" xfId="773"/>
    <cellStyle name="Normal 38 2" xfId="881"/>
    <cellStyle name="Normal 39" xfId="776"/>
    <cellStyle name="Normal 4" xfId="218"/>
    <cellStyle name="Normal 4 2" xfId="672"/>
    <cellStyle name="Normal 40" xfId="673"/>
    <cellStyle name="Normal 41" xfId="674"/>
    <cellStyle name="Normal 42" xfId="675"/>
    <cellStyle name="Normal 43" xfId="676"/>
    <cellStyle name="Normal 44" xfId="777"/>
    <cellStyle name="Normal 45" xfId="778"/>
    <cellStyle name="Normal 46" xfId="677"/>
    <cellStyle name="Normal 47" xfId="779"/>
    <cellStyle name="Normal 48" xfId="780"/>
    <cellStyle name="Normal 49" xfId="678"/>
    <cellStyle name="Normal 5" xfId="219"/>
    <cellStyle name="Normal 5 2" xfId="679"/>
    <cellStyle name="Normal 5 3" xfId="752"/>
    <cellStyle name="Normal 50" xfId="781"/>
    <cellStyle name="Normal 51" xfId="782"/>
    <cellStyle name="Normal 52" xfId="680"/>
    <cellStyle name="Normal 53" xfId="2"/>
    <cellStyle name="Normal 53 2" xfId="923"/>
    <cellStyle name="Normal 54" xfId="922"/>
    <cellStyle name="Normal 55" xfId="681"/>
    <cellStyle name="Normal 56" xfId="682"/>
    <cellStyle name="Normal 57" xfId="683"/>
    <cellStyle name="Normal 58" xfId="928"/>
    <cellStyle name="Normal 59" xfId="932"/>
    <cellStyle name="Normal 6" xfId="304"/>
    <cellStyle name="Normal 6 2" xfId="323"/>
    <cellStyle name="Normal 6 2 2" xfId="883"/>
    <cellStyle name="Normal 6 3" xfId="882"/>
    <cellStyle name="Normal 68" xfId="684"/>
    <cellStyle name="Normal 7" xfId="324"/>
    <cellStyle name="Normal 7 2" xfId="685"/>
    <cellStyle name="Normal 74" xfId="686"/>
    <cellStyle name="Normal 79" xfId="687"/>
    <cellStyle name="Normal 8" xfId="325"/>
    <cellStyle name="Normal 8 2" xfId="740"/>
    <cellStyle name="Normal 82" xfId="688"/>
    <cellStyle name="Normal 85" xfId="689"/>
    <cellStyle name="Normal 88" xfId="690"/>
    <cellStyle name="Normal 89" xfId="691"/>
    <cellStyle name="Normal 9" xfId="476"/>
    <cellStyle name="Normal 9 2" xfId="884"/>
    <cellStyle name="NormalGB" xfId="220"/>
    <cellStyle name="Note 2" xfId="222"/>
    <cellStyle name="Note 2 2" xfId="692"/>
    <cellStyle name="Note 2 2 2" xfId="886"/>
    <cellStyle name="Note 2 3" xfId="693"/>
    <cellStyle name="Note 2 3 2" xfId="887"/>
    <cellStyle name="Note 2 4" xfId="885"/>
    <cellStyle name="Note 3" xfId="448"/>
    <cellStyle name="Note 3 2" xfId="888"/>
    <cellStyle name="Note 4" xfId="221"/>
    <cellStyle name="Notiz" xfId="694"/>
    <cellStyle name="Notiz 2" xfId="695"/>
    <cellStyle name="Notiz 2 2" xfId="890"/>
    <cellStyle name="Notiz 3" xfId="889"/>
    <cellStyle name="NumberCalc2D" xfId="223"/>
    <cellStyle name="NumberCalc2Dx" xfId="224"/>
    <cellStyle name="NumberCalc3D" xfId="225"/>
    <cellStyle name="NumberCalc4D" xfId="226"/>
    <cellStyle name="NumberCalcT" xfId="227"/>
    <cellStyle name="NumberInput2D" xfId="228"/>
    <cellStyle name="NumberInput4D" xfId="229"/>
    <cellStyle name="NumberInputT" xfId="230"/>
    <cellStyle name="NumberLink2D" xfId="231"/>
    <cellStyle name="NumberLink4D" xfId="232"/>
    <cellStyle name="NumberLinkT" xfId="233"/>
    <cellStyle name="OffSheet" xfId="696"/>
    <cellStyle name="OffSheet 2" xfId="891"/>
    <cellStyle name="Output %" xfId="235"/>
    <cellStyle name="Output 2" xfId="449"/>
    <cellStyle name="Output 2 2" xfId="697"/>
    <cellStyle name="Output 2 2 2" xfId="893"/>
    <cellStyle name="Output 2 3" xfId="892"/>
    <cellStyle name="Output 3" xfId="475"/>
    <cellStyle name="Output 3 2" xfId="894"/>
    <cellStyle name="Output 4" xfId="234"/>
    <cellStyle name="Output 5" xfId="931"/>
    <cellStyle name="Page Heading Large" xfId="236"/>
    <cellStyle name="Page Heading Large 2" xfId="450"/>
    <cellStyle name="Page Heading Small" xfId="237"/>
    <cellStyle name="Page Heading Small 2" xfId="451"/>
    <cellStyle name="Page Number" xfId="238"/>
    <cellStyle name="per.style" xfId="698"/>
    <cellStyle name="PercCalc0D" xfId="239"/>
    <cellStyle name="PercCalc1D" xfId="240"/>
    <cellStyle name="PercCalc2D" xfId="241"/>
    <cellStyle name="Percent 10" xfId="772"/>
    <cellStyle name="Percent 10 2" xfId="895"/>
    <cellStyle name="Percent 11" xfId="775"/>
    <cellStyle name="Percent 11 2" xfId="896"/>
    <cellStyle name="Percent 12" xfId="924"/>
    <cellStyle name="Percent 13" xfId="242"/>
    <cellStyle name="Percent 15" xfId="699"/>
    <cellStyle name="Percent 2" xfId="243"/>
    <cellStyle name="Percent 2 2" xfId="244"/>
    <cellStyle name="Percent 2 2 2" xfId="700"/>
    <cellStyle name="Percent 2 2 3" xfId="701"/>
    <cellStyle name="Percent 2 3" xfId="702"/>
    <cellStyle name="Percent 2 3 2" xfId="703"/>
    <cellStyle name="Percent 2 4" xfId="704"/>
    <cellStyle name="Percent 3" xfId="705"/>
    <cellStyle name="Percent 4" xfId="706"/>
    <cellStyle name="Percent 5" xfId="707"/>
    <cellStyle name="Percent 5 2" xfId="897"/>
    <cellStyle name="Percent 6" xfId="480"/>
    <cellStyle name="Percent 6 2" xfId="898"/>
    <cellStyle name="Percent 7" xfId="749"/>
    <cellStyle name="Percent 7 2" xfId="899"/>
    <cellStyle name="Percent 8" xfId="756"/>
    <cellStyle name="Percent 9" xfId="768"/>
    <cellStyle name="Percent 9 2" xfId="900"/>
    <cellStyle name="Percent 9 3" xfId="921"/>
    <cellStyle name="Percent Hard" xfId="245"/>
    <cellStyle name="Percent Hard 2" xfId="452"/>
    <cellStyle name="PercInput0D" xfId="246"/>
    <cellStyle name="PercInput1D" xfId="247"/>
    <cellStyle name="PercInput2D" xfId="248"/>
    <cellStyle name="PercInput3D" xfId="249"/>
    <cellStyle name="PercLink0D" xfId="250"/>
    <cellStyle name="PercLink1D" xfId="251"/>
    <cellStyle name="PercLink2D" xfId="252"/>
    <cellStyle name="pikn" xfId="253"/>
    <cellStyle name="pikn 2" xfId="254"/>
    <cellStyle name="Pilkku_Layo9704" xfId="255"/>
    <cellStyle name="pink_%" xfId="256"/>
    <cellStyle name="Priceheader" xfId="708"/>
    <cellStyle name="Proforma" xfId="257"/>
    <cellStyle name="Proforma 2" xfId="258"/>
    <cellStyle name="Proforma 2 2" xfId="902"/>
    <cellStyle name="Proforma 3" xfId="453"/>
    <cellStyle name="Proforma 3 2" xfId="903"/>
    <cellStyle name="Proforma 4" xfId="709"/>
    <cellStyle name="Proforma 4 2" xfId="904"/>
    <cellStyle name="Proforma 5" xfId="741"/>
    <cellStyle name="Proforma 5 2" xfId="905"/>
    <cellStyle name="Proforma 6" xfId="901"/>
    <cellStyle name="Pyör. luku_Layo9704" xfId="259"/>
    <cellStyle name="Pyör. valuutta_Layo9704" xfId="260"/>
    <cellStyle name="Query" xfId="710"/>
    <cellStyle name="Query 2" xfId="906"/>
    <cellStyle name="Ratio" xfId="261"/>
    <cellStyle name="Ratio 2" xfId="262"/>
    <cellStyle name="Ratio 3" xfId="454"/>
    <cellStyle name="red_%" xfId="263"/>
    <cellStyle name="Refernce Cell" xfId="305"/>
    <cellStyle name="RowHeading" xfId="711"/>
    <cellStyle name="Salomon Logo" xfId="264"/>
    <cellStyle name="Salomon Logo 2" xfId="712"/>
    <cellStyle name="Satisfaisant" xfId="265"/>
    <cellStyle name="Satisfaisant 2" xfId="455"/>
    <cellStyle name="Schlecht" xfId="713"/>
    <cellStyle name="Section" xfId="266"/>
    <cellStyle name="Section 2" xfId="456"/>
    <cellStyle name="Shaded" xfId="267"/>
    <cellStyle name="Shaded 2" xfId="457"/>
    <cellStyle name="Sheet_Header" xfId="714"/>
    <cellStyle name="Sortie" xfId="268"/>
    <cellStyle name="Sortie 2" xfId="458"/>
    <cellStyle name="Sortie 2 2" xfId="908"/>
    <cellStyle name="Sortie 3" xfId="907"/>
    <cellStyle name="Standard_A" xfId="269"/>
    <cellStyle name="Style 1" xfId="270"/>
    <cellStyle name="SubHeading" xfId="715"/>
    <cellStyle name="SubsidTitle" xfId="716"/>
    <cellStyle name="Table Col Head" xfId="271"/>
    <cellStyle name="Table Col Head 2" xfId="459"/>
    <cellStyle name="Table Head" xfId="272"/>
    <cellStyle name="Table Head Aligned" xfId="273"/>
    <cellStyle name="Table Head Aligned 2" xfId="717"/>
    <cellStyle name="Table Head Aligned 2 2" xfId="718"/>
    <cellStyle name="Table Head Aligned 2 2 2" xfId="910"/>
    <cellStyle name="Table Head Aligned 2 3" xfId="909"/>
    <cellStyle name="Table Head Blue" xfId="274"/>
    <cellStyle name="Table Head Green" xfId="275"/>
    <cellStyle name="Table Head Green 2" xfId="719"/>
    <cellStyle name="Table Head Green 2 2" xfId="720"/>
    <cellStyle name="Table Head Green 2 2 2" xfId="912"/>
    <cellStyle name="Table Head Green 2 3" xfId="911"/>
    <cellStyle name="Table Head_Val_Sum_Graph" xfId="276"/>
    <cellStyle name="Table Heading" xfId="277"/>
    <cellStyle name="Table Sub Head" xfId="278"/>
    <cellStyle name="Table Sub Head 2" xfId="460"/>
    <cellStyle name="Table Text" xfId="279"/>
    <cellStyle name="Table Title" xfId="280"/>
    <cellStyle name="Table Title 2" xfId="461"/>
    <cellStyle name="Table Units" xfId="281"/>
    <cellStyle name="Table Units 2" xfId="462"/>
    <cellStyle name="Table_Header" xfId="282"/>
    <cellStyle name="Technical_Input" xfId="721"/>
    <cellStyle name="Text 1" xfId="283"/>
    <cellStyle name="Text Head 1" xfId="284"/>
    <cellStyle name="TextCentered" xfId="285"/>
    <cellStyle name="Texte explicatif" xfId="286"/>
    <cellStyle name="Texte explicatif 2" xfId="463"/>
    <cellStyle name="TextInput" xfId="287"/>
    <cellStyle name="TextInputCentered" xfId="288"/>
    <cellStyle name="Title 2" xfId="464"/>
    <cellStyle name="Title 3" xfId="289"/>
    <cellStyle name="Titre" xfId="290"/>
    <cellStyle name="Titre 2" xfId="465"/>
    <cellStyle name="Titre 1" xfId="291"/>
    <cellStyle name="Titre 1 2" xfId="466"/>
    <cellStyle name="Titre 2" xfId="292"/>
    <cellStyle name="Titre 2 2" xfId="467"/>
    <cellStyle name="Titre 3" xfId="293"/>
    <cellStyle name="Titre 3 2" xfId="468"/>
    <cellStyle name="Titre 4" xfId="294"/>
    <cellStyle name="Titre 4 2" xfId="469"/>
    <cellStyle name="Top" xfId="295"/>
    <cellStyle name="Top 2" xfId="470"/>
    <cellStyle name="Total 2" xfId="310"/>
    <cellStyle name="Total 2 2" xfId="722"/>
    <cellStyle name="Total 2 2 2" xfId="913"/>
    <cellStyle name="Total 3" xfId="471"/>
    <cellStyle name="Total 3 2" xfId="914"/>
    <cellStyle name="Total 4" xfId="296"/>
    <cellStyle name="Totals" xfId="723"/>
    <cellStyle name="Totals [0]" xfId="724"/>
    <cellStyle name="Totals [0] 2" xfId="916"/>
    <cellStyle name="Totals [2]" xfId="725"/>
    <cellStyle name="Totals [2] 2" xfId="917"/>
    <cellStyle name="Totals 2" xfId="915"/>
    <cellStyle name="Überschrift" xfId="726"/>
    <cellStyle name="Überschrift 1" xfId="727"/>
    <cellStyle name="Überschrift 2" xfId="728"/>
    <cellStyle name="Überschrift 3" xfId="729"/>
    <cellStyle name="Überschrift 4" xfId="730"/>
    <cellStyle name="Underline_Single" xfId="297"/>
    <cellStyle name="Unit" xfId="731"/>
    <cellStyle name="Valuutta_Layo9704" xfId="298"/>
    <cellStyle name="Vérification" xfId="299"/>
    <cellStyle name="Vérification 2" xfId="472"/>
    <cellStyle name="Verknüpfte Zelle" xfId="732"/>
    <cellStyle name="Währung [0]_ECO" xfId="300"/>
    <cellStyle name="Währung_ECO" xfId="301"/>
    <cellStyle name="Warnender Text" xfId="733"/>
    <cellStyle name="Warning Text 2" xfId="473"/>
    <cellStyle name="Warning Text 3" xfId="302"/>
    <cellStyle name="Year" xfId="303"/>
    <cellStyle name="Year 2" xfId="734"/>
    <cellStyle name="Year 2 2" xfId="918"/>
    <cellStyle name="Zelle überprüfen" xfId="735"/>
    <cellStyle name="КАНДАГАЧ тел3-33-96" xfId="736"/>
    <cellStyle name="標準_Input_OutPut20060417" xfId="933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"/>
  <sheetViews>
    <sheetView workbookViewId="0"/>
  </sheetViews>
  <sheetFormatPr defaultRowHeight="15"/>
  <cols>
    <col min="1" max="1" width="13.28515625" bestFit="1" customWidth="1"/>
    <col min="3" max="4" width="9.7109375" bestFit="1" customWidth="1"/>
    <col min="5" max="5" width="7.7109375" bestFit="1" customWidth="1"/>
    <col min="6" max="6" width="16.85546875" bestFit="1" customWidth="1"/>
    <col min="9" max="9" width="14.28515625" bestFit="1" customWidth="1"/>
    <col min="12" max="12" width="13.140625" bestFit="1" customWidth="1"/>
    <col min="13" max="13" width="15.28515625" bestFit="1" customWidth="1"/>
    <col min="14" max="14" width="14.28515625" bestFit="1" customWidth="1"/>
    <col min="15" max="15" width="15.28515625" bestFit="1" customWidth="1"/>
    <col min="18" max="18" width="13.28515625" bestFit="1" customWidth="1"/>
  </cols>
  <sheetData>
    <row r="1" spans="1:18">
      <c r="A1" s="13">
        <v>1000000</v>
      </c>
      <c r="I1" s="3">
        <f>MAX(F2:F161)</f>
        <v>690719279.56587613</v>
      </c>
    </row>
    <row r="2" spans="1:18">
      <c r="C2" s="9">
        <v>43738</v>
      </c>
      <c r="D2" s="9">
        <v>43769</v>
      </c>
      <c r="E2" s="8">
        <v>38.89206125181672</v>
      </c>
      <c r="F2" s="7">
        <f>E2*$A$1</f>
        <v>38892061.25181672</v>
      </c>
      <c r="G2" s="19">
        <f>D2-C2</f>
        <v>31</v>
      </c>
    </row>
    <row r="3" spans="1:18">
      <c r="C3" s="1">
        <v>43769</v>
      </c>
      <c r="D3" s="1">
        <v>43799</v>
      </c>
      <c r="E3" s="15">
        <v>53.628704875037542</v>
      </c>
      <c r="F3" s="17">
        <f t="shared" ref="F3:F66" si="0">E3*$A$1</f>
        <v>53628704.875037543</v>
      </c>
      <c r="G3" s="18">
        <f t="shared" ref="G3:G50" si="1">D3-C3</f>
        <v>30</v>
      </c>
    </row>
    <row r="4" spans="1:18">
      <c r="C4" s="1">
        <v>43799</v>
      </c>
      <c r="D4" s="1">
        <v>43830</v>
      </c>
      <c r="E4" s="15">
        <v>68.386301244811676</v>
      </c>
      <c r="F4" s="17">
        <f t="shared" si="0"/>
        <v>68386301.244811669</v>
      </c>
      <c r="G4" s="18">
        <f t="shared" si="1"/>
        <v>31</v>
      </c>
      <c r="M4" s="6"/>
      <c r="N4" s="6"/>
      <c r="P4" s="11"/>
    </row>
    <row r="5" spans="1:18">
      <c r="C5" s="1">
        <v>43830</v>
      </c>
      <c r="D5" s="1">
        <v>43861</v>
      </c>
      <c r="E5" s="15">
        <v>90.048520291204269</v>
      </c>
      <c r="F5" s="17">
        <f t="shared" si="0"/>
        <v>90048520.291204274</v>
      </c>
      <c r="G5" s="18">
        <f t="shared" si="1"/>
        <v>31</v>
      </c>
      <c r="M5" s="14"/>
      <c r="N5" s="6"/>
      <c r="P5" s="5"/>
      <c r="R5" s="5"/>
    </row>
    <row r="6" spans="1:18">
      <c r="C6" s="1">
        <v>43861</v>
      </c>
      <c r="D6" s="1">
        <v>43890</v>
      </c>
      <c r="E6" s="15">
        <v>111.7617553971067</v>
      </c>
      <c r="F6" s="17">
        <f t="shared" si="0"/>
        <v>111761755.39710669</v>
      </c>
      <c r="G6" s="18">
        <f t="shared" si="1"/>
        <v>29</v>
      </c>
    </row>
    <row r="7" spans="1:18">
      <c r="C7" s="1">
        <v>43890</v>
      </c>
      <c r="D7" s="1">
        <v>43921</v>
      </c>
      <c r="E7" s="15">
        <v>133.48441998699954</v>
      </c>
      <c r="F7" s="17">
        <f t="shared" si="0"/>
        <v>133484419.98699954</v>
      </c>
      <c r="G7" s="18">
        <f t="shared" si="1"/>
        <v>31</v>
      </c>
    </row>
    <row r="8" spans="1:18">
      <c r="C8" s="1">
        <v>43921</v>
      </c>
      <c r="D8" s="1">
        <v>43951</v>
      </c>
      <c r="E8" s="15">
        <v>159.45191388730055</v>
      </c>
      <c r="F8" s="17">
        <f t="shared" si="0"/>
        <v>159451913.88730055</v>
      </c>
      <c r="G8" s="18">
        <f t="shared" si="1"/>
        <v>30</v>
      </c>
    </row>
    <row r="9" spans="1:18">
      <c r="C9" s="1">
        <v>43951</v>
      </c>
      <c r="D9" s="1">
        <v>43982</v>
      </c>
      <c r="E9" s="15">
        <v>179.2600130002111</v>
      </c>
      <c r="F9" s="17">
        <f t="shared" si="0"/>
        <v>179260013.00021109</v>
      </c>
      <c r="G9" s="18">
        <f t="shared" si="1"/>
        <v>31</v>
      </c>
    </row>
    <row r="10" spans="1:18">
      <c r="C10" s="1">
        <v>43982</v>
      </c>
      <c r="D10" s="1">
        <v>44012</v>
      </c>
      <c r="E10" s="15">
        <v>204.39171756760535</v>
      </c>
      <c r="F10" s="17">
        <f t="shared" si="0"/>
        <v>204391717.56760535</v>
      </c>
      <c r="G10" s="18">
        <f t="shared" si="1"/>
        <v>30</v>
      </c>
    </row>
    <row r="11" spans="1:18">
      <c r="C11" s="1">
        <v>44012</v>
      </c>
      <c r="D11" s="1">
        <v>44043</v>
      </c>
      <c r="E11" s="15">
        <v>227.81189660559107</v>
      </c>
      <c r="F11" s="17">
        <f t="shared" si="0"/>
        <v>227811896.60559106</v>
      </c>
      <c r="G11" s="18">
        <f t="shared" si="1"/>
        <v>31</v>
      </c>
    </row>
    <row r="12" spans="1:18">
      <c r="C12" s="1">
        <v>44043</v>
      </c>
      <c r="D12" s="1">
        <v>44074</v>
      </c>
      <c r="E12" s="15">
        <v>254.13395370030071</v>
      </c>
      <c r="F12" s="17">
        <f t="shared" si="0"/>
        <v>254133953.70030069</v>
      </c>
      <c r="G12" s="18">
        <f t="shared" si="1"/>
        <v>31</v>
      </c>
    </row>
    <row r="13" spans="1:18">
      <c r="C13" s="1">
        <v>44074</v>
      </c>
      <c r="D13" s="1">
        <v>44104</v>
      </c>
      <c r="E13" s="15">
        <v>279.79136450182148</v>
      </c>
      <c r="F13" s="17">
        <f t="shared" si="0"/>
        <v>279791364.50182146</v>
      </c>
      <c r="G13" s="18">
        <f t="shared" si="1"/>
        <v>30</v>
      </c>
    </row>
    <row r="14" spans="1:18">
      <c r="C14" s="1">
        <v>44104</v>
      </c>
      <c r="D14" s="1">
        <v>44135</v>
      </c>
      <c r="E14" s="15">
        <v>303.41184466305663</v>
      </c>
      <c r="F14" s="17">
        <f t="shared" si="0"/>
        <v>303411844.66305661</v>
      </c>
      <c r="G14" s="18">
        <f t="shared" si="1"/>
        <v>31</v>
      </c>
    </row>
    <row r="15" spans="1:18">
      <c r="C15" s="1">
        <v>44135</v>
      </c>
      <c r="D15" s="1">
        <v>44165</v>
      </c>
      <c r="E15" s="15">
        <v>327.13728734339134</v>
      </c>
      <c r="F15" s="17">
        <f t="shared" si="0"/>
        <v>327137287.34339136</v>
      </c>
      <c r="G15" s="18">
        <f t="shared" si="1"/>
        <v>30</v>
      </c>
    </row>
    <row r="16" spans="1:18">
      <c r="C16" s="1">
        <v>44165</v>
      </c>
      <c r="D16" s="1">
        <v>44196</v>
      </c>
      <c r="E16" s="15">
        <v>361.93169077378502</v>
      </c>
      <c r="F16" s="17">
        <f t="shared" si="0"/>
        <v>361931690.773785</v>
      </c>
      <c r="G16" s="18">
        <f t="shared" si="1"/>
        <v>31</v>
      </c>
    </row>
    <row r="17" spans="3:7">
      <c r="C17" s="1">
        <v>44196</v>
      </c>
      <c r="D17" s="1">
        <v>44227</v>
      </c>
      <c r="E17" s="15">
        <v>398.22079309712785</v>
      </c>
      <c r="F17" s="17">
        <f t="shared" si="0"/>
        <v>398220793.09712785</v>
      </c>
      <c r="G17" s="18">
        <f t="shared" si="1"/>
        <v>31</v>
      </c>
    </row>
    <row r="18" spans="3:7">
      <c r="C18" s="1">
        <v>44227</v>
      </c>
      <c r="D18" s="1">
        <v>44255</v>
      </c>
      <c r="E18" s="15">
        <v>429.12167528810886</v>
      </c>
      <c r="F18" s="17">
        <f t="shared" si="0"/>
        <v>429121675.28810889</v>
      </c>
      <c r="G18" s="18">
        <f t="shared" si="1"/>
        <v>28</v>
      </c>
    </row>
    <row r="19" spans="3:7">
      <c r="C19" s="1">
        <v>44255</v>
      </c>
      <c r="D19" s="1">
        <v>44286</v>
      </c>
      <c r="E19" s="15">
        <v>453.6747758861988</v>
      </c>
      <c r="F19" s="17">
        <f t="shared" si="0"/>
        <v>453674775.88619882</v>
      </c>
      <c r="G19" s="18">
        <f t="shared" si="1"/>
        <v>31</v>
      </c>
    </row>
    <row r="20" spans="3:7">
      <c r="C20" s="1">
        <v>44286</v>
      </c>
      <c r="D20" s="1">
        <v>44316</v>
      </c>
      <c r="E20" s="15">
        <v>476.38776049608902</v>
      </c>
      <c r="F20" s="17">
        <f t="shared" si="0"/>
        <v>476387760.49608904</v>
      </c>
      <c r="G20" s="18">
        <f t="shared" si="1"/>
        <v>30</v>
      </c>
    </row>
    <row r="21" spans="3:7">
      <c r="C21" s="1">
        <v>44316</v>
      </c>
      <c r="D21" s="1">
        <v>44347</v>
      </c>
      <c r="E21" s="15">
        <v>495.68311524717569</v>
      </c>
      <c r="F21" s="17">
        <f t="shared" si="0"/>
        <v>495683115.24717569</v>
      </c>
      <c r="G21" s="18">
        <f t="shared" si="1"/>
        <v>31</v>
      </c>
    </row>
    <row r="22" spans="3:7">
      <c r="C22" s="1">
        <v>44347</v>
      </c>
      <c r="D22" s="1">
        <v>44377</v>
      </c>
      <c r="E22" s="15">
        <v>513.41393144686936</v>
      </c>
      <c r="F22" s="17">
        <f t="shared" si="0"/>
        <v>513413931.44686937</v>
      </c>
      <c r="G22" s="18">
        <f t="shared" si="1"/>
        <v>30</v>
      </c>
    </row>
    <row r="23" spans="3:7">
      <c r="C23" s="1">
        <v>44377</v>
      </c>
      <c r="D23" s="1">
        <v>44408</v>
      </c>
      <c r="E23" s="15">
        <v>523.82510157745401</v>
      </c>
      <c r="F23" s="17">
        <f t="shared" si="0"/>
        <v>523825101.57745403</v>
      </c>
      <c r="G23" s="18">
        <f t="shared" si="1"/>
        <v>31</v>
      </c>
    </row>
    <row r="24" spans="3:7">
      <c r="C24" s="1">
        <v>44408</v>
      </c>
      <c r="D24" s="1">
        <v>44439</v>
      </c>
      <c r="E24" s="15">
        <v>534.69342875084669</v>
      </c>
      <c r="F24" s="17">
        <f t="shared" si="0"/>
        <v>534693428.75084668</v>
      </c>
      <c r="G24" s="18">
        <f t="shared" si="1"/>
        <v>31</v>
      </c>
    </row>
    <row r="25" spans="3:7">
      <c r="C25" s="1">
        <v>44439</v>
      </c>
      <c r="D25" s="1">
        <v>44469</v>
      </c>
      <c r="E25" s="15">
        <v>544.89718326347383</v>
      </c>
      <c r="F25" s="17">
        <f t="shared" si="0"/>
        <v>544897183.26347387</v>
      </c>
      <c r="G25" s="18">
        <f t="shared" si="1"/>
        <v>30</v>
      </c>
    </row>
    <row r="26" spans="3:7">
      <c r="C26" s="1">
        <v>44469</v>
      </c>
      <c r="D26" s="1">
        <v>44500</v>
      </c>
      <c r="E26" s="15">
        <v>554.93931131454713</v>
      </c>
      <c r="F26" s="17">
        <f t="shared" si="0"/>
        <v>554939311.31454718</v>
      </c>
      <c r="G26" s="18">
        <f t="shared" si="1"/>
        <v>31</v>
      </c>
    </row>
    <row r="27" spans="3:7">
      <c r="C27" s="1">
        <v>44500</v>
      </c>
      <c r="D27" s="1">
        <v>44530</v>
      </c>
      <c r="E27" s="15">
        <v>564.86237615980406</v>
      </c>
      <c r="F27" s="17">
        <f t="shared" si="0"/>
        <v>564862376.15980411</v>
      </c>
      <c r="G27" s="18">
        <f t="shared" si="1"/>
        <v>30</v>
      </c>
    </row>
    <row r="28" spans="3:7">
      <c r="C28" s="1">
        <v>44530</v>
      </c>
      <c r="D28" s="1">
        <v>44561</v>
      </c>
      <c r="E28" s="15">
        <v>574.81489178148661</v>
      </c>
      <c r="F28" s="17">
        <f t="shared" si="0"/>
        <v>574814891.78148663</v>
      </c>
      <c r="G28" s="18">
        <f t="shared" si="1"/>
        <v>31</v>
      </c>
    </row>
    <row r="29" spans="3:7">
      <c r="C29" s="1">
        <v>44561</v>
      </c>
      <c r="D29" s="1">
        <v>44592</v>
      </c>
      <c r="E29" s="15">
        <v>584.79426249859409</v>
      </c>
      <c r="F29" s="17">
        <f t="shared" si="0"/>
        <v>584794262.49859405</v>
      </c>
      <c r="G29" s="18">
        <f t="shared" si="1"/>
        <v>31</v>
      </c>
    </row>
    <row r="30" spans="3:7">
      <c r="C30" s="1">
        <v>44592</v>
      </c>
      <c r="D30" s="1">
        <v>44620</v>
      </c>
      <c r="E30" s="15">
        <v>593.4490714752784</v>
      </c>
      <c r="F30" s="17">
        <f t="shared" si="0"/>
        <v>593449071.47527838</v>
      </c>
      <c r="G30" s="18">
        <f t="shared" si="1"/>
        <v>28</v>
      </c>
    </row>
    <row r="31" spans="3:7">
      <c r="C31" s="1">
        <v>44620</v>
      </c>
      <c r="D31" s="1">
        <v>44651</v>
      </c>
      <c r="E31" s="15">
        <v>602.04767794338966</v>
      </c>
      <c r="F31" s="17">
        <f t="shared" si="0"/>
        <v>602047677.94338965</v>
      </c>
      <c r="G31" s="18">
        <f t="shared" si="1"/>
        <v>31</v>
      </c>
    </row>
    <row r="32" spans="3:7">
      <c r="C32" s="1">
        <v>44651</v>
      </c>
      <c r="D32" s="1">
        <v>44681</v>
      </c>
      <c r="E32" s="15">
        <v>610.60724364043256</v>
      </c>
      <c r="F32" s="17">
        <f t="shared" si="0"/>
        <v>610607243.6404326</v>
      </c>
      <c r="G32" s="18">
        <f t="shared" si="1"/>
        <v>30</v>
      </c>
    </row>
    <row r="33" spans="3:15">
      <c r="C33" s="1">
        <v>44681</v>
      </c>
      <c r="D33" s="1">
        <v>44712</v>
      </c>
      <c r="E33" s="15">
        <v>619.11380367591642</v>
      </c>
      <c r="F33" s="17">
        <f t="shared" si="0"/>
        <v>619113803.67591643</v>
      </c>
      <c r="G33" s="18">
        <f t="shared" si="1"/>
        <v>31</v>
      </c>
    </row>
    <row r="34" spans="3:15">
      <c r="C34" s="1">
        <v>44712</v>
      </c>
      <c r="D34" s="1">
        <v>44742</v>
      </c>
      <c r="E34" s="15">
        <v>631.46039899807784</v>
      </c>
      <c r="F34" s="17">
        <f t="shared" si="0"/>
        <v>631460398.99807787</v>
      </c>
      <c r="G34" s="18">
        <f t="shared" si="1"/>
        <v>30</v>
      </c>
    </row>
    <row r="35" spans="3:15">
      <c r="C35" s="1">
        <v>44742</v>
      </c>
      <c r="D35" s="1">
        <v>44773</v>
      </c>
      <c r="E35" s="15">
        <v>647.79222170859009</v>
      </c>
      <c r="F35" s="17">
        <f t="shared" si="0"/>
        <v>647792221.70859015</v>
      </c>
      <c r="G35" s="18">
        <f t="shared" si="1"/>
        <v>31</v>
      </c>
      <c r="M35" s="13"/>
      <c r="N35" s="13"/>
      <c r="O35" s="4"/>
    </row>
    <row r="36" spans="3:15">
      <c r="C36" s="1">
        <v>44773</v>
      </c>
      <c r="D36" s="1">
        <v>44804</v>
      </c>
      <c r="E36" s="15">
        <v>662.2276517966169</v>
      </c>
      <c r="F36" s="17">
        <f t="shared" si="0"/>
        <v>662227651.79661691</v>
      </c>
      <c r="G36" s="18">
        <f t="shared" si="1"/>
        <v>31</v>
      </c>
    </row>
    <row r="37" spans="3:15">
      <c r="C37" s="1">
        <v>44804</v>
      </c>
      <c r="D37" s="1">
        <v>44834</v>
      </c>
      <c r="E37" s="15">
        <v>676.42785618484606</v>
      </c>
      <c r="F37" s="17">
        <f t="shared" si="0"/>
        <v>676427856.18484604</v>
      </c>
      <c r="G37" s="18">
        <f t="shared" si="1"/>
        <v>30</v>
      </c>
    </row>
    <row r="38" spans="3:15">
      <c r="C38" s="9">
        <v>44834</v>
      </c>
      <c r="D38" s="9">
        <v>44865</v>
      </c>
      <c r="E38" s="8">
        <v>690.71927956587615</v>
      </c>
      <c r="F38" s="7">
        <f t="shared" si="0"/>
        <v>690719279.56587613</v>
      </c>
      <c r="G38" s="19">
        <f t="shared" si="1"/>
        <v>31</v>
      </c>
    </row>
    <row r="39" spans="3:15">
      <c r="C39" s="1">
        <v>44865</v>
      </c>
      <c r="D39" s="2">
        <v>44957</v>
      </c>
      <c r="E39" s="16">
        <v>561.09598719979124</v>
      </c>
      <c r="F39" s="17">
        <f t="shared" si="0"/>
        <v>561095987.19979119</v>
      </c>
      <c r="G39" s="18">
        <f t="shared" si="1"/>
        <v>92</v>
      </c>
      <c r="L39" s="6"/>
      <c r="O39" s="4"/>
    </row>
    <row r="40" spans="3:15">
      <c r="C40" s="1">
        <v>44957</v>
      </c>
      <c r="D40" s="1">
        <v>45046</v>
      </c>
      <c r="E40" s="15">
        <v>558.35796222337353</v>
      </c>
      <c r="F40" s="17">
        <f t="shared" si="0"/>
        <v>558357962.22337353</v>
      </c>
      <c r="G40" s="18">
        <f t="shared" si="1"/>
        <v>89</v>
      </c>
    </row>
    <row r="41" spans="3:15">
      <c r="C41" s="1">
        <v>45046</v>
      </c>
      <c r="D41" s="1">
        <v>45138</v>
      </c>
      <c r="E41" s="15">
        <v>555.67615906487322</v>
      </c>
      <c r="F41" s="17">
        <f t="shared" si="0"/>
        <v>555676159.06487322</v>
      </c>
      <c r="G41" s="18">
        <f t="shared" si="1"/>
        <v>92</v>
      </c>
    </row>
    <row r="42" spans="3:15">
      <c r="C42" s="1">
        <v>45138</v>
      </c>
      <c r="D42" s="1">
        <v>45230</v>
      </c>
      <c r="E42" s="15">
        <v>552.85831257331643</v>
      </c>
      <c r="F42" s="17">
        <f t="shared" si="0"/>
        <v>552858312.57331645</v>
      </c>
      <c r="G42" s="18">
        <f t="shared" si="1"/>
        <v>92</v>
      </c>
    </row>
    <row r="43" spans="3:15">
      <c r="C43" s="1">
        <v>45230</v>
      </c>
      <c r="D43" s="1">
        <v>45322</v>
      </c>
      <c r="E43" s="15">
        <v>550.01489132666325</v>
      </c>
      <c r="F43" s="17">
        <f t="shared" si="0"/>
        <v>550014891.32666326</v>
      </c>
      <c r="G43" s="18">
        <f t="shared" si="1"/>
        <v>92</v>
      </c>
    </row>
    <row r="44" spans="3:15">
      <c r="C44" s="1">
        <v>45322</v>
      </c>
      <c r="D44" s="1">
        <v>45412</v>
      </c>
      <c r="E44" s="15">
        <v>547.1672113614668</v>
      </c>
      <c r="F44" s="17">
        <f t="shared" si="0"/>
        <v>547167211.36146677</v>
      </c>
      <c r="G44" s="18">
        <f t="shared" si="1"/>
        <v>90</v>
      </c>
    </row>
    <row r="45" spans="3:15">
      <c r="C45" s="1">
        <v>45412</v>
      </c>
      <c r="D45" s="1">
        <v>45504</v>
      </c>
      <c r="E45" s="15">
        <v>544.34665477629221</v>
      </c>
      <c r="F45" s="17">
        <f t="shared" si="0"/>
        <v>544346654.7762922</v>
      </c>
      <c r="G45" s="18">
        <f t="shared" si="1"/>
        <v>92</v>
      </c>
    </row>
    <row r="46" spans="3:15">
      <c r="C46" s="1">
        <v>45504</v>
      </c>
      <c r="D46" s="1">
        <v>45596</v>
      </c>
      <c r="E46" s="15">
        <v>541.41629731738203</v>
      </c>
      <c r="F46" s="17">
        <f t="shared" si="0"/>
        <v>541416297.31738198</v>
      </c>
      <c r="G46" s="18">
        <f t="shared" si="1"/>
        <v>92</v>
      </c>
    </row>
    <row r="47" spans="3:15">
      <c r="C47" s="1">
        <v>45596</v>
      </c>
      <c r="D47" s="1">
        <v>45688</v>
      </c>
      <c r="E47" s="15">
        <v>538.45933268675856</v>
      </c>
      <c r="F47" s="17">
        <f t="shared" si="0"/>
        <v>538459332.68675852</v>
      </c>
      <c r="G47" s="18">
        <f t="shared" si="1"/>
        <v>92</v>
      </c>
    </row>
    <row r="48" spans="3:15">
      <c r="C48" s="1">
        <v>45688</v>
      </c>
      <c r="D48" s="1">
        <v>45777</v>
      </c>
      <c r="E48" s="15">
        <v>535.42558768124695</v>
      </c>
      <c r="F48" s="17">
        <f t="shared" si="0"/>
        <v>535425587.68124694</v>
      </c>
      <c r="G48" s="18">
        <f t="shared" si="1"/>
        <v>89</v>
      </c>
    </row>
    <row r="49" spans="3:7">
      <c r="C49" s="1">
        <v>45777</v>
      </c>
      <c r="D49" s="1">
        <v>45869</v>
      </c>
      <c r="E49" s="15">
        <v>532.45403455495648</v>
      </c>
      <c r="F49" s="17">
        <f t="shared" si="0"/>
        <v>532454034.5549565</v>
      </c>
      <c r="G49" s="18">
        <f t="shared" si="1"/>
        <v>92</v>
      </c>
    </row>
    <row r="50" spans="3:7">
      <c r="C50" s="10">
        <v>45869</v>
      </c>
      <c r="D50" s="10">
        <v>45961</v>
      </c>
      <c r="E50" s="12">
        <v>529.33384710165672</v>
      </c>
      <c r="F50" s="17">
        <f t="shared" si="0"/>
        <v>529333847.10165673</v>
      </c>
      <c r="G50" s="18">
        <f t="shared" si="1"/>
        <v>92</v>
      </c>
    </row>
    <row r="51" spans="3:7">
      <c r="C51" s="1">
        <v>45961</v>
      </c>
      <c r="D51" s="1">
        <v>46053</v>
      </c>
      <c r="E51" s="15">
        <v>0</v>
      </c>
      <c r="F51" s="17">
        <f t="shared" si="0"/>
        <v>0</v>
      </c>
    </row>
    <row r="52" spans="3:7">
      <c r="C52" s="1">
        <v>46053</v>
      </c>
      <c r="D52" s="1">
        <v>46142</v>
      </c>
      <c r="E52" s="15">
        <v>0</v>
      </c>
      <c r="F52" s="17">
        <f t="shared" si="0"/>
        <v>0</v>
      </c>
    </row>
    <row r="53" spans="3:7">
      <c r="C53" s="1">
        <v>46142</v>
      </c>
      <c r="D53" s="1">
        <v>46234</v>
      </c>
      <c r="E53" s="15">
        <v>0</v>
      </c>
      <c r="F53" s="17">
        <f t="shared" si="0"/>
        <v>0</v>
      </c>
    </row>
    <row r="54" spans="3:7">
      <c r="C54" s="1">
        <v>46234</v>
      </c>
      <c r="D54" s="1">
        <v>46326</v>
      </c>
      <c r="E54" s="15">
        <v>0</v>
      </c>
      <c r="F54" s="17">
        <f t="shared" si="0"/>
        <v>0</v>
      </c>
    </row>
    <row r="55" spans="3:7">
      <c r="C55" s="1">
        <v>46326</v>
      </c>
      <c r="D55" s="1">
        <v>46418</v>
      </c>
      <c r="E55" s="15">
        <v>0</v>
      </c>
      <c r="F55" s="17">
        <f t="shared" si="0"/>
        <v>0</v>
      </c>
    </row>
    <row r="56" spans="3:7">
      <c r="C56" s="1">
        <v>46418</v>
      </c>
      <c r="D56" s="1">
        <v>46507</v>
      </c>
      <c r="E56" s="15">
        <v>0</v>
      </c>
      <c r="F56" s="17">
        <f t="shared" si="0"/>
        <v>0</v>
      </c>
    </row>
    <row r="57" spans="3:7">
      <c r="C57" s="1">
        <v>46507</v>
      </c>
      <c r="D57" s="1">
        <v>46599</v>
      </c>
      <c r="E57" s="15">
        <v>0</v>
      </c>
      <c r="F57" s="17">
        <f t="shared" si="0"/>
        <v>0</v>
      </c>
    </row>
    <row r="58" spans="3:7">
      <c r="C58" s="1">
        <v>46599</v>
      </c>
      <c r="D58" s="1">
        <v>46691</v>
      </c>
      <c r="E58" s="15">
        <v>0</v>
      </c>
      <c r="F58" s="17">
        <f t="shared" si="0"/>
        <v>0</v>
      </c>
    </row>
    <row r="59" spans="3:7">
      <c r="C59" s="1">
        <v>46691</v>
      </c>
      <c r="D59" s="1">
        <v>46783</v>
      </c>
      <c r="E59" s="15">
        <v>0</v>
      </c>
      <c r="F59" s="17">
        <f t="shared" si="0"/>
        <v>0</v>
      </c>
    </row>
    <row r="60" spans="3:7">
      <c r="C60" s="1">
        <v>46783</v>
      </c>
      <c r="D60" s="1">
        <v>46873</v>
      </c>
      <c r="E60" s="15">
        <v>0</v>
      </c>
      <c r="F60" s="17">
        <f t="shared" si="0"/>
        <v>0</v>
      </c>
    </row>
    <row r="61" spans="3:7">
      <c r="C61" s="1">
        <v>46873</v>
      </c>
      <c r="D61" s="1">
        <v>46965</v>
      </c>
      <c r="E61" s="15">
        <v>0</v>
      </c>
      <c r="F61" s="17">
        <f t="shared" si="0"/>
        <v>0</v>
      </c>
    </row>
    <row r="62" spans="3:7">
      <c r="C62" s="1">
        <v>46965</v>
      </c>
      <c r="D62" s="1">
        <v>47057</v>
      </c>
      <c r="E62" s="15">
        <v>0</v>
      </c>
      <c r="F62" s="17">
        <f t="shared" si="0"/>
        <v>0</v>
      </c>
    </row>
    <row r="63" spans="3:7">
      <c r="C63" s="1">
        <v>47057</v>
      </c>
      <c r="D63" s="1">
        <v>47149</v>
      </c>
      <c r="E63" s="15">
        <v>0</v>
      </c>
      <c r="F63" s="17">
        <f t="shared" si="0"/>
        <v>0</v>
      </c>
    </row>
    <row r="64" spans="3:7">
      <c r="C64" s="1">
        <v>47149</v>
      </c>
      <c r="D64" s="1">
        <v>47238</v>
      </c>
      <c r="E64" s="15">
        <v>0</v>
      </c>
      <c r="F64" s="17">
        <f t="shared" si="0"/>
        <v>0</v>
      </c>
    </row>
    <row r="65" spans="3:6">
      <c r="C65" s="1">
        <v>47238</v>
      </c>
      <c r="D65" s="1">
        <v>47330</v>
      </c>
      <c r="E65" s="15">
        <v>0</v>
      </c>
      <c r="F65" s="17">
        <f t="shared" si="0"/>
        <v>0</v>
      </c>
    </row>
    <row r="66" spans="3:6">
      <c r="C66" s="1">
        <v>47330</v>
      </c>
      <c r="D66" s="1">
        <v>47422</v>
      </c>
      <c r="E66" s="15">
        <v>0</v>
      </c>
      <c r="F66" s="17">
        <f t="shared" si="0"/>
        <v>0</v>
      </c>
    </row>
    <row r="67" spans="3:6">
      <c r="C67" s="1">
        <v>47422</v>
      </c>
      <c r="D67" s="1">
        <v>47514</v>
      </c>
      <c r="E67" s="15">
        <v>0</v>
      </c>
      <c r="F67" s="17">
        <f t="shared" ref="F67:F130" si="2">E67*$A$1</f>
        <v>0</v>
      </c>
    </row>
    <row r="68" spans="3:6">
      <c r="C68" s="1">
        <v>47514</v>
      </c>
      <c r="D68" s="1">
        <v>47603</v>
      </c>
      <c r="E68" s="15">
        <v>0</v>
      </c>
      <c r="F68" s="17">
        <f t="shared" si="2"/>
        <v>0</v>
      </c>
    </row>
    <row r="69" spans="3:6">
      <c r="C69" s="1">
        <v>47603</v>
      </c>
      <c r="D69" s="1">
        <v>47695</v>
      </c>
      <c r="E69" s="15">
        <v>0</v>
      </c>
      <c r="F69" s="17">
        <f t="shared" si="2"/>
        <v>0</v>
      </c>
    </row>
    <row r="70" spans="3:6">
      <c r="C70" s="1">
        <v>47695</v>
      </c>
      <c r="D70" s="1">
        <v>47787</v>
      </c>
      <c r="E70" s="15">
        <v>0</v>
      </c>
      <c r="F70" s="17">
        <f t="shared" si="2"/>
        <v>0</v>
      </c>
    </row>
    <row r="71" spans="3:6">
      <c r="C71" s="1">
        <v>47787</v>
      </c>
      <c r="D71" s="1">
        <v>47879</v>
      </c>
      <c r="E71" s="15">
        <v>0</v>
      </c>
      <c r="F71" s="17">
        <f t="shared" si="2"/>
        <v>0</v>
      </c>
    </row>
    <row r="72" spans="3:6">
      <c r="C72" s="1">
        <v>47879</v>
      </c>
      <c r="D72" s="1">
        <v>47968</v>
      </c>
      <c r="E72" s="15">
        <v>0</v>
      </c>
      <c r="F72" s="17">
        <f t="shared" si="2"/>
        <v>0</v>
      </c>
    </row>
    <row r="73" spans="3:6">
      <c r="C73" s="1">
        <v>47968</v>
      </c>
      <c r="D73" s="1">
        <v>48060</v>
      </c>
      <c r="E73" s="15">
        <v>0</v>
      </c>
      <c r="F73" s="17">
        <f t="shared" si="2"/>
        <v>0</v>
      </c>
    </row>
    <row r="74" spans="3:6">
      <c r="C74" s="1">
        <v>48060</v>
      </c>
      <c r="D74" s="1">
        <v>48152</v>
      </c>
      <c r="E74" s="15">
        <v>0</v>
      </c>
      <c r="F74" s="17">
        <f t="shared" si="2"/>
        <v>0</v>
      </c>
    </row>
    <row r="75" spans="3:6">
      <c r="C75" s="1">
        <v>48152</v>
      </c>
      <c r="D75" s="1">
        <v>48244</v>
      </c>
      <c r="E75" s="15">
        <v>0</v>
      </c>
      <c r="F75" s="17">
        <f t="shared" si="2"/>
        <v>0</v>
      </c>
    </row>
    <row r="76" spans="3:6">
      <c r="C76" s="1">
        <v>48244</v>
      </c>
      <c r="D76" s="1">
        <v>48334</v>
      </c>
      <c r="E76" s="15">
        <v>0</v>
      </c>
      <c r="F76" s="17">
        <f t="shared" si="2"/>
        <v>0</v>
      </c>
    </row>
    <row r="77" spans="3:6">
      <c r="C77" s="1">
        <v>48334</v>
      </c>
      <c r="D77" s="1">
        <v>48426</v>
      </c>
      <c r="E77" s="15">
        <v>0</v>
      </c>
      <c r="F77" s="17">
        <f t="shared" si="2"/>
        <v>0</v>
      </c>
    </row>
    <row r="78" spans="3:6">
      <c r="C78" s="1">
        <v>48426</v>
      </c>
      <c r="D78" s="1">
        <v>48518</v>
      </c>
      <c r="E78" s="15">
        <v>0</v>
      </c>
      <c r="F78" s="17">
        <f t="shared" si="2"/>
        <v>0</v>
      </c>
    </row>
    <row r="79" spans="3:6">
      <c r="C79" s="1">
        <v>48518</v>
      </c>
      <c r="D79" s="1">
        <v>48610</v>
      </c>
      <c r="E79" s="15">
        <v>0</v>
      </c>
      <c r="F79" s="17">
        <f t="shared" si="2"/>
        <v>0</v>
      </c>
    </row>
    <row r="80" spans="3:6">
      <c r="C80" s="1">
        <v>48610</v>
      </c>
      <c r="D80" s="1">
        <v>48699</v>
      </c>
      <c r="E80" s="15">
        <v>0</v>
      </c>
      <c r="F80" s="17">
        <f t="shared" si="2"/>
        <v>0</v>
      </c>
    </row>
    <row r="81" spans="3:6">
      <c r="C81" s="1">
        <v>48699</v>
      </c>
      <c r="D81" s="1">
        <v>48791</v>
      </c>
      <c r="E81" s="15">
        <v>0</v>
      </c>
      <c r="F81" s="17">
        <f t="shared" si="2"/>
        <v>0</v>
      </c>
    </row>
    <row r="82" spans="3:6">
      <c r="C82" s="1">
        <v>48791</v>
      </c>
      <c r="D82" s="1">
        <v>48883</v>
      </c>
      <c r="E82" s="15">
        <v>0</v>
      </c>
      <c r="F82" s="17">
        <f t="shared" si="2"/>
        <v>0</v>
      </c>
    </row>
    <row r="83" spans="3:6">
      <c r="C83" s="1">
        <v>48883</v>
      </c>
      <c r="D83" s="1">
        <v>48975</v>
      </c>
      <c r="E83" s="15">
        <v>0</v>
      </c>
      <c r="F83" s="17">
        <f t="shared" si="2"/>
        <v>0</v>
      </c>
    </row>
    <row r="84" spans="3:6">
      <c r="C84" s="1">
        <v>48975</v>
      </c>
      <c r="D84" s="1">
        <v>49064</v>
      </c>
      <c r="E84" s="15">
        <v>0</v>
      </c>
      <c r="F84" s="17">
        <f t="shared" si="2"/>
        <v>0</v>
      </c>
    </row>
    <row r="85" spans="3:6">
      <c r="C85" s="1">
        <v>49064</v>
      </c>
      <c r="D85" s="1">
        <v>49156</v>
      </c>
      <c r="E85" s="15">
        <v>0</v>
      </c>
      <c r="F85" s="17">
        <f t="shared" si="2"/>
        <v>0</v>
      </c>
    </row>
    <row r="86" spans="3:6">
      <c r="C86" s="1">
        <v>49156</v>
      </c>
      <c r="D86" s="1">
        <v>49248</v>
      </c>
      <c r="E86" s="15">
        <v>0</v>
      </c>
      <c r="F86" s="17">
        <f t="shared" si="2"/>
        <v>0</v>
      </c>
    </row>
    <row r="87" spans="3:6">
      <c r="C87" s="1">
        <v>49248</v>
      </c>
      <c r="D87" s="1">
        <v>49340</v>
      </c>
      <c r="E87" s="15">
        <v>0</v>
      </c>
      <c r="F87" s="17">
        <f t="shared" si="2"/>
        <v>0</v>
      </c>
    </row>
    <row r="88" spans="3:6">
      <c r="C88" s="1">
        <v>49340</v>
      </c>
      <c r="D88" s="1">
        <v>49429</v>
      </c>
      <c r="E88" s="15">
        <v>0</v>
      </c>
      <c r="F88" s="17">
        <f t="shared" si="2"/>
        <v>0</v>
      </c>
    </row>
    <row r="89" spans="3:6">
      <c r="C89" s="1">
        <v>49429</v>
      </c>
      <c r="D89" s="1">
        <v>49521</v>
      </c>
      <c r="E89" s="15">
        <v>0</v>
      </c>
      <c r="F89" s="17">
        <f t="shared" si="2"/>
        <v>0</v>
      </c>
    </row>
    <row r="90" spans="3:6">
      <c r="C90" s="1">
        <v>49521</v>
      </c>
      <c r="D90" s="1">
        <v>49613</v>
      </c>
      <c r="E90" s="15">
        <v>0</v>
      </c>
      <c r="F90" s="17">
        <f t="shared" si="2"/>
        <v>0</v>
      </c>
    </row>
    <row r="91" spans="3:6">
      <c r="C91" s="1">
        <v>49613</v>
      </c>
      <c r="D91" s="1">
        <v>49705</v>
      </c>
      <c r="E91" s="15">
        <v>0</v>
      </c>
      <c r="F91" s="17">
        <f t="shared" si="2"/>
        <v>0</v>
      </c>
    </row>
    <row r="92" spans="3:6">
      <c r="C92" s="1">
        <v>49705</v>
      </c>
      <c r="D92" s="1">
        <v>49795</v>
      </c>
      <c r="E92" s="15">
        <v>0</v>
      </c>
      <c r="F92" s="17">
        <f t="shared" si="2"/>
        <v>0</v>
      </c>
    </row>
    <row r="93" spans="3:6">
      <c r="C93" s="1">
        <v>49795</v>
      </c>
      <c r="D93" s="1">
        <v>49887</v>
      </c>
      <c r="E93" s="15">
        <v>0</v>
      </c>
      <c r="F93" s="17">
        <f t="shared" si="2"/>
        <v>0</v>
      </c>
    </row>
    <row r="94" spans="3:6">
      <c r="C94" s="1">
        <v>49887</v>
      </c>
      <c r="D94" s="1">
        <v>49979</v>
      </c>
      <c r="E94" s="15">
        <v>0</v>
      </c>
      <c r="F94" s="17">
        <f t="shared" si="2"/>
        <v>0</v>
      </c>
    </row>
    <row r="95" spans="3:6">
      <c r="C95" s="1">
        <v>49979</v>
      </c>
      <c r="D95" s="1">
        <v>50071</v>
      </c>
      <c r="E95" s="15">
        <v>0</v>
      </c>
      <c r="F95" s="17">
        <f t="shared" si="2"/>
        <v>0</v>
      </c>
    </row>
    <row r="96" spans="3:6">
      <c r="C96" s="1">
        <v>50071</v>
      </c>
      <c r="D96" s="1">
        <v>50160</v>
      </c>
      <c r="E96" s="15">
        <v>0</v>
      </c>
      <c r="F96" s="17">
        <f t="shared" si="2"/>
        <v>0</v>
      </c>
    </row>
    <row r="97" spans="3:6">
      <c r="C97" s="1">
        <v>50160</v>
      </c>
      <c r="D97" s="1">
        <v>50252</v>
      </c>
      <c r="E97" s="15">
        <v>0</v>
      </c>
      <c r="F97" s="17">
        <f t="shared" si="2"/>
        <v>0</v>
      </c>
    </row>
    <row r="98" spans="3:6">
      <c r="C98" s="1">
        <v>50252</v>
      </c>
      <c r="D98" s="1">
        <v>50344</v>
      </c>
      <c r="E98" s="15">
        <v>0</v>
      </c>
      <c r="F98" s="17">
        <f t="shared" si="2"/>
        <v>0</v>
      </c>
    </row>
    <row r="99" spans="3:6">
      <c r="C99" s="1">
        <v>50344</v>
      </c>
      <c r="D99" s="1">
        <v>50436</v>
      </c>
      <c r="E99" s="15">
        <v>0</v>
      </c>
      <c r="F99" s="17">
        <f t="shared" si="2"/>
        <v>0</v>
      </c>
    </row>
    <row r="100" spans="3:6">
      <c r="C100" s="1">
        <v>50436</v>
      </c>
      <c r="D100" s="1">
        <v>50525</v>
      </c>
      <c r="E100" s="15">
        <v>0</v>
      </c>
      <c r="F100" s="17">
        <f t="shared" si="2"/>
        <v>0</v>
      </c>
    </row>
    <row r="101" spans="3:6">
      <c r="C101" s="1">
        <v>50525</v>
      </c>
      <c r="D101" s="1">
        <v>50617</v>
      </c>
      <c r="E101" s="15">
        <v>0</v>
      </c>
      <c r="F101" s="17">
        <f t="shared" si="2"/>
        <v>0</v>
      </c>
    </row>
    <row r="102" spans="3:6">
      <c r="C102" s="1">
        <v>50617</v>
      </c>
      <c r="D102" s="1">
        <v>50709</v>
      </c>
      <c r="E102" s="15">
        <v>0</v>
      </c>
      <c r="F102" s="17">
        <f t="shared" si="2"/>
        <v>0</v>
      </c>
    </row>
    <row r="103" spans="3:6">
      <c r="C103" s="1">
        <v>50709</v>
      </c>
      <c r="D103" s="1">
        <v>50801</v>
      </c>
      <c r="E103" s="15">
        <v>0</v>
      </c>
      <c r="F103" s="17">
        <f t="shared" si="2"/>
        <v>0</v>
      </c>
    </row>
    <row r="104" spans="3:6">
      <c r="C104" s="1">
        <v>50801</v>
      </c>
      <c r="D104" s="1">
        <v>50890</v>
      </c>
      <c r="E104" s="15">
        <v>0</v>
      </c>
      <c r="F104" s="17">
        <f t="shared" si="2"/>
        <v>0</v>
      </c>
    </row>
    <row r="105" spans="3:6">
      <c r="C105" s="1">
        <v>50890</v>
      </c>
      <c r="D105" s="1">
        <v>50982</v>
      </c>
      <c r="E105" s="15">
        <v>0</v>
      </c>
      <c r="F105" s="17">
        <f t="shared" si="2"/>
        <v>0</v>
      </c>
    </row>
    <row r="106" spans="3:6">
      <c r="C106" s="1">
        <v>50982</v>
      </c>
      <c r="D106" s="1">
        <v>51074</v>
      </c>
      <c r="E106" s="15">
        <v>0</v>
      </c>
      <c r="F106" s="17">
        <f t="shared" si="2"/>
        <v>0</v>
      </c>
    </row>
    <row r="107" spans="3:6">
      <c r="C107" s="1">
        <v>51074</v>
      </c>
      <c r="D107" s="1">
        <v>51166</v>
      </c>
      <c r="E107" s="15">
        <v>0</v>
      </c>
      <c r="F107" s="17">
        <f t="shared" si="2"/>
        <v>0</v>
      </c>
    </row>
    <row r="108" spans="3:6">
      <c r="C108" s="1">
        <v>51166</v>
      </c>
      <c r="D108" s="1">
        <v>51256</v>
      </c>
      <c r="E108" s="15">
        <v>0</v>
      </c>
      <c r="F108" s="17">
        <f t="shared" si="2"/>
        <v>0</v>
      </c>
    </row>
    <row r="109" spans="3:6">
      <c r="C109" s="1">
        <v>51256</v>
      </c>
      <c r="D109" s="1">
        <v>51348</v>
      </c>
      <c r="E109" s="15">
        <v>0</v>
      </c>
      <c r="F109" s="17">
        <f t="shared" si="2"/>
        <v>0</v>
      </c>
    </row>
    <row r="110" spans="3:6">
      <c r="C110" s="1">
        <v>51348</v>
      </c>
      <c r="D110" s="1">
        <v>51440</v>
      </c>
      <c r="E110" s="15">
        <v>0</v>
      </c>
      <c r="F110" s="17">
        <f t="shared" si="2"/>
        <v>0</v>
      </c>
    </row>
    <row r="111" spans="3:6">
      <c r="C111" s="1">
        <v>51440</v>
      </c>
      <c r="D111" s="1">
        <v>51532</v>
      </c>
      <c r="E111" s="15">
        <v>0</v>
      </c>
      <c r="F111" s="17">
        <f t="shared" si="2"/>
        <v>0</v>
      </c>
    </row>
    <row r="112" spans="3:6">
      <c r="C112" s="1">
        <v>51532</v>
      </c>
      <c r="D112" s="1">
        <v>51621</v>
      </c>
      <c r="E112" s="15">
        <v>0</v>
      </c>
      <c r="F112" s="17">
        <f t="shared" si="2"/>
        <v>0</v>
      </c>
    </row>
    <row r="113" spans="3:6">
      <c r="C113" s="1">
        <v>51621</v>
      </c>
      <c r="D113" s="1">
        <v>51713</v>
      </c>
      <c r="E113" s="15">
        <v>0</v>
      </c>
      <c r="F113" s="17">
        <f t="shared" si="2"/>
        <v>0</v>
      </c>
    </row>
    <row r="114" spans="3:6">
      <c r="C114" s="1">
        <v>51713</v>
      </c>
      <c r="D114" s="1">
        <v>51805</v>
      </c>
      <c r="E114" s="15">
        <v>0</v>
      </c>
      <c r="F114" s="17">
        <f t="shared" si="2"/>
        <v>0</v>
      </c>
    </row>
    <row r="115" spans="3:6">
      <c r="C115" s="1">
        <v>51805</v>
      </c>
      <c r="D115" s="1">
        <v>51897</v>
      </c>
      <c r="E115" s="15">
        <v>0</v>
      </c>
      <c r="F115" s="17">
        <f t="shared" si="2"/>
        <v>0</v>
      </c>
    </row>
    <row r="116" spans="3:6">
      <c r="C116" s="1">
        <v>51897</v>
      </c>
      <c r="D116" s="1">
        <v>51986</v>
      </c>
      <c r="E116" s="15">
        <v>0</v>
      </c>
      <c r="F116" s="17">
        <f t="shared" si="2"/>
        <v>0</v>
      </c>
    </row>
    <row r="117" spans="3:6">
      <c r="C117" s="1">
        <v>51986</v>
      </c>
      <c r="D117" s="1">
        <v>52078</v>
      </c>
      <c r="E117" s="15">
        <v>0</v>
      </c>
      <c r="F117" s="17">
        <f t="shared" si="2"/>
        <v>0</v>
      </c>
    </row>
    <row r="118" spans="3:6">
      <c r="C118" s="1">
        <v>52078</v>
      </c>
      <c r="D118" s="1">
        <v>52170</v>
      </c>
      <c r="E118" s="15">
        <v>0</v>
      </c>
      <c r="F118" s="17">
        <f t="shared" si="2"/>
        <v>0</v>
      </c>
    </row>
    <row r="119" spans="3:6">
      <c r="C119" s="1">
        <v>52170</v>
      </c>
      <c r="D119" s="1">
        <v>52262</v>
      </c>
      <c r="E119" s="15">
        <v>0</v>
      </c>
      <c r="F119" s="17">
        <f t="shared" si="2"/>
        <v>0</v>
      </c>
    </row>
    <row r="120" spans="3:6">
      <c r="C120" s="1">
        <v>52262</v>
      </c>
      <c r="D120" s="1">
        <v>52351</v>
      </c>
      <c r="E120" s="15">
        <v>0</v>
      </c>
      <c r="F120" s="17">
        <f t="shared" si="2"/>
        <v>0</v>
      </c>
    </row>
    <row r="121" spans="3:6">
      <c r="C121" s="1">
        <v>52351</v>
      </c>
      <c r="D121" s="1">
        <v>52443</v>
      </c>
      <c r="E121" s="15">
        <v>0</v>
      </c>
      <c r="F121" s="17">
        <f t="shared" si="2"/>
        <v>0</v>
      </c>
    </row>
    <row r="122" spans="3:6">
      <c r="C122" s="1">
        <v>52443</v>
      </c>
      <c r="D122" s="1">
        <v>52535</v>
      </c>
      <c r="E122" s="15">
        <v>0</v>
      </c>
      <c r="F122" s="17">
        <f t="shared" si="2"/>
        <v>0</v>
      </c>
    </row>
    <row r="123" spans="3:6">
      <c r="C123" s="1">
        <v>52535</v>
      </c>
      <c r="D123" s="1">
        <v>52627</v>
      </c>
      <c r="E123" s="15">
        <v>0</v>
      </c>
      <c r="F123" s="17">
        <f t="shared" si="2"/>
        <v>0</v>
      </c>
    </row>
    <row r="124" spans="3:6">
      <c r="C124" s="1">
        <v>52627</v>
      </c>
      <c r="D124" s="1">
        <v>52717</v>
      </c>
      <c r="E124" s="15">
        <v>0</v>
      </c>
      <c r="F124" s="17">
        <f t="shared" si="2"/>
        <v>0</v>
      </c>
    </row>
    <row r="125" spans="3:6">
      <c r="C125" s="1">
        <v>52717</v>
      </c>
      <c r="D125" s="1">
        <v>52809</v>
      </c>
      <c r="E125" s="15">
        <v>0</v>
      </c>
      <c r="F125" s="17">
        <f t="shared" si="2"/>
        <v>0</v>
      </c>
    </row>
    <row r="126" spans="3:6">
      <c r="C126" s="1">
        <v>52809</v>
      </c>
      <c r="D126" s="1">
        <v>52901</v>
      </c>
      <c r="E126" s="15">
        <v>0</v>
      </c>
      <c r="F126" s="17">
        <f t="shared" si="2"/>
        <v>0</v>
      </c>
    </row>
    <row r="127" spans="3:6">
      <c r="C127" s="1">
        <v>52901</v>
      </c>
      <c r="D127" s="1">
        <v>52993</v>
      </c>
      <c r="E127" s="15">
        <v>0</v>
      </c>
      <c r="F127" s="17">
        <f t="shared" si="2"/>
        <v>0</v>
      </c>
    </row>
    <row r="128" spans="3:6">
      <c r="C128" s="1">
        <v>52993</v>
      </c>
      <c r="D128" s="1">
        <v>53082</v>
      </c>
      <c r="E128" s="15">
        <v>0</v>
      </c>
      <c r="F128" s="17">
        <f t="shared" si="2"/>
        <v>0</v>
      </c>
    </row>
    <row r="129" spans="3:6">
      <c r="C129" s="1">
        <v>53082</v>
      </c>
      <c r="D129" s="1">
        <v>53174</v>
      </c>
      <c r="E129" s="15">
        <v>0</v>
      </c>
      <c r="F129" s="17">
        <f t="shared" si="2"/>
        <v>0</v>
      </c>
    </row>
    <row r="130" spans="3:6">
      <c r="C130" s="1">
        <v>53174</v>
      </c>
      <c r="D130" s="1">
        <v>53266</v>
      </c>
      <c r="E130" s="15">
        <v>0</v>
      </c>
      <c r="F130" s="17">
        <f t="shared" si="2"/>
        <v>0</v>
      </c>
    </row>
    <row r="131" spans="3:6">
      <c r="C131" s="1">
        <v>53266</v>
      </c>
      <c r="D131" s="1">
        <v>53358</v>
      </c>
      <c r="E131" s="15">
        <v>0</v>
      </c>
      <c r="F131" s="17">
        <f t="shared" ref="F131:F161" si="3">E131*$A$1</f>
        <v>0</v>
      </c>
    </row>
    <row r="132" spans="3:6">
      <c r="C132" s="1">
        <v>53358</v>
      </c>
      <c r="D132" s="1">
        <v>53447</v>
      </c>
      <c r="E132" s="15">
        <v>0</v>
      </c>
      <c r="F132" s="17">
        <f t="shared" si="3"/>
        <v>0</v>
      </c>
    </row>
    <row r="133" spans="3:6">
      <c r="C133" s="1">
        <v>53447</v>
      </c>
      <c r="D133" s="1">
        <v>53539</v>
      </c>
      <c r="E133" s="15">
        <v>0</v>
      </c>
      <c r="F133" s="17">
        <f t="shared" si="3"/>
        <v>0</v>
      </c>
    </row>
    <row r="134" spans="3:6">
      <c r="C134" s="1">
        <v>53539</v>
      </c>
      <c r="D134" s="1">
        <v>53631</v>
      </c>
      <c r="E134" s="15">
        <v>0</v>
      </c>
      <c r="F134" s="17">
        <f t="shared" si="3"/>
        <v>0</v>
      </c>
    </row>
    <row r="135" spans="3:6">
      <c r="C135" s="1">
        <v>53631</v>
      </c>
      <c r="D135" s="1">
        <v>53723</v>
      </c>
      <c r="E135" s="15">
        <v>0</v>
      </c>
      <c r="F135" s="17">
        <f t="shared" si="3"/>
        <v>0</v>
      </c>
    </row>
    <row r="136" spans="3:6">
      <c r="C136" s="1">
        <v>53723</v>
      </c>
      <c r="D136" s="1">
        <v>53812</v>
      </c>
      <c r="E136" s="15">
        <v>0</v>
      </c>
      <c r="F136" s="17">
        <f t="shared" si="3"/>
        <v>0</v>
      </c>
    </row>
    <row r="137" spans="3:6">
      <c r="C137" s="1">
        <v>53812</v>
      </c>
      <c r="D137" s="1">
        <v>53904</v>
      </c>
      <c r="E137" s="15">
        <v>0</v>
      </c>
      <c r="F137" s="17">
        <f t="shared" si="3"/>
        <v>0</v>
      </c>
    </row>
    <row r="138" spans="3:6">
      <c r="C138" s="1">
        <v>53904</v>
      </c>
      <c r="D138" s="1">
        <v>53996</v>
      </c>
      <c r="E138" s="15">
        <v>0</v>
      </c>
      <c r="F138" s="17">
        <f t="shared" si="3"/>
        <v>0</v>
      </c>
    </row>
    <row r="139" spans="3:6">
      <c r="C139" s="1">
        <v>53996</v>
      </c>
      <c r="D139" s="1">
        <v>54088</v>
      </c>
      <c r="E139" s="15">
        <v>0</v>
      </c>
      <c r="F139" s="17">
        <f t="shared" si="3"/>
        <v>0</v>
      </c>
    </row>
    <row r="140" spans="3:6">
      <c r="C140" s="1">
        <v>54088</v>
      </c>
      <c r="D140" s="1">
        <v>54178</v>
      </c>
      <c r="E140" s="15">
        <v>0</v>
      </c>
      <c r="F140" s="17">
        <f t="shared" si="3"/>
        <v>0</v>
      </c>
    </row>
    <row r="141" spans="3:6">
      <c r="C141" s="1">
        <v>54178</v>
      </c>
      <c r="D141" s="1">
        <v>54270</v>
      </c>
      <c r="E141" s="15">
        <v>0</v>
      </c>
      <c r="F141" s="17">
        <f t="shared" si="3"/>
        <v>0</v>
      </c>
    </row>
    <row r="142" spans="3:6">
      <c r="C142" s="1">
        <v>54270</v>
      </c>
      <c r="D142" s="1">
        <v>54362</v>
      </c>
      <c r="E142" s="15">
        <v>0</v>
      </c>
      <c r="F142" s="17">
        <f t="shared" si="3"/>
        <v>0</v>
      </c>
    </row>
    <row r="143" spans="3:6">
      <c r="C143" s="1">
        <v>54362</v>
      </c>
      <c r="D143" s="1">
        <v>54454</v>
      </c>
      <c r="E143" s="15">
        <v>0</v>
      </c>
      <c r="F143" s="17">
        <f t="shared" si="3"/>
        <v>0</v>
      </c>
    </row>
    <row r="144" spans="3:6">
      <c r="C144" s="1">
        <v>54454</v>
      </c>
      <c r="D144" s="1">
        <v>54543</v>
      </c>
      <c r="E144" s="15">
        <v>0</v>
      </c>
      <c r="F144" s="17">
        <f t="shared" si="3"/>
        <v>0</v>
      </c>
    </row>
    <row r="145" spans="3:6">
      <c r="C145" s="1">
        <v>54543</v>
      </c>
      <c r="D145" s="1">
        <v>54635</v>
      </c>
      <c r="E145" s="15">
        <v>0</v>
      </c>
      <c r="F145" s="17">
        <f t="shared" si="3"/>
        <v>0</v>
      </c>
    </row>
    <row r="146" spans="3:6">
      <c r="C146" s="1">
        <v>54635</v>
      </c>
      <c r="D146" s="1">
        <v>54727</v>
      </c>
      <c r="E146" s="15">
        <v>0</v>
      </c>
      <c r="F146" s="17">
        <f t="shared" si="3"/>
        <v>0</v>
      </c>
    </row>
    <row r="147" spans="3:6">
      <c r="C147" s="1">
        <v>54727</v>
      </c>
      <c r="D147" s="1">
        <v>54819</v>
      </c>
      <c r="E147" s="15">
        <v>0</v>
      </c>
      <c r="F147" s="17">
        <f t="shared" si="3"/>
        <v>0</v>
      </c>
    </row>
    <row r="148" spans="3:6">
      <c r="C148" s="1">
        <v>54819</v>
      </c>
      <c r="D148" s="1">
        <v>54908</v>
      </c>
      <c r="E148" s="15">
        <v>0</v>
      </c>
      <c r="F148" s="17">
        <f t="shared" si="3"/>
        <v>0</v>
      </c>
    </row>
    <row r="149" spans="3:6">
      <c r="C149" s="1">
        <v>54908</v>
      </c>
      <c r="D149" s="1">
        <v>55000</v>
      </c>
      <c r="E149" s="15">
        <v>0</v>
      </c>
      <c r="F149" s="17">
        <f t="shared" si="3"/>
        <v>0</v>
      </c>
    </row>
    <row r="150" spans="3:6">
      <c r="C150" s="1">
        <v>55000</v>
      </c>
      <c r="D150" s="1">
        <v>55092</v>
      </c>
      <c r="E150" s="15">
        <v>0</v>
      </c>
      <c r="F150" s="17">
        <f t="shared" si="3"/>
        <v>0</v>
      </c>
    </row>
    <row r="151" spans="3:6">
      <c r="C151" s="1">
        <v>55092</v>
      </c>
      <c r="D151" s="1">
        <v>55184</v>
      </c>
      <c r="E151" s="15">
        <v>0</v>
      </c>
      <c r="F151" s="17">
        <f t="shared" si="3"/>
        <v>0</v>
      </c>
    </row>
    <row r="152" spans="3:6">
      <c r="C152" s="1">
        <v>55184</v>
      </c>
      <c r="D152" s="1">
        <v>55273</v>
      </c>
      <c r="E152" s="15">
        <v>0</v>
      </c>
      <c r="F152" s="17">
        <f t="shared" si="3"/>
        <v>0</v>
      </c>
    </row>
    <row r="153" spans="3:6">
      <c r="C153" s="1">
        <v>55273</v>
      </c>
      <c r="D153" s="1">
        <v>55365</v>
      </c>
      <c r="E153" s="15">
        <v>0</v>
      </c>
      <c r="F153" s="17">
        <f t="shared" si="3"/>
        <v>0</v>
      </c>
    </row>
    <row r="154" spans="3:6">
      <c r="C154" s="1">
        <v>55365</v>
      </c>
      <c r="D154" s="1">
        <v>55457</v>
      </c>
      <c r="E154" s="15">
        <v>0</v>
      </c>
      <c r="F154" s="17">
        <f t="shared" si="3"/>
        <v>0</v>
      </c>
    </row>
    <row r="155" spans="3:6">
      <c r="C155" s="1">
        <v>55457</v>
      </c>
      <c r="D155" s="1">
        <v>55549</v>
      </c>
      <c r="E155" s="15">
        <v>0</v>
      </c>
      <c r="F155" s="17">
        <f t="shared" si="3"/>
        <v>0</v>
      </c>
    </row>
    <row r="156" spans="3:6">
      <c r="C156" s="1">
        <v>55549</v>
      </c>
      <c r="D156" s="1">
        <v>55639</v>
      </c>
      <c r="E156" s="15">
        <v>0</v>
      </c>
      <c r="F156" s="17">
        <f t="shared" si="3"/>
        <v>0</v>
      </c>
    </row>
    <row r="157" spans="3:6">
      <c r="C157" s="1">
        <v>55639</v>
      </c>
      <c r="D157" s="1">
        <v>55731</v>
      </c>
      <c r="E157" s="15">
        <v>0</v>
      </c>
      <c r="F157" s="17">
        <f t="shared" si="3"/>
        <v>0</v>
      </c>
    </row>
    <row r="158" spans="3:6">
      <c r="C158" s="1">
        <v>55731</v>
      </c>
      <c r="D158" s="1">
        <v>55823</v>
      </c>
      <c r="E158" s="15">
        <v>0</v>
      </c>
      <c r="F158" s="17">
        <f t="shared" si="3"/>
        <v>0</v>
      </c>
    </row>
    <row r="159" spans="3:6">
      <c r="C159" s="1">
        <v>55823</v>
      </c>
      <c r="D159" s="1">
        <v>55915</v>
      </c>
      <c r="E159" s="15">
        <v>0</v>
      </c>
      <c r="F159" s="17">
        <f t="shared" si="3"/>
        <v>0</v>
      </c>
    </row>
    <row r="160" spans="3:6">
      <c r="C160" s="1">
        <v>55915</v>
      </c>
      <c r="D160" s="1">
        <v>56004</v>
      </c>
      <c r="E160" s="15">
        <v>0</v>
      </c>
      <c r="F160" s="17">
        <f t="shared" si="3"/>
        <v>0</v>
      </c>
    </row>
    <row r="161" spans="3:6">
      <c r="C161" s="1">
        <v>56004</v>
      </c>
      <c r="D161" s="1">
        <v>56096</v>
      </c>
      <c r="E161" s="15">
        <v>0</v>
      </c>
      <c r="F161" s="17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</sheetPr>
  <dimension ref="B3:Q87"/>
  <sheetViews>
    <sheetView showGridLines="0" workbookViewId="0"/>
  </sheetViews>
  <sheetFormatPr defaultRowHeight="15"/>
  <cols>
    <col min="1" max="2" width="2.7109375" style="104" customWidth="1"/>
    <col min="3" max="3" width="30.7109375" style="104" customWidth="1"/>
    <col min="4" max="4" width="35.7109375" style="104" customWidth="1"/>
    <col min="5" max="5" width="2.7109375" style="104" customWidth="1"/>
    <col min="6" max="10" width="15.7109375" style="104" customWidth="1"/>
    <col min="11" max="11" width="2.7109375" style="104" customWidth="1"/>
    <col min="12" max="13" width="15.7109375" style="104" customWidth="1"/>
    <col min="14" max="14" width="2.7109375" style="104" customWidth="1"/>
    <col min="15" max="16" width="15.7109375" style="104" customWidth="1"/>
    <col min="17" max="17" width="2.7109375" style="104" customWidth="1"/>
    <col min="18" max="16384" width="9.140625" style="104"/>
  </cols>
  <sheetData>
    <row r="3" spans="2:17">
      <c r="B3" s="105"/>
      <c r="C3" s="106"/>
      <c r="D3" s="107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</row>
    <row r="4" spans="2:17">
      <c r="B4" s="110"/>
      <c r="C4" s="115" t="s">
        <v>57</v>
      </c>
      <c r="D4" s="116"/>
      <c r="E4" s="112" t="s">
        <v>56</v>
      </c>
      <c r="F4" s="117" t="s">
        <v>58</v>
      </c>
      <c r="G4" s="118"/>
      <c r="H4" s="118"/>
      <c r="I4" s="118"/>
      <c r="J4" s="118"/>
      <c r="K4" s="118"/>
      <c r="L4" s="117" t="s">
        <v>59</v>
      </c>
      <c r="M4" s="117"/>
      <c r="N4" s="118"/>
      <c r="O4" s="117" t="s">
        <v>60</v>
      </c>
      <c r="P4" s="118"/>
      <c r="Q4" s="113"/>
    </row>
    <row r="5" spans="2:17">
      <c r="B5" s="110" t="s">
        <v>56</v>
      </c>
      <c r="C5" s="116"/>
      <c r="D5" s="116"/>
      <c r="E5" s="112" t="s">
        <v>56</v>
      </c>
      <c r="F5" s="119" t="s">
        <v>61</v>
      </c>
      <c r="G5" s="119" t="s">
        <v>62</v>
      </c>
      <c r="H5" s="119" t="s">
        <v>63</v>
      </c>
      <c r="I5" s="119" t="s">
        <v>64</v>
      </c>
      <c r="J5" s="119" t="s">
        <v>65</v>
      </c>
      <c r="K5" s="112"/>
      <c r="L5" s="119" t="s">
        <v>61</v>
      </c>
      <c r="M5" s="119" t="s">
        <v>62</v>
      </c>
      <c r="N5" s="112"/>
      <c r="O5" s="119" t="s">
        <v>61</v>
      </c>
      <c r="P5" s="119" t="s">
        <v>62</v>
      </c>
      <c r="Q5" s="113"/>
    </row>
    <row r="6" spans="2:17">
      <c r="B6" s="110"/>
      <c r="C6" s="122" t="s">
        <v>36</v>
      </c>
      <c r="D6" s="123" t="s">
        <v>37</v>
      </c>
      <c r="E6" s="112" t="s">
        <v>56</v>
      </c>
      <c r="F6" s="124" t="s">
        <v>197</v>
      </c>
      <c r="G6" s="125">
        <v>1.8200000000000001E-2</v>
      </c>
      <c r="H6" s="126"/>
      <c r="I6" s="127"/>
      <c r="J6" s="128" t="b">
        <v>1</v>
      </c>
      <c r="K6" s="118"/>
      <c r="L6" s="124" t="s">
        <v>198</v>
      </c>
      <c r="M6" s="129">
        <v>3.0125E-3</v>
      </c>
      <c r="N6" s="118"/>
      <c r="O6" s="124" t="s">
        <v>198</v>
      </c>
      <c r="P6" s="129">
        <v>1.7402000000000001E-2</v>
      </c>
      <c r="Q6" s="113"/>
    </row>
    <row r="7" spans="2:17">
      <c r="B7" s="110"/>
      <c r="C7" s="132" t="s">
        <v>67</v>
      </c>
      <c r="D7" s="133" t="s">
        <v>58</v>
      </c>
      <c r="E7" s="112" t="s">
        <v>56</v>
      </c>
      <c r="F7" s="134" t="s">
        <v>199</v>
      </c>
      <c r="G7" s="135">
        <v>1.84E-2</v>
      </c>
      <c r="H7" s="127"/>
      <c r="I7" s="127"/>
      <c r="J7" s="128" t="b">
        <v>1</v>
      </c>
      <c r="K7" s="118"/>
      <c r="L7" s="134" t="s">
        <v>200</v>
      </c>
      <c r="M7" s="136">
        <v>2.75625E-3</v>
      </c>
      <c r="N7" s="118"/>
      <c r="O7" s="134" t="s">
        <v>200</v>
      </c>
      <c r="P7" s="136">
        <v>1.5759000000000002E-2</v>
      </c>
      <c r="Q7" s="113"/>
    </row>
    <row r="8" spans="2:17">
      <c r="B8" s="110"/>
      <c r="C8" s="132" t="s">
        <v>69</v>
      </c>
      <c r="D8" s="133" t="s">
        <v>70</v>
      </c>
      <c r="E8" s="112" t="s">
        <v>56</v>
      </c>
      <c r="F8" s="134" t="s">
        <v>201</v>
      </c>
      <c r="G8" s="135">
        <v>1.84E-2</v>
      </c>
      <c r="H8" s="127"/>
      <c r="I8" s="127"/>
      <c r="J8" s="128" t="b">
        <v>1</v>
      </c>
      <c r="K8" s="118"/>
      <c r="L8" s="134" t="s">
        <v>96</v>
      </c>
      <c r="M8" s="136">
        <v>2.5875E-3</v>
      </c>
      <c r="N8" s="118"/>
      <c r="O8" s="134" t="s">
        <v>96</v>
      </c>
      <c r="P8" s="136">
        <v>1.506E-2</v>
      </c>
      <c r="Q8" s="113"/>
    </row>
    <row r="9" spans="2:17">
      <c r="B9" s="110"/>
      <c r="C9" s="142" t="s">
        <v>72</v>
      </c>
      <c r="D9" s="286">
        <v>43734</v>
      </c>
      <c r="E9" s="112" t="s">
        <v>56</v>
      </c>
      <c r="F9" s="134" t="s">
        <v>202</v>
      </c>
      <c r="G9" s="135">
        <v>1.7860000000000001E-2</v>
      </c>
      <c r="H9" s="127"/>
      <c r="I9" s="127"/>
      <c r="J9" s="128" t="b">
        <v>1</v>
      </c>
      <c r="K9" s="118"/>
      <c r="L9" s="134" t="s">
        <v>203</v>
      </c>
      <c r="M9" s="136">
        <v>2.5249999999999999E-3</v>
      </c>
      <c r="N9" s="118"/>
      <c r="O9" s="134" t="s">
        <v>203</v>
      </c>
      <c r="P9" s="136">
        <v>1.4767999999999998E-2</v>
      </c>
      <c r="Q9" s="113"/>
    </row>
    <row r="10" spans="2:17">
      <c r="B10" s="110"/>
      <c r="C10" s="116"/>
      <c r="D10" s="116"/>
      <c r="E10" s="112" t="s">
        <v>56</v>
      </c>
      <c r="F10" s="134" t="s">
        <v>187</v>
      </c>
      <c r="G10" s="135">
        <v>1.7340000000000001E-2</v>
      </c>
      <c r="H10" s="127"/>
      <c r="I10" s="127"/>
      <c r="J10" s="128" t="b">
        <v>1</v>
      </c>
      <c r="K10" s="118"/>
      <c r="L10" s="134" t="s">
        <v>204</v>
      </c>
      <c r="M10" s="136">
        <v>2.5000000000000001E-3</v>
      </c>
      <c r="N10" s="118"/>
      <c r="O10" s="134" t="s">
        <v>204</v>
      </c>
      <c r="P10" s="136">
        <v>1.4693000000000001E-2</v>
      </c>
      <c r="Q10" s="113"/>
    </row>
    <row r="11" spans="2:17">
      <c r="B11" s="110"/>
      <c r="C11" s="112"/>
      <c r="D11" s="112"/>
      <c r="E11" s="112" t="s">
        <v>56</v>
      </c>
      <c r="F11" s="134" t="s">
        <v>205</v>
      </c>
      <c r="G11" s="135">
        <v>1.6875999999999999E-2</v>
      </c>
      <c r="H11" s="127"/>
      <c r="I11" s="127"/>
      <c r="J11" s="128" t="b">
        <v>1</v>
      </c>
      <c r="K11" s="118"/>
      <c r="L11" s="134" t="s">
        <v>206</v>
      </c>
      <c r="M11" s="136">
        <v>2.4499999999999999E-3</v>
      </c>
      <c r="N11" s="118"/>
      <c r="O11" s="134" t="s">
        <v>206</v>
      </c>
      <c r="P11" s="136">
        <v>1.4999E-2</v>
      </c>
      <c r="Q11" s="113"/>
    </row>
    <row r="12" spans="2:17">
      <c r="B12" s="110"/>
      <c r="C12" s="148" t="s">
        <v>74</v>
      </c>
      <c r="D12" s="116"/>
      <c r="E12" s="112" t="s">
        <v>56</v>
      </c>
      <c r="F12" s="134" t="s">
        <v>54</v>
      </c>
      <c r="G12" s="135">
        <v>1.6367E-2</v>
      </c>
      <c r="H12" s="127"/>
      <c r="I12" s="127"/>
      <c r="J12" s="128" t="b">
        <v>1</v>
      </c>
      <c r="K12" s="118"/>
      <c r="L12" s="134" t="s">
        <v>207</v>
      </c>
      <c r="M12" s="136">
        <v>2.3999999999999998E-3</v>
      </c>
      <c r="N12" s="118"/>
      <c r="O12" s="134" t="s">
        <v>207</v>
      </c>
      <c r="P12" s="136">
        <v>1.5762999999999999E-2</v>
      </c>
      <c r="Q12" s="113"/>
    </row>
    <row r="13" spans="2:17">
      <c r="B13" s="110"/>
      <c r="C13" s="111" t="s">
        <v>75</v>
      </c>
      <c r="D13" s="149" t="s">
        <v>76</v>
      </c>
      <c r="E13" s="112" t="s">
        <v>56</v>
      </c>
      <c r="F13" s="134" t="s">
        <v>208</v>
      </c>
      <c r="G13" s="135">
        <v>1.5896E-2</v>
      </c>
      <c r="H13" s="127"/>
      <c r="I13" s="127"/>
      <c r="J13" s="128" t="b">
        <v>1</v>
      </c>
      <c r="K13" s="118"/>
      <c r="L13" s="134" t="s">
        <v>209</v>
      </c>
      <c r="M13" s="136">
        <v>2.3630000000000001E-3</v>
      </c>
      <c r="N13" s="118"/>
      <c r="O13" s="134" t="s">
        <v>209</v>
      </c>
      <c r="P13" s="136">
        <v>1.6223000000000001E-2</v>
      </c>
      <c r="Q13" s="113"/>
    </row>
    <row r="14" spans="2:17">
      <c r="B14" s="110"/>
      <c r="C14" s="139" t="s">
        <v>78</v>
      </c>
      <c r="D14" s="151" t="str">
        <f ca="1">_xll.meLWOCurveMarketDataCreate(D13,C4,C6:D9,F4,F6:J31,L4,L6:M31,O4,O6:P31)</f>
        <v>USD_OIS_CURVE_MARKETDATA@6:3</v>
      </c>
      <c r="E14" s="112" t="s">
        <v>56</v>
      </c>
      <c r="F14" s="134" t="s">
        <v>210</v>
      </c>
      <c r="G14" s="135">
        <v>1.5641000000000002E-2</v>
      </c>
      <c r="H14" s="127"/>
      <c r="I14" s="127"/>
      <c r="J14" s="128" t="b">
        <v>1</v>
      </c>
      <c r="K14" s="118"/>
      <c r="L14" s="134" t="s">
        <v>211</v>
      </c>
      <c r="M14" s="136">
        <v>2.3625E-3</v>
      </c>
      <c r="N14" s="118"/>
      <c r="O14" s="134" t="s">
        <v>211</v>
      </c>
      <c r="P14" s="136">
        <v>1.6742E-2</v>
      </c>
      <c r="Q14" s="113"/>
    </row>
    <row r="15" spans="2:17">
      <c r="B15" s="110"/>
      <c r="C15" s="112"/>
      <c r="D15" s="112"/>
      <c r="E15" s="112" t="s">
        <v>56</v>
      </c>
      <c r="F15" s="134" t="s">
        <v>148</v>
      </c>
      <c r="G15" s="135">
        <v>1.5298000000000001E-2</v>
      </c>
      <c r="H15" s="127"/>
      <c r="I15" s="127"/>
      <c r="J15" s="128" t="b">
        <v>1</v>
      </c>
      <c r="K15" s="118"/>
      <c r="L15" s="134" t="s">
        <v>212</v>
      </c>
      <c r="M15" s="136">
        <v>2.3249999999999998E-3</v>
      </c>
      <c r="N15" s="118"/>
      <c r="O15" s="134" t="s">
        <v>212</v>
      </c>
      <c r="P15" s="136">
        <v>1.7287E-2</v>
      </c>
      <c r="Q15" s="113"/>
    </row>
    <row r="16" spans="2:17">
      <c r="B16" s="110"/>
      <c r="C16" s="112"/>
      <c r="D16" s="112"/>
      <c r="E16" s="112" t="s">
        <v>56</v>
      </c>
      <c r="F16" s="134" t="s">
        <v>213</v>
      </c>
      <c r="G16" s="135">
        <v>1.4678E-2</v>
      </c>
      <c r="H16" s="127"/>
      <c r="I16" s="127"/>
      <c r="J16" s="128" t="b">
        <v>1</v>
      </c>
      <c r="K16" s="118"/>
      <c r="L16" s="134" t="s">
        <v>214</v>
      </c>
      <c r="M16" s="136">
        <v>2.3375000000000002E-3</v>
      </c>
      <c r="N16" s="118"/>
      <c r="O16" s="134" t="s">
        <v>214</v>
      </c>
      <c r="P16" s="136">
        <v>1.7479000000000001E-2</v>
      </c>
      <c r="Q16" s="113"/>
    </row>
    <row r="17" spans="2:17">
      <c r="B17" s="110"/>
      <c r="C17" s="112"/>
      <c r="D17" s="112"/>
      <c r="E17" s="112" t="s">
        <v>56</v>
      </c>
      <c r="F17" s="134" t="s">
        <v>198</v>
      </c>
      <c r="G17" s="135">
        <v>1.4194999999999999E-2</v>
      </c>
      <c r="H17" s="127"/>
      <c r="I17" s="127"/>
      <c r="J17" s="128" t="b">
        <v>1</v>
      </c>
      <c r="K17" s="118"/>
      <c r="L17" s="134" t="s">
        <v>215</v>
      </c>
      <c r="M17" s="136">
        <v>2.3625E-3</v>
      </c>
      <c r="N17" s="118"/>
      <c r="O17" s="134" t="s">
        <v>215</v>
      </c>
      <c r="P17" s="136">
        <v>1.7557E-2</v>
      </c>
      <c r="Q17" s="113"/>
    </row>
    <row r="18" spans="2:17">
      <c r="B18" s="110"/>
      <c r="C18" s="112"/>
      <c r="D18" s="112"/>
      <c r="E18" s="112" t="s">
        <v>56</v>
      </c>
      <c r="F18" s="134" t="s">
        <v>200</v>
      </c>
      <c r="G18" s="135">
        <v>1.2849999999999999E-2</v>
      </c>
      <c r="H18" s="127"/>
      <c r="I18" s="127"/>
      <c r="J18" s="128" t="b">
        <v>1</v>
      </c>
      <c r="K18" s="118"/>
      <c r="L18" s="155"/>
      <c r="M18" s="156"/>
      <c r="N18" s="157"/>
      <c r="O18" s="155"/>
      <c r="P18" s="156"/>
      <c r="Q18" s="158"/>
    </row>
    <row r="19" spans="2:17">
      <c r="B19" s="110"/>
      <c r="C19" s="161" t="s">
        <v>82</v>
      </c>
      <c r="D19" s="116"/>
      <c r="E19" s="112" t="s">
        <v>56</v>
      </c>
      <c r="F19" s="134" t="s">
        <v>96</v>
      </c>
      <c r="G19" s="135">
        <v>1.2284999999999999E-2</v>
      </c>
      <c r="H19" s="127"/>
      <c r="I19" s="127"/>
      <c r="J19" s="128" t="b">
        <v>1</v>
      </c>
      <c r="K19" s="118"/>
      <c r="L19" s="155"/>
      <c r="M19" s="156"/>
      <c r="N19" s="157"/>
      <c r="O19" s="155"/>
      <c r="P19" s="156"/>
      <c r="Q19" s="158"/>
    </row>
    <row r="20" spans="2:17">
      <c r="B20" s="110"/>
      <c r="C20" s="162" t="s">
        <v>75</v>
      </c>
      <c r="D20" s="163" t="s">
        <v>83</v>
      </c>
      <c r="E20" s="112" t="s">
        <v>56</v>
      </c>
      <c r="F20" s="134" t="s">
        <v>203</v>
      </c>
      <c r="G20" s="135">
        <v>1.2064999999999999E-2</v>
      </c>
      <c r="H20" s="127"/>
      <c r="I20" s="127"/>
      <c r="J20" s="128" t="b">
        <v>1</v>
      </c>
      <c r="K20" s="118"/>
      <c r="L20" s="134"/>
      <c r="M20" s="136"/>
      <c r="N20" s="118"/>
      <c r="O20" s="134"/>
      <c r="P20" s="136"/>
      <c r="Q20" s="113"/>
    </row>
    <row r="21" spans="2:17">
      <c r="B21" s="110"/>
      <c r="C21" s="165" t="s">
        <v>84</v>
      </c>
      <c r="D21" s="166" t="s">
        <v>85</v>
      </c>
      <c r="E21" s="112" t="s">
        <v>56</v>
      </c>
      <c r="F21" s="134" t="s">
        <v>204</v>
      </c>
      <c r="G21" s="135">
        <v>1.2035000000000001E-2</v>
      </c>
      <c r="H21" s="127"/>
      <c r="I21" s="127"/>
      <c r="J21" s="128" t="b">
        <v>1</v>
      </c>
      <c r="K21" s="118"/>
      <c r="L21" s="134"/>
      <c r="M21" s="136"/>
      <c r="N21" s="118"/>
      <c r="O21" s="134"/>
      <c r="P21" s="136"/>
      <c r="Q21" s="113"/>
    </row>
    <row r="22" spans="2:17">
      <c r="B22" s="110"/>
      <c r="C22" s="165" t="s">
        <v>86</v>
      </c>
      <c r="D22" s="166" t="s">
        <v>39</v>
      </c>
      <c r="E22" s="112" t="s">
        <v>56</v>
      </c>
      <c r="F22" s="134"/>
      <c r="G22" s="135"/>
      <c r="H22" s="127"/>
      <c r="I22" s="127"/>
      <c r="J22" s="128"/>
      <c r="K22" s="118"/>
      <c r="L22" s="134"/>
      <c r="M22" s="136"/>
      <c r="N22" s="118"/>
      <c r="O22" s="134"/>
      <c r="P22" s="136"/>
      <c r="Q22" s="113"/>
    </row>
    <row r="23" spans="2:17">
      <c r="B23" s="110"/>
      <c r="C23" s="167" t="s">
        <v>87</v>
      </c>
      <c r="D23" s="168"/>
      <c r="E23" s="112" t="s">
        <v>56</v>
      </c>
      <c r="F23" s="134"/>
      <c r="G23" s="135"/>
      <c r="H23" s="127"/>
      <c r="I23" s="127"/>
      <c r="J23" s="128"/>
      <c r="K23" s="118"/>
      <c r="L23" s="134"/>
      <c r="M23" s="136"/>
      <c r="N23" s="118"/>
      <c r="O23" s="134"/>
      <c r="P23" s="136"/>
      <c r="Q23" s="113"/>
    </row>
    <row r="24" spans="2:17">
      <c r="B24" s="110"/>
      <c r="C24" s="112"/>
      <c r="D24" s="112"/>
      <c r="E24" s="112" t="s">
        <v>56</v>
      </c>
      <c r="F24" s="134"/>
      <c r="G24" s="135"/>
      <c r="H24" s="127"/>
      <c r="I24" s="127"/>
      <c r="J24" s="128"/>
      <c r="K24" s="118"/>
      <c r="L24" s="134"/>
      <c r="M24" s="136"/>
      <c r="N24" s="118"/>
      <c r="O24" s="134"/>
      <c r="P24" s="136"/>
      <c r="Q24" s="113"/>
    </row>
    <row r="25" spans="2:17">
      <c r="B25" s="110"/>
      <c r="C25" s="112"/>
      <c r="D25" s="112"/>
      <c r="E25" s="112" t="s">
        <v>56</v>
      </c>
      <c r="F25" s="134"/>
      <c r="G25" s="135"/>
      <c r="H25" s="127"/>
      <c r="I25" s="127"/>
      <c r="J25" s="128"/>
      <c r="K25" s="118"/>
      <c r="L25" s="134"/>
      <c r="M25" s="136"/>
      <c r="N25" s="118"/>
      <c r="O25" s="134"/>
      <c r="P25" s="136"/>
      <c r="Q25" s="113"/>
    </row>
    <row r="26" spans="2:17">
      <c r="B26" s="110"/>
      <c r="C26" s="112"/>
      <c r="D26" s="112"/>
      <c r="E26" s="112" t="s">
        <v>56</v>
      </c>
      <c r="F26" s="134"/>
      <c r="G26" s="135"/>
      <c r="H26" s="127"/>
      <c r="I26" s="127"/>
      <c r="J26" s="128"/>
      <c r="K26" s="118"/>
      <c r="L26" s="134"/>
      <c r="M26" s="136"/>
      <c r="N26" s="118"/>
      <c r="O26" s="134"/>
      <c r="P26" s="136"/>
      <c r="Q26" s="113"/>
    </row>
    <row r="27" spans="2:17">
      <c r="B27" s="110"/>
      <c r="C27" s="161" t="s">
        <v>89</v>
      </c>
      <c r="D27" s="112"/>
      <c r="E27" s="112" t="s">
        <v>56</v>
      </c>
      <c r="F27" s="134"/>
      <c r="G27" s="135"/>
      <c r="H27" s="127"/>
      <c r="I27" s="127"/>
      <c r="J27" s="128"/>
      <c r="K27" s="118"/>
      <c r="L27" s="134"/>
      <c r="M27" s="136"/>
      <c r="N27" s="118"/>
      <c r="O27" s="134"/>
      <c r="P27" s="136"/>
      <c r="Q27" s="113"/>
    </row>
    <row r="28" spans="2:17">
      <c r="B28" s="110"/>
      <c r="C28" s="172" t="s">
        <v>75</v>
      </c>
      <c r="D28" s="173" t="str">
        <f t="array" aca="1" ref="D28:D31" ca="1">_xll.meLWOCurveCalibrate(D20,D21,D14,D22,D23)</f>
        <v>USD_OIS_CURVE@7:3</v>
      </c>
      <c r="E28" s="112" t="s">
        <v>56</v>
      </c>
      <c r="F28" s="134"/>
      <c r="G28" s="135"/>
      <c r="H28" s="127"/>
      <c r="I28" s="127"/>
      <c r="J28" s="128"/>
      <c r="K28" s="118"/>
      <c r="L28" s="134"/>
      <c r="M28" s="136"/>
      <c r="N28" s="118"/>
      <c r="O28" s="134"/>
      <c r="P28" s="136"/>
      <c r="Q28" s="113"/>
    </row>
    <row r="29" spans="2:17">
      <c r="B29" s="110"/>
      <c r="C29" s="178" t="s">
        <v>92</v>
      </c>
      <c r="D29" s="174" t="str">
        <f ca="1"/>
        <v>USDYC</v>
      </c>
      <c r="E29" s="112" t="s">
        <v>56</v>
      </c>
      <c r="F29" s="134"/>
      <c r="G29" s="135"/>
      <c r="H29" s="127"/>
      <c r="I29" s="127"/>
      <c r="J29" s="128"/>
      <c r="K29" s="118"/>
      <c r="L29" s="134"/>
      <c r="M29" s="136"/>
      <c r="N29" s="118"/>
      <c r="O29" s="134"/>
      <c r="P29" s="136"/>
      <c r="Q29" s="113"/>
    </row>
    <row r="30" spans="2:17">
      <c r="B30" s="110"/>
      <c r="C30" s="178" t="s">
        <v>93</v>
      </c>
      <c r="D30" s="174" t="str">
        <f ca="1"/>
        <v>OIS:USDOIS:USDDF:USDDF_USDCSA:USDDF_NOCSA</v>
      </c>
      <c r="E30" s="112" t="s">
        <v>56</v>
      </c>
      <c r="F30" s="134"/>
      <c r="G30" s="135"/>
      <c r="H30" s="127"/>
      <c r="I30" s="127"/>
      <c r="J30" s="179"/>
      <c r="K30" s="118"/>
      <c r="L30" s="134"/>
      <c r="M30" s="136"/>
      <c r="N30" s="118"/>
      <c r="O30" s="134"/>
      <c r="P30" s="136"/>
      <c r="Q30" s="113"/>
    </row>
    <row r="31" spans="2:17">
      <c r="B31" s="110"/>
      <c r="C31" s="180" t="s">
        <v>94</v>
      </c>
      <c r="D31" s="175" t="str">
        <f ca="1"/>
        <v>0.01500 sec</v>
      </c>
      <c r="E31" s="112" t="s">
        <v>56</v>
      </c>
      <c r="F31" s="181"/>
      <c r="G31" s="182"/>
      <c r="H31" s="183"/>
      <c r="I31" s="183"/>
      <c r="J31" s="184"/>
      <c r="K31" s="118"/>
      <c r="L31" s="181"/>
      <c r="M31" s="185"/>
      <c r="N31" s="118"/>
      <c r="O31" s="181"/>
      <c r="P31" s="185"/>
      <c r="Q31" s="113"/>
    </row>
    <row r="32" spans="2:17">
      <c r="B32" s="110"/>
      <c r="C32" s="186" t="s">
        <v>95</v>
      </c>
      <c r="D32" s="187" t="b">
        <f ca="1">_xll.meLWOExists(D28,"CURVE")</f>
        <v>1</v>
      </c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3"/>
    </row>
    <row r="33" spans="2:17">
      <c r="B33" s="110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3"/>
    </row>
    <row r="34" spans="2:17">
      <c r="B34" s="110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3"/>
    </row>
    <row r="35" spans="2:17">
      <c r="B35" s="110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3"/>
    </row>
    <row r="36" spans="2:17">
      <c r="B36" s="110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3"/>
    </row>
    <row r="37" spans="2:17">
      <c r="B37" s="110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3"/>
    </row>
    <row r="38" spans="2:17">
      <c r="B38" s="110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3"/>
    </row>
    <row r="39" spans="2:17">
      <c r="B39" s="110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3"/>
    </row>
    <row r="40" spans="2:17">
      <c r="B40" s="110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3"/>
    </row>
    <row r="41" spans="2:17">
      <c r="B41" s="110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3"/>
    </row>
    <row r="42" spans="2:17">
      <c r="B42" s="110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3"/>
    </row>
    <row r="43" spans="2:17">
      <c r="B43" s="110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3"/>
    </row>
    <row r="44" spans="2:17">
      <c r="B44" s="110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3"/>
    </row>
    <row r="45" spans="2:17">
      <c r="B45" s="110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</row>
    <row r="46" spans="2:17">
      <c r="B46" s="110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3"/>
    </row>
    <row r="47" spans="2:17">
      <c r="B47" s="110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3"/>
    </row>
    <row r="48" spans="2:17">
      <c r="B48" s="110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3"/>
    </row>
    <row r="49" spans="2:17">
      <c r="B49" s="110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3"/>
    </row>
    <row r="50" spans="2:17">
      <c r="B50" s="110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3"/>
    </row>
    <row r="51" spans="2:17">
      <c r="B51" s="110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3"/>
    </row>
    <row r="52" spans="2:17">
      <c r="B52" s="110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3"/>
    </row>
    <row r="53" spans="2:17">
      <c r="B53" s="110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3"/>
    </row>
    <row r="54" spans="2:17">
      <c r="B54" s="110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3"/>
    </row>
    <row r="55" spans="2:17">
      <c r="B55" s="110"/>
      <c r="C55" s="192"/>
      <c r="D55" s="116"/>
      <c r="E55" s="112"/>
      <c r="F55" s="112"/>
      <c r="G55" s="112"/>
      <c r="H55" s="112"/>
      <c r="I55" s="112"/>
      <c r="J55" s="112"/>
      <c r="K55" s="118"/>
      <c r="L55" s="112"/>
      <c r="M55" s="112"/>
      <c r="N55" s="118"/>
      <c r="O55" s="112"/>
      <c r="P55" s="112"/>
      <c r="Q55" s="113"/>
    </row>
    <row r="56" spans="2:17">
      <c r="B56" s="110"/>
      <c r="C56" s="192"/>
      <c r="D56" s="116"/>
      <c r="E56" s="112"/>
      <c r="F56" s="112"/>
      <c r="G56" s="112"/>
      <c r="H56" s="112"/>
      <c r="I56" s="112"/>
      <c r="J56" s="112"/>
      <c r="K56" s="118"/>
      <c r="L56" s="112"/>
      <c r="M56" s="112"/>
      <c r="N56" s="118"/>
      <c r="O56" s="112"/>
      <c r="P56" s="112"/>
      <c r="Q56" s="113"/>
    </row>
    <row r="57" spans="2:17">
      <c r="B57" s="110"/>
      <c r="C57" s="192"/>
      <c r="D57" s="116"/>
      <c r="E57" s="112"/>
      <c r="F57" s="112"/>
      <c r="G57" s="112"/>
      <c r="H57" s="112"/>
      <c r="I57" s="112"/>
      <c r="J57" s="112"/>
      <c r="K57" s="118"/>
      <c r="L57" s="112"/>
      <c r="M57" s="112"/>
      <c r="N57" s="118"/>
      <c r="O57" s="112"/>
      <c r="P57" s="112"/>
      <c r="Q57" s="113"/>
    </row>
    <row r="58" spans="2:17">
      <c r="B58" s="110"/>
      <c r="C58" s="192"/>
      <c r="D58" s="116"/>
      <c r="E58" s="112"/>
      <c r="F58" s="112"/>
      <c r="G58" s="112"/>
      <c r="H58" s="112"/>
      <c r="I58" s="112"/>
      <c r="J58" s="112"/>
      <c r="K58" s="118"/>
      <c r="L58" s="112"/>
      <c r="M58" s="112"/>
      <c r="N58" s="118"/>
      <c r="O58" s="112"/>
      <c r="P58" s="112"/>
      <c r="Q58" s="113"/>
    </row>
    <row r="59" spans="2:17">
      <c r="B59" s="110"/>
      <c r="C59" s="192"/>
      <c r="D59" s="116"/>
      <c r="E59" s="112"/>
      <c r="F59" s="112"/>
      <c r="G59" s="112"/>
      <c r="H59" s="112"/>
      <c r="I59" s="112"/>
      <c r="J59" s="112"/>
      <c r="K59" s="118"/>
      <c r="L59" s="112"/>
      <c r="M59" s="112"/>
      <c r="N59" s="118"/>
      <c r="O59" s="112"/>
      <c r="P59" s="112"/>
      <c r="Q59" s="113"/>
    </row>
    <row r="60" spans="2:17">
      <c r="B60" s="110"/>
      <c r="C60" s="192"/>
      <c r="D60" s="116"/>
      <c r="E60" s="112"/>
      <c r="F60" s="112"/>
      <c r="G60" s="112"/>
      <c r="H60" s="112"/>
      <c r="I60" s="112"/>
      <c r="J60" s="112"/>
      <c r="K60" s="118"/>
      <c r="L60" s="112"/>
      <c r="M60" s="112"/>
      <c r="N60" s="118"/>
      <c r="O60" s="112"/>
      <c r="P60" s="112"/>
      <c r="Q60" s="113"/>
    </row>
    <row r="61" spans="2:17">
      <c r="B61" s="110"/>
      <c r="C61" s="192"/>
      <c r="D61" s="116"/>
      <c r="E61" s="112"/>
      <c r="F61" s="112"/>
      <c r="G61" s="112"/>
      <c r="H61" s="112"/>
      <c r="I61" s="112"/>
      <c r="J61" s="112"/>
      <c r="K61" s="118"/>
      <c r="L61" s="112"/>
      <c r="M61" s="112"/>
      <c r="N61" s="118"/>
      <c r="O61" s="112"/>
      <c r="P61" s="112"/>
      <c r="Q61" s="113"/>
    </row>
    <row r="62" spans="2:17">
      <c r="B62" s="110"/>
      <c r="C62" s="192"/>
      <c r="D62" s="116"/>
      <c r="E62" s="112"/>
      <c r="F62" s="112"/>
      <c r="G62" s="112"/>
      <c r="H62" s="112"/>
      <c r="I62" s="112"/>
      <c r="J62" s="112"/>
      <c r="K62" s="118"/>
      <c r="L62" s="112"/>
      <c r="M62" s="112"/>
      <c r="N62" s="118"/>
      <c r="O62" s="112"/>
      <c r="P62" s="112"/>
      <c r="Q62" s="113"/>
    </row>
    <row r="63" spans="2:17">
      <c r="B63" s="110"/>
      <c r="C63" s="192"/>
      <c r="D63" s="116"/>
      <c r="E63" s="112"/>
      <c r="F63" s="112"/>
      <c r="G63" s="112"/>
      <c r="H63" s="112"/>
      <c r="I63" s="112"/>
      <c r="J63" s="112"/>
      <c r="K63" s="118"/>
      <c r="L63" s="112"/>
      <c r="M63" s="112"/>
      <c r="N63" s="118"/>
      <c r="O63" s="112"/>
      <c r="P63" s="112"/>
      <c r="Q63" s="113"/>
    </row>
    <row r="64" spans="2:17">
      <c r="B64" s="110"/>
      <c r="C64" s="192"/>
      <c r="D64" s="116"/>
      <c r="E64" s="112"/>
      <c r="F64" s="112"/>
      <c r="G64" s="112"/>
      <c r="H64" s="112"/>
      <c r="I64" s="112"/>
      <c r="J64" s="112"/>
      <c r="K64" s="118"/>
      <c r="L64" s="112"/>
      <c r="M64" s="112"/>
      <c r="N64" s="118"/>
      <c r="O64" s="112"/>
      <c r="P64" s="112"/>
      <c r="Q64" s="113"/>
    </row>
    <row r="65" spans="2:17">
      <c r="B65" s="110"/>
      <c r="C65" s="192"/>
      <c r="D65" s="116"/>
      <c r="E65" s="112"/>
      <c r="F65" s="112"/>
      <c r="G65" s="112"/>
      <c r="H65" s="112"/>
      <c r="I65" s="112"/>
      <c r="J65" s="112"/>
      <c r="K65" s="118"/>
      <c r="L65" s="112"/>
      <c r="M65" s="112"/>
      <c r="N65" s="118"/>
      <c r="O65" s="112"/>
      <c r="P65" s="112"/>
      <c r="Q65" s="113"/>
    </row>
    <row r="66" spans="2:17">
      <c r="B66" s="110"/>
      <c r="C66" s="192"/>
      <c r="D66" s="116"/>
      <c r="E66" s="112"/>
      <c r="F66" s="112"/>
      <c r="G66" s="112"/>
      <c r="H66" s="112"/>
      <c r="I66" s="112"/>
      <c r="J66" s="112"/>
      <c r="K66" s="118"/>
      <c r="L66" s="112"/>
      <c r="M66" s="112"/>
      <c r="N66" s="118"/>
      <c r="O66" s="112"/>
      <c r="P66" s="112"/>
      <c r="Q66" s="113"/>
    </row>
    <row r="67" spans="2:17">
      <c r="B67" s="110"/>
      <c r="C67" s="192"/>
      <c r="D67" s="116"/>
      <c r="E67" s="112"/>
      <c r="F67" s="112"/>
      <c r="G67" s="112"/>
      <c r="H67" s="112"/>
      <c r="I67" s="112"/>
      <c r="J67" s="112"/>
      <c r="K67" s="118"/>
      <c r="L67" s="112"/>
      <c r="M67" s="112"/>
      <c r="N67" s="118"/>
      <c r="O67" s="112"/>
      <c r="P67" s="112"/>
      <c r="Q67" s="113"/>
    </row>
    <row r="68" spans="2:17">
      <c r="B68" s="110"/>
      <c r="C68" s="192"/>
      <c r="D68" s="116"/>
      <c r="E68" s="112"/>
      <c r="F68" s="112"/>
      <c r="G68" s="112"/>
      <c r="H68" s="112"/>
      <c r="I68" s="112"/>
      <c r="J68" s="112"/>
      <c r="K68" s="118"/>
      <c r="L68" s="112"/>
      <c r="M68" s="112"/>
      <c r="N68" s="118"/>
      <c r="O68" s="112"/>
      <c r="P68" s="112"/>
      <c r="Q68" s="113"/>
    </row>
    <row r="69" spans="2:17">
      <c r="B69" s="110"/>
      <c r="C69" s="192"/>
      <c r="D69" s="116"/>
      <c r="E69" s="112"/>
      <c r="F69" s="112"/>
      <c r="G69" s="112"/>
      <c r="H69" s="112"/>
      <c r="I69" s="112"/>
      <c r="J69" s="112"/>
      <c r="K69" s="118"/>
      <c r="L69" s="112"/>
      <c r="M69" s="112"/>
      <c r="N69" s="118"/>
      <c r="O69" s="112"/>
      <c r="P69" s="112"/>
      <c r="Q69" s="113"/>
    </row>
    <row r="70" spans="2:17">
      <c r="B70" s="110"/>
      <c r="C70" s="192"/>
      <c r="D70" s="116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3"/>
    </row>
    <row r="71" spans="2:17">
      <c r="B71" s="110"/>
      <c r="C71" s="192"/>
      <c r="D71" s="116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3"/>
    </row>
    <row r="72" spans="2:17">
      <c r="B72" s="110"/>
      <c r="C72" s="192"/>
      <c r="D72" s="116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3"/>
    </row>
    <row r="73" spans="2:17">
      <c r="B73" s="110"/>
      <c r="C73" s="192"/>
      <c r="D73" s="116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3"/>
    </row>
    <row r="74" spans="2:17">
      <c r="B74" s="110"/>
      <c r="C74" s="192"/>
      <c r="D74" s="116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3"/>
    </row>
    <row r="75" spans="2:17">
      <c r="B75" s="110"/>
      <c r="C75" s="192"/>
      <c r="D75" s="116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3"/>
    </row>
    <row r="76" spans="2:17">
      <c r="B76" s="110"/>
      <c r="C76" s="192"/>
      <c r="D76" s="116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3"/>
    </row>
    <row r="77" spans="2:17">
      <c r="B77" s="110"/>
      <c r="C77" s="192"/>
      <c r="D77" s="116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3"/>
    </row>
    <row r="78" spans="2:17">
      <c r="B78" s="110"/>
      <c r="C78" s="192"/>
      <c r="D78" s="116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3"/>
    </row>
    <row r="79" spans="2:17">
      <c r="B79" s="110"/>
      <c r="C79" s="192"/>
      <c r="D79" s="116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3"/>
    </row>
    <row r="80" spans="2:17">
      <c r="B80" s="110"/>
      <c r="C80" s="192"/>
      <c r="D80" s="116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3"/>
    </row>
    <row r="81" spans="2:17">
      <c r="B81" s="110"/>
      <c r="C81" s="192"/>
      <c r="D81" s="116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3"/>
    </row>
    <row r="82" spans="2:17">
      <c r="B82" s="110"/>
      <c r="C82" s="192"/>
      <c r="D82" s="116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3"/>
    </row>
    <row r="83" spans="2:17">
      <c r="B83" s="110"/>
      <c r="C83" s="192"/>
      <c r="D83" s="116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3"/>
    </row>
    <row r="84" spans="2:17">
      <c r="B84" s="110"/>
      <c r="C84" s="192"/>
      <c r="D84" s="116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3"/>
    </row>
    <row r="85" spans="2:17">
      <c r="B85" s="110"/>
      <c r="C85" s="192"/>
      <c r="D85" s="116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3"/>
    </row>
    <row r="86" spans="2:17">
      <c r="B86" s="110"/>
      <c r="C86" s="192"/>
      <c r="D86" s="116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3"/>
    </row>
    <row r="87" spans="2:17">
      <c r="B87" s="144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B3:R103"/>
  <sheetViews>
    <sheetView showGridLines="0" zoomScaleNormal="100" workbookViewId="0"/>
  </sheetViews>
  <sheetFormatPr defaultRowHeight="15"/>
  <cols>
    <col min="1" max="2" width="2.7109375" style="104" customWidth="1"/>
    <col min="3" max="3" width="30.7109375" style="104" customWidth="1"/>
    <col min="4" max="4" width="42.85546875" style="104" bestFit="1" customWidth="1"/>
    <col min="5" max="5" width="2.7109375" style="104" customWidth="1"/>
    <col min="6" max="7" width="10.7109375" style="104" customWidth="1"/>
    <col min="8" max="8" width="2.7109375" style="104" customWidth="1"/>
    <col min="9" max="13" width="12.7109375" style="104" customWidth="1"/>
    <col min="14" max="14" width="2.7109375" style="104" customWidth="1"/>
    <col min="15" max="17" width="12.7109375" style="104" customWidth="1"/>
    <col min="18" max="18" width="2.7109375" style="104" customWidth="1"/>
    <col min="19" max="16384" width="9.140625" style="104"/>
  </cols>
  <sheetData>
    <row r="3" spans="2:18">
      <c r="B3" s="193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5"/>
    </row>
    <row r="4" spans="2:18">
      <c r="B4" s="196"/>
      <c r="C4" s="117" t="s">
        <v>57</v>
      </c>
      <c r="D4" s="118"/>
      <c r="E4" s="112"/>
      <c r="F4" s="117" t="s">
        <v>102</v>
      </c>
      <c r="G4" s="118"/>
      <c r="H4" s="112"/>
      <c r="I4" s="117" t="s">
        <v>103</v>
      </c>
      <c r="J4" s="197"/>
      <c r="K4" s="118"/>
      <c r="L4" s="118"/>
      <c r="M4" s="118"/>
      <c r="N4" s="112"/>
      <c r="O4" s="117" t="s">
        <v>60</v>
      </c>
      <c r="P4" s="112"/>
      <c r="Q4" s="112"/>
      <c r="R4" s="198"/>
    </row>
    <row r="5" spans="2:18">
      <c r="B5" s="196"/>
      <c r="C5" s="199" t="s">
        <v>36</v>
      </c>
      <c r="D5" s="200" t="s">
        <v>37</v>
      </c>
      <c r="E5" s="112" t="s">
        <v>56</v>
      </c>
      <c r="F5" s="116" t="s">
        <v>61</v>
      </c>
      <c r="G5" s="116" t="s">
        <v>62</v>
      </c>
      <c r="H5" s="192"/>
      <c r="I5" s="201" t="s">
        <v>61</v>
      </c>
      <c r="J5" s="201" t="s">
        <v>63</v>
      </c>
      <c r="K5" s="201" t="s">
        <v>64</v>
      </c>
      <c r="L5" s="201" t="s">
        <v>62</v>
      </c>
      <c r="M5" s="201" t="s">
        <v>104</v>
      </c>
      <c r="N5" s="192"/>
      <c r="O5" s="202" t="s">
        <v>61</v>
      </c>
      <c r="P5" s="116" t="s">
        <v>62</v>
      </c>
      <c r="Q5" s="116" t="s">
        <v>65</v>
      </c>
      <c r="R5" s="198"/>
    </row>
    <row r="6" spans="2:18">
      <c r="B6" s="196"/>
      <c r="C6" s="203" t="s">
        <v>67</v>
      </c>
      <c r="D6" s="204" t="s">
        <v>105</v>
      </c>
      <c r="E6" s="112" t="s">
        <v>56</v>
      </c>
      <c r="F6" s="205" t="s">
        <v>187</v>
      </c>
      <c r="G6" s="206">
        <v>1.92125E-2</v>
      </c>
      <c r="H6" s="112"/>
      <c r="I6" s="207" t="s">
        <v>216</v>
      </c>
      <c r="J6" s="208">
        <v>43817</v>
      </c>
      <c r="K6" s="208">
        <v>43908</v>
      </c>
      <c r="L6" s="209">
        <v>98.13</v>
      </c>
      <c r="M6" s="210">
        <v>1.4500000000000001E-2</v>
      </c>
      <c r="N6" s="112"/>
      <c r="O6" s="207" t="s">
        <v>96</v>
      </c>
      <c r="P6" s="211">
        <v>1.506E-2</v>
      </c>
      <c r="Q6" s="212" t="b">
        <v>1</v>
      </c>
      <c r="R6" s="198"/>
    </row>
    <row r="7" spans="2:18">
      <c r="B7" s="196"/>
      <c r="C7" s="203" t="s">
        <v>69</v>
      </c>
      <c r="D7" s="204" t="s">
        <v>100</v>
      </c>
      <c r="E7" s="112" t="s">
        <v>56</v>
      </c>
      <c r="F7" s="190" t="s">
        <v>54</v>
      </c>
      <c r="G7" s="213">
        <v>1.9861299999999998E-2</v>
      </c>
      <c r="H7" s="112"/>
      <c r="I7" s="214" t="s">
        <v>217</v>
      </c>
      <c r="J7" s="215">
        <v>43908</v>
      </c>
      <c r="K7" s="215">
        <v>43999</v>
      </c>
      <c r="L7" s="216">
        <v>98.375</v>
      </c>
      <c r="M7" s="217">
        <v>1.4500000000000001E-2</v>
      </c>
      <c r="N7" s="112"/>
      <c r="O7" s="214" t="s">
        <v>203</v>
      </c>
      <c r="P7" s="218">
        <v>1.4767999999999998E-2</v>
      </c>
      <c r="Q7" s="219" t="b">
        <v>1</v>
      </c>
      <c r="R7" s="198"/>
    </row>
    <row r="8" spans="2:18">
      <c r="B8" s="196"/>
      <c r="C8" s="203" t="s">
        <v>72</v>
      </c>
      <c r="D8" s="220">
        <f>COB</f>
        <v>43734</v>
      </c>
      <c r="E8" s="112" t="s">
        <v>56</v>
      </c>
      <c r="F8" s="190" t="s">
        <v>148</v>
      </c>
      <c r="G8" s="213">
        <v>1.9355000000000001E-2</v>
      </c>
      <c r="H8" s="112"/>
      <c r="I8" s="214" t="s">
        <v>218</v>
      </c>
      <c r="J8" s="221">
        <v>43999</v>
      </c>
      <c r="K8" s="221">
        <v>44090</v>
      </c>
      <c r="L8" s="216">
        <v>98.48</v>
      </c>
      <c r="M8" s="222">
        <v>1.4500000000000001E-2</v>
      </c>
      <c r="N8" s="112"/>
      <c r="O8" s="214" t="s">
        <v>204</v>
      </c>
      <c r="P8" s="218">
        <v>1.4693000000000001E-2</v>
      </c>
      <c r="Q8" s="219" t="b">
        <v>1</v>
      </c>
      <c r="R8" s="198"/>
    </row>
    <row r="9" spans="2:18">
      <c r="B9" s="196"/>
      <c r="C9" s="121"/>
      <c r="D9" s="223"/>
      <c r="E9" s="112" t="s">
        <v>56</v>
      </c>
      <c r="F9" s="190" t="s">
        <v>196</v>
      </c>
      <c r="G9" s="213">
        <v>1.8959999999999998E-2</v>
      </c>
      <c r="H9" s="112"/>
      <c r="I9" s="214" t="s">
        <v>219</v>
      </c>
      <c r="J9" s="221">
        <v>44090</v>
      </c>
      <c r="K9" s="221">
        <v>44181</v>
      </c>
      <c r="L9" s="216">
        <v>98.545000000000002</v>
      </c>
      <c r="M9" s="222">
        <v>1.4500000000000001E-2</v>
      </c>
      <c r="N9" s="112"/>
      <c r="O9" s="214" t="s">
        <v>206</v>
      </c>
      <c r="P9" s="218">
        <v>1.4999E-2</v>
      </c>
      <c r="Q9" s="219" t="b">
        <v>1</v>
      </c>
      <c r="R9" s="198"/>
    </row>
    <row r="10" spans="2:18">
      <c r="B10" s="196"/>
      <c r="C10" s="139"/>
      <c r="D10" s="224"/>
      <c r="E10" s="112" t="s">
        <v>56</v>
      </c>
      <c r="F10" s="225"/>
      <c r="G10" s="226"/>
      <c r="H10" s="112"/>
      <c r="I10" s="214" t="s">
        <v>220</v>
      </c>
      <c r="J10" s="221">
        <v>44181</v>
      </c>
      <c r="K10" s="221">
        <v>44272</v>
      </c>
      <c r="L10" s="216">
        <v>98.555000000000007</v>
      </c>
      <c r="M10" s="222">
        <v>1.4500000000000001E-2</v>
      </c>
      <c r="N10" s="112"/>
      <c r="O10" s="214" t="s">
        <v>221</v>
      </c>
      <c r="P10" s="218">
        <v>1.5243E-2</v>
      </c>
      <c r="Q10" s="219" t="b">
        <v>1</v>
      </c>
      <c r="R10" s="198"/>
    </row>
    <row r="11" spans="2:18">
      <c r="B11" s="196"/>
      <c r="C11" s="112"/>
      <c r="D11" s="112"/>
      <c r="E11" s="112" t="s">
        <v>56</v>
      </c>
      <c r="F11" s="112"/>
      <c r="G11" s="112"/>
      <c r="H11" s="112"/>
      <c r="I11" s="214" t="s">
        <v>222</v>
      </c>
      <c r="J11" s="221">
        <v>44272</v>
      </c>
      <c r="K11" s="221">
        <v>44363</v>
      </c>
      <c r="L11" s="216">
        <v>98.635000000000005</v>
      </c>
      <c r="M11" s="222">
        <v>1.4500000000000001E-2</v>
      </c>
      <c r="N11" s="112"/>
      <c r="O11" s="214" t="s">
        <v>223</v>
      </c>
      <c r="P11" s="218">
        <v>1.5504E-2</v>
      </c>
      <c r="Q11" s="219" t="b">
        <v>1</v>
      </c>
      <c r="R11" s="198"/>
    </row>
    <row r="12" spans="2:18">
      <c r="B12" s="196"/>
      <c r="C12" s="148" t="s">
        <v>74</v>
      </c>
      <c r="D12" s="116"/>
      <c r="E12" s="112" t="s">
        <v>56</v>
      </c>
      <c r="F12" s="112"/>
      <c r="G12" s="112"/>
      <c r="H12" s="112"/>
      <c r="I12" s="214" t="s">
        <v>224</v>
      </c>
      <c r="J12" s="221">
        <v>44363</v>
      </c>
      <c r="K12" s="221">
        <v>44454</v>
      </c>
      <c r="L12" s="216">
        <v>98.644999999999996</v>
      </c>
      <c r="M12" s="222">
        <v>1.4500000000000001E-2</v>
      </c>
      <c r="N12" s="112"/>
      <c r="O12" s="214" t="s">
        <v>207</v>
      </c>
      <c r="P12" s="218">
        <v>1.5762999999999999E-2</v>
      </c>
      <c r="Q12" s="219" t="b">
        <v>1</v>
      </c>
      <c r="R12" s="198"/>
    </row>
    <row r="13" spans="2:18">
      <c r="B13" s="196"/>
      <c r="C13" s="111" t="s">
        <v>75</v>
      </c>
      <c r="D13" s="149" t="s">
        <v>107</v>
      </c>
      <c r="E13" s="112" t="s">
        <v>56</v>
      </c>
      <c r="F13" s="112"/>
      <c r="G13" s="112"/>
      <c r="H13" s="112"/>
      <c r="I13" s="214" t="s">
        <v>225</v>
      </c>
      <c r="J13" s="221">
        <v>44454</v>
      </c>
      <c r="K13" s="221">
        <v>44545</v>
      </c>
      <c r="L13" s="216">
        <v>98.655000000000001</v>
      </c>
      <c r="M13" s="222">
        <v>1.4500000000000001E-2</v>
      </c>
      <c r="N13" s="112"/>
      <c r="O13" s="214" t="s">
        <v>209</v>
      </c>
      <c r="P13" s="218">
        <v>1.6223000000000001E-2</v>
      </c>
      <c r="Q13" s="219" t="b">
        <v>1</v>
      </c>
      <c r="R13" s="198"/>
    </row>
    <row r="14" spans="2:18">
      <c r="B14" s="196"/>
      <c r="C14" s="139" t="s">
        <v>78</v>
      </c>
      <c r="D14" s="151" t="str">
        <f ca="1">_xll.meLWOCurveMarketDataCreate(D13,C4,C5:D10,F4,F6:G10,I4,I6:M31,O4,O6:Q31)</f>
        <v>USD_SWAP_3M_CURVE_MARKETDATA@1:3</v>
      </c>
      <c r="E14" s="112" t="s">
        <v>56</v>
      </c>
      <c r="F14" s="112"/>
      <c r="G14" s="112"/>
      <c r="H14" s="112"/>
      <c r="I14" s="214"/>
      <c r="J14" s="221"/>
      <c r="K14" s="221"/>
      <c r="L14" s="216"/>
      <c r="M14" s="222"/>
      <c r="N14" s="112"/>
      <c r="O14" s="214" t="s">
        <v>211</v>
      </c>
      <c r="P14" s="218">
        <v>1.6742E-2</v>
      </c>
      <c r="Q14" s="219" t="b">
        <v>1</v>
      </c>
      <c r="R14" s="198"/>
    </row>
    <row r="15" spans="2:18">
      <c r="B15" s="196"/>
      <c r="C15" s="112"/>
      <c r="D15" s="112"/>
      <c r="E15" s="112" t="s">
        <v>56</v>
      </c>
      <c r="F15" s="112"/>
      <c r="G15" s="112"/>
      <c r="H15" s="112"/>
      <c r="I15" s="214"/>
      <c r="J15" s="221"/>
      <c r="K15" s="221"/>
      <c r="L15" s="216"/>
      <c r="M15" s="222"/>
      <c r="N15" s="112"/>
      <c r="O15" s="214" t="s">
        <v>212</v>
      </c>
      <c r="P15" s="218">
        <v>1.7287E-2</v>
      </c>
      <c r="Q15" s="219" t="b">
        <v>1</v>
      </c>
      <c r="R15" s="198"/>
    </row>
    <row r="16" spans="2:18">
      <c r="B16" s="196"/>
      <c r="C16" s="112"/>
      <c r="D16" s="112"/>
      <c r="E16" s="112" t="s">
        <v>56</v>
      </c>
      <c r="F16" s="112"/>
      <c r="G16" s="112"/>
      <c r="H16" s="112"/>
      <c r="I16" s="214"/>
      <c r="J16" s="221"/>
      <c r="K16" s="221"/>
      <c r="L16" s="216"/>
      <c r="M16" s="222"/>
      <c r="N16" s="112"/>
      <c r="O16" s="214" t="s">
        <v>214</v>
      </c>
      <c r="P16" s="218">
        <v>1.7479000000000001E-2</v>
      </c>
      <c r="Q16" s="219" t="b">
        <v>1</v>
      </c>
      <c r="R16" s="198"/>
    </row>
    <row r="17" spans="2:18">
      <c r="B17" s="196"/>
      <c r="C17" s="112"/>
      <c r="D17" s="112"/>
      <c r="E17" s="112" t="s">
        <v>56</v>
      </c>
      <c r="F17" s="112"/>
      <c r="G17" s="112"/>
      <c r="H17" s="112"/>
      <c r="I17" s="214"/>
      <c r="J17" s="221"/>
      <c r="K17" s="221"/>
      <c r="L17" s="216"/>
      <c r="M17" s="222"/>
      <c r="N17" s="112"/>
      <c r="O17" s="214" t="s">
        <v>215</v>
      </c>
      <c r="P17" s="218">
        <v>1.7557E-2</v>
      </c>
      <c r="Q17" s="219" t="b">
        <v>1</v>
      </c>
      <c r="R17" s="198"/>
    </row>
    <row r="18" spans="2:18">
      <c r="B18" s="196"/>
      <c r="C18" s="112"/>
      <c r="D18" s="112"/>
      <c r="E18" s="112" t="s">
        <v>56</v>
      </c>
      <c r="F18" s="112"/>
      <c r="G18" s="112"/>
      <c r="H18" s="112"/>
      <c r="I18" s="214"/>
      <c r="J18" s="221"/>
      <c r="K18" s="221"/>
      <c r="L18" s="216"/>
      <c r="M18" s="222"/>
      <c r="N18" s="112"/>
      <c r="O18" s="227"/>
      <c r="P18" s="228"/>
      <c r="Q18" s="229"/>
      <c r="R18" s="230"/>
    </row>
    <row r="19" spans="2:18">
      <c r="B19" s="196"/>
      <c r="C19" s="112"/>
      <c r="D19" s="112"/>
      <c r="E19" s="112" t="s">
        <v>56</v>
      </c>
      <c r="F19" s="112"/>
      <c r="G19" s="112"/>
      <c r="H19" s="112"/>
      <c r="I19" s="214"/>
      <c r="J19" s="221"/>
      <c r="K19" s="221"/>
      <c r="L19" s="216"/>
      <c r="M19" s="222"/>
      <c r="N19" s="112"/>
      <c r="O19" s="227"/>
      <c r="P19" s="228"/>
      <c r="Q19" s="229"/>
      <c r="R19" s="230"/>
    </row>
    <row r="20" spans="2:18">
      <c r="B20" s="196"/>
      <c r="C20" s="161" t="s">
        <v>82</v>
      </c>
      <c r="D20" s="231"/>
      <c r="E20" s="112" t="s">
        <v>56</v>
      </c>
      <c r="F20" s="112"/>
      <c r="G20" s="112"/>
      <c r="H20" s="112"/>
      <c r="I20" s="214"/>
      <c r="J20" s="221"/>
      <c r="K20" s="221"/>
      <c r="L20" s="216"/>
      <c r="M20" s="222"/>
      <c r="N20" s="112"/>
      <c r="O20" s="214"/>
      <c r="P20" s="218"/>
      <c r="Q20" s="232"/>
      <c r="R20" s="198"/>
    </row>
    <row r="21" spans="2:18">
      <c r="B21" s="196"/>
      <c r="C21" s="162" t="s">
        <v>75</v>
      </c>
      <c r="D21" s="163" t="s">
        <v>109</v>
      </c>
      <c r="E21" s="112" t="s">
        <v>56</v>
      </c>
      <c r="F21" s="112"/>
      <c r="G21" s="112"/>
      <c r="H21" s="112"/>
      <c r="I21" s="214"/>
      <c r="J21" s="221"/>
      <c r="K21" s="221"/>
      <c r="L21" s="216"/>
      <c r="M21" s="222"/>
      <c r="N21" s="112"/>
      <c r="O21" s="214"/>
      <c r="P21" s="218"/>
      <c r="Q21" s="232"/>
      <c r="R21" s="198"/>
    </row>
    <row r="22" spans="2:18">
      <c r="B22" s="196"/>
      <c r="C22" s="165" t="s">
        <v>84</v>
      </c>
      <c r="D22" s="178" t="s">
        <v>111</v>
      </c>
      <c r="E22" s="112" t="s">
        <v>56</v>
      </c>
      <c r="F22" s="112"/>
      <c r="G22" s="112"/>
      <c r="H22" s="112"/>
      <c r="I22" s="214"/>
      <c r="J22" s="221"/>
      <c r="K22" s="221"/>
      <c r="L22" s="216"/>
      <c r="M22" s="222"/>
      <c r="N22" s="112"/>
      <c r="O22" s="214"/>
      <c r="P22" s="218"/>
      <c r="Q22" s="232"/>
      <c r="R22" s="198"/>
    </row>
    <row r="23" spans="2:18">
      <c r="B23" s="196"/>
      <c r="C23" s="165" t="s">
        <v>86</v>
      </c>
      <c r="D23" s="166" t="s">
        <v>39</v>
      </c>
      <c r="E23" s="112" t="s">
        <v>56</v>
      </c>
      <c r="F23" s="112"/>
      <c r="G23" s="112"/>
      <c r="H23" s="112"/>
      <c r="I23" s="214"/>
      <c r="J23" s="221"/>
      <c r="K23" s="221"/>
      <c r="L23" s="216"/>
      <c r="M23" s="222"/>
      <c r="N23" s="112"/>
      <c r="O23" s="214"/>
      <c r="P23" s="218"/>
      <c r="Q23" s="232"/>
      <c r="R23" s="198"/>
    </row>
    <row r="24" spans="2:18">
      <c r="B24" s="196"/>
      <c r="C24" s="167" t="s">
        <v>87</v>
      </c>
      <c r="D24" s="168"/>
      <c r="E24" s="112" t="s">
        <v>56</v>
      </c>
      <c r="F24" s="112"/>
      <c r="G24" s="112"/>
      <c r="H24" s="112"/>
      <c r="I24" s="214"/>
      <c r="J24" s="221"/>
      <c r="K24" s="221"/>
      <c r="L24" s="216"/>
      <c r="M24" s="222"/>
      <c r="N24" s="112"/>
      <c r="O24" s="214"/>
      <c r="P24" s="218"/>
      <c r="Q24" s="232"/>
      <c r="R24" s="198"/>
    </row>
    <row r="25" spans="2:18">
      <c r="B25" s="196"/>
      <c r="C25" s="112"/>
      <c r="D25" s="112"/>
      <c r="E25" s="112" t="s">
        <v>56</v>
      </c>
      <c r="F25" s="112"/>
      <c r="G25" s="112"/>
      <c r="H25" s="112"/>
      <c r="I25" s="214"/>
      <c r="J25" s="221"/>
      <c r="K25" s="221"/>
      <c r="L25" s="216"/>
      <c r="M25" s="222"/>
      <c r="N25" s="112"/>
      <c r="O25" s="214"/>
      <c r="P25" s="218"/>
      <c r="Q25" s="232"/>
      <c r="R25" s="198"/>
    </row>
    <row r="26" spans="2:18">
      <c r="B26" s="196"/>
      <c r="C26" s="112"/>
      <c r="D26" s="112"/>
      <c r="E26" s="112" t="s">
        <v>56</v>
      </c>
      <c r="F26" s="112"/>
      <c r="G26" s="112"/>
      <c r="H26" s="112"/>
      <c r="I26" s="214"/>
      <c r="J26" s="221"/>
      <c r="K26" s="221"/>
      <c r="L26" s="216"/>
      <c r="M26" s="222"/>
      <c r="N26" s="112"/>
      <c r="O26" s="214"/>
      <c r="P26" s="218"/>
      <c r="Q26" s="232"/>
      <c r="R26" s="198"/>
    </row>
    <row r="27" spans="2:18">
      <c r="B27" s="196"/>
      <c r="C27" s="161" t="s">
        <v>89</v>
      </c>
      <c r="D27" s="112"/>
      <c r="E27" s="112" t="s">
        <v>56</v>
      </c>
      <c r="F27" s="112"/>
      <c r="G27" s="112"/>
      <c r="H27" s="112"/>
      <c r="I27" s="214"/>
      <c r="J27" s="221"/>
      <c r="K27" s="221"/>
      <c r="L27" s="216"/>
      <c r="M27" s="222"/>
      <c r="N27" s="112"/>
      <c r="O27" s="214"/>
      <c r="P27" s="218"/>
      <c r="Q27" s="232"/>
      <c r="R27" s="198"/>
    </row>
    <row r="28" spans="2:18">
      <c r="B28" s="196"/>
      <c r="C28" s="172" t="s">
        <v>75</v>
      </c>
      <c r="D28" s="173" t="str">
        <f t="array" aca="1" ref="D28:D31" ca="1">IF('USD OIS'!$D$32,_xll.meLWOCurveCalibrate(D21,D22,D14,D23,D24),"LOAD USDOIS CURVE")</f>
        <v>USD_SWAP_3M_CURVE@12:3</v>
      </c>
      <c r="E28" s="112" t="s">
        <v>56</v>
      </c>
      <c r="F28" s="112"/>
      <c r="G28" s="112"/>
      <c r="H28" s="112"/>
      <c r="I28" s="214"/>
      <c r="J28" s="221"/>
      <c r="K28" s="221"/>
      <c r="L28" s="216"/>
      <c r="M28" s="222"/>
      <c r="N28" s="112"/>
      <c r="O28" s="214"/>
      <c r="P28" s="218"/>
      <c r="Q28" s="232"/>
      <c r="R28" s="198"/>
    </row>
    <row r="29" spans="2:18">
      <c r="B29" s="196"/>
      <c r="C29" s="178" t="s">
        <v>92</v>
      </c>
      <c r="D29" s="174" t="str">
        <f ca="1"/>
        <v>USDYC</v>
      </c>
      <c r="E29" s="112" t="s">
        <v>56</v>
      </c>
      <c r="F29" s="112"/>
      <c r="G29" s="112"/>
      <c r="H29" s="112"/>
      <c r="I29" s="214"/>
      <c r="J29" s="221"/>
      <c r="K29" s="221"/>
      <c r="L29" s="216"/>
      <c r="M29" s="222"/>
      <c r="N29" s="112"/>
      <c r="O29" s="214"/>
      <c r="P29" s="218"/>
      <c r="Q29" s="232"/>
      <c r="R29" s="198"/>
    </row>
    <row r="30" spans="2:18">
      <c r="B30" s="196"/>
      <c r="C30" s="178" t="s">
        <v>93</v>
      </c>
      <c r="D30" s="174" t="str">
        <f ca="1"/>
        <v>STD:USD3ML</v>
      </c>
      <c r="E30" s="112" t="s">
        <v>56</v>
      </c>
      <c r="F30" s="112"/>
      <c r="G30" s="112"/>
      <c r="H30" s="112"/>
      <c r="I30" s="214"/>
      <c r="J30" s="221"/>
      <c r="K30" s="221"/>
      <c r="L30" s="216"/>
      <c r="M30" s="222"/>
      <c r="N30" s="112"/>
      <c r="O30" s="214"/>
      <c r="P30" s="218"/>
      <c r="Q30" s="232"/>
      <c r="R30" s="198"/>
    </row>
    <row r="31" spans="2:18">
      <c r="B31" s="196"/>
      <c r="C31" s="180" t="s">
        <v>94</v>
      </c>
      <c r="D31" s="175" t="str">
        <f ca="1"/>
        <v>0.00700 sec</v>
      </c>
      <c r="E31" s="112"/>
      <c r="F31" s="112"/>
      <c r="G31" s="112"/>
      <c r="H31" s="112"/>
      <c r="I31" s="233"/>
      <c r="J31" s="234"/>
      <c r="K31" s="234"/>
      <c r="L31" s="235"/>
      <c r="M31" s="236"/>
      <c r="N31" s="112"/>
      <c r="O31" s="233"/>
      <c r="P31" s="237"/>
      <c r="Q31" s="238"/>
      <c r="R31" s="198"/>
    </row>
    <row r="32" spans="2:18">
      <c r="B32" s="196"/>
      <c r="C32" s="186" t="s">
        <v>95</v>
      </c>
      <c r="D32" s="187" t="b">
        <f ca="1">_xll.meLWOExists(D28,"CURVE")</f>
        <v>1</v>
      </c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98"/>
    </row>
    <row r="33" spans="2:18">
      <c r="B33" s="196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98"/>
    </row>
    <row r="34" spans="2:18">
      <c r="B34" s="196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98"/>
    </row>
    <row r="35" spans="2:18">
      <c r="B35" s="196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98"/>
    </row>
    <row r="36" spans="2:18">
      <c r="B36" s="196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98"/>
    </row>
    <row r="37" spans="2:18">
      <c r="B37" s="196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98"/>
    </row>
    <row r="38" spans="2:18">
      <c r="B38" s="196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98"/>
    </row>
    <row r="39" spans="2:18">
      <c r="B39" s="196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98"/>
    </row>
    <row r="40" spans="2:18">
      <c r="B40" s="196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98"/>
    </row>
    <row r="41" spans="2:18">
      <c r="B41" s="196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98"/>
    </row>
    <row r="42" spans="2:18">
      <c r="B42" s="196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98"/>
    </row>
    <row r="43" spans="2:18">
      <c r="B43" s="196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98"/>
    </row>
    <row r="44" spans="2:18">
      <c r="B44" s="196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98"/>
    </row>
    <row r="45" spans="2:18">
      <c r="B45" s="196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98"/>
    </row>
    <row r="46" spans="2:18">
      <c r="B46" s="196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98"/>
    </row>
    <row r="47" spans="2:18">
      <c r="B47" s="196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98"/>
    </row>
    <row r="48" spans="2:18">
      <c r="B48" s="196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98"/>
    </row>
    <row r="49" spans="2:18">
      <c r="B49" s="196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98"/>
    </row>
    <row r="50" spans="2:18">
      <c r="B50" s="196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98"/>
    </row>
    <row r="51" spans="2:18">
      <c r="B51" s="196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98"/>
    </row>
    <row r="52" spans="2:18">
      <c r="B52" s="196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98"/>
    </row>
    <row r="53" spans="2:18">
      <c r="B53" s="196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98"/>
    </row>
    <row r="54" spans="2:18">
      <c r="B54" s="196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98"/>
    </row>
    <row r="55" spans="2:18">
      <c r="B55" s="196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98"/>
    </row>
    <row r="56" spans="2:18">
      <c r="B56" s="196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98"/>
    </row>
    <row r="57" spans="2:18">
      <c r="B57" s="196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98"/>
    </row>
    <row r="58" spans="2:18">
      <c r="B58" s="196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98"/>
    </row>
    <row r="59" spans="2:18">
      <c r="B59" s="196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98"/>
    </row>
    <row r="60" spans="2:18">
      <c r="B60" s="196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98"/>
    </row>
    <row r="61" spans="2:18">
      <c r="B61" s="196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98"/>
    </row>
    <row r="62" spans="2:18">
      <c r="B62" s="196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98"/>
    </row>
    <row r="63" spans="2:18">
      <c r="B63" s="196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98"/>
    </row>
    <row r="64" spans="2:18">
      <c r="B64" s="196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98"/>
    </row>
    <row r="65" spans="2:18">
      <c r="B65" s="196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98"/>
    </row>
    <row r="66" spans="2:18">
      <c r="B66" s="196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98"/>
    </row>
    <row r="67" spans="2:18">
      <c r="B67" s="196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98"/>
    </row>
    <row r="68" spans="2:18">
      <c r="B68" s="196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98"/>
    </row>
    <row r="69" spans="2:18">
      <c r="B69" s="196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98"/>
    </row>
    <row r="70" spans="2:18">
      <c r="B70" s="196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98"/>
    </row>
    <row r="71" spans="2:18">
      <c r="B71" s="196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98"/>
    </row>
    <row r="72" spans="2:18">
      <c r="B72" s="196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98"/>
    </row>
    <row r="73" spans="2:18">
      <c r="B73" s="196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98"/>
    </row>
    <row r="74" spans="2:18">
      <c r="B74" s="196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98"/>
    </row>
    <row r="75" spans="2:18">
      <c r="B75" s="196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98"/>
    </row>
    <row r="76" spans="2:18">
      <c r="B76" s="196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98"/>
    </row>
    <row r="77" spans="2:18">
      <c r="B77" s="196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98"/>
    </row>
    <row r="78" spans="2:18">
      <c r="B78" s="196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98"/>
    </row>
    <row r="79" spans="2:18">
      <c r="B79" s="196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98"/>
    </row>
    <row r="80" spans="2:18">
      <c r="B80" s="196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98"/>
    </row>
    <row r="81" spans="2:18">
      <c r="B81" s="196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98"/>
    </row>
    <row r="82" spans="2:18">
      <c r="B82" s="196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98"/>
    </row>
    <row r="83" spans="2:18">
      <c r="B83" s="196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98"/>
    </row>
    <row r="84" spans="2:18">
      <c r="B84" s="196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98"/>
    </row>
    <row r="85" spans="2:18">
      <c r="B85" s="196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98"/>
    </row>
    <row r="86" spans="2:18">
      <c r="B86" s="196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98"/>
    </row>
    <row r="87" spans="2:18">
      <c r="B87" s="196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98"/>
    </row>
    <row r="88" spans="2:18">
      <c r="B88" s="196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98"/>
    </row>
    <row r="89" spans="2:18">
      <c r="B89" s="196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98"/>
    </row>
    <row r="90" spans="2:18">
      <c r="B90" s="196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98"/>
    </row>
    <row r="91" spans="2:18">
      <c r="B91" s="196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98"/>
    </row>
    <row r="92" spans="2:18">
      <c r="B92" s="196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98"/>
    </row>
    <row r="93" spans="2:18">
      <c r="B93" s="196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98"/>
    </row>
    <row r="94" spans="2:18">
      <c r="B94" s="196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98"/>
    </row>
    <row r="95" spans="2:18">
      <c r="B95" s="196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98"/>
    </row>
    <row r="96" spans="2:18">
      <c r="B96" s="196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98"/>
    </row>
    <row r="97" spans="2:18">
      <c r="B97" s="196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98"/>
    </row>
    <row r="98" spans="2:18">
      <c r="B98" s="196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98"/>
    </row>
    <row r="99" spans="2:18">
      <c r="B99" s="196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98"/>
    </row>
    <row r="100" spans="2:18">
      <c r="B100" s="196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98"/>
    </row>
    <row r="101" spans="2:18">
      <c r="B101" s="196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98"/>
    </row>
    <row r="102" spans="2:18">
      <c r="B102" s="196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98"/>
    </row>
    <row r="103" spans="2:18">
      <c r="B103" s="242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1"/>
  </sheetPr>
  <dimension ref="B2:P79"/>
  <sheetViews>
    <sheetView showGridLines="0" workbookViewId="0"/>
  </sheetViews>
  <sheetFormatPr defaultRowHeight="15"/>
  <cols>
    <col min="1" max="1" width="4.7109375" style="104" customWidth="1"/>
    <col min="2" max="2" width="2.7109375" style="104" hidden="1" customWidth="1"/>
    <col min="3" max="3" width="13" style="104" hidden="1" customWidth="1"/>
    <col min="4" max="4" width="32" style="104" hidden="1" customWidth="1"/>
    <col min="5" max="5" width="32.42578125" style="104" hidden="1" customWidth="1"/>
    <col min="6" max="6" width="9.140625" style="104" hidden="1" customWidth="1"/>
    <col min="7" max="8" width="20.7109375" style="104" hidden="1" customWidth="1"/>
    <col min="9" max="9" width="2.7109375" style="104" hidden="1" customWidth="1"/>
    <col min="10" max="10" width="4.7109375" style="104" hidden="1" customWidth="1"/>
    <col min="11" max="11" width="25.140625" style="104" bestFit="1" customWidth="1"/>
    <col min="12" max="12" width="34.7109375" style="245" customWidth="1"/>
    <col min="13" max="13" width="9.140625" style="104"/>
    <col min="14" max="14" width="12.5703125" style="104" customWidth="1"/>
    <col min="15" max="15" width="12.7109375" style="104" customWidth="1"/>
    <col min="16" max="16384" width="9.140625" style="104"/>
  </cols>
  <sheetData>
    <row r="2" spans="2:15">
      <c r="B2" s="150" t="s">
        <v>114</v>
      </c>
      <c r="C2" s="150"/>
    </row>
    <row r="3" spans="2:15">
      <c r="B3" s="105"/>
      <c r="C3" s="108"/>
      <c r="D3" s="106"/>
      <c r="E3" s="107"/>
      <c r="F3" s="108"/>
      <c r="G3" s="108"/>
      <c r="H3" s="108"/>
      <c r="I3" s="109"/>
      <c r="K3" s="246" t="s">
        <v>57</v>
      </c>
      <c r="N3" s="247" t="s">
        <v>115</v>
      </c>
      <c r="O3" s="248"/>
    </row>
    <row r="4" spans="2:15">
      <c r="B4" s="110"/>
      <c r="C4" s="112"/>
      <c r="D4" s="249" t="s">
        <v>114</v>
      </c>
      <c r="E4" s="250" t="s">
        <v>116</v>
      </c>
      <c r="F4" s="251"/>
      <c r="G4" s="252"/>
      <c r="H4" s="112" t="s">
        <v>56</v>
      </c>
      <c r="I4" s="113"/>
      <c r="K4" s="172" t="s">
        <v>36</v>
      </c>
      <c r="L4" s="253" t="s">
        <v>37</v>
      </c>
      <c r="N4" s="254" t="s">
        <v>61</v>
      </c>
      <c r="O4" s="255" t="s">
        <v>62</v>
      </c>
    </row>
    <row r="5" spans="2:15">
      <c r="B5" s="110"/>
      <c r="C5" s="112"/>
      <c r="D5" s="192" t="s">
        <v>95</v>
      </c>
      <c r="E5" s="118" t="e">
        <f>LEFT(E4,5)=CurveCollection</f>
        <v>#NAME?</v>
      </c>
      <c r="F5" s="112"/>
      <c r="G5" s="112"/>
      <c r="H5" s="112"/>
      <c r="I5" s="113"/>
      <c r="K5" s="178" t="s">
        <v>67</v>
      </c>
      <c r="L5" s="256" t="s">
        <v>117</v>
      </c>
      <c r="N5" s="257" t="s">
        <v>198</v>
      </c>
      <c r="O5" s="258">
        <v>7.1250000000000003E-4</v>
      </c>
    </row>
    <row r="6" spans="2:15">
      <c r="B6" s="110"/>
      <c r="C6" s="112"/>
      <c r="D6" s="115"/>
      <c r="E6" s="120"/>
      <c r="F6" s="112"/>
      <c r="G6" s="112"/>
      <c r="H6" s="112"/>
      <c r="I6" s="113"/>
      <c r="K6" s="178" t="s">
        <v>69</v>
      </c>
      <c r="L6" s="256" t="s">
        <v>101</v>
      </c>
      <c r="N6" s="257" t="s">
        <v>200</v>
      </c>
      <c r="O6" s="258">
        <v>6.625E-4</v>
      </c>
    </row>
    <row r="7" spans="2:15">
      <c r="B7" s="110"/>
      <c r="C7" s="112"/>
      <c r="D7" s="115"/>
      <c r="E7" s="120"/>
      <c r="F7" s="112"/>
      <c r="G7" s="112"/>
      <c r="H7" s="112"/>
      <c r="I7" s="113"/>
      <c r="K7" s="180" t="s">
        <v>72</v>
      </c>
      <c r="L7" s="259">
        <f>COB</f>
        <v>43734</v>
      </c>
      <c r="N7" s="257" t="s">
        <v>96</v>
      </c>
      <c r="O7" s="258">
        <v>6.7500000000000004E-4</v>
      </c>
    </row>
    <row r="8" spans="2:15">
      <c r="B8" s="110"/>
      <c r="C8" s="112"/>
      <c r="D8" s="130" t="s">
        <v>66</v>
      </c>
      <c r="E8" s="131"/>
      <c r="F8" s="112"/>
      <c r="G8" s="112"/>
      <c r="H8" s="112"/>
      <c r="I8" s="113"/>
      <c r="N8" s="257" t="s">
        <v>203</v>
      </c>
      <c r="O8" s="258">
        <v>6.9999999999999999E-4</v>
      </c>
    </row>
    <row r="9" spans="2:15">
      <c r="B9" s="110"/>
      <c r="C9" s="112"/>
      <c r="D9" s="260" t="s">
        <v>68</v>
      </c>
      <c r="E9" s="138" t="s">
        <v>39</v>
      </c>
      <c r="F9" s="112"/>
      <c r="G9" s="112"/>
      <c r="H9" s="112"/>
      <c r="I9" s="113"/>
      <c r="K9" s="261" t="s">
        <v>118</v>
      </c>
      <c r="N9" s="257" t="s">
        <v>204</v>
      </c>
      <c r="O9" s="258">
        <v>7.2499999999999995E-4</v>
      </c>
    </row>
    <row r="10" spans="2:15">
      <c r="B10" s="110"/>
      <c r="C10" s="112"/>
      <c r="D10" s="153" t="s">
        <v>71</v>
      </c>
      <c r="E10" s="141" t="s">
        <v>119</v>
      </c>
      <c r="F10" s="112"/>
      <c r="G10" s="112"/>
      <c r="H10" s="112"/>
      <c r="I10" s="113"/>
      <c r="K10" s="172" t="s">
        <v>75</v>
      </c>
      <c r="L10" s="253" t="s">
        <v>120</v>
      </c>
      <c r="N10" s="257" t="s">
        <v>226</v>
      </c>
      <c r="O10" s="258">
        <v>7.6250000000000005E-4</v>
      </c>
    </row>
    <row r="11" spans="2:15">
      <c r="B11" s="110"/>
      <c r="C11" s="112"/>
      <c r="D11" s="143" t="s">
        <v>73</v>
      </c>
      <c r="E11" s="160" t="s">
        <v>121</v>
      </c>
      <c r="F11" s="112"/>
      <c r="G11" s="112"/>
      <c r="H11" s="112"/>
      <c r="I11" s="113" t="s">
        <v>56</v>
      </c>
      <c r="K11" s="178" t="s">
        <v>78</v>
      </c>
      <c r="L11" s="262" t="str">
        <f ca="1">_xll.meLWOCurveMarketDataCreate(L10,K3,K4:L7,N3,N5:O24)</f>
        <v>USD_BASIS_3X6_MARKETDATA@5:3</v>
      </c>
      <c r="N11" s="257" t="s">
        <v>206</v>
      </c>
      <c r="O11" s="258">
        <v>8.0000000000000004E-4</v>
      </c>
    </row>
    <row r="12" spans="2:15">
      <c r="B12" s="144"/>
      <c r="C12" s="145"/>
      <c r="D12" s="145"/>
      <c r="E12" s="145"/>
      <c r="F12" s="145"/>
      <c r="G12" s="145"/>
      <c r="H12" s="145"/>
      <c r="I12" s="146"/>
      <c r="K12" s="180"/>
      <c r="L12" s="263"/>
      <c r="N12" s="257" t="s">
        <v>221</v>
      </c>
      <c r="O12" s="258">
        <v>8.25E-4</v>
      </c>
    </row>
    <row r="13" spans="2:15">
      <c r="N13" s="257" t="s">
        <v>223</v>
      </c>
      <c r="O13" s="258">
        <v>8.4999999999999995E-4</v>
      </c>
    </row>
    <row r="14" spans="2:15">
      <c r="K14" s="261" t="s">
        <v>122</v>
      </c>
      <c r="N14" s="257" t="s">
        <v>207</v>
      </c>
      <c r="O14" s="258">
        <v>8.7500000000000002E-4</v>
      </c>
    </row>
    <row r="15" spans="2:15">
      <c r="B15" s="150" t="s">
        <v>77</v>
      </c>
      <c r="C15" s="150"/>
      <c r="K15" s="172" t="s">
        <v>123</v>
      </c>
      <c r="L15" s="253" t="s">
        <v>124</v>
      </c>
      <c r="N15" s="257" t="s">
        <v>209</v>
      </c>
      <c r="O15" s="258">
        <v>9.1250000000000001E-4</v>
      </c>
    </row>
    <row r="16" spans="2:15">
      <c r="B16" s="105"/>
      <c r="C16" s="108"/>
      <c r="D16" s="106"/>
      <c r="E16" s="107"/>
      <c r="F16" s="108"/>
      <c r="G16" s="108"/>
      <c r="H16" s="108"/>
      <c r="I16" s="109"/>
      <c r="K16" s="178" t="s">
        <v>125</v>
      </c>
      <c r="L16" s="256" t="s">
        <v>126</v>
      </c>
      <c r="N16" s="257" t="s">
        <v>211</v>
      </c>
      <c r="O16" s="258">
        <v>9.5E-4</v>
      </c>
    </row>
    <row r="17" spans="2:16">
      <c r="B17" s="110"/>
      <c r="C17" s="112"/>
      <c r="D17" s="130" t="s">
        <v>77</v>
      </c>
      <c r="E17" s="152"/>
      <c r="F17" s="112"/>
      <c r="G17" s="112"/>
      <c r="H17" s="112"/>
      <c r="I17" s="113"/>
      <c r="K17" s="178" t="s">
        <v>127</v>
      </c>
      <c r="L17" s="256" t="s">
        <v>39</v>
      </c>
      <c r="N17" s="257" t="s">
        <v>212</v>
      </c>
      <c r="O17" s="258">
        <v>9.875000000000001E-4</v>
      </c>
    </row>
    <row r="18" spans="2:16">
      <c r="B18" s="110"/>
      <c r="C18" s="112"/>
      <c r="D18" s="137" t="s">
        <v>72</v>
      </c>
      <c r="E18" s="154" t="e">
        <f>Settings.COB</f>
        <v>#NAME?</v>
      </c>
      <c r="F18" s="112"/>
      <c r="G18" s="112"/>
      <c r="H18" s="112"/>
      <c r="I18" s="113"/>
      <c r="K18" s="180" t="s">
        <v>128</v>
      </c>
      <c r="L18" s="263"/>
      <c r="N18" s="257" t="s">
        <v>214</v>
      </c>
      <c r="O18" s="258">
        <v>1.0124999999999999E-3</v>
      </c>
    </row>
    <row r="19" spans="2:16">
      <c r="B19" s="110"/>
      <c r="C19" s="112"/>
      <c r="D19" s="153" t="s">
        <v>36</v>
      </c>
      <c r="E19" s="141" t="s">
        <v>37</v>
      </c>
      <c r="F19" s="112"/>
      <c r="G19" s="112"/>
      <c r="H19" s="112"/>
      <c r="I19" s="113"/>
      <c r="N19" s="257" t="s">
        <v>215</v>
      </c>
      <c r="O19" s="258">
        <v>1.0250000000000001E-3</v>
      </c>
    </row>
    <row r="20" spans="2:16">
      <c r="B20" s="110"/>
      <c r="C20" s="112"/>
      <c r="D20" s="153" t="s">
        <v>79</v>
      </c>
      <c r="E20" s="141" t="s">
        <v>80</v>
      </c>
      <c r="F20" s="112"/>
      <c r="G20" s="112"/>
      <c r="H20" s="112"/>
      <c r="I20" s="113"/>
      <c r="K20" s="261" t="s">
        <v>129</v>
      </c>
      <c r="N20" s="264"/>
      <c r="O20" s="265"/>
      <c r="P20" s="266"/>
    </row>
    <row r="21" spans="2:16">
      <c r="B21" s="110"/>
      <c r="C21" s="112"/>
      <c r="D21" s="153" t="s">
        <v>81</v>
      </c>
      <c r="E21" s="141" t="s">
        <v>80</v>
      </c>
      <c r="F21" s="112"/>
      <c r="G21" s="112"/>
      <c r="H21" s="112"/>
      <c r="I21" s="113"/>
      <c r="K21" s="172" t="s">
        <v>75</v>
      </c>
      <c r="L21" s="267" t="str">
        <f t="array" aca="1" ref="L21:L24" ca="1">IF('USD SWAP 3ML'!$D$32,_xll.meLWOCurveCalibrate($L$15,$L$16,$L$11,$L$17,$L$18),"LOAD USD3ML CURVE")</f>
        <v>USD_BASIS_6M_CURVE@13:3</v>
      </c>
      <c r="N21" s="264"/>
      <c r="O21" s="265"/>
      <c r="P21" s="266"/>
    </row>
    <row r="22" spans="2:16">
      <c r="B22" s="110"/>
      <c r="C22" s="112"/>
      <c r="D22" s="153" t="s">
        <v>130</v>
      </c>
      <c r="E22" s="141" t="s">
        <v>80</v>
      </c>
      <c r="F22" s="112"/>
      <c r="G22" s="112"/>
      <c r="H22" s="112"/>
      <c r="I22" s="113"/>
      <c r="K22" s="178" t="s">
        <v>92</v>
      </c>
      <c r="L22" s="268" t="str">
        <f ca="1"/>
        <v>USDYC</v>
      </c>
      <c r="N22" s="270"/>
      <c r="O22" s="271"/>
    </row>
    <row r="23" spans="2:16">
      <c r="B23" s="110"/>
      <c r="C23" s="112"/>
      <c r="D23" s="153" t="s">
        <v>131</v>
      </c>
      <c r="E23" s="141" t="b">
        <v>0</v>
      </c>
      <c r="F23" s="112"/>
      <c r="G23" s="112"/>
      <c r="H23" s="112"/>
      <c r="I23" s="113"/>
      <c r="K23" s="178" t="s">
        <v>93</v>
      </c>
      <c r="L23" s="268" t="str">
        <f ca="1"/>
        <v>3M6MBasis:USD6ML</v>
      </c>
      <c r="N23" s="270"/>
      <c r="O23" s="271"/>
    </row>
    <row r="24" spans="2:16">
      <c r="B24" s="110"/>
      <c r="C24" s="112"/>
      <c r="D24" s="153" t="s">
        <v>132</v>
      </c>
      <c r="E24" s="141" t="s">
        <v>58</v>
      </c>
      <c r="F24" s="112"/>
      <c r="G24" s="112"/>
      <c r="H24" s="112"/>
      <c r="I24" s="113"/>
      <c r="K24" s="180" t="s">
        <v>94</v>
      </c>
      <c r="L24" s="269" t="str">
        <f ca="1"/>
        <v>0.00800 sec</v>
      </c>
      <c r="N24" s="272"/>
      <c r="O24" s="273"/>
    </row>
    <row r="25" spans="2:16">
      <c r="B25" s="110"/>
      <c r="C25" s="112"/>
      <c r="D25" s="147"/>
      <c r="E25" s="274"/>
      <c r="F25" s="112"/>
      <c r="G25" s="112"/>
      <c r="H25" s="112"/>
      <c r="I25" s="113"/>
      <c r="K25" s="275" t="s">
        <v>133</v>
      </c>
      <c r="L25" s="276" t="b">
        <f ca="1">_xll.meLWOExists(L21,"CURVE")</f>
        <v>1</v>
      </c>
    </row>
    <row r="26" spans="2:16">
      <c r="B26" s="110"/>
      <c r="C26" s="112"/>
      <c r="D26" s="147"/>
      <c r="E26" s="274"/>
      <c r="F26" s="112"/>
      <c r="G26" s="112"/>
      <c r="H26" s="112"/>
      <c r="I26" s="113"/>
    </row>
    <row r="27" spans="2:16">
      <c r="B27" s="110"/>
      <c r="C27" s="112"/>
      <c r="D27" s="147"/>
      <c r="E27" s="274"/>
      <c r="F27" s="112"/>
      <c r="G27" s="112"/>
      <c r="H27" s="112"/>
      <c r="I27" s="113"/>
    </row>
    <row r="28" spans="2:16">
      <c r="B28" s="110"/>
      <c r="C28" s="112"/>
      <c r="D28" s="159"/>
      <c r="E28" s="164"/>
      <c r="F28" s="112"/>
      <c r="G28" s="112"/>
      <c r="H28" s="112"/>
      <c r="I28" s="113"/>
    </row>
    <row r="29" spans="2:16">
      <c r="B29" s="144"/>
      <c r="C29" s="145"/>
      <c r="D29" s="145"/>
      <c r="E29" s="145"/>
      <c r="F29" s="145"/>
      <c r="G29" s="145"/>
      <c r="H29" s="145"/>
      <c r="I29" s="146"/>
    </row>
    <row r="32" spans="2:16">
      <c r="B32" s="150" t="s">
        <v>134</v>
      </c>
      <c r="C32" s="150"/>
    </row>
    <row r="33" spans="2:9">
      <c r="B33" s="105"/>
      <c r="C33" s="108"/>
      <c r="D33" s="108"/>
      <c r="E33" s="108"/>
      <c r="F33" s="108"/>
      <c r="G33" s="108"/>
      <c r="H33" s="108"/>
      <c r="I33" s="109"/>
    </row>
    <row r="34" spans="2:9">
      <c r="B34" s="110"/>
      <c r="C34" s="112"/>
      <c r="D34" s="114" t="s">
        <v>135</v>
      </c>
      <c r="E34" s="169"/>
      <c r="F34" s="169"/>
      <c r="G34" s="114" t="s">
        <v>136</v>
      </c>
      <c r="H34" s="169"/>
      <c r="I34" s="170"/>
    </row>
    <row r="35" spans="2:9">
      <c r="B35" s="110"/>
      <c r="C35" s="277"/>
      <c r="D35" s="260" t="s">
        <v>137</v>
      </c>
      <c r="E35" s="171" t="s">
        <v>119</v>
      </c>
      <c r="F35" s="112"/>
      <c r="G35" s="202" t="s">
        <v>61</v>
      </c>
      <c r="H35" s="202" t="s">
        <v>62</v>
      </c>
      <c r="I35" s="170"/>
    </row>
    <row r="36" spans="2:9">
      <c r="B36" s="110"/>
      <c r="C36" s="330" t="s">
        <v>138</v>
      </c>
      <c r="D36" s="153" t="s">
        <v>139</v>
      </c>
      <c r="E36" s="176" t="b">
        <v>0</v>
      </c>
      <c r="F36" s="177"/>
      <c r="G36" s="124" t="s">
        <v>198</v>
      </c>
      <c r="H36" s="129">
        <v>7.1250000000000003E-4</v>
      </c>
      <c r="I36" s="170"/>
    </row>
    <row r="37" spans="2:9">
      <c r="B37" s="110"/>
      <c r="C37" s="331"/>
      <c r="D37" s="153" t="s">
        <v>140</v>
      </c>
      <c r="E37" s="176" t="s">
        <v>99</v>
      </c>
      <c r="F37" s="177"/>
      <c r="G37" s="134" t="s">
        <v>200</v>
      </c>
      <c r="H37" s="136">
        <v>6.625E-4</v>
      </c>
      <c r="I37" s="170"/>
    </row>
    <row r="38" spans="2:9">
      <c r="B38" s="110"/>
      <c r="C38" s="331"/>
      <c r="D38" s="153" t="s">
        <v>141</v>
      </c>
      <c r="E38" s="176" t="s">
        <v>15</v>
      </c>
      <c r="F38" s="177"/>
      <c r="G38" s="134" t="s">
        <v>96</v>
      </c>
      <c r="H38" s="136">
        <v>6.7500000000000004E-4</v>
      </c>
      <c r="I38" s="170"/>
    </row>
    <row r="39" spans="2:9">
      <c r="B39" s="110"/>
      <c r="C39" s="331"/>
      <c r="D39" s="153" t="s">
        <v>142</v>
      </c>
      <c r="E39" s="176" t="s">
        <v>101</v>
      </c>
      <c r="F39" s="177"/>
      <c r="G39" s="134" t="s">
        <v>203</v>
      </c>
      <c r="H39" s="136">
        <v>6.9999999999999999E-4</v>
      </c>
      <c r="I39" s="170"/>
    </row>
    <row r="40" spans="2:9">
      <c r="B40" s="110"/>
      <c r="C40" s="331"/>
      <c r="D40" s="153" t="s">
        <v>143</v>
      </c>
      <c r="E40" s="176" t="s">
        <v>90</v>
      </c>
      <c r="F40" s="177"/>
      <c r="G40" s="134" t="s">
        <v>204</v>
      </c>
      <c r="H40" s="136">
        <v>7.2499999999999995E-4</v>
      </c>
      <c r="I40" s="170"/>
    </row>
    <row r="41" spans="2:9">
      <c r="B41" s="110"/>
      <c r="C41" s="331"/>
      <c r="D41" s="153" t="s">
        <v>144</v>
      </c>
      <c r="E41" s="176" t="s">
        <v>112</v>
      </c>
      <c r="F41" s="177"/>
      <c r="G41" s="134" t="s">
        <v>226</v>
      </c>
      <c r="H41" s="136">
        <v>7.6250000000000005E-4</v>
      </c>
      <c r="I41" s="170"/>
    </row>
    <row r="42" spans="2:9">
      <c r="B42" s="110"/>
      <c r="C42" s="331"/>
      <c r="D42" s="153" t="s">
        <v>145</v>
      </c>
      <c r="E42" s="176" t="s">
        <v>58</v>
      </c>
      <c r="F42" s="177"/>
      <c r="G42" s="134" t="s">
        <v>206</v>
      </c>
      <c r="H42" s="136">
        <v>8.0000000000000004E-4</v>
      </c>
      <c r="I42" s="170"/>
    </row>
    <row r="43" spans="2:9">
      <c r="B43" s="110"/>
      <c r="C43" s="331"/>
      <c r="D43" s="153" t="s">
        <v>146</v>
      </c>
      <c r="E43" s="176" t="s">
        <v>106</v>
      </c>
      <c r="F43" s="177"/>
      <c r="G43" s="134" t="s">
        <v>221</v>
      </c>
      <c r="H43" s="136">
        <v>8.25E-4</v>
      </c>
      <c r="I43" s="170"/>
    </row>
    <row r="44" spans="2:9">
      <c r="B44" s="110"/>
      <c r="C44" s="331"/>
      <c r="D44" s="153" t="s">
        <v>147</v>
      </c>
      <c r="E44" s="176" t="s">
        <v>148</v>
      </c>
      <c r="F44" s="177"/>
      <c r="G44" s="134" t="s">
        <v>223</v>
      </c>
      <c r="H44" s="136">
        <v>8.4999999999999995E-4</v>
      </c>
      <c r="I44" s="170"/>
    </row>
    <row r="45" spans="2:9">
      <c r="B45" s="110"/>
      <c r="C45" s="331"/>
      <c r="D45" s="153" t="s">
        <v>149</v>
      </c>
      <c r="E45" s="176" t="s">
        <v>15</v>
      </c>
      <c r="F45" s="177"/>
      <c r="G45" s="134" t="s">
        <v>207</v>
      </c>
      <c r="H45" s="136">
        <v>8.7500000000000002E-4</v>
      </c>
      <c r="I45" s="170"/>
    </row>
    <row r="46" spans="2:9">
      <c r="B46" s="110"/>
      <c r="C46" s="331"/>
      <c r="D46" s="153" t="s">
        <v>150</v>
      </c>
      <c r="E46" s="176" t="s">
        <v>99</v>
      </c>
      <c r="F46" s="177"/>
      <c r="G46" s="134" t="s">
        <v>209</v>
      </c>
      <c r="H46" s="136">
        <v>9.1250000000000001E-4</v>
      </c>
      <c r="I46" s="170"/>
    </row>
    <row r="47" spans="2:9">
      <c r="B47" s="110"/>
      <c r="C47" s="331"/>
      <c r="D47" s="153" t="s">
        <v>151</v>
      </c>
      <c r="E47" s="176" t="s">
        <v>110</v>
      </c>
      <c r="F47" s="177"/>
      <c r="G47" s="134" t="s">
        <v>211</v>
      </c>
      <c r="H47" s="136">
        <v>9.5E-4</v>
      </c>
      <c r="I47" s="170"/>
    </row>
    <row r="48" spans="2:9">
      <c r="B48" s="110"/>
      <c r="C48" s="331"/>
      <c r="D48" s="153" t="s">
        <v>152</v>
      </c>
      <c r="E48" s="176" t="s">
        <v>99</v>
      </c>
      <c r="F48" s="177"/>
      <c r="G48" s="134" t="s">
        <v>212</v>
      </c>
      <c r="H48" s="136">
        <v>9.875000000000001E-4</v>
      </c>
      <c r="I48" s="170"/>
    </row>
    <row r="49" spans="2:9">
      <c r="B49" s="110"/>
      <c r="C49" s="331"/>
      <c r="D49" s="153" t="s">
        <v>153</v>
      </c>
      <c r="E49" s="176">
        <v>2</v>
      </c>
      <c r="F49" s="177"/>
      <c r="G49" s="134" t="s">
        <v>214</v>
      </c>
      <c r="H49" s="136">
        <v>1.0124999999999999E-3</v>
      </c>
      <c r="I49" s="170"/>
    </row>
    <row r="50" spans="2:9">
      <c r="B50" s="110"/>
      <c r="C50" s="332"/>
      <c r="D50" s="278" t="s">
        <v>154</v>
      </c>
      <c r="E50" s="176" t="s">
        <v>90</v>
      </c>
      <c r="F50" s="177"/>
      <c r="G50" s="134" t="s">
        <v>215</v>
      </c>
      <c r="H50" s="136">
        <v>1.0250000000000001E-3</v>
      </c>
      <c r="I50" s="170"/>
    </row>
    <row r="51" spans="2:9">
      <c r="B51" s="110"/>
      <c r="C51" s="333" t="s">
        <v>155</v>
      </c>
      <c r="D51" s="279" t="s">
        <v>156</v>
      </c>
      <c r="E51" s="280" t="s">
        <v>99</v>
      </c>
      <c r="F51" s="177"/>
      <c r="G51" s="189"/>
      <c r="H51" s="241"/>
      <c r="I51" s="170"/>
    </row>
    <row r="52" spans="2:9">
      <c r="B52" s="110"/>
      <c r="C52" s="334"/>
      <c r="D52" s="153" t="s">
        <v>157</v>
      </c>
      <c r="E52" s="176" t="s">
        <v>15</v>
      </c>
      <c r="F52" s="177"/>
      <c r="G52" s="189"/>
      <c r="H52" s="241"/>
      <c r="I52" s="170"/>
    </row>
    <row r="53" spans="2:9">
      <c r="B53" s="110"/>
      <c r="C53" s="334"/>
      <c r="D53" s="153" t="s">
        <v>158</v>
      </c>
      <c r="E53" s="176" t="s">
        <v>100</v>
      </c>
      <c r="F53" s="177"/>
      <c r="G53" s="189"/>
      <c r="H53" s="239"/>
      <c r="I53" s="170"/>
    </row>
    <row r="54" spans="2:9">
      <c r="B54" s="110"/>
      <c r="C54" s="334"/>
      <c r="D54" s="153" t="s">
        <v>159</v>
      </c>
      <c r="E54" s="176" t="s">
        <v>101</v>
      </c>
      <c r="F54" s="177"/>
      <c r="G54" s="189"/>
      <c r="H54" s="239"/>
      <c r="I54" s="170"/>
    </row>
    <row r="55" spans="2:9">
      <c r="B55" s="110"/>
      <c r="C55" s="334"/>
      <c r="D55" s="153" t="s">
        <v>160</v>
      </c>
      <c r="E55" s="176" t="s">
        <v>90</v>
      </c>
      <c r="F55" s="177"/>
      <c r="G55" s="189"/>
      <c r="H55" s="239"/>
      <c r="I55" s="170"/>
    </row>
    <row r="56" spans="2:9">
      <c r="B56" s="110"/>
      <c r="C56" s="334"/>
      <c r="D56" s="153" t="s">
        <v>161</v>
      </c>
      <c r="E56" s="176" t="s">
        <v>112</v>
      </c>
      <c r="F56" s="177"/>
      <c r="G56" s="189"/>
      <c r="H56" s="239"/>
      <c r="I56" s="170"/>
    </row>
    <row r="57" spans="2:9">
      <c r="B57" s="110"/>
      <c r="C57" s="334"/>
      <c r="D57" s="153" t="s">
        <v>162</v>
      </c>
      <c r="E57" s="176" t="s">
        <v>58</v>
      </c>
      <c r="F57" s="177"/>
      <c r="G57" s="189"/>
      <c r="H57" s="239"/>
      <c r="I57" s="170"/>
    </row>
    <row r="58" spans="2:9">
      <c r="B58" s="110"/>
      <c r="C58" s="334"/>
      <c r="D58" s="153" t="s">
        <v>163</v>
      </c>
      <c r="E58" s="176" t="s">
        <v>14</v>
      </c>
      <c r="F58" s="177"/>
      <c r="G58" s="189"/>
      <c r="H58" s="239"/>
      <c r="I58" s="170"/>
    </row>
    <row r="59" spans="2:9">
      <c r="B59" s="110"/>
      <c r="C59" s="334"/>
      <c r="D59" s="153" t="s">
        <v>164</v>
      </c>
      <c r="E59" s="176" t="s">
        <v>54</v>
      </c>
      <c r="F59" s="177"/>
      <c r="G59" s="189"/>
      <c r="H59" s="239"/>
      <c r="I59" s="170"/>
    </row>
    <row r="60" spans="2:9">
      <c r="B60" s="110"/>
      <c r="C60" s="334"/>
      <c r="D60" s="153" t="s">
        <v>165</v>
      </c>
      <c r="E60" s="176" t="s">
        <v>15</v>
      </c>
      <c r="F60" s="177"/>
      <c r="G60" s="189"/>
      <c r="H60" s="239"/>
      <c r="I60" s="170"/>
    </row>
    <row r="61" spans="2:9">
      <c r="B61" s="110"/>
      <c r="C61" s="334"/>
      <c r="D61" s="153" t="s">
        <v>166</v>
      </c>
      <c r="E61" s="176" t="s">
        <v>99</v>
      </c>
      <c r="F61" s="177"/>
      <c r="G61" s="189"/>
      <c r="H61" s="239"/>
      <c r="I61" s="170"/>
    </row>
    <row r="62" spans="2:9">
      <c r="B62" s="110"/>
      <c r="C62" s="334"/>
      <c r="D62" s="153" t="s">
        <v>167</v>
      </c>
      <c r="E62" s="176" t="s">
        <v>110</v>
      </c>
      <c r="F62" s="177"/>
      <c r="G62" s="189"/>
      <c r="H62" s="239"/>
      <c r="I62" s="170"/>
    </row>
    <row r="63" spans="2:9">
      <c r="B63" s="110"/>
      <c r="C63" s="334"/>
      <c r="D63" s="153" t="s">
        <v>168</v>
      </c>
      <c r="E63" s="176" t="s">
        <v>99</v>
      </c>
      <c r="F63" s="177"/>
      <c r="G63" s="189"/>
      <c r="H63" s="239"/>
      <c r="I63" s="170"/>
    </row>
    <row r="64" spans="2:9">
      <c r="B64" s="110"/>
      <c r="C64" s="334"/>
      <c r="D64" s="153" t="s">
        <v>169</v>
      </c>
      <c r="E64" s="176">
        <v>2</v>
      </c>
      <c r="F64" s="177"/>
      <c r="G64" s="189"/>
      <c r="H64" s="239"/>
      <c r="I64" s="170"/>
    </row>
    <row r="65" spans="2:9">
      <c r="B65" s="110"/>
      <c r="C65" s="335" t="str">
        <f>"Solving For :"&amp;CHAR(32)&amp;$E$65</f>
        <v>Solving For : MOD_FOLLOWING</v>
      </c>
      <c r="D65" s="278" t="s">
        <v>170</v>
      </c>
      <c r="E65" s="176" t="s">
        <v>90</v>
      </c>
      <c r="F65" s="177"/>
      <c r="G65" s="189"/>
      <c r="H65" s="239"/>
      <c r="I65" s="170"/>
    </row>
    <row r="66" spans="2:9">
      <c r="B66" s="110"/>
      <c r="C66" s="336"/>
      <c r="D66" s="153" t="s">
        <v>171</v>
      </c>
      <c r="E66" s="281" t="s">
        <v>172</v>
      </c>
      <c r="F66" s="177"/>
      <c r="G66" s="189"/>
      <c r="H66" s="239"/>
      <c r="I66" s="170"/>
    </row>
    <row r="67" spans="2:9">
      <c r="B67" s="110"/>
      <c r="C67" s="336"/>
      <c r="D67" s="153" t="s">
        <v>113</v>
      </c>
      <c r="E67" s="176" t="b">
        <v>1</v>
      </c>
      <c r="F67" s="177"/>
      <c r="G67" s="189"/>
      <c r="H67" s="239"/>
      <c r="I67" s="170"/>
    </row>
    <row r="68" spans="2:9">
      <c r="B68" s="110"/>
      <c r="C68" s="336"/>
      <c r="D68" s="153" t="s">
        <v>173</v>
      </c>
      <c r="E68" s="176" t="s">
        <v>108</v>
      </c>
      <c r="F68" s="177"/>
      <c r="G68" s="189"/>
      <c r="H68" s="239"/>
      <c r="I68" s="170"/>
    </row>
    <row r="69" spans="2:9">
      <c r="B69" s="110"/>
      <c r="C69" s="336"/>
      <c r="D69" s="153" t="s">
        <v>174</v>
      </c>
      <c r="E69" s="176" t="b">
        <v>1</v>
      </c>
      <c r="F69" s="177"/>
      <c r="G69" s="189"/>
      <c r="H69" s="239"/>
      <c r="I69" s="170"/>
    </row>
    <row r="70" spans="2:9">
      <c r="B70" s="110"/>
      <c r="C70" s="336"/>
      <c r="D70" s="153" t="s">
        <v>175</v>
      </c>
      <c r="E70" s="176" t="s">
        <v>148</v>
      </c>
      <c r="F70" s="177"/>
      <c r="G70" s="189"/>
      <c r="H70" s="239"/>
      <c r="I70" s="170"/>
    </row>
    <row r="71" spans="2:9">
      <c r="B71" s="110"/>
      <c r="C71" s="336"/>
      <c r="D71" s="153" t="s">
        <v>176</v>
      </c>
      <c r="E71" s="240" t="b">
        <v>0</v>
      </c>
      <c r="F71" s="177"/>
      <c r="G71" s="189"/>
      <c r="H71" s="239"/>
      <c r="I71" s="170"/>
    </row>
    <row r="72" spans="2:9">
      <c r="B72" s="110"/>
      <c r="C72" s="336"/>
      <c r="D72" s="153" t="s">
        <v>97</v>
      </c>
      <c r="E72" s="240">
        <v>1.0000000000000001E-9</v>
      </c>
      <c r="F72" s="177"/>
      <c r="G72" s="189"/>
      <c r="H72" s="239"/>
      <c r="I72" s="170"/>
    </row>
    <row r="73" spans="2:9">
      <c r="B73" s="110"/>
      <c r="C73" s="336"/>
      <c r="D73" s="153" t="s">
        <v>98</v>
      </c>
      <c r="E73" s="188">
        <v>1000</v>
      </c>
      <c r="F73" s="177"/>
      <c r="G73" s="189"/>
      <c r="H73" s="239"/>
      <c r="I73" s="170"/>
    </row>
    <row r="74" spans="2:9">
      <c r="B74" s="110"/>
      <c r="C74" s="336"/>
      <c r="D74" s="153" t="s">
        <v>177</v>
      </c>
      <c r="E74" s="176" t="b">
        <v>0</v>
      </c>
      <c r="F74" s="177"/>
      <c r="G74" s="189"/>
      <c r="H74" s="239"/>
      <c r="I74" s="170"/>
    </row>
    <row r="75" spans="2:9">
      <c r="B75" s="110"/>
      <c r="C75" s="336"/>
      <c r="D75" s="153" t="s">
        <v>178</v>
      </c>
      <c r="E75" s="176" t="b">
        <v>1</v>
      </c>
      <c r="F75" s="177"/>
      <c r="G75" s="189"/>
      <c r="H75" s="239"/>
      <c r="I75" s="170"/>
    </row>
    <row r="76" spans="2:9">
      <c r="B76" s="110"/>
      <c r="C76" s="336"/>
      <c r="D76" s="153" t="s">
        <v>91</v>
      </c>
      <c r="E76" s="176">
        <v>31</v>
      </c>
      <c r="F76" s="177"/>
      <c r="G76" s="189"/>
      <c r="H76" s="239"/>
      <c r="I76" s="170"/>
    </row>
    <row r="77" spans="2:9">
      <c r="B77" s="110"/>
      <c r="C77" s="337"/>
      <c r="D77" s="167"/>
      <c r="E77" s="191"/>
      <c r="F77" s="177"/>
      <c r="G77" s="225"/>
      <c r="H77" s="226"/>
      <c r="I77" s="170"/>
    </row>
    <row r="78" spans="2:9">
      <c r="B78" s="110"/>
      <c r="C78" s="112"/>
      <c r="D78" s="177"/>
      <c r="E78" s="177"/>
      <c r="F78" s="177"/>
      <c r="G78" s="169"/>
      <c r="H78" s="169"/>
      <c r="I78" s="170"/>
    </row>
    <row r="79" spans="2:9">
      <c r="B79" s="144"/>
      <c r="C79" s="145"/>
      <c r="D79" s="145"/>
      <c r="E79" s="145"/>
      <c r="F79" s="145"/>
      <c r="G79" s="145"/>
      <c r="H79" s="145"/>
      <c r="I79" s="146"/>
    </row>
  </sheetData>
  <mergeCells count="3">
    <mergeCell ref="C36:C50"/>
    <mergeCell ref="C51:C64"/>
    <mergeCell ref="C65:C77"/>
  </mergeCells>
  <dataValidations count="4">
    <dataValidation type="list" allowBlank="1" showInputMessage="1" showErrorMessage="1" sqref="E39 E53">
      <formula1>"Annual,Semi-Annual,Quarterly,Monthly"</formula1>
    </dataValidation>
    <dataValidation type="list" allowBlank="1" showInputMessage="1" showErrorMessage="1" sqref="E38 E64 E54 E50 E40">
      <formula1>"FOLLOWING,MOD_FOLLOWING,PRECEDING,MOD_PRECEEDING,NO_CHANGE"</formula1>
    </dataValidation>
    <dataValidation type="list" allowBlank="1" showInputMessage="1" showErrorMessage="1" sqref="E67">
      <formula1>$F$19:$F$24</formula1>
    </dataValidation>
    <dataValidation type="list" allowBlank="1" showInputMessage="1" showErrorMessage="1" sqref="E20">
      <formula1>$G$18:$G$23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1"/>
  </sheetPr>
  <dimension ref="B2:P79"/>
  <sheetViews>
    <sheetView showGridLines="0" workbookViewId="0"/>
  </sheetViews>
  <sheetFormatPr defaultRowHeight="15"/>
  <cols>
    <col min="1" max="1" width="4.7109375" style="104" customWidth="1"/>
    <col min="2" max="2" width="2.7109375" style="104" hidden="1" customWidth="1"/>
    <col min="3" max="3" width="13" style="104" hidden="1" customWidth="1"/>
    <col min="4" max="4" width="32" style="104" hidden="1" customWidth="1"/>
    <col min="5" max="5" width="32.42578125" style="104" hidden="1" customWidth="1"/>
    <col min="6" max="6" width="9.140625" style="104" hidden="1" customWidth="1"/>
    <col min="7" max="8" width="20.7109375" style="104" hidden="1" customWidth="1"/>
    <col min="9" max="9" width="2.7109375" style="104" hidden="1" customWidth="1"/>
    <col min="10" max="10" width="4.7109375" style="104" hidden="1" customWidth="1"/>
    <col min="11" max="11" width="28.85546875" style="104" bestFit="1" customWidth="1"/>
    <col min="12" max="12" width="34.7109375" style="104" customWidth="1"/>
    <col min="13" max="13" width="4.7109375" style="104" customWidth="1"/>
    <col min="14" max="15" width="12.7109375" style="104" customWidth="1"/>
    <col min="16" max="16384" width="9.140625" style="104"/>
  </cols>
  <sheetData>
    <row r="2" spans="2:15">
      <c r="B2" s="150" t="s">
        <v>114</v>
      </c>
      <c r="C2" s="150"/>
    </row>
    <row r="3" spans="2:15">
      <c r="B3" s="105"/>
      <c r="C3" s="108"/>
      <c r="D3" s="106"/>
      <c r="E3" s="107"/>
      <c r="F3" s="108"/>
      <c r="G3" s="108"/>
      <c r="H3" s="108"/>
      <c r="I3" s="109"/>
      <c r="K3" s="246" t="s">
        <v>57</v>
      </c>
      <c r="L3" s="245"/>
      <c r="N3" s="247" t="s">
        <v>115</v>
      </c>
      <c r="O3" s="248"/>
    </row>
    <row r="4" spans="2:15">
      <c r="B4" s="110"/>
      <c r="C4" s="112"/>
      <c r="D4" s="249" t="s">
        <v>114</v>
      </c>
      <c r="E4" s="250" t="s">
        <v>116</v>
      </c>
      <c r="F4" s="251"/>
      <c r="G4" s="252"/>
      <c r="H4" s="112" t="s">
        <v>56</v>
      </c>
      <c r="I4" s="113"/>
      <c r="K4" s="172" t="s">
        <v>36</v>
      </c>
      <c r="L4" s="253" t="s">
        <v>37</v>
      </c>
      <c r="N4" s="254" t="s">
        <v>61</v>
      </c>
      <c r="O4" s="255" t="s">
        <v>62</v>
      </c>
    </row>
    <row r="5" spans="2:15">
      <c r="B5" s="110"/>
      <c r="C5" s="112"/>
      <c r="D5" s="192" t="s">
        <v>95</v>
      </c>
      <c r="E5" s="112" t="e">
        <f>LEFT(E4,5)=CurveCollection</f>
        <v>#NAME?</v>
      </c>
      <c r="F5" s="112"/>
      <c r="G5" s="112"/>
      <c r="H5" s="112"/>
      <c r="I5" s="113"/>
      <c r="K5" s="178" t="s">
        <v>67</v>
      </c>
      <c r="L5" s="256" t="s">
        <v>117</v>
      </c>
      <c r="N5" s="257" t="s">
        <v>198</v>
      </c>
      <c r="O5" s="258">
        <v>1.5625000000000001E-3</v>
      </c>
    </row>
    <row r="6" spans="2:15">
      <c r="B6" s="110"/>
      <c r="C6" s="112"/>
      <c r="D6" s="115"/>
      <c r="E6" s="120"/>
      <c r="F6" s="112"/>
      <c r="G6" s="112"/>
      <c r="H6" s="112"/>
      <c r="I6" s="113"/>
      <c r="K6" s="178" t="s">
        <v>69</v>
      </c>
      <c r="L6" s="256" t="s">
        <v>179</v>
      </c>
      <c r="N6" s="257" t="s">
        <v>200</v>
      </c>
      <c r="O6" s="258">
        <v>1.3374999999999999E-3</v>
      </c>
    </row>
    <row r="7" spans="2:15">
      <c r="B7" s="110"/>
      <c r="C7" s="112"/>
      <c r="D7" s="115"/>
      <c r="E7" s="120"/>
      <c r="F7" s="112"/>
      <c r="G7" s="112"/>
      <c r="H7" s="112"/>
      <c r="I7" s="113"/>
      <c r="K7" s="180" t="s">
        <v>72</v>
      </c>
      <c r="L7" s="259">
        <f>COB</f>
        <v>43734</v>
      </c>
      <c r="N7" s="257" t="s">
        <v>96</v>
      </c>
      <c r="O7" s="258">
        <v>1.2125E-3</v>
      </c>
    </row>
    <row r="8" spans="2:15">
      <c r="B8" s="110"/>
      <c r="C8" s="112"/>
      <c r="D8" s="130" t="s">
        <v>66</v>
      </c>
      <c r="E8" s="131"/>
      <c r="F8" s="112"/>
      <c r="G8" s="112"/>
      <c r="H8" s="112"/>
      <c r="I8" s="113"/>
      <c r="L8" s="245"/>
      <c r="N8" s="257" t="s">
        <v>203</v>
      </c>
      <c r="O8" s="258">
        <v>1.15E-3</v>
      </c>
    </row>
    <row r="9" spans="2:15">
      <c r="B9" s="110"/>
      <c r="C9" s="112"/>
      <c r="D9" s="260" t="s">
        <v>68</v>
      </c>
      <c r="E9" s="138" t="s">
        <v>39</v>
      </c>
      <c r="F9" s="112"/>
      <c r="G9" s="112"/>
      <c r="H9" s="112"/>
      <c r="I9" s="113"/>
      <c r="K9" s="261" t="s">
        <v>118</v>
      </c>
      <c r="L9" s="245"/>
      <c r="N9" s="257" t="s">
        <v>204</v>
      </c>
      <c r="O9" s="258">
        <v>1.1249999999999999E-3</v>
      </c>
    </row>
    <row r="10" spans="2:15">
      <c r="B10" s="110"/>
      <c r="C10" s="112"/>
      <c r="D10" s="153" t="s">
        <v>71</v>
      </c>
      <c r="E10" s="141" t="s">
        <v>180</v>
      </c>
      <c r="F10" s="112"/>
      <c r="G10" s="112"/>
      <c r="H10" s="112"/>
      <c r="I10" s="113"/>
      <c r="K10" s="172" t="s">
        <v>75</v>
      </c>
      <c r="L10" s="253" t="s">
        <v>181</v>
      </c>
      <c r="N10" s="257" t="s">
        <v>226</v>
      </c>
      <c r="O10" s="258">
        <v>1.1125E-3</v>
      </c>
    </row>
    <row r="11" spans="2:15">
      <c r="B11" s="110"/>
      <c r="C11" s="112"/>
      <c r="D11" s="143" t="s">
        <v>73</v>
      </c>
      <c r="E11" s="160" t="s">
        <v>182</v>
      </c>
      <c r="F11" s="112"/>
      <c r="G11" s="112"/>
      <c r="H11" s="112"/>
      <c r="I11" s="113" t="s">
        <v>56</v>
      </c>
      <c r="K11" s="178" t="s">
        <v>78</v>
      </c>
      <c r="L11" s="262" t="str">
        <f ca="1">_xll.meLWOCurveMarketDataCreate(L10,K3,K4:L7,N3,N5:O24)</f>
        <v>USD_BASIS_1X3_MARKETDATA@2:3</v>
      </c>
      <c r="N11" s="257" t="s">
        <v>206</v>
      </c>
      <c r="O11" s="258">
        <v>1.1000000000000001E-3</v>
      </c>
    </row>
    <row r="12" spans="2:15">
      <c r="B12" s="144"/>
      <c r="C12" s="145"/>
      <c r="D12" s="145"/>
      <c r="E12" s="145"/>
      <c r="F12" s="145"/>
      <c r="G12" s="145"/>
      <c r="H12" s="145"/>
      <c r="I12" s="146"/>
      <c r="K12" s="180"/>
      <c r="L12" s="263"/>
      <c r="N12" s="257" t="s">
        <v>221</v>
      </c>
      <c r="O12" s="258">
        <v>1.1000000000000001E-3</v>
      </c>
    </row>
    <row r="13" spans="2:15">
      <c r="L13" s="245"/>
      <c r="N13" s="257" t="s">
        <v>223</v>
      </c>
      <c r="O13" s="258">
        <v>1.0874999999999999E-3</v>
      </c>
    </row>
    <row r="14" spans="2:15">
      <c r="K14" s="261" t="s">
        <v>122</v>
      </c>
      <c r="L14" s="245"/>
      <c r="N14" s="257" t="s">
        <v>207</v>
      </c>
      <c r="O14" s="258">
        <v>1.0874999999999999E-3</v>
      </c>
    </row>
    <row r="15" spans="2:15">
      <c r="B15" s="150" t="s">
        <v>77</v>
      </c>
      <c r="C15" s="150"/>
      <c r="K15" s="172" t="s">
        <v>123</v>
      </c>
      <c r="L15" s="253" t="s">
        <v>183</v>
      </c>
      <c r="N15" s="257" t="s">
        <v>209</v>
      </c>
      <c r="O15" s="258">
        <v>1.0874999999999999E-3</v>
      </c>
    </row>
    <row r="16" spans="2:15">
      <c r="B16" s="105"/>
      <c r="C16" s="108"/>
      <c r="D16" s="106"/>
      <c r="E16" s="107"/>
      <c r="F16" s="108"/>
      <c r="G16" s="108"/>
      <c r="H16" s="108"/>
      <c r="I16" s="109"/>
      <c r="K16" s="178" t="s">
        <v>125</v>
      </c>
      <c r="L16" s="256" t="s">
        <v>184</v>
      </c>
      <c r="N16" s="257" t="s">
        <v>211</v>
      </c>
      <c r="O16" s="258">
        <v>1.075E-3</v>
      </c>
    </row>
    <row r="17" spans="2:16">
      <c r="B17" s="110"/>
      <c r="C17" s="112"/>
      <c r="D17" s="130" t="s">
        <v>77</v>
      </c>
      <c r="E17" s="152"/>
      <c r="F17" s="112"/>
      <c r="G17" s="112"/>
      <c r="H17" s="112"/>
      <c r="I17" s="113"/>
      <c r="K17" s="178" t="s">
        <v>127</v>
      </c>
      <c r="L17" s="256" t="s">
        <v>39</v>
      </c>
      <c r="N17" s="257" t="s">
        <v>212</v>
      </c>
      <c r="O17" s="258">
        <v>1.075E-3</v>
      </c>
    </row>
    <row r="18" spans="2:16">
      <c r="B18" s="110"/>
      <c r="C18" s="112"/>
      <c r="D18" s="137" t="s">
        <v>72</v>
      </c>
      <c r="E18" s="154" t="e">
        <f>Settings.COB</f>
        <v>#NAME?</v>
      </c>
      <c r="F18" s="112"/>
      <c r="G18" s="112"/>
      <c r="H18" s="112"/>
      <c r="I18" s="113"/>
      <c r="K18" s="180" t="s">
        <v>128</v>
      </c>
      <c r="L18" s="263"/>
      <c r="N18" s="257" t="s">
        <v>214</v>
      </c>
      <c r="O18" s="258">
        <v>1.0625000000000001E-3</v>
      </c>
    </row>
    <row r="19" spans="2:16">
      <c r="B19" s="110"/>
      <c r="C19" s="112"/>
      <c r="D19" s="153" t="s">
        <v>36</v>
      </c>
      <c r="E19" s="141" t="s">
        <v>37</v>
      </c>
      <c r="F19" s="112"/>
      <c r="G19" s="112"/>
      <c r="H19" s="112"/>
      <c r="I19" s="113"/>
      <c r="L19" s="245"/>
      <c r="N19" s="257" t="s">
        <v>215</v>
      </c>
      <c r="O19" s="258">
        <v>1.0625000000000001E-3</v>
      </c>
    </row>
    <row r="20" spans="2:16">
      <c r="B20" s="110"/>
      <c r="C20" s="112"/>
      <c r="D20" s="153" t="s">
        <v>79</v>
      </c>
      <c r="E20" s="141" t="s">
        <v>80</v>
      </c>
      <c r="F20" s="112"/>
      <c r="G20" s="112"/>
      <c r="H20" s="112"/>
      <c r="I20" s="113"/>
      <c r="K20" s="261" t="s">
        <v>129</v>
      </c>
      <c r="L20" s="245"/>
      <c r="N20" s="264"/>
      <c r="O20" s="265"/>
      <c r="P20" s="266"/>
    </row>
    <row r="21" spans="2:16">
      <c r="B21" s="110"/>
      <c r="C21" s="112"/>
      <c r="D21" s="153" t="s">
        <v>81</v>
      </c>
      <c r="E21" s="141" t="s">
        <v>80</v>
      </c>
      <c r="F21" s="112"/>
      <c r="G21" s="112"/>
      <c r="H21" s="112"/>
      <c r="I21" s="113"/>
      <c r="K21" s="172" t="s">
        <v>75</v>
      </c>
      <c r="L21" s="267" t="str">
        <f t="array" aca="1" ref="L21:L24" ca="1">IF('USD BASIS 6ML'!$L$25,_xll.meLWOCurveCalibrate($L$15,$L$16,$L$11,$L$17,$L$18),"LOAD USD6ML Curve")</f>
        <v>USD_BASIS_1M_CURVE@14:3</v>
      </c>
      <c r="N21" s="264"/>
      <c r="O21" s="265"/>
      <c r="P21" s="266"/>
    </row>
    <row r="22" spans="2:16">
      <c r="B22" s="110"/>
      <c r="C22" s="112"/>
      <c r="D22" s="153" t="s">
        <v>130</v>
      </c>
      <c r="E22" s="141" t="s">
        <v>80</v>
      </c>
      <c r="F22" s="112"/>
      <c r="G22" s="112"/>
      <c r="H22" s="112"/>
      <c r="I22" s="113"/>
      <c r="K22" s="178" t="s">
        <v>92</v>
      </c>
      <c r="L22" s="268" t="str">
        <f ca="1"/>
        <v>USDYC</v>
      </c>
      <c r="N22" s="270"/>
      <c r="O22" s="271"/>
    </row>
    <row r="23" spans="2:16">
      <c r="B23" s="110"/>
      <c r="C23" s="112"/>
      <c r="D23" s="153" t="s">
        <v>131</v>
      </c>
      <c r="E23" s="141" t="b">
        <v>0</v>
      </c>
      <c r="F23" s="112"/>
      <c r="G23" s="112"/>
      <c r="H23" s="112"/>
      <c r="I23" s="113"/>
      <c r="K23" s="178" t="s">
        <v>93</v>
      </c>
      <c r="L23" s="268" t="str">
        <f ca="1"/>
        <v>1M3MBasis:USD1ML</v>
      </c>
      <c r="N23" s="270"/>
      <c r="O23" s="271"/>
    </row>
    <row r="24" spans="2:16">
      <c r="B24" s="110"/>
      <c r="C24" s="112"/>
      <c r="D24" s="153" t="s">
        <v>132</v>
      </c>
      <c r="E24" s="141" t="s">
        <v>58</v>
      </c>
      <c r="F24" s="112"/>
      <c r="G24" s="112"/>
      <c r="H24" s="112"/>
      <c r="I24" s="113"/>
      <c r="K24" s="180" t="s">
        <v>94</v>
      </c>
      <c r="L24" s="269" t="str">
        <f ca="1"/>
        <v>0.02500 sec</v>
      </c>
      <c r="N24" s="272"/>
      <c r="O24" s="273"/>
    </row>
    <row r="25" spans="2:16">
      <c r="B25" s="110"/>
      <c r="C25" s="112"/>
      <c r="D25" s="147"/>
      <c r="E25" s="274"/>
      <c r="F25" s="112"/>
      <c r="G25" s="112"/>
      <c r="H25" s="112"/>
      <c r="I25" s="113"/>
      <c r="K25" s="275" t="s">
        <v>133</v>
      </c>
      <c r="L25" s="282" t="b">
        <f ca="1">_xll.meLWOExists(L21,"CURVE")</f>
        <v>1</v>
      </c>
    </row>
    <row r="26" spans="2:16">
      <c r="B26" s="110"/>
      <c r="C26" s="112"/>
      <c r="D26" s="147"/>
      <c r="E26" s="274"/>
      <c r="F26" s="112"/>
      <c r="G26" s="112"/>
      <c r="H26" s="112"/>
      <c r="I26" s="113"/>
    </row>
    <row r="27" spans="2:16">
      <c r="B27" s="110"/>
      <c r="C27" s="112"/>
      <c r="D27" s="147"/>
      <c r="E27" s="274"/>
      <c r="F27" s="112"/>
      <c r="G27" s="112"/>
      <c r="H27" s="112"/>
      <c r="I27" s="113"/>
    </row>
    <row r="28" spans="2:16">
      <c r="B28" s="110"/>
      <c r="C28" s="112"/>
      <c r="D28" s="159"/>
      <c r="E28" s="164"/>
      <c r="F28" s="112"/>
      <c r="G28" s="112"/>
      <c r="H28" s="112"/>
      <c r="I28" s="113"/>
    </row>
    <row r="29" spans="2:16">
      <c r="B29" s="144"/>
      <c r="C29" s="145"/>
      <c r="D29" s="145"/>
      <c r="E29" s="145"/>
      <c r="F29" s="145"/>
      <c r="G29" s="145"/>
      <c r="H29" s="145"/>
      <c r="I29" s="146"/>
    </row>
    <row r="32" spans="2:16">
      <c r="B32" s="150" t="s">
        <v>134</v>
      </c>
      <c r="C32" s="150"/>
    </row>
    <row r="33" spans="2:9">
      <c r="B33" s="105"/>
      <c r="C33" s="108"/>
      <c r="D33" s="108"/>
      <c r="E33" s="108"/>
      <c r="F33" s="108"/>
      <c r="G33" s="108"/>
      <c r="H33" s="108"/>
      <c r="I33" s="109"/>
    </row>
    <row r="34" spans="2:9">
      <c r="B34" s="110"/>
      <c r="C34" s="112"/>
      <c r="D34" s="114" t="s">
        <v>185</v>
      </c>
      <c r="E34" s="169"/>
      <c r="F34" s="169"/>
      <c r="G34" s="114" t="s">
        <v>186</v>
      </c>
      <c r="H34" s="169"/>
      <c r="I34" s="170"/>
    </row>
    <row r="35" spans="2:9">
      <c r="B35" s="110"/>
      <c r="C35" s="277"/>
      <c r="D35" s="137" t="s">
        <v>137</v>
      </c>
      <c r="E35" s="171" t="s">
        <v>180</v>
      </c>
      <c r="F35" s="112"/>
      <c r="G35" s="202" t="s">
        <v>61</v>
      </c>
      <c r="H35" s="202" t="s">
        <v>62</v>
      </c>
      <c r="I35" s="170"/>
    </row>
    <row r="36" spans="2:9">
      <c r="B36" s="110"/>
      <c r="C36" s="330" t="s">
        <v>138</v>
      </c>
      <c r="D36" s="283" t="s">
        <v>139</v>
      </c>
      <c r="E36" s="280" t="b">
        <v>0</v>
      </c>
      <c r="F36" s="177"/>
      <c r="G36" s="124" t="s">
        <v>198</v>
      </c>
      <c r="H36" s="129">
        <v>1.5625000000000001E-3</v>
      </c>
      <c r="I36" s="170"/>
    </row>
    <row r="37" spans="2:9">
      <c r="B37" s="110"/>
      <c r="C37" s="331"/>
      <c r="D37" s="140" t="s">
        <v>140</v>
      </c>
      <c r="E37" s="176" t="s">
        <v>99</v>
      </c>
      <c r="F37" s="177"/>
      <c r="G37" s="134" t="s">
        <v>200</v>
      </c>
      <c r="H37" s="136">
        <v>1.3374999999999999E-3</v>
      </c>
      <c r="I37" s="170"/>
    </row>
    <row r="38" spans="2:9">
      <c r="B38" s="110"/>
      <c r="C38" s="331"/>
      <c r="D38" s="140" t="s">
        <v>141</v>
      </c>
      <c r="E38" s="176" t="s">
        <v>15</v>
      </c>
      <c r="F38" s="177"/>
      <c r="G38" s="134" t="s">
        <v>96</v>
      </c>
      <c r="H38" s="136">
        <v>1.2125E-3</v>
      </c>
      <c r="I38" s="170"/>
    </row>
    <row r="39" spans="2:9">
      <c r="B39" s="110"/>
      <c r="C39" s="331"/>
      <c r="D39" s="140" t="s">
        <v>142</v>
      </c>
      <c r="E39" s="176" t="s">
        <v>100</v>
      </c>
      <c r="F39" s="177"/>
      <c r="G39" s="134" t="s">
        <v>203</v>
      </c>
      <c r="H39" s="136">
        <v>1.15E-3</v>
      </c>
      <c r="I39" s="170"/>
    </row>
    <row r="40" spans="2:9">
      <c r="B40" s="110"/>
      <c r="C40" s="331"/>
      <c r="D40" s="140" t="s">
        <v>143</v>
      </c>
      <c r="E40" s="176" t="s">
        <v>90</v>
      </c>
      <c r="F40" s="177"/>
      <c r="G40" s="134" t="s">
        <v>204</v>
      </c>
      <c r="H40" s="136">
        <v>1.1249999999999999E-3</v>
      </c>
      <c r="I40" s="170"/>
    </row>
    <row r="41" spans="2:9">
      <c r="B41" s="110"/>
      <c r="C41" s="331"/>
      <c r="D41" s="140" t="s">
        <v>144</v>
      </c>
      <c r="E41" s="176">
        <v>2</v>
      </c>
      <c r="F41" s="177"/>
      <c r="G41" s="134" t="s">
        <v>226</v>
      </c>
      <c r="H41" s="136">
        <v>1.1125E-3</v>
      </c>
      <c r="I41" s="170"/>
    </row>
    <row r="42" spans="2:9">
      <c r="B42" s="110"/>
      <c r="C42" s="331"/>
      <c r="D42" s="140" t="s">
        <v>145</v>
      </c>
      <c r="E42" s="176" t="s">
        <v>58</v>
      </c>
      <c r="F42" s="177"/>
      <c r="G42" s="134" t="s">
        <v>206</v>
      </c>
      <c r="H42" s="136">
        <v>1.1000000000000001E-3</v>
      </c>
      <c r="I42" s="170"/>
    </row>
    <row r="43" spans="2:9">
      <c r="B43" s="110"/>
      <c r="C43" s="331"/>
      <c r="D43" s="140" t="s">
        <v>146</v>
      </c>
      <c r="E43" s="176" t="s">
        <v>14</v>
      </c>
      <c r="F43" s="177"/>
      <c r="G43" s="134" t="s">
        <v>221</v>
      </c>
      <c r="H43" s="136">
        <v>1.1000000000000001E-3</v>
      </c>
      <c r="I43" s="170"/>
    </row>
    <row r="44" spans="2:9">
      <c r="B44" s="110"/>
      <c r="C44" s="331"/>
      <c r="D44" s="140" t="s">
        <v>147</v>
      </c>
      <c r="E44" s="176" t="s">
        <v>54</v>
      </c>
      <c r="F44" s="177"/>
      <c r="G44" s="134" t="s">
        <v>223</v>
      </c>
      <c r="H44" s="136">
        <v>1.0874999999999999E-3</v>
      </c>
      <c r="I44" s="170"/>
    </row>
    <row r="45" spans="2:9">
      <c r="B45" s="110"/>
      <c r="C45" s="331"/>
      <c r="D45" s="140" t="s">
        <v>149</v>
      </c>
      <c r="E45" s="176" t="s">
        <v>15</v>
      </c>
      <c r="F45" s="177"/>
      <c r="G45" s="134" t="s">
        <v>207</v>
      </c>
      <c r="H45" s="136">
        <v>1.0874999999999999E-3</v>
      </c>
      <c r="I45" s="170"/>
    </row>
    <row r="46" spans="2:9">
      <c r="B46" s="110"/>
      <c r="C46" s="331"/>
      <c r="D46" s="140" t="s">
        <v>150</v>
      </c>
      <c r="E46" s="176" t="s">
        <v>99</v>
      </c>
      <c r="F46" s="177"/>
      <c r="G46" s="134" t="s">
        <v>209</v>
      </c>
      <c r="H46" s="136">
        <v>1.0874999999999999E-3</v>
      </c>
      <c r="I46" s="170"/>
    </row>
    <row r="47" spans="2:9">
      <c r="B47" s="110"/>
      <c r="C47" s="331"/>
      <c r="D47" s="140" t="s">
        <v>151</v>
      </c>
      <c r="E47" s="176" t="s">
        <v>110</v>
      </c>
      <c r="F47" s="177"/>
      <c r="G47" s="134" t="s">
        <v>211</v>
      </c>
      <c r="H47" s="136">
        <v>1.075E-3</v>
      </c>
      <c r="I47" s="170"/>
    </row>
    <row r="48" spans="2:9">
      <c r="B48" s="110"/>
      <c r="C48" s="331"/>
      <c r="D48" s="140" t="s">
        <v>152</v>
      </c>
      <c r="E48" s="176" t="s">
        <v>99</v>
      </c>
      <c r="F48" s="177"/>
      <c r="G48" s="134" t="s">
        <v>212</v>
      </c>
      <c r="H48" s="136">
        <v>1.075E-3</v>
      </c>
      <c r="I48" s="170"/>
    </row>
    <row r="49" spans="2:9">
      <c r="B49" s="110"/>
      <c r="C49" s="331"/>
      <c r="D49" s="140" t="s">
        <v>153</v>
      </c>
      <c r="E49" s="176">
        <v>2</v>
      </c>
      <c r="F49" s="177"/>
      <c r="G49" s="134" t="s">
        <v>214</v>
      </c>
      <c r="H49" s="136">
        <v>1.0625000000000001E-3</v>
      </c>
      <c r="I49" s="170"/>
    </row>
    <row r="50" spans="2:9">
      <c r="B50" s="110"/>
      <c r="C50" s="332"/>
      <c r="D50" s="284" t="s">
        <v>154</v>
      </c>
      <c r="E50" s="176" t="s">
        <v>90</v>
      </c>
      <c r="F50" s="177"/>
      <c r="G50" s="134" t="s">
        <v>215</v>
      </c>
      <c r="H50" s="136">
        <v>1.0625000000000001E-3</v>
      </c>
      <c r="I50" s="170"/>
    </row>
    <row r="51" spans="2:9">
      <c r="B51" s="110"/>
      <c r="C51" s="333" t="s">
        <v>155</v>
      </c>
      <c r="D51" s="283" t="s">
        <v>156</v>
      </c>
      <c r="E51" s="280" t="s">
        <v>99</v>
      </c>
      <c r="F51" s="177"/>
      <c r="G51" s="189"/>
      <c r="H51" s="241"/>
      <c r="I51" s="170"/>
    </row>
    <row r="52" spans="2:9">
      <c r="B52" s="110"/>
      <c r="C52" s="334"/>
      <c r="D52" s="140" t="s">
        <v>157</v>
      </c>
      <c r="E52" s="176" t="s">
        <v>15</v>
      </c>
      <c r="F52" s="177"/>
      <c r="G52" s="189"/>
      <c r="H52" s="241"/>
      <c r="I52" s="170"/>
    </row>
    <row r="53" spans="2:9">
      <c r="B53" s="110"/>
      <c r="C53" s="334"/>
      <c r="D53" s="140" t="s">
        <v>158</v>
      </c>
      <c r="E53" s="176" t="s">
        <v>179</v>
      </c>
      <c r="F53" s="177"/>
      <c r="G53" s="189"/>
      <c r="H53" s="239"/>
      <c r="I53" s="170"/>
    </row>
    <row r="54" spans="2:9">
      <c r="B54" s="110"/>
      <c r="C54" s="334"/>
      <c r="D54" s="140" t="s">
        <v>159</v>
      </c>
      <c r="E54" s="176" t="s">
        <v>100</v>
      </c>
      <c r="F54" s="177"/>
      <c r="G54" s="189"/>
      <c r="H54" s="239"/>
      <c r="I54" s="170"/>
    </row>
    <row r="55" spans="2:9">
      <c r="B55" s="110"/>
      <c r="C55" s="334"/>
      <c r="D55" s="140" t="s">
        <v>160</v>
      </c>
      <c r="E55" s="176" t="s">
        <v>90</v>
      </c>
      <c r="F55" s="177"/>
      <c r="G55" s="189"/>
      <c r="H55" s="239"/>
      <c r="I55" s="170"/>
    </row>
    <row r="56" spans="2:9">
      <c r="B56" s="110"/>
      <c r="C56" s="334"/>
      <c r="D56" s="140" t="s">
        <v>161</v>
      </c>
      <c r="E56" s="176">
        <v>2</v>
      </c>
      <c r="F56" s="177"/>
      <c r="G56" s="189"/>
      <c r="H56" s="239"/>
      <c r="I56" s="170"/>
    </row>
    <row r="57" spans="2:9">
      <c r="B57" s="110"/>
      <c r="C57" s="334"/>
      <c r="D57" s="140" t="s">
        <v>162</v>
      </c>
      <c r="E57" s="176" t="s">
        <v>58</v>
      </c>
      <c r="F57" s="177"/>
      <c r="G57" s="189"/>
      <c r="H57" s="239"/>
      <c r="I57" s="170"/>
    </row>
    <row r="58" spans="2:9">
      <c r="B58" s="110"/>
      <c r="C58" s="334"/>
      <c r="D58" s="140" t="s">
        <v>163</v>
      </c>
      <c r="E58" s="176" t="s">
        <v>106</v>
      </c>
      <c r="F58" s="177"/>
      <c r="G58" s="189"/>
      <c r="H58" s="239"/>
      <c r="I58" s="170"/>
    </row>
    <row r="59" spans="2:9">
      <c r="B59" s="110"/>
      <c r="C59" s="334"/>
      <c r="D59" s="140" t="s">
        <v>164</v>
      </c>
      <c r="E59" s="176" t="s">
        <v>187</v>
      </c>
      <c r="F59" s="177"/>
      <c r="G59" s="189"/>
      <c r="H59" s="239"/>
      <c r="I59" s="170"/>
    </row>
    <row r="60" spans="2:9">
      <c r="B60" s="110"/>
      <c r="C60" s="334"/>
      <c r="D60" s="140" t="s">
        <v>165</v>
      </c>
      <c r="E60" s="176" t="s">
        <v>15</v>
      </c>
      <c r="F60" s="177"/>
      <c r="G60" s="189"/>
      <c r="H60" s="239"/>
      <c r="I60" s="170"/>
    </row>
    <row r="61" spans="2:9">
      <c r="B61" s="110"/>
      <c r="C61" s="334"/>
      <c r="D61" s="140" t="s">
        <v>166</v>
      </c>
      <c r="E61" s="176" t="s">
        <v>99</v>
      </c>
      <c r="F61" s="177"/>
      <c r="G61" s="189"/>
      <c r="H61" s="239"/>
      <c r="I61" s="170"/>
    </row>
    <row r="62" spans="2:9">
      <c r="B62" s="110"/>
      <c r="C62" s="334"/>
      <c r="D62" s="140" t="s">
        <v>167</v>
      </c>
      <c r="E62" s="176" t="s">
        <v>110</v>
      </c>
      <c r="F62" s="177"/>
      <c r="G62" s="189"/>
      <c r="H62" s="239"/>
      <c r="I62" s="170"/>
    </row>
    <row r="63" spans="2:9">
      <c r="B63" s="110"/>
      <c r="C63" s="334"/>
      <c r="D63" s="140" t="s">
        <v>168</v>
      </c>
      <c r="E63" s="176" t="s">
        <v>99</v>
      </c>
      <c r="F63" s="177"/>
      <c r="G63" s="189"/>
      <c r="H63" s="239"/>
      <c r="I63" s="170"/>
    </row>
    <row r="64" spans="2:9">
      <c r="B64" s="110"/>
      <c r="C64" s="334"/>
      <c r="D64" s="140" t="s">
        <v>169</v>
      </c>
      <c r="E64" s="176">
        <v>2</v>
      </c>
      <c r="F64" s="177"/>
      <c r="G64" s="189"/>
      <c r="H64" s="239"/>
      <c r="I64" s="170"/>
    </row>
    <row r="65" spans="2:9">
      <c r="B65" s="110"/>
      <c r="C65" s="335" t="str">
        <f>"Solving For :"&amp;CHAR(32)&amp;$E$65</f>
        <v>Solving For : MOD_FOLLOWING</v>
      </c>
      <c r="D65" s="284" t="s">
        <v>170</v>
      </c>
      <c r="E65" s="285" t="s">
        <v>90</v>
      </c>
      <c r="F65" s="177"/>
      <c r="G65" s="189"/>
      <c r="H65" s="239"/>
      <c r="I65" s="170"/>
    </row>
    <row r="66" spans="2:9">
      <c r="B66" s="110"/>
      <c r="C66" s="336"/>
      <c r="D66" s="140" t="s">
        <v>171</v>
      </c>
      <c r="E66" s="176" t="s">
        <v>188</v>
      </c>
      <c r="F66" s="177"/>
      <c r="G66" s="189"/>
      <c r="H66" s="239"/>
      <c r="I66" s="170"/>
    </row>
    <row r="67" spans="2:9">
      <c r="B67" s="110"/>
      <c r="C67" s="336"/>
      <c r="D67" s="140" t="s">
        <v>113</v>
      </c>
      <c r="E67" s="141" t="b">
        <v>1</v>
      </c>
      <c r="F67" s="177"/>
      <c r="G67" s="189"/>
      <c r="H67" s="239"/>
      <c r="I67" s="170"/>
    </row>
    <row r="68" spans="2:9">
      <c r="B68" s="110"/>
      <c r="C68" s="336"/>
      <c r="D68" s="140" t="s">
        <v>173</v>
      </c>
      <c r="E68" s="176" t="s">
        <v>108</v>
      </c>
      <c r="F68" s="177"/>
      <c r="G68" s="189"/>
      <c r="H68" s="239"/>
      <c r="I68" s="170"/>
    </row>
    <row r="69" spans="2:9">
      <c r="B69" s="110"/>
      <c r="C69" s="336"/>
      <c r="D69" s="140" t="s">
        <v>174</v>
      </c>
      <c r="E69" s="176" t="b">
        <v>1</v>
      </c>
      <c r="F69" s="177"/>
      <c r="G69" s="189"/>
      <c r="H69" s="239"/>
      <c r="I69" s="170"/>
    </row>
    <row r="70" spans="2:9">
      <c r="B70" s="110"/>
      <c r="C70" s="336"/>
      <c r="D70" s="140" t="s">
        <v>175</v>
      </c>
      <c r="E70" s="176" t="s">
        <v>187</v>
      </c>
      <c r="F70" s="177"/>
      <c r="G70" s="189"/>
      <c r="H70" s="239"/>
      <c r="I70" s="170"/>
    </row>
    <row r="71" spans="2:9">
      <c r="B71" s="110"/>
      <c r="C71" s="336"/>
      <c r="D71" s="140" t="s">
        <v>176</v>
      </c>
      <c r="E71" s="176" t="b">
        <v>0</v>
      </c>
      <c r="F71" s="177"/>
      <c r="G71" s="189"/>
      <c r="H71" s="239"/>
      <c r="I71" s="170"/>
    </row>
    <row r="72" spans="2:9">
      <c r="B72" s="110"/>
      <c r="C72" s="336"/>
      <c r="D72" s="140" t="s">
        <v>97</v>
      </c>
      <c r="E72" s="240">
        <v>1.0000000000000001E-9</v>
      </c>
      <c r="F72" s="177"/>
      <c r="G72" s="189"/>
      <c r="H72" s="239"/>
      <c r="I72" s="170"/>
    </row>
    <row r="73" spans="2:9">
      <c r="B73" s="110"/>
      <c r="C73" s="336"/>
      <c r="D73" s="140" t="s">
        <v>98</v>
      </c>
      <c r="E73" s="188">
        <v>1000</v>
      </c>
      <c r="F73" s="177"/>
      <c r="G73" s="189"/>
      <c r="H73" s="239"/>
      <c r="I73" s="170"/>
    </row>
    <row r="74" spans="2:9">
      <c r="B74" s="110"/>
      <c r="C74" s="336"/>
      <c r="D74" s="140" t="s">
        <v>177</v>
      </c>
      <c r="E74" s="176" t="b">
        <v>0</v>
      </c>
      <c r="F74" s="177"/>
      <c r="G74" s="189"/>
      <c r="H74" s="239"/>
      <c r="I74" s="170"/>
    </row>
    <row r="75" spans="2:9">
      <c r="B75" s="110"/>
      <c r="C75" s="336"/>
      <c r="D75" s="140" t="s">
        <v>178</v>
      </c>
      <c r="E75" s="176" t="b">
        <v>1</v>
      </c>
      <c r="F75" s="177"/>
      <c r="G75" s="189"/>
      <c r="H75" s="239"/>
      <c r="I75" s="170"/>
    </row>
    <row r="76" spans="2:9">
      <c r="B76" s="110"/>
      <c r="C76" s="336"/>
      <c r="D76" s="140" t="s">
        <v>91</v>
      </c>
      <c r="E76" s="176">
        <v>31</v>
      </c>
      <c r="F76" s="177"/>
      <c r="G76" s="189"/>
      <c r="H76" s="239"/>
      <c r="I76" s="170"/>
    </row>
    <row r="77" spans="2:9">
      <c r="B77" s="110"/>
      <c r="C77" s="337"/>
      <c r="D77" s="167"/>
      <c r="E77" s="191"/>
      <c r="F77" s="177"/>
      <c r="G77" s="225"/>
      <c r="H77" s="226"/>
      <c r="I77" s="170"/>
    </row>
    <row r="78" spans="2:9">
      <c r="B78" s="110"/>
      <c r="C78" s="112"/>
      <c r="D78" s="177"/>
      <c r="E78" s="177"/>
      <c r="F78" s="177"/>
      <c r="G78" s="169"/>
      <c r="H78" s="169"/>
      <c r="I78" s="170"/>
    </row>
    <row r="79" spans="2:9">
      <c r="B79" s="144"/>
      <c r="C79" s="145"/>
      <c r="D79" s="145"/>
      <c r="E79" s="145"/>
      <c r="F79" s="145"/>
      <c r="G79" s="145"/>
      <c r="H79" s="145"/>
      <c r="I79" s="146"/>
    </row>
  </sheetData>
  <mergeCells count="3">
    <mergeCell ref="C36:C50"/>
    <mergeCell ref="C51:C64"/>
    <mergeCell ref="C65:C77"/>
  </mergeCells>
  <dataValidations count="4">
    <dataValidation type="list" allowBlank="1" showInputMessage="1" showErrorMessage="1" sqref="E20">
      <formula1>$G$18:$G$23</formula1>
    </dataValidation>
    <dataValidation type="list" allowBlank="1" showInputMessage="1" showErrorMessage="1" sqref="E67">
      <formula1>$F$19:$F$24</formula1>
    </dataValidation>
    <dataValidation type="list" allowBlank="1" showInputMessage="1" showErrorMessage="1" sqref="E38 E64 E54 E50 E40">
      <formula1>"FOLLOWING,MOD_FOLLOWING,PRECEDING,MOD_PRECEEDING,NO_CHANGE"</formula1>
    </dataValidation>
    <dataValidation type="list" allowBlank="1" showInputMessage="1" showErrorMessage="1" sqref="E39 E53">
      <formula1>"Annual,Semi-Annual,Quarterly,Monthly"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1"/>
  </sheetPr>
  <dimension ref="B2:P79"/>
  <sheetViews>
    <sheetView showGridLines="0" workbookViewId="0"/>
  </sheetViews>
  <sheetFormatPr defaultRowHeight="15"/>
  <cols>
    <col min="1" max="1" width="4.7109375" style="104" customWidth="1"/>
    <col min="2" max="2" width="2.7109375" style="104" hidden="1" customWidth="1"/>
    <col min="3" max="3" width="4.7109375" style="104" hidden="1" customWidth="1"/>
    <col min="4" max="4" width="32" style="104" hidden="1" customWidth="1"/>
    <col min="5" max="5" width="32.42578125" style="104" hidden="1" customWidth="1"/>
    <col min="6" max="6" width="9.140625" style="104" hidden="1" customWidth="1"/>
    <col min="7" max="8" width="20.7109375" style="104" hidden="1" customWidth="1"/>
    <col min="9" max="9" width="2.7109375" style="104" hidden="1" customWidth="1"/>
    <col min="10" max="10" width="4.7109375" style="104" hidden="1" customWidth="1"/>
    <col min="11" max="11" width="28.85546875" style="104" bestFit="1" customWidth="1"/>
    <col min="12" max="12" width="35.42578125" style="104" bestFit="1" customWidth="1"/>
    <col min="13" max="13" width="4.7109375" style="104" customWidth="1"/>
    <col min="14" max="15" width="12.7109375" style="104" customWidth="1"/>
    <col min="16" max="16384" width="9.140625" style="104"/>
  </cols>
  <sheetData>
    <row r="2" spans="2:15">
      <c r="B2" s="150" t="s">
        <v>114</v>
      </c>
      <c r="C2" s="150"/>
    </row>
    <row r="3" spans="2:15">
      <c r="B3" s="105"/>
      <c r="C3" s="108"/>
      <c r="D3" s="106"/>
      <c r="E3" s="107"/>
      <c r="F3" s="108"/>
      <c r="G3" s="108"/>
      <c r="H3" s="108"/>
      <c r="I3" s="109"/>
      <c r="K3" s="246" t="s">
        <v>57</v>
      </c>
      <c r="L3" s="245"/>
      <c r="N3" s="247" t="s">
        <v>115</v>
      </c>
      <c r="O3" s="248"/>
    </row>
    <row r="4" spans="2:15">
      <c r="B4" s="110"/>
      <c r="C4" s="112"/>
      <c r="D4" s="249" t="s">
        <v>114</v>
      </c>
      <c r="E4" s="250" t="s">
        <v>116</v>
      </c>
      <c r="F4" s="251"/>
      <c r="G4" s="252"/>
      <c r="H4" s="112" t="s">
        <v>56</v>
      </c>
      <c r="I4" s="113"/>
      <c r="K4" s="172" t="s">
        <v>36</v>
      </c>
      <c r="L4" s="253" t="s">
        <v>37</v>
      </c>
      <c r="N4" s="254" t="s">
        <v>61</v>
      </c>
      <c r="O4" s="255" t="s">
        <v>62</v>
      </c>
    </row>
    <row r="5" spans="2:15">
      <c r="B5" s="110"/>
      <c r="C5" s="112"/>
      <c r="D5" s="192" t="s">
        <v>95</v>
      </c>
      <c r="E5" s="112" t="e">
        <f>LEFT(E4,5)=CurveCollection</f>
        <v>#NAME?</v>
      </c>
      <c r="F5" s="112"/>
      <c r="G5" s="112"/>
      <c r="H5" s="112"/>
      <c r="I5" s="113"/>
      <c r="K5" s="178" t="s">
        <v>67</v>
      </c>
      <c r="L5" s="256" t="s">
        <v>117</v>
      </c>
      <c r="N5" s="257" t="s">
        <v>198</v>
      </c>
      <c r="O5" s="258">
        <v>1.8500000000000001E-3</v>
      </c>
    </row>
    <row r="6" spans="2:15">
      <c r="B6" s="110"/>
      <c r="C6" s="112"/>
      <c r="D6" s="115"/>
      <c r="E6" s="120"/>
      <c r="F6" s="112"/>
      <c r="G6" s="112"/>
      <c r="H6" s="112"/>
      <c r="I6" s="113"/>
      <c r="K6" s="178" t="s">
        <v>69</v>
      </c>
      <c r="L6" s="256" t="s">
        <v>88</v>
      </c>
      <c r="N6" s="257" t="s">
        <v>200</v>
      </c>
      <c r="O6" s="258">
        <v>2.0999999999999999E-3</v>
      </c>
    </row>
    <row r="7" spans="2:15">
      <c r="B7" s="110"/>
      <c r="C7" s="112"/>
      <c r="D7" s="115"/>
      <c r="E7" s="120"/>
      <c r="F7" s="112"/>
      <c r="G7" s="112"/>
      <c r="H7" s="112"/>
      <c r="I7" s="113"/>
      <c r="K7" s="180" t="s">
        <v>72</v>
      </c>
      <c r="L7" s="259">
        <f>COB</f>
        <v>43734</v>
      </c>
      <c r="N7" s="257" t="s">
        <v>96</v>
      </c>
      <c r="O7" s="258">
        <v>2.0625000000000001E-3</v>
      </c>
    </row>
    <row r="8" spans="2:15">
      <c r="B8" s="110"/>
      <c r="C8" s="112"/>
      <c r="D8" s="130" t="s">
        <v>66</v>
      </c>
      <c r="E8" s="131"/>
      <c r="F8" s="112"/>
      <c r="G8" s="112"/>
      <c r="H8" s="112"/>
      <c r="I8" s="113"/>
      <c r="L8" s="245"/>
      <c r="N8" s="257" t="s">
        <v>203</v>
      </c>
      <c r="O8" s="258">
        <v>1.9624999999999998E-3</v>
      </c>
    </row>
    <row r="9" spans="2:15">
      <c r="B9" s="110"/>
      <c r="C9" s="112"/>
      <c r="D9" s="260" t="s">
        <v>68</v>
      </c>
      <c r="E9" s="138" t="s">
        <v>39</v>
      </c>
      <c r="F9" s="112"/>
      <c r="G9" s="112"/>
      <c r="H9" s="112"/>
      <c r="I9" s="113"/>
      <c r="K9" s="261" t="s">
        <v>118</v>
      </c>
      <c r="L9" s="245"/>
      <c r="N9" s="257" t="s">
        <v>204</v>
      </c>
      <c r="O9" s="258">
        <v>1.9624999999999998E-3</v>
      </c>
    </row>
    <row r="10" spans="2:15">
      <c r="B10" s="110"/>
      <c r="C10" s="112"/>
      <c r="D10" s="153" t="s">
        <v>71</v>
      </c>
      <c r="E10" s="141" t="s">
        <v>189</v>
      </c>
      <c r="F10" s="112"/>
      <c r="G10" s="112"/>
      <c r="H10" s="112"/>
      <c r="I10" s="113"/>
      <c r="K10" s="172" t="s">
        <v>75</v>
      </c>
      <c r="L10" s="253" t="s">
        <v>190</v>
      </c>
      <c r="N10" s="257" t="s">
        <v>206</v>
      </c>
      <c r="O10" s="258">
        <v>1.9750000000000002E-3</v>
      </c>
    </row>
    <row r="11" spans="2:15">
      <c r="B11" s="110"/>
      <c r="C11" s="112"/>
      <c r="D11" s="143" t="s">
        <v>73</v>
      </c>
      <c r="E11" s="160" t="s">
        <v>191</v>
      </c>
      <c r="F11" s="112"/>
      <c r="G11" s="112"/>
      <c r="H11" s="112"/>
      <c r="I11" s="113" t="s">
        <v>56</v>
      </c>
      <c r="K11" s="178" t="s">
        <v>78</v>
      </c>
      <c r="L11" s="262" t="str">
        <f ca="1">_xll.meLWOCurveMarketDataCreate(L10,K3,K4:L7,N3,N5:O24)</f>
        <v>USD_BASIS_3X12_MARKETDATA@4:3</v>
      </c>
      <c r="N11" s="257" t="s">
        <v>207</v>
      </c>
      <c r="O11" s="258">
        <v>2E-3</v>
      </c>
    </row>
    <row r="12" spans="2:15">
      <c r="B12" s="144"/>
      <c r="C12" s="145"/>
      <c r="D12" s="145"/>
      <c r="E12" s="145"/>
      <c r="F12" s="145"/>
      <c r="G12" s="145"/>
      <c r="H12" s="145"/>
      <c r="I12" s="146"/>
      <c r="K12" s="180"/>
      <c r="L12" s="263"/>
      <c r="N12" s="257" t="s">
        <v>209</v>
      </c>
      <c r="O12" s="258">
        <v>2E-3</v>
      </c>
    </row>
    <row r="13" spans="2:15">
      <c r="L13" s="245"/>
      <c r="N13" s="257" t="s">
        <v>211</v>
      </c>
      <c r="O13" s="258">
        <v>1.9624999999999998E-3</v>
      </c>
    </row>
    <row r="14" spans="2:15">
      <c r="K14" s="261" t="s">
        <v>122</v>
      </c>
      <c r="L14" s="245"/>
      <c r="N14" s="257" t="s">
        <v>212</v>
      </c>
      <c r="O14" s="258">
        <v>2.0874999999999999E-3</v>
      </c>
    </row>
    <row r="15" spans="2:15">
      <c r="B15" s="150" t="s">
        <v>77</v>
      </c>
      <c r="C15" s="150"/>
      <c r="K15" s="172" t="s">
        <v>123</v>
      </c>
      <c r="L15" s="253" t="s">
        <v>192</v>
      </c>
      <c r="N15" s="257" t="s">
        <v>214</v>
      </c>
      <c r="O15" s="258">
        <v>2.15E-3</v>
      </c>
    </row>
    <row r="16" spans="2:15">
      <c r="B16" s="105"/>
      <c r="C16" s="108"/>
      <c r="D16" s="106"/>
      <c r="E16" s="107"/>
      <c r="F16" s="108"/>
      <c r="G16" s="108"/>
      <c r="H16" s="108"/>
      <c r="I16" s="109"/>
      <c r="K16" s="178" t="s">
        <v>125</v>
      </c>
      <c r="L16" s="256" t="s">
        <v>193</v>
      </c>
      <c r="N16" s="257" t="s">
        <v>215</v>
      </c>
      <c r="O16" s="258">
        <v>2.2750000000000001E-3</v>
      </c>
    </row>
    <row r="17" spans="2:16">
      <c r="B17" s="110"/>
      <c r="C17" s="112"/>
      <c r="D17" s="130" t="s">
        <v>77</v>
      </c>
      <c r="E17" s="152"/>
      <c r="F17" s="112"/>
      <c r="G17" s="112"/>
      <c r="H17" s="112"/>
      <c r="I17" s="113"/>
      <c r="K17" s="178" t="s">
        <v>127</v>
      </c>
      <c r="L17" s="256" t="s">
        <v>39</v>
      </c>
      <c r="N17" s="264"/>
      <c r="O17" s="265"/>
      <c r="P17" s="266"/>
    </row>
    <row r="18" spans="2:16">
      <c r="B18" s="110"/>
      <c r="C18" s="112"/>
      <c r="D18" s="137" t="s">
        <v>72</v>
      </c>
      <c r="E18" s="154" t="e">
        <f>Settings.COB</f>
        <v>#NAME?</v>
      </c>
      <c r="F18" s="112"/>
      <c r="G18" s="112"/>
      <c r="H18" s="112"/>
      <c r="I18" s="113"/>
      <c r="K18" s="180" t="s">
        <v>128</v>
      </c>
      <c r="L18" s="263"/>
      <c r="N18" s="264"/>
      <c r="O18" s="265"/>
      <c r="P18" s="266"/>
    </row>
    <row r="19" spans="2:16">
      <c r="B19" s="110"/>
      <c r="C19" s="112"/>
      <c r="D19" s="153" t="s">
        <v>36</v>
      </c>
      <c r="E19" s="141" t="s">
        <v>37</v>
      </c>
      <c r="F19" s="112"/>
      <c r="G19" s="112"/>
      <c r="H19" s="112"/>
      <c r="I19" s="113"/>
      <c r="L19" s="245"/>
      <c r="N19" s="257"/>
      <c r="O19" s="258"/>
    </row>
    <row r="20" spans="2:16">
      <c r="B20" s="110"/>
      <c r="C20" s="112"/>
      <c r="D20" s="153" t="s">
        <v>79</v>
      </c>
      <c r="E20" s="141" t="s">
        <v>80</v>
      </c>
      <c r="F20" s="112"/>
      <c r="G20" s="112"/>
      <c r="H20" s="112"/>
      <c r="I20" s="113"/>
      <c r="K20" s="261" t="s">
        <v>129</v>
      </c>
      <c r="L20" s="245"/>
      <c r="N20" s="270"/>
      <c r="O20" s="271"/>
    </row>
    <row r="21" spans="2:16">
      <c r="B21" s="110"/>
      <c r="C21" s="112"/>
      <c r="D21" s="153" t="s">
        <v>81</v>
      </c>
      <c r="E21" s="141" t="s">
        <v>80</v>
      </c>
      <c r="F21" s="112"/>
      <c r="G21" s="112"/>
      <c r="H21" s="112"/>
      <c r="I21" s="113"/>
      <c r="K21" s="172" t="s">
        <v>75</v>
      </c>
      <c r="L21" s="267" t="str">
        <f t="array" aca="1" ref="L21:L24" ca="1">IF('USD BASIS 1ML'!$L$25,_xll.meLWOCurveCalibrate($L$15,$L$16,$L$11,$L$17,$L$18),"LOAD USD1ML Curve")</f>
        <v>USD_BASIS_12M_CURVE@15:3</v>
      </c>
      <c r="N21" s="270"/>
      <c r="O21" s="271"/>
    </row>
    <row r="22" spans="2:16">
      <c r="B22" s="110"/>
      <c r="C22" s="112"/>
      <c r="D22" s="153" t="s">
        <v>130</v>
      </c>
      <c r="E22" s="141" t="s">
        <v>80</v>
      </c>
      <c r="F22" s="112"/>
      <c r="G22" s="112"/>
      <c r="H22" s="112"/>
      <c r="I22" s="113"/>
      <c r="K22" s="178" t="s">
        <v>92</v>
      </c>
      <c r="L22" s="268" t="str">
        <f ca="1"/>
        <v>USDYC</v>
      </c>
      <c r="N22" s="270"/>
      <c r="O22" s="271"/>
    </row>
    <row r="23" spans="2:16">
      <c r="B23" s="110"/>
      <c r="C23" s="112"/>
      <c r="D23" s="153" t="s">
        <v>131</v>
      </c>
      <c r="E23" s="141" t="b">
        <v>0</v>
      </c>
      <c r="F23" s="112"/>
      <c r="G23" s="112"/>
      <c r="H23" s="112"/>
      <c r="I23" s="113"/>
      <c r="K23" s="178" t="s">
        <v>93</v>
      </c>
      <c r="L23" s="268" t="str">
        <f ca="1"/>
        <v>3M12MBasis:USD12ML</v>
      </c>
      <c r="N23" s="270"/>
      <c r="O23" s="271"/>
    </row>
    <row r="24" spans="2:16">
      <c r="B24" s="110"/>
      <c r="C24" s="112"/>
      <c r="D24" s="153" t="s">
        <v>132</v>
      </c>
      <c r="E24" s="141" t="s">
        <v>58</v>
      </c>
      <c r="F24" s="112"/>
      <c r="G24" s="112"/>
      <c r="H24" s="112"/>
      <c r="I24" s="113"/>
      <c r="K24" s="180" t="s">
        <v>94</v>
      </c>
      <c r="L24" s="269" t="str">
        <f ca="1"/>
        <v>0.00700 sec</v>
      </c>
      <c r="N24" s="272"/>
      <c r="O24" s="273"/>
    </row>
    <row r="25" spans="2:16">
      <c r="B25" s="110"/>
      <c r="C25" s="112"/>
      <c r="D25" s="147"/>
      <c r="E25" s="274"/>
      <c r="F25" s="112"/>
      <c r="G25" s="112"/>
      <c r="H25" s="112"/>
      <c r="I25" s="113"/>
      <c r="K25" s="275" t="s">
        <v>133</v>
      </c>
      <c r="L25" s="276" t="b">
        <f ca="1">_xll.meLWOExists(L21,"CURVE")</f>
        <v>1</v>
      </c>
    </row>
    <row r="26" spans="2:16">
      <c r="B26" s="110"/>
      <c r="C26" s="112"/>
      <c r="D26" s="147"/>
      <c r="E26" s="274"/>
      <c r="F26" s="112"/>
      <c r="G26" s="112"/>
      <c r="H26" s="112"/>
      <c r="I26" s="113"/>
    </row>
    <row r="27" spans="2:16">
      <c r="B27" s="110"/>
      <c r="C27" s="112"/>
      <c r="D27" s="147"/>
      <c r="E27" s="274"/>
      <c r="F27" s="112"/>
      <c r="G27" s="112"/>
      <c r="H27" s="112"/>
      <c r="I27" s="113"/>
    </row>
    <row r="28" spans="2:16">
      <c r="B28" s="110"/>
      <c r="C28" s="112"/>
      <c r="D28" s="159"/>
      <c r="E28" s="164"/>
      <c r="F28" s="112"/>
      <c r="G28" s="112"/>
      <c r="H28" s="112"/>
      <c r="I28" s="113"/>
    </row>
    <row r="29" spans="2:16">
      <c r="B29" s="144"/>
      <c r="C29" s="145"/>
      <c r="D29" s="145"/>
      <c r="E29" s="145"/>
      <c r="F29" s="145"/>
      <c r="G29" s="145"/>
      <c r="H29" s="145"/>
      <c r="I29" s="146"/>
    </row>
    <row r="32" spans="2:16">
      <c r="B32" s="150" t="s">
        <v>134</v>
      </c>
      <c r="C32" s="150"/>
    </row>
    <row r="33" spans="2:9">
      <c r="B33" s="105"/>
      <c r="C33" s="108"/>
      <c r="D33" s="108"/>
      <c r="E33" s="108"/>
      <c r="F33" s="108"/>
      <c r="G33" s="108"/>
      <c r="H33" s="108"/>
      <c r="I33" s="109"/>
    </row>
    <row r="34" spans="2:9">
      <c r="B34" s="110"/>
      <c r="C34" s="112"/>
      <c r="D34" s="114" t="s">
        <v>194</v>
      </c>
      <c r="E34" s="169"/>
      <c r="F34" s="169"/>
      <c r="G34" s="114" t="s">
        <v>195</v>
      </c>
      <c r="H34" s="169"/>
      <c r="I34" s="170"/>
    </row>
    <row r="35" spans="2:9">
      <c r="B35" s="110"/>
      <c r="C35" s="277"/>
      <c r="D35" s="137" t="s">
        <v>137</v>
      </c>
      <c r="E35" s="171" t="s">
        <v>189</v>
      </c>
      <c r="F35" s="112"/>
      <c r="G35" s="202" t="s">
        <v>61</v>
      </c>
      <c r="H35" s="202" t="s">
        <v>62</v>
      </c>
      <c r="I35" s="170"/>
    </row>
    <row r="36" spans="2:9">
      <c r="B36" s="110"/>
      <c r="C36" s="330" t="s">
        <v>138</v>
      </c>
      <c r="D36" s="283" t="s">
        <v>139</v>
      </c>
      <c r="E36" s="280" t="b">
        <v>0</v>
      </c>
      <c r="F36" s="177"/>
      <c r="G36" s="124" t="s">
        <v>198</v>
      </c>
      <c r="H36" s="129">
        <v>1.8500000000000001E-3</v>
      </c>
      <c r="I36" s="170"/>
    </row>
    <row r="37" spans="2:9">
      <c r="B37" s="110"/>
      <c r="C37" s="331"/>
      <c r="D37" s="140" t="s">
        <v>140</v>
      </c>
      <c r="E37" s="176" t="s">
        <v>99</v>
      </c>
      <c r="F37" s="177"/>
      <c r="G37" s="134" t="s">
        <v>200</v>
      </c>
      <c r="H37" s="136">
        <v>2.0999999999999999E-3</v>
      </c>
      <c r="I37" s="170"/>
    </row>
    <row r="38" spans="2:9">
      <c r="B38" s="110"/>
      <c r="C38" s="331"/>
      <c r="D38" s="140" t="s">
        <v>141</v>
      </c>
      <c r="E38" s="176" t="s">
        <v>15</v>
      </c>
      <c r="F38" s="177"/>
      <c r="G38" s="134" t="s">
        <v>96</v>
      </c>
      <c r="H38" s="136">
        <v>2.0625000000000001E-3</v>
      </c>
      <c r="I38" s="170"/>
    </row>
    <row r="39" spans="2:9">
      <c r="B39" s="110"/>
      <c r="C39" s="331"/>
      <c r="D39" s="140" t="s">
        <v>142</v>
      </c>
      <c r="E39" s="176" t="s">
        <v>88</v>
      </c>
      <c r="F39" s="177"/>
      <c r="G39" s="134" t="s">
        <v>203</v>
      </c>
      <c r="H39" s="136">
        <v>1.9624999999999998E-3</v>
      </c>
      <c r="I39" s="170"/>
    </row>
    <row r="40" spans="2:9">
      <c r="B40" s="110"/>
      <c r="C40" s="331"/>
      <c r="D40" s="140" t="s">
        <v>143</v>
      </c>
      <c r="E40" s="176" t="s">
        <v>90</v>
      </c>
      <c r="F40" s="177"/>
      <c r="G40" s="134" t="s">
        <v>204</v>
      </c>
      <c r="H40" s="136">
        <v>1.9624999999999998E-3</v>
      </c>
      <c r="I40" s="170"/>
    </row>
    <row r="41" spans="2:9">
      <c r="B41" s="110"/>
      <c r="C41" s="331"/>
      <c r="D41" s="140" t="s">
        <v>144</v>
      </c>
      <c r="E41" s="176">
        <v>2</v>
      </c>
      <c r="F41" s="177"/>
      <c r="G41" s="134" t="s">
        <v>206</v>
      </c>
      <c r="H41" s="136">
        <v>1.9750000000000002E-3</v>
      </c>
      <c r="I41" s="170"/>
    </row>
    <row r="42" spans="2:9">
      <c r="B42" s="110"/>
      <c r="C42" s="331"/>
      <c r="D42" s="140" t="s">
        <v>145</v>
      </c>
      <c r="E42" s="176" t="s">
        <v>58</v>
      </c>
      <c r="F42" s="177"/>
      <c r="G42" s="134" t="s">
        <v>207</v>
      </c>
      <c r="H42" s="136">
        <v>2E-3</v>
      </c>
      <c r="I42" s="170"/>
    </row>
    <row r="43" spans="2:9">
      <c r="B43" s="110"/>
      <c r="C43" s="331"/>
      <c r="D43" s="140" t="s">
        <v>146</v>
      </c>
      <c r="E43" s="176" t="s">
        <v>106</v>
      </c>
      <c r="F43" s="177"/>
      <c r="G43" s="134" t="s">
        <v>209</v>
      </c>
      <c r="H43" s="136">
        <v>2E-3</v>
      </c>
      <c r="I43" s="170"/>
    </row>
    <row r="44" spans="2:9">
      <c r="B44" s="110"/>
      <c r="C44" s="331"/>
      <c r="D44" s="140" t="s">
        <v>147</v>
      </c>
      <c r="E44" s="176" t="s">
        <v>196</v>
      </c>
      <c r="F44" s="177"/>
      <c r="G44" s="134" t="s">
        <v>211</v>
      </c>
      <c r="H44" s="136">
        <v>1.9624999999999998E-3</v>
      </c>
      <c r="I44" s="170"/>
    </row>
    <row r="45" spans="2:9">
      <c r="B45" s="110"/>
      <c r="C45" s="331"/>
      <c r="D45" s="140" t="s">
        <v>149</v>
      </c>
      <c r="E45" s="176" t="s">
        <v>15</v>
      </c>
      <c r="F45" s="177"/>
      <c r="G45" s="134" t="s">
        <v>212</v>
      </c>
      <c r="H45" s="136">
        <v>2.0874999999999999E-3</v>
      </c>
      <c r="I45" s="170"/>
    </row>
    <row r="46" spans="2:9">
      <c r="B46" s="110"/>
      <c r="C46" s="331"/>
      <c r="D46" s="140" t="s">
        <v>150</v>
      </c>
      <c r="E46" s="176" t="s">
        <v>99</v>
      </c>
      <c r="F46" s="177"/>
      <c r="G46" s="134" t="s">
        <v>214</v>
      </c>
      <c r="H46" s="136">
        <v>2.15E-3</v>
      </c>
      <c r="I46" s="170"/>
    </row>
    <row r="47" spans="2:9">
      <c r="B47" s="110"/>
      <c r="C47" s="331"/>
      <c r="D47" s="140" t="s">
        <v>151</v>
      </c>
      <c r="E47" s="176" t="s">
        <v>110</v>
      </c>
      <c r="F47" s="177"/>
      <c r="G47" s="134" t="s">
        <v>215</v>
      </c>
      <c r="H47" s="136">
        <v>2.2750000000000001E-3</v>
      </c>
      <c r="I47" s="170"/>
    </row>
    <row r="48" spans="2:9">
      <c r="B48" s="110"/>
      <c r="C48" s="331"/>
      <c r="D48" s="140" t="s">
        <v>152</v>
      </c>
      <c r="E48" s="176" t="s">
        <v>99</v>
      </c>
      <c r="F48" s="177"/>
      <c r="G48" s="189"/>
      <c r="H48" s="241"/>
      <c r="I48" s="170"/>
    </row>
    <row r="49" spans="2:9">
      <c r="B49" s="110"/>
      <c r="C49" s="331"/>
      <c r="D49" s="140" t="s">
        <v>153</v>
      </c>
      <c r="E49" s="176">
        <v>2</v>
      </c>
      <c r="F49" s="177"/>
      <c r="G49" s="189"/>
      <c r="H49" s="241"/>
      <c r="I49" s="170"/>
    </row>
    <row r="50" spans="2:9">
      <c r="B50" s="110"/>
      <c r="C50" s="332"/>
      <c r="D50" s="284" t="s">
        <v>154</v>
      </c>
      <c r="E50" s="176" t="s">
        <v>90</v>
      </c>
      <c r="F50" s="177"/>
      <c r="G50" s="189"/>
      <c r="H50" s="241"/>
      <c r="I50" s="170"/>
    </row>
    <row r="51" spans="2:9">
      <c r="B51" s="110"/>
      <c r="C51" s="333" t="s">
        <v>155</v>
      </c>
      <c r="D51" s="283" t="s">
        <v>156</v>
      </c>
      <c r="E51" s="280" t="s">
        <v>99</v>
      </c>
      <c r="F51" s="177"/>
      <c r="G51" s="189"/>
      <c r="H51" s="241"/>
      <c r="I51" s="170"/>
    </row>
    <row r="52" spans="2:9">
      <c r="B52" s="110"/>
      <c r="C52" s="334"/>
      <c r="D52" s="140" t="s">
        <v>157</v>
      </c>
      <c r="E52" s="176" t="s">
        <v>15</v>
      </c>
      <c r="F52" s="177"/>
      <c r="G52" s="189"/>
      <c r="H52" s="241"/>
      <c r="I52" s="170"/>
    </row>
    <row r="53" spans="2:9">
      <c r="B53" s="110"/>
      <c r="C53" s="334"/>
      <c r="D53" s="140" t="s">
        <v>158</v>
      </c>
      <c r="E53" s="176" t="s">
        <v>100</v>
      </c>
      <c r="F53" s="177"/>
      <c r="G53" s="189"/>
      <c r="H53" s="239"/>
      <c r="I53" s="170"/>
    </row>
    <row r="54" spans="2:9">
      <c r="B54" s="110"/>
      <c r="C54" s="334"/>
      <c r="D54" s="140" t="s">
        <v>159</v>
      </c>
      <c r="E54" s="176" t="s">
        <v>88</v>
      </c>
      <c r="F54" s="177"/>
      <c r="G54" s="189"/>
      <c r="H54" s="239"/>
      <c r="I54" s="170"/>
    </row>
    <row r="55" spans="2:9">
      <c r="B55" s="110"/>
      <c r="C55" s="334"/>
      <c r="D55" s="140" t="s">
        <v>160</v>
      </c>
      <c r="E55" s="176" t="s">
        <v>90</v>
      </c>
      <c r="F55" s="177"/>
      <c r="G55" s="189"/>
      <c r="H55" s="239"/>
      <c r="I55" s="170"/>
    </row>
    <row r="56" spans="2:9">
      <c r="B56" s="110"/>
      <c r="C56" s="334"/>
      <c r="D56" s="140" t="s">
        <v>161</v>
      </c>
      <c r="E56" s="176">
        <v>2</v>
      </c>
      <c r="F56" s="177"/>
      <c r="G56" s="189"/>
      <c r="H56" s="239"/>
      <c r="I56" s="170"/>
    </row>
    <row r="57" spans="2:9">
      <c r="B57" s="110"/>
      <c r="C57" s="334"/>
      <c r="D57" s="140" t="s">
        <v>162</v>
      </c>
      <c r="E57" s="176" t="s">
        <v>58</v>
      </c>
      <c r="F57" s="177"/>
      <c r="G57" s="189"/>
      <c r="H57" s="239"/>
      <c r="I57" s="170"/>
    </row>
    <row r="58" spans="2:9">
      <c r="B58" s="110"/>
      <c r="C58" s="334"/>
      <c r="D58" s="140" t="s">
        <v>163</v>
      </c>
      <c r="E58" s="176" t="s">
        <v>14</v>
      </c>
      <c r="F58" s="177"/>
      <c r="G58" s="189"/>
      <c r="H58" s="239"/>
      <c r="I58" s="170"/>
    </row>
    <row r="59" spans="2:9">
      <c r="B59" s="110"/>
      <c r="C59" s="334"/>
      <c r="D59" s="140" t="s">
        <v>164</v>
      </c>
      <c r="E59" s="176" t="s">
        <v>54</v>
      </c>
      <c r="F59" s="177"/>
      <c r="G59" s="189"/>
      <c r="H59" s="239"/>
      <c r="I59" s="170"/>
    </row>
    <row r="60" spans="2:9">
      <c r="B60" s="110"/>
      <c r="C60" s="334"/>
      <c r="D60" s="140" t="s">
        <v>165</v>
      </c>
      <c r="E60" s="176" t="s">
        <v>15</v>
      </c>
      <c r="F60" s="177"/>
      <c r="G60" s="189"/>
      <c r="H60" s="239"/>
      <c r="I60" s="170"/>
    </row>
    <row r="61" spans="2:9">
      <c r="B61" s="110"/>
      <c r="C61" s="334"/>
      <c r="D61" s="140" t="s">
        <v>166</v>
      </c>
      <c r="E61" s="176" t="s">
        <v>99</v>
      </c>
      <c r="F61" s="177"/>
      <c r="G61" s="189"/>
      <c r="H61" s="239"/>
      <c r="I61" s="170"/>
    </row>
    <row r="62" spans="2:9">
      <c r="B62" s="110"/>
      <c r="C62" s="334"/>
      <c r="D62" s="140" t="s">
        <v>167</v>
      </c>
      <c r="E62" s="176" t="s">
        <v>110</v>
      </c>
      <c r="F62" s="177"/>
      <c r="G62" s="189"/>
      <c r="H62" s="239"/>
      <c r="I62" s="170"/>
    </row>
    <row r="63" spans="2:9">
      <c r="B63" s="110"/>
      <c r="C63" s="334"/>
      <c r="D63" s="140" t="s">
        <v>168</v>
      </c>
      <c r="E63" s="176" t="s">
        <v>99</v>
      </c>
      <c r="F63" s="177"/>
      <c r="G63" s="189"/>
      <c r="H63" s="239"/>
      <c r="I63" s="170"/>
    </row>
    <row r="64" spans="2:9">
      <c r="B64" s="110"/>
      <c r="C64" s="334"/>
      <c r="D64" s="140" t="s">
        <v>169</v>
      </c>
      <c r="E64" s="176">
        <v>2</v>
      </c>
      <c r="F64" s="177"/>
      <c r="G64" s="189"/>
      <c r="H64" s="239"/>
      <c r="I64" s="170"/>
    </row>
    <row r="65" spans="2:9">
      <c r="B65" s="110"/>
      <c r="C65" s="335" t="str">
        <f>"Solving For :"&amp;CHAR(32)&amp;$E$65</f>
        <v>Solving For : MOD_FOLLOWING</v>
      </c>
      <c r="D65" s="284" t="s">
        <v>170</v>
      </c>
      <c r="E65" s="285" t="s">
        <v>90</v>
      </c>
      <c r="F65" s="177"/>
      <c r="G65" s="189"/>
      <c r="H65" s="239"/>
      <c r="I65" s="170"/>
    </row>
    <row r="66" spans="2:9">
      <c r="B66" s="110"/>
      <c r="C66" s="336"/>
      <c r="D66" s="283" t="s">
        <v>171</v>
      </c>
      <c r="E66" s="280" t="s">
        <v>172</v>
      </c>
      <c r="F66" s="177"/>
      <c r="G66" s="189"/>
      <c r="H66" s="239"/>
      <c r="I66" s="170"/>
    </row>
    <row r="67" spans="2:9">
      <c r="B67" s="110"/>
      <c r="C67" s="336"/>
      <c r="D67" s="140" t="s">
        <v>113</v>
      </c>
      <c r="E67" s="141" t="b">
        <v>1</v>
      </c>
      <c r="F67" s="177"/>
      <c r="G67" s="189"/>
      <c r="H67" s="239"/>
      <c r="I67" s="170"/>
    </row>
    <row r="68" spans="2:9">
      <c r="B68" s="110"/>
      <c r="C68" s="336"/>
      <c r="D68" s="140" t="s">
        <v>173</v>
      </c>
      <c r="E68" s="176" t="s">
        <v>108</v>
      </c>
      <c r="F68" s="177"/>
      <c r="G68" s="189"/>
      <c r="H68" s="239"/>
      <c r="I68" s="170"/>
    </row>
    <row r="69" spans="2:9">
      <c r="B69" s="110"/>
      <c r="C69" s="336"/>
      <c r="D69" s="140" t="s">
        <v>174</v>
      </c>
      <c r="E69" s="176" t="b">
        <v>1</v>
      </c>
      <c r="F69" s="177"/>
      <c r="G69" s="189"/>
      <c r="H69" s="239"/>
      <c r="I69" s="170"/>
    </row>
    <row r="70" spans="2:9">
      <c r="B70" s="110"/>
      <c r="C70" s="336"/>
      <c r="D70" s="140" t="s">
        <v>175</v>
      </c>
      <c r="E70" s="176" t="s">
        <v>196</v>
      </c>
      <c r="F70" s="177"/>
      <c r="G70" s="189"/>
      <c r="H70" s="239"/>
      <c r="I70" s="170"/>
    </row>
    <row r="71" spans="2:9">
      <c r="B71" s="110"/>
      <c r="C71" s="336"/>
      <c r="D71" s="140" t="s">
        <v>176</v>
      </c>
      <c r="E71" s="176" t="b">
        <v>0</v>
      </c>
      <c r="F71" s="177"/>
      <c r="G71" s="189"/>
      <c r="H71" s="239"/>
      <c r="I71" s="170"/>
    </row>
    <row r="72" spans="2:9">
      <c r="B72" s="110"/>
      <c r="C72" s="336"/>
      <c r="D72" s="140" t="s">
        <v>97</v>
      </c>
      <c r="E72" s="240">
        <v>1.0000000000000001E-9</v>
      </c>
      <c r="F72" s="177"/>
      <c r="G72" s="189"/>
      <c r="H72" s="239"/>
      <c r="I72" s="170"/>
    </row>
    <row r="73" spans="2:9">
      <c r="B73" s="110"/>
      <c r="C73" s="336"/>
      <c r="D73" s="140" t="s">
        <v>98</v>
      </c>
      <c r="E73" s="188">
        <v>1000</v>
      </c>
      <c r="F73" s="177"/>
      <c r="G73" s="189"/>
      <c r="H73" s="239"/>
      <c r="I73" s="170"/>
    </row>
    <row r="74" spans="2:9">
      <c r="B74" s="110"/>
      <c r="C74" s="336"/>
      <c r="D74" s="140" t="s">
        <v>177</v>
      </c>
      <c r="E74" s="176" t="b">
        <v>0</v>
      </c>
      <c r="F74" s="177"/>
      <c r="G74" s="189"/>
      <c r="H74" s="239"/>
      <c r="I74" s="170"/>
    </row>
    <row r="75" spans="2:9">
      <c r="B75" s="110"/>
      <c r="C75" s="336"/>
      <c r="D75" s="140" t="s">
        <v>178</v>
      </c>
      <c r="E75" s="176" t="b">
        <v>1</v>
      </c>
      <c r="F75" s="177"/>
      <c r="G75" s="189"/>
      <c r="H75" s="239"/>
      <c r="I75" s="170"/>
    </row>
    <row r="76" spans="2:9">
      <c r="B76" s="110"/>
      <c r="C76" s="336"/>
      <c r="D76" s="140" t="s">
        <v>91</v>
      </c>
      <c r="E76" s="176">
        <v>31</v>
      </c>
      <c r="F76" s="177"/>
      <c r="G76" s="189"/>
      <c r="H76" s="239"/>
      <c r="I76" s="170"/>
    </row>
    <row r="77" spans="2:9">
      <c r="B77" s="110"/>
      <c r="C77" s="337"/>
      <c r="D77" s="167"/>
      <c r="E77" s="191"/>
      <c r="F77" s="177"/>
      <c r="G77" s="225"/>
      <c r="H77" s="226"/>
      <c r="I77" s="170"/>
    </row>
    <row r="78" spans="2:9">
      <c r="B78" s="110"/>
      <c r="C78" s="112"/>
      <c r="D78" s="177"/>
      <c r="E78" s="177"/>
      <c r="F78" s="177"/>
      <c r="G78" s="169"/>
      <c r="H78" s="169"/>
      <c r="I78" s="170"/>
    </row>
    <row r="79" spans="2:9">
      <c r="B79" s="144"/>
      <c r="C79" s="145"/>
      <c r="D79" s="145"/>
      <c r="E79" s="145"/>
      <c r="F79" s="145"/>
      <c r="G79" s="145"/>
      <c r="H79" s="145"/>
      <c r="I79" s="146"/>
    </row>
  </sheetData>
  <mergeCells count="3">
    <mergeCell ref="C36:C50"/>
    <mergeCell ref="C51:C64"/>
    <mergeCell ref="C65:C77"/>
  </mergeCells>
  <dataValidations count="4">
    <dataValidation type="list" allowBlank="1" showInputMessage="1" showErrorMessage="1" sqref="E39 E53">
      <formula1>"Annual,Semi-Annual,Quarterly,Monthly"</formula1>
    </dataValidation>
    <dataValidation type="list" allowBlank="1" showInputMessage="1" showErrorMessage="1" sqref="E38 E64 E54 E50 E40">
      <formula1>"FOLLOWING,MOD_FOLLOWING,PRECEDING,MOD_PRECEEDING,NO_CHANGE"</formula1>
    </dataValidation>
    <dataValidation type="list" allowBlank="1" showInputMessage="1" showErrorMessage="1" sqref="E67">
      <formula1>$F$19:$F$24</formula1>
    </dataValidation>
    <dataValidation type="list" allowBlank="1" showInputMessage="1" showErrorMessage="1" sqref="E20">
      <formula1>$G$18:$G$23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C15"/>
  <sheetViews>
    <sheetView showGridLines="0" workbookViewId="0"/>
  </sheetViews>
  <sheetFormatPr defaultRowHeight="15"/>
  <cols>
    <col min="2" max="2" width="30.5703125" bestFit="1" customWidth="1"/>
    <col min="3" max="3" width="20.85546875" bestFit="1" customWidth="1"/>
  </cols>
  <sheetData>
    <row r="2" spans="2:3">
      <c r="B2" s="84" t="s">
        <v>50</v>
      </c>
      <c r="C2" s="85" t="str">
        <f ca="1">_xll.meLWOFixingTableCreate(C6,C7,C8,B12:B15,C12:C15)</f>
        <v>USD3M_FIXINGS@3:3</v>
      </c>
    </row>
    <row r="3" spans="2:3">
      <c r="B3" s="86"/>
      <c r="C3" s="34"/>
    </row>
    <row r="4" spans="2:3">
      <c r="B4" s="86"/>
      <c r="C4" s="34"/>
    </row>
    <row r="5" spans="2:3">
      <c r="B5" s="87" t="s">
        <v>51</v>
      </c>
      <c r="C5" s="34"/>
    </row>
    <row r="6" spans="2:3">
      <c r="B6" s="88" t="s">
        <v>52</v>
      </c>
      <c r="C6" s="89" t="str">
        <f>C7&amp;C8&amp;"_FIXINGS"</f>
        <v>USD3M_FIXINGS</v>
      </c>
    </row>
    <row r="7" spans="2:3">
      <c r="B7" s="90" t="s">
        <v>36</v>
      </c>
      <c r="C7" s="91" t="s">
        <v>37</v>
      </c>
    </row>
    <row r="8" spans="2:3">
      <c r="B8" s="92" t="s">
        <v>53</v>
      </c>
      <c r="C8" s="93" t="s">
        <v>54</v>
      </c>
    </row>
    <row r="9" spans="2:3">
      <c r="B9" s="86"/>
      <c r="C9" s="34"/>
    </row>
    <row r="10" spans="2:3">
      <c r="B10" s="86"/>
      <c r="C10" s="34"/>
    </row>
    <row r="11" spans="2:3">
      <c r="B11" s="87" t="s">
        <v>8</v>
      </c>
      <c r="C11" s="94" t="s">
        <v>55</v>
      </c>
    </row>
    <row r="12" spans="2:3">
      <c r="B12" s="95">
        <v>43734</v>
      </c>
      <c r="C12" s="100">
        <v>2.1043800000000001E-2</v>
      </c>
    </row>
    <row r="13" spans="2:3">
      <c r="B13" s="96"/>
      <c r="C13" s="97"/>
    </row>
    <row r="14" spans="2:3">
      <c r="B14" s="96"/>
      <c r="C14" s="97"/>
    </row>
    <row r="15" spans="2:3">
      <c r="B15" s="98"/>
      <c r="C15" s="99"/>
    </row>
  </sheetData>
  <dataValidations count="1">
    <dataValidation type="list" allowBlank="1" showInputMessage="1" showErrorMessage="1" sqref="C8">
      <formula1>"1D,1M,3M,6M,12M"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L69"/>
  <sheetViews>
    <sheetView showGridLines="0" workbookViewId="0"/>
  </sheetViews>
  <sheetFormatPr defaultRowHeight="15"/>
  <cols>
    <col min="2" max="2" width="19.85546875" customWidth="1"/>
    <col min="3" max="3" width="17.42578125" bestFit="1" customWidth="1"/>
    <col min="5" max="5" width="17.28515625" bestFit="1" customWidth="1"/>
    <col min="6" max="6" width="9" bestFit="1" customWidth="1"/>
    <col min="7" max="7" width="11.85546875" bestFit="1" customWidth="1"/>
    <col min="8" max="10" width="15.140625" bestFit="1" customWidth="1"/>
    <col min="11" max="11" width="17" bestFit="1" customWidth="1"/>
    <col min="12" max="12" width="15.85546875" bestFit="1" customWidth="1"/>
  </cols>
  <sheetData>
    <row r="2" spans="2:12">
      <c r="B2" s="50"/>
      <c r="E2" s="50" t="s">
        <v>231</v>
      </c>
      <c r="H2" s="34"/>
      <c r="I2" s="34"/>
      <c r="J2" s="34" t="s">
        <v>17</v>
      </c>
    </row>
    <row r="3" spans="2:12">
      <c r="E3" t="str">
        <f ca="1">_xll.meLWOScheduleCreateBespokeFromCashflows("FIXED_SCHEDULE",$B$6:$C$11,E6:$L$55)</f>
        <v>FIXED_SCHEDULE@8:7</v>
      </c>
      <c r="H3" s="34"/>
      <c r="I3" s="34"/>
      <c r="J3" s="35" t="s">
        <v>18</v>
      </c>
    </row>
    <row r="5" spans="2:12">
      <c r="B5" s="20" t="s">
        <v>21</v>
      </c>
      <c r="E5" s="20" t="s">
        <v>0</v>
      </c>
      <c r="G5" s="21"/>
    </row>
    <row r="6" spans="2:12">
      <c r="B6" s="43" t="s">
        <v>22</v>
      </c>
      <c r="C6" s="44" t="s">
        <v>228</v>
      </c>
      <c r="E6" s="22" t="s">
        <v>4</v>
      </c>
      <c r="F6" s="23" t="s">
        <v>5</v>
      </c>
      <c r="G6" s="24" t="s">
        <v>229</v>
      </c>
      <c r="H6" s="23" t="s">
        <v>9</v>
      </c>
      <c r="I6" s="23" t="s">
        <v>10</v>
      </c>
      <c r="J6" s="23" t="s">
        <v>11</v>
      </c>
      <c r="K6" s="23" t="s">
        <v>12</v>
      </c>
      <c r="L6" s="27" t="s">
        <v>13</v>
      </c>
    </row>
    <row r="7" spans="2:12">
      <c r="B7" s="45" t="s">
        <v>24</v>
      </c>
      <c r="C7" s="46" t="s">
        <v>230</v>
      </c>
      <c r="E7" s="28">
        <f>'Raw Schedule'!F2</f>
        <v>38892061.25181672</v>
      </c>
      <c r="F7" s="29">
        <v>1</v>
      </c>
      <c r="G7" s="288">
        <v>0.01</v>
      </c>
      <c r="H7" s="32">
        <f>'Raw Schedule'!C2</f>
        <v>43738</v>
      </c>
      <c r="I7" s="32">
        <f>'Raw Schedule'!D2</f>
        <v>43769</v>
      </c>
      <c r="J7" s="32">
        <f>_xll.meDateFromTenor(I7,$J$3,"MOD_FOLLOWING","NYB")</f>
        <v>43773</v>
      </c>
      <c r="K7" s="29">
        <v>1</v>
      </c>
      <c r="L7" s="33" t="s">
        <v>15</v>
      </c>
    </row>
    <row r="8" spans="2:12">
      <c r="B8" s="45" t="s">
        <v>26</v>
      </c>
      <c r="C8" s="49" t="s">
        <v>27</v>
      </c>
      <c r="E8" s="28">
        <f>'Raw Schedule'!F3</f>
        <v>53628704.875037543</v>
      </c>
      <c r="F8" s="29">
        <v>1</v>
      </c>
      <c r="G8" s="288">
        <v>0.01</v>
      </c>
      <c r="H8" s="32">
        <f>'Raw Schedule'!C3</f>
        <v>43769</v>
      </c>
      <c r="I8" s="32">
        <f>'Raw Schedule'!D3</f>
        <v>43799</v>
      </c>
      <c r="J8" s="32">
        <f>_xll.meDateFromTenor(I8,$J$3,"MOD_FOLLOWING","NYB")</f>
        <v>43802</v>
      </c>
      <c r="K8" s="29">
        <v>1</v>
      </c>
      <c r="L8" s="33" t="s">
        <v>15</v>
      </c>
    </row>
    <row r="9" spans="2:12">
      <c r="B9" s="45"/>
      <c r="C9" s="46"/>
      <c r="E9" s="28">
        <f>'Raw Schedule'!F4</f>
        <v>68386301.244811669</v>
      </c>
      <c r="F9" s="29">
        <v>1</v>
      </c>
      <c r="G9" s="288">
        <v>0.01</v>
      </c>
      <c r="H9" s="32">
        <f>'Raw Schedule'!C4</f>
        <v>43799</v>
      </c>
      <c r="I9" s="32">
        <f>'Raw Schedule'!D4</f>
        <v>43830</v>
      </c>
      <c r="J9" s="32">
        <f>_xll.meDateFromTenor(I9,$J$3,"MOD_FOLLOWING","NYB")</f>
        <v>43833</v>
      </c>
      <c r="K9" s="29">
        <v>1</v>
      </c>
      <c r="L9" s="33" t="s">
        <v>15</v>
      </c>
    </row>
    <row r="10" spans="2:12">
      <c r="B10" s="45"/>
      <c r="C10" s="46"/>
      <c r="E10" s="28">
        <f>'Raw Schedule'!F5</f>
        <v>90048520.291204274</v>
      </c>
      <c r="F10" s="29">
        <v>1</v>
      </c>
      <c r="G10" s="288">
        <v>0.01</v>
      </c>
      <c r="H10" s="32">
        <f>'Raw Schedule'!C5</f>
        <v>43830</v>
      </c>
      <c r="I10" s="32">
        <f>'Raw Schedule'!D5</f>
        <v>43861</v>
      </c>
      <c r="J10" s="32">
        <f>_xll.meDateFromTenor(I10,$J$3,"MOD_FOLLOWING","NYB")</f>
        <v>43865</v>
      </c>
      <c r="K10" s="29">
        <v>1</v>
      </c>
      <c r="L10" s="33" t="s">
        <v>15</v>
      </c>
    </row>
    <row r="11" spans="2:12">
      <c r="B11" s="47"/>
      <c r="C11" s="48"/>
      <c r="E11" s="28">
        <f>'Raw Schedule'!F6</f>
        <v>111761755.39710669</v>
      </c>
      <c r="F11" s="29">
        <v>1</v>
      </c>
      <c r="G11" s="288">
        <v>0.01</v>
      </c>
      <c r="H11" s="32">
        <f>'Raw Schedule'!C6</f>
        <v>43861</v>
      </c>
      <c r="I11" s="32">
        <f>'Raw Schedule'!D6</f>
        <v>43890</v>
      </c>
      <c r="J11" s="32">
        <f>_xll.meDateFromTenor(I11,$J$3,"MOD_FOLLOWING","NYB")</f>
        <v>43893</v>
      </c>
      <c r="K11" s="29">
        <v>1</v>
      </c>
      <c r="L11" s="33" t="s">
        <v>15</v>
      </c>
    </row>
    <row r="12" spans="2:12">
      <c r="E12" s="28">
        <f>'Raw Schedule'!F7</f>
        <v>133484419.98699954</v>
      </c>
      <c r="F12" s="29">
        <v>1</v>
      </c>
      <c r="G12" s="288">
        <v>0.01</v>
      </c>
      <c r="H12" s="32">
        <f>'Raw Schedule'!C7</f>
        <v>43890</v>
      </c>
      <c r="I12" s="32">
        <f>'Raw Schedule'!D7</f>
        <v>43921</v>
      </c>
      <c r="J12" s="32">
        <f>_xll.meDateFromTenor(I12,$J$3,"MOD_FOLLOWING","NYB")</f>
        <v>43923</v>
      </c>
      <c r="K12" s="29">
        <v>1</v>
      </c>
      <c r="L12" s="33" t="s">
        <v>15</v>
      </c>
    </row>
    <row r="13" spans="2:12">
      <c r="E13" s="28">
        <f>'Raw Schedule'!F8</f>
        <v>159451913.88730055</v>
      </c>
      <c r="F13" s="29">
        <v>1</v>
      </c>
      <c r="G13" s="288">
        <v>0.01</v>
      </c>
      <c r="H13" s="32">
        <f>'Raw Schedule'!C8</f>
        <v>43921</v>
      </c>
      <c r="I13" s="32">
        <f>'Raw Schedule'!D8</f>
        <v>43951</v>
      </c>
      <c r="J13" s="32">
        <f>_xll.meDateFromTenor(I13,$J$3,"MOD_FOLLOWING","NYB")</f>
        <v>43955</v>
      </c>
      <c r="K13" s="29">
        <v>1</v>
      </c>
      <c r="L13" s="33" t="s">
        <v>15</v>
      </c>
    </row>
    <row r="14" spans="2:12">
      <c r="E14" s="28">
        <f>'Raw Schedule'!F9</f>
        <v>179260013.00021109</v>
      </c>
      <c r="F14" s="29">
        <v>1</v>
      </c>
      <c r="G14" s="288">
        <v>0.01</v>
      </c>
      <c r="H14" s="32">
        <f>'Raw Schedule'!C9</f>
        <v>43951</v>
      </c>
      <c r="I14" s="32">
        <f>'Raw Schedule'!D9</f>
        <v>43982</v>
      </c>
      <c r="J14" s="32">
        <f>_xll.meDateFromTenor(I14,$J$3,"MOD_FOLLOWING","NYB")</f>
        <v>43984</v>
      </c>
      <c r="K14" s="29">
        <v>1</v>
      </c>
      <c r="L14" s="33" t="s">
        <v>15</v>
      </c>
    </row>
    <row r="15" spans="2:12">
      <c r="E15" s="28">
        <f>'Raw Schedule'!F10</f>
        <v>204391717.56760535</v>
      </c>
      <c r="F15" s="29">
        <v>1</v>
      </c>
      <c r="G15" s="288">
        <v>0.01</v>
      </c>
      <c r="H15" s="32">
        <f>'Raw Schedule'!C10</f>
        <v>43982</v>
      </c>
      <c r="I15" s="32">
        <f>'Raw Schedule'!D10</f>
        <v>44012</v>
      </c>
      <c r="J15" s="32">
        <f>_xll.meDateFromTenor(I15,$J$3,"MOD_FOLLOWING","NYB")</f>
        <v>44014</v>
      </c>
      <c r="K15" s="29">
        <v>1</v>
      </c>
      <c r="L15" s="33" t="s">
        <v>15</v>
      </c>
    </row>
    <row r="16" spans="2:12">
      <c r="E16" s="28">
        <f>'Raw Schedule'!F11</f>
        <v>227811896.60559106</v>
      </c>
      <c r="F16" s="29">
        <v>1</v>
      </c>
      <c r="G16" s="288">
        <v>0.01</v>
      </c>
      <c r="H16" s="32">
        <f>'Raw Schedule'!C11</f>
        <v>44012</v>
      </c>
      <c r="I16" s="32">
        <f>'Raw Schedule'!D11</f>
        <v>44043</v>
      </c>
      <c r="J16" s="32">
        <f>_xll.meDateFromTenor(I16,$J$3,"MOD_FOLLOWING","NYB")</f>
        <v>44047</v>
      </c>
      <c r="K16" s="29">
        <v>1</v>
      </c>
      <c r="L16" s="33" t="s">
        <v>15</v>
      </c>
    </row>
    <row r="17" spans="5:12">
      <c r="E17" s="28">
        <f>'Raw Schedule'!F12</f>
        <v>254133953.70030069</v>
      </c>
      <c r="F17" s="29">
        <v>1</v>
      </c>
      <c r="G17" s="288">
        <v>0.01</v>
      </c>
      <c r="H17" s="32">
        <f>'Raw Schedule'!C12</f>
        <v>44043</v>
      </c>
      <c r="I17" s="32">
        <f>'Raw Schedule'!D12</f>
        <v>44074</v>
      </c>
      <c r="J17" s="32">
        <f>_xll.meDateFromTenor(I17,$J$3,"MOD_FOLLOWING","NYB")</f>
        <v>44076</v>
      </c>
      <c r="K17" s="29">
        <v>1</v>
      </c>
      <c r="L17" s="33" t="s">
        <v>15</v>
      </c>
    </row>
    <row r="18" spans="5:12">
      <c r="E18" s="28">
        <f>'Raw Schedule'!F13</f>
        <v>279791364.50182146</v>
      </c>
      <c r="F18" s="29">
        <v>1</v>
      </c>
      <c r="G18" s="288">
        <v>0.01</v>
      </c>
      <c r="H18" s="32">
        <f>'Raw Schedule'!C13</f>
        <v>44074</v>
      </c>
      <c r="I18" s="32">
        <f>'Raw Schedule'!D13</f>
        <v>44104</v>
      </c>
      <c r="J18" s="32">
        <f>_xll.meDateFromTenor(I18,$J$3,"MOD_FOLLOWING","NYB")</f>
        <v>44106</v>
      </c>
      <c r="K18" s="29">
        <v>1</v>
      </c>
      <c r="L18" s="33" t="s">
        <v>15</v>
      </c>
    </row>
    <row r="19" spans="5:12">
      <c r="E19" s="28">
        <f>'Raw Schedule'!F14</f>
        <v>303411844.66305661</v>
      </c>
      <c r="F19" s="29">
        <v>1</v>
      </c>
      <c r="G19" s="288">
        <v>0.01</v>
      </c>
      <c r="H19" s="32">
        <f>'Raw Schedule'!C14</f>
        <v>44104</v>
      </c>
      <c r="I19" s="32">
        <f>'Raw Schedule'!D14</f>
        <v>44135</v>
      </c>
      <c r="J19" s="32">
        <f>_xll.meDateFromTenor(I19,$J$3,"MOD_FOLLOWING","NYB")</f>
        <v>44138</v>
      </c>
      <c r="K19" s="29">
        <v>1</v>
      </c>
      <c r="L19" s="33" t="s">
        <v>15</v>
      </c>
    </row>
    <row r="20" spans="5:12">
      <c r="E20" s="28">
        <f>'Raw Schedule'!F15</f>
        <v>327137287.34339136</v>
      </c>
      <c r="F20" s="29">
        <v>1</v>
      </c>
      <c r="G20" s="288">
        <v>0.01</v>
      </c>
      <c r="H20" s="32">
        <f>'Raw Schedule'!C15</f>
        <v>44135</v>
      </c>
      <c r="I20" s="32">
        <f>'Raw Schedule'!D15</f>
        <v>44165</v>
      </c>
      <c r="J20" s="32">
        <f>_xll.meDateFromTenor(I20,$J$3,"MOD_FOLLOWING","NYB")</f>
        <v>44167</v>
      </c>
      <c r="K20" s="29">
        <v>1</v>
      </c>
      <c r="L20" s="33" t="s">
        <v>15</v>
      </c>
    </row>
    <row r="21" spans="5:12">
      <c r="E21" s="28">
        <f>'Raw Schedule'!F16</f>
        <v>361931690.773785</v>
      </c>
      <c r="F21" s="29">
        <v>1</v>
      </c>
      <c r="G21" s="288">
        <v>0.01</v>
      </c>
      <c r="H21" s="32">
        <f>'Raw Schedule'!C16</f>
        <v>44165</v>
      </c>
      <c r="I21" s="32">
        <f>'Raw Schedule'!D16</f>
        <v>44196</v>
      </c>
      <c r="J21" s="32">
        <f>_xll.meDateFromTenor(I21,$J$3,"MOD_FOLLOWING","NYB")</f>
        <v>44201</v>
      </c>
      <c r="K21" s="29">
        <v>1</v>
      </c>
      <c r="L21" s="33" t="s">
        <v>15</v>
      </c>
    </row>
    <row r="22" spans="5:12">
      <c r="E22" s="28">
        <f>'Raw Schedule'!F17</f>
        <v>398220793.09712785</v>
      </c>
      <c r="F22" s="29">
        <v>1</v>
      </c>
      <c r="G22" s="288">
        <v>0.01</v>
      </c>
      <c r="H22" s="32">
        <f>'Raw Schedule'!C17</f>
        <v>44196</v>
      </c>
      <c r="I22" s="32">
        <f>'Raw Schedule'!D17</f>
        <v>44227</v>
      </c>
      <c r="J22" s="32">
        <f>_xll.meDateFromTenor(I22,$J$3,"MOD_FOLLOWING","NYB")</f>
        <v>44229</v>
      </c>
      <c r="K22" s="29">
        <v>1</v>
      </c>
      <c r="L22" s="33" t="s">
        <v>15</v>
      </c>
    </row>
    <row r="23" spans="5:12">
      <c r="E23" s="28">
        <f>'Raw Schedule'!F18</f>
        <v>429121675.28810889</v>
      </c>
      <c r="F23" s="29">
        <v>1</v>
      </c>
      <c r="G23" s="288">
        <v>0.01</v>
      </c>
      <c r="H23" s="32">
        <f>'Raw Schedule'!C18</f>
        <v>44227</v>
      </c>
      <c r="I23" s="32">
        <f>'Raw Schedule'!D18</f>
        <v>44255</v>
      </c>
      <c r="J23" s="32">
        <f>_xll.meDateFromTenor(I23,$J$3,"MOD_FOLLOWING","NYB")</f>
        <v>44257</v>
      </c>
      <c r="K23" s="29">
        <v>1</v>
      </c>
      <c r="L23" s="33" t="s">
        <v>15</v>
      </c>
    </row>
    <row r="24" spans="5:12">
      <c r="E24" s="28">
        <f>'Raw Schedule'!F19</f>
        <v>453674775.88619882</v>
      </c>
      <c r="F24" s="29">
        <v>1</v>
      </c>
      <c r="G24" s="288">
        <v>0.01</v>
      </c>
      <c r="H24" s="32">
        <f>'Raw Schedule'!C19</f>
        <v>44255</v>
      </c>
      <c r="I24" s="32">
        <f>'Raw Schedule'!D19</f>
        <v>44286</v>
      </c>
      <c r="J24" s="32">
        <f>_xll.meDateFromTenor(I24,$J$3,"MOD_FOLLOWING","NYB")</f>
        <v>44288</v>
      </c>
      <c r="K24" s="29">
        <v>1</v>
      </c>
      <c r="L24" s="33" t="s">
        <v>15</v>
      </c>
    </row>
    <row r="25" spans="5:12">
      <c r="E25" s="28">
        <f>'Raw Schedule'!F20</f>
        <v>476387760.49608904</v>
      </c>
      <c r="F25" s="29">
        <v>1</v>
      </c>
      <c r="G25" s="288">
        <v>0.01</v>
      </c>
      <c r="H25" s="32">
        <f>'Raw Schedule'!C20</f>
        <v>44286</v>
      </c>
      <c r="I25" s="32">
        <f>'Raw Schedule'!D20</f>
        <v>44316</v>
      </c>
      <c r="J25" s="32">
        <f>_xll.meDateFromTenor(I25,$J$3,"MOD_FOLLOWING","NYB")</f>
        <v>44320</v>
      </c>
      <c r="K25" s="29">
        <v>1</v>
      </c>
      <c r="L25" s="33" t="s">
        <v>15</v>
      </c>
    </row>
    <row r="26" spans="5:12">
      <c r="E26" s="28">
        <f>'Raw Schedule'!F21</f>
        <v>495683115.24717569</v>
      </c>
      <c r="F26" s="29">
        <v>1</v>
      </c>
      <c r="G26" s="288">
        <v>0.01</v>
      </c>
      <c r="H26" s="32">
        <f>'Raw Schedule'!C21</f>
        <v>44316</v>
      </c>
      <c r="I26" s="32">
        <f>'Raw Schedule'!D21</f>
        <v>44347</v>
      </c>
      <c r="J26" s="32">
        <f>_xll.meDateFromTenor(I26,$J$3,"MOD_FOLLOWING","NYB")</f>
        <v>44349</v>
      </c>
      <c r="K26" s="29">
        <v>1</v>
      </c>
      <c r="L26" s="33" t="s">
        <v>15</v>
      </c>
    </row>
    <row r="27" spans="5:12">
      <c r="E27" s="28">
        <f>'Raw Schedule'!F22</f>
        <v>513413931.44686937</v>
      </c>
      <c r="F27" s="29">
        <v>1</v>
      </c>
      <c r="G27" s="288">
        <v>0.01</v>
      </c>
      <c r="H27" s="32">
        <f>'Raw Schedule'!C22</f>
        <v>44347</v>
      </c>
      <c r="I27" s="32">
        <f>'Raw Schedule'!D22</f>
        <v>44377</v>
      </c>
      <c r="J27" s="32">
        <f>_xll.meDateFromTenor(I27,$J$3,"MOD_FOLLOWING","NYB")</f>
        <v>44379</v>
      </c>
      <c r="K27" s="29">
        <v>1</v>
      </c>
      <c r="L27" s="33" t="s">
        <v>15</v>
      </c>
    </row>
    <row r="28" spans="5:12">
      <c r="E28" s="28">
        <f>'Raw Schedule'!F23</f>
        <v>523825101.57745403</v>
      </c>
      <c r="F28" s="29">
        <v>1</v>
      </c>
      <c r="G28" s="288">
        <v>0.01</v>
      </c>
      <c r="H28" s="32">
        <f>'Raw Schedule'!C23</f>
        <v>44377</v>
      </c>
      <c r="I28" s="32">
        <f>'Raw Schedule'!D23</f>
        <v>44408</v>
      </c>
      <c r="J28" s="32">
        <f>_xll.meDateFromTenor(I28,$J$3,"MOD_FOLLOWING","NYB")</f>
        <v>44411</v>
      </c>
      <c r="K28" s="29">
        <v>1</v>
      </c>
      <c r="L28" s="33" t="s">
        <v>15</v>
      </c>
    </row>
    <row r="29" spans="5:12">
      <c r="E29" s="28">
        <f>'Raw Schedule'!F24</f>
        <v>534693428.75084668</v>
      </c>
      <c r="F29" s="29">
        <v>1</v>
      </c>
      <c r="G29" s="288">
        <v>0.01</v>
      </c>
      <c r="H29" s="32">
        <f>'Raw Schedule'!C24</f>
        <v>44408</v>
      </c>
      <c r="I29" s="32">
        <f>'Raw Schedule'!D24</f>
        <v>44439</v>
      </c>
      <c r="J29" s="32">
        <f>_xll.meDateFromTenor(I29,$J$3,"MOD_FOLLOWING","NYB")</f>
        <v>44441</v>
      </c>
      <c r="K29" s="29">
        <v>1</v>
      </c>
      <c r="L29" s="33" t="s">
        <v>15</v>
      </c>
    </row>
    <row r="30" spans="5:12">
      <c r="E30" s="28">
        <f>'Raw Schedule'!F25</f>
        <v>544897183.26347387</v>
      </c>
      <c r="F30" s="29">
        <v>1</v>
      </c>
      <c r="G30" s="288">
        <v>0.01</v>
      </c>
      <c r="H30" s="32">
        <f>'Raw Schedule'!C25</f>
        <v>44439</v>
      </c>
      <c r="I30" s="32">
        <f>'Raw Schedule'!D25</f>
        <v>44469</v>
      </c>
      <c r="J30" s="32">
        <f>_xll.meDateFromTenor(I30,$J$3,"MOD_FOLLOWING","NYB")</f>
        <v>44473</v>
      </c>
      <c r="K30" s="29">
        <v>1</v>
      </c>
      <c r="L30" s="33" t="s">
        <v>15</v>
      </c>
    </row>
    <row r="31" spans="5:12">
      <c r="E31" s="28">
        <f>'Raw Schedule'!F26</f>
        <v>554939311.31454718</v>
      </c>
      <c r="F31" s="29">
        <v>1</v>
      </c>
      <c r="G31" s="288">
        <v>0.01</v>
      </c>
      <c r="H31" s="32">
        <f>'Raw Schedule'!C26</f>
        <v>44469</v>
      </c>
      <c r="I31" s="32">
        <f>'Raw Schedule'!D26</f>
        <v>44500</v>
      </c>
      <c r="J31" s="32">
        <f>_xll.meDateFromTenor(I31,$J$3,"MOD_FOLLOWING","NYB")</f>
        <v>44502</v>
      </c>
      <c r="K31" s="29">
        <v>1</v>
      </c>
      <c r="L31" s="33" t="s">
        <v>15</v>
      </c>
    </row>
    <row r="32" spans="5:12">
      <c r="E32" s="28">
        <f>'Raw Schedule'!F27</f>
        <v>564862376.15980411</v>
      </c>
      <c r="F32" s="29">
        <v>1</v>
      </c>
      <c r="G32" s="288">
        <v>0.01</v>
      </c>
      <c r="H32" s="32">
        <f>'Raw Schedule'!C27</f>
        <v>44500</v>
      </c>
      <c r="I32" s="32">
        <f>'Raw Schedule'!D27</f>
        <v>44530</v>
      </c>
      <c r="J32" s="32">
        <f>_xll.meDateFromTenor(I32,$J$3,"MOD_FOLLOWING","NYB")</f>
        <v>44532</v>
      </c>
      <c r="K32" s="29">
        <v>1</v>
      </c>
      <c r="L32" s="33" t="s">
        <v>15</v>
      </c>
    </row>
    <row r="33" spans="5:12">
      <c r="E33" s="28">
        <f>'Raw Schedule'!F28</f>
        <v>574814891.78148663</v>
      </c>
      <c r="F33" s="29">
        <v>1</v>
      </c>
      <c r="G33" s="288">
        <v>0.01</v>
      </c>
      <c r="H33" s="32">
        <f>'Raw Schedule'!C28</f>
        <v>44530</v>
      </c>
      <c r="I33" s="32">
        <f>'Raw Schedule'!D28</f>
        <v>44561</v>
      </c>
      <c r="J33" s="32">
        <f>_xll.meDateFromTenor(I33,$J$3,"MOD_FOLLOWING","NYB")</f>
        <v>44565</v>
      </c>
      <c r="K33" s="29">
        <v>1</v>
      </c>
      <c r="L33" s="33" t="s">
        <v>15</v>
      </c>
    </row>
    <row r="34" spans="5:12">
      <c r="E34" s="28">
        <f>'Raw Schedule'!F29</f>
        <v>584794262.49859405</v>
      </c>
      <c r="F34" s="29">
        <v>1</v>
      </c>
      <c r="G34" s="288">
        <v>0.01</v>
      </c>
      <c r="H34" s="32">
        <f>'Raw Schedule'!C29</f>
        <v>44561</v>
      </c>
      <c r="I34" s="32">
        <f>'Raw Schedule'!D29</f>
        <v>44592</v>
      </c>
      <c r="J34" s="32">
        <f>_xll.meDateFromTenor(I34,$J$3,"MOD_FOLLOWING","NYB")</f>
        <v>44594</v>
      </c>
      <c r="K34" s="29">
        <v>1</v>
      </c>
      <c r="L34" s="33" t="s">
        <v>15</v>
      </c>
    </row>
    <row r="35" spans="5:12">
      <c r="E35" s="28">
        <f>'Raw Schedule'!F30</f>
        <v>593449071.47527838</v>
      </c>
      <c r="F35" s="29">
        <v>1</v>
      </c>
      <c r="G35" s="288">
        <v>0.01</v>
      </c>
      <c r="H35" s="32">
        <f>'Raw Schedule'!C30</f>
        <v>44592</v>
      </c>
      <c r="I35" s="32">
        <f>'Raw Schedule'!D30</f>
        <v>44620</v>
      </c>
      <c r="J35" s="32">
        <f>_xll.meDateFromTenor(I35,$J$3,"MOD_FOLLOWING","NYB")</f>
        <v>44622</v>
      </c>
      <c r="K35" s="29">
        <v>1</v>
      </c>
      <c r="L35" s="33" t="s">
        <v>15</v>
      </c>
    </row>
    <row r="36" spans="5:12">
      <c r="E36" s="28">
        <f>'Raw Schedule'!F31</f>
        <v>602047677.94338965</v>
      </c>
      <c r="F36" s="29">
        <v>1</v>
      </c>
      <c r="G36" s="288">
        <v>0.01</v>
      </c>
      <c r="H36" s="32">
        <f>'Raw Schedule'!C31</f>
        <v>44620</v>
      </c>
      <c r="I36" s="32">
        <f>'Raw Schedule'!D31</f>
        <v>44651</v>
      </c>
      <c r="J36" s="32">
        <f>_xll.meDateFromTenor(I36,$J$3,"MOD_FOLLOWING","NYB")</f>
        <v>44655</v>
      </c>
      <c r="K36" s="29">
        <v>1</v>
      </c>
      <c r="L36" s="33" t="s">
        <v>15</v>
      </c>
    </row>
    <row r="37" spans="5:12">
      <c r="E37" s="28">
        <f>'Raw Schedule'!F32</f>
        <v>610607243.6404326</v>
      </c>
      <c r="F37" s="29">
        <v>1</v>
      </c>
      <c r="G37" s="288">
        <v>0.01</v>
      </c>
      <c r="H37" s="32">
        <f>'Raw Schedule'!C32</f>
        <v>44651</v>
      </c>
      <c r="I37" s="32">
        <f>'Raw Schedule'!D32</f>
        <v>44681</v>
      </c>
      <c r="J37" s="32">
        <f>_xll.meDateFromTenor(I37,$J$3,"MOD_FOLLOWING","NYB")</f>
        <v>44684</v>
      </c>
      <c r="K37" s="29">
        <v>1</v>
      </c>
      <c r="L37" s="33" t="s">
        <v>15</v>
      </c>
    </row>
    <row r="38" spans="5:12">
      <c r="E38" s="28">
        <f>'Raw Schedule'!F33</f>
        <v>619113803.67591643</v>
      </c>
      <c r="F38" s="29">
        <v>1</v>
      </c>
      <c r="G38" s="288">
        <v>0.01</v>
      </c>
      <c r="H38" s="32">
        <f>'Raw Schedule'!C33</f>
        <v>44681</v>
      </c>
      <c r="I38" s="32">
        <f>'Raw Schedule'!D33</f>
        <v>44712</v>
      </c>
      <c r="J38" s="32">
        <f>_xll.meDateFromTenor(I38,$J$3,"MOD_FOLLOWING","NYB")</f>
        <v>44714</v>
      </c>
      <c r="K38" s="29">
        <v>1</v>
      </c>
      <c r="L38" s="33" t="s">
        <v>15</v>
      </c>
    </row>
    <row r="39" spans="5:12">
      <c r="E39" s="28">
        <f>'Raw Schedule'!F34</f>
        <v>631460398.99807787</v>
      </c>
      <c r="F39" s="29">
        <v>1</v>
      </c>
      <c r="G39" s="288">
        <v>0.01</v>
      </c>
      <c r="H39" s="32">
        <f>'Raw Schedule'!C34</f>
        <v>44712</v>
      </c>
      <c r="I39" s="32">
        <f>'Raw Schedule'!D34</f>
        <v>44742</v>
      </c>
      <c r="J39" s="32">
        <f>_xll.meDateFromTenor(I39,$J$3,"MOD_FOLLOWING","NYB")</f>
        <v>44747</v>
      </c>
      <c r="K39" s="29">
        <v>1</v>
      </c>
      <c r="L39" s="33" t="s">
        <v>15</v>
      </c>
    </row>
    <row r="40" spans="5:12">
      <c r="E40" s="28">
        <f>'Raw Schedule'!F35</f>
        <v>647792221.70859015</v>
      </c>
      <c r="F40" s="29">
        <v>1</v>
      </c>
      <c r="G40" s="288">
        <v>0.01</v>
      </c>
      <c r="H40" s="32">
        <f>'Raw Schedule'!C35</f>
        <v>44742</v>
      </c>
      <c r="I40" s="32">
        <f>'Raw Schedule'!D35</f>
        <v>44773</v>
      </c>
      <c r="J40" s="32">
        <f>_xll.meDateFromTenor(I40,$J$3,"MOD_FOLLOWING","NYB")</f>
        <v>44775</v>
      </c>
      <c r="K40" s="29">
        <v>1</v>
      </c>
      <c r="L40" s="33" t="s">
        <v>15</v>
      </c>
    </row>
    <row r="41" spans="5:12">
      <c r="E41" s="28">
        <f>'Raw Schedule'!F36</f>
        <v>662227651.79661691</v>
      </c>
      <c r="F41" s="29">
        <v>1</v>
      </c>
      <c r="G41" s="288">
        <v>0.01</v>
      </c>
      <c r="H41" s="32">
        <f>'Raw Schedule'!C36</f>
        <v>44773</v>
      </c>
      <c r="I41" s="32">
        <f>'Raw Schedule'!D36</f>
        <v>44804</v>
      </c>
      <c r="J41" s="32">
        <f>_xll.meDateFromTenor(I41,$J$3,"MOD_FOLLOWING","NYB")</f>
        <v>44806</v>
      </c>
      <c r="K41" s="29">
        <v>1</v>
      </c>
      <c r="L41" s="33" t="s">
        <v>15</v>
      </c>
    </row>
    <row r="42" spans="5:12">
      <c r="E42" s="28">
        <f>'Raw Schedule'!F37</f>
        <v>676427856.18484604</v>
      </c>
      <c r="F42" s="29">
        <v>1</v>
      </c>
      <c r="G42" s="288">
        <v>0.01</v>
      </c>
      <c r="H42" s="32">
        <f>'Raw Schedule'!C37</f>
        <v>44804</v>
      </c>
      <c r="I42" s="32">
        <f>'Raw Schedule'!D37</f>
        <v>44834</v>
      </c>
      <c r="J42" s="32">
        <f>_xll.meDateFromTenor(I42,$J$3,"MOD_FOLLOWING","NYB")</f>
        <v>44838</v>
      </c>
      <c r="K42" s="29">
        <v>1</v>
      </c>
      <c r="L42" s="33" t="s">
        <v>15</v>
      </c>
    </row>
    <row r="43" spans="5:12">
      <c r="E43" s="28">
        <f>'Raw Schedule'!F38</f>
        <v>690719279.56587613</v>
      </c>
      <c r="F43" s="29">
        <v>1</v>
      </c>
      <c r="G43" s="288">
        <v>0.01</v>
      </c>
      <c r="H43" s="32">
        <f>'Raw Schedule'!C38</f>
        <v>44834</v>
      </c>
      <c r="I43" s="32">
        <f>'Raw Schedule'!D38</f>
        <v>44865</v>
      </c>
      <c r="J43" s="32">
        <f>_xll.meDateFromTenor(I43,$J$3,"MOD_FOLLOWING","NYB")</f>
        <v>44867</v>
      </c>
      <c r="K43" s="29">
        <v>1</v>
      </c>
      <c r="L43" s="33" t="s">
        <v>15</v>
      </c>
    </row>
    <row r="44" spans="5:12">
      <c r="E44" s="37">
        <f>'Raw Schedule'!F39</f>
        <v>561095987.19979119</v>
      </c>
      <c r="F44" s="38">
        <v>1</v>
      </c>
      <c r="G44" s="289">
        <v>0.01</v>
      </c>
      <c r="H44" s="40">
        <f>'Raw Schedule'!C39</f>
        <v>44865</v>
      </c>
      <c r="I44" s="40">
        <f>'Raw Schedule'!D39</f>
        <v>44957</v>
      </c>
      <c r="J44" s="40">
        <f>_xll.meDateFromTenor(I44,$J$3,"MOD_FOLLOWING","NYB")</f>
        <v>44959</v>
      </c>
      <c r="K44" s="38">
        <v>1</v>
      </c>
      <c r="L44" s="41" t="s">
        <v>15</v>
      </c>
    </row>
    <row r="45" spans="5:12">
      <c r="E45" s="37">
        <f>'Raw Schedule'!F40</f>
        <v>558357962.22337353</v>
      </c>
      <c r="F45" s="38">
        <v>1</v>
      </c>
      <c r="G45" s="289">
        <v>0.01</v>
      </c>
      <c r="H45" s="40">
        <f>'Raw Schedule'!C40</f>
        <v>44957</v>
      </c>
      <c r="I45" s="40">
        <f>'Raw Schedule'!D40</f>
        <v>45046</v>
      </c>
      <c r="J45" s="40">
        <f>_xll.meDateFromTenor(I45,$J$3,"MOD_FOLLOWING","NYB")</f>
        <v>45048</v>
      </c>
      <c r="K45" s="38">
        <v>1</v>
      </c>
      <c r="L45" s="41" t="s">
        <v>15</v>
      </c>
    </row>
    <row r="46" spans="5:12">
      <c r="E46" s="37">
        <f>'Raw Schedule'!F41</f>
        <v>555676159.06487322</v>
      </c>
      <c r="F46" s="38">
        <v>1</v>
      </c>
      <c r="G46" s="289">
        <v>0.01</v>
      </c>
      <c r="H46" s="40">
        <f>'Raw Schedule'!C41</f>
        <v>45046</v>
      </c>
      <c r="I46" s="40">
        <f>'Raw Schedule'!D41</f>
        <v>45138</v>
      </c>
      <c r="J46" s="40">
        <f>_xll.meDateFromTenor(I46,$J$3,"MOD_FOLLOWING","NYB")</f>
        <v>45140</v>
      </c>
      <c r="K46" s="38">
        <v>1</v>
      </c>
      <c r="L46" s="41" t="s">
        <v>15</v>
      </c>
    </row>
    <row r="47" spans="5:12">
      <c r="E47" s="37">
        <f>'Raw Schedule'!F42</f>
        <v>552858312.57331645</v>
      </c>
      <c r="F47" s="38">
        <v>1</v>
      </c>
      <c r="G47" s="289">
        <v>0.01</v>
      </c>
      <c r="H47" s="40">
        <f>'Raw Schedule'!C42</f>
        <v>45138</v>
      </c>
      <c r="I47" s="40">
        <f>'Raw Schedule'!D42</f>
        <v>45230</v>
      </c>
      <c r="J47" s="40">
        <f>_xll.meDateFromTenor(I47,$J$3,"MOD_FOLLOWING","NYB")</f>
        <v>45232</v>
      </c>
      <c r="K47" s="38">
        <v>1</v>
      </c>
      <c r="L47" s="41" t="s">
        <v>15</v>
      </c>
    </row>
    <row r="48" spans="5:12">
      <c r="E48" s="37">
        <f>'Raw Schedule'!F43</f>
        <v>550014891.32666326</v>
      </c>
      <c r="F48" s="38">
        <v>1</v>
      </c>
      <c r="G48" s="289">
        <v>0.01</v>
      </c>
      <c r="H48" s="40">
        <f>'Raw Schedule'!C43</f>
        <v>45230</v>
      </c>
      <c r="I48" s="40">
        <f>'Raw Schedule'!D43</f>
        <v>45322</v>
      </c>
      <c r="J48" s="40">
        <f>_xll.meDateFromTenor(I48,$J$3,"MOD_FOLLOWING","NYB")</f>
        <v>45324</v>
      </c>
      <c r="K48" s="38">
        <v>1</v>
      </c>
      <c r="L48" s="41" t="s">
        <v>15</v>
      </c>
    </row>
    <row r="49" spans="5:12">
      <c r="E49" s="37">
        <f>'Raw Schedule'!F44</f>
        <v>547167211.36146677</v>
      </c>
      <c r="F49" s="38">
        <v>1</v>
      </c>
      <c r="G49" s="289">
        <v>0.01</v>
      </c>
      <c r="H49" s="40">
        <f>'Raw Schedule'!C44</f>
        <v>45322</v>
      </c>
      <c r="I49" s="40">
        <f>'Raw Schedule'!D44</f>
        <v>45412</v>
      </c>
      <c r="J49" s="40">
        <f>_xll.meDateFromTenor(I49,$J$3,"MOD_FOLLOWING","NYB")</f>
        <v>45414</v>
      </c>
      <c r="K49" s="38">
        <v>1</v>
      </c>
      <c r="L49" s="41" t="s">
        <v>15</v>
      </c>
    </row>
    <row r="50" spans="5:12">
      <c r="E50" s="37">
        <f>'Raw Schedule'!F45</f>
        <v>544346654.7762922</v>
      </c>
      <c r="F50" s="38">
        <v>1</v>
      </c>
      <c r="G50" s="289">
        <v>0.01</v>
      </c>
      <c r="H50" s="40">
        <f>'Raw Schedule'!C45</f>
        <v>45412</v>
      </c>
      <c r="I50" s="40">
        <f>'Raw Schedule'!D45</f>
        <v>45504</v>
      </c>
      <c r="J50" s="40">
        <f>_xll.meDateFromTenor(I50,$J$3,"MOD_FOLLOWING","NYB")</f>
        <v>45506</v>
      </c>
      <c r="K50" s="38">
        <v>1</v>
      </c>
      <c r="L50" s="41" t="s">
        <v>15</v>
      </c>
    </row>
    <row r="51" spans="5:12">
      <c r="E51" s="37">
        <f>'Raw Schedule'!F46</f>
        <v>541416297.31738198</v>
      </c>
      <c r="F51" s="38">
        <v>1</v>
      </c>
      <c r="G51" s="289">
        <v>0.01</v>
      </c>
      <c r="H51" s="40">
        <f>'Raw Schedule'!C46</f>
        <v>45504</v>
      </c>
      <c r="I51" s="40">
        <f>'Raw Schedule'!D46</f>
        <v>45596</v>
      </c>
      <c r="J51" s="40">
        <f>_xll.meDateFromTenor(I51,$J$3,"MOD_FOLLOWING","NYB")</f>
        <v>45600</v>
      </c>
      <c r="K51" s="38">
        <v>1</v>
      </c>
      <c r="L51" s="41" t="s">
        <v>15</v>
      </c>
    </row>
    <row r="52" spans="5:12">
      <c r="E52" s="37">
        <f>'Raw Schedule'!F47</f>
        <v>538459332.68675852</v>
      </c>
      <c r="F52" s="38">
        <v>1</v>
      </c>
      <c r="G52" s="289">
        <v>0.01</v>
      </c>
      <c r="H52" s="40">
        <f>'Raw Schedule'!C47</f>
        <v>45596</v>
      </c>
      <c r="I52" s="40">
        <f>'Raw Schedule'!D47</f>
        <v>45688</v>
      </c>
      <c r="J52" s="40">
        <f>_xll.meDateFromTenor(I52,$J$3,"MOD_FOLLOWING","NYB")</f>
        <v>45692</v>
      </c>
      <c r="K52" s="38">
        <v>1</v>
      </c>
      <c r="L52" s="41" t="s">
        <v>15</v>
      </c>
    </row>
    <row r="53" spans="5:12">
      <c r="E53" s="37">
        <f>'Raw Schedule'!F48</f>
        <v>535425587.68124694</v>
      </c>
      <c r="F53" s="38">
        <v>1</v>
      </c>
      <c r="G53" s="289">
        <v>0.01</v>
      </c>
      <c r="H53" s="40">
        <f>'Raw Schedule'!C48</f>
        <v>45688</v>
      </c>
      <c r="I53" s="40">
        <f>'Raw Schedule'!D48</f>
        <v>45777</v>
      </c>
      <c r="J53" s="40">
        <f>_xll.meDateFromTenor(I53,$J$3,"MOD_FOLLOWING","NYB")</f>
        <v>45779</v>
      </c>
      <c r="K53" s="38">
        <v>1</v>
      </c>
      <c r="L53" s="41" t="s">
        <v>15</v>
      </c>
    </row>
    <row r="54" spans="5:12">
      <c r="E54" s="37">
        <f>'Raw Schedule'!F49</f>
        <v>532454034.5549565</v>
      </c>
      <c r="F54" s="38">
        <v>1</v>
      </c>
      <c r="G54" s="289">
        <v>0.01</v>
      </c>
      <c r="H54" s="40">
        <f>'Raw Schedule'!C49</f>
        <v>45777</v>
      </c>
      <c r="I54" s="40">
        <f>'Raw Schedule'!D49</f>
        <v>45869</v>
      </c>
      <c r="J54" s="40">
        <f>_xll.meDateFromTenor(I54,$J$3,"MOD_FOLLOWING","NYB")</f>
        <v>45873</v>
      </c>
      <c r="K54" s="38">
        <v>1</v>
      </c>
      <c r="L54" s="41" t="s">
        <v>15</v>
      </c>
    </row>
    <row r="55" spans="5:12">
      <c r="E55" s="290">
        <f>'Raw Schedule'!F50</f>
        <v>529333847.10165673</v>
      </c>
      <c r="F55" s="291">
        <v>1</v>
      </c>
      <c r="G55" s="292">
        <v>0.01</v>
      </c>
      <c r="H55" s="295">
        <f>'Raw Schedule'!C50</f>
        <v>45869</v>
      </c>
      <c r="I55" s="295">
        <f>'Raw Schedule'!D50</f>
        <v>45961</v>
      </c>
      <c r="J55" s="295">
        <f>_xll.meDateFromTenor(I55,$J$3,"MOD_FOLLOWING","NYB")</f>
        <v>45965</v>
      </c>
      <c r="K55" s="291">
        <v>1</v>
      </c>
      <c r="L55" s="296" t="s">
        <v>15</v>
      </c>
    </row>
    <row r="56" spans="5:12">
      <c r="E56" s="36"/>
    </row>
    <row r="57" spans="5:12">
      <c r="E57" s="36"/>
    </row>
    <row r="58" spans="5:12">
      <c r="E58" s="36"/>
    </row>
    <row r="59" spans="5:12">
      <c r="E59" s="36"/>
    </row>
    <row r="60" spans="5:12">
      <c r="E60" s="36"/>
    </row>
    <row r="61" spans="5:12">
      <c r="E61" s="36"/>
    </row>
    <row r="62" spans="5:12">
      <c r="E62" s="36"/>
    </row>
    <row r="63" spans="5:12">
      <c r="E63" s="36"/>
    </row>
    <row r="64" spans="5:12">
      <c r="E64" s="36"/>
    </row>
    <row r="65" spans="5:5">
      <c r="E65" s="36"/>
    </row>
    <row r="66" spans="5:5">
      <c r="E66" s="36"/>
    </row>
    <row r="67" spans="5:5">
      <c r="E67" s="36"/>
    </row>
    <row r="68" spans="5:5">
      <c r="E68" s="36"/>
    </row>
    <row r="69" spans="5:5">
      <c r="E69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N69"/>
  <sheetViews>
    <sheetView showGridLines="0" workbookViewId="0"/>
  </sheetViews>
  <sheetFormatPr defaultRowHeight="15"/>
  <cols>
    <col min="2" max="2" width="19.85546875" customWidth="1"/>
    <col min="3" max="3" width="17.42578125" bestFit="1" customWidth="1"/>
    <col min="5" max="5" width="17.28515625" bestFit="1" customWidth="1"/>
    <col min="6" max="6" width="9" bestFit="1" customWidth="1"/>
    <col min="7" max="7" width="11.85546875" bestFit="1" customWidth="1"/>
    <col min="8" max="8" width="13.7109375" bestFit="1" customWidth="1"/>
    <col min="9" max="12" width="15.140625" bestFit="1" customWidth="1"/>
    <col min="13" max="13" width="17" bestFit="1" customWidth="1"/>
    <col min="14" max="14" width="15.85546875" bestFit="1" customWidth="1"/>
  </cols>
  <sheetData>
    <row r="2" spans="2:14">
      <c r="B2" s="50"/>
      <c r="E2" s="50" t="s">
        <v>231</v>
      </c>
      <c r="G2" s="34" t="s">
        <v>43</v>
      </c>
      <c r="I2" s="34" t="s">
        <v>16</v>
      </c>
      <c r="J2" s="34"/>
      <c r="K2" s="34"/>
      <c r="L2" s="34" t="s">
        <v>17</v>
      </c>
    </row>
    <row r="3" spans="2:14">
      <c r="E3" t="str">
        <f ca="1">_xll.meLWOScheduleCreateBespokeFromCashflows("FLOAT_SCHEDULE",$B$6:$C$11,E6:$N$55)</f>
        <v>FLOAT_SCHEDULE@9:4</v>
      </c>
      <c r="G3" s="83">
        <v>0</v>
      </c>
      <c r="I3" s="42" t="s">
        <v>20</v>
      </c>
      <c r="J3" s="34"/>
      <c r="K3" s="34"/>
      <c r="L3" s="35" t="s">
        <v>18</v>
      </c>
    </row>
    <row r="5" spans="2:14">
      <c r="B5" s="20" t="s">
        <v>21</v>
      </c>
      <c r="E5" s="20" t="s">
        <v>0</v>
      </c>
      <c r="G5" s="21" t="s">
        <v>1</v>
      </c>
      <c r="H5" s="21" t="s">
        <v>2</v>
      </c>
      <c r="I5" s="20" t="s">
        <v>3</v>
      </c>
    </row>
    <row r="6" spans="2:14">
      <c r="B6" s="43" t="s">
        <v>22</v>
      </c>
      <c r="C6" s="44" t="s">
        <v>23</v>
      </c>
      <c r="E6" s="22" t="s">
        <v>4</v>
      </c>
      <c r="F6" s="23" t="s">
        <v>5</v>
      </c>
      <c r="G6" s="24" t="s">
        <v>6</v>
      </c>
      <c r="H6" s="25" t="s">
        <v>7</v>
      </c>
      <c r="I6" s="26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7" t="s">
        <v>13</v>
      </c>
    </row>
    <row r="7" spans="2:14">
      <c r="B7" s="45" t="s">
        <v>24</v>
      </c>
      <c r="C7" s="46" t="s">
        <v>25</v>
      </c>
      <c r="E7" s="314">
        <f>'Raw Schedule'!F2</f>
        <v>38892061.25181672</v>
      </c>
      <c r="F7" s="315">
        <v>1</v>
      </c>
      <c r="G7" s="315">
        <f t="shared" ref="G7:G38" si="0">$G$3</f>
        <v>0</v>
      </c>
      <c r="H7" s="30" t="s">
        <v>248</v>
      </c>
      <c r="I7" s="316">
        <f>_xll.meDateFromTenor(J7,$I$3,$C$9,$C$10)</f>
        <v>43734</v>
      </c>
      <c r="J7" s="317">
        <f>'Raw Schedule'!C2</f>
        <v>43738</v>
      </c>
      <c r="K7" s="317">
        <f>'Raw Schedule'!D2</f>
        <v>43769</v>
      </c>
      <c r="L7" s="317">
        <f>_xll.meDateFromTenor(K7,$L$3,"MOD_FOLLOWING","NYB")</f>
        <v>43773</v>
      </c>
      <c r="M7" s="315">
        <v>1</v>
      </c>
      <c r="N7" s="318" t="s">
        <v>15</v>
      </c>
    </row>
    <row r="8" spans="2:14">
      <c r="B8" s="45" t="s">
        <v>26</v>
      </c>
      <c r="C8" s="49" t="s">
        <v>27</v>
      </c>
      <c r="E8" s="314">
        <f>'Raw Schedule'!F3</f>
        <v>53628704.875037543</v>
      </c>
      <c r="F8" s="315">
        <v>1</v>
      </c>
      <c r="G8" s="315">
        <f t="shared" si="0"/>
        <v>0</v>
      </c>
      <c r="H8" s="30" t="s">
        <v>248</v>
      </c>
      <c r="I8" s="316">
        <f>_xll.meDateFromTenor(J8,$I$3,$C$9,$C$10)</f>
        <v>43767</v>
      </c>
      <c r="J8" s="317">
        <f>'Raw Schedule'!C3</f>
        <v>43769</v>
      </c>
      <c r="K8" s="317">
        <f>'Raw Schedule'!D3</f>
        <v>43799</v>
      </c>
      <c r="L8" s="317">
        <f>_xll.meDateFromTenor(K8,$L$3,"MOD_FOLLOWING","NYB")</f>
        <v>43802</v>
      </c>
      <c r="M8" s="315">
        <v>1</v>
      </c>
      <c r="N8" s="318" t="s">
        <v>15</v>
      </c>
    </row>
    <row r="9" spans="2:14">
      <c r="B9" s="45" t="s">
        <v>28</v>
      </c>
      <c r="C9" s="46" t="s">
        <v>30</v>
      </c>
      <c r="E9" s="314">
        <f>'Raw Schedule'!F4</f>
        <v>68386301.244811669</v>
      </c>
      <c r="F9" s="315">
        <v>1</v>
      </c>
      <c r="G9" s="315">
        <f t="shared" si="0"/>
        <v>0</v>
      </c>
      <c r="H9" s="30" t="s">
        <v>248</v>
      </c>
      <c r="I9" s="316">
        <f>_xll.meDateFromTenor(J9,$I$3,$C$9,$C$10)</f>
        <v>43796</v>
      </c>
      <c r="J9" s="317">
        <f>'Raw Schedule'!C4</f>
        <v>43799</v>
      </c>
      <c r="K9" s="317">
        <f>'Raw Schedule'!D4</f>
        <v>43830</v>
      </c>
      <c r="L9" s="317">
        <f>_xll.meDateFromTenor(K9,$L$3,"MOD_FOLLOWING","NYB")</f>
        <v>43833</v>
      </c>
      <c r="M9" s="315">
        <v>1</v>
      </c>
      <c r="N9" s="318" t="s">
        <v>15</v>
      </c>
    </row>
    <row r="10" spans="2:14">
      <c r="B10" s="45" t="s">
        <v>29</v>
      </c>
      <c r="C10" s="46" t="s">
        <v>31</v>
      </c>
      <c r="E10" s="28">
        <f>'Raw Schedule'!F5</f>
        <v>90048520.291204274</v>
      </c>
      <c r="F10" s="29">
        <v>1</v>
      </c>
      <c r="G10" s="29">
        <f t="shared" si="0"/>
        <v>0</v>
      </c>
      <c r="H10" s="30" t="s">
        <v>14</v>
      </c>
      <c r="I10" s="31">
        <f>_xll.meDateFromTenor(J10,$I$3,$C$9,$C$10)</f>
        <v>43826</v>
      </c>
      <c r="J10" s="32">
        <f>'Raw Schedule'!C5</f>
        <v>43830</v>
      </c>
      <c r="K10" s="32">
        <f>'Raw Schedule'!D5</f>
        <v>43861</v>
      </c>
      <c r="L10" s="32">
        <f>_xll.meDateFromTenor(K10,$L$3,"MOD_FOLLOWING","NYB")</f>
        <v>43865</v>
      </c>
      <c r="M10" s="29">
        <v>1</v>
      </c>
      <c r="N10" s="33" t="s">
        <v>15</v>
      </c>
    </row>
    <row r="11" spans="2:14">
      <c r="B11" s="47"/>
      <c r="C11" s="48"/>
      <c r="E11" s="28">
        <f>'Raw Schedule'!F6</f>
        <v>111761755.39710669</v>
      </c>
      <c r="F11" s="29">
        <v>1</v>
      </c>
      <c r="G11" s="29">
        <f t="shared" si="0"/>
        <v>0</v>
      </c>
      <c r="H11" s="30" t="s">
        <v>14</v>
      </c>
      <c r="I11" s="31">
        <f>_xll.meDateFromTenor(J11,$I$3,$C$9,$C$10)</f>
        <v>43859</v>
      </c>
      <c r="J11" s="32">
        <f>'Raw Schedule'!C6</f>
        <v>43861</v>
      </c>
      <c r="K11" s="32">
        <f>'Raw Schedule'!D6</f>
        <v>43890</v>
      </c>
      <c r="L11" s="32">
        <f>_xll.meDateFromTenor(K11,$L$3,"MOD_FOLLOWING","NYB")</f>
        <v>43893</v>
      </c>
      <c r="M11" s="29">
        <v>1</v>
      </c>
      <c r="N11" s="33" t="s">
        <v>15</v>
      </c>
    </row>
    <row r="12" spans="2:14">
      <c r="E12" s="28">
        <f>'Raw Schedule'!F7</f>
        <v>133484419.98699954</v>
      </c>
      <c r="F12" s="29">
        <v>1</v>
      </c>
      <c r="G12" s="29">
        <f t="shared" si="0"/>
        <v>0</v>
      </c>
      <c r="H12" s="30" t="s">
        <v>14</v>
      </c>
      <c r="I12" s="31">
        <f>_xll.meDateFromTenor(J12,$I$3,$C$9,$C$10)</f>
        <v>43888</v>
      </c>
      <c r="J12" s="32">
        <f>'Raw Schedule'!C7</f>
        <v>43890</v>
      </c>
      <c r="K12" s="32">
        <f>'Raw Schedule'!D7</f>
        <v>43921</v>
      </c>
      <c r="L12" s="32">
        <f>_xll.meDateFromTenor(K12,$L$3,"MOD_FOLLOWING","NYB")</f>
        <v>43923</v>
      </c>
      <c r="M12" s="29">
        <v>1</v>
      </c>
      <c r="N12" s="33" t="s">
        <v>15</v>
      </c>
    </row>
    <row r="13" spans="2:14">
      <c r="E13" s="28">
        <f>'Raw Schedule'!F8</f>
        <v>159451913.88730055</v>
      </c>
      <c r="F13" s="29">
        <v>1</v>
      </c>
      <c r="G13" s="29">
        <f t="shared" si="0"/>
        <v>0</v>
      </c>
      <c r="H13" s="30" t="s">
        <v>14</v>
      </c>
      <c r="I13" s="31">
        <f>_xll.meDateFromTenor(J13,$I$3,$C$9,$C$10)</f>
        <v>43917</v>
      </c>
      <c r="J13" s="32">
        <f>'Raw Schedule'!C8</f>
        <v>43921</v>
      </c>
      <c r="K13" s="32">
        <f>'Raw Schedule'!D8</f>
        <v>43951</v>
      </c>
      <c r="L13" s="32">
        <f>_xll.meDateFromTenor(K13,$L$3,"MOD_FOLLOWING","NYB")</f>
        <v>43955</v>
      </c>
      <c r="M13" s="29">
        <v>1</v>
      </c>
      <c r="N13" s="33" t="s">
        <v>15</v>
      </c>
    </row>
    <row r="14" spans="2:14">
      <c r="E14" s="28">
        <f>'Raw Schedule'!F9</f>
        <v>179260013.00021109</v>
      </c>
      <c r="F14" s="29">
        <v>1</v>
      </c>
      <c r="G14" s="29">
        <f t="shared" si="0"/>
        <v>0</v>
      </c>
      <c r="H14" s="30" t="s">
        <v>14</v>
      </c>
      <c r="I14" s="31">
        <f>_xll.meDateFromTenor(J14,$I$3,$C$9,$C$10)</f>
        <v>43949</v>
      </c>
      <c r="J14" s="32">
        <f>'Raw Schedule'!C9</f>
        <v>43951</v>
      </c>
      <c r="K14" s="32">
        <f>'Raw Schedule'!D9</f>
        <v>43982</v>
      </c>
      <c r="L14" s="32">
        <f>_xll.meDateFromTenor(K14,$L$3,"MOD_FOLLOWING","NYB")</f>
        <v>43984</v>
      </c>
      <c r="M14" s="29">
        <v>1</v>
      </c>
      <c r="N14" s="33" t="s">
        <v>15</v>
      </c>
    </row>
    <row r="15" spans="2:14">
      <c r="E15" s="28">
        <f>'Raw Schedule'!F10</f>
        <v>204391717.56760535</v>
      </c>
      <c r="F15" s="29">
        <v>1</v>
      </c>
      <c r="G15" s="29">
        <f t="shared" si="0"/>
        <v>0</v>
      </c>
      <c r="H15" s="30" t="s">
        <v>14</v>
      </c>
      <c r="I15" s="31">
        <f>_xll.meDateFromTenor(J15,$I$3,$C$9,$C$10)</f>
        <v>43979</v>
      </c>
      <c r="J15" s="32">
        <f>'Raw Schedule'!C10</f>
        <v>43982</v>
      </c>
      <c r="K15" s="32">
        <f>'Raw Schedule'!D10</f>
        <v>44012</v>
      </c>
      <c r="L15" s="32">
        <f>_xll.meDateFromTenor(K15,$L$3,"MOD_FOLLOWING","NYB")</f>
        <v>44014</v>
      </c>
      <c r="M15" s="29">
        <v>1</v>
      </c>
      <c r="N15" s="33" t="s">
        <v>15</v>
      </c>
    </row>
    <row r="16" spans="2:14">
      <c r="E16" s="28">
        <f>'Raw Schedule'!F11</f>
        <v>227811896.60559106</v>
      </c>
      <c r="F16" s="29">
        <v>1</v>
      </c>
      <c r="G16" s="29">
        <f t="shared" si="0"/>
        <v>0</v>
      </c>
      <c r="H16" s="30" t="s">
        <v>14</v>
      </c>
      <c r="I16" s="31">
        <f>_xll.meDateFromTenor(J16,$I$3,$C$9,$C$10)</f>
        <v>44008</v>
      </c>
      <c r="J16" s="32">
        <f>'Raw Schedule'!C11</f>
        <v>44012</v>
      </c>
      <c r="K16" s="32">
        <f>'Raw Schedule'!D11</f>
        <v>44043</v>
      </c>
      <c r="L16" s="32">
        <f>_xll.meDateFromTenor(K16,$L$3,"MOD_FOLLOWING","NYB")</f>
        <v>44047</v>
      </c>
      <c r="M16" s="29">
        <v>1</v>
      </c>
      <c r="N16" s="33" t="s">
        <v>15</v>
      </c>
    </row>
    <row r="17" spans="5:14">
      <c r="E17" s="28">
        <f>'Raw Schedule'!F12</f>
        <v>254133953.70030069</v>
      </c>
      <c r="F17" s="29">
        <v>1</v>
      </c>
      <c r="G17" s="29">
        <f t="shared" si="0"/>
        <v>0</v>
      </c>
      <c r="H17" s="30" t="s">
        <v>14</v>
      </c>
      <c r="I17" s="31">
        <f>_xll.meDateFromTenor(J17,$I$3,$C$9,$C$10)</f>
        <v>44041</v>
      </c>
      <c r="J17" s="32">
        <f>'Raw Schedule'!C12</f>
        <v>44043</v>
      </c>
      <c r="K17" s="32">
        <f>'Raw Schedule'!D12</f>
        <v>44074</v>
      </c>
      <c r="L17" s="32">
        <f>_xll.meDateFromTenor(K17,$L$3,"MOD_FOLLOWING","NYB")</f>
        <v>44076</v>
      </c>
      <c r="M17" s="29">
        <v>1</v>
      </c>
      <c r="N17" s="33" t="s">
        <v>15</v>
      </c>
    </row>
    <row r="18" spans="5:14">
      <c r="E18" s="28">
        <f>'Raw Schedule'!F13</f>
        <v>279791364.50182146</v>
      </c>
      <c r="F18" s="29">
        <v>1</v>
      </c>
      <c r="G18" s="29">
        <f t="shared" si="0"/>
        <v>0</v>
      </c>
      <c r="H18" s="30" t="s">
        <v>14</v>
      </c>
      <c r="I18" s="31">
        <f>_xll.meDateFromTenor(J18,$I$3,$C$9,$C$10)</f>
        <v>44070</v>
      </c>
      <c r="J18" s="32">
        <f>'Raw Schedule'!C13</f>
        <v>44074</v>
      </c>
      <c r="K18" s="32">
        <f>'Raw Schedule'!D13</f>
        <v>44104</v>
      </c>
      <c r="L18" s="32">
        <f>_xll.meDateFromTenor(K18,$L$3,"MOD_FOLLOWING","NYB")</f>
        <v>44106</v>
      </c>
      <c r="M18" s="29">
        <v>1</v>
      </c>
      <c r="N18" s="33" t="s">
        <v>15</v>
      </c>
    </row>
    <row r="19" spans="5:14">
      <c r="E19" s="28">
        <f>'Raw Schedule'!F14</f>
        <v>303411844.66305661</v>
      </c>
      <c r="F19" s="29">
        <v>1</v>
      </c>
      <c r="G19" s="29">
        <f t="shared" si="0"/>
        <v>0</v>
      </c>
      <c r="H19" s="30" t="s">
        <v>14</v>
      </c>
      <c r="I19" s="31">
        <f>_xll.meDateFromTenor(J19,$I$3,$C$9,$C$10)</f>
        <v>44102</v>
      </c>
      <c r="J19" s="32">
        <f>'Raw Schedule'!C14</f>
        <v>44104</v>
      </c>
      <c r="K19" s="32">
        <f>'Raw Schedule'!D14</f>
        <v>44135</v>
      </c>
      <c r="L19" s="32">
        <f>_xll.meDateFromTenor(K19,$L$3,"MOD_FOLLOWING","NYB")</f>
        <v>44138</v>
      </c>
      <c r="M19" s="29">
        <v>1</v>
      </c>
      <c r="N19" s="33" t="s">
        <v>15</v>
      </c>
    </row>
    <row r="20" spans="5:14">
      <c r="E20" s="28">
        <f>'Raw Schedule'!F15</f>
        <v>327137287.34339136</v>
      </c>
      <c r="F20" s="29">
        <v>1</v>
      </c>
      <c r="G20" s="29">
        <f t="shared" si="0"/>
        <v>0</v>
      </c>
      <c r="H20" s="30" t="s">
        <v>14</v>
      </c>
      <c r="I20" s="31">
        <f>_xll.meDateFromTenor(J20,$I$3,$C$9,$C$10)</f>
        <v>44133</v>
      </c>
      <c r="J20" s="32">
        <f>'Raw Schedule'!C15</f>
        <v>44135</v>
      </c>
      <c r="K20" s="32">
        <f>'Raw Schedule'!D15</f>
        <v>44165</v>
      </c>
      <c r="L20" s="32">
        <f>_xll.meDateFromTenor(K20,$L$3,"MOD_FOLLOWING","NYB")</f>
        <v>44167</v>
      </c>
      <c r="M20" s="29">
        <v>1</v>
      </c>
      <c r="N20" s="33" t="s">
        <v>15</v>
      </c>
    </row>
    <row r="21" spans="5:14">
      <c r="E21" s="28">
        <f>'Raw Schedule'!F16</f>
        <v>361931690.773785</v>
      </c>
      <c r="F21" s="29">
        <v>1</v>
      </c>
      <c r="G21" s="29">
        <f t="shared" si="0"/>
        <v>0</v>
      </c>
      <c r="H21" s="30" t="s">
        <v>14</v>
      </c>
      <c r="I21" s="31">
        <f>_xll.meDateFromTenor(J21,$I$3,$C$9,$C$10)</f>
        <v>44160</v>
      </c>
      <c r="J21" s="32">
        <f>'Raw Schedule'!C16</f>
        <v>44165</v>
      </c>
      <c r="K21" s="32">
        <f>'Raw Schedule'!D16</f>
        <v>44196</v>
      </c>
      <c r="L21" s="32">
        <f>_xll.meDateFromTenor(K21,$L$3,"MOD_FOLLOWING","NYB")</f>
        <v>44201</v>
      </c>
      <c r="M21" s="29">
        <v>1</v>
      </c>
      <c r="N21" s="33" t="s">
        <v>15</v>
      </c>
    </row>
    <row r="22" spans="5:14">
      <c r="E22" s="28">
        <f>'Raw Schedule'!F17</f>
        <v>398220793.09712785</v>
      </c>
      <c r="F22" s="29">
        <v>1</v>
      </c>
      <c r="G22" s="29">
        <f t="shared" si="0"/>
        <v>0</v>
      </c>
      <c r="H22" s="30" t="s">
        <v>14</v>
      </c>
      <c r="I22" s="31">
        <f>_xll.meDateFromTenor(J22,$I$3,$C$9,$C$10)</f>
        <v>44194</v>
      </c>
      <c r="J22" s="32">
        <f>'Raw Schedule'!C17</f>
        <v>44196</v>
      </c>
      <c r="K22" s="32">
        <f>'Raw Schedule'!D17</f>
        <v>44227</v>
      </c>
      <c r="L22" s="32">
        <f>_xll.meDateFromTenor(K22,$L$3,"MOD_FOLLOWING","NYB")</f>
        <v>44229</v>
      </c>
      <c r="M22" s="29">
        <v>1</v>
      </c>
      <c r="N22" s="33" t="s">
        <v>15</v>
      </c>
    </row>
    <row r="23" spans="5:14">
      <c r="E23" s="28">
        <f>'Raw Schedule'!F18</f>
        <v>429121675.28810889</v>
      </c>
      <c r="F23" s="29">
        <v>1</v>
      </c>
      <c r="G23" s="29">
        <f t="shared" si="0"/>
        <v>0</v>
      </c>
      <c r="H23" s="30" t="s">
        <v>14</v>
      </c>
      <c r="I23" s="31">
        <f>_xll.meDateFromTenor(J23,$I$3,$C$9,$C$10)</f>
        <v>44224</v>
      </c>
      <c r="J23" s="32">
        <f>'Raw Schedule'!C18</f>
        <v>44227</v>
      </c>
      <c r="K23" s="32">
        <f>'Raw Schedule'!D18</f>
        <v>44255</v>
      </c>
      <c r="L23" s="32">
        <f>_xll.meDateFromTenor(K23,$L$3,"MOD_FOLLOWING","NYB")</f>
        <v>44257</v>
      </c>
      <c r="M23" s="29">
        <v>1</v>
      </c>
      <c r="N23" s="33" t="s">
        <v>15</v>
      </c>
    </row>
    <row r="24" spans="5:14">
      <c r="E24" s="28">
        <f>'Raw Schedule'!F19</f>
        <v>453674775.88619882</v>
      </c>
      <c r="F24" s="29">
        <v>1</v>
      </c>
      <c r="G24" s="29">
        <f t="shared" si="0"/>
        <v>0</v>
      </c>
      <c r="H24" s="30" t="s">
        <v>14</v>
      </c>
      <c r="I24" s="31">
        <f>_xll.meDateFromTenor(J24,$I$3,$C$9,$C$10)</f>
        <v>44252</v>
      </c>
      <c r="J24" s="32">
        <f>'Raw Schedule'!C19</f>
        <v>44255</v>
      </c>
      <c r="K24" s="32">
        <f>'Raw Schedule'!D19</f>
        <v>44286</v>
      </c>
      <c r="L24" s="32">
        <f>_xll.meDateFromTenor(K24,$L$3,"MOD_FOLLOWING","NYB")</f>
        <v>44288</v>
      </c>
      <c r="M24" s="29">
        <v>1</v>
      </c>
      <c r="N24" s="33" t="s">
        <v>15</v>
      </c>
    </row>
    <row r="25" spans="5:14">
      <c r="E25" s="28">
        <f>'Raw Schedule'!F20</f>
        <v>476387760.49608904</v>
      </c>
      <c r="F25" s="29">
        <v>1</v>
      </c>
      <c r="G25" s="29">
        <f t="shared" si="0"/>
        <v>0</v>
      </c>
      <c r="H25" s="30" t="s">
        <v>14</v>
      </c>
      <c r="I25" s="31">
        <f>_xll.meDateFromTenor(J25,$I$3,$C$9,$C$10)</f>
        <v>44284</v>
      </c>
      <c r="J25" s="32">
        <f>'Raw Schedule'!C20</f>
        <v>44286</v>
      </c>
      <c r="K25" s="32">
        <f>'Raw Schedule'!D20</f>
        <v>44316</v>
      </c>
      <c r="L25" s="32">
        <f>_xll.meDateFromTenor(K25,$L$3,"MOD_FOLLOWING","NYB")</f>
        <v>44320</v>
      </c>
      <c r="M25" s="29">
        <v>1</v>
      </c>
      <c r="N25" s="33" t="s">
        <v>15</v>
      </c>
    </row>
    <row r="26" spans="5:14">
      <c r="E26" s="28">
        <f>'Raw Schedule'!F21</f>
        <v>495683115.24717569</v>
      </c>
      <c r="F26" s="29">
        <v>1</v>
      </c>
      <c r="G26" s="29">
        <f t="shared" si="0"/>
        <v>0</v>
      </c>
      <c r="H26" s="30" t="s">
        <v>14</v>
      </c>
      <c r="I26" s="31">
        <f>_xll.meDateFromTenor(J26,$I$3,$C$9,$C$10)</f>
        <v>44314</v>
      </c>
      <c r="J26" s="32">
        <f>'Raw Schedule'!C21</f>
        <v>44316</v>
      </c>
      <c r="K26" s="32">
        <f>'Raw Schedule'!D21</f>
        <v>44347</v>
      </c>
      <c r="L26" s="32">
        <f>_xll.meDateFromTenor(K26,$L$3,"MOD_FOLLOWING","NYB")</f>
        <v>44349</v>
      </c>
      <c r="M26" s="29">
        <v>1</v>
      </c>
      <c r="N26" s="33" t="s">
        <v>15</v>
      </c>
    </row>
    <row r="27" spans="5:14">
      <c r="E27" s="28">
        <f>'Raw Schedule'!F22</f>
        <v>513413931.44686937</v>
      </c>
      <c r="F27" s="29">
        <v>1</v>
      </c>
      <c r="G27" s="29">
        <f t="shared" si="0"/>
        <v>0</v>
      </c>
      <c r="H27" s="30" t="s">
        <v>14</v>
      </c>
      <c r="I27" s="31">
        <f>_xll.meDateFromTenor(J27,$I$3,$C$9,$C$10)</f>
        <v>44343</v>
      </c>
      <c r="J27" s="32">
        <f>'Raw Schedule'!C22</f>
        <v>44347</v>
      </c>
      <c r="K27" s="32">
        <f>'Raw Schedule'!D22</f>
        <v>44377</v>
      </c>
      <c r="L27" s="32">
        <f>_xll.meDateFromTenor(K27,$L$3,"MOD_FOLLOWING","NYB")</f>
        <v>44379</v>
      </c>
      <c r="M27" s="29">
        <v>1</v>
      </c>
      <c r="N27" s="33" t="s">
        <v>15</v>
      </c>
    </row>
    <row r="28" spans="5:14">
      <c r="E28" s="28">
        <f>'Raw Schedule'!F23</f>
        <v>523825101.57745403</v>
      </c>
      <c r="F28" s="29">
        <v>1</v>
      </c>
      <c r="G28" s="29">
        <f t="shared" si="0"/>
        <v>0</v>
      </c>
      <c r="H28" s="30" t="s">
        <v>14</v>
      </c>
      <c r="I28" s="31">
        <f>_xll.meDateFromTenor(J28,$I$3,$C$9,$C$10)</f>
        <v>44375</v>
      </c>
      <c r="J28" s="32">
        <f>'Raw Schedule'!C23</f>
        <v>44377</v>
      </c>
      <c r="K28" s="32">
        <f>'Raw Schedule'!D23</f>
        <v>44408</v>
      </c>
      <c r="L28" s="32">
        <f>_xll.meDateFromTenor(K28,$L$3,"MOD_FOLLOWING","NYB")</f>
        <v>44411</v>
      </c>
      <c r="M28" s="29">
        <v>1</v>
      </c>
      <c r="N28" s="33" t="s">
        <v>15</v>
      </c>
    </row>
    <row r="29" spans="5:14">
      <c r="E29" s="28">
        <f>'Raw Schedule'!F24</f>
        <v>534693428.75084668</v>
      </c>
      <c r="F29" s="29">
        <v>1</v>
      </c>
      <c r="G29" s="29">
        <f t="shared" si="0"/>
        <v>0</v>
      </c>
      <c r="H29" s="30" t="s">
        <v>14</v>
      </c>
      <c r="I29" s="31">
        <f>_xll.meDateFromTenor(J29,$I$3,$C$9,$C$10)</f>
        <v>44406</v>
      </c>
      <c r="J29" s="32">
        <f>'Raw Schedule'!C24</f>
        <v>44408</v>
      </c>
      <c r="K29" s="32">
        <f>'Raw Schedule'!D24</f>
        <v>44439</v>
      </c>
      <c r="L29" s="32">
        <f>_xll.meDateFromTenor(K29,$L$3,"MOD_FOLLOWING","NYB")</f>
        <v>44441</v>
      </c>
      <c r="M29" s="29">
        <v>1</v>
      </c>
      <c r="N29" s="33" t="s">
        <v>15</v>
      </c>
    </row>
    <row r="30" spans="5:14">
      <c r="E30" s="28">
        <f>'Raw Schedule'!F25</f>
        <v>544897183.26347387</v>
      </c>
      <c r="F30" s="29">
        <v>1</v>
      </c>
      <c r="G30" s="29">
        <f t="shared" si="0"/>
        <v>0</v>
      </c>
      <c r="H30" s="30" t="s">
        <v>14</v>
      </c>
      <c r="I30" s="31">
        <f>_xll.meDateFromTenor(J30,$I$3,$C$9,$C$10)</f>
        <v>44435</v>
      </c>
      <c r="J30" s="32">
        <f>'Raw Schedule'!C25</f>
        <v>44439</v>
      </c>
      <c r="K30" s="32">
        <f>'Raw Schedule'!D25</f>
        <v>44469</v>
      </c>
      <c r="L30" s="32">
        <f>_xll.meDateFromTenor(K30,$L$3,"MOD_FOLLOWING","NYB")</f>
        <v>44473</v>
      </c>
      <c r="M30" s="29">
        <v>1</v>
      </c>
      <c r="N30" s="33" t="s">
        <v>15</v>
      </c>
    </row>
    <row r="31" spans="5:14">
      <c r="E31" s="28">
        <f>'Raw Schedule'!F26</f>
        <v>554939311.31454718</v>
      </c>
      <c r="F31" s="29">
        <v>1</v>
      </c>
      <c r="G31" s="29">
        <f t="shared" si="0"/>
        <v>0</v>
      </c>
      <c r="H31" s="30" t="s">
        <v>14</v>
      </c>
      <c r="I31" s="31">
        <f>_xll.meDateFromTenor(J31,$I$3,$C$9,$C$10)</f>
        <v>44467</v>
      </c>
      <c r="J31" s="32">
        <f>'Raw Schedule'!C26</f>
        <v>44469</v>
      </c>
      <c r="K31" s="32">
        <f>'Raw Schedule'!D26</f>
        <v>44500</v>
      </c>
      <c r="L31" s="32">
        <f>_xll.meDateFromTenor(K31,$L$3,"MOD_FOLLOWING","NYB")</f>
        <v>44502</v>
      </c>
      <c r="M31" s="29">
        <v>1</v>
      </c>
      <c r="N31" s="33" t="s">
        <v>15</v>
      </c>
    </row>
    <row r="32" spans="5:14">
      <c r="E32" s="28">
        <f>'Raw Schedule'!F27</f>
        <v>564862376.15980411</v>
      </c>
      <c r="F32" s="29">
        <v>1</v>
      </c>
      <c r="G32" s="29">
        <f t="shared" si="0"/>
        <v>0</v>
      </c>
      <c r="H32" s="30" t="s">
        <v>14</v>
      </c>
      <c r="I32" s="31">
        <f>_xll.meDateFromTenor(J32,$I$3,$C$9,$C$10)</f>
        <v>44497</v>
      </c>
      <c r="J32" s="32">
        <f>'Raw Schedule'!C27</f>
        <v>44500</v>
      </c>
      <c r="K32" s="32">
        <f>'Raw Schedule'!D27</f>
        <v>44530</v>
      </c>
      <c r="L32" s="32">
        <f>_xll.meDateFromTenor(K32,$L$3,"MOD_FOLLOWING","NYB")</f>
        <v>44532</v>
      </c>
      <c r="M32" s="29">
        <v>1</v>
      </c>
      <c r="N32" s="33" t="s">
        <v>15</v>
      </c>
    </row>
    <row r="33" spans="5:14">
      <c r="E33" s="28">
        <f>'Raw Schedule'!F28</f>
        <v>574814891.78148663</v>
      </c>
      <c r="F33" s="29">
        <v>1</v>
      </c>
      <c r="G33" s="29">
        <f t="shared" si="0"/>
        <v>0</v>
      </c>
      <c r="H33" s="30" t="s">
        <v>14</v>
      </c>
      <c r="I33" s="31">
        <f>_xll.meDateFromTenor(J33,$I$3,$C$9,$C$10)</f>
        <v>44526</v>
      </c>
      <c r="J33" s="32">
        <f>'Raw Schedule'!C28</f>
        <v>44530</v>
      </c>
      <c r="K33" s="32">
        <f>'Raw Schedule'!D28</f>
        <v>44561</v>
      </c>
      <c r="L33" s="32">
        <f>_xll.meDateFromTenor(K33,$L$3,"MOD_FOLLOWING","NYB")</f>
        <v>44565</v>
      </c>
      <c r="M33" s="29">
        <v>1</v>
      </c>
      <c r="N33" s="33" t="s">
        <v>15</v>
      </c>
    </row>
    <row r="34" spans="5:14">
      <c r="E34" s="28">
        <f>'Raw Schedule'!F29</f>
        <v>584794262.49859405</v>
      </c>
      <c r="F34" s="29">
        <v>1</v>
      </c>
      <c r="G34" s="29">
        <f t="shared" si="0"/>
        <v>0</v>
      </c>
      <c r="H34" s="30" t="s">
        <v>14</v>
      </c>
      <c r="I34" s="31">
        <f>_xll.meDateFromTenor(J34,$I$3,$C$9,$C$10)</f>
        <v>44559</v>
      </c>
      <c r="J34" s="32">
        <f>'Raw Schedule'!C29</f>
        <v>44561</v>
      </c>
      <c r="K34" s="32">
        <f>'Raw Schedule'!D29</f>
        <v>44592</v>
      </c>
      <c r="L34" s="32">
        <f>_xll.meDateFromTenor(K34,$L$3,"MOD_FOLLOWING","NYB")</f>
        <v>44594</v>
      </c>
      <c r="M34" s="29">
        <v>1</v>
      </c>
      <c r="N34" s="33" t="s">
        <v>15</v>
      </c>
    </row>
    <row r="35" spans="5:14">
      <c r="E35" s="28">
        <f>'Raw Schedule'!F30</f>
        <v>593449071.47527838</v>
      </c>
      <c r="F35" s="29">
        <v>1</v>
      </c>
      <c r="G35" s="29">
        <f t="shared" si="0"/>
        <v>0</v>
      </c>
      <c r="H35" s="30" t="s">
        <v>14</v>
      </c>
      <c r="I35" s="31">
        <f>_xll.meDateFromTenor(J35,$I$3,$C$9,$C$10)</f>
        <v>44588</v>
      </c>
      <c r="J35" s="32">
        <f>'Raw Schedule'!C30</f>
        <v>44592</v>
      </c>
      <c r="K35" s="32">
        <f>'Raw Schedule'!D30</f>
        <v>44620</v>
      </c>
      <c r="L35" s="32">
        <f>_xll.meDateFromTenor(K35,$L$3,"MOD_FOLLOWING","NYB")</f>
        <v>44622</v>
      </c>
      <c r="M35" s="29">
        <v>1</v>
      </c>
      <c r="N35" s="33" t="s">
        <v>15</v>
      </c>
    </row>
    <row r="36" spans="5:14">
      <c r="E36" s="28">
        <f>'Raw Schedule'!F31</f>
        <v>602047677.94338965</v>
      </c>
      <c r="F36" s="29">
        <v>1</v>
      </c>
      <c r="G36" s="29">
        <f t="shared" si="0"/>
        <v>0</v>
      </c>
      <c r="H36" s="30" t="s">
        <v>14</v>
      </c>
      <c r="I36" s="31">
        <f>_xll.meDateFromTenor(J36,$I$3,$C$9,$C$10)</f>
        <v>44616</v>
      </c>
      <c r="J36" s="32">
        <f>'Raw Schedule'!C31</f>
        <v>44620</v>
      </c>
      <c r="K36" s="32">
        <f>'Raw Schedule'!D31</f>
        <v>44651</v>
      </c>
      <c r="L36" s="32">
        <f>_xll.meDateFromTenor(K36,$L$3,"MOD_FOLLOWING","NYB")</f>
        <v>44655</v>
      </c>
      <c r="M36" s="29">
        <v>1</v>
      </c>
      <c r="N36" s="33" t="s">
        <v>15</v>
      </c>
    </row>
    <row r="37" spans="5:14">
      <c r="E37" s="28">
        <f>'Raw Schedule'!F32</f>
        <v>610607243.6404326</v>
      </c>
      <c r="F37" s="29">
        <v>1</v>
      </c>
      <c r="G37" s="29">
        <f t="shared" si="0"/>
        <v>0</v>
      </c>
      <c r="H37" s="30" t="s">
        <v>14</v>
      </c>
      <c r="I37" s="31">
        <f>_xll.meDateFromTenor(J37,$I$3,$C$9,$C$10)</f>
        <v>44649</v>
      </c>
      <c r="J37" s="32">
        <f>'Raw Schedule'!C32</f>
        <v>44651</v>
      </c>
      <c r="K37" s="32">
        <f>'Raw Schedule'!D32</f>
        <v>44681</v>
      </c>
      <c r="L37" s="32">
        <f>_xll.meDateFromTenor(K37,$L$3,"MOD_FOLLOWING","NYB")</f>
        <v>44684</v>
      </c>
      <c r="M37" s="29">
        <v>1</v>
      </c>
      <c r="N37" s="33" t="s">
        <v>15</v>
      </c>
    </row>
    <row r="38" spans="5:14">
      <c r="E38" s="28">
        <f>'Raw Schedule'!F33</f>
        <v>619113803.67591643</v>
      </c>
      <c r="F38" s="29">
        <v>1</v>
      </c>
      <c r="G38" s="29">
        <f t="shared" si="0"/>
        <v>0</v>
      </c>
      <c r="H38" s="30" t="s">
        <v>14</v>
      </c>
      <c r="I38" s="31">
        <f>_xll.meDateFromTenor(J38,$I$3,$C$9,$C$10)</f>
        <v>44679</v>
      </c>
      <c r="J38" s="32">
        <f>'Raw Schedule'!C33</f>
        <v>44681</v>
      </c>
      <c r="K38" s="32">
        <f>'Raw Schedule'!D33</f>
        <v>44712</v>
      </c>
      <c r="L38" s="32">
        <f>_xll.meDateFromTenor(K38,$L$3,"MOD_FOLLOWING","NYB")</f>
        <v>44714</v>
      </c>
      <c r="M38" s="29">
        <v>1</v>
      </c>
      <c r="N38" s="33" t="s">
        <v>15</v>
      </c>
    </row>
    <row r="39" spans="5:14">
      <c r="E39" s="28">
        <f>'Raw Schedule'!F34</f>
        <v>631460398.99807787</v>
      </c>
      <c r="F39" s="29">
        <v>1</v>
      </c>
      <c r="G39" s="29">
        <f t="shared" ref="G39:G55" si="1">$G$3</f>
        <v>0</v>
      </c>
      <c r="H39" s="30" t="s">
        <v>14</v>
      </c>
      <c r="I39" s="31">
        <f>_xll.meDateFromTenor(J39,$I$3,$C$9,$C$10)</f>
        <v>44707</v>
      </c>
      <c r="J39" s="32">
        <f>'Raw Schedule'!C34</f>
        <v>44712</v>
      </c>
      <c r="K39" s="32">
        <f>'Raw Schedule'!D34</f>
        <v>44742</v>
      </c>
      <c r="L39" s="32">
        <f>_xll.meDateFromTenor(K39,$L$3,"MOD_FOLLOWING","NYB")</f>
        <v>44747</v>
      </c>
      <c r="M39" s="29">
        <v>1</v>
      </c>
      <c r="N39" s="33" t="s">
        <v>15</v>
      </c>
    </row>
    <row r="40" spans="5:14">
      <c r="E40" s="28">
        <f>'Raw Schedule'!F35</f>
        <v>647792221.70859015</v>
      </c>
      <c r="F40" s="29">
        <v>1</v>
      </c>
      <c r="G40" s="29">
        <f t="shared" si="1"/>
        <v>0</v>
      </c>
      <c r="H40" s="30" t="s">
        <v>14</v>
      </c>
      <c r="I40" s="31">
        <f>_xll.meDateFromTenor(J40,$I$3,$C$9,$C$10)</f>
        <v>44740</v>
      </c>
      <c r="J40" s="32">
        <f>'Raw Schedule'!C35</f>
        <v>44742</v>
      </c>
      <c r="K40" s="32">
        <f>'Raw Schedule'!D35</f>
        <v>44773</v>
      </c>
      <c r="L40" s="32">
        <f>_xll.meDateFromTenor(K40,$L$3,"MOD_FOLLOWING","NYB")</f>
        <v>44775</v>
      </c>
      <c r="M40" s="29">
        <v>1</v>
      </c>
      <c r="N40" s="33" t="s">
        <v>15</v>
      </c>
    </row>
    <row r="41" spans="5:14">
      <c r="E41" s="28">
        <f>'Raw Schedule'!F36</f>
        <v>662227651.79661691</v>
      </c>
      <c r="F41" s="29">
        <v>1</v>
      </c>
      <c r="G41" s="29">
        <f t="shared" si="1"/>
        <v>0</v>
      </c>
      <c r="H41" s="30" t="s">
        <v>14</v>
      </c>
      <c r="I41" s="31">
        <f>_xll.meDateFromTenor(J41,$I$3,$C$9,$C$10)</f>
        <v>44770</v>
      </c>
      <c r="J41" s="32">
        <f>'Raw Schedule'!C36</f>
        <v>44773</v>
      </c>
      <c r="K41" s="32">
        <f>'Raw Schedule'!D36</f>
        <v>44804</v>
      </c>
      <c r="L41" s="32">
        <f>_xll.meDateFromTenor(K41,$L$3,"MOD_FOLLOWING","NYB")</f>
        <v>44806</v>
      </c>
      <c r="M41" s="29">
        <v>1</v>
      </c>
      <c r="N41" s="33" t="s">
        <v>15</v>
      </c>
    </row>
    <row r="42" spans="5:14">
      <c r="E42" s="28">
        <f>'Raw Schedule'!F37</f>
        <v>676427856.18484604</v>
      </c>
      <c r="F42" s="29">
        <v>1</v>
      </c>
      <c r="G42" s="29">
        <f t="shared" si="1"/>
        <v>0</v>
      </c>
      <c r="H42" s="30" t="s">
        <v>14</v>
      </c>
      <c r="I42" s="31">
        <f>_xll.meDateFromTenor(J42,$I$3,$C$9,$C$10)</f>
        <v>44802</v>
      </c>
      <c r="J42" s="32">
        <f>'Raw Schedule'!C37</f>
        <v>44804</v>
      </c>
      <c r="K42" s="32">
        <f>'Raw Schedule'!D37</f>
        <v>44834</v>
      </c>
      <c r="L42" s="32">
        <f>_xll.meDateFromTenor(K42,$L$3,"MOD_FOLLOWING","NYB")</f>
        <v>44838</v>
      </c>
      <c r="M42" s="29">
        <v>1</v>
      </c>
      <c r="N42" s="33" t="s">
        <v>15</v>
      </c>
    </row>
    <row r="43" spans="5:14">
      <c r="E43" s="28">
        <f>'Raw Schedule'!F38</f>
        <v>690719279.56587613</v>
      </c>
      <c r="F43" s="29">
        <v>1</v>
      </c>
      <c r="G43" s="29">
        <f t="shared" si="1"/>
        <v>0</v>
      </c>
      <c r="H43" s="30" t="s">
        <v>14</v>
      </c>
      <c r="I43" s="31">
        <f>_xll.meDateFromTenor(J43,$I$3,$C$9,$C$10)</f>
        <v>44832</v>
      </c>
      <c r="J43" s="32">
        <f>'Raw Schedule'!C38</f>
        <v>44834</v>
      </c>
      <c r="K43" s="32">
        <f>'Raw Schedule'!D38</f>
        <v>44865</v>
      </c>
      <c r="L43" s="32">
        <f>_xll.meDateFromTenor(K43,$L$3,"MOD_FOLLOWING","NYB")</f>
        <v>44867</v>
      </c>
      <c r="M43" s="29">
        <v>1</v>
      </c>
      <c r="N43" s="33" t="s">
        <v>15</v>
      </c>
    </row>
    <row r="44" spans="5:14">
      <c r="E44" s="37">
        <f>'Raw Schedule'!F39</f>
        <v>561095987.19979119</v>
      </c>
      <c r="F44" s="38">
        <v>1</v>
      </c>
      <c r="G44" s="38">
        <f t="shared" si="1"/>
        <v>0</v>
      </c>
      <c r="H44" s="30" t="s">
        <v>19</v>
      </c>
      <c r="I44" s="39">
        <f>_xll.meDateFromTenor(J44,$I$3,$C$9,$C$10)</f>
        <v>44861</v>
      </c>
      <c r="J44" s="40">
        <f>'Raw Schedule'!C39</f>
        <v>44865</v>
      </c>
      <c r="K44" s="40">
        <f>'Raw Schedule'!D39</f>
        <v>44957</v>
      </c>
      <c r="L44" s="40">
        <f>_xll.meDateFromTenor(K44,$L$3,"MOD_FOLLOWING","NYB")</f>
        <v>44959</v>
      </c>
      <c r="M44" s="38">
        <v>1</v>
      </c>
      <c r="N44" s="41" t="s">
        <v>15</v>
      </c>
    </row>
    <row r="45" spans="5:14">
      <c r="E45" s="37">
        <f>'Raw Schedule'!F40</f>
        <v>558357962.22337353</v>
      </c>
      <c r="F45" s="38">
        <v>1</v>
      </c>
      <c r="G45" s="38">
        <f t="shared" si="1"/>
        <v>0</v>
      </c>
      <c r="H45" s="30" t="s">
        <v>19</v>
      </c>
      <c r="I45" s="39">
        <f>_xll.meDateFromTenor(J45,$I$3,$C$9,$C$10)</f>
        <v>44953</v>
      </c>
      <c r="J45" s="40">
        <f>'Raw Schedule'!C40</f>
        <v>44957</v>
      </c>
      <c r="K45" s="40">
        <f>'Raw Schedule'!D40</f>
        <v>45046</v>
      </c>
      <c r="L45" s="40">
        <f>_xll.meDateFromTenor(K45,$L$3,"MOD_FOLLOWING","NYB")</f>
        <v>45048</v>
      </c>
      <c r="M45" s="38">
        <v>1</v>
      </c>
      <c r="N45" s="41" t="s">
        <v>15</v>
      </c>
    </row>
    <row r="46" spans="5:14">
      <c r="E46" s="37">
        <f>'Raw Schedule'!F41</f>
        <v>555676159.06487322</v>
      </c>
      <c r="F46" s="38">
        <v>1</v>
      </c>
      <c r="G46" s="38">
        <f t="shared" si="1"/>
        <v>0</v>
      </c>
      <c r="H46" s="30" t="s">
        <v>19</v>
      </c>
      <c r="I46" s="39">
        <f>_xll.meDateFromTenor(J46,$I$3,$C$9,$C$10)</f>
        <v>45043</v>
      </c>
      <c r="J46" s="40">
        <f>'Raw Schedule'!C41</f>
        <v>45046</v>
      </c>
      <c r="K46" s="40">
        <f>'Raw Schedule'!D41</f>
        <v>45138</v>
      </c>
      <c r="L46" s="40">
        <f>_xll.meDateFromTenor(K46,$L$3,"MOD_FOLLOWING","NYB")</f>
        <v>45140</v>
      </c>
      <c r="M46" s="38">
        <v>1</v>
      </c>
      <c r="N46" s="41" t="s">
        <v>15</v>
      </c>
    </row>
    <row r="47" spans="5:14">
      <c r="E47" s="37">
        <f>'Raw Schedule'!F42</f>
        <v>552858312.57331645</v>
      </c>
      <c r="F47" s="38">
        <v>1</v>
      </c>
      <c r="G47" s="38">
        <f t="shared" si="1"/>
        <v>0</v>
      </c>
      <c r="H47" s="30" t="s">
        <v>19</v>
      </c>
      <c r="I47" s="39">
        <f>_xll.meDateFromTenor(J47,$I$3,$C$9,$C$10)</f>
        <v>45134</v>
      </c>
      <c r="J47" s="40">
        <f>'Raw Schedule'!C42</f>
        <v>45138</v>
      </c>
      <c r="K47" s="40">
        <f>'Raw Schedule'!D42</f>
        <v>45230</v>
      </c>
      <c r="L47" s="40">
        <f>_xll.meDateFromTenor(K47,$L$3,"MOD_FOLLOWING","NYB")</f>
        <v>45232</v>
      </c>
      <c r="M47" s="38">
        <v>1</v>
      </c>
      <c r="N47" s="41" t="s">
        <v>15</v>
      </c>
    </row>
    <row r="48" spans="5:14">
      <c r="E48" s="37">
        <f>'Raw Schedule'!F43</f>
        <v>550014891.32666326</v>
      </c>
      <c r="F48" s="38">
        <v>1</v>
      </c>
      <c r="G48" s="38">
        <f t="shared" si="1"/>
        <v>0</v>
      </c>
      <c r="H48" s="30" t="s">
        <v>19</v>
      </c>
      <c r="I48" s="39">
        <f>_xll.meDateFromTenor(J48,$I$3,$C$9,$C$10)</f>
        <v>45226</v>
      </c>
      <c r="J48" s="40">
        <f>'Raw Schedule'!C43</f>
        <v>45230</v>
      </c>
      <c r="K48" s="40">
        <f>'Raw Schedule'!D43</f>
        <v>45322</v>
      </c>
      <c r="L48" s="40">
        <f>_xll.meDateFromTenor(K48,$L$3,"MOD_FOLLOWING","NYB")</f>
        <v>45324</v>
      </c>
      <c r="M48" s="38">
        <v>1</v>
      </c>
      <c r="N48" s="41" t="s">
        <v>15</v>
      </c>
    </row>
    <row r="49" spans="5:14">
      <c r="E49" s="37">
        <f>'Raw Schedule'!F44</f>
        <v>547167211.36146677</v>
      </c>
      <c r="F49" s="38">
        <v>1</v>
      </c>
      <c r="G49" s="38">
        <f t="shared" si="1"/>
        <v>0</v>
      </c>
      <c r="H49" s="30" t="s">
        <v>19</v>
      </c>
      <c r="I49" s="39">
        <f>_xll.meDateFromTenor(J49,$I$3,$C$9,$C$10)</f>
        <v>45320</v>
      </c>
      <c r="J49" s="40">
        <f>'Raw Schedule'!C44</f>
        <v>45322</v>
      </c>
      <c r="K49" s="40">
        <f>'Raw Schedule'!D44</f>
        <v>45412</v>
      </c>
      <c r="L49" s="40">
        <f>_xll.meDateFromTenor(K49,$L$3,"MOD_FOLLOWING","NYB")</f>
        <v>45414</v>
      </c>
      <c r="M49" s="38">
        <v>1</v>
      </c>
      <c r="N49" s="41" t="s">
        <v>15</v>
      </c>
    </row>
    <row r="50" spans="5:14">
      <c r="E50" s="37">
        <f>'Raw Schedule'!F45</f>
        <v>544346654.7762922</v>
      </c>
      <c r="F50" s="38">
        <v>1</v>
      </c>
      <c r="G50" s="38">
        <f t="shared" si="1"/>
        <v>0</v>
      </c>
      <c r="H50" s="30" t="s">
        <v>19</v>
      </c>
      <c r="I50" s="39">
        <f>_xll.meDateFromTenor(J50,$I$3,$C$9,$C$10)</f>
        <v>45408</v>
      </c>
      <c r="J50" s="40">
        <f>'Raw Schedule'!C45</f>
        <v>45412</v>
      </c>
      <c r="K50" s="40">
        <f>'Raw Schedule'!D45</f>
        <v>45504</v>
      </c>
      <c r="L50" s="40">
        <f>_xll.meDateFromTenor(K50,$L$3,"MOD_FOLLOWING","NYB")</f>
        <v>45506</v>
      </c>
      <c r="M50" s="38">
        <v>1</v>
      </c>
      <c r="N50" s="41" t="s">
        <v>15</v>
      </c>
    </row>
    <row r="51" spans="5:14">
      <c r="E51" s="37">
        <f>'Raw Schedule'!F46</f>
        <v>541416297.31738198</v>
      </c>
      <c r="F51" s="38">
        <v>1</v>
      </c>
      <c r="G51" s="38">
        <f t="shared" si="1"/>
        <v>0</v>
      </c>
      <c r="H51" s="30" t="s">
        <v>19</v>
      </c>
      <c r="I51" s="39">
        <f>_xll.meDateFromTenor(J51,$I$3,$C$9,$C$10)</f>
        <v>45502</v>
      </c>
      <c r="J51" s="40">
        <f>'Raw Schedule'!C46</f>
        <v>45504</v>
      </c>
      <c r="K51" s="40">
        <f>'Raw Schedule'!D46</f>
        <v>45596</v>
      </c>
      <c r="L51" s="40">
        <f>_xll.meDateFromTenor(K51,$L$3,"MOD_FOLLOWING","NYB")</f>
        <v>45600</v>
      </c>
      <c r="M51" s="38">
        <v>1</v>
      </c>
      <c r="N51" s="41" t="s">
        <v>15</v>
      </c>
    </row>
    <row r="52" spans="5:14">
      <c r="E52" s="37">
        <f>'Raw Schedule'!F47</f>
        <v>538459332.68675852</v>
      </c>
      <c r="F52" s="38">
        <v>1</v>
      </c>
      <c r="G52" s="38">
        <f t="shared" si="1"/>
        <v>0</v>
      </c>
      <c r="H52" s="30" t="s">
        <v>19</v>
      </c>
      <c r="I52" s="39">
        <f>_xll.meDateFromTenor(J52,$I$3,$C$9,$C$10)</f>
        <v>45594</v>
      </c>
      <c r="J52" s="40">
        <f>'Raw Schedule'!C47</f>
        <v>45596</v>
      </c>
      <c r="K52" s="40">
        <f>'Raw Schedule'!D47</f>
        <v>45688</v>
      </c>
      <c r="L52" s="40">
        <f>_xll.meDateFromTenor(K52,$L$3,"MOD_FOLLOWING","NYB")</f>
        <v>45692</v>
      </c>
      <c r="M52" s="38">
        <v>1</v>
      </c>
      <c r="N52" s="41" t="s">
        <v>15</v>
      </c>
    </row>
    <row r="53" spans="5:14">
      <c r="E53" s="37">
        <f>'Raw Schedule'!F48</f>
        <v>535425587.68124694</v>
      </c>
      <c r="F53" s="38">
        <v>1</v>
      </c>
      <c r="G53" s="38">
        <f t="shared" si="1"/>
        <v>0</v>
      </c>
      <c r="H53" s="30" t="s">
        <v>19</v>
      </c>
      <c r="I53" s="39">
        <f>_xll.meDateFromTenor(J53,$I$3,$C$9,$C$10)</f>
        <v>45686</v>
      </c>
      <c r="J53" s="40">
        <f>'Raw Schedule'!C48</f>
        <v>45688</v>
      </c>
      <c r="K53" s="40">
        <f>'Raw Schedule'!D48</f>
        <v>45777</v>
      </c>
      <c r="L53" s="40">
        <f>_xll.meDateFromTenor(K53,$L$3,"MOD_FOLLOWING","NYB")</f>
        <v>45779</v>
      </c>
      <c r="M53" s="38">
        <v>1</v>
      </c>
      <c r="N53" s="41" t="s">
        <v>15</v>
      </c>
    </row>
    <row r="54" spans="5:14">
      <c r="E54" s="37">
        <f>'Raw Schedule'!F49</f>
        <v>532454034.5549565</v>
      </c>
      <c r="F54" s="38">
        <v>1</v>
      </c>
      <c r="G54" s="38">
        <f t="shared" si="1"/>
        <v>0</v>
      </c>
      <c r="H54" s="30" t="s">
        <v>19</v>
      </c>
      <c r="I54" s="39">
        <f>_xll.meDateFromTenor(J54,$I$3,$C$9,$C$10)</f>
        <v>45775</v>
      </c>
      <c r="J54" s="40">
        <f>'Raw Schedule'!C49</f>
        <v>45777</v>
      </c>
      <c r="K54" s="40">
        <f>'Raw Schedule'!D49</f>
        <v>45869</v>
      </c>
      <c r="L54" s="40">
        <f>_xll.meDateFromTenor(K54,$L$3,"MOD_FOLLOWING","NYB")</f>
        <v>45873</v>
      </c>
      <c r="M54" s="38">
        <v>1</v>
      </c>
      <c r="N54" s="41" t="s">
        <v>15</v>
      </c>
    </row>
    <row r="55" spans="5:14">
      <c r="E55" s="290">
        <f>'Raw Schedule'!F50</f>
        <v>529333847.10165673</v>
      </c>
      <c r="F55" s="291">
        <v>1</v>
      </c>
      <c r="G55" s="291">
        <f t="shared" si="1"/>
        <v>0</v>
      </c>
      <c r="H55" s="293" t="s">
        <v>19</v>
      </c>
      <c r="I55" s="294">
        <f>_xll.meDateFromTenor(J55,$I$3,$C$9,$C$10)</f>
        <v>45867</v>
      </c>
      <c r="J55" s="295">
        <f>'Raw Schedule'!C50</f>
        <v>45869</v>
      </c>
      <c r="K55" s="295">
        <f>'Raw Schedule'!D50</f>
        <v>45961</v>
      </c>
      <c r="L55" s="295">
        <f>_xll.meDateFromTenor(K55,$L$3,"MOD_FOLLOWING","NYB")</f>
        <v>45965</v>
      </c>
      <c r="M55" s="291">
        <v>1</v>
      </c>
      <c r="N55" s="296" t="s">
        <v>15</v>
      </c>
    </row>
    <row r="56" spans="5:14">
      <c r="E56" s="36"/>
    </row>
    <row r="57" spans="5:14">
      <c r="E57" s="36"/>
    </row>
    <row r="58" spans="5:14">
      <c r="E58" s="36"/>
    </row>
    <row r="59" spans="5:14">
      <c r="E59" s="36"/>
    </row>
    <row r="60" spans="5:14">
      <c r="E60" s="36"/>
    </row>
    <row r="61" spans="5:14">
      <c r="E61" s="36"/>
    </row>
    <row r="62" spans="5:14">
      <c r="E62" s="36"/>
    </row>
    <row r="63" spans="5:14">
      <c r="E63" s="36"/>
    </row>
    <row r="64" spans="5:14">
      <c r="E64" s="36"/>
    </row>
    <row r="65" spans="5:5">
      <c r="E65" s="36"/>
    </row>
    <row r="66" spans="5:5">
      <c r="E66" s="36"/>
    </row>
    <row r="67" spans="5:5">
      <c r="E67" s="36"/>
    </row>
    <row r="68" spans="5:5">
      <c r="E68" s="36"/>
    </row>
    <row r="69" spans="5:5">
      <c r="E69" s="3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P71"/>
  <sheetViews>
    <sheetView showGridLines="0" zoomScaleNormal="100" workbookViewId="0"/>
  </sheetViews>
  <sheetFormatPr defaultRowHeight="15"/>
  <cols>
    <col min="2" max="2" width="20.42578125" customWidth="1"/>
    <col min="3" max="3" width="23.140625" bestFit="1" customWidth="1"/>
    <col min="4" max="4" width="13" customWidth="1"/>
    <col min="5" max="5" width="16.28515625" style="67" customWidth="1"/>
    <col min="6" max="6" width="23.42578125" style="75" customWidth="1"/>
    <col min="7" max="7" width="13.28515625" bestFit="1" customWidth="1"/>
    <col min="8" max="8" width="15.42578125" style="67" customWidth="1"/>
    <col min="9" max="9" width="24" style="67" bestFit="1" customWidth="1"/>
    <col min="10" max="10" width="9.85546875" style="36" bestFit="1" customWidth="1"/>
    <col min="11" max="11" width="12.42578125" style="36" bestFit="1" customWidth="1"/>
    <col min="12" max="12" width="9.7109375" style="71" bestFit="1" customWidth="1"/>
    <col min="13" max="13" width="10.5703125" bestFit="1" customWidth="1"/>
    <col min="14" max="14" width="14.42578125" style="79" bestFit="1" customWidth="1"/>
    <col min="15" max="15" width="11.85546875" style="67" bestFit="1" customWidth="1"/>
    <col min="16" max="16" width="9.5703125" bestFit="1" customWidth="1"/>
  </cols>
  <sheetData>
    <row r="2" spans="2:12">
      <c r="B2" s="311" t="s">
        <v>243</v>
      </c>
      <c r="C2" s="67"/>
      <c r="E2" s="20" t="s">
        <v>241</v>
      </c>
      <c r="F2"/>
      <c r="H2" s="20" t="s">
        <v>242</v>
      </c>
      <c r="I2" s="75"/>
      <c r="J2"/>
    </row>
    <row r="3" spans="2:12">
      <c r="B3" s="67" t="s">
        <v>244</v>
      </c>
      <c r="C3" s="312" t="str">
        <f ca="1">_xll.meLWOSwapCreateFromLegs("ROLLERCOASTER",C5:C6)</f>
        <v>ROLLERCOASTER@16:2</v>
      </c>
      <c r="E3" s="101" t="s">
        <v>236</v>
      </c>
      <c r="F3" s="304" t="str">
        <f ca="1">_xll.meLWOLegCreateFromSchedule("FIXED_LEG",F7,E8:F11)</f>
        <v>FIXED_LEG@10:2</v>
      </c>
      <c r="H3" s="101" t="s">
        <v>232</v>
      </c>
      <c r="I3" s="304" t="str">
        <f ca="1">_xll.meLWOLegCreateFromSchedule("FLOAT_LEG",I7,H8:I11)</f>
        <v>FLOAT_LEG@11:2</v>
      </c>
      <c r="J3"/>
    </row>
    <row r="4" spans="2:12">
      <c r="B4" s="67"/>
      <c r="C4" s="67"/>
      <c r="E4" s="102" t="s">
        <v>38</v>
      </c>
      <c r="F4" s="309" t="s">
        <v>39</v>
      </c>
      <c r="H4" s="102" t="s">
        <v>38</v>
      </c>
      <c r="I4" s="309" t="s">
        <v>39</v>
      </c>
      <c r="J4"/>
    </row>
    <row r="5" spans="2:12">
      <c r="B5" s="67" t="s">
        <v>245</v>
      </c>
      <c r="C5" s="312" t="str">
        <f ca="1">F3</f>
        <v>FIXED_LEG@10:2</v>
      </c>
      <c r="E5" s="103"/>
      <c r="F5" s="299"/>
      <c r="H5" s="300"/>
      <c r="I5" s="299"/>
      <c r="J5"/>
    </row>
    <row r="6" spans="2:12">
      <c r="B6" s="67"/>
      <c r="C6" s="312" t="str">
        <f ca="1">I3</f>
        <v>FLOAT_LEG@11:2</v>
      </c>
      <c r="E6"/>
      <c r="F6" s="51"/>
      <c r="H6"/>
      <c r="I6" s="51"/>
      <c r="J6"/>
    </row>
    <row r="7" spans="2:12">
      <c r="E7" s="303" t="s">
        <v>32</v>
      </c>
      <c r="F7" s="305" t="str">
        <f ca="1">'Fixed Schedule'!$E$3</f>
        <v>FIXED_SCHEDULE@8:7</v>
      </c>
      <c r="H7" s="303" t="s">
        <v>32</v>
      </c>
      <c r="I7" s="305" t="str">
        <f ca="1">'Float Schedule'!$E$3</f>
        <v>FLOAT_SCHEDULE@9:4</v>
      </c>
      <c r="J7"/>
      <c r="K7" s="67"/>
      <c r="L7" s="67"/>
    </row>
    <row r="8" spans="2:12">
      <c r="E8" s="297" t="s">
        <v>33</v>
      </c>
      <c r="F8" s="306" t="s">
        <v>237</v>
      </c>
      <c r="H8" s="297" t="s">
        <v>33</v>
      </c>
      <c r="I8" s="306" t="s">
        <v>235</v>
      </c>
      <c r="J8"/>
      <c r="K8" s="67"/>
      <c r="L8" s="67"/>
    </row>
    <row r="9" spans="2:12">
      <c r="E9" s="297" t="s">
        <v>34</v>
      </c>
      <c r="F9" s="307" t="s">
        <v>35</v>
      </c>
      <c r="H9" s="297" t="s">
        <v>7</v>
      </c>
      <c r="I9" s="310" t="s">
        <v>247</v>
      </c>
      <c r="J9" s="313" t="s">
        <v>249</v>
      </c>
      <c r="K9" s="67"/>
      <c r="L9" s="67"/>
    </row>
    <row r="10" spans="2:12">
      <c r="E10" s="297" t="s">
        <v>36</v>
      </c>
      <c r="F10" s="307" t="s">
        <v>37</v>
      </c>
      <c r="H10" s="297" t="s">
        <v>34</v>
      </c>
      <c r="I10" s="307" t="s">
        <v>35</v>
      </c>
      <c r="J10"/>
      <c r="K10" s="67"/>
      <c r="L10" s="67"/>
    </row>
    <row r="11" spans="2:12">
      <c r="E11" s="298"/>
      <c r="F11" s="308"/>
      <c r="H11" s="298" t="s">
        <v>36</v>
      </c>
      <c r="I11" s="308" t="s">
        <v>37</v>
      </c>
      <c r="J11"/>
      <c r="K11" s="67"/>
      <c r="L11" s="67"/>
    </row>
    <row r="12" spans="2:12">
      <c r="E12"/>
      <c r="F12"/>
      <c r="H12" s="313" t="s">
        <v>250</v>
      </c>
      <c r="I12"/>
      <c r="J12"/>
      <c r="K12" s="67"/>
      <c r="L12" s="67"/>
    </row>
    <row r="13" spans="2:12">
      <c r="E13"/>
      <c r="F13"/>
      <c r="H13" s="302"/>
      <c r="I13"/>
      <c r="J13"/>
      <c r="K13" s="67"/>
      <c r="L13" s="67"/>
    </row>
    <row r="14" spans="2:12">
      <c r="B14" s="53" t="s">
        <v>251</v>
      </c>
      <c r="E14" s="53" t="s">
        <v>238</v>
      </c>
      <c r="F14"/>
      <c r="H14" s="53" t="s">
        <v>233</v>
      </c>
      <c r="I14"/>
      <c r="J14"/>
      <c r="K14" s="67"/>
      <c r="L14" s="67"/>
    </row>
    <row r="15" spans="2:12">
      <c r="B15" s="302" t="s">
        <v>252</v>
      </c>
      <c r="C15" s="301">
        <f ca="1">_xll.meLWOSwapPV(C3,$F$4)</f>
        <v>13033393.712571084</v>
      </c>
      <c r="E15" s="302" t="s">
        <v>239</v>
      </c>
      <c r="F15" s="301">
        <f ca="1">_xll.meLWOLegPV(F3,F4)</f>
        <v>-28188829.478990525</v>
      </c>
      <c r="H15" s="302" t="s">
        <v>240</v>
      </c>
      <c r="I15" s="301">
        <f ca="1">_xll.meLWOLegPV(I3,I4,I5)</f>
        <v>41222223.200967252</v>
      </c>
      <c r="J15"/>
      <c r="K15" s="67"/>
      <c r="L15" s="67"/>
    </row>
    <row r="17" spans="2:16">
      <c r="B17" s="50" t="s">
        <v>234</v>
      </c>
    </row>
    <row r="18" spans="2:16">
      <c r="B18" s="55" t="str">
        <f t="array" aca="1" ref="B18:P71" ca="1">_xll.meLWOLegDisplayCashflows(I3,I4,I5)</f>
        <v>FixingDate</v>
      </c>
      <c r="C18" s="56" t="str">
        <f ca="1"/>
        <v>AccrualStart</v>
      </c>
      <c r="D18" s="56" t="str">
        <f ca="1"/>
        <v>AccrualEnd</v>
      </c>
      <c r="E18" s="68" t="str">
        <f ca="1"/>
        <v>AccrualDays</v>
      </c>
      <c r="F18" s="76" t="str">
        <f ca="1"/>
        <v>AccrualYearFractions</v>
      </c>
      <c r="G18" s="56" t="str">
        <f ca="1"/>
        <v>PaymentDate</v>
      </c>
      <c r="H18" s="68" t="str">
        <f ca="1"/>
        <v>Notional</v>
      </c>
      <c r="I18" s="68" t="str">
        <f ca="1"/>
        <v>NotionalExchange</v>
      </c>
      <c r="J18" s="64" t="str">
        <f ca="1"/>
        <v>Leverage</v>
      </c>
      <c r="K18" s="64" t="str">
        <f ca="1"/>
        <v>FloatSpread</v>
      </c>
      <c r="L18" s="72" t="str">
        <f ca="1"/>
        <v>FloatRate</v>
      </c>
      <c r="M18" s="56" t="str">
        <f ca="1"/>
        <v>Coupon</v>
      </c>
      <c r="N18" s="80" t="str">
        <f ca="1"/>
        <v>DiscountFactor</v>
      </c>
      <c r="O18" s="68" t="str">
        <f ca="1"/>
        <v>CouponPV</v>
      </c>
      <c r="P18" s="57" t="e">
        <f ca="1"/>
        <v>#N/A</v>
      </c>
    </row>
    <row r="19" spans="2:16">
      <c r="B19" s="58">
        <f ca="1"/>
        <v>43734</v>
      </c>
      <c r="C19" s="59">
        <f ca="1"/>
        <v>43738</v>
      </c>
      <c r="D19" s="59">
        <f ca="1"/>
        <v>43769</v>
      </c>
      <c r="E19" s="69">
        <f ca="1"/>
        <v>31</v>
      </c>
      <c r="F19" s="77">
        <f ca="1"/>
        <v>8.611111111111111E-2</v>
      </c>
      <c r="G19" s="59">
        <f ca="1"/>
        <v>43773</v>
      </c>
      <c r="H19" s="69">
        <f ca="1"/>
        <v>38892061.251816697</v>
      </c>
      <c r="I19" s="69">
        <f ca="1"/>
        <v>0</v>
      </c>
      <c r="J19" s="65">
        <f ca="1"/>
        <v>1</v>
      </c>
      <c r="K19" s="65">
        <f ca="1"/>
        <v>0</v>
      </c>
      <c r="L19" s="73">
        <f ca="1"/>
        <v>1.9300503663059868E-2</v>
      </c>
      <c r="M19" s="59">
        <f ca="1"/>
        <v>64638.13191748262</v>
      </c>
      <c r="N19" s="81">
        <f ca="1"/>
        <v>0.99812896266934159</v>
      </c>
      <c r="O19" s="69">
        <f ca="1"/>
        <v>64517.191559680985</v>
      </c>
      <c r="P19" s="60" t="e">
        <f ca="1"/>
        <v>#N/A</v>
      </c>
    </row>
    <row r="20" spans="2:16">
      <c r="B20" s="58">
        <f ca="1"/>
        <v>43767</v>
      </c>
      <c r="C20" s="59">
        <f ca="1"/>
        <v>43769</v>
      </c>
      <c r="D20" s="59">
        <f ca="1"/>
        <v>43799</v>
      </c>
      <c r="E20" s="69">
        <f ca="1"/>
        <v>30</v>
      </c>
      <c r="F20" s="77">
        <f ca="1"/>
        <v>8.3333333333333329E-2</v>
      </c>
      <c r="G20" s="59">
        <f ca="1"/>
        <v>43802</v>
      </c>
      <c r="H20" s="69">
        <f ca="1"/>
        <v>53628704.875037499</v>
      </c>
      <c r="I20" s="69">
        <f ca="1"/>
        <v>0</v>
      </c>
      <c r="J20" s="65">
        <f ca="1"/>
        <v>1</v>
      </c>
      <c r="K20" s="65">
        <f ca="1"/>
        <v>0</v>
      </c>
      <c r="L20" s="73">
        <f ca="1"/>
        <v>1.8514669576785568E-2</v>
      </c>
      <c r="M20" s="59">
        <f ca="1"/>
        <v>82743.145882689045</v>
      </c>
      <c r="N20" s="81">
        <f ca="1"/>
        <v>0.99681688606190155</v>
      </c>
      <c r="O20" s="69">
        <f ca="1"/>
        <v>82479.765021747749</v>
      </c>
      <c r="P20" s="60" t="e">
        <f ca="1"/>
        <v>#N/A</v>
      </c>
    </row>
    <row r="21" spans="2:16">
      <c r="B21" s="58">
        <f ca="1"/>
        <v>43796</v>
      </c>
      <c r="C21" s="59">
        <f ca="1"/>
        <v>43799</v>
      </c>
      <c r="D21" s="59">
        <f ca="1"/>
        <v>43830</v>
      </c>
      <c r="E21" s="69">
        <f ca="1"/>
        <v>31</v>
      </c>
      <c r="F21" s="77">
        <f ca="1"/>
        <v>8.611111111111111E-2</v>
      </c>
      <c r="G21" s="59">
        <f ca="1"/>
        <v>43833</v>
      </c>
      <c r="H21" s="69">
        <f ca="1"/>
        <v>68386301.244811699</v>
      </c>
      <c r="I21" s="69">
        <f ca="1"/>
        <v>0</v>
      </c>
      <c r="J21" s="65">
        <f ca="1"/>
        <v>1</v>
      </c>
      <c r="K21" s="65">
        <f ca="1"/>
        <v>0</v>
      </c>
      <c r="L21" s="73">
        <f ca="1"/>
        <v>1.7752163142755965E-2</v>
      </c>
      <c r="M21" s="59">
        <f ca="1"/>
        <v>104539.30019237258</v>
      </c>
      <c r="N21" s="81">
        <f ca="1"/>
        <v>0.99551673407541719</v>
      </c>
      <c r="O21" s="69">
        <f ca="1"/>
        <v>104070.62271004039</v>
      </c>
      <c r="P21" s="60" t="e">
        <f ca="1"/>
        <v>#N/A</v>
      </c>
    </row>
    <row r="22" spans="2:16">
      <c r="B22" s="58">
        <f ca="1"/>
        <v>43826</v>
      </c>
      <c r="C22" s="59">
        <f ca="1"/>
        <v>43830</v>
      </c>
      <c r="D22" s="59">
        <f ca="1"/>
        <v>43861</v>
      </c>
      <c r="E22" s="69">
        <f ca="1"/>
        <v>31</v>
      </c>
      <c r="F22" s="77">
        <f ca="1"/>
        <v>8.611111111111111E-2</v>
      </c>
      <c r="G22" s="59">
        <f ca="1"/>
        <v>43865</v>
      </c>
      <c r="H22" s="69">
        <f ca="1"/>
        <v>90048520.291204304</v>
      </c>
      <c r="I22" s="69">
        <f ca="1"/>
        <v>0</v>
      </c>
      <c r="J22" s="65">
        <f ca="1"/>
        <v>1</v>
      </c>
      <c r="K22" s="65">
        <f ca="1"/>
        <v>0</v>
      </c>
      <c r="L22" s="73">
        <f ca="1"/>
        <v>1.8443955285096039E-2</v>
      </c>
      <c r="M22" s="59">
        <f ca="1"/>
        <v>143017.71481650305</v>
      </c>
      <c r="N22" s="81">
        <f ca="1"/>
        <v>0.99423966963044996</v>
      </c>
      <c r="O22" s="69">
        <f ca="1"/>
        <v>142193.88553046191</v>
      </c>
      <c r="P22" s="60" t="e">
        <f ca="1"/>
        <v>#N/A</v>
      </c>
    </row>
    <row r="23" spans="2:16">
      <c r="B23" s="58">
        <f ca="1"/>
        <v>43859</v>
      </c>
      <c r="C23" s="59">
        <f ca="1"/>
        <v>43861</v>
      </c>
      <c r="D23" s="59">
        <f ca="1"/>
        <v>43890</v>
      </c>
      <c r="E23" s="69">
        <f ca="1"/>
        <v>29</v>
      </c>
      <c r="F23" s="77">
        <f ca="1"/>
        <v>8.0555555555555561E-2</v>
      </c>
      <c r="G23" s="59">
        <f ca="1"/>
        <v>43893</v>
      </c>
      <c r="H23" s="69">
        <f ca="1"/>
        <v>111761755.39710701</v>
      </c>
      <c r="I23" s="69">
        <f ca="1"/>
        <v>0</v>
      </c>
      <c r="J23" s="65">
        <f ca="1"/>
        <v>1</v>
      </c>
      <c r="K23" s="65">
        <f ca="1"/>
        <v>0</v>
      </c>
      <c r="L23" s="73">
        <f ca="1"/>
        <v>1.7546644230869567E-2</v>
      </c>
      <c r="M23" s="59">
        <f ca="1"/>
        <v>157972.96960151277</v>
      </c>
      <c r="N23" s="81">
        <f ca="1"/>
        <v>0.99312731183463565</v>
      </c>
      <c r="O23" s="69">
        <f ca="1"/>
        <v>156887.27064288498</v>
      </c>
      <c r="P23" s="60" t="e">
        <f ca="1"/>
        <v>#N/A</v>
      </c>
    </row>
    <row r="24" spans="2:16">
      <c r="B24" s="58">
        <f ca="1"/>
        <v>43888</v>
      </c>
      <c r="C24" s="59">
        <f ca="1"/>
        <v>43890</v>
      </c>
      <c r="D24" s="59">
        <f ca="1"/>
        <v>43921</v>
      </c>
      <c r="E24" s="69">
        <f ca="1"/>
        <v>31</v>
      </c>
      <c r="F24" s="77">
        <f ca="1"/>
        <v>8.611111111111111E-2</v>
      </c>
      <c r="G24" s="59">
        <f ca="1"/>
        <v>43923</v>
      </c>
      <c r="H24" s="69">
        <f ca="1"/>
        <v>133484419.987</v>
      </c>
      <c r="I24" s="69">
        <f ca="1"/>
        <v>0</v>
      </c>
      <c r="J24" s="65">
        <f ca="1"/>
        <v>1</v>
      </c>
      <c r="K24" s="65">
        <f ca="1"/>
        <v>0</v>
      </c>
      <c r="L24" s="73">
        <f ca="1"/>
        <v>1.6758120475595915E-2</v>
      </c>
      <c r="M24" s="59">
        <f ca="1"/>
        <v>192626.07706798019</v>
      </c>
      <c r="N24" s="81">
        <f ca="1"/>
        <v>0.99201449855930512</v>
      </c>
      <c r="O24" s="69">
        <f ca="1"/>
        <v>191087.86125203845</v>
      </c>
      <c r="P24" s="60" t="e">
        <f ca="1"/>
        <v>#N/A</v>
      </c>
    </row>
    <row r="25" spans="2:16">
      <c r="B25" s="58">
        <f ca="1"/>
        <v>43917</v>
      </c>
      <c r="C25" s="59">
        <f ca="1"/>
        <v>43921</v>
      </c>
      <c r="D25" s="59">
        <f ca="1"/>
        <v>43951</v>
      </c>
      <c r="E25" s="69">
        <f ca="1"/>
        <v>30</v>
      </c>
      <c r="F25" s="77">
        <f ca="1"/>
        <v>8.3333333333333329E-2</v>
      </c>
      <c r="G25" s="59">
        <f ca="1"/>
        <v>43955</v>
      </c>
      <c r="H25" s="69">
        <f ca="1"/>
        <v>159451913.887301</v>
      </c>
      <c r="I25" s="69">
        <f ca="1"/>
        <v>0</v>
      </c>
      <c r="J25" s="65">
        <f ca="1"/>
        <v>1</v>
      </c>
      <c r="K25" s="65">
        <f ca="1"/>
        <v>0</v>
      </c>
      <c r="L25" s="73">
        <f ca="1"/>
        <v>1.6099387401958147E-2</v>
      </c>
      <c r="M25" s="59">
        <f ca="1"/>
        <v>213923.17780461072</v>
      </c>
      <c r="N25" s="81">
        <f ca="1"/>
        <v>0.99083252383395948</v>
      </c>
      <c r="O25" s="69">
        <f ca="1"/>
        <v>211962.04217072329</v>
      </c>
      <c r="P25" s="60" t="e">
        <f ca="1"/>
        <v>#N/A</v>
      </c>
    </row>
    <row r="26" spans="2:16">
      <c r="B26" s="58">
        <f ca="1"/>
        <v>43949</v>
      </c>
      <c r="C26" s="59">
        <f ca="1"/>
        <v>43951</v>
      </c>
      <c r="D26" s="59">
        <f ca="1"/>
        <v>43982</v>
      </c>
      <c r="E26" s="69">
        <f ca="1"/>
        <v>31</v>
      </c>
      <c r="F26" s="77">
        <f ca="1"/>
        <v>8.611111111111111E-2</v>
      </c>
      <c r="G26" s="59">
        <f ca="1"/>
        <v>43984</v>
      </c>
      <c r="H26" s="69">
        <f ca="1"/>
        <v>179260013.000211</v>
      </c>
      <c r="I26" s="69">
        <f ca="1"/>
        <v>0</v>
      </c>
      <c r="J26" s="65">
        <f ca="1"/>
        <v>1</v>
      </c>
      <c r="K26" s="65">
        <f ca="1"/>
        <v>0</v>
      </c>
      <c r="L26" s="73">
        <f ca="1"/>
        <v>1.571837294578057E-2</v>
      </c>
      <c r="M26" s="59">
        <f ca="1"/>
        <v>242633.18860190688</v>
      </c>
      <c r="N26" s="81">
        <f ca="1"/>
        <v>0.98976439261678306</v>
      </c>
      <c r="O26" s="69">
        <f ca="1"/>
        <v>240149.69054523972</v>
      </c>
      <c r="P26" s="60" t="e">
        <f ca="1"/>
        <v>#N/A</v>
      </c>
    </row>
    <row r="27" spans="2:16">
      <c r="B27" s="58">
        <f ca="1"/>
        <v>43979</v>
      </c>
      <c r="C27" s="59">
        <f ca="1"/>
        <v>43982</v>
      </c>
      <c r="D27" s="59">
        <f ca="1"/>
        <v>44012</v>
      </c>
      <c r="E27" s="69">
        <f ca="1"/>
        <v>30</v>
      </c>
      <c r="F27" s="77">
        <f ca="1"/>
        <v>8.3333333333333329E-2</v>
      </c>
      <c r="G27" s="59">
        <f ca="1"/>
        <v>44014</v>
      </c>
      <c r="H27" s="69">
        <f ca="1"/>
        <v>204391717.56760499</v>
      </c>
      <c r="I27" s="69">
        <f ca="1"/>
        <v>0</v>
      </c>
      <c r="J27" s="65">
        <f ca="1"/>
        <v>1</v>
      </c>
      <c r="K27" s="65">
        <f ca="1"/>
        <v>0</v>
      </c>
      <c r="L27" s="73">
        <f ca="1"/>
        <v>1.5363848883266574E-2</v>
      </c>
      <c r="M27" s="59">
        <f ca="1"/>
        <v>261686.95514166541</v>
      </c>
      <c r="N27" s="81">
        <f ca="1"/>
        <v>0.98868066437141633</v>
      </c>
      <c r="O27" s="69">
        <f ca="1"/>
        <v>258724.83266679477</v>
      </c>
      <c r="P27" s="60" t="e">
        <f ca="1"/>
        <v>#N/A</v>
      </c>
    </row>
    <row r="28" spans="2:16">
      <c r="B28" s="58">
        <f ca="1"/>
        <v>44008</v>
      </c>
      <c r="C28" s="59">
        <f ca="1"/>
        <v>44012</v>
      </c>
      <c r="D28" s="59">
        <f ca="1"/>
        <v>44043</v>
      </c>
      <c r="E28" s="69">
        <f ca="1"/>
        <v>31</v>
      </c>
      <c r="F28" s="77">
        <f ca="1"/>
        <v>8.611111111111111E-2</v>
      </c>
      <c r="G28" s="59">
        <f ca="1"/>
        <v>44047</v>
      </c>
      <c r="H28" s="69">
        <f ca="1"/>
        <v>227811896.605591</v>
      </c>
      <c r="I28" s="69">
        <f ca="1"/>
        <v>0</v>
      </c>
      <c r="J28" s="65">
        <f ca="1"/>
        <v>1</v>
      </c>
      <c r="K28" s="65">
        <f ca="1"/>
        <v>0</v>
      </c>
      <c r="L28" s="73">
        <f ca="1"/>
        <v>1.5054079765663336E-2</v>
      </c>
      <c r="M28" s="59">
        <f ca="1"/>
        <v>295317.9232086002</v>
      </c>
      <c r="N28" s="81">
        <f ca="1"/>
        <v>0.9875286378348862</v>
      </c>
      <c r="O28" s="69">
        <f ca="1"/>
        <v>291634.90643441648</v>
      </c>
      <c r="P28" s="60" t="e">
        <f ca="1"/>
        <v>#N/A</v>
      </c>
    </row>
    <row r="29" spans="2:16">
      <c r="B29" s="58">
        <f ca="1"/>
        <v>44041</v>
      </c>
      <c r="C29" s="59">
        <f ca="1"/>
        <v>44043</v>
      </c>
      <c r="D29" s="59">
        <f ca="1"/>
        <v>44074</v>
      </c>
      <c r="E29" s="69">
        <f ca="1"/>
        <v>31</v>
      </c>
      <c r="F29" s="77">
        <f ca="1"/>
        <v>8.611111111111111E-2</v>
      </c>
      <c r="G29" s="59">
        <f ca="1"/>
        <v>44076</v>
      </c>
      <c r="H29" s="69">
        <f ca="1"/>
        <v>254133953.70030099</v>
      </c>
      <c r="I29" s="69">
        <f ca="1"/>
        <v>0</v>
      </c>
      <c r="J29" s="65">
        <f ca="1"/>
        <v>1</v>
      </c>
      <c r="K29" s="65">
        <f ca="1"/>
        <v>0</v>
      </c>
      <c r="L29" s="73">
        <f ca="1"/>
        <v>1.4801026922457093E-2</v>
      </c>
      <c r="M29" s="59">
        <f ca="1"/>
        <v>323902.07835968671</v>
      </c>
      <c r="N29" s="81">
        <f ca="1"/>
        <v>0.98654773917020355</v>
      </c>
      <c r="O29" s="69">
        <f ca="1"/>
        <v>319544.86311827903</v>
      </c>
      <c r="P29" s="60" t="e">
        <f ca="1"/>
        <v>#N/A</v>
      </c>
    </row>
    <row r="30" spans="2:16">
      <c r="B30" s="58">
        <f ca="1"/>
        <v>44070</v>
      </c>
      <c r="C30" s="59">
        <f ca="1"/>
        <v>44074</v>
      </c>
      <c r="D30" s="59">
        <f ca="1"/>
        <v>44104</v>
      </c>
      <c r="E30" s="69">
        <f ca="1"/>
        <v>30</v>
      </c>
      <c r="F30" s="77">
        <f ca="1"/>
        <v>8.3333333333333329E-2</v>
      </c>
      <c r="G30" s="59">
        <f ca="1"/>
        <v>44106</v>
      </c>
      <c r="H30" s="69">
        <f ca="1"/>
        <v>279791364.50182098</v>
      </c>
      <c r="I30" s="69">
        <f ca="1"/>
        <v>0</v>
      </c>
      <c r="J30" s="65">
        <f ca="1"/>
        <v>1</v>
      </c>
      <c r="K30" s="65">
        <f ca="1"/>
        <v>0</v>
      </c>
      <c r="L30" s="73">
        <f ca="1"/>
        <v>1.4580605075959253E-2</v>
      </c>
      <c r="M30" s="59">
        <f ca="1"/>
        <v>339960.61578873469</v>
      </c>
      <c r="N30" s="81">
        <f ca="1"/>
        <v>0.98555778445066489</v>
      </c>
      <c r="O30" s="69">
        <f ca="1"/>
        <v>335050.8312972291</v>
      </c>
      <c r="P30" s="60" t="e">
        <f ca="1"/>
        <v>#N/A</v>
      </c>
    </row>
    <row r="31" spans="2:16">
      <c r="B31" s="58">
        <f ca="1"/>
        <v>44102</v>
      </c>
      <c r="C31" s="59">
        <f ca="1"/>
        <v>44104</v>
      </c>
      <c r="D31" s="59">
        <f ca="1"/>
        <v>44135</v>
      </c>
      <c r="E31" s="69">
        <f ca="1"/>
        <v>31</v>
      </c>
      <c r="F31" s="77">
        <f ca="1"/>
        <v>8.611111111111111E-2</v>
      </c>
      <c r="G31" s="59">
        <f ca="1"/>
        <v>44138</v>
      </c>
      <c r="H31" s="69">
        <f ca="1"/>
        <v>303411844.66305703</v>
      </c>
      <c r="I31" s="69">
        <f ca="1"/>
        <v>0</v>
      </c>
      <c r="J31" s="65">
        <f ca="1"/>
        <v>1</v>
      </c>
      <c r="K31" s="65">
        <f ca="1"/>
        <v>0</v>
      </c>
      <c r="L31" s="73">
        <f ca="1"/>
        <v>1.4407393997747478E-2</v>
      </c>
      <c r="M31" s="59">
        <f ca="1"/>
        <v>376423.8713304571</v>
      </c>
      <c r="N31" s="81">
        <f ca="1"/>
        <v>0.98452322875167853</v>
      </c>
      <c r="O31" s="69">
        <f ca="1"/>
        <v>370598.04518146801</v>
      </c>
      <c r="P31" s="60" t="e">
        <f ca="1"/>
        <v>#N/A</v>
      </c>
    </row>
    <row r="32" spans="2:16">
      <c r="B32" s="58">
        <f ca="1"/>
        <v>44133</v>
      </c>
      <c r="C32" s="59">
        <f ca="1"/>
        <v>44135</v>
      </c>
      <c r="D32" s="59">
        <f ca="1"/>
        <v>44165</v>
      </c>
      <c r="E32" s="69">
        <f ca="1"/>
        <v>30</v>
      </c>
      <c r="F32" s="77">
        <f ca="1"/>
        <v>8.3333333333333329E-2</v>
      </c>
      <c r="G32" s="59">
        <f ca="1"/>
        <v>44167</v>
      </c>
      <c r="H32" s="69">
        <f ca="1"/>
        <v>327137287.343391</v>
      </c>
      <c r="I32" s="69">
        <f ca="1"/>
        <v>0</v>
      </c>
      <c r="J32" s="65">
        <f ca="1"/>
        <v>1</v>
      </c>
      <c r="K32" s="65">
        <f ca="1"/>
        <v>0</v>
      </c>
      <c r="L32" s="73">
        <f ca="1"/>
        <v>1.4352638671120826E-2</v>
      </c>
      <c r="M32" s="59">
        <f ca="1"/>
        <v>391273.60675752658</v>
      </c>
      <c r="N32" s="81">
        <f ca="1"/>
        <v>0.9836005099756121</v>
      </c>
      <c r="O32" s="69">
        <f ca="1"/>
        <v>384856.91914670024</v>
      </c>
      <c r="P32" s="60" t="e">
        <f ca="1"/>
        <v>#N/A</v>
      </c>
    </row>
    <row r="33" spans="2:16">
      <c r="B33" s="58">
        <f ca="1"/>
        <v>44160</v>
      </c>
      <c r="C33" s="59">
        <f ca="1"/>
        <v>44165</v>
      </c>
      <c r="D33" s="59">
        <f ca="1"/>
        <v>44196</v>
      </c>
      <c r="E33" s="69">
        <f ca="1"/>
        <v>31</v>
      </c>
      <c r="F33" s="77">
        <f ca="1"/>
        <v>8.611111111111111E-2</v>
      </c>
      <c r="G33" s="59">
        <f ca="1"/>
        <v>44201</v>
      </c>
      <c r="H33" s="69">
        <f ca="1"/>
        <v>361931690.773785</v>
      </c>
      <c r="I33" s="69">
        <f ca="1"/>
        <v>0</v>
      </c>
      <c r="J33" s="65">
        <f ca="1"/>
        <v>1</v>
      </c>
      <c r="K33" s="65">
        <f ca="1"/>
        <v>0</v>
      </c>
      <c r="L33" s="73">
        <f ca="1"/>
        <v>1.430494861020901E-2</v>
      </c>
      <c r="M33" s="59">
        <f ca="1"/>
        <v>445832.89262410172</v>
      </c>
      <c r="N33" s="81">
        <f ca="1"/>
        <v>0.98253169978847754</v>
      </c>
      <c r="O33" s="69">
        <f ca="1"/>
        <v>438044.94981157244</v>
      </c>
      <c r="P33" s="60" t="e">
        <f ca="1"/>
        <v>#N/A</v>
      </c>
    </row>
    <row r="34" spans="2:16">
      <c r="B34" s="58">
        <f ca="1"/>
        <v>44194</v>
      </c>
      <c r="C34" s="59">
        <f ca="1"/>
        <v>44196</v>
      </c>
      <c r="D34" s="59">
        <f ca="1"/>
        <v>44227</v>
      </c>
      <c r="E34" s="69">
        <f ca="1"/>
        <v>31</v>
      </c>
      <c r="F34" s="77">
        <f ca="1"/>
        <v>8.611111111111111E-2</v>
      </c>
      <c r="G34" s="59">
        <f ca="1"/>
        <v>44229</v>
      </c>
      <c r="H34" s="69">
        <f ca="1"/>
        <v>398220793.09712797</v>
      </c>
      <c r="I34" s="69">
        <f ca="1"/>
        <v>0</v>
      </c>
      <c r="J34" s="65">
        <f ca="1"/>
        <v>1</v>
      </c>
      <c r="K34" s="65">
        <f ca="1"/>
        <v>0</v>
      </c>
      <c r="L34" s="73">
        <f ca="1"/>
        <v>1.4150590266885083E-2</v>
      </c>
      <c r="M34" s="59">
        <f ca="1"/>
        <v>485241.21568059945</v>
      </c>
      <c r="N34" s="81">
        <f ca="1"/>
        <v>0.98165886598628971</v>
      </c>
      <c r="O34" s="69">
        <f ca="1"/>
        <v>476341.34151482588</v>
      </c>
      <c r="P34" s="60" t="e">
        <f ca="1"/>
        <v>#N/A</v>
      </c>
    </row>
    <row r="35" spans="2:16">
      <c r="B35" s="58">
        <f ca="1"/>
        <v>44224</v>
      </c>
      <c r="C35" s="59">
        <f ca="1"/>
        <v>44227</v>
      </c>
      <c r="D35" s="59">
        <f ca="1"/>
        <v>44255</v>
      </c>
      <c r="E35" s="69">
        <f ca="1"/>
        <v>28</v>
      </c>
      <c r="F35" s="77">
        <f ca="1"/>
        <v>7.7777777777777779E-2</v>
      </c>
      <c r="G35" s="59">
        <f ca="1"/>
        <v>44257</v>
      </c>
      <c r="H35" s="69">
        <f ca="1"/>
        <v>429121675.288109</v>
      </c>
      <c r="I35" s="69">
        <f ca="1"/>
        <v>0</v>
      </c>
      <c r="J35" s="65">
        <f ca="1"/>
        <v>1</v>
      </c>
      <c r="K35" s="65">
        <f ca="1"/>
        <v>0</v>
      </c>
      <c r="L35" s="73">
        <f ca="1"/>
        <v>1.3860607925388801E-2</v>
      </c>
      <c r="M35" s="59">
        <f ca="1"/>
        <v>462613.45615757094</v>
      </c>
      <c r="N35" s="81">
        <f ca="1"/>
        <v>0.98079147350423357</v>
      </c>
      <c r="O35" s="69">
        <f ca="1"/>
        <v>453727.33332767017</v>
      </c>
      <c r="P35" s="60" t="e">
        <f ca="1"/>
        <v>#N/A</v>
      </c>
    </row>
    <row r="36" spans="2:16">
      <c r="B36" s="58">
        <f ca="1"/>
        <v>44252</v>
      </c>
      <c r="C36" s="59">
        <f ca="1"/>
        <v>44255</v>
      </c>
      <c r="D36" s="59">
        <f ca="1"/>
        <v>44286</v>
      </c>
      <c r="E36" s="69">
        <f ca="1"/>
        <v>31</v>
      </c>
      <c r="F36" s="77">
        <f ca="1"/>
        <v>8.611111111111111E-2</v>
      </c>
      <c r="G36" s="59">
        <f ca="1"/>
        <v>44288</v>
      </c>
      <c r="H36" s="69">
        <f ca="1"/>
        <v>453674775.886199</v>
      </c>
      <c r="I36" s="69">
        <f ca="1"/>
        <v>0</v>
      </c>
      <c r="J36" s="65">
        <f ca="1"/>
        <v>1</v>
      </c>
      <c r="K36" s="65">
        <f ca="1"/>
        <v>0</v>
      </c>
      <c r="L36" s="73">
        <f ca="1"/>
        <v>1.3589334391594841E-2</v>
      </c>
      <c r="M36" s="59">
        <f ca="1"/>
        <v>530886.90353064332</v>
      </c>
      <c r="N36" s="81">
        <f ca="1"/>
        <v>0.97983646156263582</v>
      </c>
      <c r="O36" s="69">
        <f ca="1"/>
        <v>520182.34504540992</v>
      </c>
      <c r="P36" s="60" t="e">
        <f ca="1"/>
        <v>#N/A</v>
      </c>
    </row>
    <row r="37" spans="2:16">
      <c r="B37" s="58">
        <f ca="1"/>
        <v>44284</v>
      </c>
      <c r="C37" s="59">
        <f ca="1"/>
        <v>44286</v>
      </c>
      <c r="D37" s="59">
        <f ca="1"/>
        <v>44316</v>
      </c>
      <c r="E37" s="69">
        <f ca="1"/>
        <v>30</v>
      </c>
      <c r="F37" s="77">
        <f ca="1"/>
        <v>8.3333333333333329E-2</v>
      </c>
      <c r="G37" s="59">
        <f ca="1"/>
        <v>44320</v>
      </c>
      <c r="H37" s="69">
        <f ca="1"/>
        <v>476387760.49608898</v>
      </c>
      <c r="I37" s="69">
        <f ca="1"/>
        <v>0</v>
      </c>
      <c r="J37" s="65">
        <f ca="1"/>
        <v>1</v>
      </c>
      <c r="K37" s="65">
        <f ca="1"/>
        <v>0</v>
      </c>
      <c r="L37" s="73">
        <f ca="1"/>
        <v>1.3370008834202821E-2</v>
      </c>
      <c r="M37" s="59">
        <f ca="1"/>
        <v>530775.7138615672</v>
      </c>
      <c r="N37" s="81">
        <f ca="1"/>
        <v>0.97885537213851281</v>
      </c>
      <c r="O37" s="69">
        <f ca="1"/>
        <v>519552.65891404916</v>
      </c>
      <c r="P37" s="60" t="e">
        <f ca="1"/>
        <v>#N/A</v>
      </c>
    </row>
    <row r="38" spans="2:16">
      <c r="B38" s="58">
        <f ca="1"/>
        <v>44314</v>
      </c>
      <c r="C38" s="59">
        <f ca="1"/>
        <v>44316</v>
      </c>
      <c r="D38" s="59">
        <f ca="1"/>
        <v>44347</v>
      </c>
      <c r="E38" s="69">
        <f ca="1"/>
        <v>31</v>
      </c>
      <c r="F38" s="77">
        <f ca="1"/>
        <v>8.611111111111111E-2</v>
      </c>
      <c r="G38" s="59">
        <f ca="1"/>
        <v>44349</v>
      </c>
      <c r="H38" s="69">
        <f ca="1"/>
        <v>495683115.24717599</v>
      </c>
      <c r="I38" s="69">
        <f ca="1"/>
        <v>0</v>
      </c>
      <c r="J38" s="65">
        <f ca="1"/>
        <v>1</v>
      </c>
      <c r="K38" s="65">
        <f ca="1"/>
        <v>0</v>
      </c>
      <c r="L38" s="73">
        <f ca="1"/>
        <v>1.3309919531903433E-2</v>
      </c>
      <c r="M38" s="59">
        <f ca="1"/>
        <v>568118.26026432484</v>
      </c>
      <c r="N38" s="81">
        <f ca="1"/>
        <v>0.97796955441266531</v>
      </c>
      <c r="O38" s="69">
        <f ca="1"/>
        <v>555602.36184440041</v>
      </c>
      <c r="P38" s="60" t="e">
        <f ca="1"/>
        <v>#N/A</v>
      </c>
    </row>
    <row r="39" spans="2:16">
      <c r="B39" s="58">
        <f ca="1"/>
        <v>44343</v>
      </c>
      <c r="C39" s="59">
        <f ca="1"/>
        <v>44347</v>
      </c>
      <c r="D39" s="59">
        <f ca="1"/>
        <v>44377</v>
      </c>
      <c r="E39" s="69">
        <f ca="1"/>
        <v>30</v>
      </c>
      <c r="F39" s="77">
        <f ca="1"/>
        <v>8.3333333333333329E-2</v>
      </c>
      <c r="G39" s="59">
        <f ca="1"/>
        <v>44379</v>
      </c>
      <c r="H39" s="69">
        <f ca="1"/>
        <v>513413931.44686902</v>
      </c>
      <c r="I39" s="69">
        <f ca="1"/>
        <v>0</v>
      </c>
      <c r="J39" s="65">
        <f ca="1"/>
        <v>1</v>
      </c>
      <c r="K39" s="65">
        <f ca="1"/>
        <v>0</v>
      </c>
      <c r="L39" s="73">
        <f ca="1"/>
        <v>1.3251960125232311E-2</v>
      </c>
      <c r="M39" s="59">
        <f ca="1"/>
        <v>566978.41227272188</v>
      </c>
      <c r="N39" s="81">
        <f ca="1"/>
        <v>0.97705566871332306</v>
      </c>
      <c r="O39" s="69">
        <f ca="1"/>
        <v>553969.47174914239</v>
      </c>
      <c r="P39" s="60" t="e">
        <f ca="1"/>
        <v>#N/A</v>
      </c>
    </row>
    <row r="40" spans="2:16">
      <c r="B40" s="58">
        <f ca="1"/>
        <v>44375</v>
      </c>
      <c r="C40" s="59">
        <f ca="1"/>
        <v>44377</v>
      </c>
      <c r="D40" s="59">
        <f ca="1"/>
        <v>44408</v>
      </c>
      <c r="E40" s="69">
        <f ca="1"/>
        <v>31</v>
      </c>
      <c r="F40" s="77">
        <f ca="1"/>
        <v>8.611111111111111E-2</v>
      </c>
      <c r="G40" s="59">
        <f ca="1"/>
        <v>44411</v>
      </c>
      <c r="H40" s="69">
        <f ca="1"/>
        <v>523825101.57745397</v>
      </c>
      <c r="I40" s="69">
        <f ca="1"/>
        <v>0</v>
      </c>
      <c r="J40" s="65">
        <f ca="1"/>
        <v>1</v>
      </c>
      <c r="K40" s="65">
        <f ca="1"/>
        <v>0</v>
      </c>
      <c r="L40" s="73">
        <f ca="1"/>
        <v>1.3180345051809107E-2</v>
      </c>
      <c r="M40" s="59">
        <f ca="1"/>
        <v>594527.95320356591</v>
      </c>
      <c r="N40" s="81">
        <f ca="1"/>
        <v>0.97608295600201034</v>
      </c>
      <c r="O40" s="69">
        <f ca="1"/>
        <v>580308.60198876145</v>
      </c>
      <c r="P40" s="60" t="e">
        <f ca="1"/>
        <v>#N/A</v>
      </c>
    </row>
    <row r="41" spans="2:16">
      <c r="B41" s="58">
        <f ca="1"/>
        <v>44406</v>
      </c>
      <c r="C41" s="59">
        <f ca="1"/>
        <v>44408</v>
      </c>
      <c r="D41" s="59">
        <f ca="1"/>
        <v>44439</v>
      </c>
      <c r="E41" s="69">
        <f ca="1"/>
        <v>31</v>
      </c>
      <c r="F41" s="77">
        <f ca="1"/>
        <v>8.611111111111111E-2</v>
      </c>
      <c r="G41" s="59">
        <f ca="1"/>
        <v>44441</v>
      </c>
      <c r="H41" s="69">
        <f ca="1"/>
        <v>534693428.75084698</v>
      </c>
      <c r="I41" s="69">
        <f ca="1"/>
        <v>0</v>
      </c>
      <c r="J41" s="65">
        <f ca="1"/>
        <v>1</v>
      </c>
      <c r="K41" s="65">
        <f ca="1"/>
        <v>0</v>
      </c>
      <c r="L41" s="73">
        <f ca="1"/>
        <v>1.3112524321437367E-2</v>
      </c>
      <c r="M41" s="59">
        <f ca="1"/>
        <v>603740.5507201521</v>
      </c>
      <c r="N41" s="81">
        <f ca="1"/>
        <v>0.97517304568858021</v>
      </c>
      <c r="O41" s="69">
        <f ca="1"/>
        <v>588751.51165147149</v>
      </c>
      <c r="P41" s="60" t="e">
        <f ca="1"/>
        <v>#N/A</v>
      </c>
    </row>
    <row r="42" spans="2:16">
      <c r="B42" s="58">
        <f ca="1"/>
        <v>44435</v>
      </c>
      <c r="C42" s="59">
        <f ca="1"/>
        <v>44439</v>
      </c>
      <c r="D42" s="59">
        <f ca="1"/>
        <v>44469</v>
      </c>
      <c r="E42" s="69">
        <f ca="1"/>
        <v>30</v>
      </c>
      <c r="F42" s="77">
        <f ca="1"/>
        <v>8.3333333333333329E-2</v>
      </c>
      <c r="G42" s="59">
        <f ca="1"/>
        <v>44473</v>
      </c>
      <c r="H42" s="69">
        <f ca="1"/>
        <v>544897183.26347399</v>
      </c>
      <c r="I42" s="69">
        <f ca="1"/>
        <v>0</v>
      </c>
      <c r="J42" s="65">
        <f ca="1"/>
        <v>1</v>
      </c>
      <c r="K42" s="65">
        <f ca="1"/>
        <v>0</v>
      </c>
      <c r="L42" s="73">
        <f ca="1"/>
        <v>1.3049977435869366E-2</v>
      </c>
      <c r="M42" s="59">
        <f ca="1"/>
        <v>592574.6622047592</v>
      </c>
      <c r="N42" s="81">
        <f ca="1"/>
        <v>0.97420480610678539</v>
      </c>
      <c r="O42" s="69">
        <f ca="1"/>
        <v>577289.08389698132</v>
      </c>
      <c r="P42" s="60" t="e">
        <f ca="1"/>
        <v>#N/A</v>
      </c>
    </row>
    <row r="43" spans="2:16">
      <c r="B43" s="58">
        <f ca="1"/>
        <v>44467</v>
      </c>
      <c r="C43" s="59">
        <f ca="1"/>
        <v>44469</v>
      </c>
      <c r="D43" s="59">
        <f ca="1"/>
        <v>44500</v>
      </c>
      <c r="E43" s="69">
        <f ca="1"/>
        <v>31</v>
      </c>
      <c r="F43" s="77">
        <f ca="1"/>
        <v>8.611111111111111E-2</v>
      </c>
      <c r="G43" s="59">
        <f ca="1"/>
        <v>44502</v>
      </c>
      <c r="H43" s="69">
        <f ca="1"/>
        <v>554939311.31454694</v>
      </c>
      <c r="I43" s="69">
        <f ca="1"/>
        <v>0</v>
      </c>
      <c r="J43" s="65">
        <f ca="1"/>
        <v>1</v>
      </c>
      <c r="K43" s="65">
        <f ca="1"/>
        <v>0</v>
      </c>
      <c r="L43" s="73">
        <f ca="1"/>
        <v>1.3035792082710924E-2</v>
      </c>
      <c r="M43" s="59">
        <f ca="1"/>
        <v>622934.10529276647</v>
      </c>
      <c r="N43" s="81">
        <f ca="1"/>
        <v>0.97332943858288679</v>
      </c>
      <c r="O43" s="69">
        <f ca="1"/>
        <v>606320.10297874128</v>
      </c>
      <c r="P43" s="60" t="e">
        <f ca="1"/>
        <v>#N/A</v>
      </c>
    </row>
    <row r="44" spans="2:16">
      <c r="B44" s="58">
        <f ca="1"/>
        <v>44497</v>
      </c>
      <c r="C44" s="59">
        <f ca="1"/>
        <v>44500</v>
      </c>
      <c r="D44" s="59">
        <f ca="1"/>
        <v>44530</v>
      </c>
      <c r="E44" s="69">
        <f ca="1"/>
        <v>30</v>
      </c>
      <c r="F44" s="77">
        <f ca="1"/>
        <v>8.3333333333333329E-2</v>
      </c>
      <c r="G44" s="59">
        <f ca="1"/>
        <v>44532</v>
      </c>
      <c r="H44" s="69">
        <f ca="1"/>
        <v>564862376.15980399</v>
      </c>
      <c r="I44" s="69">
        <f ca="1"/>
        <v>0</v>
      </c>
      <c r="J44" s="65">
        <f ca="1"/>
        <v>1</v>
      </c>
      <c r="K44" s="65">
        <f ca="1"/>
        <v>0</v>
      </c>
      <c r="L44" s="73">
        <f ca="1"/>
        <v>1.30976505580341E-2</v>
      </c>
      <c r="M44" s="59">
        <f ca="1"/>
        <v>616530.83469349367</v>
      </c>
      <c r="N44" s="81">
        <f ca="1"/>
        <v>0.97242558570893967</v>
      </c>
      <c r="O44" s="69">
        <f ca="1"/>
        <v>599530.35803444206</v>
      </c>
      <c r="P44" s="60" t="e">
        <f ca="1"/>
        <v>#N/A</v>
      </c>
    </row>
    <row r="45" spans="2:16">
      <c r="B45" s="58">
        <f ca="1"/>
        <v>44526</v>
      </c>
      <c r="C45" s="59">
        <f ca="1"/>
        <v>44530</v>
      </c>
      <c r="D45" s="59">
        <f ca="1"/>
        <v>44561</v>
      </c>
      <c r="E45" s="69">
        <f ca="1"/>
        <v>31</v>
      </c>
      <c r="F45" s="77">
        <f ca="1"/>
        <v>8.611111111111111E-2</v>
      </c>
      <c r="G45" s="59">
        <f ca="1"/>
        <v>44565</v>
      </c>
      <c r="H45" s="69">
        <f ca="1"/>
        <v>574814891.78148699</v>
      </c>
      <c r="I45" s="69">
        <f ca="1"/>
        <v>0</v>
      </c>
      <c r="J45" s="65">
        <f ca="1"/>
        <v>1</v>
      </c>
      <c r="K45" s="65">
        <f ca="1"/>
        <v>0</v>
      </c>
      <c r="L45" s="73">
        <f ca="1"/>
        <v>1.316483083661288E-2</v>
      </c>
      <c r="M45" s="59">
        <f ca="1"/>
        <v>651632.12553540466</v>
      </c>
      <c r="N45" s="81">
        <f ca="1"/>
        <v>0.97143277331385602</v>
      </c>
      <c r="O45" s="69">
        <f ca="1"/>
        <v>633016.80288926093</v>
      </c>
      <c r="P45" s="60" t="e">
        <f ca="1"/>
        <v>#N/A</v>
      </c>
    </row>
    <row r="46" spans="2:16">
      <c r="B46" s="58">
        <f ca="1"/>
        <v>44559</v>
      </c>
      <c r="C46" s="59">
        <f ca="1"/>
        <v>44561</v>
      </c>
      <c r="D46" s="59">
        <f ca="1"/>
        <v>44592</v>
      </c>
      <c r="E46" s="69">
        <f ca="1"/>
        <v>31</v>
      </c>
      <c r="F46" s="77">
        <f ca="1"/>
        <v>8.611111111111111E-2</v>
      </c>
      <c r="G46" s="59">
        <f ca="1"/>
        <v>44594</v>
      </c>
      <c r="H46" s="69">
        <f ca="1"/>
        <v>584794262.49859405</v>
      </c>
      <c r="I46" s="69">
        <f ca="1"/>
        <v>0</v>
      </c>
      <c r="J46" s="65">
        <f ca="1"/>
        <v>1</v>
      </c>
      <c r="K46" s="65">
        <f ca="1"/>
        <v>0</v>
      </c>
      <c r="L46" s="73">
        <f ca="1"/>
        <v>1.3242032125264334E-2</v>
      </c>
      <c r="M46" s="59">
        <f ca="1"/>
        <v>666832.76869715564</v>
      </c>
      <c r="N46" s="81">
        <f ca="1"/>
        <v>0.97056109009607439</v>
      </c>
      <c r="O46" s="69">
        <f ca="1"/>
        <v>647201.93889849482</v>
      </c>
      <c r="P46" s="60" t="e">
        <f ca="1"/>
        <v>#N/A</v>
      </c>
    </row>
    <row r="47" spans="2:16">
      <c r="B47" s="58">
        <f ca="1"/>
        <v>44588</v>
      </c>
      <c r="C47" s="59">
        <f ca="1"/>
        <v>44592</v>
      </c>
      <c r="D47" s="59">
        <f ca="1"/>
        <v>44620</v>
      </c>
      <c r="E47" s="69">
        <f ca="1"/>
        <v>28</v>
      </c>
      <c r="F47" s="77">
        <f ca="1"/>
        <v>7.7777777777777779E-2</v>
      </c>
      <c r="G47" s="59">
        <f ca="1"/>
        <v>44622</v>
      </c>
      <c r="H47" s="69">
        <f ca="1"/>
        <v>593449071.47527802</v>
      </c>
      <c r="I47" s="69">
        <f ca="1"/>
        <v>0</v>
      </c>
      <c r="J47" s="65">
        <f ca="1"/>
        <v>1</v>
      </c>
      <c r="K47" s="65">
        <f ca="1"/>
        <v>0</v>
      </c>
      <c r="L47" s="73">
        <f ca="1"/>
        <v>1.3304428188381241E-2</v>
      </c>
      <c r="M47" s="59">
        <f ca="1"/>
        <v>614094.48760367266</v>
      </c>
      <c r="N47" s="81">
        <f ca="1"/>
        <v>0.96971989480487186</v>
      </c>
      <c r="O47" s="69">
        <f ca="1"/>
        <v>595499.64191928518</v>
      </c>
      <c r="P47" s="60" t="e">
        <f ca="1"/>
        <v>#N/A</v>
      </c>
    </row>
    <row r="48" spans="2:16">
      <c r="B48" s="58">
        <f ca="1"/>
        <v>44616</v>
      </c>
      <c r="C48" s="59">
        <f ca="1"/>
        <v>44620</v>
      </c>
      <c r="D48" s="59">
        <f ca="1"/>
        <v>44651</v>
      </c>
      <c r="E48" s="69">
        <f ca="1"/>
        <v>31</v>
      </c>
      <c r="F48" s="77">
        <f ca="1"/>
        <v>8.611111111111111E-2</v>
      </c>
      <c r="G48" s="59">
        <f ca="1"/>
        <v>44655</v>
      </c>
      <c r="H48" s="69">
        <f ca="1"/>
        <v>602047677.94339001</v>
      </c>
      <c r="I48" s="69">
        <f ca="1"/>
        <v>0</v>
      </c>
      <c r="J48" s="65">
        <f ca="1"/>
        <v>1</v>
      </c>
      <c r="K48" s="65">
        <f ca="1"/>
        <v>0</v>
      </c>
      <c r="L48" s="73">
        <f ca="1"/>
        <v>1.3358305370903507E-2</v>
      </c>
      <c r="M48" s="59">
        <f ca="1"/>
        <v>692534.55173373967</v>
      </c>
      <c r="N48" s="81">
        <f ca="1"/>
        <v>0.96872871523679804</v>
      </c>
      <c r="O48" s="69">
        <f ca="1"/>
        <v>670878.10655811743</v>
      </c>
      <c r="P48" s="60" t="e">
        <f ca="1"/>
        <v>#N/A</v>
      </c>
    </row>
    <row r="49" spans="2:16">
      <c r="B49" s="58">
        <f ca="1"/>
        <v>44649</v>
      </c>
      <c r="C49" s="59">
        <f ca="1"/>
        <v>44651</v>
      </c>
      <c r="D49" s="59">
        <f ca="1"/>
        <v>44681</v>
      </c>
      <c r="E49" s="69">
        <f ca="1"/>
        <v>30</v>
      </c>
      <c r="F49" s="77">
        <f ca="1"/>
        <v>8.3333333333333329E-2</v>
      </c>
      <c r="G49" s="59">
        <f ca="1"/>
        <v>44684</v>
      </c>
      <c r="H49" s="69">
        <f ca="1"/>
        <v>610607243.64043295</v>
      </c>
      <c r="I49" s="69">
        <f ca="1"/>
        <v>0</v>
      </c>
      <c r="J49" s="65">
        <f ca="1"/>
        <v>1</v>
      </c>
      <c r="K49" s="65">
        <f ca="1"/>
        <v>0</v>
      </c>
      <c r="L49" s="73">
        <f ca="1"/>
        <v>1.3413421945855038E-2</v>
      </c>
      <c r="M49" s="59">
        <f ca="1"/>
        <v>682527.71684538643</v>
      </c>
      <c r="N49" s="81">
        <f ca="1"/>
        <v>0.96785765946584046</v>
      </c>
      <c r="O49" s="69">
        <f ca="1"/>
        <v>660589.67854653962</v>
      </c>
      <c r="P49" s="60" t="e">
        <f ca="1"/>
        <v>#N/A</v>
      </c>
    </row>
    <row r="50" spans="2:16">
      <c r="B50" s="58">
        <f ca="1"/>
        <v>44679</v>
      </c>
      <c r="C50" s="59">
        <f ca="1"/>
        <v>44681</v>
      </c>
      <c r="D50" s="59">
        <f ca="1"/>
        <v>44712</v>
      </c>
      <c r="E50" s="69">
        <f ca="1"/>
        <v>31</v>
      </c>
      <c r="F50" s="77">
        <f ca="1"/>
        <v>8.611111111111111E-2</v>
      </c>
      <c r="G50" s="59">
        <f ca="1"/>
        <v>44714</v>
      </c>
      <c r="H50" s="69">
        <f ca="1"/>
        <v>619113803.67591596</v>
      </c>
      <c r="I50" s="69">
        <f ca="1"/>
        <v>0</v>
      </c>
      <c r="J50" s="65">
        <f ca="1"/>
        <v>1</v>
      </c>
      <c r="K50" s="65">
        <f ca="1"/>
        <v>0</v>
      </c>
      <c r="L50" s="73">
        <f ca="1"/>
        <v>1.3455404832200511E-2</v>
      </c>
      <c r="M50" s="59">
        <f ca="1"/>
        <v>717342.31343208801</v>
      </c>
      <c r="N50" s="81">
        <f ca="1"/>
        <v>0.96695647325256751</v>
      </c>
      <c r="O50" s="69">
        <f ca="1"/>
        <v>693638.79351112968</v>
      </c>
      <c r="P50" s="60" t="e">
        <f ca="1"/>
        <v>#N/A</v>
      </c>
    </row>
    <row r="51" spans="2:16">
      <c r="B51" s="58">
        <f ca="1"/>
        <v>44707</v>
      </c>
      <c r="C51" s="59">
        <f ca="1"/>
        <v>44712</v>
      </c>
      <c r="D51" s="59">
        <f ca="1"/>
        <v>44742</v>
      </c>
      <c r="E51" s="69">
        <f ca="1"/>
        <v>30</v>
      </c>
      <c r="F51" s="77">
        <f ca="1"/>
        <v>8.3333333333333329E-2</v>
      </c>
      <c r="G51" s="59">
        <f ca="1"/>
        <v>44747</v>
      </c>
      <c r="H51" s="69">
        <f ca="1"/>
        <v>631460398.99807799</v>
      </c>
      <c r="I51" s="69">
        <f ca="1"/>
        <v>0</v>
      </c>
      <c r="J51" s="65">
        <f ca="1"/>
        <v>1</v>
      </c>
      <c r="K51" s="65">
        <f ca="1"/>
        <v>0</v>
      </c>
      <c r="L51" s="73">
        <f ca="1"/>
        <v>1.3487702799487564E-2</v>
      </c>
      <c r="M51" s="59">
        <f ca="1"/>
        <v>709745.84927765909</v>
      </c>
      <c r="N51" s="81">
        <f ca="1"/>
        <v>0.96596500187529954</v>
      </c>
      <c r="O51" s="69">
        <f ca="1"/>
        <v>685589.65062848001</v>
      </c>
      <c r="P51" s="60" t="e">
        <f ca="1"/>
        <v>#N/A</v>
      </c>
    </row>
    <row r="52" spans="2:16">
      <c r="B52" s="58">
        <f ca="1"/>
        <v>44740</v>
      </c>
      <c r="C52" s="59">
        <f ca="1"/>
        <v>44742</v>
      </c>
      <c r="D52" s="59">
        <f ca="1"/>
        <v>44773</v>
      </c>
      <c r="E52" s="69">
        <f ca="1"/>
        <v>31</v>
      </c>
      <c r="F52" s="77">
        <f ca="1"/>
        <v>8.611111111111111E-2</v>
      </c>
      <c r="G52" s="59">
        <f ca="1"/>
        <v>44775</v>
      </c>
      <c r="H52" s="69">
        <f ca="1"/>
        <v>647792221.70859003</v>
      </c>
      <c r="I52" s="69">
        <f ca="1"/>
        <v>0</v>
      </c>
      <c r="J52" s="65">
        <f ca="1"/>
        <v>1</v>
      </c>
      <c r="K52" s="65">
        <f ca="1"/>
        <v>0</v>
      </c>
      <c r="L52" s="73">
        <f ca="1"/>
        <v>1.3517472426522495E-2</v>
      </c>
      <c r="M52" s="59">
        <f ca="1"/>
        <v>754033.10651919455</v>
      </c>
      <c r="N52" s="81">
        <f ca="1"/>
        <v>0.96512362318847666</v>
      </c>
      <c r="O52" s="69">
        <f ca="1"/>
        <v>727735.16376786761</v>
      </c>
      <c r="P52" s="60" t="e">
        <f ca="1"/>
        <v>#N/A</v>
      </c>
    </row>
    <row r="53" spans="2:16">
      <c r="B53" s="58">
        <f ca="1"/>
        <v>44770</v>
      </c>
      <c r="C53" s="59">
        <f ca="1"/>
        <v>44773</v>
      </c>
      <c r="D53" s="59">
        <f ca="1"/>
        <v>44804</v>
      </c>
      <c r="E53" s="69">
        <f ca="1"/>
        <v>31</v>
      </c>
      <c r="F53" s="77">
        <f ca="1"/>
        <v>8.611111111111111E-2</v>
      </c>
      <c r="G53" s="59">
        <f ca="1"/>
        <v>44806</v>
      </c>
      <c r="H53" s="69">
        <f ca="1"/>
        <v>662227651.79661703</v>
      </c>
      <c r="I53" s="69">
        <f ca="1"/>
        <v>0</v>
      </c>
      <c r="J53" s="65">
        <f ca="1"/>
        <v>1</v>
      </c>
      <c r="K53" s="65">
        <f ca="1"/>
        <v>0</v>
      </c>
      <c r="L53" s="73">
        <f ca="1"/>
        <v>1.3537327164568014E-2</v>
      </c>
      <c r="M53" s="59">
        <f ca="1"/>
        <v>771968.23270452046</v>
      </c>
      <c r="N53" s="81">
        <f ca="1"/>
        <v>0.96419212571312063</v>
      </c>
      <c r="O53" s="69">
        <f ca="1"/>
        <v>744325.69127437251</v>
      </c>
      <c r="P53" s="60" t="e">
        <f ca="1"/>
        <v>#N/A</v>
      </c>
    </row>
    <row r="54" spans="2:16">
      <c r="B54" s="58">
        <f ca="1"/>
        <v>44802</v>
      </c>
      <c r="C54" s="59">
        <f ca="1"/>
        <v>44804</v>
      </c>
      <c r="D54" s="59">
        <f ca="1"/>
        <v>44834</v>
      </c>
      <c r="E54" s="69">
        <f ca="1"/>
        <v>30</v>
      </c>
      <c r="F54" s="77">
        <f ca="1"/>
        <v>8.3333333333333329E-2</v>
      </c>
      <c r="G54" s="59">
        <f ca="1"/>
        <v>44838</v>
      </c>
      <c r="H54" s="69">
        <f ca="1"/>
        <v>676427856.18484604</v>
      </c>
      <c r="I54" s="69">
        <f ca="1"/>
        <v>0</v>
      </c>
      <c r="J54" s="65">
        <f ca="1"/>
        <v>1</v>
      </c>
      <c r="K54" s="65">
        <f ca="1"/>
        <v>0</v>
      </c>
      <c r="L54" s="73">
        <f ca="1"/>
        <v>1.3553574229572235E-2</v>
      </c>
      <c r="M54" s="59">
        <f ca="1"/>
        <v>764001.26331264351</v>
      </c>
      <c r="N54" s="81">
        <f ca="1"/>
        <v>0.96323082721321418</v>
      </c>
      <c r="O54" s="69">
        <f ca="1"/>
        <v>735909.56885257829</v>
      </c>
      <c r="P54" s="60" t="e">
        <f ca="1"/>
        <v>#N/A</v>
      </c>
    </row>
    <row r="55" spans="2:16">
      <c r="B55" s="58">
        <f ca="1"/>
        <v>44832</v>
      </c>
      <c r="C55" s="59">
        <f ca="1"/>
        <v>44834</v>
      </c>
      <c r="D55" s="59">
        <f ca="1"/>
        <v>44865</v>
      </c>
      <c r="E55" s="69">
        <f ca="1"/>
        <v>31</v>
      </c>
      <c r="F55" s="77">
        <f ca="1"/>
        <v>8.611111111111111E-2</v>
      </c>
      <c r="G55" s="59">
        <f ca="1"/>
        <v>44867</v>
      </c>
      <c r="H55" s="69">
        <f ca="1"/>
        <v>690719279.56587601</v>
      </c>
      <c r="I55" s="69">
        <f ca="1"/>
        <v>0</v>
      </c>
      <c r="J55" s="65">
        <f ca="1"/>
        <v>1</v>
      </c>
      <c r="K55" s="65">
        <f ca="1"/>
        <v>0</v>
      </c>
      <c r="L55" s="73">
        <f ca="1"/>
        <v>1.3567176578541342E-2</v>
      </c>
      <c r="M55" s="59">
        <f ca="1"/>
        <v>806956.73165073933</v>
      </c>
      <c r="N55" s="81">
        <f ca="1"/>
        <v>0.96235997349600322</v>
      </c>
      <c r="O55" s="69">
        <f ca="1"/>
        <v>776582.85888382688</v>
      </c>
      <c r="P55" s="60" t="e">
        <f ca="1"/>
        <v>#N/A</v>
      </c>
    </row>
    <row r="56" spans="2:16">
      <c r="B56" s="58">
        <f ca="1"/>
        <v>44861</v>
      </c>
      <c r="C56" s="59">
        <f ca="1"/>
        <v>44865</v>
      </c>
      <c r="D56" s="59">
        <f ca="1"/>
        <v>44957</v>
      </c>
      <c r="E56" s="69">
        <f ca="1"/>
        <v>92</v>
      </c>
      <c r="F56" s="77">
        <f ca="1"/>
        <v>0.25555555555555554</v>
      </c>
      <c r="G56" s="59">
        <f ca="1"/>
        <v>44959</v>
      </c>
      <c r="H56" s="69">
        <f ca="1"/>
        <v>561095987.19979095</v>
      </c>
      <c r="I56" s="69">
        <f ca="1"/>
        <v>0</v>
      </c>
      <c r="J56" s="65">
        <f ca="1"/>
        <v>1</v>
      </c>
      <c r="K56" s="65">
        <f ca="1"/>
        <v>0</v>
      </c>
      <c r="L56" s="73">
        <f ca="1"/>
        <v>1.4391199079055802E-2</v>
      </c>
      <c r="M56" s="59">
        <f ca="1"/>
        <v>2063571.2583087261</v>
      </c>
      <c r="N56" s="81">
        <f ca="1"/>
        <v>0.95959755132903346</v>
      </c>
      <c r="O56" s="69">
        <f ca="1"/>
        <v>1980197.9264660259</v>
      </c>
      <c r="P56" s="60" t="e">
        <f ca="1"/>
        <v>#N/A</v>
      </c>
    </row>
    <row r="57" spans="2:16">
      <c r="B57" s="58">
        <f ca="1"/>
        <v>44953</v>
      </c>
      <c r="C57" s="59">
        <f ca="1"/>
        <v>44957</v>
      </c>
      <c r="D57" s="59">
        <f ca="1"/>
        <v>45046</v>
      </c>
      <c r="E57" s="69">
        <f ca="1"/>
        <v>89</v>
      </c>
      <c r="F57" s="77">
        <f ca="1"/>
        <v>0.24722222222222223</v>
      </c>
      <c r="G57" s="59">
        <f ca="1"/>
        <v>45048</v>
      </c>
      <c r="H57" s="69">
        <f ca="1"/>
        <v>558357962.22337401</v>
      </c>
      <c r="I57" s="69">
        <f ca="1"/>
        <v>0</v>
      </c>
      <c r="J57" s="65">
        <f ca="1"/>
        <v>1</v>
      </c>
      <c r="K57" s="65">
        <f ca="1"/>
        <v>0</v>
      </c>
      <c r="L57" s="73">
        <f ca="1"/>
        <v>1.4497850304607958E-2</v>
      </c>
      <c r="M57" s="59">
        <f ca="1"/>
        <v>2001261.4544176043</v>
      </c>
      <c r="N57" s="81">
        <f ca="1"/>
        <v>0.95692198817476526</v>
      </c>
      <c r="O57" s="69">
        <f ca="1"/>
        <v>1915051.0898188162</v>
      </c>
      <c r="P57" s="60" t="e">
        <f ca="1"/>
        <v>#N/A</v>
      </c>
    </row>
    <row r="58" spans="2:16">
      <c r="B58" s="58">
        <f ca="1"/>
        <v>45043</v>
      </c>
      <c r="C58" s="59">
        <f ca="1"/>
        <v>45046</v>
      </c>
      <c r="D58" s="59">
        <f ca="1"/>
        <v>45138</v>
      </c>
      <c r="E58" s="69">
        <f ca="1"/>
        <v>92</v>
      </c>
      <c r="F58" s="77">
        <f ca="1"/>
        <v>0.25555555555555554</v>
      </c>
      <c r="G58" s="59">
        <f ca="1"/>
        <v>45140</v>
      </c>
      <c r="H58" s="69">
        <f ca="1"/>
        <v>555676159.06487298</v>
      </c>
      <c r="I58" s="69">
        <f ca="1"/>
        <v>0</v>
      </c>
      <c r="J58" s="65">
        <f ca="1"/>
        <v>1</v>
      </c>
      <c r="K58" s="65">
        <f ca="1"/>
        <v>0</v>
      </c>
      <c r="L58" s="73">
        <f ca="1"/>
        <v>1.459385658753533E-2</v>
      </c>
      <c r="M58" s="59">
        <f ca="1"/>
        <v>2072417.0890402244</v>
      </c>
      <c r="N58" s="81">
        <f ca="1"/>
        <v>0.95414914557544872</v>
      </c>
      <c r="O58" s="69">
        <f ca="1"/>
        <v>1977394.9947836888</v>
      </c>
      <c r="P58" s="60" t="e">
        <f ca="1"/>
        <v>#N/A</v>
      </c>
    </row>
    <row r="59" spans="2:16">
      <c r="B59" s="58">
        <f ca="1"/>
        <v>45134</v>
      </c>
      <c r="C59" s="59">
        <f ca="1"/>
        <v>45138</v>
      </c>
      <c r="D59" s="59">
        <f ca="1"/>
        <v>45230</v>
      </c>
      <c r="E59" s="69">
        <f ca="1"/>
        <v>92</v>
      </c>
      <c r="F59" s="77">
        <f ca="1"/>
        <v>0.25555555555555554</v>
      </c>
      <c r="G59" s="59">
        <f ca="1"/>
        <v>45232</v>
      </c>
      <c r="H59" s="69">
        <f ca="1"/>
        <v>552858312.57331598</v>
      </c>
      <c r="I59" s="69">
        <f ca="1"/>
        <v>0</v>
      </c>
      <c r="J59" s="65">
        <f ca="1"/>
        <v>1</v>
      </c>
      <c r="K59" s="65">
        <f ca="1"/>
        <v>0</v>
      </c>
      <c r="L59" s="73">
        <f ca="1"/>
        <v>1.4691032056727629E-2</v>
      </c>
      <c r="M59" s="59">
        <f ca="1"/>
        <v>2075637.3492820817</v>
      </c>
      <c r="N59" s="81">
        <f ca="1"/>
        <v>0.95136671766919079</v>
      </c>
      <c r="O59" s="69">
        <f ca="1"/>
        <v>1974692.2920580737</v>
      </c>
      <c r="P59" s="60" t="e">
        <f ca="1"/>
        <v>#N/A</v>
      </c>
    </row>
    <row r="60" spans="2:16">
      <c r="B60" s="58">
        <f ca="1"/>
        <v>45226</v>
      </c>
      <c r="C60" s="59">
        <f ca="1"/>
        <v>45230</v>
      </c>
      <c r="D60" s="59">
        <f ca="1"/>
        <v>45322</v>
      </c>
      <c r="E60" s="69">
        <f ca="1"/>
        <v>92</v>
      </c>
      <c r="F60" s="77">
        <f ca="1"/>
        <v>0.25555555555555554</v>
      </c>
      <c r="G60" s="59">
        <f ca="1"/>
        <v>45324</v>
      </c>
      <c r="H60" s="69">
        <f ca="1"/>
        <v>550014891.32666302</v>
      </c>
      <c r="I60" s="69">
        <f ca="1"/>
        <v>0</v>
      </c>
      <c r="J60" s="65">
        <f ca="1"/>
        <v>1</v>
      </c>
      <c r="K60" s="65">
        <f ca="1"/>
        <v>0</v>
      </c>
      <c r="L60" s="73">
        <f ca="1"/>
        <v>1.4823744259290948E-2</v>
      </c>
      <c r="M60" s="59">
        <f ca="1"/>
        <v>2083616.022444973</v>
      </c>
      <c r="N60" s="81">
        <f ca="1"/>
        <v>0.94856953521071508</v>
      </c>
      <c r="O60" s="69">
        <f ca="1"/>
        <v>1976454.6819682268</v>
      </c>
      <c r="P60" s="60" t="e">
        <f ca="1"/>
        <v>#N/A</v>
      </c>
    </row>
    <row r="61" spans="2:16">
      <c r="B61" s="58">
        <f ca="1"/>
        <v>45320</v>
      </c>
      <c r="C61" s="59">
        <f ca="1"/>
        <v>45322</v>
      </c>
      <c r="D61" s="59">
        <f ca="1"/>
        <v>45412</v>
      </c>
      <c r="E61" s="69">
        <f ca="1"/>
        <v>90</v>
      </c>
      <c r="F61" s="77">
        <f ca="1"/>
        <v>0.25</v>
      </c>
      <c r="G61" s="59">
        <f ca="1"/>
        <v>45414</v>
      </c>
      <c r="H61" s="69">
        <f ca="1"/>
        <v>547167211.361467</v>
      </c>
      <c r="I61" s="69">
        <f ca="1"/>
        <v>0</v>
      </c>
      <c r="J61" s="65">
        <f ca="1"/>
        <v>1</v>
      </c>
      <c r="K61" s="65">
        <f ca="1"/>
        <v>0</v>
      </c>
      <c r="L61" s="73">
        <f ca="1"/>
        <v>1.5021912268495832E-2</v>
      </c>
      <c r="M61" s="59">
        <f ca="1"/>
        <v>2054874.4613173683</v>
      </c>
      <c r="N61" s="81">
        <f ca="1"/>
        <v>0.94580856242279654</v>
      </c>
      <c r="O61" s="69">
        <f ca="1"/>
        <v>1943517.8602178986</v>
      </c>
      <c r="P61" s="60" t="e">
        <f ca="1"/>
        <v>#N/A</v>
      </c>
    </row>
    <row r="62" spans="2:16">
      <c r="B62" s="58">
        <f ca="1"/>
        <v>45408</v>
      </c>
      <c r="C62" s="59">
        <f ca="1"/>
        <v>45412</v>
      </c>
      <c r="D62" s="59">
        <f ca="1"/>
        <v>45504</v>
      </c>
      <c r="E62" s="69">
        <f ca="1"/>
        <v>92</v>
      </c>
      <c r="F62" s="77">
        <f ca="1"/>
        <v>0.25555555555555554</v>
      </c>
      <c r="G62" s="59">
        <f ca="1"/>
        <v>45506</v>
      </c>
      <c r="H62" s="69">
        <f ca="1"/>
        <v>544346654.77629197</v>
      </c>
      <c r="I62" s="69">
        <f ca="1"/>
        <v>0</v>
      </c>
      <c r="J62" s="65">
        <f ca="1"/>
        <v>1</v>
      </c>
      <c r="K62" s="65">
        <f ca="1"/>
        <v>0</v>
      </c>
      <c r="L62" s="73">
        <f ca="1"/>
        <v>1.5265532196304934E-2</v>
      </c>
      <c r="M62" s="59">
        <f ca="1"/>
        <v>2123600.5760231395</v>
      </c>
      <c r="N62" s="81">
        <f ca="1"/>
        <v>0.94294929771110747</v>
      </c>
      <c r="O62" s="69">
        <f ca="1"/>
        <v>2002447.6717799227</v>
      </c>
      <c r="P62" s="60" t="e">
        <f ca="1"/>
        <v>#N/A</v>
      </c>
    </row>
    <row r="63" spans="2:16">
      <c r="B63" s="58">
        <f ca="1"/>
        <v>45502</v>
      </c>
      <c r="C63" s="59">
        <f ca="1"/>
        <v>45504</v>
      </c>
      <c r="D63" s="59">
        <f ca="1"/>
        <v>45596</v>
      </c>
      <c r="E63" s="69">
        <f ca="1"/>
        <v>92</v>
      </c>
      <c r="F63" s="77">
        <f ca="1"/>
        <v>0.25555555555555554</v>
      </c>
      <c r="G63" s="59">
        <f ca="1"/>
        <v>45600</v>
      </c>
      <c r="H63" s="69">
        <f ca="1"/>
        <v>541416297.31738198</v>
      </c>
      <c r="I63" s="69">
        <f ca="1"/>
        <v>0</v>
      </c>
      <c r="J63" s="65">
        <f ca="1"/>
        <v>1</v>
      </c>
      <c r="K63" s="65">
        <f ca="1"/>
        <v>0</v>
      </c>
      <c r="L63" s="73">
        <f ca="1"/>
        <v>1.5577988625180755E-2</v>
      </c>
      <c r="M63" s="59">
        <f ca="1"/>
        <v>2155400.768724957</v>
      </c>
      <c r="N63" s="81">
        <f ca="1"/>
        <v>0.93997614367312965</v>
      </c>
      <c r="O63" s="69">
        <f ca="1"/>
        <v>2026025.3026561842</v>
      </c>
      <c r="P63" s="60" t="e">
        <f ca="1"/>
        <v>#N/A</v>
      </c>
    </row>
    <row r="64" spans="2:16">
      <c r="B64" s="58">
        <f ca="1"/>
        <v>45594</v>
      </c>
      <c r="C64" s="59">
        <f ca="1"/>
        <v>45596</v>
      </c>
      <c r="D64" s="59">
        <f ca="1"/>
        <v>45688</v>
      </c>
      <c r="E64" s="69">
        <f ca="1"/>
        <v>92</v>
      </c>
      <c r="F64" s="77">
        <f ca="1"/>
        <v>0.25555555555555554</v>
      </c>
      <c r="G64" s="59">
        <f ca="1"/>
        <v>45692</v>
      </c>
      <c r="H64" s="69">
        <f ca="1"/>
        <v>538459332.686759</v>
      </c>
      <c r="I64" s="69">
        <f ca="1"/>
        <v>0</v>
      </c>
      <c r="J64" s="65">
        <f ca="1"/>
        <v>1</v>
      </c>
      <c r="K64" s="65">
        <f ca="1"/>
        <v>0</v>
      </c>
      <c r="L64" s="73">
        <f ca="1"/>
        <v>1.5886226109944297E-2</v>
      </c>
      <c r="M64" s="59">
        <f ca="1"/>
        <v>2186044.3814627351</v>
      </c>
      <c r="N64" s="81">
        <f ca="1"/>
        <v>0.93700707858982057</v>
      </c>
      <c r="O64" s="69">
        <f ca="1"/>
        <v>2048339.0595420888</v>
      </c>
      <c r="P64" s="60" t="e">
        <f ca="1"/>
        <v>#N/A</v>
      </c>
    </row>
    <row r="65" spans="2:16">
      <c r="B65" s="58">
        <f ca="1"/>
        <v>45686</v>
      </c>
      <c r="C65" s="59">
        <f ca="1"/>
        <v>45688</v>
      </c>
      <c r="D65" s="59">
        <f ca="1"/>
        <v>45777</v>
      </c>
      <c r="E65" s="69">
        <f ca="1"/>
        <v>89</v>
      </c>
      <c r="F65" s="77">
        <f ca="1"/>
        <v>0.24722222222222223</v>
      </c>
      <c r="G65" s="59">
        <f ca="1"/>
        <v>45779</v>
      </c>
      <c r="H65" s="69">
        <f ca="1"/>
        <v>535425587.681247</v>
      </c>
      <c r="I65" s="69">
        <f ca="1"/>
        <v>0</v>
      </c>
      <c r="J65" s="65">
        <f ca="1"/>
        <v>1</v>
      </c>
      <c r="K65" s="65">
        <f ca="1"/>
        <v>0</v>
      </c>
      <c r="L65" s="73">
        <f ca="1"/>
        <v>1.618113328199481E-2</v>
      </c>
      <c r="M65" s="59">
        <f ca="1"/>
        <v>2141882.1081127734</v>
      </c>
      <c r="N65" s="81">
        <f ca="1"/>
        <v>0.93414470071529132</v>
      </c>
      <c r="O65" s="69">
        <f ca="1"/>
        <v>2000827.820850444</v>
      </c>
      <c r="P65" s="60" t="e">
        <f ca="1"/>
        <v>#N/A</v>
      </c>
    </row>
    <row r="66" spans="2:16">
      <c r="B66" s="58">
        <f ca="1"/>
        <v>45775</v>
      </c>
      <c r="C66" s="59">
        <f ca="1"/>
        <v>45777</v>
      </c>
      <c r="D66" s="59">
        <f ca="1"/>
        <v>45869</v>
      </c>
      <c r="E66" s="69">
        <f ca="1"/>
        <v>92</v>
      </c>
      <c r="F66" s="77">
        <f ca="1"/>
        <v>0.25555555555555554</v>
      </c>
      <c r="G66" s="59">
        <f ca="1"/>
        <v>45873</v>
      </c>
      <c r="H66" s="69">
        <f ca="1"/>
        <v>532454034.55495602</v>
      </c>
      <c r="I66" s="69">
        <f ca="1"/>
        <v>0</v>
      </c>
      <c r="J66" s="65">
        <f ca="1"/>
        <v>1</v>
      </c>
      <c r="K66" s="65">
        <f ca="1"/>
        <v>0</v>
      </c>
      <c r="L66" s="73">
        <f ca="1"/>
        <v>1.6455174977543289E-2</v>
      </c>
      <c r="M66" s="59">
        <f ca="1"/>
        <v>2239081.7671146183</v>
      </c>
      <c r="N66" s="81">
        <f ca="1"/>
        <v>0.93099336604851812</v>
      </c>
      <c r="O66" s="69">
        <f ca="1"/>
        <v>2084570.2712239027</v>
      </c>
      <c r="P66" s="60" t="e">
        <f ca="1"/>
        <v>#N/A</v>
      </c>
    </row>
    <row r="67" spans="2:16">
      <c r="B67" s="58">
        <f ca="1"/>
        <v>45867</v>
      </c>
      <c r="C67" s="59">
        <f ca="1"/>
        <v>45869</v>
      </c>
      <c r="D67" s="59">
        <f ca="1"/>
        <v>45961</v>
      </c>
      <c r="E67" s="69">
        <f ca="1"/>
        <v>92</v>
      </c>
      <c r="F67" s="77">
        <f ca="1"/>
        <v>0.25555555555555554</v>
      </c>
      <c r="G67" s="59">
        <f ca="1"/>
        <v>45965</v>
      </c>
      <c r="H67" s="69">
        <f ca="1"/>
        <v>529333847.10165697</v>
      </c>
      <c r="I67" s="69">
        <f ca="1"/>
        <v>0</v>
      </c>
      <c r="J67" s="65">
        <f ca="1"/>
        <v>1</v>
      </c>
      <c r="K67" s="65">
        <f ca="1"/>
        <v>0</v>
      </c>
      <c r="L67" s="73">
        <f ca="1"/>
        <v>1.6718045303455782E-2</v>
      </c>
      <c r="M67" s="59">
        <f ca="1"/>
        <v>2261520.2937717205</v>
      </c>
      <c r="N67" s="81">
        <f ca="1"/>
        <v>0.9278526005783676</v>
      </c>
      <c r="O67" s="69">
        <f ca="1"/>
        <v>2098357.4858368449</v>
      </c>
      <c r="P67" s="60" t="e">
        <f ca="1"/>
        <v>#N/A</v>
      </c>
    </row>
    <row r="68" spans="2:16">
      <c r="B68" s="58" t="e">
        <f ca="1"/>
        <v>#N/A</v>
      </c>
      <c r="C68" s="59" t="e">
        <f ca="1"/>
        <v>#N/A</v>
      </c>
      <c r="D68" s="59" t="e">
        <f ca="1"/>
        <v>#N/A</v>
      </c>
      <c r="E68" s="69" t="e">
        <f ca="1"/>
        <v>#N/A</v>
      </c>
      <c r="F68" s="77" t="e">
        <f ca="1"/>
        <v>#N/A</v>
      </c>
      <c r="G68" s="59" t="e">
        <f ca="1"/>
        <v>#N/A</v>
      </c>
      <c r="H68" s="69" t="e">
        <f ca="1"/>
        <v>#N/A</v>
      </c>
      <c r="I68" s="69" t="e">
        <f ca="1"/>
        <v>#N/A</v>
      </c>
      <c r="J68" s="65" t="e">
        <f ca="1"/>
        <v>#N/A</v>
      </c>
      <c r="K68" s="65" t="e">
        <f ca="1"/>
        <v>#N/A</v>
      </c>
      <c r="L68" s="73" t="e">
        <f ca="1"/>
        <v>#N/A</v>
      </c>
      <c r="M68" s="59" t="e">
        <f ca="1"/>
        <v>#N/A</v>
      </c>
      <c r="N68" s="81" t="e">
        <f ca="1"/>
        <v>#N/A</v>
      </c>
      <c r="O68" s="69" t="e">
        <f ca="1"/>
        <v>#N/A</v>
      </c>
      <c r="P68" s="60" t="e">
        <f ca="1"/>
        <v>#N/A</v>
      </c>
    </row>
    <row r="69" spans="2:16">
      <c r="B69" s="58" t="e">
        <f ca="1"/>
        <v>#N/A</v>
      </c>
      <c r="C69" s="59" t="e">
        <f ca="1"/>
        <v>#N/A</v>
      </c>
      <c r="D69" s="59" t="e">
        <f ca="1"/>
        <v>#N/A</v>
      </c>
      <c r="E69" s="69" t="e">
        <f ca="1"/>
        <v>#N/A</v>
      </c>
      <c r="F69" s="77" t="e">
        <f ca="1"/>
        <v>#N/A</v>
      </c>
      <c r="G69" s="59" t="e">
        <f ca="1"/>
        <v>#N/A</v>
      </c>
      <c r="H69" s="69" t="e">
        <f ca="1"/>
        <v>#N/A</v>
      </c>
      <c r="I69" s="69" t="e">
        <f ca="1"/>
        <v>#N/A</v>
      </c>
      <c r="J69" s="65" t="e">
        <f ca="1"/>
        <v>#N/A</v>
      </c>
      <c r="K69" s="65" t="e">
        <f ca="1"/>
        <v>#N/A</v>
      </c>
      <c r="L69" s="73" t="e">
        <f ca="1"/>
        <v>#N/A</v>
      </c>
      <c r="M69" s="59" t="e">
        <f ca="1"/>
        <v>#N/A</v>
      </c>
      <c r="N69" s="81" t="e">
        <f ca="1"/>
        <v>#N/A</v>
      </c>
      <c r="O69" s="69" t="e">
        <f ca="1"/>
        <v>#N/A</v>
      </c>
      <c r="P69" s="60" t="e">
        <f ca="1"/>
        <v>#N/A</v>
      </c>
    </row>
    <row r="70" spans="2:16">
      <c r="B70" s="58" t="e">
        <f ca="1"/>
        <v>#N/A</v>
      </c>
      <c r="C70" s="59" t="e">
        <f ca="1"/>
        <v>#N/A</v>
      </c>
      <c r="D70" s="59" t="e">
        <f ca="1"/>
        <v>#N/A</v>
      </c>
      <c r="E70" s="69" t="e">
        <f ca="1"/>
        <v>#N/A</v>
      </c>
      <c r="F70" s="77" t="e">
        <f ca="1"/>
        <v>#N/A</v>
      </c>
      <c r="G70" s="59" t="e">
        <f ca="1"/>
        <v>#N/A</v>
      </c>
      <c r="H70" s="69" t="e">
        <f ca="1"/>
        <v>#N/A</v>
      </c>
      <c r="I70" s="69" t="e">
        <f ca="1"/>
        <v>#N/A</v>
      </c>
      <c r="J70" s="65" t="e">
        <f ca="1"/>
        <v>#N/A</v>
      </c>
      <c r="K70" s="65" t="e">
        <f ca="1"/>
        <v>#N/A</v>
      </c>
      <c r="L70" s="73" t="e">
        <f ca="1"/>
        <v>#N/A</v>
      </c>
      <c r="M70" s="59" t="e">
        <f ca="1"/>
        <v>#N/A</v>
      </c>
      <c r="N70" s="81" t="e">
        <f ca="1"/>
        <v>#N/A</v>
      </c>
      <c r="O70" s="69" t="e">
        <f ca="1"/>
        <v>#N/A</v>
      </c>
      <c r="P70" s="60" t="e">
        <f ca="1"/>
        <v>#N/A</v>
      </c>
    </row>
    <row r="71" spans="2:16">
      <c r="B71" s="61" t="e">
        <f ca="1"/>
        <v>#N/A</v>
      </c>
      <c r="C71" s="62" t="e">
        <f ca="1"/>
        <v>#N/A</v>
      </c>
      <c r="D71" s="62" t="e">
        <f ca="1"/>
        <v>#N/A</v>
      </c>
      <c r="E71" s="70" t="e">
        <f ca="1"/>
        <v>#N/A</v>
      </c>
      <c r="F71" s="78" t="e">
        <f ca="1"/>
        <v>#N/A</v>
      </c>
      <c r="G71" s="62" t="e">
        <f ca="1"/>
        <v>#N/A</v>
      </c>
      <c r="H71" s="70" t="e">
        <f ca="1"/>
        <v>#N/A</v>
      </c>
      <c r="I71" s="70" t="e">
        <f ca="1"/>
        <v>#N/A</v>
      </c>
      <c r="J71" s="66" t="e">
        <f ca="1"/>
        <v>#N/A</v>
      </c>
      <c r="K71" s="66" t="e">
        <f ca="1"/>
        <v>#N/A</v>
      </c>
      <c r="L71" s="74" t="e">
        <f ca="1"/>
        <v>#N/A</v>
      </c>
      <c r="M71" s="62" t="e">
        <f ca="1"/>
        <v>#N/A</v>
      </c>
      <c r="N71" s="82" t="e">
        <f ca="1"/>
        <v>#N/A</v>
      </c>
      <c r="O71" s="70" t="e">
        <f ca="1"/>
        <v>#N/A</v>
      </c>
      <c r="P71" s="63" t="e">
        <f ca="1"/>
        <v>#N/A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J62"/>
  <sheetViews>
    <sheetView showGridLines="0" tabSelected="1" workbookViewId="0"/>
  </sheetViews>
  <sheetFormatPr defaultRowHeight="15"/>
  <cols>
    <col min="2" max="2" width="32.140625" bestFit="1" customWidth="1"/>
    <col min="3" max="3" width="11" bestFit="1" customWidth="1"/>
    <col min="4" max="4" width="32.42578125" bestFit="1" customWidth="1"/>
    <col min="5" max="5" width="10.140625" bestFit="1" customWidth="1"/>
    <col min="6" max="6" width="32.28515625" bestFit="1" customWidth="1"/>
    <col min="7" max="7" width="10" bestFit="1" customWidth="1"/>
    <col min="8" max="8" width="48.140625" bestFit="1" customWidth="1"/>
    <col min="9" max="9" width="9.85546875" bestFit="1" customWidth="1"/>
    <col min="10" max="10" width="9.28515625" bestFit="1" customWidth="1"/>
  </cols>
  <sheetData>
    <row r="2" spans="2:10">
      <c r="B2" s="20" t="s">
        <v>246</v>
      </c>
    </row>
    <row r="3" spans="2:10">
      <c r="B3" s="287" t="str">
        <f ca="1">'Create Trade &amp; Price'!$C$3</f>
        <v>ROLLERCOASTER@16:2</v>
      </c>
    </row>
    <row r="4" spans="2:10">
      <c r="B4" s="287" t="str">
        <f>'USD OIS'!$D$22</f>
        <v>USDYC</v>
      </c>
    </row>
    <row r="6" spans="2:10">
      <c r="B6" s="20" t="s">
        <v>227</v>
      </c>
    </row>
    <row r="7" spans="2:10">
      <c r="B7" s="319" t="str">
        <f t="array" aca="1" ref="B7:J62" ca="1">_xll.meLWOSwapDeltaLadder($B$3,$B$4)</f>
        <v>USD : Pillars</v>
      </c>
      <c r="C7" s="320" t="str">
        <f ca="1"/>
        <v>USD : Total</v>
      </c>
      <c r="D7" s="320" t="str">
        <f ca="1"/>
        <v>USD : Pillars</v>
      </c>
      <c r="E7" s="320" t="str">
        <f ca="1"/>
        <v>USD : Total</v>
      </c>
      <c r="F7" s="320" t="str">
        <f ca="1"/>
        <v>USD : Pillars</v>
      </c>
      <c r="G7" s="320" t="str">
        <f ca="1"/>
        <v>USD : Total</v>
      </c>
      <c r="H7" s="320" t="str">
        <f ca="1"/>
        <v>USD : Pillars</v>
      </c>
      <c r="I7" s="320" t="str">
        <f ca="1"/>
        <v>USD : Total</v>
      </c>
      <c r="J7" s="321" t="e">
        <f ca="1"/>
        <v>#N/A</v>
      </c>
    </row>
    <row r="8" spans="2:10">
      <c r="B8" s="322" t="str">
        <f ca="1"/>
        <v>USDYC.1M3MBASIS.LIBOR.1M</v>
      </c>
      <c r="C8" s="323">
        <f ca="1"/>
        <v>966.63136854767799</v>
      </c>
      <c r="D8" s="324" t="str">
        <f ca="1"/>
        <v>USDYC.3M6MBASIS.LIBOR.6M</v>
      </c>
      <c r="E8" s="323">
        <f ca="1"/>
        <v>452.3910865187645</v>
      </c>
      <c r="F8" s="324" t="str">
        <f ca="1"/>
        <v>USDYC.OIS.OUTRIGHTOISSWAP.ON</v>
      </c>
      <c r="G8" s="323">
        <f ca="1"/>
        <v>-16.316704824566841</v>
      </c>
      <c r="H8" s="324" t="str">
        <f ca="1"/>
        <v>USDYC.STD.O_N</v>
      </c>
      <c r="I8" s="323">
        <f ca="1"/>
        <v>-0.6785169243812561</v>
      </c>
      <c r="J8" s="325" t="e">
        <f ca="1"/>
        <v>#N/A</v>
      </c>
    </row>
    <row r="9" spans="2:10">
      <c r="B9" s="322" t="str">
        <f ca="1"/>
        <v>USDYC.1M3MBASIS.BASISRATE.1Y</v>
      </c>
      <c r="C9" s="323">
        <f ca="1"/>
        <v>-589.60350900888443</v>
      </c>
      <c r="D9" s="324" t="str">
        <f ca="1"/>
        <v>USDYC.3M6MBASIS.BASISRATE.1Y</v>
      </c>
      <c r="E9" s="323">
        <f ca="1"/>
        <v>-1960.9996192157269</v>
      </c>
      <c r="F9" s="324" t="str">
        <f ca="1"/>
        <v>USDYC.OIS.OUTRIGHTOISSWAP.1W</v>
      </c>
      <c r="G9" s="323">
        <f ca="1"/>
        <v>-0.22417083382606506</v>
      </c>
      <c r="H9" s="324" t="str">
        <f ca="1"/>
        <v>USDYC.STD.T_N</v>
      </c>
      <c r="I9" s="323">
        <f ca="1"/>
        <v>-2.4980105459690094</v>
      </c>
      <c r="J9" s="325" t="e">
        <f ca="1"/>
        <v>#N/A</v>
      </c>
    </row>
    <row r="10" spans="2:10">
      <c r="B10" s="322" t="str">
        <f ca="1"/>
        <v>USDYC.1M3MBASIS.BASISRATE.2Y</v>
      </c>
      <c r="C10" s="323">
        <f ca="1"/>
        <v>270.57851552963257</v>
      </c>
      <c r="D10" s="324" t="str">
        <f ca="1"/>
        <v>USDYC.3M6MBASIS.BASISRATE.2Y</v>
      </c>
      <c r="E10" s="323">
        <f ca="1"/>
        <v>10661.563719063997</v>
      </c>
      <c r="F10" s="324" t="str">
        <f ca="1"/>
        <v>USDYC.OIS.OUTRIGHTOISSWAP.2W</v>
      </c>
      <c r="G10" s="323">
        <f ca="1"/>
        <v>-1.3796091079711914</v>
      </c>
      <c r="H10" s="324" t="str">
        <f ca="1"/>
        <v>USDYC.STD.LIBOR.1M</v>
      </c>
      <c r="I10" s="323">
        <f ca="1"/>
        <v>-0.25678500533103943</v>
      </c>
      <c r="J10" s="325" t="e">
        <f ca="1"/>
        <v>#N/A</v>
      </c>
    </row>
    <row r="11" spans="2:10">
      <c r="B11" s="322" t="str">
        <f ca="1"/>
        <v>USDYC.1M3MBASIS.BASISRATE.3Y</v>
      </c>
      <c r="C11" s="323">
        <f ca="1"/>
        <v>-108.89366567134857</v>
      </c>
      <c r="D11" s="324" t="str">
        <f ca="1"/>
        <v>USDYC.3M6MBASIS.BASISRATE.3Y</v>
      </c>
      <c r="E11" s="323">
        <f ca="1"/>
        <v>-150837.97299340367</v>
      </c>
      <c r="F11" s="324" t="str">
        <f ca="1"/>
        <v>USDYC.OIS.OUTRIGHTOISSWAP.3W</v>
      </c>
      <c r="G11" s="323">
        <f ca="1"/>
        <v>-1.2168802320957184</v>
      </c>
      <c r="H11" s="324" t="str">
        <f ca="1"/>
        <v>USDYC.STD.LIBOR.3M</v>
      </c>
      <c r="I11" s="323">
        <f ca="1"/>
        <v>-16844.817411154509</v>
      </c>
      <c r="J11" s="325" t="e">
        <f ca="1"/>
        <v>#N/A</v>
      </c>
    </row>
    <row r="12" spans="2:10">
      <c r="B12" s="322" t="str">
        <f ca="1"/>
        <v>USDYC.1M3MBASIS.BASISRATE.4Y</v>
      </c>
      <c r="C12" s="323">
        <f ca="1"/>
        <v>38.991237431764603</v>
      </c>
      <c r="D12" s="324" t="str">
        <f ca="1"/>
        <v>USDYC.3M6MBASIS.BASISRATE.4Y</v>
      </c>
      <c r="E12" s="323">
        <f ca="1"/>
        <v>-38250.167364627123</v>
      </c>
      <c r="F12" s="324" t="str">
        <f ca="1"/>
        <v>USDYC.OIS.OUTRIGHTOISSWAP.1M</v>
      </c>
      <c r="G12" s="323">
        <f ca="1"/>
        <v>-1.9554838538169861</v>
      </c>
      <c r="H12" s="324" t="str">
        <f ca="1"/>
        <v>USDYC.STD.LIBOR.6M</v>
      </c>
      <c r="I12" s="323">
        <f ca="1"/>
        <v>-1.8684573471546173</v>
      </c>
      <c r="J12" s="325" t="e">
        <f ca="1"/>
        <v>#N/A</v>
      </c>
    </row>
    <row r="13" spans="2:10">
      <c r="B13" s="322" t="str">
        <f ca="1"/>
        <v>USDYC.1M3MBASIS.BASISRATE.5Y</v>
      </c>
      <c r="C13" s="323">
        <f ca="1"/>
        <v>-13.003123551607132</v>
      </c>
      <c r="D13" s="324" t="str">
        <f ca="1"/>
        <v>USDYC.3M6MBASIS.BASISRATE.5Y</v>
      </c>
      <c r="E13" s="323">
        <f ca="1"/>
        <v>-3649.4879297912121</v>
      </c>
      <c r="F13" s="324" t="str">
        <f ca="1"/>
        <v>USDYC.OIS.OUTRIGHTOISSWAP.2M</v>
      </c>
      <c r="G13" s="323">
        <f ca="1"/>
        <v>-0.56083686649799347</v>
      </c>
      <c r="H13" s="324" t="str">
        <f ca="1"/>
        <v>USDYC.STD.LIBOR.12M</v>
      </c>
      <c r="I13" s="323">
        <f ca="1"/>
        <v>-1.8710985779762268</v>
      </c>
      <c r="J13" s="325" t="e">
        <f ca="1"/>
        <v>#N/A</v>
      </c>
    </row>
    <row r="14" spans="2:10">
      <c r="B14" s="322" t="str">
        <f ca="1"/>
        <v>USDYC.1M3MBASIS.BASISRATE.6Y</v>
      </c>
      <c r="C14" s="323">
        <f ca="1"/>
        <v>4.2294539511203766</v>
      </c>
      <c r="D14" s="324" t="str">
        <f ca="1"/>
        <v>USDYC.3M6MBASIS.BASISRATE.6Y</v>
      </c>
      <c r="E14" s="323">
        <f ca="1"/>
        <v>276201.71419456601</v>
      </c>
      <c r="F14" s="324" t="str">
        <f ca="1"/>
        <v>USDYC.OIS.OUTRIGHTOISSWAP.3M</v>
      </c>
      <c r="G14" s="323">
        <f ca="1"/>
        <v>81.537223979830742</v>
      </c>
      <c r="H14" s="324" t="str">
        <f ca="1"/>
        <v>USDYC.STD.FUTURE.ED1 COMDTY.20191218.20200318</v>
      </c>
      <c r="I14" s="323">
        <f ca="1"/>
        <v>-13143.260563910007</v>
      </c>
      <c r="J14" s="325" t="e">
        <f ca="1"/>
        <v>#N/A</v>
      </c>
    </row>
    <row r="15" spans="2:10">
      <c r="B15" s="322" t="str">
        <f ca="1"/>
        <v>USDYC.1M3MBASIS.BASISRATE.7Y</v>
      </c>
      <c r="C15" s="323">
        <f ca="1"/>
        <v>-1.3198181986808777</v>
      </c>
      <c r="D15" s="324" t="str">
        <f ca="1"/>
        <v>USDYC.3M6MBASIS.BASISRATE.7Y</v>
      </c>
      <c r="E15" s="323">
        <f ca="1"/>
        <v>82322.252602875233</v>
      </c>
      <c r="F15" s="324" t="str">
        <f ca="1"/>
        <v>USDYC.OIS.OUTRIGHTOISSWAP.4M</v>
      </c>
      <c r="G15" s="323">
        <f ca="1"/>
        <v>-5.4478704929351807</v>
      </c>
      <c r="H15" s="324" t="str">
        <f ca="1"/>
        <v>USDYC.STD.FUTURE.ED2 COMDTY.20200318.20200617</v>
      </c>
      <c r="I15" s="323">
        <f ca="1"/>
        <v>-12983.127890527248</v>
      </c>
      <c r="J15" s="325" t="e">
        <f ca="1"/>
        <v>#N/A</v>
      </c>
    </row>
    <row r="16" spans="2:10">
      <c r="B16" s="322" t="str">
        <f ca="1"/>
        <v>USDYC.1M3MBASIS.BASISRATE.8Y</v>
      </c>
      <c r="C16" s="323">
        <f ca="1"/>
        <v>0.40727406740188599</v>
      </c>
      <c r="D16" s="324" t="str">
        <f ca="1"/>
        <v>USDYC.3M6MBASIS.BASISRATE.8Y</v>
      </c>
      <c r="E16" s="323">
        <f ca="1"/>
        <v>-23240.022335201502</v>
      </c>
      <c r="F16" s="324" t="str">
        <f ca="1"/>
        <v>USDYC.OIS.OUTRIGHTOISSWAP.5M</v>
      </c>
      <c r="G16" s="323">
        <f ca="1"/>
        <v>1.1509295552968979</v>
      </c>
      <c r="H16" s="324" t="str">
        <f ca="1"/>
        <v>USDYC.STD.FUTURE.ED3 COMDTY.20200617.20200916</v>
      </c>
      <c r="I16" s="323">
        <f ca="1"/>
        <v>-11145.036067068577</v>
      </c>
      <c r="J16" s="325" t="e">
        <f ca="1"/>
        <v>#N/A</v>
      </c>
    </row>
    <row r="17" spans="2:10">
      <c r="B17" s="322" t="str">
        <f ca="1"/>
        <v>USDYC.1M3MBASIS.BASISRATE.9Y</v>
      </c>
      <c r="C17" s="323">
        <f ca="1"/>
        <v>-0.11191219091415405</v>
      </c>
      <c r="D17" s="324" t="str">
        <f ca="1"/>
        <v>USDYC.3M6MBASIS.BASISRATE.9Y</v>
      </c>
      <c r="E17" s="323">
        <f ca="1"/>
        <v>6886.1311689019203</v>
      </c>
      <c r="F17" s="324" t="str">
        <f ca="1"/>
        <v>USDYC.OIS.OUTRIGHTOISSWAP.6M</v>
      </c>
      <c r="G17" s="323">
        <f ca="1"/>
        <v>-102.81031206250191</v>
      </c>
      <c r="H17" s="324" t="str">
        <f ca="1"/>
        <v>USDYC.STD.FUTURE.ED4 COMDTY.20200916.20201216</v>
      </c>
      <c r="I17" s="323">
        <f ca="1"/>
        <v>-8981.9955602288246</v>
      </c>
      <c r="J17" s="325" t="e">
        <f ca="1"/>
        <v>#N/A</v>
      </c>
    </row>
    <row r="18" spans="2:10">
      <c r="B18" s="322" t="str">
        <f ca="1"/>
        <v>USDYC.1M3MBASIS.BASISRATE.10Y</v>
      </c>
      <c r="C18" s="323">
        <f ca="1"/>
        <v>3.4131109714508057E-2</v>
      </c>
      <c r="D18" s="324" t="str">
        <f ca="1"/>
        <v>USDYC.3M6MBASIS.BASISRATE.10Y</v>
      </c>
      <c r="E18" s="323">
        <f ca="1"/>
        <v>-1657.675664126873</v>
      </c>
      <c r="F18" s="324" t="str">
        <f ca="1"/>
        <v>USDYC.OIS.OUTRIGHTOISSWAP.9M</v>
      </c>
      <c r="G18" s="323">
        <f ca="1"/>
        <v>190.62875248491764</v>
      </c>
      <c r="H18" s="324" t="str">
        <f ca="1"/>
        <v>USDYC.STD.FUTURE.ED5 COMDTY.20201216.20210317</v>
      </c>
      <c r="I18" s="323">
        <f ca="1"/>
        <v>-6773.2775673270226</v>
      </c>
      <c r="J18" s="325" t="e">
        <f ca="1"/>
        <v>#N/A</v>
      </c>
    </row>
    <row r="19" spans="2:10">
      <c r="B19" s="322" t="str">
        <f ca="1"/>
        <v>USDYC.1M3MBASIS.BASISRATE.12Y</v>
      </c>
      <c r="C19" s="323">
        <f ca="1"/>
        <v>1.8171966075897217E-3</v>
      </c>
      <c r="D19" s="324" t="str">
        <f ca="1"/>
        <v>USDYC.3M6MBASIS.BASISRATE.12Y</v>
      </c>
      <c r="E19" s="323">
        <f ca="1"/>
        <v>188.92803937196732</v>
      </c>
      <c r="F19" s="324" t="str">
        <f ca="1"/>
        <v>USDYC.OIS.BASISRATE.1Y</v>
      </c>
      <c r="G19" s="323">
        <f ca="1"/>
        <v>219.94227394461632</v>
      </c>
      <c r="H19" s="324" t="str">
        <f ca="1"/>
        <v>USDYC.STD.FUTURE.ED6 COMDTY.20210317.20210616</v>
      </c>
      <c r="I19" s="323">
        <f ca="1"/>
        <v>-4774.5745830237865</v>
      </c>
      <c r="J19" s="325" t="e">
        <f ca="1"/>
        <v>#N/A</v>
      </c>
    </row>
    <row r="20" spans="2:10">
      <c r="B20" s="322" t="str">
        <f ca="1"/>
        <v>USDYC.1M3MBASIS.BASISRATE.15Y</v>
      </c>
      <c r="C20" s="323">
        <f ca="1"/>
        <v>-2.7567148208618164E-3</v>
      </c>
      <c r="D20" s="324" t="str">
        <f ca="1"/>
        <v>USDYC.3M6MBASIS.BASISRATE.15Y</v>
      </c>
      <c r="E20" s="323">
        <f ca="1"/>
        <v>-39.711862802505493</v>
      </c>
      <c r="F20" s="324" t="str">
        <f ca="1"/>
        <v>USDYC.OIS.3MLIBORSWAP.1Y</v>
      </c>
      <c r="G20" s="323">
        <f ca="1"/>
        <v>-219.66979689896107</v>
      </c>
      <c r="H20" s="324" t="str">
        <f ca="1"/>
        <v>USDYC.STD.FUTURE.ED7 COMDTY.20210616.20210915</v>
      </c>
      <c r="I20" s="323">
        <f ca="1"/>
        <v>-3393.9226314425468</v>
      </c>
      <c r="J20" s="325" t="e">
        <f ca="1"/>
        <v>#N/A</v>
      </c>
    </row>
    <row r="21" spans="2:10">
      <c r="B21" s="322" t="str">
        <f ca="1"/>
        <v>USDYC.1M3MBASIS.BASISRATE.20Y</v>
      </c>
      <c r="C21" s="323">
        <f ca="1"/>
        <v>1.3948976993560791E-2</v>
      </c>
      <c r="D21" s="324" t="str">
        <f ca="1"/>
        <v>USDYC.3M6MBASIS.BASISRATE.20Y</v>
      </c>
      <c r="E21" s="323">
        <f ca="1"/>
        <v>7.1138307452201843</v>
      </c>
      <c r="F21" s="324" t="str">
        <f ca="1"/>
        <v>USDYC.OIS.BASISRATE.2Y</v>
      </c>
      <c r="G21" s="323">
        <f ca="1"/>
        <v>468.75782869756222</v>
      </c>
      <c r="H21" s="324" t="str">
        <f ca="1"/>
        <v>USDYC.STD.FUTURE.ED8 COMDTY.20210915.20211215</v>
      </c>
      <c r="I21" s="323">
        <f ca="1"/>
        <v>-6149.9478533864021</v>
      </c>
      <c r="J21" s="325" t="e">
        <f ca="1"/>
        <v>#N/A</v>
      </c>
    </row>
    <row r="22" spans="2:10">
      <c r="B22" s="322" t="str">
        <f ca="1"/>
        <v>USDYC.1M3MBASIS.BASISRATE.25Y</v>
      </c>
      <c r="C22" s="323">
        <f ca="1"/>
        <v>1.5448033809661865E-2</v>
      </c>
      <c r="D22" s="324" t="str">
        <f ca="1"/>
        <v>USDYC.3M6MBASIS.BASISRATE.25Y</v>
      </c>
      <c r="E22" s="323">
        <f ca="1"/>
        <v>-1.9990168511867523</v>
      </c>
      <c r="F22" s="324" t="str">
        <f ca="1"/>
        <v>USDYC.OIS.3MLIBORSWAP.2Y</v>
      </c>
      <c r="G22" s="323">
        <f ca="1"/>
        <v>-466.527945920825</v>
      </c>
      <c r="H22" s="324" t="str">
        <f ca="1"/>
        <v>USDYC.STD.3MLIBORSWAP.3Y</v>
      </c>
      <c r="I22" s="323">
        <f ca="1"/>
        <v>42847.690506279469</v>
      </c>
      <c r="J22" s="325" t="e">
        <f ca="1"/>
        <v>#N/A</v>
      </c>
    </row>
    <row r="23" spans="2:10">
      <c r="B23" s="322" t="str">
        <f ca="1"/>
        <v>USDYC.1M3MBASIS.BASISRATE.30Y</v>
      </c>
      <c r="C23" s="323">
        <f ca="1"/>
        <v>9.0390443801879883E-3</v>
      </c>
      <c r="D23" s="324" t="str">
        <f ca="1"/>
        <v>USDYC.3M6MBASIS.BASISRATE.30Y</v>
      </c>
      <c r="E23" s="323">
        <f ca="1"/>
        <v>0.30245482921600342</v>
      </c>
      <c r="F23" s="324" t="str">
        <f ca="1"/>
        <v>USDYC.OIS.BASISRATE.3Y</v>
      </c>
      <c r="G23" s="323">
        <f ca="1"/>
        <v>1060.0153561681509</v>
      </c>
      <c r="H23" s="324" t="str">
        <f ca="1"/>
        <v>USDYC.STD.3MLIBORSWAP.4Y</v>
      </c>
      <c r="I23" s="323">
        <f ca="1"/>
        <v>-52818.64371150732</v>
      </c>
      <c r="J23" s="325" t="e">
        <f ca="1"/>
        <v>#N/A</v>
      </c>
    </row>
    <row r="24" spans="2:10">
      <c r="B24" s="322" t="str">
        <f ca="1"/>
        <v/>
      </c>
      <c r="C24" s="323" t="str">
        <f ca="1"/>
        <v/>
      </c>
      <c r="D24" s="324" t="str">
        <f ca="1"/>
        <v/>
      </c>
      <c r="E24" s="323" t="str">
        <f ca="1"/>
        <v/>
      </c>
      <c r="F24" s="324" t="str">
        <f ca="1"/>
        <v>USDYC.OIS.3MLIBORSWAP.3Y</v>
      </c>
      <c r="G24" s="323">
        <f ca="1"/>
        <v>41803.831661492586</v>
      </c>
      <c r="H24" s="324" t="str">
        <f ca="1"/>
        <v>USDYC.STD.3MLIBORSWAP.5Y</v>
      </c>
      <c r="I24" s="323">
        <f ca="1"/>
        <v>153877.73482427001</v>
      </c>
      <c r="J24" s="325" t="e">
        <f ca="1"/>
        <v>#N/A</v>
      </c>
    </row>
    <row r="25" spans="2:10">
      <c r="B25" s="322" t="str">
        <f ca="1"/>
        <v/>
      </c>
      <c r="C25" s="323" t="str">
        <f ca="1"/>
        <v/>
      </c>
      <c r="D25" s="324" t="str">
        <f ca="1"/>
        <v/>
      </c>
      <c r="E25" s="323" t="str">
        <f ca="1"/>
        <v/>
      </c>
      <c r="F25" s="324" t="str">
        <f ca="1"/>
        <v>USDYC.OIS.BASISRATE.4Y</v>
      </c>
      <c r="G25" s="323">
        <f ca="1"/>
        <v>585.88586039841175</v>
      </c>
      <c r="H25" s="324" t="str">
        <f ca="1"/>
        <v>USDYC.STD.3MLIBORSWAP.7Y</v>
      </c>
      <c r="I25" s="323">
        <f ca="1"/>
        <v>321708.5918687284</v>
      </c>
      <c r="J25" s="325" t="e">
        <f ca="1"/>
        <v>#N/A</v>
      </c>
    </row>
    <row r="26" spans="2:10">
      <c r="B26" s="322" t="str">
        <f ca="1"/>
        <v/>
      </c>
      <c r="C26" s="323" t="str">
        <f ca="1"/>
        <v/>
      </c>
      <c r="D26" s="324" t="str">
        <f ca="1"/>
        <v/>
      </c>
      <c r="E26" s="323" t="str">
        <f ca="1"/>
        <v/>
      </c>
      <c r="F26" s="324" t="str">
        <f ca="1"/>
        <v>USDYC.OIS.3MLIBORSWAP.4Y</v>
      </c>
      <c r="G26" s="323">
        <f ca="1"/>
        <v>-53396.455866843462</v>
      </c>
      <c r="H26" s="324" t="str">
        <f ca="1"/>
        <v>USDYC.STD.3MLIBORSWAP.8Y</v>
      </c>
      <c r="I26" s="323">
        <f ca="1"/>
        <v>-138418.36224645376</v>
      </c>
      <c r="J26" s="325" t="e">
        <f ca="1"/>
        <v>#N/A</v>
      </c>
    </row>
    <row r="27" spans="2:10">
      <c r="B27" s="322" t="str">
        <f ca="1"/>
        <v/>
      </c>
      <c r="C27" s="323" t="str">
        <f ca="1"/>
        <v/>
      </c>
      <c r="D27" s="324" t="str">
        <f ca="1"/>
        <v/>
      </c>
      <c r="E27" s="323" t="str">
        <f ca="1"/>
        <v/>
      </c>
      <c r="F27" s="324" t="str">
        <f ca="1"/>
        <v>USDYC.OIS.BASISRATE.5Y</v>
      </c>
      <c r="G27" s="323">
        <f ca="1"/>
        <v>2869.3310931324959</v>
      </c>
      <c r="H27" s="324" t="str">
        <f ca="1"/>
        <v>USDYC.STD.3MLIBORSWAP.9Y</v>
      </c>
      <c r="I27" s="323">
        <f ca="1"/>
        <v>40985.316704958677</v>
      </c>
      <c r="J27" s="325" t="e">
        <f ca="1"/>
        <v>#N/A</v>
      </c>
    </row>
    <row r="28" spans="2:10">
      <c r="B28" s="322" t="str">
        <f ca="1"/>
        <v/>
      </c>
      <c r="C28" s="323" t="str">
        <f ca="1"/>
        <v/>
      </c>
      <c r="D28" s="324" t="str">
        <f ca="1"/>
        <v/>
      </c>
      <c r="E28" s="323" t="str">
        <f ca="1"/>
        <v/>
      </c>
      <c r="F28" s="324" t="str">
        <f ca="1"/>
        <v>USDYC.OIS.3MLIBORSWAP.5Y</v>
      </c>
      <c r="G28" s="323">
        <f ca="1"/>
        <v>151053.27536575496</v>
      </c>
      <c r="H28" s="324" t="str">
        <f ca="1"/>
        <v>USDYC.STD.3MLIBORSWAP.10Y</v>
      </c>
      <c r="I28" s="323">
        <f ca="1"/>
        <v>-9848.3820378780365</v>
      </c>
      <c r="J28" s="325" t="e">
        <f ca="1"/>
        <v>#N/A</v>
      </c>
    </row>
    <row r="29" spans="2:10">
      <c r="B29" s="322" t="str">
        <f ca="1"/>
        <v/>
      </c>
      <c r="C29" s="323" t="str">
        <f ca="1"/>
        <v/>
      </c>
      <c r="D29" s="324" t="str">
        <f ca="1"/>
        <v/>
      </c>
      <c r="E29" s="323" t="str">
        <f ca="1"/>
        <v/>
      </c>
      <c r="F29" s="324" t="str">
        <f ca="1"/>
        <v>USDYC.OIS.BASISRATE.7Y</v>
      </c>
      <c r="G29" s="323">
        <f ca="1"/>
        <v>914.32564035058022</v>
      </c>
      <c r="H29" s="324" t="str">
        <f ca="1"/>
        <v>USDYC.STD.3MLIBORSWAP.12Y</v>
      </c>
      <c r="I29" s="323">
        <f ca="1"/>
        <v>1141.2269309163094</v>
      </c>
      <c r="J29" s="325" t="e">
        <f ca="1"/>
        <v>#N/A</v>
      </c>
    </row>
    <row r="30" spans="2:10">
      <c r="B30" s="322" t="str">
        <f ca="1"/>
        <v/>
      </c>
      <c r="C30" s="323" t="str">
        <f ca="1"/>
        <v/>
      </c>
      <c r="D30" s="324" t="str">
        <f ca="1"/>
        <v/>
      </c>
      <c r="E30" s="323" t="str">
        <f ca="1"/>
        <v/>
      </c>
      <c r="F30" s="324" t="str">
        <f ca="1"/>
        <v>USDYC.OIS.3MLIBORSWAP.7Y</v>
      </c>
      <c r="G30" s="323">
        <f ca="1"/>
        <v>320807.05369599164</v>
      </c>
      <c r="H30" s="324" t="str">
        <f ca="1"/>
        <v>USDYC.STD.3MLIBORSWAP.15Y</v>
      </c>
      <c r="I30" s="323">
        <f ca="1"/>
        <v>-201.13051384687424</v>
      </c>
      <c r="J30" s="325" t="e">
        <f ca="1"/>
        <v>#N/A</v>
      </c>
    </row>
    <row r="31" spans="2:10">
      <c r="B31" s="322" t="str">
        <f ca="1"/>
        <v/>
      </c>
      <c r="C31" s="323" t="str">
        <f ca="1"/>
        <v/>
      </c>
      <c r="D31" s="324" t="str">
        <f ca="1"/>
        <v/>
      </c>
      <c r="E31" s="323" t="str">
        <f ca="1"/>
        <v/>
      </c>
      <c r="F31" s="324" t="str">
        <f ca="1"/>
        <v>USDYC.OIS.BASISRATE.10Y</v>
      </c>
      <c r="G31" s="323">
        <f ca="1"/>
        <v>-120.01152075827122</v>
      </c>
      <c r="H31" s="324" t="str">
        <f ca="1"/>
        <v>USDYC.STD.3MLIBORSWAP.20Y</v>
      </c>
      <c r="I31" s="323">
        <f ca="1"/>
        <v>33.068273216485977</v>
      </c>
      <c r="J31" s="325" t="e">
        <f ca="1"/>
        <v>#N/A</v>
      </c>
    </row>
    <row r="32" spans="2:10">
      <c r="B32" s="322" t="str">
        <f ca="1"/>
        <v/>
      </c>
      <c r="C32" s="323" t="str">
        <f ca="1"/>
        <v/>
      </c>
      <c r="D32" s="324" t="str">
        <f ca="1"/>
        <v/>
      </c>
      <c r="E32" s="323" t="str">
        <f ca="1"/>
        <v/>
      </c>
      <c r="F32" s="324" t="str">
        <f ca="1"/>
        <v>USDYC.OIS.3MLIBORSWAP.10Y</v>
      </c>
      <c r="G32" s="323">
        <f ca="1"/>
        <v>-9730.1003705710173</v>
      </c>
      <c r="H32" s="324" t="str">
        <f ca="1"/>
        <v>USDYC.STD.3MLIBORSWAP.25Y</v>
      </c>
      <c r="I32" s="323">
        <f ca="1"/>
        <v>-12.435080856084824</v>
      </c>
      <c r="J32" s="325" t="e">
        <f ca="1"/>
        <v>#N/A</v>
      </c>
    </row>
    <row r="33" spans="2:10">
      <c r="B33" s="322" t="str">
        <f ca="1"/>
        <v/>
      </c>
      <c r="C33" s="323" t="str">
        <f ca="1"/>
        <v/>
      </c>
      <c r="D33" s="324" t="str">
        <f ca="1"/>
        <v/>
      </c>
      <c r="E33" s="323" t="str">
        <f ca="1"/>
        <v/>
      </c>
      <c r="F33" s="324" t="str">
        <f ca="1"/>
        <v>USDYC.OIS.BASISRATE.12Y</v>
      </c>
      <c r="G33" s="323">
        <f ca="1"/>
        <v>38.454100117087364</v>
      </c>
      <c r="H33" s="324" t="str">
        <f ca="1"/>
        <v>USDYC.STD.3MLIBORSWAP.30Y</v>
      </c>
      <c r="I33" s="323">
        <f ca="1"/>
        <v>8.439568430185318</v>
      </c>
      <c r="J33" s="325" t="e">
        <f ca="1"/>
        <v>#N/A</v>
      </c>
    </row>
    <row r="34" spans="2:10">
      <c r="B34" s="322" t="str">
        <f ca="1"/>
        <v/>
      </c>
      <c r="C34" s="323" t="str">
        <f ca="1"/>
        <v/>
      </c>
      <c r="D34" s="324" t="str">
        <f ca="1"/>
        <v/>
      </c>
      <c r="E34" s="323" t="str">
        <f ca="1"/>
        <v/>
      </c>
      <c r="F34" s="324" t="str">
        <f ca="1"/>
        <v>USDYC.OIS.3MLIBORSWAP.12Y</v>
      </c>
      <c r="G34" s="323">
        <f ca="1"/>
        <v>1100.4322946071625</v>
      </c>
      <c r="H34" s="324" t="str">
        <f ca="1"/>
        <v/>
      </c>
      <c r="I34" s="323" t="str">
        <f ca="1"/>
        <v/>
      </c>
      <c r="J34" s="325" t="e">
        <f ca="1"/>
        <v>#N/A</v>
      </c>
    </row>
    <row r="35" spans="2:10">
      <c r="B35" s="322" t="str">
        <f ca="1"/>
        <v/>
      </c>
      <c r="C35" s="323" t="str">
        <f ca="1"/>
        <v/>
      </c>
      <c r="D35" s="324" t="str">
        <f ca="1"/>
        <v/>
      </c>
      <c r="E35" s="323" t="str">
        <f ca="1"/>
        <v/>
      </c>
      <c r="F35" s="324" t="str">
        <f ca="1"/>
        <v>USDYC.OIS.BASISRATE.15Y</v>
      </c>
      <c r="G35" s="323">
        <f ca="1"/>
        <v>-4.8461657017469406</v>
      </c>
      <c r="H35" s="324" t="str">
        <f ca="1"/>
        <v/>
      </c>
      <c r="I35" s="323" t="str">
        <f ca="1"/>
        <v/>
      </c>
      <c r="J35" s="325" t="e">
        <f ca="1"/>
        <v>#N/A</v>
      </c>
    </row>
    <row r="36" spans="2:10">
      <c r="B36" s="322" t="str">
        <f ca="1"/>
        <v/>
      </c>
      <c r="C36" s="323" t="str">
        <f ca="1"/>
        <v/>
      </c>
      <c r="D36" s="324" t="str">
        <f ca="1"/>
        <v/>
      </c>
      <c r="E36" s="323" t="str">
        <f ca="1"/>
        <v/>
      </c>
      <c r="F36" s="324" t="str">
        <f ca="1"/>
        <v>USDYC.OIS.3MLIBORSWAP.15Y</v>
      </c>
      <c r="G36" s="323">
        <f ca="1"/>
        <v>-198.31774458289146</v>
      </c>
      <c r="H36" s="324" t="str">
        <f ca="1"/>
        <v/>
      </c>
      <c r="I36" s="323" t="str">
        <f ca="1"/>
        <v/>
      </c>
      <c r="J36" s="325" t="e">
        <f ca="1"/>
        <v>#N/A</v>
      </c>
    </row>
    <row r="37" spans="2:10">
      <c r="B37" s="322" t="str">
        <f ca="1"/>
        <v/>
      </c>
      <c r="C37" s="323" t="str">
        <f ca="1"/>
        <v/>
      </c>
      <c r="D37" s="324" t="str">
        <f ca="1"/>
        <v/>
      </c>
      <c r="E37" s="323" t="str">
        <f ca="1"/>
        <v/>
      </c>
      <c r="F37" s="324" t="str">
        <f ca="1"/>
        <v>USDYC.OIS.BASISRATE.20Y</v>
      </c>
      <c r="G37" s="323">
        <f ca="1"/>
        <v>1.2542527168989182</v>
      </c>
      <c r="H37" s="324" t="str">
        <f ca="1"/>
        <v/>
      </c>
      <c r="I37" s="323" t="str">
        <f ca="1"/>
        <v/>
      </c>
      <c r="J37" s="325" t="e">
        <f ca="1"/>
        <v>#N/A</v>
      </c>
    </row>
    <row r="38" spans="2:10">
      <c r="B38" s="322" t="str">
        <f ca="1"/>
        <v/>
      </c>
      <c r="C38" s="323" t="str">
        <f ca="1"/>
        <v/>
      </c>
      <c r="D38" s="324" t="str">
        <f ca="1"/>
        <v/>
      </c>
      <c r="E38" s="323" t="str">
        <f ca="1"/>
        <v/>
      </c>
      <c r="F38" s="324" t="str">
        <f ca="1"/>
        <v>USDYC.OIS.3MLIBORSWAP.20Y</v>
      </c>
      <c r="G38" s="323">
        <f ca="1"/>
        <v>34.825550392270088</v>
      </c>
      <c r="H38" s="324" t="str">
        <f ca="1"/>
        <v/>
      </c>
      <c r="I38" s="323" t="str">
        <f ca="1"/>
        <v/>
      </c>
      <c r="J38" s="325" t="e">
        <f ca="1"/>
        <v>#N/A</v>
      </c>
    </row>
    <row r="39" spans="2:10">
      <c r="B39" s="322" t="str">
        <f ca="1"/>
        <v/>
      </c>
      <c r="C39" s="323" t="str">
        <f ca="1"/>
        <v/>
      </c>
      <c r="D39" s="324" t="str">
        <f ca="1"/>
        <v/>
      </c>
      <c r="E39" s="323" t="str">
        <f ca="1"/>
        <v/>
      </c>
      <c r="F39" s="324" t="str">
        <f ca="1"/>
        <v>USDYC.OIS.BASISRATE.25Y</v>
      </c>
      <c r="G39" s="323">
        <f ca="1"/>
        <v>-1.549161970615387E-2</v>
      </c>
      <c r="H39" s="324" t="str">
        <f ca="1"/>
        <v/>
      </c>
      <c r="I39" s="323" t="str">
        <f ca="1"/>
        <v/>
      </c>
      <c r="J39" s="325" t="e">
        <f ca="1"/>
        <v>#N/A</v>
      </c>
    </row>
    <row r="40" spans="2:10">
      <c r="B40" s="322" t="str">
        <f ca="1"/>
        <v/>
      </c>
      <c r="C40" s="323" t="str">
        <f ca="1"/>
        <v/>
      </c>
      <c r="D40" s="324" t="str">
        <f ca="1"/>
        <v/>
      </c>
      <c r="E40" s="323" t="str">
        <f ca="1"/>
        <v/>
      </c>
      <c r="F40" s="324" t="str">
        <f ca="1"/>
        <v>USDYC.OIS.3MLIBORSWAP.25Y</v>
      </c>
      <c r="G40" s="323">
        <f ca="1"/>
        <v>-24.449228122830391</v>
      </c>
      <c r="H40" s="324" t="str">
        <f ca="1"/>
        <v/>
      </c>
      <c r="I40" s="323" t="str">
        <f ca="1"/>
        <v/>
      </c>
      <c r="J40" s="325" t="e">
        <f ca="1"/>
        <v>#N/A</v>
      </c>
    </row>
    <row r="41" spans="2:10">
      <c r="B41" s="322" t="str">
        <f ca="1"/>
        <v/>
      </c>
      <c r="C41" s="323" t="str">
        <f ca="1"/>
        <v/>
      </c>
      <c r="D41" s="324" t="str">
        <f ca="1"/>
        <v/>
      </c>
      <c r="E41" s="323" t="str">
        <f ca="1"/>
        <v/>
      </c>
      <c r="F41" s="324" t="str">
        <f ca="1"/>
        <v>USDYC.OIS.BASISRATE.30Y</v>
      </c>
      <c r="G41" s="323">
        <f ca="1"/>
        <v>2.6627395302057266</v>
      </c>
      <c r="H41" s="324" t="str">
        <f ca="1"/>
        <v/>
      </c>
      <c r="I41" s="323" t="str">
        <f ca="1"/>
        <v/>
      </c>
      <c r="J41" s="325" t="e">
        <f ca="1"/>
        <v>#N/A</v>
      </c>
    </row>
    <row r="42" spans="2:10">
      <c r="B42" s="322" t="str">
        <f ca="1"/>
        <v/>
      </c>
      <c r="C42" s="323" t="str">
        <f ca="1"/>
        <v/>
      </c>
      <c r="D42" s="324" t="str">
        <f ca="1"/>
        <v/>
      </c>
      <c r="E42" s="323" t="str">
        <f ca="1"/>
        <v/>
      </c>
      <c r="F42" s="324" t="str">
        <f ca="1"/>
        <v>USDYC.OIS.3MLIBORSWAP.30Y</v>
      </c>
      <c r="G42" s="323">
        <f ca="1"/>
        <v>0.53372196853160858</v>
      </c>
      <c r="H42" s="324" t="str">
        <f ca="1"/>
        <v/>
      </c>
      <c r="I42" s="323" t="str">
        <f ca="1"/>
        <v/>
      </c>
      <c r="J42" s="325" t="e">
        <f ca="1"/>
        <v>#N/A</v>
      </c>
    </row>
    <row r="43" spans="2:10">
      <c r="B43" s="322" t="e">
        <f ca="1"/>
        <v>#N/A</v>
      </c>
      <c r="C43" s="323" t="e">
        <f ca="1"/>
        <v>#N/A</v>
      </c>
      <c r="D43" s="324" t="e">
        <f ca="1"/>
        <v>#N/A</v>
      </c>
      <c r="E43" s="323" t="e">
        <f ca="1"/>
        <v>#N/A</v>
      </c>
      <c r="F43" s="324" t="e">
        <f ca="1"/>
        <v>#N/A</v>
      </c>
      <c r="G43" s="323" t="e">
        <f ca="1"/>
        <v>#N/A</v>
      </c>
      <c r="H43" s="324" t="e">
        <f ca="1"/>
        <v>#N/A</v>
      </c>
      <c r="I43" s="323" t="e">
        <f ca="1"/>
        <v>#N/A</v>
      </c>
      <c r="J43" s="325" t="e">
        <f ca="1"/>
        <v>#N/A</v>
      </c>
    </row>
    <row r="44" spans="2:10">
      <c r="B44" s="322" t="e">
        <f ca="1"/>
        <v>#N/A</v>
      </c>
      <c r="C44" s="323" t="e">
        <f ca="1"/>
        <v>#N/A</v>
      </c>
      <c r="D44" s="324" t="e">
        <f ca="1"/>
        <v>#N/A</v>
      </c>
      <c r="E44" s="323" t="e">
        <f ca="1"/>
        <v>#N/A</v>
      </c>
      <c r="F44" s="324" t="e">
        <f ca="1"/>
        <v>#N/A</v>
      </c>
      <c r="G44" s="323" t="e">
        <f ca="1"/>
        <v>#N/A</v>
      </c>
      <c r="H44" s="324" t="e">
        <f ca="1"/>
        <v>#N/A</v>
      </c>
      <c r="I44" s="323" t="e">
        <f ca="1"/>
        <v>#N/A</v>
      </c>
      <c r="J44" s="325" t="e">
        <f ca="1"/>
        <v>#N/A</v>
      </c>
    </row>
    <row r="45" spans="2:10">
      <c r="B45" s="322" t="e">
        <f ca="1"/>
        <v>#N/A</v>
      </c>
      <c r="C45" s="323" t="e">
        <f ca="1"/>
        <v>#N/A</v>
      </c>
      <c r="D45" s="324" t="e">
        <f ca="1"/>
        <v>#N/A</v>
      </c>
      <c r="E45" s="323" t="e">
        <f ca="1"/>
        <v>#N/A</v>
      </c>
      <c r="F45" s="324" t="e">
        <f ca="1"/>
        <v>#N/A</v>
      </c>
      <c r="G45" s="323" t="e">
        <f ca="1"/>
        <v>#N/A</v>
      </c>
      <c r="H45" s="324" t="e">
        <f ca="1"/>
        <v>#N/A</v>
      </c>
      <c r="I45" s="323" t="e">
        <f ca="1"/>
        <v>#N/A</v>
      </c>
      <c r="J45" s="325" t="e">
        <f ca="1"/>
        <v>#N/A</v>
      </c>
    </row>
    <row r="46" spans="2:10">
      <c r="B46" s="322" t="e">
        <f ca="1"/>
        <v>#N/A</v>
      </c>
      <c r="C46" s="323" t="e">
        <f ca="1"/>
        <v>#N/A</v>
      </c>
      <c r="D46" s="324" t="e">
        <f ca="1"/>
        <v>#N/A</v>
      </c>
      <c r="E46" s="323" t="e">
        <f ca="1"/>
        <v>#N/A</v>
      </c>
      <c r="F46" s="324" t="e">
        <f ca="1"/>
        <v>#N/A</v>
      </c>
      <c r="G46" s="323" t="e">
        <f ca="1"/>
        <v>#N/A</v>
      </c>
      <c r="H46" s="324" t="e">
        <f ca="1"/>
        <v>#N/A</v>
      </c>
      <c r="I46" s="323" t="e">
        <f ca="1"/>
        <v>#N/A</v>
      </c>
      <c r="J46" s="325" t="e">
        <f ca="1"/>
        <v>#N/A</v>
      </c>
    </row>
    <row r="47" spans="2:10">
      <c r="B47" s="322" t="e">
        <f ca="1"/>
        <v>#N/A</v>
      </c>
      <c r="C47" s="323" t="e">
        <f ca="1"/>
        <v>#N/A</v>
      </c>
      <c r="D47" s="324" t="e">
        <f ca="1"/>
        <v>#N/A</v>
      </c>
      <c r="E47" s="323" t="e">
        <f ca="1"/>
        <v>#N/A</v>
      </c>
      <c r="F47" s="324" t="e">
        <f ca="1"/>
        <v>#N/A</v>
      </c>
      <c r="G47" s="323" t="e">
        <f ca="1"/>
        <v>#N/A</v>
      </c>
      <c r="H47" s="324" t="e">
        <f ca="1"/>
        <v>#N/A</v>
      </c>
      <c r="I47" s="323" t="e">
        <f ca="1"/>
        <v>#N/A</v>
      </c>
      <c r="J47" s="325" t="e">
        <f ca="1"/>
        <v>#N/A</v>
      </c>
    </row>
    <row r="48" spans="2:10">
      <c r="B48" s="322" t="e">
        <f ca="1"/>
        <v>#N/A</v>
      </c>
      <c r="C48" s="323" t="e">
        <f ca="1"/>
        <v>#N/A</v>
      </c>
      <c r="D48" s="324" t="e">
        <f ca="1"/>
        <v>#N/A</v>
      </c>
      <c r="E48" s="323" t="e">
        <f ca="1"/>
        <v>#N/A</v>
      </c>
      <c r="F48" s="324" t="e">
        <f ca="1"/>
        <v>#N/A</v>
      </c>
      <c r="G48" s="323" t="e">
        <f ca="1"/>
        <v>#N/A</v>
      </c>
      <c r="H48" s="324" t="e">
        <f ca="1"/>
        <v>#N/A</v>
      </c>
      <c r="I48" s="323" t="e">
        <f ca="1"/>
        <v>#N/A</v>
      </c>
      <c r="J48" s="325" t="e">
        <f ca="1"/>
        <v>#N/A</v>
      </c>
    </row>
    <row r="49" spans="2:10">
      <c r="B49" s="322" t="e">
        <f ca="1"/>
        <v>#N/A</v>
      </c>
      <c r="C49" s="323" t="e">
        <f ca="1"/>
        <v>#N/A</v>
      </c>
      <c r="D49" s="324" t="e">
        <f ca="1"/>
        <v>#N/A</v>
      </c>
      <c r="E49" s="323" t="e">
        <f ca="1"/>
        <v>#N/A</v>
      </c>
      <c r="F49" s="324" t="e">
        <f ca="1"/>
        <v>#N/A</v>
      </c>
      <c r="G49" s="323" t="e">
        <f ca="1"/>
        <v>#N/A</v>
      </c>
      <c r="H49" s="324" t="e">
        <f ca="1"/>
        <v>#N/A</v>
      </c>
      <c r="I49" s="323" t="e">
        <f ca="1"/>
        <v>#N/A</v>
      </c>
      <c r="J49" s="325" t="e">
        <f ca="1"/>
        <v>#N/A</v>
      </c>
    </row>
    <row r="50" spans="2:10">
      <c r="B50" s="322" t="e">
        <f ca="1"/>
        <v>#N/A</v>
      </c>
      <c r="C50" s="323" t="e">
        <f ca="1"/>
        <v>#N/A</v>
      </c>
      <c r="D50" s="324" t="e">
        <f ca="1"/>
        <v>#N/A</v>
      </c>
      <c r="E50" s="323" t="e">
        <f ca="1"/>
        <v>#N/A</v>
      </c>
      <c r="F50" s="324" t="e">
        <f ca="1"/>
        <v>#N/A</v>
      </c>
      <c r="G50" s="323" t="e">
        <f ca="1"/>
        <v>#N/A</v>
      </c>
      <c r="H50" s="324" t="e">
        <f ca="1"/>
        <v>#N/A</v>
      </c>
      <c r="I50" s="323" t="e">
        <f ca="1"/>
        <v>#N/A</v>
      </c>
      <c r="J50" s="325" t="e">
        <f ca="1"/>
        <v>#N/A</v>
      </c>
    </row>
    <row r="51" spans="2:10">
      <c r="B51" s="322" t="e">
        <f ca="1"/>
        <v>#N/A</v>
      </c>
      <c r="C51" s="323" t="e">
        <f ca="1"/>
        <v>#N/A</v>
      </c>
      <c r="D51" s="324" t="e">
        <f ca="1"/>
        <v>#N/A</v>
      </c>
      <c r="E51" s="323" t="e">
        <f ca="1"/>
        <v>#N/A</v>
      </c>
      <c r="F51" s="324" t="e">
        <f ca="1"/>
        <v>#N/A</v>
      </c>
      <c r="G51" s="323" t="e">
        <f ca="1"/>
        <v>#N/A</v>
      </c>
      <c r="H51" s="324" t="e">
        <f ca="1"/>
        <v>#N/A</v>
      </c>
      <c r="I51" s="323" t="e">
        <f ca="1"/>
        <v>#N/A</v>
      </c>
      <c r="J51" s="325" t="e">
        <f ca="1"/>
        <v>#N/A</v>
      </c>
    </row>
    <row r="52" spans="2:10">
      <c r="B52" s="322" t="e">
        <f ca="1"/>
        <v>#N/A</v>
      </c>
      <c r="C52" s="323" t="e">
        <f ca="1"/>
        <v>#N/A</v>
      </c>
      <c r="D52" s="324" t="e">
        <f ca="1"/>
        <v>#N/A</v>
      </c>
      <c r="E52" s="323" t="e">
        <f ca="1"/>
        <v>#N/A</v>
      </c>
      <c r="F52" s="324" t="e">
        <f ca="1"/>
        <v>#N/A</v>
      </c>
      <c r="G52" s="323" t="e">
        <f ca="1"/>
        <v>#N/A</v>
      </c>
      <c r="H52" s="324" t="e">
        <f ca="1"/>
        <v>#N/A</v>
      </c>
      <c r="I52" s="323" t="e">
        <f ca="1"/>
        <v>#N/A</v>
      </c>
      <c r="J52" s="325" t="e">
        <f ca="1"/>
        <v>#N/A</v>
      </c>
    </row>
    <row r="53" spans="2:10">
      <c r="B53" s="322" t="e">
        <f ca="1"/>
        <v>#N/A</v>
      </c>
      <c r="C53" s="323" t="e">
        <f ca="1"/>
        <v>#N/A</v>
      </c>
      <c r="D53" s="324" t="e">
        <f ca="1"/>
        <v>#N/A</v>
      </c>
      <c r="E53" s="323" t="e">
        <f ca="1"/>
        <v>#N/A</v>
      </c>
      <c r="F53" s="324" t="e">
        <f ca="1"/>
        <v>#N/A</v>
      </c>
      <c r="G53" s="323" t="e">
        <f ca="1"/>
        <v>#N/A</v>
      </c>
      <c r="H53" s="324" t="e">
        <f ca="1"/>
        <v>#N/A</v>
      </c>
      <c r="I53" s="323" t="e">
        <f ca="1"/>
        <v>#N/A</v>
      </c>
      <c r="J53" s="325" t="e">
        <f ca="1"/>
        <v>#N/A</v>
      </c>
    </row>
    <row r="54" spans="2:10">
      <c r="B54" s="322" t="e">
        <f ca="1"/>
        <v>#N/A</v>
      </c>
      <c r="C54" s="323" t="e">
        <f ca="1"/>
        <v>#N/A</v>
      </c>
      <c r="D54" s="324" t="e">
        <f ca="1"/>
        <v>#N/A</v>
      </c>
      <c r="E54" s="323" t="e">
        <f ca="1"/>
        <v>#N/A</v>
      </c>
      <c r="F54" s="324" t="e">
        <f ca="1"/>
        <v>#N/A</v>
      </c>
      <c r="G54" s="323" t="e">
        <f ca="1"/>
        <v>#N/A</v>
      </c>
      <c r="H54" s="324" t="e">
        <f ca="1"/>
        <v>#N/A</v>
      </c>
      <c r="I54" s="323" t="e">
        <f ca="1"/>
        <v>#N/A</v>
      </c>
      <c r="J54" s="325" t="e">
        <f ca="1"/>
        <v>#N/A</v>
      </c>
    </row>
    <row r="55" spans="2:10">
      <c r="B55" s="322" t="e">
        <f ca="1"/>
        <v>#N/A</v>
      </c>
      <c r="C55" s="323" t="e">
        <f ca="1"/>
        <v>#N/A</v>
      </c>
      <c r="D55" s="324" t="e">
        <f ca="1"/>
        <v>#N/A</v>
      </c>
      <c r="E55" s="323" t="e">
        <f ca="1"/>
        <v>#N/A</v>
      </c>
      <c r="F55" s="324" t="e">
        <f ca="1"/>
        <v>#N/A</v>
      </c>
      <c r="G55" s="323" t="e">
        <f ca="1"/>
        <v>#N/A</v>
      </c>
      <c r="H55" s="324" t="e">
        <f ca="1"/>
        <v>#N/A</v>
      </c>
      <c r="I55" s="323" t="e">
        <f ca="1"/>
        <v>#N/A</v>
      </c>
      <c r="J55" s="325" t="e">
        <f ca="1"/>
        <v>#N/A</v>
      </c>
    </row>
    <row r="56" spans="2:10">
      <c r="B56" s="322" t="e">
        <f ca="1"/>
        <v>#N/A</v>
      </c>
      <c r="C56" s="323" t="e">
        <f ca="1"/>
        <v>#N/A</v>
      </c>
      <c r="D56" s="324" t="e">
        <f ca="1"/>
        <v>#N/A</v>
      </c>
      <c r="E56" s="323" t="e">
        <f ca="1"/>
        <v>#N/A</v>
      </c>
      <c r="F56" s="324" t="e">
        <f ca="1"/>
        <v>#N/A</v>
      </c>
      <c r="G56" s="323" t="e">
        <f ca="1"/>
        <v>#N/A</v>
      </c>
      <c r="H56" s="324" t="e">
        <f ca="1"/>
        <v>#N/A</v>
      </c>
      <c r="I56" s="323" t="e">
        <f ca="1"/>
        <v>#N/A</v>
      </c>
      <c r="J56" s="325" t="e">
        <f ca="1"/>
        <v>#N/A</v>
      </c>
    </row>
    <row r="57" spans="2:10">
      <c r="B57" s="322" t="e">
        <f ca="1"/>
        <v>#N/A</v>
      </c>
      <c r="C57" s="323" t="e">
        <f ca="1"/>
        <v>#N/A</v>
      </c>
      <c r="D57" s="324" t="e">
        <f ca="1"/>
        <v>#N/A</v>
      </c>
      <c r="E57" s="323" t="e">
        <f ca="1"/>
        <v>#N/A</v>
      </c>
      <c r="F57" s="324" t="e">
        <f ca="1"/>
        <v>#N/A</v>
      </c>
      <c r="G57" s="323" t="e">
        <f ca="1"/>
        <v>#N/A</v>
      </c>
      <c r="H57" s="324" t="e">
        <f ca="1"/>
        <v>#N/A</v>
      </c>
      <c r="I57" s="323" t="e">
        <f ca="1"/>
        <v>#N/A</v>
      </c>
      <c r="J57" s="325" t="e">
        <f ca="1"/>
        <v>#N/A</v>
      </c>
    </row>
    <row r="58" spans="2:10">
      <c r="B58" s="322" t="e">
        <f ca="1"/>
        <v>#N/A</v>
      </c>
      <c r="C58" s="323" t="e">
        <f ca="1"/>
        <v>#N/A</v>
      </c>
      <c r="D58" s="324" t="e">
        <f ca="1"/>
        <v>#N/A</v>
      </c>
      <c r="E58" s="323" t="e">
        <f ca="1"/>
        <v>#N/A</v>
      </c>
      <c r="F58" s="324" t="e">
        <f ca="1"/>
        <v>#N/A</v>
      </c>
      <c r="G58" s="323" t="e">
        <f ca="1"/>
        <v>#N/A</v>
      </c>
      <c r="H58" s="324" t="e">
        <f ca="1"/>
        <v>#N/A</v>
      </c>
      <c r="I58" s="323" t="e">
        <f ca="1"/>
        <v>#N/A</v>
      </c>
      <c r="J58" s="325" t="e">
        <f ca="1"/>
        <v>#N/A</v>
      </c>
    </row>
    <row r="59" spans="2:10">
      <c r="B59" s="322" t="e">
        <f ca="1"/>
        <v>#N/A</v>
      </c>
      <c r="C59" s="323" t="e">
        <f ca="1"/>
        <v>#N/A</v>
      </c>
      <c r="D59" s="324" t="e">
        <f ca="1"/>
        <v>#N/A</v>
      </c>
      <c r="E59" s="323" t="e">
        <f ca="1"/>
        <v>#N/A</v>
      </c>
      <c r="F59" s="324" t="e">
        <f ca="1"/>
        <v>#N/A</v>
      </c>
      <c r="G59" s="323" t="e">
        <f ca="1"/>
        <v>#N/A</v>
      </c>
      <c r="H59" s="324" t="e">
        <f ca="1"/>
        <v>#N/A</v>
      </c>
      <c r="I59" s="323" t="e">
        <f ca="1"/>
        <v>#N/A</v>
      </c>
      <c r="J59" s="325" t="e">
        <f ca="1"/>
        <v>#N/A</v>
      </c>
    </row>
    <row r="60" spans="2:10">
      <c r="B60" s="322" t="e">
        <f ca="1"/>
        <v>#N/A</v>
      </c>
      <c r="C60" s="323" t="e">
        <f ca="1"/>
        <v>#N/A</v>
      </c>
      <c r="D60" s="324" t="e">
        <f ca="1"/>
        <v>#N/A</v>
      </c>
      <c r="E60" s="323" t="e">
        <f ca="1"/>
        <v>#N/A</v>
      </c>
      <c r="F60" s="324" t="e">
        <f ca="1"/>
        <v>#N/A</v>
      </c>
      <c r="G60" s="323" t="e">
        <f ca="1"/>
        <v>#N/A</v>
      </c>
      <c r="H60" s="324" t="e">
        <f ca="1"/>
        <v>#N/A</v>
      </c>
      <c r="I60" s="323" t="e">
        <f ca="1"/>
        <v>#N/A</v>
      </c>
      <c r="J60" s="325" t="e">
        <f ca="1"/>
        <v>#N/A</v>
      </c>
    </row>
    <row r="61" spans="2:10">
      <c r="B61" s="322" t="e">
        <f ca="1"/>
        <v>#N/A</v>
      </c>
      <c r="C61" s="323" t="e">
        <f ca="1"/>
        <v>#N/A</v>
      </c>
      <c r="D61" s="324" t="e">
        <f ca="1"/>
        <v>#N/A</v>
      </c>
      <c r="E61" s="323" t="e">
        <f ca="1"/>
        <v>#N/A</v>
      </c>
      <c r="F61" s="324" t="e">
        <f ca="1"/>
        <v>#N/A</v>
      </c>
      <c r="G61" s="323" t="e">
        <f ca="1"/>
        <v>#N/A</v>
      </c>
      <c r="H61" s="324" t="e">
        <f ca="1"/>
        <v>#N/A</v>
      </c>
      <c r="I61" s="323" t="e">
        <f ca="1"/>
        <v>#N/A</v>
      </c>
      <c r="J61" s="325" t="e">
        <f ca="1"/>
        <v>#N/A</v>
      </c>
    </row>
    <row r="62" spans="2:10">
      <c r="B62" s="326" t="e">
        <f ca="1"/>
        <v>#N/A</v>
      </c>
      <c r="C62" s="327" t="e">
        <f ca="1"/>
        <v>#N/A</v>
      </c>
      <c r="D62" s="328" t="e">
        <f ca="1"/>
        <v>#N/A</v>
      </c>
      <c r="E62" s="327" t="e">
        <f ca="1"/>
        <v>#N/A</v>
      </c>
      <c r="F62" s="328" t="e">
        <f ca="1"/>
        <v>#N/A</v>
      </c>
      <c r="G62" s="327" t="e">
        <f ca="1"/>
        <v>#N/A</v>
      </c>
      <c r="H62" s="328" t="e">
        <f ca="1"/>
        <v>#N/A</v>
      </c>
      <c r="I62" s="327" t="e">
        <f ca="1"/>
        <v>#N/A</v>
      </c>
      <c r="J62" s="329" t="e">
        <f ca="1"/>
        <v>#N/A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5"/>
  <sheetViews>
    <sheetView showGridLines="0" workbookViewId="0"/>
  </sheetViews>
  <sheetFormatPr defaultRowHeight="15"/>
  <cols>
    <col min="2" max="2" width="20.42578125" bestFit="1" customWidth="1"/>
    <col min="3" max="3" width="11.5703125" bestFit="1" customWidth="1"/>
    <col min="4" max="4" width="10.7109375" bestFit="1" customWidth="1"/>
    <col min="6" max="6" width="19.5703125" bestFit="1" customWidth="1"/>
    <col min="7" max="7" width="13.140625" bestFit="1" customWidth="1"/>
    <col min="8" max="8" width="11.140625" bestFit="1" customWidth="1"/>
    <col min="9" max="9" width="17.28515625" bestFit="1" customWidth="1"/>
    <col min="11" max="11" width="11.5703125" bestFit="1" customWidth="1"/>
    <col min="13" max="13" width="10.140625" bestFit="1" customWidth="1"/>
    <col min="14" max="14" width="14.28515625" bestFit="1" customWidth="1"/>
  </cols>
  <sheetData>
    <row r="2" spans="2:15">
      <c r="B2" s="53" t="s">
        <v>40</v>
      </c>
      <c r="E2" s="67"/>
      <c r="F2" s="75"/>
      <c r="H2" s="67"/>
      <c r="I2" s="67"/>
      <c r="J2" s="36"/>
      <c r="K2" s="36"/>
      <c r="L2" s="71"/>
      <c r="N2" s="79"/>
      <c r="O2" s="67"/>
    </row>
    <row r="3" spans="2:15">
      <c r="B3" s="52" t="s">
        <v>41</v>
      </c>
      <c r="C3" s="54">
        <v>43782263.832779162</v>
      </c>
      <c r="E3" s="67"/>
      <c r="F3" s="75"/>
      <c r="H3" s="67"/>
      <c r="I3" s="67"/>
      <c r="J3" s="36"/>
      <c r="K3" s="36"/>
      <c r="L3" s="71"/>
      <c r="N3" s="79"/>
      <c r="O3" s="67"/>
    </row>
    <row r="4" spans="2:15">
      <c r="E4" s="67"/>
      <c r="F4" s="75"/>
      <c r="H4" s="67"/>
      <c r="I4" s="67"/>
      <c r="J4" s="36"/>
      <c r="K4" s="36"/>
      <c r="L4" s="71"/>
      <c r="N4" s="79"/>
      <c r="O4" s="67"/>
    </row>
    <row r="5" spans="2:15">
      <c r="B5" s="50" t="s">
        <v>42</v>
      </c>
      <c r="E5" s="67"/>
      <c r="F5" s="75"/>
      <c r="H5" s="67"/>
      <c r="I5" s="67"/>
      <c r="J5" s="36"/>
      <c r="K5" s="36"/>
      <c r="L5" s="71"/>
      <c r="N5" s="79"/>
      <c r="O5" s="67"/>
    </row>
    <row r="6" spans="2:15">
      <c r="B6" s="55" t="s">
        <v>8</v>
      </c>
      <c r="C6" s="56" t="s">
        <v>9</v>
      </c>
      <c r="D6" s="56" t="s">
        <v>10</v>
      </c>
      <c r="E6" s="68" t="s">
        <v>44</v>
      </c>
      <c r="F6" s="76" t="s">
        <v>45</v>
      </c>
      <c r="G6" s="56" t="s">
        <v>11</v>
      </c>
      <c r="H6" s="68" t="s">
        <v>4</v>
      </c>
      <c r="I6" s="68" t="s">
        <v>26</v>
      </c>
      <c r="J6" s="64" t="s">
        <v>5</v>
      </c>
      <c r="K6" s="64" t="s">
        <v>6</v>
      </c>
      <c r="L6" s="72" t="s">
        <v>46</v>
      </c>
      <c r="M6" s="56" t="s">
        <v>47</v>
      </c>
      <c r="N6" s="80" t="s">
        <v>48</v>
      </c>
      <c r="O6" s="68" t="s">
        <v>49</v>
      </c>
    </row>
    <row r="7" spans="2:15">
      <c r="B7" s="58">
        <v>43734</v>
      </c>
      <c r="C7" s="59">
        <v>43738</v>
      </c>
      <c r="D7" s="59">
        <v>43769</v>
      </c>
      <c r="E7" s="69">
        <v>31</v>
      </c>
      <c r="F7" s="77">
        <v>8.611111111111111E-2</v>
      </c>
      <c r="G7" s="59">
        <v>43773</v>
      </c>
      <c r="H7" s="69">
        <v>38892061.251816697</v>
      </c>
      <c r="I7" s="69">
        <v>0</v>
      </c>
      <c r="J7" s="65">
        <v>1</v>
      </c>
      <c r="K7" s="65">
        <v>0</v>
      </c>
      <c r="L7" s="73">
        <v>2.1550005689736675E-2</v>
      </c>
      <c r="M7" s="59">
        <v>72171.801053137082</v>
      </c>
      <c r="N7" s="81">
        <v>0.99749943205809799</v>
      </c>
      <c r="O7" s="69">
        <v>71991.330561114271</v>
      </c>
    </row>
    <row r="8" spans="2:15">
      <c r="B8" s="58">
        <v>43767</v>
      </c>
      <c r="C8" s="59">
        <v>43769</v>
      </c>
      <c r="D8" s="59">
        <v>43799</v>
      </c>
      <c r="E8" s="69">
        <v>30</v>
      </c>
      <c r="F8" s="77">
        <v>8.3333333333333329E-2</v>
      </c>
      <c r="G8" s="59">
        <v>43802</v>
      </c>
      <c r="H8" s="69">
        <v>53628704.875037499</v>
      </c>
      <c r="I8" s="69">
        <v>0</v>
      </c>
      <c r="J8" s="65">
        <v>1</v>
      </c>
      <c r="K8" s="65">
        <v>0</v>
      </c>
      <c r="L8" s="73">
        <v>2.1047886983287238E-2</v>
      </c>
      <c r="M8" s="59">
        <v>94064.243272487889</v>
      </c>
      <c r="N8" s="81">
        <v>0.9960818579803401</v>
      </c>
      <c r="O8" s="69">
        <v>93695.686208374449</v>
      </c>
    </row>
    <row r="9" spans="2:15">
      <c r="B9" s="58">
        <v>43796</v>
      </c>
      <c r="C9" s="59">
        <v>43799</v>
      </c>
      <c r="D9" s="59">
        <v>43830</v>
      </c>
      <c r="E9" s="69">
        <v>31</v>
      </c>
      <c r="F9" s="77">
        <v>8.611111111111111E-2</v>
      </c>
      <c r="G9" s="59">
        <v>43833</v>
      </c>
      <c r="H9" s="69">
        <v>68386301.244811699</v>
      </c>
      <c r="I9" s="69">
        <v>0</v>
      </c>
      <c r="J9" s="65">
        <v>1</v>
      </c>
      <c r="K9" s="65">
        <v>0</v>
      </c>
      <c r="L9" s="73">
        <v>2.0606631150346822E-2</v>
      </c>
      <c r="M9" s="59">
        <v>121348.74958371803</v>
      </c>
      <c r="N9" s="81">
        <v>0.99459605395547102</v>
      </c>
      <c r="O9" s="69">
        <v>120692.98748839657</v>
      </c>
    </row>
    <row r="10" spans="2:15">
      <c r="B10" s="58">
        <v>43826</v>
      </c>
      <c r="C10" s="59">
        <v>43830</v>
      </c>
      <c r="D10" s="59">
        <v>43861</v>
      </c>
      <c r="E10" s="69">
        <v>31</v>
      </c>
      <c r="F10" s="77">
        <v>8.611111111111111E-2</v>
      </c>
      <c r="G10" s="59">
        <v>43865</v>
      </c>
      <c r="H10" s="69">
        <v>90048520.291204304</v>
      </c>
      <c r="I10" s="69">
        <v>0</v>
      </c>
      <c r="J10" s="65">
        <v>1</v>
      </c>
      <c r="K10" s="65">
        <v>0</v>
      </c>
      <c r="L10" s="73">
        <v>1.9993823885882576E-2</v>
      </c>
      <c r="M10" s="59">
        <v>155035.67203468483</v>
      </c>
      <c r="N10" s="81">
        <v>0.99315744160112573</v>
      </c>
      <c r="O10" s="69">
        <v>153974.83139487877</v>
      </c>
    </row>
    <row r="11" spans="2:15">
      <c r="B11" s="58">
        <v>43859</v>
      </c>
      <c r="C11" s="59">
        <v>43861</v>
      </c>
      <c r="D11" s="59">
        <v>43890</v>
      </c>
      <c r="E11" s="69">
        <v>29</v>
      </c>
      <c r="F11" s="77">
        <v>8.0555555555555561E-2</v>
      </c>
      <c r="G11" s="59">
        <v>43893</v>
      </c>
      <c r="H11" s="69">
        <v>111761755.39710701</v>
      </c>
      <c r="I11" s="69">
        <v>0</v>
      </c>
      <c r="J11" s="65">
        <v>1</v>
      </c>
      <c r="K11" s="65">
        <v>0</v>
      </c>
      <c r="L11" s="73">
        <v>1.891437901481725E-2</v>
      </c>
      <c r="M11" s="59">
        <v>170286.72729812001</v>
      </c>
      <c r="N11" s="81">
        <v>0.99194886380761993</v>
      </c>
      <c r="O11" s="69">
        <v>168915.72566488816</v>
      </c>
    </row>
    <row r="12" spans="2:15">
      <c r="B12" s="58">
        <v>43888</v>
      </c>
      <c r="C12" s="59">
        <v>43890</v>
      </c>
      <c r="D12" s="59">
        <v>43921</v>
      </c>
      <c r="E12" s="69">
        <v>31</v>
      </c>
      <c r="F12" s="77">
        <v>8.611111111111111E-2</v>
      </c>
      <c r="G12" s="59">
        <v>43923</v>
      </c>
      <c r="H12" s="69">
        <v>133484419.987</v>
      </c>
      <c r="I12" s="69">
        <v>0</v>
      </c>
      <c r="J12" s="65">
        <v>1</v>
      </c>
      <c r="K12" s="65">
        <v>0</v>
      </c>
      <c r="L12" s="73">
        <v>1.7965775946305294E-2</v>
      </c>
      <c r="M12" s="59">
        <v>206507.46287799362</v>
      </c>
      <c r="N12" s="81">
        <v>0.99067255112988351</v>
      </c>
      <c r="O12" s="69">
        <v>204581.27507670166</v>
      </c>
    </row>
    <row r="13" spans="2:15">
      <c r="B13" s="58">
        <v>43917</v>
      </c>
      <c r="C13" s="59">
        <v>43921</v>
      </c>
      <c r="D13" s="59">
        <v>43951</v>
      </c>
      <c r="E13" s="69">
        <v>30</v>
      </c>
      <c r="F13" s="77">
        <v>8.3333333333333329E-2</v>
      </c>
      <c r="G13" s="59">
        <v>43955</v>
      </c>
      <c r="H13" s="69">
        <v>159451913.887301</v>
      </c>
      <c r="I13" s="69">
        <v>0</v>
      </c>
      <c r="J13" s="65">
        <v>1</v>
      </c>
      <c r="K13" s="65">
        <v>0</v>
      </c>
      <c r="L13" s="73">
        <v>1.716105416351249E-2</v>
      </c>
      <c r="M13" s="59">
        <v>228030.24422464182</v>
      </c>
      <c r="N13" s="81">
        <v>0.98938436100926275</v>
      </c>
      <c r="O13" s="69">
        <v>225609.55747298338</v>
      </c>
    </row>
    <row r="14" spans="2:15">
      <c r="B14" s="58">
        <v>43949</v>
      </c>
      <c r="C14" s="59">
        <v>43951</v>
      </c>
      <c r="D14" s="59">
        <v>43982</v>
      </c>
      <c r="E14" s="69">
        <v>31</v>
      </c>
      <c r="F14" s="77">
        <v>8.611111111111111E-2</v>
      </c>
      <c r="G14" s="59">
        <v>43984</v>
      </c>
      <c r="H14" s="69">
        <v>179260013.000211</v>
      </c>
      <c r="I14" s="69">
        <v>0</v>
      </c>
      <c r="J14" s="65">
        <v>1</v>
      </c>
      <c r="K14" s="65">
        <v>0</v>
      </c>
      <c r="L14" s="73">
        <v>1.6756225529267848E-2</v>
      </c>
      <c r="M14" s="59">
        <v>258653.77053483797</v>
      </c>
      <c r="N14" s="81">
        <v>0.98825864316840339</v>
      </c>
      <c r="O14" s="69">
        <v>255616.82431915053</v>
      </c>
    </row>
    <row r="15" spans="2:15">
      <c r="B15" s="58">
        <v>43979</v>
      </c>
      <c r="C15" s="59">
        <v>43982</v>
      </c>
      <c r="D15" s="59">
        <v>44012</v>
      </c>
      <c r="E15" s="69">
        <v>30</v>
      </c>
      <c r="F15" s="77">
        <v>8.3333333333333329E-2</v>
      </c>
      <c r="G15" s="59">
        <v>44014</v>
      </c>
      <c r="H15" s="69">
        <v>204391717.56760499</v>
      </c>
      <c r="I15" s="69">
        <v>0</v>
      </c>
      <c r="J15" s="65">
        <v>1</v>
      </c>
      <c r="K15" s="65">
        <v>0</v>
      </c>
      <c r="L15" s="73">
        <v>1.6376698684663495E-2</v>
      </c>
      <c r="M15" s="59">
        <v>278938.46435379237</v>
      </c>
      <c r="N15" s="81">
        <v>0.98710789363405838</v>
      </c>
      <c r="O15" s="69">
        <v>275342.36000179086</v>
      </c>
    </row>
    <row r="16" spans="2:15">
      <c r="B16" s="58">
        <v>44008</v>
      </c>
      <c r="C16" s="59">
        <v>44012</v>
      </c>
      <c r="D16" s="59">
        <v>44043</v>
      </c>
      <c r="E16" s="69">
        <v>31</v>
      </c>
      <c r="F16" s="77">
        <v>8.611111111111111E-2</v>
      </c>
      <c r="G16" s="59">
        <v>44047</v>
      </c>
      <c r="H16" s="69">
        <v>227811896.605591</v>
      </c>
      <c r="I16" s="69">
        <v>0</v>
      </c>
      <c r="J16" s="65">
        <v>1</v>
      </c>
      <c r="K16" s="65">
        <v>0</v>
      </c>
      <c r="L16" s="73">
        <v>1.6037065540538055E-2</v>
      </c>
      <c r="M16" s="59">
        <v>314601.28838922887</v>
      </c>
      <c r="N16" s="81">
        <v>0.98584228442886457</v>
      </c>
      <c r="O16" s="69">
        <v>310147.25282990141</v>
      </c>
    </row>
    <row r="17" spans="2:15">
      <c r="B17" s="58">
        <v>44041</v>
      </c>
      <c r="C17" s="59">
        <v>44043</v>
      </c>
      <c r="D17" s="59">
        <v>44074</v>
      </c>
      <c r="E17" s="69">
        <v>31</v>
      </c>
      <c r="F17" s="77">
        <v>8.611111111111111E-2</v>
      </c>
      <c r="G17" s="59">
        <v>44076</v>
      </c>
      <c r="H17" s="69">
        <v>254133953.70030099</v>
      </c>
      <c r="I17" s="69">
        <v>0</v>
      </c>
      <c r="J17" s="65">
        <v>1</v>
      </c>
      <c r="K17" s="65">
        <v>0</v>
      </c>
      <c r="L17" s="73">
        <v>1.5749987816427589E-2</v>
      </c>
      <c r="M17" s="59">
        <v>344668.90808369371</v>
      </c>
      <c r="N17" s="81">
        <v>0.98473751182687896</v>
      </c>
      <c r="O17" s="69">
        <v>339408.40295042377</v>
      </c>
    </row>
    <row r="18" spans="2:15">
      <c r="B18" s="58">
        <v>44070</v>
      </c>
      <c r="C18" s="59">
        <v>44074</v>
      </c>
      <c r="D18" s="59">
        <v>44104</v>
      </c>
      <c r="E18" s="69">
        <v>30</v>
      </c>
      <c r="F18" s="77">
        <v>8.3333333333333329E-2</v>
      </c>
      <c r="G18" s="59">
        <v>44106</v>
      </c>
      <c r="H18" s="69">
        <v>279791364.50182098</v>
      </c>
      <c r="I18" s="69">
        <v>0</v>
      </c>
      <c r="J18" s="65">
        <v>1</v>
      </c>
      <c r="K18" s="65">
        <v>0</v>
      </c>
      <c r="L18" s="73">
        <v>1.5497707392209299E-2</v>
      </c>
      <c r="M18" s="59">
        <v>361343.72482634976</v>
      </c>
      <c r="N18" s="81">
        <v>0.98361074138530025</v>
      </c>
      <c r="O18" s="69">
        <v>355421.56907137181</v>
      </c>
    </row>
    <row r="19" spans="2:15">
      <c r="B19" s="58">
        <v>44102</v>
      </c>
      <c r="C19" s="59">
        <v>44104</v>
      </c>
      <c r="D19" s="59">
        <v>44135</v>
      </c>
      <c r="E19" s="69">
        <v>31</v>
      </c>
      <c r="F19" s="77">
        <v>8.611111111111111E-2</v>
      </c>
      <c r="G19" s="59">
        <v>44138</v>
      </c>
      <c r="H19" s="69">
        <v>303411844.66305703</v>
      </c>
      <c r="I19" s="69">
        <v>0</v>
      </c>
      <c r="J19" s="65">
        <v>1</v>
      </c>
      <c r="K19" s="65">
        <v>0</v>
      </c>
      <c r="L19" s="73">
        <v>1.5322170093670864E-2</v>
      </c>
      <c r="M19" s="59">
        <v>400324.3462867107</v>
      </c>
      <c r="N19" s="81">
        <v>0.98243309647055255</v>
      </c>
      <c r="O19" s="69">
        <v>393291.88711500296</v>
      </c>
    </row>
    <row r="20" spans="2:15">
      <c r="B20" s="58">
        <v>44133</v>
      </c>
      <c r="C20" s="59">
        <v>44135</v>
      </c>
      <c r="D20" s="59">
        <v>44165</v>
      </c>
      <c r="E20" s="69">
        <v>30</v>
      </c>
      <c r="F20" s="77">
        <v>8.3333333333333329E-2</v>
      </c>
      <c r="G20" s="59">
        <v>44167</v>
      </c>
      <c r="H20" s="69">
        <v>327137287.343391</v>
      </c>
      <c r="I20" s="69">
        <v>0</v>
      </c>
      <c r="J20" s="65">
        <v>1</v>
      </c>
      <c r="K20" s="65">
        <v>0</v>
      </c>
      <c r="L20" s="73">
        <v>1.5318163865191553E-2</v>
      </c>
      <c r="M20" s="59">
        <v>417595.21449502651</v>
      </c>
      <c r="N20" s="81">
        <v>0.98138880987706356</v>
      </c>
      <c r="O20" s="69">
        <v>409823.27056363114</v>
      </c>
    </row>
    <row r="21" spans="2:15">
      <c r="B21" s="58">
        <v>44160</v>
      </c>
      <c r="C21" s="59">
        <v>44165</v>
      </c>
      <c r="D21" s="59">
        <v>44196</v>
      </c>
      <c r="E21" s="69">
        <v>31</v>
      </c>
      <c r="F21" s="77">
        <v>8.611111111111111E-2</v>
      </c>
      <c r="G21" s="59">
        <v>44201</v>
      </c>
      <c r="H21" s="69">
        <v>361931690.773785</v>
      </c>
      <c r="I21" s="69">
        <v>0</v>
      </c>
      <c r="J21" s="65">
        <v>1</v>
      </c>
      <c r="K21" s="65">
        <v>0</v>
      </c>
      <c r="L21" s="73">
        <v>1.5314674569419248E-2</v>
      </c>
      <c r="M21" s="59">
        <v>477302.35521490581</v>
      </c>
      <c r="N21" s="81">
        <v>0.98019348387103922</v>
      </c>
      <c r="O21" s="69">
        <v>467848.65841795079</v>
      </c>
    </row>
    <row r="22" spans="2:15">
      <c r="B22" s="58">
        <v>44194</v>
      </c>
      <c r="C22" s="59">
        <v>44196</v>
      </c>
      <c r="D22" s="59">
        <v>44227</v>
      </c>
      <c r="E22" s="69">
        <v>31</v>
      </c>
      <c r="F22" s="77">
        <v>8.611111111111111E-2</v>
      </c>
      <c r="G22" s="59">
        <v>44229</v>
      </c>
      <c r="H22" s="69">
        <v>398220793.09712797</v>
      </c>
      <c r="I22" s="69">
        <v>0</v>
      </c>
      <c r="J22" s="65">
        <v>1</v>
      </c>
      <c r="K22" s="65">
        <v>0</v>
      </c>
      <c r="L22" s="73">
        <v>1.5180056777266306E-2</v>
      </c>
      <c r="M22" s="59">
        <v>520542.89367270848</v>
      </c>
      <c r="N22" s="81">
        <v>0.9792319506142827</v>
      </c>
      <c r="O22" s="69">
        <v>509732.23314952949</v>
      </c>
    </row>
    <row r="23" spans="2:15">
      <c r="B23" s="58">
        <v>44224</v>
      </c>
      <c r="C23" s="59">
        <v>44227</v>
      </c>
      <c r="D23" s="59">
        <v>44255</v>
      </c>
      <c r="E23" s="69">
        <v>28</v>
      </c>
      <c r="F23" s="77">
        <v>7.7777777777777779E-2</v>
      </c>
      <c r="G23" s="59">
        <v>44257</v>
      </c>
      <c r="H23" s="69">
        <v>429121675.288109</v>
      </c>
      <c r="I23" s="69">
        <v>0</v>
      </c>
      <c r="J23" s="65">
        <v>1</v>
      </c>
      <c r="K23" s="65">
        <v>0</v>
      </c>
      <c r="L23" s="73">
        <v>1.4875676783124684E-2</v>
      </c>
      <c r="M23" s="59">
        <v>496492.52661702497</v>
      </c>
      <c r="N23" s="81">
        <v>0.97828875155262707</v>
      </c>
      <c r="O23" s="69">
        <v>485713.05401937885</v>
      </c>
    </row>
    <row r="24" spans="2:15">
      <c r="B24" s="58">
        <v>44252</v>
      </c>
      <c r="C24" s="59">
        <v>44255</v>
      </c>
      <c r="D24" s="59">
        <v>44286</v>
      </c>
      <c r="E24" s="69">
        <v>31</v>
      </c>
      <c r="F24" s="77">
        <v>8.611111111111111E-2</v>
      </c>
      <c r="G24" s="59">
        <v>44288</v>
      </c>
      <c r="H24" s="69">
        <v>453674775.886199</v>
      </c>
      <c r="I24" s="69">
        <v>0</v>
      </c>
      <c r="J24" s="65">
        <v>1</v>
      </c>
      <c r="K24" s="65">
        <v>0</v>
      </c>
      <c r="L24" s="73">
        <v>1.4591588788592503E-2</v>
      </c>
      <c r="M24" s="59">
        <v>570041.41382815724</v>
      </c>
      <c r="N24" s="81">
        <v>0.97726314431504813</v>
      </c>
      <c r="O24" s="69">
        <v>557080.46446750045</v>
      </c>
    </row>
    <row r="25" spans="2:15">
      <c r="B25" s="58">
        <v>44284</v>
      </c>
      <c r="C25" s="59">
        <v>44286</v>
      </c>
      <c r="D25" s="59">
        <v>44316</v>
      </c>
      <c r="E25" s="69">
        <v>30</v>
      </c>
      <c r="F25" s="77">
        <v>8.3333333333333329E-2</v>
      </c>
      <c r="G25" s="59">
        <v>44320</v>
      </c>
      <c r="H25" s="69">
        <v>476387760.49608898</v>
      </c>
      <c r="I25" s="69">
        <v>0</v>
      </c>
      <c r="J25" s="65">
        <v>1</v>
      </c>
      <c r="K25" s="65">
        <v>0</v>
      </c>
      <c r="L25" s="73">
        <v>1.4362852868649226E-2</v>
      </c>
      <c r="M25" s="59">
        <v>570190.60936921928</v>
      </c>
      <c r="N25" s="81">
        <v>0.97622184567000037</v>
      </c>
      <c r="O25" s="69">
        <v>556632.52906212141</v>
      </c>
    </row>
    <row r="26" spans="2:15">
      <c r="B26" s="58">
        <v>44314</v>
      </c>
      <c r="C26" s="59">
        <v>44316</v>
      </c>
      <c r="D26" s="59">
        <v>44347</v>
      </c>
      <c r="E26" s="69">
        <v>31</v>
      </c>
      <c r="F26" s="77">
        <v>8.611111111111111E-2</v>
      </c>
      <c r="G26" s="59">
        <v>44349</v>
      </c>
      <c r="H26" s="69">
        <v>495683115.24717599</v>
      </c>
      <c r="I26" s="69">
        <v>0</v>
      </c>
      <c r="J26" s="65">
        <v>1</v>
      </c>
      <c r="K26" s="65">
        <v>0</v>
      </c>
      <c r="L26" s="73">
        <v>1.4302570474627158E-2</v>
      </c>
      <c r="M26" s="59">
        <v>610488.39821130433</v>
      </c>
      <c r="N26" s="81">
        <v>0.97529061605934098</v>
      </c>
      <c r="O26" s="69">
        <v>595403.60598858329</v>
      </c>
    </row>
    <row r="27" spans="2:15">
      <c r="B27" s="58">
        <v>44343</v>
      </c>
      <c r="C27" s="59">
        <v>44347</v>
      </c>
      <c r="D27" s="59">
        <v>44377</v>
      </c>
      <c r="E27" s="69">
        <v>30</v>
      </c>
      <c r="F27" s="77">
        <v>8.3333333333333329E-2</v>
      </c>
      <c r="G27" s="59">
        <v>44379</v>
      </c>
      <c r="H27" s="69">
        <v>513413931.44686902</v>
      </c>
      <c r="I27" s="69">
        <v>0</v>
      </c>
      <c r="J27" s="65">
        <v>1</v>
      </c>
      <c r="K27" s="65">
        <v>0</v>
      </c>
      <c r="L27" s="73">
        <v>1.4244297493739157E-2</v>
      </c>
      <c r="M27" s="59">
        <v>609435.06474661687</v>
      </c>
      <c r="N27" s="81">
        <v>0.97433693380420761</v>
      </c>
      <c r="O27" s="69">
        <v>593795.09233798739</v>
      </c>
    </row>
    <row r="28" spans="2:15">
      <c r="B28" s="58">
        <v>44375</v>
      </c>
      <c r="C28" s="59">
        <v>44377</v>
      </c>
      <c r="D28" s="59">
        <v>44408</v>
      </c>
      <c r="E28" s="69">
        <v>31</v>
      </c>
      <c r="F28" s="77">
        <v>8.611111111111111E-2</v>
      </c>
      <c r="G28" s="59">
        <v>44411</v>
      </c>
      <c r="H28" s="69">
        <v>523825101.57745397</v>
      </c>
      <c r="I28" s="69">
        <v>0</v>
      </c>
      <c r="J28" s="65">
        <v>1</v>
      </c>
      <c r="K28" s="65">
        <v>0</v>
      </c>
      <c r="L28" s="73">
        <v>1.4171739456161271E-2</v>
      </c>
      <c r="M28" s="59">
        <v>639246.94073538773</v>
      </c>
      <c r="N28" s="81">
        <v>0.97332684114244716</v>
      </c>
      <c r="O28" s="69">
        <v>622196.20553594804</v>
      </c>
    </row>
    <row r="29" spans="2:15">
      <c r="B29" s="58">
        <v>44406</v>
      </c>
      <c r="C29" s="59">
        <v>44408</v>
      </c>
      <c r="D29" s="59">
        <v>44439</v>
      </c>
      <c r="E29" s="69">
        <v>31</v>
      </c>
      <c r="F29" s="77">
        <v>8.611111111111111E-2</v>
      </c>
      <c r="G29" s="59">
        <v>44441</v>
      </c>
      <c r="H29" s="69">
        <v>534693428.75084698</v>
      </c>
      <c r="I29" s="69">
        <v>0</v>
      </c>
      <c r="J29" s="65">
        <v>1</v>
      </c>
      <c r="K29" s="65">
        <v>0</v>
      </c>
      <c r="L29" s="73">
        <v>1.4105776349025625E-2</v>
      </c>
      <c r="M29" s="59">
        <v>649472.89877457381</v>
      </c>
      <c r="N29" s="81">
        <v>0.97238247185616811</v>
      </c>
      <c r="O29" s="69">
        <v>631536.06271401094</v>
      </c>
    </row>
    <row r="30" spans="2:15">
      <c r="B30" s="58">
        <v>44435</v>
      </c>
      <c r="C30" s="59">
        <v>44439</v>
      </c>
      <c r="D30" s="59">
        <v>44469</v>
      </c>
      <c r="E30" s="69">
        <v>30</v>
      </c>
      <c r="F30" s="77">
        <v>8.3333333333333329E-2</v>
      </c>
      <c r="G30" s="59">
        <v>44473</v>
      </c>
      <c r="H30" s="69">
        <v>544897183.26347399</v>
      </c>
      <c r="I30" s="69">
        <v>0</v>
      </c>
      <c r="J30" s="65">
        <v>1</v>
      </c>
      <c r="K30" s="65">
        <v>0</v>
      </c>
      <c r="L30" s="73">
        <v>1.4044068926221308E-2</v>
      </c>
      <c r="M30" s="59">
        <v>637714.46662133932</v>
      </c>
      <c r="N30" s="81">
        <v>0.97137341690180401</v>
      </c>
      <c r="O30" s="69">
        <v>619458.88044968178</v>
      </c>
    </row>
    <row r="31" spans="2:15">
      <c r="B31" s="58">
        <v>44467</v>
      </c>
      <c r="C31" s="59">
        <v>44469</v>
      </c>
      <c r="D31" s="59">
        <v>44500</v>
      </c>
      <c r="E31" s="69">
        <v>31</v>
      </c>
      <c r="F31" s="77">
        <v>8.611111111111111E-2</v>
      </c>
      <c r="G31" s="59">
        <v>44502</v>
      </c>
      <c r="H31" s="69">
        <v>554939311.31454694</v>
      </c>
      <c r="I31" s="69">
        <v>0</v>
      </c>
      <c r="J31" s="65">
        <v>1</v>
      </c>
      <c r="K31" s="65">
        <v>0</v>
      </c>
      <c r="L31" s="73">
        <v>1.4054614718619256E-2</v>
      </c>
      <c r="M31" s="59">
        <v>671620.01276388275</v>
      </c>
      <c r="N31" s="81">
        <v>0.97045502820606633</v>
      </c>
      <c r="O31" s="69">
        <v>651777.01843053242</v>
      </c>
    </row>
    <row r="32" spans="2:15">
      <c r="B32" s="58">
        <v>44497</v>
      </c>
      <c r="C32" s="59">
        <v>44500</v>
      </c>
      <c r="D32" s="59">
        <v>44530</v>
      </c>
      <c r="E32" s="69">
        <v>30</v>
      </c>
      <c r="F32" s="77">
        <v>8.3333333333333329E-2</v>
      </c>
      <c r="G32" s="59">
        <v>44532</v>
      </c>
      <c r="H32" s="69">
        <v>564862376.15980399</v>
      </c>
      <c r="I32" s="69">
        <v>0</v>
      </c>
      <c r="J32" s="65">
        <v>1</v>
      </c>
      <c r="K32" s="65">
        <v>0</v>
      </c>
      <c r="L32" s="73">
        <v>1.4199707968653167E-2</v>
      </c>
      <c r="M32" s="59">
        <v>668406.73199572763</v>
      </c>
      <c r="N32" s="81">
        <v>0.9695004379675346</v>
      </c>
      <c r="O32" s="69">
        <v>648020.61941030645</v>
      </c>
    </row>
    <row r="33" spans="2:15">
      <c r="B33" s="58">
        <v>44526</v>
      </c>
      <c r="C33" s="59">
        <v>44530</v>
      </c>
      <c r="D33" s="59">
        <v>44561</v>
      </c>
      <c r="E33" s="69">
        <v>31</v>
      </c>
      <c r="F33" s="77">
        <v>8.611111111111111E-2</v>
      </c>
      <c r="G33" s="59">
        <v>44565</v>
      </c>
      <c r="H33" s="69">
        <v>574814891.78148699</v>
      </c>
      <c r="I33" s="69">
        <v>0</v>
      </c>
      <c r="J33" s="65">
        <v>1</v>
      </c>
      <c r="K33" s="65">
        <v>0</v>
      </c>
      <c r="L33" s="73">
        <v>1.4364154904712224E-2</v>
      </c>
      <c r="M33" s="59">
        <v>710996.20711006911</v>
      </c>
      <c r="N33" s="81">
        <v>0.96844450781719327</v>
      </c>
      <c r="O33" s="69">
        <v>688560.37185460213</v>
      </c>
    </row>
    <row r="34" spans="2:15">
      <c r="B34" s="58">
        <v>44559</v>
      </c>
      <c r="C34" s="59">
        <v>44561</v>
      </c>
      <c r="D34" s="59">
        <v>44592</v>
      </c>
      <c r="E34" s="69">
        <v>31</v>
      </c>
      <c r="F34" s="77">
        <v>8.611111111111111E-2</v>
      </c>
      <c r="G34" s="59">
        <v>44594</v>
      </c>
      <c r="H34" s="69">
        <v>584794262.49859405</v>
      </c>
      <c r="I34" s="69">
        <v>0</v>
      </c>
      <c r="J34" s="65">
        <v>1</v>
      </c>
      <c r="K34" s="65">
        <v>0</v>
      </c>
      <c r="L34" s="73">
        <v>1.4540651400848346E-2</v>
      </c>
      <c r="M34" s="59">
        <v>732227.70799571101</v>
      </c>
      <c r="N34" s="81">
        <v>0.96751141930381324</v>
      </c>
      <c r="O34" s="69">
        <v>708438.6690165085</v>
      </c>
    </row>
    <row r="35" spans="2:15">
      <c r="B35" s="58">
        <v>44588</v>
      </c>
      <c r="C35" s="59">
        <v>44592</v>
      </c>
      <c r="D35" s="59">
        <v>44620</v>
      </c>
      <c r="E35" s="69">
        <v>28</v>
      </c>
      <c r="F35" s="77">
        <v>7.7777777777777779E-2</v>
      </c>
      <c r="G35" s="59">
        <v>44622</v>
      </c>
      <c r="H35" s="69">
        <v>593449071.47527802</v>
      </c>
      <c r="I35" s="69">
        <v>0</v>
      </c>
      <c r="J35" s="65">
        <v>1</v>
      </c>
      <c r="K35" s="65">
        <v>0</v>
      </c>
      <c r="L35" s="73">
        <v>1.4663535270599751E-2</v>
      </c>
      <c r="M35" s="59">
        <v>676826.99706863204</v>
      </c>
      <c r="N35" s="81">
        <v>0.96660629782998975</v>
      </c>
      <c r="O35" s="69">
        <v>654225.23790789978</v>
      </c>
    </row>
    <row r="36" spans="2:15">
      <c r="B36" s="58">
        <v>44616</v>
      </c>
      <c r="C36" s="59">
        <v>44620</v>
      </c>
      <c r="D36" s="59">
        <v>44651</v>
      </c>
      <c r="E36" s="69">
        <v>31</v>
      </c>
      <c r="F36" s="77">
        <v>8.611111111111111E-2</v>
      </c>
      <c r="G36" s="59">
        <v>44655</v>
      </c>
      <c r="H36" s="69">
        <v>602047677.94339001</v>
      </c>
      <c r="I36" s="69">
        <v>0</v>
      </c>
      <c r="J36" s="65">
        <v>1</v>
      </c>
      <c r="K36" s="65">
        <v>0</v>
      </c>
      <c r="L36" s="73">
        <v>1.4752553718027899E-2</v>
      </c>
      <c r="M36" s="59">
        <v>764816.5611108013</v>
      </c>
      <c r="N36" s="81">
        <v>0.96553474305678677</v>
      </c>
      <c r="O36" s="69">
        <v>738456.96181769273</v>
      </c>
    </row>
    <row r="37" spans="2:15">
      <c r="B37" s="58">
        <v>44649</v>
      </c>
      <c r="C37" s="59">
        <v>44651</v>
      </c>
      <c r="D37" s="59">
        <v>44681</v>
      </c>
      <c r="E37" s="69">
        <v>30</v>
      </c>
      <c r="F37" s="77">
        <v>8.3333333333333329E-2</v>
      </c>
      <c r="G37" s="59">
        <v>44684</v>
      </c>
      <c r="H37" s="69">
        <v>610607243.64043295</v>
      </c>
      <c r="I37" s="69">
        <v>0</v>
      </c>
      <c r="J37" s="65">
        <v>1</v>
      </c>
      <c r="K37" s="65">
        <v>0</v>
      </c>
      <c r="L37" s="73">
        <v>1.4821793968976685E-2</v>
      </c>
      <c r="M37" s="59">
        <v>754191.23010027048</v>
      </c>
      <c r="N37" s="81">
        <v>0.96458956141076413</v>
      </c>
      <c r="O37" s="69">
        <v>727484.98786226462</v>
      </c>
    </row>
    <row r="38" spans="2:15">
      <c r="B38" s="58">
        <v>44679</v>
      </c>
      <c r="C38" s="59">
        <v>44681</v>
      </c>
      <c r="D38" s="59">
        <v>44712</v>
      </c>
      <c r="E38" s="69">
        <v>31</v>
      </c>
      <c r="F38" s="77">
        <v>8.611111111111111E-2</v>
      </c>
      <c r="G38" s="59">
        <v>44714</v>
      </c>
      <c r="H38" s="69">
        <v>619113803.67591596</v>
      </c>
      <c r="I38" s="69">
        <v>0</v>
      </c>
      <c r="J38" s="65">
        <v>1</v>
      </c>
      <c r="K38" s="65">
        <v>0</v>
      </c>
      <c r="L38" s="73">
        <v>1.4852297877604554E-2</v>
      </c>
      <c r="M38" s="59">
        <v>791814.28222854482</v>
      </c>
      <c r="N38" s="81">
        <v>0.96360951449348309</v>
      </c>
      <c r="O38" s="69">
        <v>762999.7760672539</v>
      </c>
    </row>
    <row r="39" spans="2:15">
      <c r="B39" s="58">
        <v>44707</v>
      </c>
      <c r="C39" s="59">
        <v>44712</v>
      </c>
      <c r="D39" s="59">
        <v>44742</v>
      </c>
      <c r="E39" s="69">
        <v>30</v>
      </c>
      <c r="F39" s="77">
        <v>8.3333333333333329E-2</v>
      </c>
      <c r="G39" s="59">
        <v>44747</v>
      </c>
      <c r="H39" s="69">
        <v>631460398.99807799</v>
      </c>
      <c r="I39" s="69">
        <v>0</v>
      </c>
      <c r="J39" s="65">
        <v>1</v>
      </c>
      <c r="K39" s="65">
        <v>0</v>
      </c>
      <c r="L39" s="73">
        <v>1.4852854437945902E-2</v>
      </c>
      <c r="M39" s="59">
        <v>781582.449137141</v>
      </c>
      <c r="N39" s="81">
        <v>0.96253023624984058</v>
      </c>
      <c r="O39" s="69">
        <v>752296.73941670137</v>
      </c>
    </row>
    <row r="40" spans="2:15">
      <c r="B40" s="58">
        <v>44740</v>
      </c>
      <c r="C40" s="59">
        <v>44742</v>
      </c>
      <c r="D40" s="59">
        <v>44773</v>
      </c>
      <c r="E40" s="69">
        <v>31</v>
      </c>
      <c r="F40" s="77">
        <v>8.611111111111111E-2</v>
      </c>
      <c r="G40" s="59">
        <v>44775</v>
      </c>
      <c r="H40" s="69">
        <v>647792221.70859003</v>
      </c>
      <c r="I40" s="69">
        <v>0</v>
      </c>
      <c r="J40" s="65">
        <v>1</v>
      </c>
      <c r="K40" s="65">
        <v>0</v>
      </c>
      <c r="L40" s="73">
        <v>1.4818751100305562E-2</v>
      </c>
      <c r="M40" s="59">
        <v>826621.17401283374</v>
      </c>
      <c r="N40" s="81">
        <v>0.96161501637134139</v>
      </c>
      <c r="O40" s="69">
        <v>794891.33378124854</v>
      </c>
    </row>
    <row r="41" spans="2:15">
      <c r="B41" s="58">
        <v>44770</v>
      </c>
      <c r="C41" s="59">
        <v>44773</v>
      </c>
      <c r="D41" s="59">
        <v>44804</v>
      </c>
      <c r="E41" s="69">
        <v>31</v>
      </c>
      <c r="F41" s="77">
        <v>8.611111111111111E-2</v>
      </c>
      <c r="G41" s="59">
        <v>44806</v>
      </c>
      <c r="H41" s="69">
        <v>662227651.79661703</v>
      </c>
      <c r="I41" s="69">
        <v>0</v>
      </c>
      <c r="J41" s="65">
        <v>1</v>
      </c>
      <c r="K41" s="65">
        <v>0</v>
      </c>
      <c r="L41" s="73">
        <v>1.4759783503680481E-2</v>
      </c>
      <c r="M41" s="59">
        <v>841678.99969647732</v>
      </c>
      <c r="N41" s="81">
        <v>0.96060444123114919</v>
      </c>
      <c r="O41" s="69">
        <v>808520.58519942721</v>
      </c>
    </row>
    <row r="42" spans="2:15">
      <c r="B42" s="58">
        <v>44802</v>
      </c>
      <c r="C42" s="59">
        <v>44804</v>
      </c>
      <c r="D42" s="59">
        <v>44834</v>
      </c>
      <c r="E42" s="69">
        <v>30</v>
      </c>
      <c r="F42" s="77">
        <v>8.3333333333333329E-2</v>
      </c>
      <c r="G42" s="59">
        <v>44838</v>
      </c>
      <c r="H42" s="69">
        <v>676427856.18484604</v>
      </c>
      <c r="I42" s="69">
        <v>0</v>
      </c>
      <c r="J42" s="65">
        <v>1</v>
      </c>
      <c r="K42" s="65">
        <v>0</v>
      </c>
      <c r="L42" s="73">
        <v>1.4683123643941387E-2</v>
      </c>
      <c r="M42" s="59">
        <v>827672.82071402483</v>
      </c>
      <c r="N42" s="81">
        <v>0.95956655996042972</v>
      </c>
      <c r="O42" s="69">
        <v>794207.16134530236</v>
      </c>
    </row>
    <row r="43" spans="2:15">
      <c r="B43" s="58">
        <v>44832</v>
      </c>
      <c r="C43" s="59">
        <v>44834</v>
      </c>
      <c r="D43" s="59">
        <v>44865</v>
      </c>
      <c r="E43" s="69">
        <v>31</v>
      </c>
      <c r="F43" s="77">
        <v>8.611111111111111E-2</v>
      </c>
      <c r="G43" s="59">
        <v>44867</v>
      </c>
      <c r="H43" s="69">
        <v>690719279.56587601</v>
      </c>
      <c r="I43" s="69">
        <v>0</v>
      </c>
      <c r="J43" s="65">
        <v>1</v>
      </c>
      <c r="K43" s="65">
        <v>0</v>
      </c>
      <c r="L43" s="73">
        <v>1.4613699187442467E-2</v>
      </c>
      <c r="M43" s="59">
        <v>869202.43614117592</v>
      </c>
      <c r="N43" s="81">
        <v>0.95863150265124442</v>
      </c>
      <c r="O43" s="69">
        <v>833244.83746613783</v>
      </c>
    </row>
    <row r="44" spans="2:15">
      <c r="B44" s="58">
        <v>44861</v>
      </c>
      <c r="C44" s="59">
        <v>44865</v>
      </c>
      <c r="D44" s="59">
        <v>44957</v>
      </c>
      <c r="E44" s="69">
        <v>92</v>
      </c>
      <c r="F44" s="77">
        <v>0.25555555555555554</v>
      </c>
      <c r="G44" s="59">
        <v>44959</v>
      </c>
      <c r="H44" s="69">
        <v>561095987.19979095</v>
      </c>
      <c r="I44" s="69">
        <v>0</v>
      </c>
      <c r="J44" s="65">
        <v>1</v>
      </c>
      <c r="K44" s="65">
        <v>0</v>
      </c>
      <c r="L44" s="73">
        <v>1.5259865677227235E-2</v>
      </c>
      <c r="M44" s="59">
        <v>2188130.4013788947</v>
      </c>
      <c r="N44" s="81">
        <v>0.9556934113082719</v>
      </c>
      <c r="O44" s="69">
        <v>2091181.8076811342</v>
      </c>
    </row>
    <row r="45" spans="2:15">
      <c r="B45" s="58">
        <v>44953</v>
      </c>
      <c r="C45" s="59">
        <v>44957</v>
      </c>
      <c r="D45" s="59">
        <v>45046</v>
      </c>
      <c r="E45" s="69">
        <v>89</v>
      </c>
      <c r="F45" s="77">
        <v>0.24722222222222223</v>
      </c>
      <c r="G45" s="59">
        <v>45048</v>
      </c>
      <c r="H45" s="69">
        <v>558357962.22337401</v>
      </c>
      <c r="I45" s="69">
        <v>0</v>
      </c>
      <c r="J45" s="65">
        <v>1</v>
      </c>
      <c r="K45" s="65">
        <v>0</v>
      </c>
      <c r="L45" s="73">
        <v>1.5339088324767214E-2</v>
      </c>
      <c r="M45" s="59">
        <v>2117384.6856803941</v>
      </c>
      <c r="N45" s="81">
        <v>0.95287513127004397</v>
      </c>
      <c r="O45" s="69">
        <v>2017603.2103168862</v>
      </c>
    </row>
    <row r="46" spans="2:15">
      <c r="B46" s="58">
        <v>45043</v>
      </c>
      <c r="C46" s="59">
        <v>45046</v>
      </c>
      <c r="D46" s="59">
        <v>45138</v>
      </c>
      <c r="E46" s="69">
        <v>92</v>
      </c>
      <c r="F46" s="77">
        <v>0.25555555555555554</v>
      </c>
      <c r="G46" s="59">
        <v>45140</v>
      </c>
      <c r="H46" s="69">
        <v>555676159.06487298</v>
      </c>
      <c r="I46" s="69">
        <v>0</v>
      </c>
      <c r="J46" s="65">
        <v>1</v>
      </c>
      <c r="K46" s="65">
        <v>0</v>
      </c>
      <c r="L46" s="73">
        <v>1.5476440051769824E-2</v>
      </c>
      <c r="M46" s="59">
        <v>2197749.3507911116</v>
      </c>
      <c r="N46" s="81">
        <v>0.94995917604080127</v>
      </c>
      <c r="O46" s="69">
        <v>2087772.1624217303</v>
      </c>
    </row>
    <row r="47" spans="2:15">
      <c r="B47" s="58">
        <v>45134</v>
      </c>
      <c r="C47" s="59">
        <v>45138</v>
      </c>
      <c r="D47" s="59">
        <v>45230</v>
      </c>
      <c r="E47" s="69">
        <v>92</v>
      </c>
      <c r="F47" s="77">
        <v>0.25555555555555554</v>
      </c>
      <c r="G47" s="59">
        <v>45232</v>
      </c>
      <c r="H47" s="69">
        <v>552858312.57331598</v>
      </c>
      <c r="I47" s="69">
        <v>0</v>
      </c>
      <c r="J47" s="65">
        <v>1</v>
      </c>
      <c r="K47" s="65">
        <v>0</v>
      </c>
      <c r="L47" s="73">
        <v>1.5656950138470845E-2</v>
      </c>
      <c r="M47" s="59">
        <v>2212108.0641421038</v>
      </c>
      <c r="N47" s="81">
        <v>0.94700813867994149</v>
      </c>
      <c r="O47" s="69">
        <v>2094884.3403821024</v>
      </c>
    </row>
    <row r="48" spans="2:15">
      <c r="B48" s="58">
        <v>45226</v>
      </c>
      <c r="C48" s="59">
        <v>45230</v>
      </c>
      <c r="D48" s="59">
        <v>45322</v>
      </c>
      <c r="E48" s="69">
        <v>92</v>
      </c>
      <c r="F48" s="77">
        <v>0.25555555555555554</v>
      </c>
      <c r="G48" s="59">
        <v>45324</v>
      </c>
      <c r="H48" s="69">
        <v>550014891.32666302</v>
      </c>
      <c r="I48" s="69">
        <v>0</v>
      </c>
      <c r="J48" s="65">
        <v>1</v>
      </c>
      <c r="K48" s="65">
        <v>0</v>
      </c>
      <c r="L48" s="73">
        <v>1.5852942601767932E-2</v>
      </c>
      <c r="M48" s="59">
        <v>2228279.483926022</v>
      </c>
      <c r="N48" s="81">
        <v>0.94400494911532629</v>
      </c>
      <c r="O48" s="69">
        <v>2103506.8608383099</v>
      </c>
    </row>
    <row r="49" spans="2:15">
      <c r="B49" s="58">
        <v>45320</v>
      </c>
      <c r="C49" s="59">
        <v>45322</v>
      </c>
      <c r="D49" s="59">
        <v>45412</v>
      </c>
      <c r="E49" s="69">
        <v>90</v>
      </c>
      <c r="F49" s="77">
        <v>0.25</v>
      </c>
      <c r="G49" s="59">
        <v>45414</v>
      </c>
      <c r="H49" s="69">
        <v>547167211.361467</v>
      </c>
      <c r="I49" s="69">
        <v>0</v>
      </c>
      <c r="J49" s="65">
        <v>1</v>
      </c>
      <c r="K49" s="65">
        <v>0</v>
      </c>
      <c r="L49" s="73">
        <v>1.6051338312159071E-2</v>
      </c>
      <c r="M49" s="59">
        <v>2195691.5057208887</v>
      </c>
      <c r="N49" s="81">
        <v>0.94102189538263747</v>
      </c>
      <c r="O49" s="69">
        <v>2066193.782389028</v>
      </c>
    </row>
    <row r="50" spans="2:15">
      <c r="B50" s="58">
        <v>45408</v>
      </c>
      <c r="C50" s="59">
        <v>45412</v>
      </c>
      <c r="D50" s="59">
        <v>45504</v>
      </c>
      <c r="E50" s="69">
        <v>92</v>
      </c>
      <c r="F50" s="77">
        <v>0.25555555555555554</v>
      </c>
      <c r="G50" s="59">
        <v>45506</v>
      </c>
      <c r="H50" s="69">
        <v>544346654.77629197</v>
      </c>
      <c r="I50" s="69">
        <v>0</v>
      </c>
      <c r="J50" s="65">
        <v>1</v>
      </c>
      <c r="K50" s="65">
        <v>0</v>
      </c>
      <c r="L50" s="73">
        <v>1.6233104503102586E-2</v>
      </c>
      <c r="M50" s="59">
        <v>2258200.345073896</v>
      </c>
      <c r="N50" s="81">
        <v>0.93793740969965733</v>
      </c>
      <c r="O50" s="69">
        <v>2118050.5822414826</v>
      </c>
    </row>
    <row r="51" spans="2:15">
      <c r="B51" s="58">
        <v>45502</v>
      </c>
      <c r="C51" s="59">
        <v>45504</v>
      </c>
      <c r="D51" s="59">
        <v>45596</v>
      </c>
      <c r="E51" s="69">
        <v>92</v>
      </c>
      <c r="F51" s="77">
        <v>0.25555555555555554</v>
      </c>
      <c r="G51" s="59">
        <v>45600</v>
      </c>
      <c r="H51" s="69">
        <v>541416297.31738198</v>
      </c>
      <c r="I51" s="69">
        <v>0</v>
      </c>
      <c r="J51" s="65">
        <v>1</v>
      </c>
      <c r="K51" s="65">
        <v>0</v>
      </c>
      <c r="L51" s="73">
        <v>1.6428979328207249E-2</v>
      </c>
      <c r="M51" s="59">
        <v>2273145.4955708985</v>
      </c>
      <c r="N51" s="81">
        <v>0.93476493978511666</v>
      </c>
      <c r="O51" s="69">
        <v>2124856.7122901403</v>
      </c>
    </row>
    <row r="52" spans="2:15">
      <c r="B52" s="58">
        <v>45594</v>
      </c>
      <c r="C52" s="59">
        <v>45596</v>
      </c>
      <c r="D52" s="59">
        <v>45688</v>
      </c>
      <c r="E52" s="69">
        <v>92</v>
      </c>
      <c r="F52" s="77">
        <v>0.25555555555555554</v>
      </c>
      <c r="G52" s="59">
        <v>45692</v>
      </c>
      <c r="H52" s="69">
        <v>538459332.686759</v>
      </c>
      <c r="I52" s="69">
        <v>0</v>
      </c>
      <c r="J52" s="65">
        <v>1</v>
      </c>
      <c r="K52" s="65">
        <v>0</v>
      </c>
      <c r="L52" s="73">
        <v>1.6620793077179008E-2</v>
      </c>
      <c r="M52" s="59">
        <v>2287125.4047604199</v>
      </c>
      <c r="N52" s="81">
        <v>0.93164730767337467</v>
      </c>
      <c r="O52" s="69">
        <v>2130794.2256564223</v>
      </c>
    </row>
    <row r="53" spans="2:15">
      <c r="B53" s="58">
        <v>45686</v>
      </c>
      <c r="C53" s="59">
        <v>45688</v>
      </c>
      <c r="D53" s="59">
        <v>45777</v>
      </c>
      <c r="E53" s="69">
        <v>89</v>
      </c>
      <c r="F53" s="77">
        <v>0.24722222222222223</v>
      </c>
      <c r="G53" s="59">
        <v>45779</v>
      </c>
      <c r="H53" s="69">
        <v>535425587.681247</v>
      </c>
      <c r="I53" s="69">
        <v>0</v>
      </c>
      <c r="J53" s="65">
        <v>1</v>
      </c>
      <c r="K53" s="65">
        <v>0</v>
      </c>
      <c r="L53" s="73">
        <v>1.6823660280226645E-2</v>
      </c>
      <c r="M53" s="59">
        <v>2226932.83092114</v>
      </c>
      <c r="N53" s="81">
        <v>0.92868487092970065</v>
      </c>
      <c r="O53" s="69">
        <v>2068118.8286531118</v>
      </c>
    </row>
    <row r="54" spans="2:15">
      <c r="B54" s="58">
        <v>45775</v>
      </c>
      <c r="C54" s="59">
        <v>45777</v>
      </c>
      <c r="D54" s="59">
        <v>45869</v>
      </c>
      <c r="E54" s="69">
        <v>92</v>
      </c>
      <c r="F54" s="77">
        <v>0.25555555555555554</v>
      </c>
      <c r="G54" s="59">
        <v>45873</v>
      </c>
      <c r="H54" s="69">
        <v>532454034.55495602</v>
      </c>
      <c r="I54" s="69">
        <v>0</v>
      </c>
      <c r="J54" s="65">
        <v>1</v>
      </c>
      <c r="K54" s="65">
        <v>0</v>
      </c>
      <c r="L54" s="73">
        <v>1.7034023694668617E-2</v>
      </c>
      <c r="M54" s="59">
        <v>2317846.6304601501</v>
      </c>
      <c r="N54" s="81">
        <v>0.92546482444993028</v>
      </c>
      <c r="O54" s="69">
        <v>2145085.524960665</v>
      </c>
    </row>
    <row r="55" spans="2:15">
      <c r="B55" s="58">
        <v>45867</v>
      </c>
      <c r="C55" s="59">
        <v>45869</v>
      </c>
      <c r="D55" s="59">
        <v>45961</v>
      </c>
      <c r="E55" s="69">
        <v>92</v>
      </c>
      <c r="F55" s="77">
        <v>0.25555555555555554</v>
      </c>
      <c r="G55" s="59">
        <v>45965</v>
      </c>
      <c r="H55" s="69">
        <v>529333847.10165697</v>
      </c>
      <c r="I55" s="69">
        <v>0</v>
      </c>
      <c r="J55" s="65">
        <v>1</v>
      </c>
      <c r="K55" s="65">
        <v>0</v>
      </c>
      <c r="L55" s="73">
        <v>1.7258304561944694E-2</v>
      </c>
      <c r="M55" s="59">
        <v>2334603.4356578225</v>
      </c>
      <c r="N55" s="81">
        <v>0.92229014813570298</v>
      </c>
      <c r="O55" s="69">
        <v>2153181.7485109745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Raw Schedule</vt:lpstr>
      <vt:lpstr>USD OIS</vt:lpstr>
      <vt:lpstr>USD SWAP 3ML</vt:lpstr>
      <vt:lpstr>USD BASIS 6ML</vt:lpstr>
      <vt:lpstr>USD BASIS 1ML</vt:lpstr>
      <vt:lpstr>USD BASIS 12ML</vt:lpstr>
      <vt:lpstr>Fixing Table</vt:lpstr>
      <vt:lpstr>Fixed Schedule</vt:lpstr>
      <vt:lpstr>Float Schedule</vt:lpstr>
      <vt:lpstr>Create Trade &amp; Price</vt:lpstr>
      <vt:lpstr>Risk</vt:lpstr>
      <vt:lpstr>Hard-Coded Results</vt:lpstr>
      <vt:lpstr>COB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Ladva Kishen</dc:creator>
  <cp:lastModifiedBy>Burgess Nicholas</cp:lastModifiedBy>
  <dcterms:created xsi:type="dcterms:W3CDTF">2019-09-17T13:04:46Z</dcterms:created>
  <dcterms:modified xsi:type="dcterms:W3CDTF">2019-10-11T10:15:21Z</dcterms:modified>
</cp:coreProperties>
</file>