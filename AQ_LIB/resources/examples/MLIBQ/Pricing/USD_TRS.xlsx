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720" yWindow="345" windowWidth="20700" windowHeight="11760" activeTab="6"/>
  </bookViews>
  <sheets>
    <sheet name="Settings" sheetId="1" r:id="rId1"/>
    <sheet name="USDOIS" sheetId="2" r:id="rId2"/>
    <sheet name="USD3ML" sheetId="3" r:id="rId3"/>
    <sheet name="USD6ML" sheetId="8" r:id="rId4"/>
    <sheet name="CREDITMODEL" sheetId="6" r:id="rId5"/>
    <sheet name="TRS_GENERATOR" sheetId="4" r:id="rId6"/>
    <sheet name="USD_TRS" sheetId="5" r:id="rId7"/>
    <sheet name="BESPOKE TRS" sheetId="7" r:id="rId8"/>
  </sheets>
  <definedNames>
    <definedName name="COB">Settings!$C$2</definedName>
    <definedName name="CurveCollection" localSheetId="2">USD3ML!$D$9</definedName>
    <definedName name="CurveCollection" localSheetId="3">USD6ML!$D$9</definedName>
    <definedName name="isUSD3MLLoaded">USD3ML!$D$31</definedName>
    <definedName name="isUSD6MLLoaded">USD6ML!$D$31</definedName>
    <definedName name="isUSDOISLoaded">USDOIS!$D$31</definedName>
    <definedName name="USD_TRS_3ML">TRS_GENERATOR!$C$3</definedName>
  </definedNames>
  <calcPr calcId="145621" calcMode="manual" calcOnSave="0"/>
</workbook>
</file>

<file path=xl/calcChain.xml><?xml version="1.0" encoding="utf-8"?>
<calcChain xmlns="http://schemas.openxmlformats.org/spreadsheetml/2006/main">
  <c r="C28" i="5" l="1"/>
  <c r="C27" i="5"/>
  <c r="B28" i="5" l="1"/>
  <c r="B27" i="5"/>
  <c r="C3" i="4"/>
  <c r="C15" i="5" l="1"/>
  <c r="C2" i="1"/>
  <c r="V17" i="3"/>
  <c r="H5" i="8"/>
  <c r="Q6" i="3"/>
  <c r="H10" i="8"/>
  <c r="G10" i="7"/>
  <c r="Q5" i="3"/>
  <c r="O5" i="3"/>
  <c r="C4" i="7"/>
  <c r="P10" i="3"/>
  <c r="Q9" i="3"/>
  <c r="V5" i="3" a="1"/>
  <c r="H5" i="2"/>
  <c r="O9" i="3"/>
  <c r="H7" i="8"/>
  <c r="V11" i="3"/>
  <c r="G9" i="7"/>
  <c r="H13" i="8"/>
  <c r="O8" i="3"/>
  <c r="H19" i="8"/>
  <c r="V10" i="3"/>
  <c r="V13" i="3"/>
  <c r="H17" i="8"/>
  <c r="H16" i="8"/>
  <c r="P6" i="3"/>
  <c r="V12" i="3"/>
  <c r="O7" i="3"/>
  <c r="H8" i="8"/>
  <c r="H18" i="8"/>
  <c r="H14" i="8"/>
  <c r="Q7" i="3"/>
  <c r="V8" i="3"/>
  <c r="V7" i="3"/>
  <c r="P11" i="3"/>
  <c r="Q8" i="3"/>
  <c r="H6" i="8"/>
  <c r="V16" i="3"/>
  <c r="Q11" i="3"/>
  <c r="H9" i="8"/>
  <c r="P8" i="3"/>
  <c r="P9" i="3"/>
  <c r="P12" i="3"/>
  <c r="V6" i="3"/>
  <c r="H5" i="3"/>
  <c r="H11" i="8"/>
  <c r="O12" i="3"/>
  <c r="H15" i="8"/>
  <c r="H12" i="8"/>
  <c r="P7" i="3"/>
  <c r="V14" i="3"/>
  <c r="O11" i="3"/>
  <c r="V15" i="3"/>
  <c r="O10" i="3"/>
  <c r="P5" i="3"/>
  <c r="V9" i="3"/>
  <c r="Q10" i="3"/>
  <c r="V18" i="3"/>
  <c r="O6" i="3"/>
  <c r="Q12" i="3"/>
  <c r="G15" i="7" l="1"/>
  <c r="D7" i="8"/>
  <c r="V5" i="3"/>
  <c r="D7" i="3"/>
  <c r="C9" i="5"/>
  <c r="D13" i="8"/>
  <c r="C10" i="5"/>
  <c r="G4" i="7"/>
  <c r="D13" i="3"/>
  <c r="E31" i="6" l="1"/>
  <c r="E30" i="6"/>
  <c r="E29" i="6"/>
  <c r="E28" i="6"/>
  <c r="E27" i="6"/>
  <c r="E26" i="6"/>
  <c r="E25" i="6"/>
  <c r="E24" i="6"/>
  <c r="C4" i="5"/>
  <c r="E47" i="5"/>
  <c r="C7" i="6" l="1"/>
  <c r="D8" i="2"/>
  <c r="G25" i="6"/>
  <c r="G30" i="6"/>
  <c r="G28" i="6"/>
  <c r="G29" i="6"/>
  <c r="G24" i="6"/>
  <c r="G26" i="6"/>
  <c r="D13" i="2"/>
  <c r="G27" i="6"/>
  <c r="G31" i="6"/>
  <c r="C12" i="6"/>
  <c r="H26" i="6"/>
  <c r="H31" i="6"/>
  <c r="H28" i="6"/>
  <c r="H30" i="6"/>
  <c r="H27" i="6"/>
  <c r="H29" i="6"/>
  <c r="H24" i="6"/>
  <c r="C11" i="6" l="1"/>
  <c r="J28" i="6"/>
  <c r="J31" i="6"/>
  <c r="J24" i="6"/>
  <c r="J27" i="6"/>
  <c r="J30" i="6"/>
  <c r="J29" i="6"/>
  <c r="J26" i="6"/>
  <c r="D27" i="2" a="1"/>
  <c r="H25" i="6"/>
  <c r="J25" i="6" s="1"/>
  <c r="D30" i="2" l="1"/>
  <c r="D27" i="2"/>
  <c r="D29" i="2"/>
  <c r="D28" i="2"/>
  <c r="D31" i="2" l="1"/>
  <c r="D27" i="3" a="1"/>
  <c r="D28" i="3" l="1"/>
  <c r="G16" i="7" s="1"/>
  <c r="D27" i="3"/>
  <c r="D31" i="3" s="1"/>
  <c r="D29" i="3"/>
  <c r="D30" i="3"/>
  <c r="D27" i="8" a="1"/>
  <c r="D30" i="8" l="1"/>
  <c r="D28" i="8"/>
  <c r="D27" i="8"/>
  <c r="D31" i="8" s="1"/>
  <c r="D29" i="8"/>
  <c r="C4" i="6"/>
  <c r="K24" i="6"/>
  <c r="K31" i="6"/>
  <c r="L27" i="6"/>
  <c r="K29" i="6"/>
  <c r="K26" i="6"/>
  <c r="K28" i="6"/>
  <c r="L31" i="6"/>
  <c r="E8" i="6" a="1"/>
  <c r="K30" i="6"/>
  <c r="L24" i="6"/>
  <c r="K27" i="6"/>
  <c r="L28" i="6"/>
  <c r="L29" i="6"/>
  <c r="L25" i="6"/>
  <c r="K25" i="6"/>
  <c r="L26" i="6"/>
  <c r="L30" i="6"/>
  <c r="G17" i="7" l="1"/>
  <c r="C17" i="5"/>
  <c r="C29" i="5" s="1"/>
  <c r="M31" i="6"/>
  <c r="M28" i="6"/>
  <c r="M24" i="6"/>
  <c r="M25" i="6"/>
  <c r="M27" i="6"/>
  <c r="M26" i="6"/>
  <c r="M30" i="6"/>
  <c r="H20" i="6"/>
  <c r="G16" i="6"/>
  <c r="H11" i="6"/>
  <c r="G18" i="6"/>
  <c r="G13" i="6"/>
  <c r="H14" i="6"/>
  <c r="E16" i="6"/>
  <c r="G20" i="6"/>
  <c r="F17" i="6"/>
  <c r="H18" i="6"/>
  <c r="H12" i="6"/>
  <c r="H15" i="6"/>
  <c r="F16" i="6"/>
  <c r="E8" i="6"/>
  <c r="F13" i="6"/>
  <c r="E18" i="6"/>
  <c r="F9" i="6"/>
  <c r="F20" i="6"/>
  <c r="H17" i="6"/>
  <c r="E17" i="6"/>
  <c r="E20" i="6"/>
  <c r="G11" i="6"/>
  <c r="H16" i="6"/>
  <c r="H9" i="6"/>
  <c r="G15" i="6"/>
  <c r="E13" i="6"/>
  <c r="J13" i="6" s="1"/>
  <c r="E12" i="6"/>
  <c r="J12" i="6" s="1"/>
  <c r="G8" i="6"/>
  <c r="G9" i="6"/>
  <c r="E9" i="6"/>
  <c r="J9" i="6" s="1"/>
  <c r="G10" i="6"/>
  <c r="F19" i="6"/>
  <c r="G14" i="6"/>
  <c r="H10" i="6"/>
  <c r="F12" i="6"/>
  <c r="E15" i="6"/>
  <c r="J15" i="6" s="1"/>
  <c r="E19" i="6"/>
  <c r="F10" i="6"/>
  <c r="F15" i="6"/>
  <c r="F11" i="6"/>
  <c r="H8" i="6"/>
  <c r="G17" i="6"/>
  <c r="F14" i="6"/>
  <c r="E11" i="6"/>
  <c r="J11" i="6" s="1"/>
  <c r="F8" i="6"/>
  <c r="G12" i="6"/>
  <c r="H19" i="6"/>
  <c r="E14" i="6"/>
  <c r="J14" i="6" s="1"/>
  <c r="H13" i="6"/>
  <c r="G19" i="6"/>
  <c r="F18" i="6"/>
  <c r="E10" i="6"/>
  <c r="J10" i="6" s="1"/>
  <c r="M29" i="6"/>
  <c r="J8" i="6"/>
  <c r="L14" i="6"/>
  <c r="K13" i="6"/>
  <c r="K12" i="6"/>
  <c r="K11" i="6"/>
  <c r="K10" i="6"/>
  <c r="L9" i="6"/>
  <c r="L11" i="6"/>
  <c r="L15" i="6"/>
  <c r="K14" i="6"/>
  <c r="G23" i="7"/>
  <c r="G20" i="7"/>
  <c r="G21" i="7"/>
  <c r="G24" i="7"/>
  <c r="G22" i="7"/>
  <c r="C23" i="5"/>
  <c r="C21" i="5"/>
  <c r="C20" i="5"/>
  <c r="C24" i="5"/>
  <c r="M9" i="6" l="1"/>
  <c r="M11" i="6"/>
  <c r="M15" i="6"/>
  <c r="M14" i="6"/>
  <c r="L10" i="6"/>
  <c r="L12" i="6"/>
  <c r="L13" i="6"/>
  <c r="K15" i="6"/>
  <c r="K9" i="6"/>
  <c r="E3" i="5" a="1"/>
  <c r="K8" i="6"/>
  <c r="L8" i="6"/>
  <c r="C22" i="5"/>
  <c r="M13" i="6" l="1"/>
  <c r="M12" i="6"/>
  <c r="M10" i="6"/>
  <c r="L3" i="5"/>
  <c r="T3" i="5"/>
  <c r="J4" i="5"/>
  <c r="R4" i="5"/>
  <c r="H5" i="5"/>
  <c r="P5" i="5"/>
  <c r="F6" i="5"/>
  <c r="N6" i="5"/>
  <c r="V6" i="5"/>
  <c r="L7" i="5"/>
  <c r="T7" i="5"/>
  <c r="J8" i="5"/>
  <c r="R8" i="5"/>
  <c r="H9" i="5"/>
  <c r="P9" i="5"/>
  <c r="F10" i="5"/>
  <c r="N10" i="5"/>
  <c r="V10" i="5"/>
  <c r="L11" i="5"/>
  <c r="T11" i="5"/>
  <c r="J12" i="5"/>
  <c r="R12" i="5"/>
  <c r="H13" i="5"/>
  <c r="P13" i="5"/>
  <c r="F14" i="5"/>
  <c r="N14" i="5"/>
  <c r="V14" i="5"/>
  <c r="L15" i="5"/>
  <c r="T15" i="5"/>
  <c r="J16" i="5"/>
  <c r="R16" i="5"/>
  <c r="H17" i="5"/>
  <c r="P17" i="5"/>
  <c r="F18" i="5"/>
  <c r="N18" i="5"/>
  <c r="V18" i="5"/>
  <c r="L19" i="5"/>
  <c r="T19" i="5"/>
  <c r="J20" i="5"/>
  <c r="R20" i="5"/>
  <c r="H21" i="5"/>
  <c r="P21" i="5"/>
  <c r="F22" i="5"/>
  <c r="N22" i="5"/>
  <c r="V22" i="5"/>
  <c r="L23" i="5"/>
  <c r="T23" i="5"/>
  <c r="J24" i="5"/>
  <c r="R24" i="5"/>
  <c r="H25" i="5"/>
  <c r="P25" i="5"/>
  <c r="F26" i="5"/>
  <c r="N26" i="5"/>
  <c r="V26" i="5"/>
  <c r="L27" i="5"/>
  <c r="T27" i="5"/>
  <c r="J28" i="5"/>
  <c r="R28" i="5"/>
  <c r="H29" i="5"/>
  <c r="P29" i="5"/>
  <c r="F30" i="5"/>
  <c r="N30" i="5"/>
  <c r="V30" i="5"/>
  <c r="L31" i="5"/>
  <c r="T31" i="5"/>
  <c r="J32" i="5"/>
  <c r="R32" i="5"/>
  <c r="H33" i="5"/>
  <c r="P33" i="5"/>
  <c r="F34" i="5"/>
  <c r="N34" i="5"/>
  <c r="V34" i="5"/>
  <c r="E3" i="5"/>
  <c r="M3" i="5"/>
  <c r="U3" i="5"/>
  <c r="K4" i="5"/>
  <c r="S4" i="5"/>
  <c r="I5" i="5"/>
  <c r="Q5" i="5"/>
  <c r="G6" i="5"/>
  <c r="O6" i="5"/>
  <c r="E7" i="5"/>
  <c r="M7" i="5"/>
  <c r="U7" i="5"/>
  <c r="K8" i="5"/>
  <c r="S8" i="5"/>
  <c r="I9" i="5"/>
  <c r="Q9" i="5"/>
  <c r="G10" i="5"/>
  <c r="O10" i="5"/>
  <c r="E11" i="5"/>
  <c r="M11" i="5"/>
  <c r="U11" i="5"/>
  <c r="K12" i="5"/>
  <c r="S12" i="5"/>
  <c r="I13" i="5"/>
  <c r="Q13" i="5"/>
  <c r="G14" i="5"/>
  <c r="O14" i="5"/>
  <c r="E15" i="5"/>
  <c r="M15" i="5"/>
  <c r="U15" i="5"/>
  <c r="K16" i="5"/>
  <c r="S16" i="5"/>
  <c r="I17" i="5"/>
  <c r="Q17" i="5"/>
  <c r="G18" i="5"/>
  <c r="O18" i="5"/>
  <c r="E19" i="5"/>
  <c r="M19" i="5"/>
  <c r="U19" i="5"/>
  <c r="K20" i="5"/>
  <c r="S20" i="5"/>
  <c r="I21" i="5"/>
  <c r="Q21" i="5"/>
  <c r="G22" i="5"/>
  <c r="O22" i="5"/>
  <c r="E23" i="5"/>
  <c r="M23" i="5"/>
  <c r="U23" i="5"/>
  <c r="K24" i="5"/>
  <c r="S24" i="5"/>
  <c r="I25" i="5"/>
  <c r="Q25" i="5"/>
  <c r="G26" i="5"/>
  <c r="O26" i="5"/>
  <c r="E27" i="5"/>
  <c r="M27" i="5"/>
  <c r="U27" i="5"/>
  <c r="K28" i="5"/>
  <c r="S28" i="5"/>
  <c r="I29" i="5"/>
  <c r="Q29" i="5"/>
  <c r="G30" i="5"/>
  <c r="O30" i="5"/>
  <c r="E31" i="5"/>
  <c r="M31" i="5"/>
  <c r="U31" i="5"/>
  <c r="K32" i="5"/>
  <c r="S32" i="5"/>
  <c r="I33" i="5"/>
  <c r="Q33" i="5"/>
  <c r="G34" i="5"/>
  <c r="O34" i="5"/>
  <c r="E35" i="5"/>
  <c r="M35" i="5"/>
  <c r="U35" i="5"/>
  <c r="K36" i="5"/>
  <c r="S36" i="5"/>
  <c r="I37" i="5"/>
  <c r="Q37" i="5"/>
  <c r="G38" i="5"/>
  <c r="O38" i="5"/>
  <c r="E39" i="5"/>
  <c r="M39" i="5"/>
  <c r="U39" i="5"/>
  <c r="K40" i="5"/>
  <c r="J3" i="5"/>
  <c r="R3" i="5"/>
  <c r="H4" i="5"/>
  <c r="P4" i="5"/>
  <c r="F5" i="5"/>
  <c r="N5" i="5"/>
  <c r="V5" i="5"/>
  <c r="L6" i="5"/>
  <c r="T6" i="5"/>
  <c r="J7" i="5"/>
  <c r="R7" i="5"/>
  <c r="H8" i="5"/>
  <c r="P8" i="5"/>
  <c r="F9" i="5"/>
  <c r="N9" i="5"/>
  <c r="V9" i="5"/>
  <c r="L10" i="5"/>
  <c r="T10" i="5"/>
  <c r="J11" i="5"/>
  <c r="R11" i="5"/>
  <c r="H12" i="5"/>
  <c r="P12" i="5"/>
  <c r="F13" i="5"/>
  <c r="N13" i="5"/>
  <c r="V13" i="5"/>
  <c r="L14" i="5"/>
  <c r="T14" i="5"/>
  <c r="J15" i="5"/>
  <c r="R15" i="5"/>
  <c r="H16" i="5"/>
  <c r="P16" i="5"/>
  <c r="F17" i="5"/>
  <c r="N17" i="5"/>
  <c r="V17" i="5"/>
  <c r="L18" i="5"/>
  <c r="T18" i="5"/>
  <c r="J19" i="5"/>
  <c r="R19" i="5"/>
  <c r="H20" i="5"/>
  <c r="P20" i="5"/>
  <c r="F21" i="5"/>
  <c r="N21" i="5"/>
  <c r="V21" i="5"/>
  <c r="L22" i="5"/>
  <c r="T22" i="5"/>
  <c r="J23" i="5"/>
  <c r="R23" i="5"/>
  <c r="H24" i="5"/>
  <c r="P24" i="5"/>
  <c r="F25" i="5"/>
  <c r="N25" i="5"/>
  <c r="V25" i="5"/>
  <c r="L26" i="5"/>
  <c r="T26" i="5"/>
  <c r="J27" i="5"/>
  <c r="R27" i="5"/>
  <c r="H28" i="5"/>
  <c r="P28" i="5"/>
  <c r="F29" i="5"/>
  <c r="N29" i="5"/>
  <c r="V29" i="5"/>
  <c r="L30" i="5"/>
  <c r="T30" i="5"/>
  <c r="J31" i="5"/>
  <c r="R31" i="5"/>
  <c r="H32" i="5"/>
  <c r="P32" i="5"/>
  <c r="O3" i="5"/>
  <c r="I4" i="5"/>
  <c r="V4" i="5"/>
  <c r="R5" i="5"/>
  <c r="K6" i="5"/>
  <c r="G7" i="5"/>
  <c r="S7" i="5"/>
  <c r="N8" i="5"/>
  <c r="J9" i="5"/>
  <c r="U9" i="5"/>
  <c r="Q10" i="5"/>
  <c r="K11" i="5"/>
  <c r="F12" i="5"/>
  <c r="T12" i="5"/>
  <c r="M13" i="5"/>
  <c r="I14" i="5"/>
  <c r="U14" i="5"/>
  <c r="P15" i="5"/>
  <c r="L16" i="5"/>
  <c r="E17" i="5"/>
  <c r="S17" i="5"/>
  <c r="M18" i="5"/>
  <c r="H19" i="5"/>
  <c r="V19" i="5"/>
  <c r="O20" i="5"/>
  <c r="K21" i="5"/>
  <c r="E22" i="5"/>
  <c r="R22" i="5"/>
  <c r="N23" i="5"/>
  <c r="G24" i="5"/>
  <c r="U24" i="5"/>
  <c r="O25" i="5"/>
  <c r="J26" i="5"/>
  <c r="F27" i="5"/>
  <c r="Q27" i="5"/>
  <c r="M28" i="5"/>
  <c r="G29" i="5"/>
  <c r="T29" i="5"/>
  <c r="P30" i="5"/>
  <c r="I31" i="5"/>
  <c r="E32" i="5"/>
  <c r="Q32" i="5"/>
  <c r="K33" i="5"/>
  <c r="U33" i="5"/>
  <c r="M34" i="5"/>
  <c r="G35" i="5"/>
  <c r="P35" i="5"/>
  <c r="G36" i="5"/>
  <c r="P36" i="5"/>
  <c r="G37" i="5"/>
  <c r="P37" i="5"/>
  <c r="H38" i="5"/>
  <c r="Q38" i="5"/>
  <c r="H39" i="5"/>
  <c r="Q39" i="5"/>
  <c r="H40" i="5"/>
  <c r="Q40" i="5"/>
  <c r="G41" i="5"/>
  <c r="O41" i="5"/>
  <c r="E42" i="5"/>
  <c r="M42" i="5"/>
  <c r="U42" i="5"/>
  <c r="K43" i="5"/>
  <c r="S43" i="5"/>
  <c r="I44" i="5"/>
  <c r="Q44" i="5"/>
  <c r="G45" i="5"/>
  <c r="O45" i="5"/>
  <c r="E46" i="5"/>
  <c r="M46" i="5"/>
  <c r="U46" i="5"/>
  <c r="P3" i="5"/>
  <c r="L4" i="5"/>
  <c r="E5" i="5"/>
  <c r="S5" i="5"/>
  <c r="M6" i="5"/>
  <c r="H7" i="5"/>
  <c r="V7" i="5"/>
  <c r="O8" i="5"/>
  <c r="K9" i="5"/>
  <c r="E10" i="5"/>
  <c r="R10" i="5"/>
  <c r="N11" i="5"/>
  <c r="G12" i="5"/>
  <c r="U12" i="5"/>
  <c r="Q3" i="5"/>
  <c r="O4" i="5"/>
  <c r="M5" i="5"/>
  <c r="P6" i="5"/>
  <c r="N7" i="5"/>
  <c r="L8" i="5"/>
  <c r="L9" i="5"/>
  <c r="J10" i="5"/>
  <c r="H11" i="5"/>
  <c r="I12" i="5"/>
  <c r="G13" i="5"/>
  <c r="U13" i="5"/>
  <c r="R14" i="5"/>
  <c r="O15" i="5"/>
  <c r="M16" i="5"/>
  <c r="J17" i="5"/>
  <c r="E18" i="5"/>
  <c r="S18" i="5"/>
  <c r="P19" i="5"/>
  <c r="M20" i="5"/>
  <c r="J21" i="5"/>
  <c r="H22" i="5"/>
  <c r="U22" i="5"/>
  <c r="Q23" i="5"/>
  <c r="N24" i="5"/>
  <c r="K25" i="5"/>
  <c r="H26" i="5"/>
  <c r="U26" i="5"/>
  <c r="S27" i="5"/>
  <c r="O28" i="5"/>
  <c r="L29" i="5"/>
  <c r="I30" i="5"/>
  <c r="F31" i="5"/>
  <c r="S31" i="5"/>
  <c r="O32" i="5"/>
  <c r="L33" i="5"/>
  <c r="E34" i="5"/>
  <c r="R34" i="5"/>
  <c r="K35" i="5"/>
  <c r="V35" i="5"/>
  <c r="N36" i="5"/>
  <c r="F37" i="5"/>
  <c r="R37" i="5"/>
  <c r="J38" i="5"/>
  <c r="T38" i="5"/>
  <c r="L39" i="5"/>
  <c r="E40" i="5"/>
  <c r="O40" i="5"/>
  <c r="F41" i="5"/>
  <c r="P41" i="5"/>
  <c r="G42" i="5"/>
  <c r="P42" i="5"/>
  <c r="G43" i="5"/>
  <c r="P43" i="5"/>
  <c r="G44" i="5"/>
  <c r="P44" i="5"/>
  <c r="H45" i="5"/>
  <c r="Q45" i="5"/>
  <c r="H46" i="5"/>
  <c r="Q46" i="5"/>
  <c r="S3" i="5"/>
  <c r="Q4" i="5"/>
  <c r="O5" i="5"/>
  <c r="Q6" i="5"/>
  <c r="O7" i="5"/>
  <c r="M8" i="5"/>
  <c r="M9" i="5"/>
  <c r="K10" i="5"/>
  <c r="I11" i="5"/>
  <c r="L12" i="5"/>
  <c r="J13" i="5"/>
  <c r="E14" i="5"/>
  <c r="S14" i="5"/>
  <c r="Q15" i="5"/>
  <c r="N16" i="5"/>
  <c r="K17" i="5"/>
  <c r="H18" i="5"/>
  <c r="U18" i="5"/>
  <c r="Q19" i="5"/>
  <c r="N20" i="5"/>
  <c r="L21" i="5"/>
  <c r="I22" i="5"/>
  <c r="F23" i="5"/>
  <c r="S23" i="5"/>
  <c r="O24" i="5"/>
  <c r="L25" i="5"/>
  <c r="I26" i="5"/>
  <c r="G27" i="5"/>
  <c r="V27" i="5"/>
  <c r="Q28" i="5"/>
  <c r="M29" i="5"/>
  <c r="J30" i="5"/>
  <c r="G31" i="5"/>
  <c r="V31" i="5"/>
  <c r="T32" i="5"/>
  <c r="M33" i="5"/>
  <c r="H34" i="5"/>
  <c r="S34" i="5"/>
  <c r="L35" i="5"/>
  <c r="E36" i="5"/>
  <c r="O36" i="5"/>
  <c r="H37" i="5"/>
  <c r="S37" i="5"/>
  <c r="K38" i="5"/>
  <c r="U38" i="5"/>
  <c r="N39" i="5"/>
  <c r="F40" i="5"/>
  <c r="P40" i="5"/>
  <c r="H41" i="5"/>
  <c r="Q41" i="5"/>
  <c r="H42" i="5"/>
  <c r="Q42" i="5"/>
  <c r="H43" i="5"/>
  <c r="Q43" i="5"/>
  <c r="H44" i="5"/>
  <c r="R44" i="5"/>
  <c r="I45" i="5"/>
  <c r="R45" i="5"/>
  <c r="I46" i="5"/>
  <c r="R46" i="5"/>
  <c r="F3" i="5"/>
  <c r="V3" i="5"/>
  <c r="T4" i="5"/>
  <c r="T5" i="5"/>
  <c r="R6" i="5"/>
  <c r="P7" i="5"/>
  <c r="Q8" i="5"/>
  <c r="O9" i="5"/>
  <c r="M10" i="5"/>
  <c r="O11" i="5"/>
  <c r="M12" i="5"/>
  <c r="K13" i="5"/>
  <c r="H14" i="5"/>
  <c r="F15" i="5"/>
  <c r="S15" i="5"/>
  <c r="O16" i="5"/>
  <c r="L17" i="5"/>
  <c r="I18" i="5"/>
  <c r="F19" i="5"/>
  <c r="S19" i="5"/>
  <c r="Q20" i="5"/>
  <c r="M21" i="5"/>
  <c r="J22" i="5"/>
  <c r="G23" i="5"/>
  <c r="V23" i="5"/>
  <c r="Q24" i="5"/>
  <c r="M25" i="5"/>
  <c r="K26" i="5"/>
  <c r="H27" i="5"/>
  <c r="E28" i="5"/>
  <c r="T28" i="5"/>
  <c r="O29" i="5"/>
  <c r="K30" i="5"/>
  <c r="H31" i="5"/>
  <c r="F32" i="5"/>
  <c r="U32" i="5"/>
  <c r="N33" i="5"/>
  <c r="I34" i="5"/>
  <c r="T34" i="5"/>
  <c r="N35" i="5"/>
  <c r="F36" i="5"/>
  <c r="Q36" i="5"/>
  <c r="J37" i="5"/>
  <c r="T37" i="5"/>
  <c r="L38" i="5"/>
  <c r="V38" i="5"/>
  <c r="O39" i="5"/>
  <c r="G40" i="5"/>
  <c r="R40" i="5"/>
  <c r="I41" i="5"/>
  <c r="Q34" i="5"/>
  <c r="R35" i="5"/>
  <c r="M32" i="5"/>
  <c r="F4" i="5"/>
  <c r="L5" i="5"/>
  <c r="F7" i="5"/>
  <c r="T8" i="5"/>
  <c r="H10" i="5"/>
  <c r="Q11" i="5"/>
  <c r="E13" i="5"/>
  <c r="M14" i="5"/>
  <c r="V15" i="5"/>
  <c r="V16" i="5"/>
  <c r="K18" i="5"/>
  <c r="O19" i="5"/>
  <c r="V20" i="5"/>
  <c r="K22" i="5"/>
  <c r="O23" i="5"/>
  <c r="V24" i="5"/>
  <c r="E26" i="5"/>
  <c r="N27" i="5"/>
  <c r="U28" i="5"/>
  <c r="E30" i="5"/>
  <c r="N31" i="5"/>
  <c r="N32" i="5"/>
  <c r="S33" i="5"/>
  <c r="U34" i="5"/>
  <c r="S35" i="5"/>
  <c r="T36" i="5"/>
  <c r="O37" i="5"/>
  <c r="P38" i="5"/>
  <c r="P39" i="5"/>
  <c r="M40" i="5"/>
  <c r="K41" i="5"/>
  <c r="V41" i="5"/>
  <c r="R42" i="5"/>
  <c r="L43" i="5"/>
  <c r="E44" i="5"/>
  <c r="S44" i="5"/>
  <c r="L45" i="5"/>
  <c r="F46" i="5"/>
  <c r="S46" i="5"/>
  <c r="G4" i="5"/>
  <c r="U5" i="5"/>
  <c r="I7" i="5"/>
  <c r="U8" i="5"/>
  <c r="I10" i="5"/>
  <c r="S11" i="5"/>
  <c r="L13" i="5"/>
  <c r="P14" i="5"/>
  <c r="E16" i="5"/>
  <c r="G17" i="5"/>
  <c r="P18" i="5"/>
  <c r="E20" i="5"/>
  <c r="E21" i="5"/>
  <c r="M22" i="5"/>
  <c r="P23" i="5"/>
  <c r="E25" i="5"/>
  <c r="M26" i="5"/>
  <c r="O27" i="5"/>
  <c r="V28" i="5"/>
  <c r="H30" i="5"/>
  <c r="O31" i="5"/>
  <c r="V32" i="5"/>
  <c r="T33" i="5"/>
  <c r="F35" i="5"/>
  <c r="T35" i="5"/>
  <c r="U36" i="5"/>
  <c r="U37" i="5"/>
  <c r="R38" i="5"/>
  <c r="R39" i="5"/>
  <c r="N40" i="5"/>
  <c r="L41" i="5"/>
  <c r="F42" i="5"/>
  <c r="S42" i="5"/>
  <c r="M43" i="5"/>
  <c r="F44" i="5"/>
  <c r="T44" i="5"/>
  <c r="M45" i="5"/>
  <c r="G46" i="5"/>
  <c r="T46" i="5"/>
  <c r="G3" i="5"/>
  <c r="M4" i="5"/>
  <c r="E6" i="5"/>
  <c r="K7" i="5"/>
  <c r="V8" i="5"/>
  <c r="P10" i="5"/>
  <c r="V11" i="5"/>
  <c r="O13" i="5"/>
  <c r="Q14" i="5"/>
  <c r="F16" i="5"/>
  <c r="M17" i="5"/>
  <c r="Q18" i="5"/>
  <c r="F20" i="5"/>
  <c r="G21" i="5"/>
  <c r="P22" i="5"/>
  <c r="E24" i="5"/>
  <c r="G25" i="5"/>
  <c r="P26" i="5"/>
  <c r="P27" i="5"/>
  <c r="E29" i="5"/>
  <c r="M30" i="5"/>
  <c r="P31" i="5"/>
  <c r="E33" i="5"/>
  <c r="V33" i="5"/>
  <c r="H35" i="5"/>
  <c r="H36" i="5"/>
  <c r="V36" i="5"/>
  <c r="V37" i="5"/>
  <c r="S38" i="5"/>
  <c r="S39" i="5"/>
  <c r="S40" i="5"/>
  <c r="M41" i="5"/>
  <c r="I42" i="5"/>
  <c r="T42" i="5"/>
  <c r="N43" i="5"/>
  <c r="J44" i="5"/>
  <c r="U44" i="5"/>
  <c r="N45" i="5"/>
  <c r="J46" i="5"/>
  <c r="V46" i="5"/>
  <c r="H3" i="5"/>
  <c r="N4" i="5"/>
  <c r="H6" i="5"/>
  <c r="Q7" i="5"/>
  <c r="E9" i="5"/>
  <c r="S10" i="5"/>
  <c r="E12" i="5"/>
  <c r="R13" i="5"/>
  <c r="G15" i="5"/>
  <c r="G16" i="5"/>
  <c r="O17" i="5"/>
  <c r="R18" i="5"/>
  <c r="G20" i="5"/>
  <c r="O21" i="5"/>
  <c r="Q22" i="5"/>
  <c r="F24" i="5"/>
  <c r="J25" i="5"/>
  <c r="Q26" i="5"/>
  <c r="F28" i="5"/>
  <c r="J29" i="5"/>
  <c r="Q30" i="5"/>
  <c r="Q31" i="5"/>
  <c r="F33" i="5"/>
  <c r="J34" i="5"/>
  <c r="I35" i="5"/>
  <c r="I36" i="5"/>
  <c r="E37" i="5"/>
  <c r="E38" i="5"/>
  <c r="F39" i="5"/>
  <c r="T39" i="5"/>
  <c r="T40" i="5"/>
  <c r="N41" i="5"/>
  <c r="J42" i="5"/>
  <c r="V42" i="5"/>
  <c r="O43" i="5"/>
  <c r="K44" i="5"/>
  <c r="V44" i="5"/>
  <c r="P45" i="5"/>
  <c r="K46" i="5"/>
  <c r="I3" i="5"/>
  <c r="U4" i="5"/>
  <c r="I6" i="5"/>
  <c r="E8" i="5"/>
  <c r="G9" i="5"/>
  <c r="U10" i="5"/>
  <c r="N12" i="5"/>
  <c r="S13" i="5"/>
  <c r="H15" i="5"/>
  <c r="I16" i="5"/>
  <c r="R17" i="5"/>
  <c r="G19" i="5"/>
  <c r="I20" i="5"/>
  <c r="R21" i="5"/>
  <c r="S22" i="5"/>
  <c r="I24" i="5"/>
  <c r="R25" i="5"/>
  <c r="R26" i="5"/>
  <c r="G28" i="5"/>
  <c r="K29" i="5"/>
  <c r="R30" i="5"/>
  <c r="G32" i="5"/>
  <c r="G33" i="5"/>
  <c r="K34" i="5"/>
  <c r="J35" i="5"/>
  <c r="J36" i="5"/>
  <c r="K37" i="5"/>
  <c r="F38" i="5"/>
  <c r="G39" i="5"/>
  <c r="V39" i="5"/>
  <c r="U40" i="5"/>
  <c r="R41" i="5"/>
  <c r="K42" i="5"/>
  <c r="E43" i="5"/>
  <c r="R43" i="5"/>
  <c r="L44" i="5"/>
  <c r="E45" i="5"/>
  <c r="S45" i="5"/>
  <c r="L46" i="5"/>
  <c r="K3" i="5"/>
  <c r="G5" i="5"/>
  <c r="J6" i="5"/>
  <c r="F8" i="5"/>
  <c r="R9" i="5"/>
  <c r="F11" i="5"/>
  <c r="O12" i="5"/>
  <c r="T13" i="5"/>
  <c r="I15" i="5"/>
  <c r="Q16" i="5"/>
  <c r="T17" i="5"/>
  <c r="I19" i="5"/>
  <c r="L20" i="5"/>
  <c r="S21" i="5"/>
  <c r="H23" i="5"/>
  <c r="L24" i="5"/>
  <c r="S25" i="5"/>
  <c r="S26" i="5"/>
  <c r="I28" i="5"/>
  <c r="R29" i="5"/>
  <c r="S30" i="5"/>
  <c r="I32" i="5"/>
  <c r="J33" i="5"/>
  <c r="L34" i="5"/>
  <c r="O35" i="5"/>
  <c r="L36" i="5"/>
  <c r="L37" i="5"/>
  <c r="I38" i="5"/>
  <c r="I39" i="5"/>
  <c r="I40" i="5"/>
  <c r="V40" i="5"/>
  <c r="S41" i="5"/>
  <c r="L42" i="5"/>
  <c r="F43" i="5"/>
  <c r="T43" i="5"/>
  <c r="M44" i="5"/>
  <c r="F45" i="5"/>
  <c r="T45" i="5"/>
  <c r="N46" i="5"/>
  <c r="N3" i="5"/>
  <c r="J5" i="5"/>
  <c r="S6" i="5"/>
  <c r="G8" i="5"/>
  <c r="S9" i="5"/>
  <c r="G11" i="5"/>
  <c r="Q12" i="5"/>
  <c r="J14" i="5"/>
  <c r="K15" i="5"/>
  <c r="T16" i="5"/>
  <c r="U17" i="5"/>
  <c r="K19" i="5"/>
  <c r="T20" i="5"/>
  <c r="T21" i="5"/>
  <c r="I23" i="5"/>
  <c r="M24" i="5"/>
  <c r="T25" i="5"/>
  <c r="I27" i="5"/>
  <c r="L28" i="5"/>
  <c r="S29" i="5"/>
  <c r="U30" i="5"/>
  <c r="L32" i="5"/>
  <c r="O33" i="5"/>
  <c r="P34" i="5"/>
  <c r="Q35" i="5"/>
  <c r="M36" i="5"/>
  <c r="M37" i="5"/>
  <c r="M38" i="5"/>
  <c r="J39" i="5"/>
  <c r="J40" i="5"/>
  <c r="E41" i="5"/>
  <c r="T41" i="5"/>
  <c r="N42" i="5"/>
  <c r="I43" i="5"/>
  <c r="U43" i="5"/>
  <c r="N44" i="5"/>
  <c r="J45" i="5"/>
  <c r="U45" i="5"/>
  <c r="O46" i="5"/>
  <c r="E4" i="5"/>
  <c r="K5" i="5"/>
  <c r="U6" i="5"/>
  <c r="I8" i="5"/>
  <c r="T9" i="5"/>
  <c r="P11" i="5"/>
  <c r="V12" i="5"/>
  <c r="K14" i="5"/>
  <c r="N15" i="5"/>
  <c r="U16" i="5"/>
  <c r="J18" i="5"/>
  <c r="N19" i="5"/>
  <c r="U20" i="5"/>
  <c r="U21" i="5"/>
  <c r="K23" i="5"/>
  <c r="T24" i="5"/>
  <c r="U25" i="5"/>
  <c r="K27" i="5"/>
  <c r="N28" i="5"/>
  <c r="U29" i="5"/>
  <c r="K31" i="5"/>
  <c r="R33" i="5"/>
  <c r="R36" i="5"/>
  <c r="N37" i="5"/>
  <c r="N38" i="5"/>
  <c r="K39" i="5"/>
  <c r="L40" i="5"/>
  <c r="J41" i="5"/>
  <c r="U41" i="5"/>
  <c r="O42" i="5"/>
  <c r="J43" i="5"/>
  <c r="V43" i="5"/>
  <c r="O44" i="5"/>
  <c r="K45" i="5"/>
  <c r="V45" i="5"/>
  <c r="P46" i="5"/>
  <c r="M8" i="6"/>
  <c r="M5" i="6" s="1"/>
  <c r="F36" i="6" l="1" a="1"/>
  <c r="E36" i="6" a="1"/>
  <c r="E42" i="6" l="1"/>
  <c r="G42" i="6" s="1"/>
  <c r="E40" i="6"/>
  <c r="G40" i="6" s="1"/>
  <c r="E36" i="6"/>
  <c r="G36" i="6" s="1"/>
  <c r="E37" i="6"/>
  <c r="G37" i="6" s="1"/>
  <c r="E38" i="6"/>
  <c r="G38" i="6" s="1"/>
  <c r="E43" i="6"/>
  <c r="G43" i="6" s="1"/>
  <c r="E41" i="6"/>
  <c r="G41" i="6" s="1"/>
  <c r="E39" i="6"/>
  <c r="G39" i="6" s="1"/>
  <c r="F40" i="6"/>
  <c r="F41" i="6"/>
  <c r="F42" i="6"/>
  <c r="F38" i="6"/>
  <c r="F43" i="6"/>
  <c r="F39" i="6"/>
  <c r="F37" i="6"/>
  <c r="F36" i="6"/>
  <c r="H37" i="6" l="1"/>
  <c r="H42" i="6"/>
  <c r="H39" i="6"/>
  <c r="H36" i="6"/>
  <c r="H43" i="6"/>
  <c r="H38" i="6"/>
  <c r="H41" i="6"/>
  <c r="H40" i="6"/>
</calcChain>
</file>

<file path=xl/sharedStrings.xml><?xml version="1.0" encoding="utf-8"?>
<sst xmlns="http://schemas.openxmlformats.org/spreadsheetml/2006/main" count="701" uniqueCount="273">
  <si>
    <t>Settings</t>
  </si>
  <si>
    <t>MARKETDATAPROPERTIES</t>
  </si>
  <si>
    <t>OIS</t>
  </si>
  <si>
    <t>PX_LAST</t>
  </si>
  <si>
    <t>OISFIXINGS</t>
  </si>
  <si>
    <t>LIBOROISBASISSPREADS</t>
  </si>
  <si>
    <t xml:space="preserve"> </t>
  </si>
  <si>
    <t>SWAPS</t>
  </si>
  <si>
    <t>Bloomberg Ticker</t>
  </si>
  <si>
    <t>Term</t>
  </si>
  <si>
    <t>Rate</t>
  </si>
  <si>
    <t>StartDate</t>
  </si>
  <si>
    <t>EndDate</t>
  </si>
  <si>
    <t>Use</t>
  </si>
  <si>
    <t>BaseDate</t>
  </si>
  <si>
    <t>Currency</t>
  </si>
  <si>
    <t>USD</t>
  </si>
  <si>
    <t>FEDL01 Index</t>
  </si>
  <si>
    <t>ON</t>
  </si>
  <si>
    <t>USBG4 CMPN Curncy</t>
  </si>
  <si>
    <t>4Y</t>
  </si>
  <si>
    <t>USSWAP4 CMPN Curncy</t>
  </si>
  <si>
    <t>CurveType</t>
  </si>
  <si>
    <t>USSO1Z CMPN Curncy</t>
  </si>
  <si>
    <t>1W</t>
  </si>
  <si>
    <t>USBG5 CMPN Curncy</t>
  </si>
  <si>
    <t>5Y</t>
  </si>
  <si>
    <t>USSWAP5 CMPN Curncy</t>
  </si>
  <si>
    <t>CurveIndexFrequency</t>
  </si>
  <si>
    <t>DAILY</t>
  </si>
  <si>
    <t>USSO2Z CMPN Curncy</t>
  </si>
  <si>
    <t>2W</t>
  </si>
  <si>
    <t>USBG7 CMPN Curncy</t>
  </si>
  <si>
    <t>7Y</t>
  </si>
  <si>
    <t>USSWAP7 CMPN Curncy</t>
  </si>
  <si>
    <t>AsOfDate</t>
  </si>
  <si>
    <t>USSO3Z CMPN Curncy</t>
  </si>
  <si>
    <t>3W</t>
  </si>
  <si>
    <t>USBG10 CMPN Curncy</t>
  </si>
  <si>
    <t>10Y</t>
  </si>
  <si>
    <t>USSWAP10 CMPN Curncy</t>
  </si>
  <si>
    <t>USSOA CMPN Curncy</t>
  </si>
  <si>
    <t>1M</t>
  </si>
  <si>
    <t>USBG12 CMPN Curncy</t>
  </si>
  <si>
    <t>12Y</t>
  </si>
  <si>
    <t>USSWAP12 CMPN Curncy</t>
  </si>
  <si>
    <t>USSOB CMPN Curncy</t>
  </si>
  <si>
    <t>2M</t>
  </si>
  <si>
    <t>USBG15 CMPN Curncy</t>
  </si>
  <si>
    <t>15Y</t>
  </si>
  <si>
    <t>USSWAP15 CMPN Curncy</t>
  </si>
  <si>
    <t>Create Market Data Handle</t>
  </si>
  <si>
    <t>USSOC CMPN Curncy</t>
  </si>
  <si>
    <t>3M</t>
  </si>
  <si>
    <t>USBG20 CMPN Curncy</t>
  </si>
  <si>
    <t>20Y</t>
  </si>
  <si>
    <t>USSWAP20 CMPN Curncy</t>
  </si>
  <si>
    <t>Handle Name</t>
  </si>
  <si>
    <t>USD_OIS_CURVE_MARKETDATA</t>
  </si>
  <si>
    <t>USSOD CMPN Curncy</t>
  </si>
  <si>
    <t>4M</t>
  </si>
  <si>
    <t>USBG25 CMPN Curncy</t>
  </si>
  <si>
    <t>25Y</t>
  </si>
  <si>
    <t>USSWAP25 CMPN Curncy</t>
  </si>
  <si>
    <t>Market Data Handle</t>
  </si>
  <si>
    <t>USSOE CMPN Curncy</t>
  </si>
  <si>
    <t>5M</t>
  </si>
  <si>
    <t>USBG30 CMPN Curncy</t>
  </si>
  <si>
    <t>30Y</t>
  </si>
  <si>
    <t>USSWAP30 CMPN Curncy</t>
  </si>
  <si>
    <t>USSOF CMPN Curncy</t>
  </si>
  <si>
    <t>6M</t>
  </si>
  <si>
    <t>USSOI CMPN Curncy</t>
  </si>
  <si>
    <t>9M</t>
  </si>
  <si>
    <t>USSO1 CMPN  Curncy</t>
  </si>
  <si>
    <t>1Y</t>
  </si>
  <si>
    <t>USSO2 CMPN  Curncy</t>
  </si>
  <si>
    <t>2Y</t>
  </si>
  <si>
    <t>Curve Dictionary</t>
  </si>
  <si>
    <t>USD_OIS_CURVE</t>
  </si>
  <si>
    <t>Curve Generator</t>
  </si>
  <si>
    <t>USD_OIS</t>
  </si>
  <si>
    <t>Domestic Curve Collection</t>
  </si>
  <si>
    <t>USDYC</t>
  </si>
  <si>
    <t>Foreign Curve Collection</t>
  </si>
  <si>
    <t>Curve Build</t>
  </si>
  <si>
    <t>Curve Collection</t>
  </si>
  <si>
    <t>Curve Index</t>
  </si>
  <si>
    <t>Calibration Time Taken</t>
  </si>
  <si>
    <t>Curve Loaded</t>
  </si>
  <si>
    <t>LIBORFIXINGS</t>
  </si>
  <si>
    <t>FRAS</t>
  </si>
  <si>
    <t>FUT_CUR_GEN_TICKER</t>
  </si>
  <si>
    <t>FUTURES</t>
  </si>
  <si>
    <t>INT_RATE_FUT_START_DT</t>
  </si>
  <si>
    <t>INT_RATE_FUT_END_DT</t>
  </si>
  <si>
    <t>Ticker</t>
  </si>
  <si>
    <t>Volatility</t>
  </si>
  <si>
    <t>SWAP</t>
  </si>
  <si>
    <t>US0003M Index</t>
  </si>
  <si>
    <t>ED1 Comdty</t>
  </si>
  <si>
    <t>USSWAP3 CMPN Curncy</t>
  </si>
  <si>
    <t>3Y</t>
  </si>
  <si>
    <t>QUARTERLY</t>
  </si>
  <si>
    <t>ED2 Comdty</t>
  </si>
  <si>
    <t>ED3 Comdty</t>
  </si>
  <si>
    <t>ED4 Comdty</t>
  </si>
  <si>
    <t>ED5 Comdty</t>
  </si>
  <si>
    <t>USSWAP8 CMPN Curncy</t>
  </si>
  <si>
    <t>8Y</t>
  </si>
  <si>
    <t>ED6 Comdty</t>
  </si>
  <si>
    <t>USSWAP9 CMPN Curncy</t>
  </si>
  <si>
    <t>9Y</t>
  </si>
  <si>
    <t>ED7 Comdty</t>
  </si>
  <si>
    <t>USD_SWAP_3M_CURVE_MARKETDATA</t>
  </si>
  <si>
    <t>ED8 Comdty</t>
  </si>
  <si>
    <t>USSWAP40 CMPN Curncy</t>
  </si>
  <si>
    <t>40Y</t>
  </si>
  <si>
    <t>USSWAP50 CMPN Curncy</t>
  </si>
  <si>
    <t>50Y</t>
  </si>
  <si>
    <t>USD_SWAP_3M_CURVE</t>
  </si>
  <si>
    <t>USD_SWAP_3M</t>
  </si>
  <si>
    <t>LEGTYPE</t>
  </si>
  <si>
    <t>Leg1:Premium</t>
  </si>
  <si>
    <t>Leg2:Float</t>
  </si>
  <si>
    <t>LEVERAGE</t>
  </si>
  <si>
    <t>1</t>
  </si>
  <si>
    <t>FORECASTCURVE</t>
  </si>
  <si>
    <t/>
  </si>
  <si>
    <t>USD3ML</t>
  </si>
  <si>
    <t>COMPOUNDMETHOD</t>
  </si>
  <si>
    <t>NONE</t>
  </si>
  <si>
    <t>NOTIONALEXCHANGE</t>
  </si>
  <si>
    <t>DISCOUNTCURVE</t>
  </si>
  <si>
    <t>USDOIS</t>
  </si>
  <si>
    <t>VALUATIONCURRENCY</t>
  </si>
  <si>
    <t>CURRENCY</t>
  </si>
  <si>
    <t>ACCRUALFREQUENCY</t>
  </si>
  <si>
    <t>Quarterly</t>
  </si>
  <si>
    <t>ACCRUALBUSINESSDAYADJUSTMENT</t>
  </si>
  <si>
    <t>FOLLOWING</t>
  </si>
  <si>
    <t>ACCRUALCALENDAR</t>
  </si>
  <si>
    <t>NYB:LNB</t>
  </si>
  <si>
    <t>ACCRUALDAYCOUNT</t>
  </si>
  <si>
    <t>ACT/360</t>
  </si>
  <si>
    <t>PAYMENTFREQUENCY</t>
  </si>
  <si>
    <t>PAYMENTBUSINESSDAYADJUSTMENT</t>
  </si>
  <si>
    <t>PAYMENTCALENDAR</t>
  </si>
  <si>
    <t>PAYMENTLAG</t>
  </si>
  <si>
    <t>0D</t>
  </si>
  <si>
    <t>FIRSTSTUBDATE</t>
  </si>
  <si>
    <t>LASTSTUBDATE</t>
  </si>
  <si>
    <t>ROLLDAY</t>
  </si>
  <si>
    <t>NORMAL</t>
  </si>
  <si>
    <t>STUBTYPE</t>
  </si>
  <si>
    <t>ShortStart</t>
  </si>
  <si>
    <t>FIXINGBUSINESSDAYADJUSTMENT</t>
  </si>
  <si>
    <t>FIXINGCALENDAR</t>
  </si>
  <si>
    <t>FIXINGLAG</t>
  </si>
  <si>
    <t>FIXINGADVANCEORARREAR</t>
  </si>
  <si>
    <t>FIRSTSTUBCURVEINDEX</t>
  </si>
  <si>
    <t>LASTSTUBCURVEINDEX</t>
  </si>
  <si>
    <t>GeneratorName</t>
  </si>
  <si>
    <t>Create Generator</t>
  </si>
  <si>
    <t>CREATE TRS</t>
  </si>
  <si>
    <t>SwapName</t>
  </si>
  <si>
    <t>TRS_0.15_FEB2028</t>
  </si>
  <si>
    <t>CreateTRS</t>
  </si>
  <si>
    <t>TRS TRADE PARAMETERS</t>
  </si>
  <si>
    <t>SwapGenerator</t>
  </si>
  <si>
    <t>PayReceivePremium</t>
  </si>
  <si>
    <t>RECEIVE</t>
  </si>
  <si>
    <t>Notional</t>
  </si>
  <si>
    <t>EffectiveDate</t>
  </si>
  <si>
    <t>MaturityDate</t>
  </si>
  <si>
    <t>FixedRate</t>
  </si>
  <si>
    <t>MODEL INPUTS</t>
  </si>
  <si>
    <t>IRCurve</t>
  </si>
  <si>
    <t>CreditModel</t>
  </si>
  <si>
    <t>PRICE RESULTS</t>
  </si>
  <si>
    <t>Total PV</t>
  </si>
  <si>
    <t>ParRate</t>
  </si>
  <si>
    <t>ParSpread</t>
  </si>
  <si>
    <t>FloatSpread (bps)</t>
  </si>
  <si>
    <t>CREATE MODEL</t>
  </si>
  <si>
    <t>ModelName</t>
  </si>
  <si>
    <t>CREDITMODEL1</t>
  </si>
  <si>
    <t>CreateModel</t>
  </si>
  <si>
    <t>+/-</t>
  </si>
  <si>
    <t>MODEL_PROPERTIES</t>
  </si>
  <si>
    <t>MODEL CALIBRATION</t>
  </si>
  <si>
    <t>CHECK CALIBRATION RESULTS</t>
  </si>
  <si>
    <t>Tenor</t>
  </si>
  <si>
    <t>HazardRate</t>
  </si>
  <si>
    <t>SurvivalProbability</t>
  </si>
  <si>
    <t>DefaultProbability</t>
  </si>
  <si>
    <t>SpotLag</t>
  </si>
  <si>
    <t>5D</t>
  </si>
  <si>
    <t>SpotBusinessDayAdjustment</t>
  </si>
  <si>
    <t>SpotCalendar</t>
  </si>
  <si>
    <t>NYB</t>
  </si>
  <si>
    <t>AccrualStartDate</t>
  </si>
  <si>
    <t>IMMReferenceDate</t>
  </si>
  <si>
    <t>RecoveryRate</t>
  </si>
  <si>
    <t>IncludeAccruedInterest</t>
  </si>
  <si>
    <t>USD_CDS_IMM</t>
  </si>
  <si>
    <t>CreditIndex</t>
  </si>
  <si>
    <t>US9128282R06</t>
  </si>
  <si>
    <t>Interpolation</t>
  </si>
  <si>
    <t>PiecewiseConstant</t>
  </si>
  <si>
    <t>Extrapolation</t>
  </si>
  <si>
    <t>Flat</t>
  </si>
  <si>
    <t>CDS_MARKETDATA</t>
  </si>
  <si>
    <t>CALIBRATION REPRICING CHECK</t>
  </si>
  <si>
    <t>CDS Spread</t>
  </si>
  <si>
    <t>PayRec</t>
  </si>
  <si>
    <t>CDS</t>
  </si>
  <si>
    <t>PV</t>
  </si>
  <si>
    <t>PAY</t>
  </si>
  <si>
    <t>RISKY DISCOUNT FACTORS</t>
  </si>
  <si>
    <t>DF</t>
  </si>
  <si>
    <t>RiskyDF</t>
  </si>
  <si>
    <t>Manual</t>
  </si>
  <si>
    <t>EDM8</t>
  </si>
  <si>
    <t>EDU8</t>
  </si>
  <si>
    <t>EDZ8</t>
  </si>
  <si>
    <t>EDH9</t>
  </si>
  <si>
    <t>EDM9</t>
  </si>
  <si>
    <t>EDU9</t>
  </si>
  <si>
    <t>EDZ9</t>
  </si>
  <si>
    <t>EDH0</t>
  </si>
  <si>
    <t>START_AND_END</t>
  </si>
  <si>
    <t>USD_TRS</t>
  </si>
  <si>
    <t>CREATE GENERATOR</t>
  </si>
  <si>
    <t>GENERATOR TEMPLATE</t>
  </si>
  <si>
    <t>TRS_USD_CT10</t>
  </si>
  <si>
    <t>2D</t>
  </si>
  <si>
    <t>SEMI-ANNUAL</t>
  </si>
  <si>
    <t>TENORBASIS</t>
  </si>
  <si>
    <t>USD_BASIS_6M_CURVE_MARKETDATA</t>
  </si>
  <si>
    <t>USD_BASIS_6M</t>
  </si>
  <si>
    <t>6Y</t>
  </si>
  <si>
    <t>USBC1 CMPN Curncy</t>
  </si>
  <si>
    <t>USBC2 CMPN Curncy</t>
  </si>
  <si>
    <t>USBC3 CMPN Curncy</t>
  </si>
  <si>
    <t>USBC4 CMPN Curncy</t>
  </si>
  <si>
    <t>USBC5 CMPN Curncy</t>
  </si>
  <si>
    <t>USBC6 CMPN Curncy</t>
  </si>
  <si>
    <t>USBC7 CMPN Curncy</t>
  </si>
  <si>
    <t>USBC8 CMPN Curncy</t>
  </si>
  <si>
    <t>USBC9 CMPN Curncy</t>
  </si>
  <si>
    <t>USBC10 CMPN Curncy</t>
  </si>
  <si>
    <t>USBC12 CMPN Curncy</t>
  </si>
  <si>
    <t>USBC15 CMPN Curncy</t>
  </si>
  <si>
    <t>USBC20 CMPN Curncy</t>
  </si>
  <si>
    <t>USBC25 CMPN Curncy</t>
  </si>
  <si>
    <t>USBC30 CMPN Curncy</t>
  </si>
  <si>
    <t>USD_BASIS_3X6</t>
  </si>
  <si>
    <t>BASISSWAPS</t>
  </si>
  <si>
    <t>USD6ML</t>
  </si>
  <si>
    <t>SHORTSTART</t>
  </si>
  <si>
    <t>Unadjusted</t>
  </si>
  <si>
    <t>USD_TREASURY</t>
  </si>
  <si>
    <t>CASHFLOW DISPLAY INPUTS</t>
  </si>
  <si>
    <t>PAYMENTTRIGGER</t>
  </si>
  <si>
    <t>PAYONSURVIVAL</t>
  </si>
  <si>
    <t>&lt;--- Active IMM Start Date</t>
  </si>
  <si>
    <t>CDSCurveCollection</t>
  </si>
  <si>
    <t>USBG1 CMPN Curncy</t>
  </si>
  <si>
    <t>USBG2 CMPN Curncy</t>
  </si>
  <si>
    <t>USBG3 CMPN Curncy</t>
  </si>
  <si>
    <t>USSWAP1 CMPN Curncy</t>
  </si>
  <si>
    <t>USSWAP2 CMPN Curncy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</si>
</sst>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3">
    <numFmt numFmtId="41" formatCode="_-* #,##0_-;\-* #,##0_-;_-* &quot;-&quot;_-;_-@_-"/>
    <numFmt numFmtId="43" formatCode="_-* #,##0.00_-;\-* #,##0.00_-;_-* &quot;-&quot;??_-;_-@_-"/>
    <numFmt numFmtId="164" formatCode="ddd\,\ d\-mmm\-yy"/>
    <numFmt numFmtId="165" formatCode="0.00000%"/>
    <numFmt numFmtId="166" formatCode="0.000%"/>
    <numFmt numFmtId="167" formatCode="0.0000%"/>
    <numFmt numFmtId="168" formatCode="#,##0.000"/>
    <numFmt numFmtId="169" formatCode="#,##0.0000"/>
    <numFmt numFmtId="170" formatCode="0.000000%"/>
    <numFmt numFmtId="171" formatCode="#,##0.000000"/>
    <numFmt numFmtId="172" formatCode="#,##0.0000000"/>
    <numFmt numFmtId="173" formatCode="#,##0.00000000"/>
    <numFmt numFmtId="174" formatCode="0.0000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6600"/>
      <name val="Calibri"/>
      <family val="2"/>
      <scheme val="minor"/>
    </font>
    <font>
      <sz val="11"/>
      <name val="Times New Roman"/>
      <family val="1"/>
    </font>
    <font>
      <sz val="11"/>
      <color theme="0" tint="-0.3499862666707357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/>
      <diagonal/>
    </border>
    <border>
      <left/>
      <right/>
      <top style="thin">
        <color theme="0" tint="-0.14996795556505021"/>
      </top>
      <bottom/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 style="thin">
        <color theme="0" tint="-0.14996795556505021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  <border>
      <left/>
      <right/>
      <top/>
      <bottom style="thin">
        <color theme="0" tint="-0.14996795556505021"/>
      </bottom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9" fillId="0" borderId="0">
      <alignment vertical="center"/>
    </xf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48">
    <xf numFmtId="0" fontId="0" fillId="0" borderId="0" xfId="0"/>
    <xf numFmtId="0" fontId="2" fillId="0" borderId="0" xfId="0" applyFont="1"/>
    <xf numFmtId="164" fontId="3" fillId="0" borderId="0" xfId="0" applyNumberFormat="1" applyFont="1"/>
    <xf numFmtId="0" fontId="0" fillId="2" borderId="1" xfId="0" applyFill="1" applyBorder="1"/>
    <xf numFmtId="0" fontId="4" fillId="2" borderId="2" xfId="0" applyFont="1" applyFill="1" applyBorder="1"/>
    <xf numFmtId="0" fontId="5" fillId="2" borderId="2" xfId="0" applyFont="1" applyFill="1" applyBorder="1" applyAlignment="1">
      <alignment horizontal="center" vertical="center"/>
    </xf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4" fillId="2" borderId="0" xfId="0" applyFont="1" applyFill="1" applyBorder="1"/>
    <xf numFmtId="0" fontId="0" fillId="2" borderId="0" xfId="0" applyFont="1" applyFill="1" applyBorder="1" applyAlignment="1">
      <alignment horizontal="center" vertical="center"/>
    </xf>
    <xf numFmtId="0" fontId="0" fillId="2" borderId="0" xfId="0" applyFill="1" applyBorder="1"/>
    <xf numFmtId="0" fontId="4" fillId="2" borderId="0" xfId="0" applyFont="1" applyFill="1"/>
    <xf numFmtId="0" fontId="6" fillId="2" borderId="0" xfId="0" applyFont="1" applyFill="1" applyBorder="1" applyAlignment="1">
      <alignment horizontal="center" vertical="center"/>
    </xf>
    <xf numFmtId="0" fontId="0" fillId="2" borderId="0" xfId="0" applyFill="1"/>
    <xf numFmtId="0" fontId="6" fillId="2" borderId="0" xfId="0" applyFont="1" applyFill="1" applyBorder="1" applyAlignment="1">
      <alignment horizontal="left" vertical="center"/>
    </xf>
    <xf numFmtId="0" fontId="0" fillId="2" borderId="5" xfId="0" applyFill="1" applyBorder="1"/>
    <xf numFmtId="0" fontId="7" fillId="2" borderId="6" xfId="0" applyFont="1" applyFill="1" applyBorder="1" applyAlignment="1">
      <alignment horizontal="center" vertical="center"/>
    </xf>
    <xf numFmtId="0" fontId="0" fillId="3" borderId="7" xfId="0" applyFont="1" applyFill="1" applyBorder="1"/>
    <xf numFmtId="0" fontId="0" fillId="3" borderId="7" xfId="0" applyFont="1" applyFill="1" applyBorder="1" applyAlignment="1">
      <alignment horizontal="left" vertical="center"/>
    </xf>
    <xf numFmtId="0" fontId="6" fillId="2" borderId="7" xfId="0" applyFont="1" applyFill="1" applyBorder="1"/>
    <xf numFmtId="0" fontId="3" fillId="0" borderId="1" xfId="0" applyFont="1" applyFill="1" applyBorder="1" applyAlignment="1">
      <alignment horizontal="center" vertical="center"/>
    </xf>
    <xf numFmtId="165" fontId="6" fillId="0" borderId="2" xfId="0" applyNumberFormat="1" applyFont="1" applyFill="1" applyBorder="1" applyAlignment="1">
      <alignment horizontal="center" vertical="center"/>
    </xf>
    <xf numFmtId="15" fontId="3" fillId="0" borderId="2" xfId="0" applyNumberFormat="1" applyFont="1" applyFill="1" applyBorder="1" applyAlignment="1">
      <alignment horizontal="center" vertical="center"/>
    </xf>
    <xf numFmtId="15" fontId="3" fillId="0" borderId="0" xfId="0" applyNumberFormat="1" applyFont="1" applyFill="1" applyBorder="1" applyAlignment="1">
      <alignment horizontal="center" vertical="center"/>
    </xf>
    <xf numFmtId="15" fontId="3" fillId="0" borderId="5" xfId="0" applyNumberFormat="1" applyFont="1" applyFill="1" applyBorder="1" applyAlignment="1">
      <alignment horizontal="center" vertical="center"/>
    </xf>
    <xf numFmtId="15" fontId="3" fillId="0" borderId="4" xfId="0" applyNumberFormat="1" applyFont="1" applyFill="1" applyBorder="1" applyAlignment="1">
      <alignment horizontal="center" vertical="center"/>
    </xf>
    <xf numFmtId="166" fontId="3" fillId="0" borderId="5" xfId="0" applyNumberFormat="1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167" fontId="3" fillId="0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Fill="1" applyBorder="1" applyAlignment="1">
      <alignment horizontal="center" vertical="center"/>
    </xf>
    <xf numFmtId="0" fontId="0" fillId="3" borderId="8" xfId="0" applyFont="1" applyFill="1" applyBorder="1"/>
    <xf numFmtId="0" fontId="0" fillId="3" borderId="8" xfId="0" applyFont="1" applyFill="1" applyBorder="1" applyAlignment="1">
      <alignment horizontal="left" vertical="center"/>
    </xf>
    <xf numFmtId="0" fontId="6" fillId="2" borderId="8" xfId="0" applyFont="1" applyFill="1" applyBorder="1"/>
    <xf numFmtId="165" fontId="3" fillId="0" borderId="0" xfId="0" applyNumberFormat="1" applyFont="1" applyFill="1" applyBorder="1" applyAlignment="1">
      <alignment horizontal="center" vertical="center"/>
    </xf>
    <xf numFmtId="0" fontId="0" fillId="3" borderId="9" xfId="0" applyFont="1" applyFill="1" applyBorder="1"/>
    <xf numFmtId="164" fontId="8" fillId="4" borderId="9" xfId="0" applyNumberFormat="1" applyFont="1" applyFill="1" applyBorder="1" applyAlignment="1">
      <alignment horizontal="left" vertical="center"/>
    </xf>
    <xf numFmtId="0" fontId="2" fillId="2" borderId="0" xfId="0" applyFont="1" applyFill="1"/>
    <xf numFmtId="0" fontId="0" fillId="3" borderId="7" xfId="0" applyFill="1" applyBorder="1"/>
    <xf numFmtId="0" fontId="0" fillId="3" borderId="7" xfId="0" applyFill="1" applyBorder="1" applyAlignment="1">
      <alignment horizontal="left" vertical="center"/>
    </xf>
    <xf numFmtId="0" fontId="0" fillId="3" borderId="9" xfId="0" applyFill="1" applyBorder="1"/>
    <xf numFmtId="0" fontId="8" fillId="3" borderId="9" xfId="0" applyFont="1" applyFill="1" applyBorder="1" applyAlignment="1">
      <alignment horizontal="left" vertic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0" borderId="7" xfId="0" applyFont="1" applyFill="1" applyBorder="1"/>
    <xf numFmtId="0" fontId="0" fillId="0" borderId="7" xfId="0" applyFont="1" applyFill="1" applyBorder="1" applyAlignment="1">
      <alignment horizontal="left" vertical="center"/>
    </xf>
    <xf numFmtId="0" fontId="0" fillId="0" borderId="8" xfId="0" applyFont="1" applyFill="1" applyBorder="1"/>
    <xf numFmtId="0" fontId="0" fillId="0" borderId="8" xfId="0" applyFont="1" applyFill="1" applyBorder="1" applyAlignment="1">
      <alignment horizontal="left" vertical="center"/>
    </xf>
    <xf numFmtId="0" fontId="0" fillId="0" borderId="9" xfId="0" applyFont="1" applyFill="1" applyBorder="1"/>
    <xf numFmtId="0" fontId="0" fillId="0" borderId="9" xfId="0" applyFont="1" applyFill="1" applyBorder="1" applyAlignment="1">
      <alignment horizontal="left" vertical="center"/>
    </xf>
    <xf numFmtId="0" fontId="0" fillId="0" borderId="7" xfId="0" applyBorder="1"/>
    <xf numFmtId="0" fontId="8" fillId="0" borderId="7" xfId="0" applyFont="1" applyFill="1" applyBorder="1" applyAlignment="1">
      <alignment horizontal="left" vertical="center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8" xfId="0" applyBorder="1"/>
    <xf numFmtId="0" fontId="0" fillId="0" borderId="9" xfId="0" applyBorder="1"/>
    <xf numFmtId="0" fontId="6" fillId="2" borderId="9" xfId="0" applyFont="1" applyFill="1" applyBorder="1"/>
    <xf numFmtId="0" fontId="3" fillId="0" borderId="10" xfId="0" applyFont="1" applyFill="1" applyBorder="1" applyAlignment="1">
      <alignment horizontal="center" vertical="center"/>
    </xf>
    <xf numFmtId="165" fontId="3" fillId="0" borderId="6" xfId="0" applyNumberFormat="1" applyFont="1" applyFill="1" applyBorder="1" applyAlignment="1">
      <alignment horizontal="center" vertical="center"/>
    </xf>
    <xf numFmtId="15" fontId="3" fillId="0" borderId="6" xfId="0" applyNumberFormat="1" applyFont="1" applyFill="1" applyBorder="1" applyAlignment="1">
      <alignment horizontal="center" vertical="center"/>
    </xf>
    <xf numFmtId="15" fontId="3" fillId="0" borderId="11" xfId="0" applyNumberFormat="1" applyFont="1" applyFill="1" applyBorder="1" applyAlignment="1">
      <alignment horizontal="center" vertical="center"/>
    </xf>
    <xf numFmtId="15" fontId="3" fillId="0" borderId="10" xfId="0" applyNumberFormat="1" applyFont="1" applyFill="1" applyBorder="1" applyAlignment="1">
      <alignment horizontal="center" vertical="center"/>
    </xf>
    <xf numFmtId="166" fontId="3" fillId="0" borderId="11" xfId="0" applyNumberFormat="1" applyFont="1" applyFill="1" applyBorder="1" applyAlignment="1">
      <alignment horizontal="center" vertical="center"/>
    </xf>
    <xf numFmtId="167" fontId="3" fillId="0" borderId="11" xfId="0" applyNumberFormat="1" applyFont="1" applyFill="1" applyBorder="1" applyAlignment="1">
      <alignment horizontal="center" vertical="center"/>
    </xf>
    <xf numFmtId="165" fontId="3" fillId="0" borderId="11" xfId="0" applyNumberFormat="1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0" fillId="2" borderId="10" xfId="0" applyFill="1" applyBorder="1"/>
    <xf numFmtId="0" fontId="0" fillId="2" borderId="6" xfId="0" applyFill="1" applyBorder="1"/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5" xfId="0" applyFill="1" applyBorder="1"/>
    <xf numFmtId="0" fontId="0" fillId="2" borderId="16" xfId="0" applyFill="1" applyBorder="1"/>
    <xf numFmtId="0" fontId="7" fillId="3" borderId="7" xfId="0" applyFont="1" applyFill="1" applyBorder="1"/>
    <xf numFmtId="15" fontId="7" fillId="3" borderId="7" xfId="0" applyNumberFormat="1" applyFont="1" applyFill="1" applyBorder="1" applyAlignment="1">
      <alignment horizontal="left" vertical="center"/>
    </xf>
    <xf numFmtId="0" fontId="0" fillId="2" borderId="6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3" borderId="8" xfId="0" applyFont="1" applyFill="1" applyBorder="1"/>
    <xf numFmtId="15" fontId="7" fillId="3" borderId="8" xfId="0" applyNumberFormat="1" applyFont="1" applyFill="1" applyBorder="1" applyAlignment="1">
      <alignment horizontal="left" vertical="center"/>
    </xf>
    <xf numFmtId="0" fontId="6" fillId="2" borderId="7" xfId="0" applyFont="1" applyFill="1" applyBorder="1" applyAlignment="1">
      <alignment horizontal="left" vertical="center"/>
    </xf>
    <xf numFmtId="167" fontId="3" fillId="0" borderId="3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7" fontId="3" fillId="3" borderId="3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5" fontId="3" fillId="3" borderId="0" xfId="2" applyNumberFormat="1" applyFont="1" applyFill="1" applyBorder="1" applyAlignment="1">
      <alignment horizontal="center" vertical="center"/>
    </xf>
    <xf numFmtId="168" fontId="3" fillId="3" borderId="0" xfId="0" applyNumberFormat="1" applyFont="1" applyFill="1" applyBorder="1" applyAlignment="1">
      <alignment horizontal="center" vertical="center"/>
    </xf>
    <xf numFmtId="166" fontId="7" fillId="3" borderId="5" xfId="3" applyNumberFormat="1" applyFont="1" applyFill="1" applyBorder="1" applyAlignment="1">
      <alignment horizontal="center" vertical="center"/>
    </xf>
    <xf numFmtId="167" fontId="3" fillId="3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167" fontId="3" fillId="3" borderId="5" xfId="0" applyNumberFormat="1" applyFont="1" applyFill="1" applyBorder="1" applyAlignment="1">
      <alignment horizontal="center" vertical="center"/>
    </xf>
    <xf numFmtId="167" fontId="3" fillId="3" borderId="0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164" fontId="8" fillId="3" borderId="8" xfId="0" applyNumberFormat="1" applyFont="1" applyFill="1" applyBorder="1" applyAlignment="1">
      <alignment horizontal="left" vertical="center"/>
    </xf>
    <xf numFmtId="0" fontId="0" fillId="3" borderId="8" xfId="0" applyFill="1" applyBorder="1"/>
    <xf numFmtId="0" fontId="7" fillId="3" borderId="8" xfId="0" applyFont="1" applyFill="1" applyBorder="1" applyAlignment="1">
      <alignment horizontal="left"/>
    </xf>
    <xf numFmtId="0" fontId="7" fillId="3" borderId="9" xfId="0" applyFont="1" applyFill="1" applyBorder="1" applyAlignment="1">
      <alignment horizontal="left"/>
    </xf>
    <xf numFmtId="0" fontId="6" fillId="2" borderId="9" xfId="0" applyFont="1" applyFill="1" applyBorder="1" applyAlignment="1">
      <alignment horizontal="left" vertical="center"/>
    </xf>
    <xf numFmtId="0" fontId="7" fillId="0" borderId="10" xfId="0" applyFont="1" applyFill="1" applyBorder="1" applyAlignment="1">
      <alignment horizontal="center" vertical="center"/>
    </xf>
    <xf numFmtId="0" fontId="10" fillId="2" borderId="0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167" fontId="3" fillId="3" borderId="11" xfId="0" applyNumberFormat="1" applyFont="1" applyFill="1" applyBorder="1" applyAlignment="1">
      <alignment horizontal="center" vertical="center"/>
    </xf>
    <xf numFmtId="15" fontId="3" fillId="3" borderId="6" xfId="2" applyNumberFormat="1" applyFont="1" applyFill="1" applyBorder="1" applyAlignment="1">
      <alignment horizontal="center" vertical="center"/>
    </xf>
    <xf numFmtId="168" fontId="3" fillId="3" borderId="6" xfId="0" applyNumberFormat="1" applyFont="1" applyFill="1" applyBorder="1" applyAlignment="1">
      <alignment horizontal="center" vertical="center"/>
    </xf>
    <xf numFmtId="166" fontId="7" fillId="3" borderId="11" xfId="3" applyNumberFormat="1" applyFont="1" applyFill="1" applyBorder="1" applyAlignment="1">
      <alignment horizontal="center" vertical="center"/>
    </xf>
    <xf numFmtId="167" fontId="3" fillId="3" borderId="6" xfId="0" applyNumberFormat="1" applyFont="1" applyFill="1" applyBorder="1" applyAlignment="1">
      <alignment horizontal="center" vertical="center"/>
    </xf>
    <xf numFmtId="0" fontId="7" fillId="3" borderId="11" xfId="0" applyFont="1" applyFill="1" applyBorder="1" applyAlignment="1">
      <alignment horizontal="center" vertical="center"/>
    </xf>
    <xf numFmtId="0" fontId="0" fillId="2" borderId="17" xfId="0" applyFill="1" applyBorder="1"/>
    <xf numFmtId="0" fontId="0" fillId="2" borderId="18" xfId="0" applyFill="1" applyBorder="1"/>
    <xf numFmtId="0" fontId="0" fillId="2" borderId="19" xfId="0" applyFill="1" applyBorder="1"/>
    <xf numFmtId="0" fontId="0" fillId="3" borderId="0" xfId="0" applyFill="1"/>
    <xf numFmtId="0" fontId="3" fillId="0" borderId="0" xfId="0" applyFont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3" borderId="1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4" fontId="0" fillId="3" borderId="4" xfId="0" applyNumberFormat="1" applyFill="1" applyBorder="1" applyAlignment="1">
      <alignment horizontal="center" vertical="center"/>
    </xf>
    <xf numFmtId="4" fontId="0" fillId="3" borderId="5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2" borderId="7" xfId="0" applyFill="1" applyBorder="1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0" fillId="2" borderId="9" xfId="0" applyFill="1" applyBorder="1" applyAlignment="1">
      <alignment horizontal="left" vertical="center"/>
    </xf>
    <xf numFmtId="0" fontId="3" fillId="0" borderId="9" xfId="0" applyFont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2" borderId="8" xfId="0" applyFill="1" applyBorder="1" applyAlignment="1">
      <alignment horizontal="left" vertical="center"/>
    </xf>
    <xf numFmtId="3" fontId="5" fillId="5" borderId="8" xfId="0" applyNumberFormat="1" applyFont="1" applyFill="1" applyBorder="1" applyAlignment="1">
      <alignment horizontal="center" vertical="center"/>
    </xf>
    <xf numFmtId="164" fontId="5" fillId="5" borderId="8" xfId="0" applyNumberFormat="1" applyFont="1" applyFill="1" applyBorder="1" applyAlignment="1">
      <alignment horizontal="center" vertical="center"/>
    </xf>
    <xf numFmtId="165" fontId="5" fillId="5" borderId="9" xfId="0" applyNumberFormat="1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3" fontId="3" fillId="0" borderId="7" xfId="0" applyNumberFormat="1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 vertical="center"/>
    </xf>
    <xf numFmtId="165" fontId="3" fillId="0" borderId="8" xfId="0" applyNumberFormat="1" applyFont="1" applyBorder="1" applyAlignment="1">
      <alignment horizontal="center" vertical="center"/>
    </xf>
    <xf numFmtId="165" fontId="5" fillId="5" borderId="8" xfId="0" applyNumberFormat="1" applyFont="1" applyFill="1" applyBorder="1" applyAlignment="1">
      <alignment horizontal="center" vertical="center"/>
    </xf>
    <xf numFmtId="4" fontId="5" fillId="5" borderId="9" xfId="0" applyNumberFormat="1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167" fontId="3" fillId="2" borderId="9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center" vertical="center"/>
    </xf>
    <xf numFmtId="15" fontId="3" fillId="2" borderId="0" xfId="0" applyNumberFormat="1" applyFont="1" applyFill="1" applyBorder="1" applyAlignment="1">
      <alignment horizontal="center" vertical="center"/>
    </xf>
    <xf numFmtId="15" fontId="3" fillId="2" borderId="4" xfId="0" applyNumberFormat="1" applyFont="1" applyFill="1" applyBorder="1" applyAlignment="1">
      <alignment horizontal="left" vertical="center"/>
    </xf>
    <xf numFmtId="15" fontId="3" fillId="2" borderId="10" xfId="0" applyNumberFormat="1" applyFont="1" applyFill="1" applyBorder="1" applyAlignment="1">
      <alignment horizontal="center" vertical="center"/>
    </xf>
    <xf numFmtId="15" fontId="3" fillId="2" borderId="6" xfId="0" applyNumberFormat="1" applyFont="1" applyFill="1" applyBorder="1" applyAlignment="1">
      <alignment horizontal="center" vertical="center"/>
    </xf>
    <xf numFmtId="4" fontId="3" fillId="2" borderId="0" xfId="0" applyNumberFormat="1" applyFont="1" applyFill="1" applyBorder="1" applyAlignment="1">
      <alignment horizontal="center" vertical="center"/>
    </xf>
    <xf numFmtId="4" fontId="3" fillId="2" borderId="6" xfId="0" applyNumberFormat="1" applyFont="1" applyFill="1" applyBorder="1" applyAlignment="1">
      <alignment horizontal="center" vertical="center"/>
    </xf>
    <xf numFmtId="168" fontId="3" fillId="2" borderId="0" xfId="0" applyNumberFormat="1" applyFont="1" applyFill="1" applyBorder="1" applyAlignment="1">
      <alignment horizontal="center" vertical="center"/>
    </xf>
    <xf numFmtId="168" fontId="3" fillId="2" borderId="6" xfId="0" applyNumberFormat="1" applyFont="1" applyFill="1" applyBorder="1" applyAlignment="1">
      <alignment horizontal="center" vertical="center"/>
    </xf>
    <xf numFmtId="169" fontId="3" fillId="2" borderId="0" xfId="0" applyNumberFormat="1" applyFont="1" applyFill="1" applyBorder="1" applyAlignment="1">
      <alignment horizontal="center" vertical="center"/>
    </xf>
    <xf numFmtId="169" fontId="3" fillId="2" borderId="6" xfId="0" applyNumberFormat="1" applyFont="1" applyFill="1" applyBorder="1" applyAlignment="1">
      <alignment horizontal="center" vertical="center"/>
    </xf>
    <xf numFmtId="3" fontId="3" fillId="2" borderId="0" xfId="0" applyNumberFormat="1" applyFont="1" applyFill="1" applyBorder="1" applyAlignment="1">
      <alignment horizontal="center" vertical="center"/>
    </xf>
    <xf numFmtId="3" fontId="3" fillId="2" borderId="6" xfId="0" applyNumberFormat="1" applyFont="1" applyFill="1" applyBorder="1" applyAlignment="1">
      <alignment horizontal="center" vertical="center"/>
    </xf>
    <xf numFmtId="167" fontId="3" fillId="2" borderId="0" xfId="0" applyNumberFormat="1" applyFont="1" applyFill="1" applyBorder="1" applyAlignment="1">
      <alignment horizontal="center" vertical="center"/>
    </xf>
    <xf numFmtId="167" fontId="3" fillId="2" borderId="6" xfId="0" applyNumberFormat="1" applyFont="1" applyFill="1" applyBorder="1" applyAlignment="1">
      <alignment horizontal="center" vertical="center"/>
    </xf>
    <xf numFmtId="170" fontId="3" fillId="2" borderId="0" xfId="0" applyNumberFormat="1" applyFont="1" applyFill="1" applyBorder="1" applyAlignment="1">
      <alignment horizontal="center" vertical="center"/>
    </xf>
    <xf numFmtId="170" fontId="3" fillId="2" borderId="6" xfId="0" applyNumberFormat="1" applyFont="1" applyFill="1" applyBorder="1" applyAlignment="1">
      <alignment horizontal="center" vertical="center"/>
    </xf>
    <xf numFmtId="171" fontId="3" fillId="2" borderId="0" xfId="0" applyNumberFormat="1" applyFont="1" applyFill="1" applyBorder="1" applyAlignment="1">
      <alignment horizontal="center" vertical="center"/>
    </xf>
    <xf numFmtId="171" fontId="3" fillId="2" borderId="6" xfId="0" applyNumberFormat="1" applyFont="1" applyFill="1" applyBorder="1" applyAlignment="1">
      <alignment horizontal="center" vertical="center"/>
    </xf>
    <xf numFmtId="172" fontId="3" fillId="2" borderId="0" xfId="0" applyNumberFormat="1" applyFont="1" applyFill="1" applyBorder="1" applyAlignment="1">
      <alignment horizontal="center" vertical="center"/>
    </xf>
    <xf numFmtId="172" fontId="3" fillId="2" borderId="6" xfId="0" applyNumberFormat="1" applyFont="1" applyFill="1" applyBorder="1" applyAlignment="1">
      <alignment horizontal="center" vertical="center"/>
    </xf>
    <xf numFmtId="173" fontId="3" fillId="2" borderId="0" xfId="0" applyNumberFormat="1" applyFont="1" applyFill="1" applyBorder="1" applyAlignment="1">
      <alignment horizontal="center" vertical="center"/>
    </xf>
    <xf numFmtId="173" fontId="3" fillId="2" borderId="6" xfId="0" applyNumberFormat="1" applyFont="1" applyFill="1" applyBorder="1" applyAlignment="1">
      <alignment horizontal="center" vertical="center"/>
    </xf>
    <xf numFmtId="0" fontId="2" fillId="3" borderId="0" xfId="0" applyFont="1" applyFill="1" applyBorder="1"/>
    <xf numFmtId="0" fontId="0" fillId="3" borderId="0" xfId="0" applyFill="1" applyBorder="1"/>
    <xf numFmtId="0" fontId="2" fillId="3" borderId="0" xfId="0" quotePrefix="1" applyFont="1" applyFill="1" applyBorder="1" applyAlignment="1">
      <alignment horizontal="center" vertical="center"/>
    </xf>
    <xf numFmtId="11" fontId="2" fillId="3" borderId="0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164" fontId="5" fillId="5" borderId="7" xfId="0" applyNumberFormat="1" applyFont="1" applyFill="1" applyBorder="1" applyAlignment="1">
      <alignment horizontal="center" vertical="center"/>
    </xf>
    <xf numFmtId="0" fontId="0" fillId="3" borderId="0" xfId="0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7" fontId="3" fillId="2" borderId="2" xfId="1" applyNumberFormat="1" applyFont="1" applyFill="1" applyBorder="1" applyAlignment="1">
      <alignment horizontal="center" vertical="center"/>
    </xf>
    <xf numFmtId="169" fontId="3" fillId="2" borderId="3" xfId="1" applyNumberFormat="1" applyFont="1" applyFill="1" applyBorder="1" applyAlignment="1">
      <alignment horizontal="center" vertical="center"/>
    </xf>
    <xf numFmtId="164" fontId="3" fillId="2" borderId="4" xfId="0" applyNumberFormat="1" applyFont="1" applyFill="1" applyBorder="1" applyAlignment="1">
      <alignment horizontal="center" vertical="center"/>
    </xf>
    <xf numFmtId="167" fontId="3" fillId="2" borderId="0" xfId="1" applyNumberFormat="1" applyFont="1" applyFill="1" applyBorder="1" applyAlignment="1">
      <alignment horizontal="center" vertical="center"/>
    </xf>
    <xf numFmtId="169" fontId="3" fillId="2" borderId="5" xfId="1" applyNumberFormat="1" applyFont="1" applyFill="1" applyBorder="1" applyAlignment="1">
      <alignment horizontal="center" vertical="center"/>
    </xf>
    <xf numFmtId="0" fontId="6" fillId="3" borderId="0" xfId="0" applyFont="1" applyFill="1" applyBorder="1"/>
    <xf numFmtId="10" fontId="5" fillId="5" borderId="8" xfId="0" applyNumberFormat="1" applyFont="1" applyFill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167" fontId="3" fillId="2" borderId="6" xfId="1" applyNumberFormat="1" applyFont="1" applyFill="1" applyBorder="1" applyAlignment="1">
      <alignment horizontal="center" vertical="center"/>
    </xf>
    <xf numFmtId="169" fontId="3" fillId="2" borderId="11" xfId="1" applyNumberFormat="1" applyFont="1" applyFill="1" applyBorder="1" applyAlignment="1">
      <alignment horizontal="center" vertical="center"/>
    </xf>
    <xf numFmtId="0" fontId="0" fillId="3" borderId="0" xfId="0" quotePrefix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167" fontId="5" fillId="5" borderId="7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164" fontId="7" fillId="2" borderId="2" xfId="0" applyNumberFormat="1" applyFont="1" applyFill="1" applyBorder="1" applyAlignment="1">
      <alignment horizontal="center" vertical="center"/>
    </xf>
    <xf numFmtId="168" fontId="3" fillId="2" borderId="2" xfId="0" applyNumberFormat="1" applyFont="1" applyFill="1" applyBorder="1" applyAlignment="1">
      <alignment horizontal="center" vertical="center"/>
    </xf>
    <xf numFmtId="167" fontId="3" fillId="2" borderId="2" xfId="0" applyNumberFormat="1" applyFont="1" applyFill="1" applyBorder="1" applyAlignment="1">
      <alignment horizontal="center" vertical="center"/>
    </xf>
    <xf numFmtId="174" fontId="3" fillId="2" borderId="3" xfId="0" applyNumberFormat="1" applyFont="1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64" fontId="3" fillId="2" borderId="0" xfId="0" applyNumberFormat="1" applyFont="1" applyFill="1" applyBorder="1" applyAlignment="1">
      <alignment horizontal="center" vertical="center"/>
    </xf>
    <xf numFmtId="164" fontId="7" fillId="2" borderId="0" xfId="0" applyNumberFormat="1" applyFont="1" applyFill="1" applyBorder="1" applyAlignment="1">
      <alignment horizontal="center" vertical="center"/>
    </xf>
    <xf numFmtId="174" fontId="3" fillId="2" borderId="5" xfId="0" applyNumberFormat="1" applyFon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4" fontId="3" fillId="2" borderId="6" xfId="0" applyNumberFormat="1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>
      <alignment horizontal="center" vertical="center"/>
    </xf>
    <xf numFmtId="174" fontId="3" fillId="2" borderId="11" xfId="0" applyNumberFormat="1" applyFont="1" applyFill="1" applyBorder="1" applyAlignment="1">
      <alignment horizontal="center" vertical="center"/>
    </xf>
    <xf numFmtId="172" fontId="3" fillId="2" borderId="1" xfId="0" applyNumberFormat="1" applyFont="1" applyFill="1" applyBorder="1" applyAlignment="1">
      <alignment horizontal="center" vertical="center"/>
    </xf>
    <xf numFmtId="172" fontId="3" fillId="2" borderId="4" xfId="0" applyNumberFormat="1" applyFont="1" applyFill="1" applyBorder="1" applyAlignment="1">
      <alignment horizontal="center" vertical="center"/>
    </xf>
    <xf numFmtId="172" fontId="3" fillId="2" borderId="10" xfId="0" applyNumberFormat="1" applyFont="1" applyFill="1" applyBorder="1" applyAlignment="1">
      <alignment horizontal="center" vertical="center"/>
    </xf>
    <xf numFmtId="172" fontId="3" fillId="2" borderId="2" xfId="0" applyNumberFormat="1" applyFont="1" applyFill="1" applyBorder="1" applyAlignment="1">
      <alignment horizontal="center" vertical="center"/>
    </xf>
    <xf numFmtId="11" fontId="3" fillId="2" borderId="2" xfId="0" applyNumberFormat="1" applyFont="1" applyFill="1" applyBorder="1" applyAlignment="1">
      <alignment horizontal="center" vertical="center"/>
    </xf>
    <xf numFmtId="11" fontId="3" fillId="2" borderId="3" xfId="0" applyNumberFormat="1" applyFont="1" applyFill="1" applyBorder="1" applyAlignment="1">
      <alignment horizontal="center" vertical="center"/>
    </xf>
    <xf numFmtId="11" fontId="3" fillId="2" borderId="0" xfId="0" applyNumberFormat="1" applyFont="1" applyFill="1" applyBorder="1" applyAlignment="1">
      <alignment horizontal="center" vertical="center"/>
    </xf>
    <xf numFmtId="11" fontId="3" fillId="2" borderId="5" xfId="0" applyNumberFormat="1" applyFont="1" applyFill="1" applyBorder="1" applyAlignment="1">
      <alignment horizontal="center" vertical="center"/>
    </xf>
    <xf numFmtId="11" fontId="3" fillId="2" borderId="6" xfId="0" applyNumberFormat="1" applyFont="1" applyFill="1" applyBorder="1" applyAlignment="1">
      <alignment horizontal="center" vertical="center"/>
    </xf>
    <xf numFmtId="11" fontId="3" fillId="2" borderId="11" xfId="0" applyNumberFormat="1" applyFont="1" applyFill="1" applyBorder="1" applyAlignment="1">
      <alignment horizontal="center" vertical="center"/>
    </xf>
    <xf numFmtId="164" fontId="0" fillId="3" borderId="0" xfId="0" applyNumberFormat="1" applyFill="1" applyBorder="1"/>
    <xf numFmtId="0" fontId="0" fillId="0" borderId="0" xfId="0" quotePrefix="1"/>
    <xf numFmtId="165" fontId="0" fillId="0" borderId="0" xfId="0" applyNumberFormat="1"/>
    <xf numFmtId="4" fontId="3" fillId="3" borderId="9" xfId="0" applyNumberFormat="1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6" borderId="7" xfId="0" applyFont="1" applyFill="1" applyBorder="1" applyAlignment="1">
      <alignment horizontal="center" vertical="center"/>
    </xf>
    <xf numFmtId="167" fontId="3" fillId="0" borderId="2" xfId="0" applyNumberFormat="1" applyFont="1" applyBorder="1" applyAlignment="1">
      <alignment horizontal="center" vertical="center"/>
    </xf>
    <xf numFmtId="167" fontId="3" fillId="0" borderId="0" xfId="0" applyNumberFormat="1" applyFont="1" applyBorder="1" applyAlignment="1">
      <alignment horizontal="center" vertical="center"/>
    </xf>
    <xf numFmtId="9" fontId="3" fillId="3" borderId="0" xfId="0" applyNumberFormat="1" applyFont="1" applyFill="1" applyBorder="1" applyAlignment="1">
      <alignment horizontal="center" vertical="center"/>
    </xf>
    <xf numFmtId="9" fontId="3" fillId="3" borderId="6" xfId="0" applyNumberFormat="1" applyFont="1" applyFill="1" applyBorder="1" applyAlignment="1">
      <alignment horizontal="center" vertical="center"/>
    </xf>
    <xf numFmtId="0" fontId="3" fillId="0" borderId="9" xfId="0" applyFont="1" applyBorder="1"/>
    <xf numFmtId="3" fontId="0" fillId="0" borderId="0" xfId="0" applyNumberFormat="1"/>
    <xf numFmtId="0" fontId="6" fillId="0" borderId="0" xfId="0" applyFont="1"/>
    <xf numFmtId="0" fontId="0" fillId="2" borderId="1" xfId="0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0" borderId="6" xfId="0" applyBorder="1"/>
    <xf numFmtId="0" fontId="0" fillId="0" borderId="11" xfId="0" applyBorder="1"/>
    <xf numFmtId="0" fontId="3" fillId="0" borderId="3" xfId="0" applyFont="1" applyBorder="1" applyAlignment="1">
      <alignment horizontal="center" vertical="center"/>
    </xf>
    <xf numFmtId="167" fontId="3" fillId="0" borderId="11" xfId="0" applyNumberFormat="1" applyFont="1" applyBorder="1" applyAlignment="1">
      <alignment horizontal="center" vertical="center"/>
    </xf>
    <xf numFmtId="164" fontId="8" fillId="2" borderId="8" xfId="0" applyNumberFormat="1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center"/>
    </xf>
    <xf numFmtId="167" fontId="3" fillId="0" borderId="5" xfId="0" applyNumberFormat="1" applyFont="1" applyBorder="1" applyAlignment="1">
      <alignment horizontal="center" vertical="center"/>
    </xf>
    <xf numFmtId="165" fontId="3" fillId="0" borderId="3" xfId="0" applyNumberFormat="1" applyFont="1" applyFill="1" applyBorder="1" applyAlignment="1">
      <alignment horizontal="center" vertical="center"/>
    </xf>
  </cellXfs>
  <cellStyles count="5">
    <cellStyle name="Comma [0] 5" xfId="3"/>
    <cellStyle name="Comma 113" xfId="4"/>
    <cellStyle name="Normal" xfId="0" builtinId="0"/>
    <cellStyle name="Percent" xfId="1" builtinId="5"/>
    <cellStyle name="標準_Input_OutPut20060417" xfId="2"/>
  </cellStyles>
  <dxfs count="0"/>
  <tableStyles count="0" defaultTableStyle="TableStyleMedium2" defaultPivotStyle="PivotStyleLight16"/>
  <colors>
    <mruColors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7.25</v>
        <stp/>
        <stp>##V3_BDHV12</stp>
        <stp>USBC4 CMPN Curncy</stp>
        <stp>PX_LAST</stp>
        <stp>24/04/2019</stp>
        <stp>24/04/2019</stp>
        <stp>[USD_TRS.xlsx]USD6ML!R8C8</stp>
        <tr r="H8" s="8"/>
        <tr r="H8" s="8"/>
      </tp>
      <tp>
        <v>7.5</v>
        <stp/>
        <stp>##V3_BDHV12</stp>
        <stp>USBC5 CMPN Curncy</stp>
        <stp>PX_LAST</stp>
        <stp>24/04/2019</stp>
        <stp>24/04/2019</stp>
        <stp>[USD_TRS.xlsx]USD6ML!R9C8</stp>
        <tr r="H9" s="8"/>
        <tr r="H9" s="8"/>
      </tp>
      <tp>
        <v>6.6875</v>
        <stp/>
        <stp>##V3_BDHV12</stp>
        <stp>USBC2 CMPN Curncy</stp>
        <stp>PX_LAST</stp>
        <stp>24/04/2019</stp>
        <stp>24/04/2019</stp>
        <stp>[USD_TRS.xlsx]USD6ML!R6C8</stp>
        <tr r="H6" s="8"/>
        <tr r="H6" s="8"/>
      </tp>
      <tp>
        <v>6.875</v>
        <stp/>
        <stp>##V3_BDHV12</stp>
        <stp>USBC3 CMPN Curncy</stp>
        <stp>PX_LAST</stp>
        <stp>24/04/2019</stp>
        <stp>24/04/2019</stp>
        <stp>[USD_TRS.xlsx]USD6ML!R7C8</stp>
        <tr r="H7" s="8"/>
        <tr r="H7" s="8"/>
      </tp>
      <tp>
        <v>6.1219999999999999</v>
        <stp/>
        <stp>##V3_BDHV12</stp>
        <stp>USBC1 CMPN Curncy</stp>
        <stp>PX_LAST</stp>
        <stp>24/04/2019</stp>
        <stp>24/04/2019</stp>
        <stp>[USD_TRS.xlsx]USD6ML!R5C8</stp>
        <tr r="H5" s="8"/>
        <tr r="H5" s="8"/>
      </tp>
    </main>
    <main first="bloomberg.rtd">
      <tp>
        <v>10.375</v>
        <stp/>
        <stp>##V3_BDHV12</stp>
        <stp>USBC15 CMPN Curncy</stp>
        <stp>PX_LAST</stp>
        <stp>24/04/2019</stp>
        <stp>24/04/2019</stp>
        <stp>[USD_TRS.xlsx]USD6ML!R16C8</stp>
        <tr r="H16" s="8"/>
        <tr r="H16" s="8"/>
      </tp>
      <tp>
        <v>2.4013999999999998</v>
        <stp/>
        <stp>##V3_BDHV12</stp>
        <stp>USSWAP7 CMPN Curncy</stp>
        <stp>PX_LAST</stp>
        <stp>24/04/2019</stp>
        <stp>24/04/2019</stp>
        <stp>[USD_TRS.xlsx]USD3ML!R8C22</stp>
        <tr r="V8" s="3"/>
        <tr r="V8" s="3"/>
      </tp>
      <tp>
        <v>2.3296999999999999</v>
        <stp/>
        <stp>##V3_BDHV12</stp>
        <stp>USSWAP4 CMPN Curncy</stp>
        <stp>PX_LAST</stp>
        <stp>24/04/2019</stp>
        <stp>24/04/2019</stp>
        <stp>[USD_TRS.xlsx]USD3ML!R6C22</stp>
        <tr r="V6" s="3"/>
        <tr r="V6" s="3"/>
      </tp>
      <tp>
        <v>2.3425000000000002</v>
        <stp/>
        <stp>##V3_BDHV12</stp>
        <stp>USSWAP5 CMPN Curncy</stp>
        <stp>PX_LAST</stp>
        <stp>24/04/2019</stp>
        <stp>24/04/2019</stp>
        <stp>[USD_TRS.xlsx]USD3ML!R7C22</stp>
        <tr r="V7" s="3"/>
        <tr r="V7" s="3"/>
      </tp>
      <tp>
        <v>2.3456999999999999</v>
        <stp/>
        <stp>##V3_BDHV12</stp>
        <stp>USSWAP3 CMPN Curncy</stp>
        <stp>PX_LAST</stp>
        <stp>24/04/2019</stp>
        <stp>24/04/2019</stp>
        <stp>[USD_TRS.xlsx]USD3ML!R5C22</stp>
        <tr r="V5" s="3"/>
        <tr r="V5" s="3"/>
      </tp>
      <tp>
        <v>2.4359999999999999</v>
        <stp/>
        <stp>##V3_BDHV12</stp>
        <stp>USSWAP8 CMPN Curncy</stp>
        <stp>PX_LAST</stp>
        <stp>24/04/2019</stp>
        <stp>24/04/2019</stp>
        <stp>[USD_TRS.xlsx]USD3ML!R9C22</stp>
        <tr r="V9" s="3"/>
        <tr r="V9" s="3"/>
      </tp>
      <tp t="s">
        <v>16/12/2020</v>
        <stp/>
        <stp>##V3_BDPV12</stp>
        <stp>ED7 Comdty</stp>
        <stp>INT_RATE_FUT_START_DT</stp>
        <stp>[USD_TRS.xlsx]USD3ML!R11C15</stp>
        <tr r="O11" s="3"/>
      </tp>
      <tp t="s">
        <v>16/09/2020</v>
        <stp/>
        <stp>##V3_BDPV12</stp>
        <stp>ED6 Comdty</stp>
        <stp>INT_RATE_FUT_START_DT</stp>
        <stp>[USD_TRS.xlsx]USD3ML!R10C15</stp>
        <tr r="O10" s="3"/>
      </tp>
      <tp t="s">
        <v>17/03/2021</v>
        <stp/>
        <stp>##V3_BDPV12</stp>
        <stp>ED8 Comdty</stp>
        <stp>INT_RATE_FUT_START_DT</stp>
        <stp>[USD_TRS.xlsx]USD3ML!R12C15</stp>
        <tr r="O12" s="3"/>
      </tp>
      <tp>
        <v>9.3800000000000008</v>
        <stp/>
        <stp>##V3_BDHV12</stp>
        <stp>USBC10 CMPN Curncy</stp>
        <stp>PX_LAST</stp>
        <stp>24/04/2019</stp>
        <stp>24/04/2019</stp>
        <stp>[USD_TRS.xlsx]USD6ML!R14C8</stp>
        <tr r="H14" s="8"/>
        <tr r="H14" s="8"/>
      </tp>
      <tp>
        <v>10.88</v>
        <stp/>
        <stp>##V3_BDHV12</stp>
        <stp>USBC20 CMPN Curncy</stp>
        <stp>PX_LAST</stp>
        <stp>24/04/2019</stp>
        <stp>24/04/2019</stp>
        <stp>[USD_TRS.xlsx]USD6ML!R17C8</stp>
        <tr r="H17" s="8"/>
        <tr r="H17" s="8"/>
      </tp>
      <tp>
        <v>10</v>
        <stp/>
        <stp>##V3_BDHV12</stp>
        <stp>USBC12 CMPN Curncy</stp>
        <stp>PX_LAST</stp>
        <stp>24/04/2019</stp>
        <stp>24/04/2019</stp>
        <stp>[USD_TRS.xlsx]USD6ML!R15C8</stp>
        <tr r="H15" s="8"/>
        <tr r="H15" s="8"/>
      </tp>
      <tp>
        <v>11</v>
        <stp/>
        <stp>##V3_BDHV12</stp>
        <stp>USBC30 CMPN Curncy</stp>
        <stp>PX_LAST</stp>
        <stp>24/04/2019</stp>
        <stp>24/04/2019</stp>
        <stp>[USD_TRS.xlsx]USD6ML!R19C8</stp>
        <tr r="H19" s="8"/>
        <tr r="H19" s="8"/>
      </tp>
      <tp>
        <v>10.875</v>
        <stp/>
        <stp>##V3_BDHV12</stp>
        <stp>USBC25 CMPN Curncy</stp>
        <stp>PX_LAST</stp>
        <stp>24/04/2019</stp>
        <stp>24/04/2019</stp>
        <stp>[USD_TRS.xlsx]USD6ML!R18C8</stp>
        <tr r="H18" s="8"/>
        <tr r="H18" s="8"/>
      </tp>
      <tp>
        <v>97.444999999999993</v>
        <stp/>
        <stp>##V3_BDHV12</stp>
        <stp>ED1 Comdty</stp>
        <stp>PX_LAST</stp>
        <stp>24/04/2019</stp>
        <stp>24/04/2019</stp>
        <stp>[USD_TRS.xlsx]USD3ML!R5C17</stp>
        <tr r="Q5" s="3"/>
        <tr r="Q5" s="3"/>
      </tp>
      <tp>
        <v>97.53</v>
        <stp/>
        <stp>##V3_BDHV12</stp>
        <stp>ED3 Comdty</stp>
        <stp>PX_LAST</stp>
        <stp>24/04/2019</stp>
        <stp>24/04/2019</stp>
        <stp>[USD_TRS.xlsx]USD3ML!R7C17</stp>
        <tr r="Q7" s="3"/>
        <tr r="Q7" s="3"/>
      </tp>
      <tp>
        <v>97.515000000000001</v>
        <stp/>
        <stp>##V3_BDHV12</stp>
        <stp>ED2 Comdty</stp>
        <stp>PX_LAST</stp>
        <stp>24/04/2019</stp>
        <stp>24/04/2019</stp>
        <stp>[USD_TRS.xlsx]USD3ML!R6C17</stp>
        <tr r="Q6" s="3"/>
        <tr r="Q6" s="3"/>
      </tp>
      <tp>
        <v>97.72</v>
        <stp/>
        <stp>##V3_BDHV12</stp>
        <stp>ED5 Comdty</stp>
        <stp>PX_LAST</stp>
        <stp>24/04/2019</stp>
        <stp>24/04/2019</stp>
        <stp>[USD_TRS.xlsx]USD3ML!R9C17</stp>
        <tr r="Q9" s="3"/>
        <tr r="Q9" s="3"/>
      </tp>
      <tp>
        <v>97.635000000000005</v>
        <stp/>
        <stp>##V3_BDHV12</stp>
        <stp>ED4 Comdty</stp>
        <stp>PX_LAST</stp>
        <stp>24/04/2019</stp>
        <stp>24/04/2019</stp>
        <stp>[USD_TRS.xlsx]USD3ML!R8C17</stp>
        <tr r="Q8" s="3"/>
        <tr r="Q8" s="3"/>
      </tp>
      <tp>
        <v>2.44</v>
        <stp/>
        <stp>##V3_BDPV12</stp>
        <stp>FEDL01 Index</stp>
        <stp>PX_LAST</stp>
        <stp>[USD_TRS.xlsx]USDOIS!R5C8</stp>
        <tr r="H5" s="2"/>
        <tr r="H5" s="2"/>
      </tp>
      <tp>
        <v>2.6261999999999999</v>
        <stp/>
        <stp>##V3_BDHV12</stp>
        <stp>USSWAP15 CMPN Curncy</stp>
        <stp>PX_LAST</stp>
        <stp>24/04/2019</stp>
        <stp>24/04/2019</stp>
        <stp>[USD_TRS.xlsx]USD3ML!R13C22</stp>
        <tr r="V13" s="3"/>
        <tr r="V13" s="3"/>
      </tp>
      <tp>
        <v>2.6993999999999998</v>
        <stp/>
        <stp>##V3_BDHV12</stp>
        <stp>USSWAP25 CMPN Curncy</stp>
        <stp>PX_LAST</stp>
        <stp>24/04/2019</stp>
        <stp>24/04/2019</stp>
        <stp>[USD_TRS.xlsx]USD3ML!R15C22</stp>
        <tr r="V15" s="3"/>
        <tr r="V15" s="3"/>
      </tp>
      <tp>
        <v>2.5642</v>
        <stp/>
        <stp>##V3_BDHV12</stp>
        <stp>USSWAP12 CMPN Curncy</stp>
        <stp>PX_LAST</stp>
        <stp>24/04/2019</stp>
        <stp>24/04/2019</stp>
        <stp>[USD_TRS.xlsx]USD3ML!R12C22</stp>
        <tr r="V12" s="3"/>
        <tr r="V12" s="3"/>
      </tp>
      <tp>
        <v>2.6573000000000002</v>
        <stp/>
        <stp>##V3_BDHV12</stp>
        <stp>USSWAP50 CMPN Curncy</stp>
        <stp>PX_LAST</stp>
        <stp>24/04/2019</stp>
        <stp>24/04/2019</stp>
        <stp>[USD_TRS.xlsx]USD3ML!R18C22</stp>
        <tr r="V18" s="3"/>
        <tr r="V18" s="3"/>
      </tp>
      <tp>
        <v>2.6911</v>
        <stp/>
        <stp>##V3_BDHV12</stp>
        <stp>USSWAP40 CMPN Curncy</stp>
        <stp>PX_LAST</stp>
        <stp>24/04/2019</stp>
        <stp>24/04/2019</stp>
        <stp>[USD_TRS.xlsx]USD3ML!R17C22</stp>
        <tr r="V17" s="3"/>
        <tr r="V17" s="3"/>
      </tp>
      <tp>
        <v>2.5042</v>
        <stp/>
        <stp>##V3_BDHV12</stp>
        <stp>USSWAP10 CMPN Curncy</stp>
        <stp>PX_LAST</stp>
        <stp>24/04/2019</stp>
        <stp>24/04/2019</stp>
        <stp>[USD_TRS.xlsx]USD3ML!R11C22</stp>
        <tr r="V11" s="3"/>
        <tr r="V11" s="3"/>
      </tp>
      <tp>
        <v>2.6800999999999999</v>
        <stp/>
        <stp>##V3_BDHV12</stp>
        <stp>USSWAP20 CMPN Curncy</stp>
        <stp>PX_LAST</stp>
        <stp>24/04/2019</stp>
        <stp>24/04/2019</stp>
        <stp>[USD_TRS.xlsx]USD3ML!R14C22</stp>
        <tr r="V14" s="3"/>
        <tr r="V14" s="3"/>
      </tp>
      <tp>
        <v>2.7067000000000001</v>
        <stp/>
        <stp>##V3_BDHV12</stp>
        <stp>USSWAP30 CMPN Curncy</stp>
        <stp>PX_LAST</stp>
        <stp>24/04/2019</stp>
        <stp>24/04/2019</stp>
        <stp>[USD_TRS.xlsx]USD3ML!R16C22</stp>
        <tr r="V16" s="3"/>
        <tr r="V16" s="3"/>
      </tp>
      <tp>
        <v>8.75</v>
        <stp/>
        <stp>##V3_BDHV12</stp>
        <stp>USBC8 CMPN Curncy</stp>
        <stp>PX_LAST</stp>
        <stp>24/04/2019</stp>
        <stp>24/04/2019</stp>
        <stp>[USD_TRS.xlsx]USD6ML!R12C8</stp>
        <tr r="H12" s="8"/>
        <tr r="H12" s="8"/>
      </tp>
      <tp t="s">
        <v>18/12/2019</v>
        <stp/>
        <stp>##V3_BDPV12</stp>
        <stp>ED3 Comdty</stp>
        <stp>INT_RATE_FUT_START_DT</stp>
        <stp>[USD_TRS.xlsx]USD3ML!R7C15</stp>
        <tr r="O7" s="3"/>
      </tp>
      <tp t="s">
        <v>18/09/2019</v>
        <stp/>
        <stp>##V3_BDPV12</stp>
        <stp>ED2 Comdty</stp>
        <stp>INT_RATE_FUT_START_DT</stp>
        <stp>[USD_TRS.xlsx]USD3ML!R6C15</stp>
        <tr r="O6" s="3"/>
      </tp>
      <tp t="s">
        <v>19/06/2019</v>
        <stp/>
        <stp>##V3_BDPV12</stp>
        <stp>ED1 Comdty</stp>
        <stp>INT_RATE_FUT_START_DT</stp>
        <stp>[USD_TRS.xlsx]USD3ML!R5C15</stp>
        <tr r="O5" s="3"/>
      </tp>
      <tp t="s">
        <v>17/06/2020</v>
        <stp/>
        <stp>##V3_BDPV12</stp>
        <stp>ED5 Comdty</stp>
        <stp>INT_RATE_FUT_START_DT</stp>
        <stp>[USD_TRS.xlsx]USD3ML!R9C15</stp>
        <tr r="O9" s="3"/>
      </tp>
      <tp t="s">
        <v>18/03/2020</v>
        <stp/>
        <stp>##V3_BDPV12</stp>
        <stp>ED4 Comdty</stp>
        <stp>INT_RATE_FUT_START_DT</stp>
        <stp>[USD_TRS.xlsx]USD3ML!R8C15</stp>
        <tr r="O8" s="3"/>
      </tp>
      <tp>
        <v>9.125</v>
        <stp/>
        <stp>##V3_BDHV12</stp>
        <stp>USBC9 CMPN Curncy</stp>
        <stp>PX_LAST</stp>
        <stp>24/04/2019</stp>
        <stp>24/04/2019</stp>
        <stp>[USD_TRS.xlsx]USD6ML!R13C8</stp>
        <tr r="H13" s="8"/>
        <tr r="H13" s="8"/>
      </tp>
      <tp>
        <v>2.5863800000000001</v>
        <stp/>
        <stp>##V3_BDPV12</stp>
        <stp>US0003M Index</stp>
        <stp>PX_LAST</stp>
        <stp>[USD_TRS.xlsx]USD3ML!R5C8</stp>
        <tr r="H5" s="3"/>
        <tr r="H5" s="3"/>
      </tp>
      <tp>
        <v>7.8469999999999995</v>
        <stp/>
        <stp>##V3_BDHV12</stp>
        <stp>USBC6 CMPN Curncy</stp>
        <stp>PX_LAST</stp>
        <stp>24/04/2019</stp>
        <stp>24/04/2019</stp>
        <stp>[USD_TRS.xlsx]USD6ML!R10C8</stp>
        <tr r="H10" s="8"/>
        <tr r="H10" s="8"/>
      </tp>
      <tp>
        <v>8.25</v>
        <stp/>
        <stp>##V3_BDHV12</stp>
        <stp>USBC7 CMPN Curncy</stp>
        <stp>PX_LAST</stp>
        <stp>24/04/2019</stp>
        <stp>24/04/2019</stp>
        <stp>[USD_TRS.xlsx]USD6ML!R11C8</stp>
        <tr r="H11" s="8"/>
        <tr r="H11" s="8"/>
      </tp>
      <tp>
        <v>2.4702999999999999</v>
        <stp/>
        <stp>##V3_BDHV12</stp>
        <stp>USSWAP9 CMPN Curncy</stp>
        <stp>PX_LAST</stp>
        <stp>24/04/2019</stp>
        <stp>24/04/2019</stp>
        <stp>[USD_TRS.xlsx]USD3ML!R10C22</stp>
        <tr r="V10" s="3"/>
        <tr r="V10" s="3"/>
      </tp>
      <tp t="s">
        <v>17/06/2020</v>
        <stp/>
        <stp>##V3_BDPV12</stp>
        <stp>ED4 Comdty</stp>
        <stp>INT_RATE_FUT_END_DT</stp>
        <stp>[USD_TRS.xlsx]USD3ML!R8C16</stp>
        <tr r="P8" s="3"/>
      </tp>
      <tp t="s">
        <v>16/09/2020</v>
        <stp/>
        <stp>##V3_BDPV12</stp>
        <stp>ED5 Comdty</stp>
        <stp>INT_RATE_FUT_END_DT</stp>
        <stp>[USD_TRS.xlsx]USD3ML!R9C16</stp>
        <tr r="P9" s="3"/>
      </tp>
      <tp t="s">
        <v>18/12/2019</v>
        <stp/>
        <stp>##V3_BDPV12</stp>
        <stp>ED2 Comdty</stp>
        <stp>INT_RATE_FUT_END_DT</stp>
        <stp>[USD_TRS.xlsx]USD3ML!R6C16</stp>
        <tr r="P6" s="3"/>
      </tp>
      <tp t="s">
        <v>18/03/2020</v>
        <stp/>
        <stp>##V3_BDPV12</stp>
        <stp>ED3 Comdty</stp>
        <stp>INT_RATE_FUT_END_DT</stp>
        <stp>[USD_TRS.xlsx]USD3ML!R7C16</stp>
        <tr r="P7" s="3"/>
      </tp>
      <tp>
        <v>97.825000000000003</v>
        <stp/>
        <stp>##V3_BDHV12</stp>
        <stp>ED8 Comdty</stp>
        <stp>PX_LAST</stp>
        <stp>24/04/2019</stp>
        <stp>24/04/2019</stp>
        <stp>[USD_TRS.xlsx]USD3ML!R12C17</stp>
        <tr r="Q12" s="3"/>
        <tr r="Q12" s="3"/>
      </tp>
      <tp>
        <v>97.8</v>
        <stp/>
        <stp>##V3_BDHV12</stp>
        <stp>ED7 Comdty</stp>
        <stp>PX_LAST</stp>
        <stp>24/04/2019</stp>
        <stp>24/04/2019</stp>
        <stp>[USD_TRS.xlsx]USD3ML!R11C17</stp>
        <tr r="Q11" s="3"/>
        <tr r="Q11" s="3"/>
      </tp>
      <tp>
        <v>97.784999999999997</v>
        <stp/>
        <stp>##V3_BDHV12</stp>
        <stp>ED6 Comdty</stp>
        <stp>PX_LAST</stp>
        <stp>24/04/2019</stp>
        <stp>24/04/2019</stp>
        <stp>[USD_TRS.xlsx]USD3ML!R10C17</stp>
        <tr r="Q10" s="3"/>
        <tr r="Q10" s="3"/>
      </tp>
      <tp t="s">
        <v>18/09/2019</v>
        <stp/>
        <stp>##V3_BDPV12</stp>
        <stp>ED1 Comdty</stp>
        <stp>INT_RATE_FUT_END_DT</stp>
        <stp>[USD_TRS.xlsx]USD3ML!R5C16</stp>
        <tr r="P5" s="3"/>
      </tp>
      <tp t="s">
        <v>16/12/2020</v>
        <stp/>
        <stp>##V3_BDPV12</stp>
        <stp>ED6 Comdty</stp>
        <stp>INT_RATE_FUT_END_DT</stp>
        <stp>[USD_TRS.xlsx]USD3ML!R10C16</stp>
        <tr r="P10" s="3"/>
      </tp>
      <tp t="s">
        <v>17/03/2021</v>
        <stp/>
        <stp>##V3_BDPV12</stp>
        <stp>ED7 Comdty</stp>
        <stp>INT_RATE_FUT_END_DT</stp>
        <stp>[USD_TRS.xlsx]USD3ML!R11C16</stp>
        <tr r="P11" s="3"/>
      </tp>
      <tp t="s">
        <v>16/06/2021</v>
        <stp/>
        <stp>##V3_BDPV12</stp>
        <stp>ED8 Comdty</stp>
        <stp>INT_RATE_FUT_END_DT</stp>
        <stp>[USD_TRS.xlsx]USD3ML!R12C16</stp>
        <tr r="P12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volatileDependencies" Target="volatileDependenci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"/>
  <sheetViews>
    <sheetView showGridLines="0" workbookViewId="0"/>
  </sheetViews>
  <sheetFormatPr defaultRowHeight="15" x14ac:dyDescent="0.25"/>
  <cols>
    <col min="3" max="3" width="15.42578125" bestFit="1" customWidth="1"/>
  </cols>
  <sheetData>
    <row r="2" spans="2:3" x14ac:dyDescent="0.25">
      <c r="B2" s="1" t="s">
        <v>0</v>
      </c>
      <c r="C2" s="2">
        <f ca="1">TODAY()</f>
        <v>43579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W86"/>
  <sheetViews>
    <sheetView showGridLines="0" workbookViewId="0"/>
  </sheetViews>
  <sheetFormatPr defaultRowHeight="15" x14ac:dyDescent="0.25"/>
  <cols>
    <col min="1" max="2" width="4.7109375" customWidth="1"/>
    <col min="3" max="3" width="25.28515625" bestFit="1" customWidth="1"/>
    <col min="4" max="4" width="47" bestFit="1" customWidth="1"/>
    <col min="5" max="5" width="4.7109375" customWidth="1"/>
    <col min="6" max="6" width="20.28515625" bestFit="1" customWidth="1"/>
    <col min="12" max="12" width="4.7109375" customWidth="1"/>
    <col min="13" max="15" width="9.140625" hidden="1" customWidth="1"/>
    <col min="16" max="16" width="20.28515625" bestFit="1" customWidth="1"/>
    <col min="19" max="19" width="4.7109375" customWidth="1"/>
    <col min="20" max="20" width="23.28515625" bestFit="1" customWidth="1"/>
    <col min="23" max="23" width="4.7109375" customWidth="1"/>
  </cols>
  <sheetData>
    <row r="2" spans="2:23" x14ac:dyDescent="0.25">
      <c r="B2" s="3"/>
      <c r="C2" s="4"/>
      <c r="D2" s="5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7"/>
    </row>
    <row r="3" spans="2:23" x14ac:dyDescent="0.25">
      <c r="B3" s="8"/>
      <c r="C3" s="9" t="s">
        <v>1</v>
      </c>
      <c r="D3" s="10"/>
      <c r="E3" s="11"/>
      <c r="F3" s="12" t="s">
        <v>2</v>
      </c>
      <c r="G3" s="12"/>
      <c r="H3" s="13" t="s">
        <v>3</v>
      </c>
      <c r="I3" s="14"/>
      <c r="J3" s="14"/>
      <c r="K3" s="14"/>
      <c r="L3" s="12"/>
      <c r="M3" s="12" t="s">
        <v>4</v>
      </c>
      <c r="N3" s="12"/>
      <c r="O3" s="14"/>
      <c r="P3" s="12" t="s">
        <v>5</v>
      </c>
      <c r="Q3" s="15" t="s">
        <v>3</v>
      </c>
      <c r="R3" s="12"/>
      <c r="S3" s="14" t="s">
        <v>6</v>
      </c>
      <c r="T3" s="12" t="s">
        <v>7</v>
      </c>
      <c r="U3" s="15" t="s">
        <v>3</v>
      </c>
      <c r="V3" s="15"/>
      <c r="W3" s="16"/>
    </row>
    <row r="4" spans="2:23" x14ac:dyDescent="0.25">
      <c r="B4" s="8" t="s">
        <v>6</v>
      </c>
      <c r="C4" s="10"/>
      <c r="D4" s="10"/>
      <c r="E4" s="11" t="s">
        <v>6</v>
      </c>
      <c r="F4" s="11" t="s">
        <v>8</v>
      </c>
      <c r="G4" s="17" t="s">
        <v>9</v>
      </c>
      <c r="H4" s="17" t="s">
        <v>10</v>
      </c>
      <c r="I4" s="17" t="s">
        <v>11</v>
      </c>
      <c r="J4" s="17" t="s">
        <v>12</v>
      </c>
      <c r="K4" s="17" t="s">
        <v>13</v>
      </c>
      <c r="L4" s="11"/>
      <c r="M4" s="17" t="s">
        <v>14</v>
      </c>
      <c r="N4" s="17" t="s">
        <v>10</v>
      </c>
      <c r="O4" s="11"/>
      <c r="P4" s="11" t="s">
        <v>8</v>
      </c>
      <c r="Q4" s="78" t="s">
        <v>9</v>
      </c>
      <c r="R4" s="78" t="s">
        <v>10</v>
      </c>
      <c r="S4" s="11"/>
      <c r="T4" s="11" t="s">
        <v>8</v>
      </c>
      <c r="U4" s="78" t="s">
        <v>9</v>
      </c>
      <c r="V4" s="78" t="s">
        <v>10</v>
      </c>
      <c r="W4" s="16"/>
    </row>
    <row r="5" spans="2:23" x14ac:dyDescent="0.25">
      <c r="B5" s="8"/>
      <c r="C5" s="18" t="s">
        <v>15</v>
      </c>
      <c r="D5" s="19" t="s">
        <v>16</v>
      </c>
      <c r="E5" s="11" t="s">
        <v>6</v>
      </c>
      <c r="F5" s="20" t="s">
        <v>17</v>
      </c>
      <c r="G5" s="21" t="s">
        <v>18</v>
      </c>
      <c r="H5" s="22">
        <f>IF(ISNUMBER(_xll.BDP($F5,$H$3)),_xll.BDP($F5,$H$3)%,"#WAIT")</f>
        <v>2.4399999999999998E-2</v>
      </c>
      <c r="I5" s="23"/>
      <c r="J5" s="24"/>
      <c r="K5" s="25" t="b">
        <v>1</v>
      </c>
      <c r="L5" s="14"/>
      <c r="M5" s="26"/>
      <c r="N5" s="27"/>
      <c r="O5" s="14"/>
      <c r="P5" s="20" t="s">
        <v>268</v>
      </c>
      <c r="Q5" s="21" t="s">
        <v>75</v>
      </c>
      <c r="R5" s="82">
        <v>3.6874999999999998E-3</v>
      </c>
      <c r="S5" s="11"/>
      <c r="T5" s="20" t="s">
        <v>271</v>
      </c>
      <c r="U5" s="21" t="s">
        <v>75</v>
      </c>
      <c r="V5" s="247">
        <v>2.7229999999999997E-2</v>
      </c>
      <c r="W5" s="16"/>
    </row>
    <row r="6" spans="2:23" x14ac:dyDescent="0.25">
      <c r="B6" s="8"/>
      <c r="C6" s="31" t="s">
        <v>22</v>
      </c>
      <c r="D6" s="32" t="s">
        <v>2</v>
      </c>
      <c r="E6" s="11" t="s">
        <v>6</v>
      </c>
      <c r="F6" s="33" t="s">
        <v>23</v>
      </c>
      <c r="G6" s="28" t="s">
        <v>24</v>
      </c>
      <c r="H6" s="34">
        <v>1.6890000000000002E-2</v>
      </c>
      <c r="I6" s="24"/>
      <c r="J6" s="24"/>
      <c r="K6" s="25" t="b">
        <v>1</v>
      </c>
      <c r="L6" s="14"/>
      <c r="M6" s="26"/>
      <c r="N6" s="27"/>
      <c r="O6" s="14"/>
      <c r="P6" s="33" t="s">
        <v>269</v>
      </c>
      <c r="Q6" s="28" t="s">
        <v>77</v>
      </c>
      <c r="R6" s="29">
        <v>3.6874999999999998E-3</v>
      </c>
      <c r="S6" s="11"/>
      <c r="T6" s="33" t="s">
        <v>272</v>
      </c>
      <c r="U6" s="28" t="s">
        <v>77</v>
      </c>
      <c r="V6" s="30">
        <v>2.7229999999999997E-2</v>
      </c>
      <c r="W6" s="16"/>
    </row>
    <row r="7" spans="2:23" x14ac:dyDescent="0.25">
      <c r="B7" s="8"/>
      <c r="C7" s="31" t="s">
        <v>28</v>
      </c>
      <c r="D7" s="32" t="s">
        <v>29</v>
      </c>
      <c r="E7" s="11" t="s">
        <v>6</v>
      </c>
      <c r="F7" s="33" t="s">
        <v>30</v>
      </c>
      <c r="G7" s="28" t="s">
        <v>31</v>
      </c>
      <c r="H7" s="34">
        <v>1.6892000000000001E-2</v>
      </c>
      <c r="I7" s="24"/>
      <c r="J7" s="24"/>
      <c r="K7" s="25" t="b">
        <v>1</v>
      </c>
      <c r="L7" s="14"/>
      <c r="M7" s="26"/>
      <c r="N7" s="27"/>
      <c r="O7" s="14"/>
      <c r="P7" s="33" t="s">
        <v>270</v>
      </c>
      <c r="Q7" s="28" t="s">
        <v>102</v>
      </c>
      <c r="R7" s="29">
        <v>3.6874999999999998E-3</v>
      </c>
      <c r="S7" s="11"/>
      <c r="T7" s="33" t="s">
        <v>101</v>
      </c>
      <c r="U7" s="28" t="s">
        <v>102</v>
      </c>
      <c r="V7" s="30">
        <v>2.7229999999999997E-2</v>
      </c>
      <c r="W7" s="16"/>
    </row>
    <row r="8" spans="2:23" x14ac:dyDescent="0.25">
      <c r="B8" s="8"/>
      <c r="C8" s="35" t="s">
        <v>35</v>
      </c>
      <c r="D8" s="36">
        <f ca="1">COB</f>
        <v>43579</v>
      </c>
      <c r="E8" s="11" t="s">
        <v>6</v>
      </c>
      <c r="F8" s="33" t="s">
        <v>36</v>
      </c>
      <c r="G8" s="28" t="s">
        <v>37</v>
      </c>
      <c r="H8" s="34">
        <v>1.677E-2</v>
      </c>
      <c r="I8" s="24"/>
      <c r="J8" s="24"/>
      <c r="K8" s="25" t="b">
        <v>1</v>
      </c>
      <c r="L8" s="14"/>
      <c r="M8" s="26"/>
      <c r="N8" s="27"/>
      <c r="O8" s="14"/>
      <c r="P8" s="33" t="s">
        <v>19</v>
      </c>
      <c r="Q8" s="28" t="s">
        <v>20</v>
      </c>
      <c r="R8" s="29">
        <v>3.6874999999999998E-3</v>
      </c>
      <c r="S8" s="11"/>
      <c r="T8" s="33" t="s">
        <v>21</v>
      </c>
      <c r="U8" s="28" t="s">
        <v>20</v>
      </c>
      <c r="V8" s="30">
        <v>2.7229999999999997E-2</v>
      </c>
      <c r="W8" s="16"/>
    </row>
    <row r="9" spans="2:23" x14ac:dyDescent="0.25">
      <c r="B9" s="8"/>
      <c r="C9" s="10"/>
      <c r="D9" s="10"/>
      <c r="E9" s="11" t="s">
        <v>6</v>
      </c>
      <c r="F9" s="33" t="s">
        <v>41</v>
      </c>
      <c r="G9" s="28" t="s">
        <v>42</v>
      </c>
      <c r="H9" s="34">
        <v>1.6879999999999999E-2</v>
      </c>
      <c r="I9" s="24"/>
      <c r="J9" s="24"/>
      <c r="K9" s="25" t="b">
        <v>1</v>
      </c>
      <c r="L9" s="14"/>
      <c r="M9" s="26"/>
      <c r="N9" s="27"/>
      <c r="O9" s="14"/>
      <c r="P9" s="33" t="s">
        <v>25</v>
      </c>
      <c r="Q9" s="28" t="s">
        <v>26</v>
      </c>
      <c r="R9" s="29">
        <v>3.6877499999999996E-3</v>
      </c>
      <c r="S9" s="11"/>
      <c r="T9" s="33" t="s">
        <v>27</v>
      </c>
      <c r="U9" s="28" t="s">
        <v>26</v>
      </c>
      <c r="V9" s="30">
        <v>2.7488000000000002E-2</v>
      </c>
      <c r="W9" s="16"/>
    </row>
    <row r="10" spans="2:23" x14ac:dyDescent="0.25">
      <c r="B10" s="8"/>
      <c r="C10" s="11"/>
      <c r="D10" s="11"/>
      <c r="E10" s="11" t="s">
        <v>6</v>
      </c>
      <c r="F10" s="33" t="s">
        <v>46</v>
      </c>
      <c r="G10" s="28" t="s">
        <v>47</v>
      </c>
      <c r="H10" s="34">
        <v>1.6909E-2</v>
      </c>
      <c r="I10" s="24"/>
      <c r="J10" s="24"/>
      <c r="K10" s="25" t="b">
        <v>1</v>
      </c>
      <c r="L10" s="14"/>
      <c r="M10" s="26"/>
      <c r="N10" s="27"/>
      <c r="O10" s="14"/>
      <c r="P10" s="33" t="s">
        <v>32</v>
      </c>
      <c r="Q10" s="28" t="s">
        <v>33</v>
      </c>
      <c r="R10" s="29">
        <v>3.7875000000000001E-3</v>
      </c>
      <c r="S10" s="11"/>
      <c r="T10" s="33" t="s">
        <v>34</v>
      </c>
      <c r="U10" s="28" t="s">
        <v>33</v>
      </c>
      <c r="V10" s="30">
        <v>2.7820000000000001E-2</v>
      </c>
      <c r="W10" s="16"/>
    </row>
    <row r="11" spans="2:23" x14ac:dyDescent="0.25">
      <c r="B11" s="8"/>
      <c r="C11" s="37" t="s">
        <v>51</v>
      </c>
      <c r="D11" s="10"/>
      <c r="E11" s="11" t="s">
        <v>6</v>
      </c>
      <c r="F11" s="33" t="s">
        <v>52</v>
      </c>
      <c r="G11" s="28" t="s">
        <v>53</v>
      </c>
      <c r="H11" s="34">
        <v>1.7464E-2</v>
      </c>
      <c r="I11" s="24"/>
      <c r="J11" s="24"/>
      <c r="K11" s="25" t="b">
        <v>1</v>
      </c>
      <c r="L11" s="14"/>
      <c r="M11" s="26"/>
      <c r="N11" s="27"/>
      <c r="O11" s="14"/>
      <c r="P11" s="33" t="s">
        <v>38</v>
      </c>
      <c r="Q11" s="28" t="s">
        <v>39</v>
      </c>
      <c r="R11" s="29">
        <v>3.9437500000000002E-3</v>
      </c>
      <c r="S11" s="14"/>
      <c r="T11" s="33" t="s">
        <v>40</v>
      </c>
      <c r="U11" s="28" t="s">
        <v>39</v>
      </c>
      <c r="V11" s="30">
        <v>2.8298999999999998E-2</v>
      </c>
      <c r="W11" s="16"/>
    </row>
    <row r="12" spans="2:23" x14ac:dyDescent="0.25">
      <c r="B12" s="8"/>
      <c r="C12" s="38" t="s">
        <v>57</v>
      </c>
      <c r="D12" s="39" t="s">
        <v>58</v>
      </c>
      <c r="E12" s="11" t="s">
        <v>6</v>
      </c>
      <c r="F12" s="33" t="s">
        <v>59</v>
      </c>
      <c r="G12" s="28" t="s">
        <v>60</v>
      </c>
      <c r="H12" s="34">
        <v>1.7861999999999999E-2</v>
      </c>
      <c r="I12" s="24"/>
      <c r="J12" s="24"/>
      <c r="K12" s="25" t="b">
        <v>1</v>
      </c>
      <c r="L12" s="14"/>
      <c r="M12" s="26"/>
      <c r="N12" s="27"/>
      <c r="O12" s="14"/>
      <c r="P12" s="33" t="s">
        <v>43</v>
      </c>
      <c r="Q12" s="28" t="s">
        <v>44</v>
      </c>
      <c r="R12" s="29">
        <v>4.0249999999999999E-3</v>
      </c>
      <c r="S12" s="14"/>
      <c r="T12" s="33" t="s">
        <v>45</v>
      </c>
      <c r="U12" s="28" t="s">
        <v>44</v>
      </c>
      <c r="V12" s="30">
        <v>2.8604000000000004E-2</v>
      </c>
      <c r="W12" s="16"/>
    </row>
    <row r="13" spans="2:23" x14ac:dyDescent="0.25">
      <c r="B13" s="8"/>
      <c r="C13" s="40" t="s">
        <v>64</v>
      </c>
      <c r="D13" s="235" t="str">
        <f ca="1">_xll.meLWOCurveMarketDataCreate(D12,C3,C5:D8,M3,M5:N17,F3,G5:K17,P3,Q5:R16,T3,U5:V16)</f>
        <v>USD_OIS_CURVE_MARKETDATA@8:5</v>
      </c>
      <c r="E13" s="11" t="s">
        <v>6</v>
      </c>
      <c r="F13" s="33" t="s">
        <v>65</v>
      </c>
      <c r="G13" s="28" t="s">
        <v>66</v>
      </c>
      <c r="H13" s="34">
        <v>1.8083999999999999E-2</v>
      </c>
      <c r="I13" s="24"/>
      <c r="J13" s="24"/>
      <c r="K13" s="25" t="b">
        <v>1</v>
      </c>
      <c r="L13" s="14"/>
      <c r="M13" s="26"/>
      <c r="N13" s="27"/>
      <c r="O13" s="14"/>
      <c r="P13" s="33" t="s">
        <v>48</v>
      </c>
      <c r="Q13" s="28" t="s">
        <v>49</v>
      </c>
      <c r="R13" s="29">
        <v>4.1625000000000004E-3</v>
      </c>
      <c r="S13" s="14"/>
      <c r="T13" s="33" t="s">
        <v>50</v>
      </c>
      <c r="U13" s="28" t="s">
        <v>49</v>
      </c>
      <c r="V13" s="30">
        <v>2.8877E-2</v>
      </c>
      <c r="W13" s="16"/>
    </row>
    <row r="14" spans="2:23" x14ac:dyDescent="0.25">
      <c r="B14" s="8"/>
      <c r="C14" s="42"/>
      <c r="D14" s="10"/>
      <c r="E14" s="11" t="s">
        <v>6</v>
      </c>
      <c r="F14" s="33" t="s">
        <v>70</v>
      </c>
      <c r="G14" s="28" t="s">
        <v>71</v>
      </c>
      <c r="H14" s="34">
        <v>1.8352E-2</v>
      </c>
      <c r="I14" s="24"/>
      <c r="J14" s="24"/>
      <c r="K14" s="25" t="b">
        <v>1</v>
      </c>
      <c r="L14" s="14"/>
      <c r="M14" s="26"/>
      <c r="N14" s="27"/>
      <c r="O14" s="14"/>
      <c r="P14" s="33" t="s">
        <v>54</v>
      </c>
      <c r="Q14" s="28" t="s">
        <v>55</v>
      </c>
      <c r="R14" s="29">
        <v>4.3125000000000004E-3</v>
      </c>
      <c r="S14" s="14"/>
      <c r="T14" s="33" t="s">
        <v>56</v>
      </c>
      <c r="U14" s="28" t="s">
        <v>55</v>
      </c>
      <c r="V14" s="30">
        <v>2.9083999999999999E-2</v>
      </c>
      <c r="W14" s="16"/>
    </row>
    <row r="15" spans="2:23" x14ac:dyDescent="0.25">
      <c r="B15" s="8"/>
      <c r="C15" s="42"/>
      <c r="D15" s="10"/>
      <c r="E15" s="11" t="s">
        <v>6</v>
      </c>
      <c r="F15" s="33" t="s">
        <v>72</v>
      </c>
      <c r="G15" s="28" t="s">
        <v>73</v>
      </c>
      <c r="H15" s="34">
        <v>1.9189999999999999E-2</v>
      </c>
      <c r="I15" s="24"/>
      <c r="J15" s="24"/>
      <c r="K15" s="25" t="b">
        <v>1</v>
      </c>
      <c r="L15" s="14"/>
      <c r="M15" s="26"/>
      <c r="N15" s="27"/>
      <c r="O15" s="14"/>
      <c r="P15" s="33" t="s">
        <v>61</v>
      </c>
      <c r="Q15" s="28" t="s">
        <v>62</v>
      </c>
      <c r="R15" s="29">
        <v>4.4149000000000002E-3</v>
      </c>
      <c r="S15" s="14"/>
      <c r="T15" s="33" t="s">
        <v>63</v>
      </c>
      <c r="U15" s="28" t="s">
        <v>62</v>
      </c>
      <c r="V15" s="30">
        <v>2.9009E-2</v>
      </c>
      <c r="W15" s="16"/>
    </row>
    <row r="16" spans="2:23" x14ac:dyDescent="0.25">
      <c r="B16" s="8"/>
      <c r="C16" s="42"/>
      <c r="D16" s="10"/>
      <c r="E16" s="11" t="s">
        <v>6</v>
      </c>
      <c r="F16" s="33" t="s">
        <v>74</v>
      </c>
      <c r="G16" s="28" t="s">
        <v>75</v>
      </c>
      <c r="H16" s="34">
        <v>1.9885E-2</v>
      </c>
      <c r="I16" s="24"/>
      <c r="J16" s="24"/>
      <c r="K16" s="25" t="b">
        <v>1</v>
      </c>
      <c r="L16" s="14"/>
      <c r="M16" s="26"/>
      <c r="N16" s="27"/>
      <c r="O16" s="14"/>
      <c r="P16" s="33" t="s">
        <v>67</v>
      </c>
      <c r="Q16" s="28" t="s">
        <v>68</v>
      </c>
      <c r="R16" s="29">
        <v>4.4999999999999997E-3</v>
      </c>
      <c r="S16" s="14"/>
      <c r="T16" s="33" t="s">
        <v>69</v>
      </c>
      <c r="U16" s="28" t="s">
        <v>68</v>
      </c>
      <c r="V16" s="30">
        <v>2.8845999999999997E-2</v>
      </c>
      <c r="W16" s="16"/>
    </row>
    <row r="17" spans="2:23" x14ac:dyDescent="0.25">
      <c r="B17" s="8"/>
      <c r="C17" s="42"/>
      <c r="D17" s="10"/>
      <c r="E17" s="11" t="s">
        <v>6</v>
      </c>
      <c r="F17" s="33" t="s">
        <v>76</v>
      </c>
      <c r="G17" s="28" t="s">
        <v>77</v>
      </c>
      <c r="H17" s="34">
        <v>2.1926000000000001E-2</v>
      </c>
      <c r="I17" s="24"/>
      <c r="J17" s="24"/>
      <c r="K17" s="25" t="b">
        <v>1</v>
      </c>
      <c r="L17" s="14"/>
      <c r="M17" s="26"/>
      <c r="N17" s="27"/>
      <c r="O17" s="14"/>
      <c r="P17" s="33"/>
      <c r="Q17" s="28"/>
      <c r="R17" s="29"/>
      <c r="S17" s="14"/>
      <c r="T17" s="33"/>
      <c r="U17" s="28"/>
      <c r="V17" s="30"/>
      <c r="W17" s="16"/>
    </row>
    <row r="18" spans="2:23" x14ac:dyDescent="0.25">
      <c r="B18" s="8"/>
      <c r="C18" s="42"/>
      <c r="D18" s="10"/>
      <c r="E18" s="11" t="s">
        <v>6</v>
      </c>
      <c r="F18" s="33"/>
      <c r="G18" s="28"/>
      <c r="H18" s="34"/>
      <c r="I18" s="24"/>
      <c r="J18" s="24"/>
      <c r="K18" s="25"/>
      <c r="L18" s="14"/>
      <c r="M18" s="26"/>
      <c r="N18" s="27"/>
      <c r="O18" s="14"/>
      <c r="P18" s="33"/>
      <c r="Q18" s="28"/>
      <c r="R18" s="29"/>
      <c r="S18" s="14"/>
      <c r="T18" s="33"/>
      <c r="U18" s="28"/>
      <c r="V18" s="30"/>
      <c r="W18" s="16"/>
    </row>
    <row r="19" spans="2:23" x14ac:dyDescent="0.25">
      <c r="B19" s="8"/>
      <c r="C19" s="43" t="s">
        <v>78</v>
      </c>
      <c r="D19" s="10"/>
      <c r="E19" s="11" t="s">
        <v>6</v>
      </c>
      <c r="F19" s="33"/>
      <c r="G19" s="28"/>
      <c r="H19" s="34"/>
      <c r="I19" s="24"/>
      <c r="J19" s="24"/>
      <c r="K19" s="25"/>
      <c r="L19" s="14"/>
      <c r="M19" s="26"/>
      <c r="N19" s="27"/>
      <c r="O19" s="14"/>
      <c r="P19" s="33"/>
      <c r="Q19" s="28"/>
      <c r="R19" s="29"/>
      <c r="S19" s="14"/>
      <c r="T19" s="33"/>
      <c r="U19" s="28"/>
      <c r="V19" s="30"/>
      <c r="W19" s="16"/>
    </row>
    <row r="20" spans="2:23" x14ac:dyDescent="0.25">
      <c r="B20" s="8"/>
      <c r="C20" s="44" t="s">
        <v>57</v>
      </c>
      <c r="D20" s="45" t="s">
        <v>79</v>
      </c>
      <c r="E20" s="11" t="s">
        <v>6</v>
      </c>
      <c r="F20" s="33"/>
      <c r="G20" s="28"/>
      <c r="H20" s="34"/>
      <c r="I20" s="24"/>
      <c r="J20" s="24"/>
      <c r="K20" s="25"/>
      <c r="L20" s="14"/>
      <c r="M20" s="26"/>
      <c r="N20" s="27"/>
      <c r="O20" s="14"/>
      <c r="P20" s="33"/>
      <c r="Q20" s="28"/>
      <c r="R20" s="29"/>
      <c r="S20" s="14"/>
      <c r="T20" s="33"/>
      <c r="U20" s="28"/>
      <c r="V20" s="30"/>
      <c r="W20" s="16"/>
    </row>
    <row r="21" spans="2:23" x14ac:dyDescent="0.25">
      <c r="B21" s="8"/>
      <c r="C21" s="46" t="s">
        <v>80</v>
      </c>
      <c r="D21" s="47" t="s">
        <v>81</v>
      </c>
      <c r="E21" s="11" t="s">
        <v>6</v>
      </c>
      <c r="F21" s="33"/>
      <c r="G21" s="28"/>
      <c r="H21" s="34"/>
      <c r="I21" s="24"/>
      <c r="J21" s="24"/>
      <c r="K21" s="25"/>
      <c r="L21" s="14"/>
      <c r="M21" s="26"/>
      <c r="N21" s="27"/>
      <c r="O21" s="14"/>
      <c r="P21" s="33"/>
      <c r="Q21" s="28"/>
      <c r="R21" s="29"/>
      <c r="S21" s="14"/>
      <c r="T21" s="33"/>
      <c r="U21" s="28"/>
      <c r="V21" s="30"/>
      <c r="W21" s="16"/>
    </row>
    <row r="22" spans="2:23" x14ac:dyDescent="0.25">
      <c r="B22" s="8"/>
      <c r="C22" s="46" t="s">
        <v>82</v>
      </c>
      <c r="D22" s="47" t="s">
        <v>83</v>
      </c>
      <c r="E22" s="11" t="s">
        <v>6</v>
      </c>
      <c r="F22" s="33"/>
      <c r="G22" s="28"/>
      <c r="H22" s="34"/>
      <c r="I22" s="24"/>
      <c r="J22" s="24"/>
      <c r="K22" s="25"/>
      <c r="L22" s="14"/>
      <c r="M22" s="26"/>
      <c r="N22" s="27"/>
      <c r="O22" s="14"/>
      <c r="P22" s="33"/>
      <c r="Q22" s="28"/>
      <c r="R22" s="29"/>
      <c r="S22" s="14"/>
      <c r="T22" s="33"/>
      <c r="U22" s="28"/>
      <c r="V22" s="30"/>
      <c r="W22" s="16"/>
    </row>
    <row r="23" spans="2:23" x14ac:dyDescent="0.25">
      <c r="B23" s="8"/>
      <c r="C23" s="48" t="s">
        <v>84</v>
      </c>
      <c r="D23" s="49"/>
      <c r="E23" s="11" t="s">
        <v>6</v>
      </c>
      <c r="F23" s="33"/>
      <c r="G23" s="28"/>
      <c r="H23" s="34"/>
      <c r="I23" s="24"/>
      <c r="J23" s="24"/>
      <c r="K23" s="25"/>
      <c r="L23" s="14"/>
      <c r="M23" s="26"/>
      <c r="N23" s="27"/>
      <c r="O23" s="14"/>
      <c r="P23" s="33"/>
      <c r="Q23" s="28"/>
      <c r="R23" s="29"/>
      <c r="S23" s="14"/>
      <c r="T23" s="33"/>
      <c r="U23" s="28"/>
      <c r="V23" s="30"/>
      <c r="W23" s="16"/>
    </row>
    <row r="24" spans="2:23" x14ac:dyDescent="0.25">
      <c r="B24" s="8"/>
      <c r="C24" s="11"/>
      <c r="D24" s="11"/>
      <c r="E24" s="11" t="s">
        <v>6</v>
      </c>
      <c r="F24" s="33"/>
      <c r="G24" s="28"/>
      <c r="H24" s="34"/>
      <c r="I24" s="24"/>
      <c r="J24" s="24"/>
      <c r="K24" s="25"/>
      <c r="L24" s="14"/>
      <c r="M24" s="26"/>
      <c r="N24" s="27"/>
      <c r="O24" s="14"/>
      <c r="P24" s="33"/>
      <c r="Q24" s="28"/>
      <c r="R24" s="29"/>
      <c r="S24" s="14"/>
      <c r="T24" s="33"/>
      <c r="U24" s="28"/>
      <c r="V24" s="30"/>
      <c r="W24" s="16"/>
    </row>
    <row r="25" spans="2:23" x14ac:dyDescent="0.25">
      <c r="B25" s="8"/>
      <c r="C25" s="11"/>
      <c r="D25" s="11"/>
      <c r="E25" s="11" t="s">
        <v>6</v>
      </c>
      <c r="F25" s="33"/>
      <c r="G25" s="28"/>
      <c r="H25" s="34"/>
      <c r="I25" s="24"/>
      <c r="J25" s="24"/>
      <c r="K25" s="25"/>
      <c r="L25" s="14"/>
      <c r="M25" s="26"/>
      <c r="N25" s="27"/>
      <c r="O25" s="14"/>
      <c r="P25" s="33"/>
      <c r="Q25" s="28"/>
      <c r="R25" s="29"/>
      <c r="S25" s="14"/>
      <c r="T25" s="33"/>
      <c r="U25" s="28"/>
      <c r="V25" s="30"/>
      <c r="W25" s="16"/>
    </row>
    <row r="26" spans="2:23" x14ac:dyDescent="0.25">
      <c r="B26" s="8"/>
      <c r="C26" s="43" t="s">
        <v>85</v>
      </c>
      <c r="D26" s="11"/>
      <c r="E26" s="11" t="s">
        <v>6</v>
      </c>
      <c r="F26" s="33"/>
      <c r="G26" s="28"/>
      <c r="H26" s="34"/>
      <c r="I26" s="24"/>
      <c r="J26" s="24"/>
      <c r="K26" s="25"/>
      <c r="L26" s="14"/>
      <c r="M26" s="26"/>
      <c r="N26" s="27"/>
      <c r="O26" s="14"/>
      <c r="P26" s="33"/>
      <c r="Q26" s="28"/>
      <c r="R26" s="29"/>
      <c r="S26" s="14"/>
      <c r="T26" s="33"/>
      <c r="U26" s="28"/>
      <c r="V26" s="30"/>
      <c r="W26" s="16"/>
    </row>
    <row r="27" spans="2:23" x14ac:dyDescent="0.25">
      <c r="B27" s="8"/>
      <c r="C27" s="50" t="s">
        <v>57</v>
      </c>
      <c r="D27" s="51" t="str">
        <f t="array" aca="1" ref="D27:D30" ca="1">_xll.meLWOCurveCalibrate(D20,D21,D13,D22,D23)</f>
        <v>USD_OIS_CURVE@11:1</v>
      </c>
      <c r="E27" s="11" t="s">
        <v>6</v>
      </c>
      <c r="F27" s="33"/>
      <c r="G27" s="28"/>
      <c r="H27" s="34"/>
      <c r="I27" s="24"/>
      <c r="J27" s="24"/>
      <c r="K27" s="25"/>
      <c r="L27" s="14"/>
      <c r="M27" s="26"/>
      <c r="N27" s="27"/>
      <c r="O27" s="14"/>
      <c r="P27" s="33"/>
      <c r="Q27" s="28"/>
      <c r="R27" s="29"/>
      <c r="S27" s="14"/>
      <c r="T27" s="33"/>
      <c r="U27" s="28"/>
      <c r="V27" s="30"/>
      <c r="W27" s="16"/>
    </row>
    <row r="28" spans="2:23" x14ac:dyDescent="0.25">
      <c r="B28" s="8"/>
      <c r="C28" s="54" t="s">
        <v>86</v>
      </c>
      <c r="D28" s="52" t="str">
        <f ca="1"/>
        <v>USDYC</v>
      </c>
      <c r="E28" s="11" t="s">
        <v>6</v>
      </c>
      <c r="F28" s="33"/>
      <c r="G28" s="28"/>
      <c r="H28" s="34"/>
      <c r="I28" s="24"/>
      <c r="J28" s="24"/>
      <c r="K28" s="25"/>
      <c r="L28" s="14"/>
      <c r="M28" s="26"/>
      <c r="N28" s="27"/>
      <c r="O28" s="14"/>
      <c r="P28" s="33"/>
      <c r="Q28" s="28"/>
      <c r="R28" s="29"/>
      <c r="S28" s="14"/>
      <c r="T28" s="33"/>
      <c r="U28" s="28"/>
      <c r="V28" s="30"/>
      <c r="W28" s="16"/>
    </row>
    <row r="29" spans="2:23" x14ac:dyDescent="0.25">
      <c r="B29" s="8"/>
      <c r="C29" s="54" t="s">
        <v>87</v>
      </c>
      <c r="D29" s="52" t="str">
        <f ca="1"/>
        <v>OIS:USDOIS:USDDF:USDDF_USDCSA:USDDF_NOCSA</v>
      </c>
      <c r="E29" s="11" t="s">
        <v>6</v>
      </c>
      <c r="F29" s="33"/>
      <c r="G29" s="28"/>
      <c r="H29" s="34"/>
      <c r="I29" s="24"/>
      <c r="J29" s="24"/>
      <c r="K29" s="25"/>
      <c r="L29" s="14"/>
      <c r="M29" s="26"/>
      <c r="N29" s="27"/>
      <c r="O29" s="14"/>
      <c r="P29" s="33"/>
      <c r="Q29" s="28"/>
      <c r="R29" s="29"/>
      <c r="S29" s="14"/>
      <c r="T29" s="33"/>
      <c r="U29" s="28"/>
      <c r="V29" s="30"/>
      <c r="W29" s="16"/>
    </row>
    <row r="30" spans="2:23" x14ac:dyDescent="0.25">
      <c r="B30" s="8"/>
      <c r="C30" s="55" t="s">
        <v>88</v>
      </c>
      <c r="D30" s="53" t="str">
        <f ca="1"/>
        <v>0.01400 sec</v>
      </c>
      <c r="E30" s="11" t="s">
        <v>6</v>
      </c>
      <c r="F30" s="56"/>
      <c r="G30" s="57"/>
      <c r="H30" s="58"/>
      <c r="I30" s="59"/>
      <c r="J30" s="59"/>
      <c r="K30" s="60"/>
      <c r="L30" s="14"/>
      <c r="M30" s="61"/>
      <c r="N30" s="62"/>
      <c r="O30" s="14"/>
      <c r="P30" s="56"/>
      <c r="Q30" s="57"/>
      <c r="R30" s="63"/>
      <c r="S30" s="14"/>
      <c r="T30" s="56"/>
      <c r="U30" s="57"/>
      <c r="V30" s="64"/>
      <c r="W30" s="16"/>
    </row>
    <row r="31" spans="2:23" x14ac:dyDescent="0.25">
      <c r="B31" s="8"/>
      <c r="C31" s="65" t="s">
        <v>89</v>
      </c>
      <c r="D31" s="66" t="b">
        <f ca="1">LEFT(D27,3)=LEFT(D20,3)</f>
        <v>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6"/>
    </row>
    <row r="32" spans="2:23" x14ac:dyDescent="0.25">
      <c r="B32" s="8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6"/>
    </row>
    <row r="33" spans="2:23" x14ac:dyDescent="0.25">
      <c r="B33" s="8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6"/>
    </row>
    <row r="34" spans="2:23" x14ac:dyDescent="0.25">
      <c r="B34" s="8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6"/>
    </row>
    <row r="35" spans="2:23" x14ac:dyDescent="0.25">
      <c r="B35" s="8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6"/>
    </row>
    <row r="36" spans="2:23" x14ac:dyDescent="0.25">
      <c r="B36" s="8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6"/>
    </row>
    <row r="37" spans="2:23" x14ac:dyDescent="0.25">
      <c r="B37" s="8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6"/>
    </row>
    <row r="38" spans="2:23" x14ac:dyDescent="0.25">
      <c r="B38" s="8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6"/>
    </row>
    <row r="39" spans="2:23" x14ac:dyDescent="0.25">
      <c r="B39" s="8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6"/>
    </row>
    <row r="40" spans="2:23" x14ac:dyDescent="0.25">
      <c r="B40" s="8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6"/>
    </row>
    <row r="41" spans="2:23" x14ac:dyDescent="0.25">
      <c r="B41" s="8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6"/>
    </row>
    <row r="42" spans="2:23" x14ac:dyDescent="0.25">
      <c r="B42" s="8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6"/>
    </row>
    <row r="43" spans="2:23" x14ac:dyDescent="0.25">
      <c r="B43" s="8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6"/>
    </row>
    <row r="44" spans="2:23" x14ac:dyDescent="0.25">
      <c r="B44" s="8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6"/>
    </row>
    <row r="45" spans="2:23" x14ac:dyDescent="0.25">
      <c r="B45" s="8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6"/>
    </row>
    <row r="46" spans="2:23" x14ac:dyDescent="0.25">
      <c r="B46" s="8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6"/>
    </row>
    <row r="47" spans="2:23" x14ac:dyDescent="0.25">
      <c r="B47" s="8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6"/>
    </row>
    <row r="48" spans="2:23" x14ac:dyDescent="0.25">
      <c r="B48" s="8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6"/>
    </row>
    <row r="49" spans="2:23" x14ac:dyDescent="0.25">
      <c r="B49" s="8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6"/>
    </row>
    <row r="50" spans="2:23" x14ac:dyDescent="0.25">
      <c r="B50" s="8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6"/>
    </row>
    <row r="51" spans="2:23" x14ac:dyDescent="0.25">
      <c r="B51" s="8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6"/>
    </row>
    <row r="52" spans="2:23" x14ac:dyDescent="0.25">
      <c r="B52" s="8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6"/>
    </row>
    <row r="53" spans="2:23" x14ac:dyDescent="0.25">
      <c r="B53" s="8"/>
      <c r="C53" s="42"/>
      <c r="D53" s="10"/>
      <c r="E53" s="11"/>
      <c r="F53" s="11"/>
      <c r="G53" s="11"/>
      <c r="H53" s="11"/>
      <c r="I53" s="11"/>
      <c r="J53" s="11"/>
      <c r="K53" s="11"/>
      <c r="L53" s="14"/>
      <c r="M53" s="11"/>
      <c r="N53" s="11"/>
      <c r="O53" s="14"/>
      <c r="P53" s="14"/>
      <c r="Q53" s="11"/>
      <c r="R53" s="11"/>
      <c r="S53" s="14"/>
      <c r="T53" s="14"/>
      <c r="U53" s="11"/>
      <c r="V53" s="11"/>
      <c r="W53" s="16"/>
    </row>
    <row r="54" spans="2:23" x14ac:dyDescent="0.25">
      <c r="B54" s="8"/>
      <c r="C54" s="42"/>
      <c r="D54" s="10"/>
      <c r="E54" s="11"/>
      <c r="F54" s="11"/>
      <c r="G54" s="11"/>
      <c r="H54" s="11"/>
      <c r="I54" s="11"/>
      <c r="J54" s="11"/>
      <c r="K54" s="11"/>
      <c r="L54" s="14"/>
      <c r="M54" s="11"/>
      <c r="N54" s="11"/>
      <c r="O54" s="14"/>
      <c r="P54" s="14"/>
      <c r="Q54" s="11"/>
      <c r="R54" s="11"/>
      <c r="S54" s="14"/>
      <c r="T54" s="14"/>
      <c r="U54" s="11"/>
      <c r="V54" s="11"/>
      <c r="W54" s="16"/>
    </row>
    <row r="55" spans="2:23" x14ac:dyDescent="0.25">
      <c r="B55" s="8"/>
      <c r="C55" s="42"/>
      <c r="D55" s="10"/>
      <c r="E55" s="11"/>
      <c r="F55" s="11"/>
      <c r="G55" s="11"/>
      <c r="H55" s="11"/>
      <c r="I55" s="11"/>
      <c r="J55" s="11"/>
      <c r="K55" s="11"/>
      <c r="L55" s="14"/>
      <c r="M55" s="11"/>
      <c r="N55" s="11"/>
      <c r="O55" s="14"/>
      <c r="P55" s="14"/>
      <c r="Q55" s="11"/>
      <c r="R55" s="11"/>
      <c r="S55" s="14"/>
      <c r="T55" s="14"/>
      <c r="U55" s="11"/>
      <c r="V55" s="11"/>
      <c r="W55" s="16"/>
    </row>
    <row r="56" spans="2:23" x14ac:dyDescent="0.25">
      <c r="B56" s="8"/>
      <c r="C56" s="42"/>
      <c r="D56" s="10"/>
      <c r="E56" s="11"/>
      <c r="F56" s="11"/>
      <c r="G56" s="11"/>
      <c r="H56" s="11"/>
      <c r="I56" s="11"/>
      <c r="J56" s="11"/>
      <c r="K56" s="11"/>
      <c r="L56" s="14"/>
      <c r="M56" s="11"/>
      <c r="N56" s="11"/>
      <c r="O56" s="14"/>
      <c r="P56" s="14"/>
      <c r="Q56" s="11"/>
      <c r="R56" s="11"/>
      <c r="S56" s="14"/>
      <c r="T56" s="14"/>
      <c r="U56" s="11"/>
      <c r="V56" s="11"/>
      <c r="W56" s="16"/>
    </row>
    <row r="57" spans="2:23" x14ac:dyDescent="0.25">
      <c r="B57" s="8"/>
      <c r="C57" s="42"/>
      <c r="D57" s="10"/>
      <c r="E57" s="11"/>
      <c r="F57" s="11"/>
      <c r="G57" s="11"/>
      <c r="H57" s="11"/>
      <c r="I57" s="11"/>
      <c r="J57" s="11"/>
      <c r="K57" s="11"/>
      <c r="L57" s="14"/>
      <c r="M57" s="11"/>
      <c r="N57" s="11"/>
      <c r="O57" s="14"/>
      <c r="P57" s="14"/>
      <c r="Q57" s="11"/>
      <c r="R57" s="11"/>
      <c r="S57" s="14"/>
      <c r="T57" s="14"/>
      <c r="U57" s="11"/>
      <c r="V57" s="11"/>
      <c r="W57" s="16"/>
    </row>
    <row r="58" spans="2:23" x14ac:dyDescent="0.25">
      <c r="B58" s="8"/>
      <c r="C58" s="42"/>
      <c r="D58" s="10"/>
      <c r="E58" s="11"/>
      <c r="F58" s="11"/>
      <c r="G58" s="11"/>
      <c r="H58" s="11"/>
      <c r="I58" s="11"/>
      <c r="J58" s="11"/>
      <c r="K58" s="11"/>
      <c r="L58" s="14"/>
      <c r="M58" s="11"/>
      <c r="N58" s="11"/>
      <c r="O58" s="14"/>
      <c r="P58" s="14"/>
      <c r="Q58" s="11"/>
      <c r="R58" s="11"/>
      <c r="S58" s="14"/>
      <c r="T58" s="14"/>
      <c r="U58" s="11"/>
      <c r="V58" s="11"/>
      <c r="W58" s="16"/>
    </row>
    <row r="59" spans="2:23" x14ac:dyDescent="0.25">
      <c r="B59" s="8"/>
      <c r="C59" s="42"/>
      <c r="D59" s="10"/>
      <c r="E59" s="11"/>
      <c r="F59" s="11"/>
      <c r="G59" s="11"/>
      <c r="H59" s="11"/>
      <c r="I59" s="11"/>
      <c r="J59" s="11"/>
      <c r="K59" s="11"/>
      <c r="L59" s="14"/>
      <c r="M59" s="11"/>
      <c r="N59" s="11"/>
      <c r="O59" s="14"/>
      <c r="P59" s="14"/>
      <c r="Q59" s="11"/>
      <c r="R59" s="11"/>
      <c r="S59" s="14"/>
      <c r="T59" s="14"/>
      <c r="U59" s="11"/>
      <c r="V59" s="11"/>
      <c r="W59" s="16"/>
    </row>
    <row r="60" spans="2:23" x14ac:dyDescent="0.25">
      <c r="B60" s="8"/>
      <c r="C60" s="42"/>
      <c r="D60" s="10"/>
      <c r="E60" s="11"/>
      <c r="F60" s="11"/>
      <c r="G60" s="11"/>
      <c r="H60" s="11"/>
      <c r="I60" s="11"/>
      <c r="J60" s="11"/>
      <c r="K60" s="11"/>
      <c r="L60" s="14"/>
      <c r="M60" s="11"/>
      <c r="N60" s="11"/>
      <c r="O60" s="14"/>
      <c r="P60" s="14"/>
      <c r="Q60" s="11"/>
      <c r="R60" s="11"/>
      <c r="S60" s="14"/>
      <c r="T60" s="14"/>
      <c r="U60" s="11"/>
      <c r="V60" s="11"/>
      <c r="W60" s="16"/>
    </row>
    <row r="61" spans="2:23" x14ac:dyDescent="0.25">
      <c r="B61" s="8"/>
      <c r="C61" s="42"/>
      <c r="D61" s="10"/>
      <c r="E61" s="11"/>
      <c r="F61" s="11"/>
      <c r="G61" s="11"/>
      <c r="H61" s="11"/>
      <c r="I61" s="11"/>
      <c r="J61" s="11"/>
      <c r="K61" s="11"/>
      <c r="L61" s="14"/>
      <c r="M61" s="11"/>
      <c r="N61" s="11"/>
      <c r="O61" s="14"/>
      <c r="P61" s="14"/>
      <c r="Q61" s="11"/>
      <c r="R61" s="11"/>
      <c r="S61" s="14"/>
      <c r="T61" s="14"/>
      <c r="U61" s="11"/>
      <c r="V61" s="11"/>
      <c r="W61" s="16"/>
    </row>
    <row r="62" spans="2:23" x14ac:dyDescent="0.25">
      <c r="B62" s="8"/>
      <c r="C62" s="42"/>
      <c r="D62" s="10"/>
      <c r="E62" s="11"/>
      <c r="F62" s="11"/>
      <c r="G62" s="11"/>
      <c r="H62" s="11"/>
      <c r="I62" s="11"/>
      <c r="J62" s="11"/>
      <c r="K62" s="11"/>
      <c r="L62" s="14"/>
      <c r="M62" s="11"/>
      <c r="N62" s="11"/>
      <c r="O62" s="14"/>
      <c r="P62" s="14"/>
      <c r="Q62" s="11"/>
      <c r="R62" s="11"/>
      <c r="S62" s="14"/>
      <c r="T62" s="14"/>
      <c r="U62" s="11"/>
      <c r="V62" s="11"/>
      <c r="W62" s="16"/>
    </row>
    <row r="63" spans="2:23" x14ac:dyDescent="0.25">
      <c r="B63" s="8"/>
      <c r="C63" s="42"/>
      <c r="D63" s="10"/>
      <c r="E63" s="11"/>
      <c r="F63" s="11"/>
      <c r="G63" s="11"/>
      <c r="H63" s="11"/>
      <c r="I63" s="11"/>
      <c r="J63" s="11"/>
      <c r="K63" s="11"/>
      <c r="L63" s="14"/>
      <c r="M63" s="11"/>
      <c r="N63" s="11"/>
      <c r="O63" s="14"/>
      <c r="P63" s="14"/>
      <c r="Q63" s="11"/>
      <c r="R63" s="11"/>
      <c r="S63" s="14"/>
      <c r="T63" s="14"/>
      <c r="U63" s="11"/>
      <c r="V63" s="11"/>
      <c r="W63" s="16"/>
    </row>
    <row r="64" spans="2:23" x14ac:dyDescent="0.25">
      <c r="B64" s="8"/>
      <c r="C64" s="42"/>
      <c r="D64" s="10"/>
      <c r="E64" s="11"/>
      <c r="F64" s="11"/>
      <c r="G64" s="11"/>
      <c r="H64" s="11"/>
      <c r="I64" s="11"/>
      <c r="J64" s="11"/>
      <c r="K64" s="11"/>
      <c r="L64" s="14"/>
      <c r="M64" s="11"/>
      <c r="N64" s="11"/>
      <c r="O64" s="14"/>
      <c r="P64" s="14"/>
      <c r="Q64" s="11"/>
      <c r="R64" s="11"/>
      <c r="S64" s="14"/>
      <c r="T64" s="14"/>
      <c r="U64" s="11"/>
      <c r="V64" s="11"/>
      <c r="W64" s="16"/>
    </row>
    <row r="65" spans="2:23" x14ac:dyDescent="0.25">
      <c r="B65" s="8"/>
      <c r="C65" s="42"/>
      <c r="D65" s="10"/>
      <c r="E65" s="11"/>
      <c r="F65" s="11"/>
      <c r="G65" s="11"/>
      <c r="H65" s="11"/>
      <c r="I65" s="11"/>
      <c r="J65" s="11"/>
      <c r="K65" s="11"/>
      <c r="L65" s="14"/>
      <c r="M65" s="11"/>
      <c r="N65" s="11"/>
      <c r="O65" s="14"/>
      <c r="P65" s="14"/>
      <c r="Q65" s="11"/>
      <c r="R65" s="11"/>
      <c r="S65" s="14"/>
      <c r="T65" s="14"/>
      <c r="U65" s="11"/>
      <c r="V65" s="11"/>
      <c r="W65" s="16"/>
    </row>
    <row r="66" spans="2:23" x14ac:dyDescent="0.25">
      <c r="B66" s="8"/>
      <c r="C66" s="42"/>
      <c r="D66" s="10"/>
      <c r="E66" s="11"/>
      <c r="F66" s="11"/>
      <c r="G66" s="11"/>
      <c r="H66" s="11"/>
      <c r="I66" s="11"/>
      <c r="J66" s="11"/>
      <c r="K66" s="11"/>
      <c r="L66" s="14"/>
      <c r="M66" s="11"/>
      <c r="N66" s="11"/>
      <c r="O66" s="14"/>
      <c r="P66" s="14"/>
      <c r="Q66" s="11"/>
      <c r="R66" s="11"/>
      <c r="S66" s="14"/>
      <c r="T66" s="14"/>
      <c r="U66" s="11"/>
      <c r="V66" s="11"/>
      <c r="W66" s="16"/>
    </row>
    <row r="67" spans="2:23" x14ac:dyDescent="0.25">
      <c r="B67" s="8"/>
      <c r="C67" s="42"/>
      <c r="D67" s="10"/>
      <c r="E67" s="11"/>
      <c r="F67" s="11"/>
      <c r="G67" s="11"/>
      <c r="H67" s="11"/>
      <c r="I67" s="11"/>
      <c r="J67" s="11"/>
      <c r="K67" s="11"/>
      <c r="L67" s="14"/>
      <c r="M67" s="11"/>
      <c r="N67" s="11"/>
      <c r="O67" s="14"/>
      <c r="P67" s="14"/>
      <c r="Q67" s="11"/>
      <c r="R67" s="11"/>
      <c r="S67" s="14"/>
      <c r="T67" s="14"/>
      <c r="U67" s="11"/>
      <c r="V67" s="11"/>
      <c r="W67" s="16"/>
    </row>
    <row r="68" spans="2:23" x14ac:dyDescent="0.25">
      <c r="B68" s="8"/>
      <c r="C68" s="42"/>
      <c r="D68" s="10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6"/>
    </row>
    <row r="69" spans="2:23" x14ac:dyDescent="0.25">
      <c r="B69" s="8"/>
      <c r="C69" s="42"/>
      <c r="D69" s="10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6"/>
    </row>
    <row r="70" spans="2:23" x14ac:dyDescent="0.25">
      <c r="B70" s="8"/>
      <c r="C70" s="42"/>
      <c r="D70" s="10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6"/>
    </row>
    <row r="71" spans="2:23" x14ac:dyDescent="0.25">
      <c r="B71" s="8"/>
      <c r="C71" s="42"/>
      <c r="D71" s="10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6"/>
    </row>
    <row r="72" spans="2:23" x14ac:dyDescent="0.25">
      <c r="B72" s="8"/>
      <c r="C72" s="42"/>
      <c r="D72" s="10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6"/>
    </row>
    <row r="73" spans="2:23" x14ac:dyDescent="0.25">
      <c r="B73" s="8"/>
      <c r="C73" s="42"/>
      <c r="D73" s="10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6"/>
    </row>
    <row r="74" spans="2:23" x14ac:dyDescent="0.25">
      <c r="B74" s="8"/>
      <c r="C74" s="42"/>
      <c r="D74" s="10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6"/>
    </row>
    <row r="75" spans="2:23" x14ac:dyDescent="0.25">
      <c r="B75" s="8"/>
      <c r="C75" s="42"/>
      <c r="D75" s="10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6"/>
    </row>
    <row r="76" spans="2:23" x14ac:dyDescent="0.25">
      <c r="B76" s="8"/>
      <c r="C76" s="42"/>
      <c r="D76" s="10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6"/>
    </row>
    <row r="77" spans="2:23" x14ac:dyDescent="0.25">
      <c r="B77" s="8"/>
      <c r="C77" s="42"/>
      <c r="D77" s="10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6"/>
    </row>
    <row r="78" spans="2:23" x14ac:dyDescent="0.25">
      <c r="B78" s="8"/>
      <c r="C78" s="42"/>
      <c r="D78" s="10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6"/>
    </row>
    <row r="79" spans="2:23" x14ac:dyDescent="0.25">
      <c r="B79" s="8"/>
      <c r="C79" s="42"/>
      <c r="D79" s="10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6"/>
    </row>
    <row r="80" spans="2:23" x14ac:dyDescent="0.25">
      <c r="B80" s="8"/>
      <c r="C80" s="42"/>
      <c r="D80" s="10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6"/>
    </row>
    <row r="81" spans="2:23" x14ac:dyDescent="0.25">
      <c r="B81" s="8"/>
      <c r="C81" s="42"/>
      <c r="D81" s="10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6"/>
    </row>
    <row r="82" spans="2:23" x14ac:dyDescent="0.25">
      <c r="B82" s="8"/>
      <c r="C82" s="42"/>
      <c r="D82" s="10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6"/>
    </row>
    <row r="83" spans="2:23" x14ac:dyDescent="0.25">
      <c r="B83" s="8"/>
      <c r="C83" s="42"/>
      <c r="D83" s="10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6"/>
    </row>
    <row r="84" spans="2:23" x14ac:dyDescent="0.25">
      <c r="B84" s="8"/>
      <c r="C84" s="42"/>
      <c r="D84" s="10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6"/>
    </row>
    <row r="85" spans="2:23" x14ac:dyDescent="0.25">
      <c r="B85" s="8"/>
      <c r="C85" s="42"/>
      <c r="D85" s="10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6"/>
    </row>
    <row r="86" spans="2:23" x14ac:dyDescent="0.25">
      <c r="B86" s="67"/>
      <c r="C86" s="68"/>
      <c r="D86" s="68"/>
      <c r="E86" s="68"/>
      <c r="F86" s="68"/>
      <c r="G86" s="68"/>
      <c r="H86" s="68"/>
      <c r="I86" s="68"/>
      <c r="J86" s="68"/>
      <c r="K86" s="68"/>
      <c r="L86" s="68"/>
      <c r="M86" s="68"/>
      <c r="N86" s="68"/>
      <c r="O86" s="68"/>
      <c r="P86" s="68"/>
      <c r="Q86" s="68"/>
      <c r="R86" s="68"/>
      <c r="S86" s="68"/>
      <c r="T86" s="68"/>
      <c r="U86" s="68"/>
      <c r="V86" s="68"/>
      <c r="W86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X108"/>
  <sheetViews>
    <sheetView showGridLines="0" workbookViewId="0"/>
  </sheetViews>
  <sheetFormatPr defaultRowHeight="15" x14ac:dyDescent="0.25"/>
  <cols>
    <col min="1" max="2" width="4.7109375" customWidth="1"/>
    <col min="3" max="3" width="25.28515625" bestFit="1" customWidth="1"/>
    <col min="4" max="4" width="41.7109375" bestFit="1" customWidth="1"/>
    <col min="5" max="5" width="4.7109375" customWidth="1"/>
    <col min="6" max="6" width="14.5703125" bestFit="1" customWidth="1"/>
    <col min="9" max="9" width="4.7109375" hidden="1" customWidth="1"/>
    <col min="10" max="11" width="9.140625" hidden="1" customWidth="1"/>
    <col min="12" max="12" width="4.7109375" customWidth="1"/>
    <col min="13" max="13" width="13.28515625" customWidth="1"/>
    <col min="15" max="15" width="13.42578125" customWidth="1"/>
    <col min="16" max="16" width="11.140625" customWidth="1"/>
    <col min="19" max="19" width="4.7109375" customWidth="1"/>
    <col min="20" max="20" width="23.28515625" bestFit="1" customWidth="1"/>
    <col min="24" max="24" width="4.7109375" customWidth="1"/>
  </cols>
  <sheetData>
    <row r="2" spans="2:24" x14ac:dyDescent="0.25"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1"/>
      <c r="N2" s="71"/>
      <c r="O2" s="71"/>
      <c r="P2" s="71"/>
      <c r="Q2" s="71"/>
      <c r="R2" s="71"/>
      <c r="S2" s="71"/>
      <c r="T2" s="71"/>
      <c r="U2" s="71"/>
      <c r="V2" s="71"/>
      <c r="W2" s="71"/>
      <c r="X2" s="72"/>
    </row>
    <row r="3" spans="2:24" x14ac:dyDescent="0.25">
      <c r="B3" s="73"/>
      <c r="C3" s="12" t="s">
        <v>1</v>
      </c>
      <c r="D3" s="14"/>
      <c r="E3" s="11"/>
      <c r="F3" s="12" t="s">
        <v>90</v>
      </c>
      <c r="G3" s="10"/>
      <c r="H3" s="13" t="s">
        <v>3</v>
      </c>
      <c r="I3" s="11"/>
      <c r="J3" s="12" t="s">
        <v>91</v>
      </c>
      <c r="K3" s="14"/>
      <c r="L3" s="11"/>
      <c r="M3" s="12" t="s">
        <v>93</v>
      </c>
      <c r="N3" s="15" t="s">
        <v>92</v>
      </c>
      <c r="O3" s="15" t="s">
        <v>94</v>
      </c>
      <c r="P3" s="15" t="s">
        <v>95</v>
      </c>
      <c r="Q3" s="13" t="s">
        <v>3</v>
      </c>
      <c r="R3" s="14"/>
      <c r="S3" s="11"/>
      <c r="T3" s="12" t="s">
        <v>7</v>
      </c>
      <c r="U3" s="12"/>
      <c r="V3" s="13" t="s">
        <v>3</v>
      </c>
      <c r="W3" s="11"/>
      <c r="X3" s="74"/>
    </row>
    <row r="4" spans="2:24" x14ac:dyDescent="0.25">
      <c r="B4" s="73"/>
      <c r="C4" s="75" t="s">
        <v>15</v>
      </c>
      <c r="D4" s="76" t="s">
        <v>16</v>
      </c>
      <c r="E4" s="11" t="s">
        <v>6</v>
      </c>
      <c r="F4" s="11" t="s">
        <v>96</v>
      </c>
      <c r="G4" s="10" t="s">
        <v>9</v>
      </c>
      <c r="H4" s="10" t="s">
        <v>10</v>
      </c>
      <c r="I4" s="42"/>
      <c r="J4" s="10" t="s">
        <v>9</v>
      </c>
      <c r="K4" s="10" t="s">
        <v>10</v>
      </c>
      <c r="L4" s="42"/>
      <c r="M4" s="42" t="s">
        <v>96</v>
      </c>
      <c r="N4" s="77" t="s">
        <v>9</v>
      </c>
      <c r="O4" s="77" t="s">
        <v>11</v>
      </c>
      <c r="P4" s="77" t="s">
        <v>12</v>
      </c>
      <c r="Q4" s="77" t="s">
        <v>10</v>
      </c>
      <c r="R4" s="77" t="s">
        <v>97</v>
      </c>
      <c r="S4" s="42"/>
      <c r="T4" s="42" t="s">
        <v>96</v>
      </c>
      <c r="U4" s="78" t="s">
        <v>9</v>
      </c>
      <c r="V4" s="10" t="s">
        <v>10</v>
      </c>
      <c r="W4" s="10" t="s">
        <v>13</v>
      </c>
      <c r="X4" s="74"/>
    </row>
    <row r="5" spans="2:24" x14ac:dyDescent="0.25">
      <c r="B5" s="73"/>
      <c r="C5" s="79" t="s">
        <v>22</v>
      </c>
      <c r="D5" s="80" t="s">
        <v>98</v>
      </c>
      <c r="E5" s="11" t="s">
        <v>6</v>
      </c>
      <c r="F5" s="81" t="s">
        <v>99</v>
      </c>
      <c r="G5" s="21" t="s">
        <v>53</v>
      </c>
      <c r="H5" s="82">
        <f ca="1">IF(COB=TODAY(),IF(ISNUMBER(_xll.BDP($F$5,$H$3)),_xll.BDP($F$5,$H$3)%,"#WAIT"),IF(ISNUMBER(_xll.BDH($F$5,$H$3,COB-3,COB-3)),_xll.BDH($F$5,$H$3,COB-3,COB-3)%,"#WAIT"))</f>
        <v>2.5863800000000003E-2</v>
      </c>
      <c r="I5" s="11"/>
      <c r="J5" s="83"/>
      <c r="K5" s="84"/>
      <c r="L5" s="11"/>
      <c r="M5" s="81" t="s">
        <v>100</v>
      </c>
      <c r="N5" s="85" t="s">
        <v>223</v>
      </c>
      <c r="O5" s="86">
        <f>DATEVALUE(_xll.BDP($M5,O$3))</f>
        <v>43635</v>
      </c>
      <c r="P5" s="86">
        <f>DATEVALUE(_xll.BDP($M5,P$3))</f>
        <v>43726</v>
      </c>
      <c r="Q5" s="87">
        <f ca="1">IF(ISNUMBER(_xll.BDH($M5,$Q$3,COB,COB)),_xll.BDH($M5,$Q$3,COB,COB),"#WAIT")</f>
        <v>97.444999999999993</v>
      </c>
      <c r="R5" s="88">
        <v>8.0000000000000002E-3</v>
      </c>
      <c r="S5" s="11"/>
      <c r="T5" s="81" t="s">
        <v>101</v>
      </c>
      <c r="U5" s="83" t="s">
        <v>102</v>
      </c>
      <c r="V5" s="89">
        <f t="array" aca="1" ref="V5" ca="1">IF(ISNUMBER(_xll.BDH($T5,$V$3,COB,COB)),_xll.BDH($T5,$V$3,COB,COB)%,"#WAIT")</f>
        <v>2.3456999999999999E-2</v>
      </c>
      <c r="W5" s="90" t="b">
        <v>1</v>
      </c>
      <c r="X5" s="74"/>
    </row>
    <row r="6" spans="2:24" x14ac:dyDescent="0.25">
      <c r="B6" s="73"/>
      <c r="C6" s="79" t="s">
        <v>28</v>
      </c>
      <c r="D6" s="80" t="s">
        <v>103</v>
      </c>
      <c r="E6" s="11" t="s">
        <v>6</v>
      </c>
      <c r="F6" s="91"/>
      <c r="G6" s="28"/>
      <c r="H6" s="29"/>
      <c r="I6" s="11"/>
      <c r="J6" s="85"/>
      <c r="K6" s="92"/>
      <c r="L6" s="11"/>
      <c r="M6" s="91" t="s">
        <v>104</v>
      </c>
      <c r="N6" s="85" t="s">
        <v>224</v>
      </c>
      <c r="O6" s="86">
        <f>DATEVALUE(_xll.BDP($M6,O$3))</f>
        <v>43726</v>
      </c>
      <c r="P6" s="86">
        <f>DATEVALUE(_xll.BDP($M6,P$3))</f>
        <v>43817</v>
      </c>
      <c r="Q6" s="87">
        <f ca="1">IF(ISNUMBER(_xll.BDH($M6,$Q$3,COB,COB)),_xll.BDH($M6,$Q$3,COB,COB),"#WAIT")</f>
        <v>97.515000000000001</v>
      </c>
      <c r="R6" s="88">
        <v>8.0000000000000002E-3</v>
      </c>
      <c r="S6" s="11"/>
      <c r="T6" s="91" t="s">
        <v>21</v>
      </c>
      <c r="U6" s="85" t="s">
        <v>20</v>
      </c>
      <c r="V6" s="93">
        <f ca="1">IF(ISNUMBER(_xll.BDH($T6,$V$3,COB,COB)),_xll.BDH($T6,$V$3,COB,COB)%,"#WAIT")</f>
        <v>2.3296999999999998E-2</v>
      </c>
      <c r="W6" s="94" t="b">
        <v>1</v>
      </c>
      <c r="X6" s="74"/>
    </row>
    <row r="7" spans="2:24" x14ac:dyDescent="0.25">
      <c r="B7" s="73"/>
      <c r="C7" s="79" t="s">
        <v>35</v>
      </c>
      <c r="D7" s="95">
        <f ca="1">COB</f>
        <v>43579</v>
      </c>
      <c r="E7" s="11" t="s">
        <v>6</v>
      </c>
      <c r="F7" s="91"/>
      <c r="G7" s="28"/>
      <c r="H7" s="29"/>
      <c r="I7" s="11"/>
      <c r="J7" s="85"/>
      <c r="K7" s="92"/>
      <c r="L7" s="11"/>
      <c r="M7" s="91" t="s">
        <v>105</v>
      </c>
      <c r="N7" s="85" t="s">
        <v>225</v>
      </c>
      <c r="O7" s="86">
        <f>DATEVALUE(_xll.BDP($M7,O$3))</f>
        <v>43817</v>
      </c>
      <c r="P7" s="86">
        <f>DATEVALUE(_xll.BDP($M7,P$3))</f>
        <v>43908</v>
      </c>
      <c r="Q7" s="87">
        <f ca="1">IF(ISNUMBER(_xll.BDH($M7,$Q$3,COB,COB)),_xll.BDH($M7,$Q$3,COB,COB),"#WAIT")</f>
        <v>97.53</v>
      </c>
      <c r="R7" s="88">
        <v>8.0000000000000002E-3</v>
      </c>
      <c r="S7" s="11"/>
      <c r="T7" s="91" t="s">
        <v>27</v>
      </c>
      <c r="U7" s="85" t="s">
        <v>26</v>
      </c>
      <c r="V7" s="93">
        <f ca="1">IF(ISNUMBER(_xll.BDH($T7,$V$3,COB,COB)),_xll.BDH($T7,$V$3,COB,COB)%,"#WAIT")</f>
        <v>2.3425000000000001E-2</v>
      </c>
      <c r="W7" s="94" t="b">
        <v>1</v>
      </c>
      <c r="X7" s="74"/>
    </row>
    <row r="8" spans="2:24" x14ac:dyDescent="0.25">
      <c r="B8" s="73"/>
      <c r="C8" s="96"/>
      <c r="D8" s="97"/>
      <c r="E8" s="11" t="s">
        <v>6</v>
      </c>
      <c r="F8" s="91"/>
      <c r="G8" s="28"/>
      <c r="H8" s="29"/>
      <c r="I8" s="11"/>
      <c r="J8" s="85"/>
      <c r="K8" s="92"/>
      <c r="L8" s="11"/>
      <c r="M8" s="91" t="s">
        <v>106</v>
      </c>
      <c r="N8" s="85" t="s">
        <v>226</v>
      </c>
      <c r="O8" s="86">
        <f>DATEVALUE(_xll.BDP($M8,O$3))</f>
        <v>43908</v>
      </c>
      <c r="P8" s="86">
        <f>DATEVALUE(_xll.BDP($M8,P$3))</f>
        <v>43999</v>
      </c>
      <c r="Q8" s="87">
        <f ca="1">IF(ISNUMBER(_xll.BDH($M8,$Q$3,COB,COB)),_xll.BDH($M8,$Q$3,COB,COB),"#WAIT")</f>
        <v>97.635000000000005</v>
      </c>
      <c r="R8" s="88">
        <v>8.0000000000000002E-3</v>
      </c>
      <c r="S8" s="11"/>
      <c r="T8" s="91" t="s">
        <v>34</v>
      </c>
      <c r="U8" s="85" t="s">
        <v>33</v>
      </c>
      <c r="V8" s="93">
        <f ca="1">IF(ISNUMBER(_xll.BDH($T8,$V$3,COB,COB)),_xll.BDH($T8,$V$3,COB,COB)%,"#WAIT")</f>
        <v>2.4013999999999997E-2</v>
      </c>
      <c r="W8" s="94" t="b">
        <v>1</v>
      </c>
      <c r="X8" s="74"/>
    </row>
    <row r="9" spans="2:24" x14ac:dyDescent="0.25">
      <c r="B9" s="73"/>
      <c r="C9" s="40"/>
      <c r="D9" s="98"/>
      <c r="E9" s="11" t="s">
        <v>6</v>
      </c>
      <c r="F9" s="99"/>
      <c r="G9" s="100"/>
      <c r="H9" s="64"/>
      <c r="I9" s="11"/>
      <c r="J9" s="85"/>
      <c r="K9" s="92"/>
      <c r="L9" s="11"/>
      <c r="M9" s="91" t="s">
        <v>107</v>
      </c>
      <c r="N9" s="85" t="s">
        <v>227</v>
      </c>
      <c r="O9" s="86">
        <f>DATEVALUE(_xll.BDP($M9,O$3))</f>
        <v>43999</v>
      </c>
      <c r="P9" s="86">
        <f>DATEVALUE(_xll.BDP($M9,P$3))</f>
        <v>44090</v>
      </c>
      <c r="Q9" s="87">
        <f ca="1">IF(ISNUMBER(_xll.BDH($M9,$Q$3,COB,COB)),_xll.BDH($M9,$Q$3,COB,COB),"#WAIT")</f>
        <v>97.72</v>
      </c>
      <c r="R9" s="88">
        <v>8.0000000000000002E-3</v>
      </c>
      <c r="S9" s="11"/>
      <c r="T9" s="91" t="s">
        <v>108</v>
      </c>
      <c r="U9" s="85" t="s">
        <v>109</v>
      </c>
      <c r="V9" s="93">
        <f ca="1">IF(ISNUMBER(_xll.BDH($T9,$V$3,COB,COB)),_xll.BDH($T9,$V$3,COB,COB)%,"#WAIT")</f>
        <v>2.436E-2</v>
      </c>
      <c r="W9" s="94" t="b">
        <v>1</v>
      </c>
      <c r="X9" s="74"/>
    </row>
    <row r="10" spans="2:24" x14ac:dyDescent="0.25">
      <c r="B10" s="73"/>
      <c r="C10" s="11"/>
      <c r="D10" s="11"/>
      <c r="E10" s="11" t="s">
        <v>6</v>
      </c>
      <c r="F10" s="11"/>
      <c r="G10" s="11"/>
      <c r="H10" s="11"/>
      <c r="I10" s="11"/>
      <c r="J10" s="85"/>
      <c r="K10" s="92"/>
      <c r="L10" s="11"/>
      <c r="M10" s="91" t="s">
        <v>110</v>
      </c>
      <c r="N10" s="85" t="s">
        <v>228</v>
      </c>
      <c r="O10" s="86">
        <f>DATEVALUE(_xll.BDP($M10,O$3))</f>
        <v>44090</v>
      </c>
      <c r="P10" s="86">
        <f>DATEVALUE(_xll.BDP($M10,P$3))</f>
        <v>44181</v>
      </c>
      <c r="Q10" s="87">
        <f ca="1">IF(ISNUMBER(_xll.BDH($M10,$Q$3,COB,COB)),_xll.BDH($M10,$Q$3,COB,COB),"#WAIT")</f>
        <v>97.784999999999997</v>
      </c>
      <c r="R10" s="88">
        <v>8.0000000000000002E-3</v>
      </c>
      <c r="S10" s="11"/>
      <c r="T10" s="91" t="s">
        <v>111</v>
      </c>
      <c r="U10" s="85" t="s">
        <v>112</v>
      </c>
      <c r="V10" s="93">
        <f ca="1">IF(ISNUMBER(_xll.BDH($T10,$V$3,COB,COB)),_xll.BDH($T10,$V$3,COB,COB)%,"#WAIT")</f>
        <v>2.4702999999999999E-2</v>
      </c>
      <c r="W10" s="94" t="b">
        <v>1</v>
      </c>
      <c r="X10" s="74"/>
    </row>
    <row r="11" spans="2:24" x14ac:dyDescent="0.25">
      <c r="B11" s="73"/>
      <c r="C11" s="37" t="s">
        <v>51</v>
      </c>
      <c r="D11" s="10"/>
      <c r="E11" s="11" t="s">
        <v>6</v>
      </c>
      <c r="F11" s="11"/>
      <c r="G11" s="11"/>
      <c r="H11" s="11"/>
      <c r="I11" s="11"/>
      <c r="J11" s="85"/>
      <c r="K11" s="92"/>
      <c r="L11" s="11"/>
      <c r="M11" s="91" t="s">
        <v>113</v>
      </c>
      <c r="N11" s="85" t="s">
        <v>229</v>
      </c>
      <c r="O11" s="86">
        <f>DATEVALUE(_xll.BDP($M11,O$3))</f>
        <v>44181</v>
      </c>
      <c r="P11" s="86">
        <f>DATEVALUE(_xll.BDP($M11,P$3))</f>
        <v>44272</v>
      </c>
      <c r="Q11" s="87">
        <f ca="1">IF(ISNUMBER(_xll.BDH($M11,$Q$3,COB,COB)),_xll.BDH($M11,$Q$3,COB,COB),"#WAIT")</f>
        <v>97.8</v>
      </c>
      <c r="R11" s="88">
        <v>8.0000000000000002E-3</v>
      </c>
      <c r="S11" s="11"/>
      <c r="T11" s="91" t="s">
        <v>40</v>
      </c>
      <c r="U11" s="85" t="s">
        <v>39</v>
      </c>
      <c r="V11" s="93">
        <f ca="1">IF(ISNUMBER(_xll.BDH($T11,$V$3,COB,COB)),_xll.BDH($T11,$V$3,COB,COB)%,"#WAIT")</f>
        <v>2.5041999999999998E-2</v>
      </c>
      <c r="W11" s="94" t="b">
        <v>1</v>
      </c>
      <c r="X11" s="74"/>
    </row>
    <row r="12" spans="2:24" x14ac:dyDescent="0.25">
      <c r="B12" s="73"/>
      <c r="C12" s="38" t="s">
        <v>57</v>
      </c>
      <c r="D12" s="39" t="s">
        <v>114</v>
      </c>
      <c r="E12" s="11" t="s">
        <v>6</v>
      </c>
      <c r="F12" s="11"/>
      <c r="G12" s="11"/>
      <c r="H12" s="11"/>
      <c r="I12" s="11"/>
      <c r="J12" s="85"/>
      <c r="K12" s="92"/>
      <c r="L12" s="11"/>
      <c r="M12" s="91" t="s">
        <v>115</v>
      </c>
      <c r="N12" s="85" t="s">
        <v>230</v>
      </c>
      <c r="O12" s="86">
        <f>DATEVALUE(_xll.BDP($M12,O$3))</f>
        <v>44272</v>
      </c>
      <c r="P12" s="86">
        <f>DATEVALUE(_xll.BDP($M12,P$3))</f>
        <v>44363</v>
      </c>
      <c r="Q12" s="87">
        <f ca="1">IF(ISNUMBER(_xll.BDH($M12,$Q$3,COB,COB)),_xll.BDH($M12,$Q$3,COB,COB),"#WAIT")</f>
        <v>97.825000000000003</v>
      </c>
      <c r="R12" s="88">
        <v>8.0000000000000002E-3</v>
      </c>
      <c r="S12" s="11"/>
      <c r="T12" s="91" t="s">
        <v>45</v>
      </c>
      <c r="U12" s="85" t="s">
        <v>44</v>
      </c>
      <c r="V12" s="93">
        <f ca="1">IF(ISNUMBER(_xll.BDH($T12,$V$3,COB,COB)),_xll.BDH($T12,$V$3,COB,COB)%,"#WAIT")</f>
        <v>2.5642000000000002E-2</v>
      </c>
      <c r="W12" s="94" t="b">
        <v>1</v>
      </c>
      <c r="X12" s="74"/>
    </row>
    <row r="13" spans="2:24" x14ac:dyDescent="0.25">
      <c r="B13" s="73"/>
      <c r="C13" s="40" t="s">
        <v>64</v>
      </c>
      <c r="D13" s="41" t="str">
        <f ca="1">_xll.meLWOCurveMarketDataCreate(D12,C3,C4:D9,F3,G5:H9,J3,J5:K30,M3,N5:R30,T3,U5:W30)</f>
        <v>USD_SWAP_3M_CURVE_MARKETDATA@3:4</v>
      </c>
      <c r="E13" s="11" t="s">
        <v>6</v>
      </c>
      <c r="F13" s="11"/>
      <c r="G13" s="11"/>
      <c r="H13" s="11"/>
      <c r="I13" s="11"/>
      <c r="J13" s="85"/>
      <c r="K13" s="92"/>
      <c r="L13" s="11"/>
      <c r="M13" s="91"/>
      <c r="N13" s="85"/>
      <c r="O13" s="86"/>
      <c r="P13" s="86"/>
      <c r="Q13" s="87"/>
      <c r="R13" s="88"/>
      <c r="S13" s="11"/>
      <c r="T13" s="91" t="s">
        <v>50</v>
      </c>
      <c r="U13" s="85" t="s">
        <v>49</v>
      </c>
      <c r="V13" s="93">
        <f ca="1">IF(ISNUMBER(_xll.BDH($T13,$V$3,COB,COB)),_xll.BDH($T13,$V$3,COB,COB)%,"#WAIT")</f>
        <v>2.6261999999999997E-2</v>
      </c>
      <c r="W13" s="94" t="b">
        <v>1</v>
      </c>
      <c r="X13" s="74"/>
    </row>
    <row r="14" spans="2:24" x14ac:dyDescent="0.25">
      <c r="B14" s="73"/>
      <c r="C14" s="11"/>
      <c r="D14" s="11"/>
      <c r="E14" s="11" t="s">
        <v>6</v>
      </c>
      <c r="F14" s="11"/>
      <c r="G14" s="11"/>
      <c r="H14" s="11"/>
      <c r="I14" s="11"/>
      <c r="J14" s="85"/>
      <c r="K14" s="92"/>
      <c r="L14" s="11"/>
      <c r="M14" s="91"/>
      <c r="N14" s="85"/>
      <c r="O14" s="86"/>
      <c r="P14" s="86"/>
      <c r="Q14" s="87"/>
      <c r="R14" s="88"/>
      <c r="S14" s="11"/>
      <c r="T14" s="91" t="s">
        <v>56</v>
      </c>
      <c r="U14" s="85" t="s">
        <v>55</v>
      </c>
      <c r="V14" s="93">
        <f ca="1">IF(ISNUMBER(_xll.BDH($T14,$V$3,COB,COB)),_xll.BDH($T14,$V$3,COB,COB)%,"#WAIT")</f>
        <v>2.6800999999999998E-2</v>
      </c>
      <c r="W14" s="94" t="b">
        <v>1</v>
      </c>
      <c r="X14" s="74"/>
    </row>
    <row r="15" spans="2:24" x14ac:dyDescent="0.25">
      <c r="B15" s="73"/>
      <c r="C15" s="11"/>
      <c r="D15" s="11"/>
      <c r="E15" s="11" t="s">
        <v>6</v>
      </c>
      <c r="F15" s="11"/>
      <c r="G15" s="11"/>
      <c r="H15" s="11"/>
      <c r="I15" s="11"/>
      <c r="J15" s="85"/>
      <c r="K15" s="92"/>
      <c r="L15" s="11"/>
      <c r="M15" s="91"/>
      <c r="N15" s="85"/>
      <c r="O15" s="86"/>
      <c r="P15" s="86"/>
      <c r="Q15" s="87"/>
      <c r="R15" s="88"/>
      <c r="S15" s="11"/>
      <c r="T15" s="91" t="s">
        <v>63</v>
      </c>
      <c r="U15" s="85" t="s">
        <v>62</v>
      </c>
      <c r="V15" s="93">
        <f ca="1">IF(ISNUMBER(_xll.BDH($T15,$V$3,COB,COB)),_xll.BDH($T15,$V$3,COB,COB)%,"#WAIT")</f>
        <v>2.6993999999999997E-2</v>
      </c>
      <c r="W15" s="94" t="b">
        <v>1</v>
      </c>
      <c r="X15" s="74"/>
    </row>
    <row r="16" spans="2:24" x14ac:dyDescent="0.25">
      <c r="B16" s="73"/>
      <c r="C16" s="11"/>
      <c r="D16" s="11"/>
      <c r="E16" s="11" t="s">
        <v>6</v>
      </c>
      <c r="F16" s="11"/>
      <c r="G16" s="11"/>
      <c r="H16" s="11"/>
      <c r="I16" s="11"/>
      <c r="J16" s="85"/>
      <c r="K16" s="92"/>
      <c r="L16" s="11"/>
      <c r="M16" s="91"/>
      <c r="N16" s="85"/>
      <c r="O16" s="86"/>
      <c r="P16" s="86"/>
      <c r="Q16" s="87"/>
      <c r="R16" s="88"/>
      <c r="S16" s="11"/>
      <c r="T16" s="91" t="s">
        <v>69</v>
      </c>
      <c r="U16" s="85" t="s">
        <v>68</v>
      </c>
      <c r="V16" s="93">
        <f ca="1">IF(ISNUMBER(_xll.BDH($T16,$V$3,COB,COB)),_xll.BDH($T16,$V$3,COB,COB)%,"#WAIT")</f>
        <v>2.7067000000000001E-2</v>
      </c>
      <c r="W16" s="94" t="b">
        <v>1</v>
      </c>
      <c r="X16" s="74"/>
    </row>
    <row r="17" spans="2:24" x14ac:dyDescent="0.25">
      <c r="B17" s="73"/>
      <c r="C17" s="11"/>
      <c r="D17" s="11"/>
      <c r="E17" s="11"/>
      <c r="F17" s="11"/>
      <c r="G17" s="11"/>
      <c r="H17" s="11"/>
      <c r="I17" s="11"/>
      <c r="J17" s="85"/>
      <c r="K17" s="92"/>
      <c r="L17" s="11"/>
      <c r="M17" s="91"/>
      <c r="N17" s="85"/>
      <c r="O17" s="86"/>
      <c r="P17" s="86"/>
      <c r="Q17" s="87"/>
      <c r="R17" s="88"/>
      <c r="S17" s="11"/>
      <c r="T17" s="91" t="s">
        <v>116</v>
      </c>
      <c r="U17" s="85" t="s">
        <v>117</v>
      </c>
      <c r="V17" s="93">
        <f ca="1">IF(ISNUMBER(_xll.BDH($T17,$V$3,COB,COB)),_xll.BDH($T17,$V$3,COB,COB)%,"#WAIT")</f>
        <v>2.6911000000000001E-2</v>
      </c>
      <c r="W17" s="94" t="b">
        <v>1</v>
      </c>
      <c r="X17" s="74"/>
    </row>
    <row r="18" spans="2:24" x14ac:dyDescent="0.25">
      <c r="B18" s="73"/>
      <c r="C18" s="11"/>
      <c r="D18" s="11"/>
      <c r="E18" s="11" t="s">
        <v>6</v>
      </c>
      <c r="F18" s="11"/>
      <c r="G18" s="11"/>
      <c r="H18" s="11"/>
      <c r="I18" s="11"/>
      <c r="J18" s="85"/>
      <c r="K18" s="92"/>
      <c r="L18" s="11"/>
      <c r="M18" s="91"/>
      <c r="N18" s="85"/>
      <c r="O18" s="86"/>
      <c r="P18" s="86"/>
      <c r="Q18" s="87"/>
      <c r="R18" s="88"/>
      <c r="S18" s="11"/>
      <c r="T18" s="91" t="s">
        <v>118</v>
      </c>
      <c r="U18" s="85" t="s">
        <v>119</v>
      </c>
      <c r="V18" s="93">
        <f ca="1">IF(ISNUMBER(_xll.BDH($T18,$V$3,COB,COB)),_xll.BDH($T18,$V$3,COB,COB)%,"#WAIT")</f>
        <v>2.6573000000000003E-2</v>
      </c>
      <c r="W18" s="94" t="b">
        <v>1</v>
      </c>
      <c r="X18" s="74"/>
    </row>
    <row r="19" spans="2:24" x14ac:dyDescent="0.25">
      <c r="B19" s="73"/>
      <c r="C19" s="43" t="s">
        <v>78</v>
      </c>
      <c r="D19" s="101"/>
      <c r="E19" s="11" t="s">
        <v>6</v>
      </c>
      <c r="F19" s="11"/>
      <c r="G19" s="11"/>
      <c r="H19" s="11"/>
      <c r="I19" s="11"/>
      <c r="J19" s="85"/>
      <c r="K19" s="92"/>
      <c r="L19" s="11"/>
      <c r="M19" s="91"/>
      <c r="N19" s="85"/>
      <c r="O19" s="86"/>
      <c r="P19" s="86"/>
      <c r="Q19" s="87"/>
      <c r="R19" s="88"/>
      <c r="S19" s="11"/>
      <c r="T19" s="91"/>
      <c r="U19" s="85"/>
      <c r="V19" s="93"/>
      <c r="W19" s="94"/>
      <c r="X19" s="74"/>
    </row>
    <row r="20" spans="2:24" x14ac:dyDescent="0.25">
      <c r="B20" s="73"/>
      <c r="C20" s="44" t="s">
        <v>57</v>
      </c>
      <c r="D20" s="45" t="s">
        <v>120</v>
      </c>
      <c r="E20" s="11" t="s">
        <v>6</v>
      </c>
      <c r="F20" s="11"/>
      <c r="G20" s="11"/>
      <c r="H20" s="11"/>
      <c r="I20" s="11"/>
      <c r="J20" s="85"/>
      <c r="K20" s="92"/>
      <c r="L20" s="11"/>
      <c r="M20" s="91"/>
      <c r="N20" s="85"/>
      <c r="O20" s="86"/>
      <c r="P20" s="86"/>
      <c r="Q20" s="87"/>
      <c r="R20" s="88"/>
      <c r="S20" s="11"/>
      <c r="T20" s="91"/>
      <c r="U20" s="85"/>
      <c r="V20" s="93"/>
      <c r="W20" s="94"/>
      <c r="X20" s="74"/>
    </row>
    <row r="21" spans="2:24" x14ac:dyDescent="0.25">
      <c r="B21" s="73"/>
      <c r="C21" s="46" t="s">
        <v>80</v>
      </c>
      <c r="D21" s="54" t="s">
        <v>121</v>
      </c>
      <c r="E21" s="11" t="s">
        <v>6</v>
      </c>
      <c r="F21" s="11"/>
      <c r="G21" s="11"/>
      <c r="H21" s="11"/>
      <c r="I21" s="11"/>
      <c r="J21" s="85"/>
      <c r="K21" s="92"/>
      <c r="L21" s="11"/>
      <c r="M21" s="91"/>
      <c r="N21" s="85"/>
      <c r="O21" s="86"/>
      <c r="P21" s="86"/>
      <c r="Q21" s="87"/>
      <c r="R21" s="88"/>
      <c r="S21" s="11"/>
      <c r="T21" s="91"/>
      <c r="U21" s="85"/>
      <c r="V21" s="93"/>
      <c r="W21" s="94"/>
      <c r="X21" s="74"/>
    </row>
    <row r="22" spans="2:24" x14ac:dyDescent="0.25">
      <c r="B22" s="73"/>
      <c r="C22" s="46" t="s">
        <v>82</v>
      </c>
      <c r="D22" s="47" t="s">
        <v>83</v>
      </c>
      <c r="E22" s="11" t="s">
        <v>6</v>
      </c>
      <c r="F22" s="11"/>
      <c r="G22" s="11"/>
      <c r="H22" s="11"/>
      <c r="I22" s="11"/>
      <c r="J22" s="85"/>
      <c r="K22" s="92"/>
      <c r="L22" s="11"/>
      <c r="M22" s="91"/>
      <c r="N22" s="85"/>
      <c r="O22" s="86"/>
      <c r="P22" s="86"/>
      <c r="Q22" s="87"/>
      <c r="R22" s="88"/>
      <c r="S22" s="11"/>
      <c r="T22" s="91"/>
      <c r="U22" s="85"/>
      <c r="V22" s="93"/>
      <c r="W22" s="94"/>
      <c r="X22" s="74"/>
    </row>
    <row r="23" spans="2:24" x14ac:dyDescent="0.25">
      <c r="B23" s="73"/>
      <c r="C23" s="48" t="s">
        <v>84</v>
      </c>
      <c r="D23" s="49"/>
      <c r="E23" s="11" t="s">
        <v>6</v>
      </c>
      <c r="F23" s="11"/>
      <c r="G23" s="11"/>
      <c r="H23" s="11"/>
      <c r="I23" s="11"/>
      <c r="J23" s="85"/>
      <c r="K23" s="92"/>
      <c r="L23" s="11"/>
      <c r="M23" s="91"/>
      <c r="N23" s="85"/>
      <c r="O23" s="86"/>
      <c r="P23" s="86"/>
      <c r="Q23" s="87"/>
      <c r="R23" s="88"/>
      <c r="S23" s="11"/>
      <c r="T23" s="91"/>
      <c r="U23" s="85"/>
      <c r="V23" s="93"/>
      <c r="W23" s="94"/>
      <c r="X23" s="74"/>
    </row>
    <row r="24" spans="2:24" x14ac:dyDescent="0.25">
      <c r="B24" s="73"/>
      <c r="C24" s="11"/>
      <c r="D24" s="11"/>
      <c r="E24" s="11" t="s">
        <v>6</v>
      </c>
      <c r="F24" s="11"/>
      <c r="G24" s="11"/>
      <c r="H24" s="11"/>
      <c r="I24" s="11"/>
      <c r="J24" s="85"/>
      <c r="K24" s="92"/>
      <c r="L24" s="11"/>
      <c r="M24" s="91"/>
      <c r="N24" s="85"/>
      <c r="O24" s="86"/>
      <c r="P24" s="86"/>
      <c r="Q24" s="87"/>
      <c r="R24" s="88"/>
      <c r="S24" s="11"/>
      <c r="T24" s="91"/>
      <c r="U24" s="85"/>
      <c r="V24" s="93"/>
      <c r="W24" s="94"/>
      <c r="X24" s="74"/>
    </row>
    <row r="25" spans="2:24" x14ac:dyDescent="0.25">
      <c r="B25" s="73"/>
      <c r="C25" s="11"/>
      <c r="D25" s="11"/>
      <c r="E25" s="11" t="s">
        <v>6</v>
      </c>
      <c r="F25" s="11"/>
      <c r="G25" s="11"/>
      <c r="H25" s="11"/>
      <c r="I25" s="11"/>
      <c r="J25" s="85"/>
      <c r="K25" s="92"/>
      <c r="L25" s="11"/>
      <c r="M25" s="91"/>
      <c r="N25" s="85"/>
      <c r="O25" s="86"/>
      <c r="P25" s="86"/>
      <c r="Q25" s="87"/>
      <c r="R25" s="88"/>
      <c r="S25" s="11"/>
      <c r="T25" s="91"/>
      <c r="U25" s="85"/>
      <c r="V25" s="93"/>
      <c r="W25" s="94"/>
      <c r="X25" s="74"/>
    </row>
    <row r="26" spans="2:24" x14ac:dyDescent="0.25">
      <c r="B26" s="73"/>
      <c r="C26" s="43" t="s">
        <v>85</v>
      </c>
      <c r="D26" s="11"/>
      <c r="E26" s="11" t="s">
        <v>6</v>
      </c>
      <c r="F26" s="11"/>
      <c r="G26" s="11"/>
      <c r="H26" s="11"/>
      <c r="I26" s="11"/>
      <c r="J26" s="85"/>
      <c r="K26" s="92"/>
      <c r="L26" s="11"/>
      <c r="M26" s="91"/>
      <c r="N26" s="85"/>
      <c r="O26" s="86"/>
      <c r="P26" s="86"/>
      <c r="Q26" s="87"/>
      <c r="R26" s="88"/>
      <c r="S26" s="11"/>
      <c r="T26" s="91"/>
      <c r="U26" s="85"/>
      <c r="V26" s="93"/>
      <c r="W26" s="94"/>
      <c r="X26" s="74"/>
    </row>
    <row r="27" spans="2:24" x14ac:dyDescent="0.25">
      <c r="B27" s="73"/>
      <c r="C27" s="50" t="s">
        <v>57</v>
      </c>
      <c r="D27" s="51" t="str">
        <f t="array" aca="1" ref="D27:D30" ca="1">IF(isUSDOISLoaded,_xll.meLWOCurveCalibrate(D20,D21,D13,D22),"#WAIT")</f>
        <v>USD_SWAP_3M_CURVE@18:1</v>
      </c>
      <c r="E27" s="11" t="s">
        <v>6</v>
      </c>
      <c r="F27" s="11"/>
      <c r="G27" s="11"/>
      <c r="H27" s="11"/>
      <c r="I27" s="11"/>
      <c r="J27" s="85"/>
      <c r="K27" s="92"/>
      <c r="L27" s="11"/>
      <c r="M27" s="91"/>
      <c r="N27" s="85"/>
      <c r="O27" s="86"/>
      <c r="P27" s="86"/>
      <c r="Q27" s="87"/>
      <c r="R27" s="88"/>
      <c r="S27" s="11"/>
      <c r="T27" s="91"/>
      <c r="U27" s="85"/>
      <c r="V27" s="93"/>
      <c r="W27" s="94"/>
      <c r="X27" s="74"/>
    </row>
    <row r="28" spans="2:24" x14ac:dyDescent="0.25">
      <c r="B28" s="73"/>
      <c r="C28" s="54" t="s">
        <v>86</v>
      </c>
      <c r="D28" s="52" t="str">
        <f ca="1"/>
        <v>USDYC</v>
      </c>
      <c r="E28" s="11" t="s">
        <v>6</v>
      </c>
      <c r="F28" s="11"/>
      <c r="G28" s="11"/>
      <c r="H28" s="11"/>
      <c r="I28" s="11"/>
      <c r="J28" s="85"/>
      <c r="K28" s="92"/>
      <c r="L28" s="11"/>
      <c r="M28" s="91"/>
      <c r="N28" s="85"/>
      <c r="O28" s="86"/>
      <c r="P28" s="86"/>
      <c r="Q28" s="87"/>
      <c r="R28" s="88"/>
      <c r="S28" s="11"/>
      <c r="T28" s="91"/>
      <c r="U28" s="85"/>
      <c r="V28" s="93"/>
      <c r="W28" s="94"/>
      <c r="X28" s="74"/>
    </row>
    <row r="29" spans="2:24" x14ac:dyDescent="0.25">
      <c r="B29" s="73"/>
      <c r="C29" s="54" t="s">
        <v>87</v>
      </c>
      <c r="D29" s="52" t="str">
        <f ca="1"/>
        <v>STD:USD3ML</v>
      </c>
      <c r="E29" s="11" t="s">
        <v>6</v>
      </c>
      <c r="F29" s="11"/>
      <c r="G29" s="11"/>
      <c r="H29" s="11"/>
      <c r="I29" s="11"/>
      <c r="J29" s="85"/>
      <c r="K29" s="92"/>
      <c r="L29" s="11"/>
      <c r="M29" s="91"/>
      <c r="N29" s="85"/>
      <c r="O29" s="86"/>
      <c r="P29" s="86"/>
      <c r="Q29" s="87"/>
      <c r="R29" s="88"/>
      <c r="S29" s="11"/>
      <c r="T29" s="91"/>
      <c r="U29" s="85"/>
      <c r="V29" s="93"/>
      <c r="W29" s="94"/>
      <c r="X29" s="74"/>
    </row>
    <row r="30" spans="2:24" x14ac:dyDescent="0.25">
      <c r="B30" s="73"/>
      <c r="C30" s="55" t="s">
        <v>88</v>
      </c>
      <c r="D30" s="53" t="str">
        <f ca="1"/>
        <v>0.00900 sec</v>
      </c>
      <c r="E30" s="11" t="s">
        <v>6</v>
      </c>
      <c r="F30" s="11"/>
      <c r="G30" s="11"/>
      <c r="H30" s="11"/>
      <c r="I30" s="11"/>
      <c r="J30" s="102"/>
      <c r="K30" s="103"/>
      <c r="L30" s="11"/>
      <c r="M30" s="99"/>
      <c r="N30" s="102"/>
      <c r="O30" s="104"/>
      <c r="P30" s="104"/>
      <c r="Q30" s="105"/>
      <c r="R30" s="106"/>
      <c r="S30" s="11"/>
      <c r="T30" s="99"/>
      <c r="U30" s="102"/>
      <c r="V30" s="107"/>
      <c r="W30" s="108"/>
      <c r="X30" s="74"/>
    </row>
    <row r="31" spans="2:24" x14ac:dyDescent="0.25">
      <c r="B31" s="73"/>
      <c r="C31" s="65" t="s">
        <v>89</v>
      </c>
      <c r="D31" s="66" t="b">
        <f ca="1">LEFT(D27,3)=LEFT(D20,3)</f>
        <v>1</v>
      </c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74"/>
    </row>
    <row r="32" spans="2:24" x14ac:dyDescent="0.25">
      <c r="B32" s="7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74"/>
    </row>
    <row r="33" spans="2:24" x14ac:dyDescent="0.25">
      <c r="B33" s="7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74"/>
    </row>
    <row r="34" spans="2:24" x14ac:dyDescent="0.25">
      <c r="B34" s="7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74"/>
    </row>
    <row r="35" spans="2:24" x14ac:dyDescent="0.25">
      <c r="B35" s="73"/>
      <c r="C35" s="11"/>
      <c r="D35" s="11"/>
      <c r="E35" s="11" t="s">
        <v>6</v>
      </c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74"/>
    </row>
    <row r="36" spans="2:24" x14ac:dyDescent="0.25">
      <c r="B36" s="73"/>
      <c r="C36" s="11"/>
      <c r="D36" s="11"/>
      <c r="E36" s="11" t="s">
        <v>6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74"/>
    </row>
    <row r="37" spans="2:24" x14ac:dyDescent="0.25">
      <c r="B37" s="73"/>
      <c r="C37" s="11"/>
      <c r="D37" s="11"/>
      <c r="E37" s="11" t="s">
        <v>6</v>
      </c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74"/>
    </row>
    <row r="38" spans="2:24" x14ac:dyDescent="0.25">
      <c r="B38" s="73"/>
      <c r="C38" s="11"/>
      <c r="D38" s="11"/>
      <c r="E38" s="11" t="s">
        <v>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74"/>
    </row>
    <row r="39" spans="2:24" x14ac:dyDescent="0.25">
      <c r="B39" s="7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74"/>
    </row>
    <row r="40" spans="2:24" x14ac:dyDescent="0.25">
      <c r="B40" s="7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74"/>
    </row>
    <row r="41" spans="2:24" x14ac:dyDescent="0.25">
      <c r="B41" s="7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74"/>
    </row>
    <row r="42" spans="2:24" x14ac:dyDescent="0.25">
      <c r="B42" s="7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74"/>
    </row>
    <row r="43" spans="2:24" x14ac:dyDescent="0.25">
      <c r="B43" s="7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74"/>
    </row>
    <row r="44" spans="2:24" x14ac:dyDescent="0.25">
      <c r="B44" s="7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74"/>
    </row>
    <row r="45" spans="2:24" x14ac:dyDescent="0.25">
      <c r="B45" s="7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74"/>
    </row>
    <row r="46" spans="2:24" x14ac:dyDescent="0.25">
      <c r="B46" s="7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74"/>
    </row>
    <row r="47" spans="2:24" x14ac:dyDescent="0.25">
      <c r="B47" s="7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74"/>
    </row>
    <row r="48" spans="2:24" x14ac:dyDescent="0.25">
      <c r="B48" s="7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74"/>
    </row>
    <row r="49" spans="2:24" x14ac:dyDescent="0.25">
      <c r="B49" s="7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74"/>
    </row>
    <row r="50" spans="2:24" x14ac:dyDescent="0.25">
      <c r="B50" s="7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74"/>
    </row>
    <row r="51" spans="2:24" x14ac:dyDescent="0.25">
      <c r="B51" s="7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74"/>
    </row>
    <row r="52" spans="2:24" x14ac:dyDescent="0.25">
      <c r="B52" s="7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74"/>
    </row>
    <row r="53" spans="2:24" x14ac:dyDescent="0.25">
      <c r="B53" s="7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74"/>
    </row>
    <row r="54" spans="2:24" x14ac:dyDescent="0.25">
      <c r="B54" s="7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74"/>
    </row>
    <row r="55" spans="2:24" x14ac:dyDescent="0.25">
      <c r="B55" s="7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74"/>
    </row>
    <row r="56" spans="2:24" x14ac:dyDescent="0.25">
      <c r="B56" s="7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74"/>
    </row>
    <row r="57" spans="2:24" x14ac:dyDescent="0.25">
      <c r="B57" s="7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74"/>
    </row>
    <row r="58" spans="2:24" x14ac:dyDescent="0.25">
      <c r="B58" s="7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74"/>
    </row>
    <row r="59" spans="2:24" x14ac:dyDescent="0.25">
      <c r="B59" s="7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74"/>
    </row>
    <row r="60" spans="2:24" x14ac:dyDescent="0.25">
      <c r="B60" s="7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74"/>
    </row>
    <row r="61" spans="2:24" x14ac:dyDescent="0.25">
      <c r="B61" s="7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74"/>
    </row>
    <row r="62" spans="2:24" x14ac:dyDescent="0.25">
      <c r="B62" s="7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74"/>
    </row>
    <row r="63" spans="2:24" x14ac:dyDescent="0.25">
      <c r="B63" s="7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74"/>
    </row>
    <row r="64" spans="2:24" x14ac:dyDescent="0.25">
      <c r="B64" s="7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74"/>
    </row>
    <row r="65" spans="2:24" x14ac:dyDescent="0.25">
      <c r="B65" s="7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74"/>
    </row>
    <row r="66" spans="2:24" x14ac:dyDescent="0.25">
      <c r="B66" s="7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74"/>
    </row>
    <row r="67" spans="2:24" x14ac:dyDescent="0.25">
      <c r="B67" s="7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74"/>
    </row>
    <row r="68" spans="2:24" x14ac:dyDescent="0.25">
      <c r="B68" s="7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74"/>
    </row>
    <row r="69" spans="2:24" x14ac:dyDescent="0.25">
      <c r="B69" s="7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74"/>
    </row>
    <row r="70" spans="2:24" x14ac:dyDescent="0.25">
      <c r="B70" s="7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74"/>
    </row>
    <row r="71" spans="2:24" x14ac:dyDescent="0.25">
      <c r="B71" s="7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74"/>
    </row>
    <row r="72" spans="2:24" x14ac:dyDescent="0.25">
      <c r="B72" s="7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74"/>
    </row>
    <row r="73" spans="2:24" x14ac:dyDescent="0.25">
      <c r="B73" s="7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74"/>
    </row>
    <row r="74" spans="2:24" x14ac:dyDescent="0.25">
      <c r="B74" s="7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74"/>
    </row>
    <row r="75" spans="2:24" x14ac:dyDescent="0.25">
      <c r="B75" s="73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74"/>
    </row>
    <row r="76" spans="2:24" x14ac:dyDescent="0.25">
      <c r="B76" s="73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74"/>
    </row>
    <row r="77" spans="2:24" x14ac:dyDescent="0.25">
      <c r="B77" s="7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74"/>
    </row>
    <row r="78" spans="2:24" x14ac:dyDescent="0.25">
      <c r="B78" s="7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74"/>
    </row>
    <row r="79" spans="2:24" x14ac:dyDescent="0.25">
      <c r="B79" s="7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74"/>
    </row>
    <row r="80" spans="2:24" x14ac:dyDescent="0.25">
      <c r="B80" s="7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74"/>
    </row>
    <row r="81" spans="2:24" x14ac:dyDescent="0.25">
      <c r="B81" s="73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74"/>
    </row>
    <row r="82" spans="2:24" x14ac:dyDescent="0.25">
      <c r="B82" s="7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74"/>
    </row>
    <row r="83" spans="2:24" x14ac:dyDescent="0.25">
      <c r="B83" s="73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74"/>
    </row>
    <row r="84" spans="2:24" x14ac:dyDescent="0.25">
      <c r="B84" s="73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74"/>
    </row>
    <row r="85" spans="2:24" x14ac:dyDescent="0.25">
      <c r="B85" s="73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74"/>
    </row>
    <row r="86" spans="2:24" x14ac:dyDescent="0.25">
      <c r="B86" s="7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74"/>
    </row>
    <row r="87" spans="2:24" x14ac:dyDescent="0.25">
      <c r="B87" s="7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74"/>
    </row>
    <row r="88" spans="2:24" x14ac:dyDescent="0.25">
      <c r="B88" s="7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74"/>
    </row>
    <row r="89" spans="2:24" x14ac:dyDescent="0.25">
      <c r="B89" s="7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74"/>
    </row>
    <row r="90" spans="2:24" x14ac:dyDescent="0.25">
      <c r="B90" s="7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74"/>
    </row>
    <row r="91" spans="2:24" x14ac:dyDescent="0.25">
      <c r="B91" s="73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74"/>
    </row>
    <row r="92" spans="2:24" x14ac:dyDescent="0.25">
      <c r="B92" s="7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74"/>
    </row>
    <row r="93" spans="2:24" x14ac:dyDescent="0.25">
      <c r="B93" s="7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74"/>
    </row>
    <row r="94" spans="2:24" x14ac:dyDescent="0.25">
      <c r="B94" s="7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74"/>
    </row>
    <row r="95" spans="2:24" x14ac:dyDescent="0.25">
      <c r="B95" s="73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74"/>
    </row>
    <row r="96" spans="2:24" x14ac:dyDescent="0.25">
      <c r="B96" s="7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74"/>
    </row>
    <row r="97" spans="2:24" x14ac:dyDescent="0.25">
      <c r="B97" s="7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74"/>
    </row>
    <row r="98" spans="2:24" x14ac:dyDescent="0.25">
      <c r="B98" s="7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74"/>
    </row>
    <row r="99" spans="2:24" x14ac:dyDescent="0.25">
      <c r="B99" s="7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74"/>
    </row>
    <row r="100" spans="2:24" x14ac:dyDescent="0.25">
      <c r="B100" s="7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74"/>
    </row>
    <row r="101" spans="2:24" x14ac:dyDescent="0.25">
      <c r="B101" s="7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74"/>
    </row>
    <row r="102" spans="2:24" x14ac:dyDescent="0.25">
      <c r="B102" s="7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74"/>
    </row>
    <row r="103" spans="2:24" x14ac:dyDescent="0.25">
      <c r="B103" s="7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74"/>
    </row>
    <row r="104" spans="2:24" x14ac:dyDescent="0.25">
      <c r="B104" s="7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74"/>
    </row>
    <row r="105" spans="2:24" x14ac:dyDescent="0.25">
      <c r="B105" s="7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74"/>
    </row>
    <row r="106" spans="2:24" x14ac:dyDescent="0.25">
      <c r="B106" s="7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74"/>
    </row>
    <row r="107" spans="2:24" x14ac:dyDescent="0.25">
      <c r="B107" s="7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74"/>
    </row>
    <row r="108" spans="2:24" x14ac:dyDescent="0.25">
      <c r="B108" s="109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08"/>
  <sheetViews>
    <sheetView showGridLines="0" workbookViewId="0"/>
  </sheetViews>
  <sheetFormatPr defaultRowHeight="15" x14ac:dyDescent="0.25"/>
  <cols>
    <col min="3" max="3" width="25.28515625" bestFit="1" customWidth="1"/>
    <col min="4" max="4" width="47.28515625" bestFit="1" customWidth="1"/>
    <col min="6" max="6" width="23.28515625" bestFit="1" customWidth="1"/>
    <col min="8" max="8" width="11.140625" bestFit="1" customWidth="1"/>
  </cols>
  <sheetData>
    <row r="2" spans="2:13" x14ac:dyDescent="0.25">
      <c r="B2" s="70"/>
      <c r="C2" s="71"/>
      <c r="D2" s="71"/>
      <c r="E2" s="71"/>
      <c r="F2" s="71"/>
      <c r="G2" s="71"/>
      <c r="H2" s="71"/>
      <c r="I2" s="71"/>
      <c r="J2" s="71"/>
      <c r="K2" s="71"/>
      <c r="L2" s="71"/>
      <c r="M2" s="72"/>
    </row>
    <row r="3" spans="2:13" x14ac:dyDescent="0.25">
      <c r="B3" s="73"/>
      <c r="C3" s="12" t="s">
        <v>1</v>
      </c>
      <c r="D3" s="14"/>
      <c r="E3" s="11"/>
      <c r="F3" s="12" t="s">
        <v>258</v>
      </c>
      <c r="G3" s="13"/>
      <c r="H3" s="13" t="s">
        <v>3</v>
      </c>
      <c r="I3" s="11"/>
      <c r="J3" s="11"/>
      <c r="K3" s="12" t="s">
        <v>91</v>
      </c>
      <c r="L3" s="14"/>
      <c r="M3" s="74"/>
    </row>
    <row r="4" spans="2:13" x14ac:dyDescent="0.25">
      <c r="B4" s="73"/>
      <c r="C4" s="75" t="s">
        <v>15</v>
      </c>
      <c r="D4" s="76" t="s">
        <v>16</v>
      </c>
      <c r="E4" s="42" t="s">
        <v>6</v>
      </c>
      <c r="F4" s="42" t="s">
        <v>96</v>
      </c>
      <c r="G4" s="78" t="s">
        <v>9</v>
      </c>
      <c r="H4" s="10" t="s">
        <v>10</v>
      </c>
      <c r="I4" s="10" t="s">
        <v>13</v>
      </c>
      <c r="J4" s="42" t="s">
        <v>6</v>
      </c>
      <c r="K4" s="10" t="s">
        <v>9</v>
      </c>
      <c r="L4" s="10" t="s">
        <v>10</v>
      </c>
      <c r="M4" s="74"/>
    </row>
    <row r="5" spans="2:13" x14ac:dyDescent="0.25">
      <c r="B5" s="73"/>
      <c r="C5" s="79" t="s">
        <v>22</v>
      </c>
      <c r="D5" s="80" t="s">
        <v>238</v>
      </c>
      <c r="E5" s="42" t="s">
        <v>6</v>
      </c>
      <c r="F5" s="81" t="s">
        <v>242</v>
      </c>
      <c r="G5" s="83" t="s">
        <v>75</v>
      </c>
      <c r="H5" s="231">
        <f ca="1">IF(ISNUMBER(_xll.BDH($F5,$H$3,COB,COB)),_xll.BDH($F5,$H$3,COB,COB)/10000,"#WAIT")</f>
        <v>6.1220000000000003E-4</v>
      </c>
      <c r="I5" s="90" t="b">
        <v>1</v>
      </c>
      <c r="J5" s="42" t="s">
        <v>6</v>
      </c>
      <c r="K5" s="83"/>
      <c r="L5" s="84"/>
      <c r="M5" s="74"/>
    </row>
    <row r="6" spans="2:13" x14ac:dyDescent="0.25">
      <c r="B6" s="73"/>
      <c r="C6" s="79" t="s">
        <v>28</v>
      </c>
      <c r="D6" s="80" t="s">
        <v>237</v>
      </c>
      <c r="E6" s="42" t="s">
        <v>6</v>
      </c>
      <c r="F6" s="91" t="s">
        <v>243</v>
      </c>
      <c r="G6" s="85" t="s">
        <v>77</v>
      </c>
      <c r="H6" s="232">
        <f ca="1">IF(ISNUMBER(_xll.BDH($F6,$H$3,COB,COB)),_xll.BDH($F6,$H$3,COB,COB)/10000,"#WAIT")</f>
        <v>6.6874999999999997E-4</v>
      </c>
      <c r="I6" s="94" t="b">
        <v>1</v>
      </c>
      <c r="J6" s="42" t="s">
        <v>6</v>
      </c>
      <c r="K6" s="85"/>
      <c r="L6" s="92"/>
      <c r="M6" s="74"/>
    </row>
    <row r="7" spans="2:13" x14ac:dyDescent="0.25">
      <c r="B7" s="73"/>
      <c r="C7" s="79" t="s">
        <v>35</v>
      </c>
      <c r="D7" s="95">
        <f ca="1">COB</f>
        <v>43579</v>
      </c>
      <c r="E7" s="42" t="s">
        <v>6</v>
      </c>
      <c r="F7" s="91" t="s">
        <v>244</v>
      </c>
      <c r="G7" s="85" t="s">
        <v>102</v>
      </c>
      <c r="H7" s="232">
        <f ca="1">IF(ISNUMBER(_xll.BDH($F7,$H$3,COB,COB)),_xll.BDH($F7,$H$3,COB,COB)/10000,"#WAIT")</f>
        <v>6.8749999999999996E-4</v>
      </c>
      <c r="I7" s="94" t="b">
        <v>1</v>
      </c>
      <c r="J7" s="42" t="s">
        <v>6</v>
      </c>
      <c r="K7" s="85"/>
      <c r="L7" s="92"/>
      <c r="M7" s="74"/>
    </row>
    <row r="8" spans="2:13" x14ac:dyDescent="0.25">
      <c r="B8" s="73"/>
      <c r="C8" s="96"/>
      <c r="D8" s="97"/>
      <c r="E8" s="42" t="s">
        <v>6</v>
      </c>
      <c r="F8" s="91" t="s">
        <v>245</v>
      </c>
      <c r="G8" s="85" t="s">
        <v>20</v>
      </c>
      <c r="H8" s="232">
        <f ca="1">IF(ISNUMBER(_xll.BDH($F8,$H$3,COB,COB)),_xll.BDH($F8,$H$3,COB,COB)/10000,"#WAIT")</f>
        <v>7.2499999999999995E-4</v>
      </c>
      <c r="I8" s="94" t="b">
        <v>1</v>
      </c>
      <c r="J8" s="42" t="s">
        <v>6</v>
      </c>
      <c r="K8" s="85"/>
      <c r="L8" s="92"/>
      <c r="M8" s="74"/>
    </row>
    <row r="9" spans="2:13" x14ac:dyDescent="0.25">
      <c r="B9" s="73"/>
      <c r="C9" s="40"/>
      <c r="D9" s="98"/>
      <c r="E9" s="42" t="s">
        <v>6</v>
      </c>
      <c r="F9" s="91" t="s">
        <v>246</v>
      </c>
      <c r="G9" s="85" t="s">
        <v>26</v>
      </c>
      <c r="H9" s="232">
        <f ca="1">IF(ISNUMBER(_xll.BDH($F9,$H$3,COB,COB)),_xll.BDH($F9,$H$3,COB,COB)/10000,"#WAIT")</f>
        <v>7.5000000000000002E-4</v>
      </c>
      <c r="I9" s="94" t="b">
        <v>1</v>
      </c>
      <c r="J9" s="42" t="s">
        <v>6</v>
      </c>
      <c r="K9" s="85"/>
      <c r="L9" s="92"/>
      <c r="M9" s="74"/>
    </row>
    <row r="10" spans="2:13" x14ac:dyDescent="0.25">
      <c r="B10" s="73"/>
      <c r="C10" s="11"/>
      <c r="D10" s="11"/>
      <c r="E10" s="42" t="s">
        <v>6</v>
      </c>
      <c r="F10" s="91" t="s">
        <v>247</v>
      </c>
      <c r="G10" s="85" t="s">
        <v>241</v>
      </c>
      <c r="H10" s="232">
        <f ca="1">IF(ISNUMBER(_xll.BDH($F10,$H$3,COB,COB)),_xll.BDH($F10,$H$3,COB,COB)/10000,"#WAIT")</f>
        <v>7.8469999999999994E-4</v>
      </c>
      <c r="I10" s="94" t="b">
        <v>1</v>
      </c>
      <c r="J10" s="42" t="s">
        <v>6</v>
      </c>
      <c r="K10" s="85"/>
      <c r="L10" s="92"/>
      <c r="M10" s="74"/>
    </row>
    <row r="11" spans="2:13" x14ac:dyDescent="0.25">
      <c r="B11" s="73"/>
      <c r="C11" s="37" t="s">
        <v>51</v>
      </c>
      <c r="D11" s="10"/>
      <c r="E11" s="42" t="s">
        <v>6</v>
      </c>
      <c r="F11" s="91" t="s">
        <v>248</v>
      </c>
      <c r="G11" s="85" t="s">
        <v>33</v>
      </c>
      <c r="H11" s="232">
        <f ca="1">IF(ISNUMBER(_xll.BDH($F11,$H$3,COB,COB)),_xll.BDH($F11,$H$3,COB,COB)/10000,"#WAIT")</f>
        <v>8.25E-4</v>
      </c>
      <c r="I11" s="94" t="b">
        <v>1</v>
      </c>
      <c r="J11" s="42" t="s">
        <v>6</v>
      </c>
      <c r="K11" s="85"/>
      <c r="L11" s="92"/>
      <c r="M11" s="74"/>
    </row>
    <row r="12" spans="2:13" x14ac:dyDescent="0.25">
      <c r="B12" s="73"/>
      <c r="C12" s="38" t="s">
        <v>57</v>
      </c>
      <c r="D12" s="39" t="s">
        <v>239</v>
      </c>
      <c r="E12" s="42" t="s">
        <v>6</v>
      </c>
      <c r="F12" s="91" t="s">
        <v>249</v>
      </c>
      <c r="G12" s="85" t="s">
        <v>109</v>
      </c>
      <c r="H12" s="93">
        <f ca="1">IF(ISNUMBER(_xll.BDH($F12,$H$3,COB,COB)),_xll.BDH($F12,$H$3,COB,COB)/10000,"#WAIT")</f>
        <v>8.7500000000000002E-4</v>
      </c>
      <c r="I12" s="94" t="b">
        <v>1</v>
      </c>
      <c r="J12" s="42" t="s">
        <v>6</v>
      </c>
      <c r="K12" s="85"/>
      <c r="L12" s="92"/>
      <c r="M12" s="74"/>
    </row>
    <row r="13" spans="2:13" x14ac:dyDescent="0.25">
      <c r="B13" s="73"/>
      <c r="C13" s="40" t="s">
        <v>64</v>
      </c>
      <c r="D13" s="41" t="str">
        <f ca="1">_xll.meLWOCurveMarketDataCreate(D12,C3,C4:D9,F3,G5:I30,K3,K5:L30)</f>
        <v>USD_BASIS_6M_CURVE_MARKETDATA@5:22</v>
      </c>
      <c r="E13" s="42" t="s">
        <v>6</v>
      </c>
      <c r="F13" s="91" t="s">
        <v>250</v>
      </c>
      <c r="G13" s="85" t="s">
        <v>112</v>
      </c>
      <c r="H13" s="93">
        <f ca="1">IF(ISNUMBER(_xll.BDH($F13,$H$3,COB,COB)),_xll.BDH($F13,$H$3,COB,COB)/10000,"#WAIT")</f>
        <v>9.1250000000000001E-4</v>
      </c>
      <c r="I13" s="94" t="b">
        <v>1</v>
      </c>
      <c r="J13" s="42" t="s">
        <v>6</v>
      </c>
      <c r="K13" s="85"/>
      <c r="L13" s="92"/>
      <c r="M13" s="74"/>
    </row>
    <row r="14" spans="2:13" x14ac:dyDescent="0.25">
      <c r="B14" s="73"/>
      <c r="C14" s="11"/>
      <c r="D14" s="11"/>
      <c r="E14" s="42" t="s">
        <v>6</v>
      </c>
      <c r="F14" s="91" t="s">
        <v>251</v>
      </c>
      <c r="G14" s="85" t="s">
        <v>39</v>
      </c>
      <c r="H14" s="93">
        <f ca="1">IF(ISNUMBER(_xll.BDH($F14,$H$3,COB,COB)),_xll.BDH($F14,$H$3,COB,COB)/10000,"#WAIT")</f>
        <v>9.3800000000000003E-4</v>
      </c>
      <c r="I14" s="94" t="b">
        <v>1</v>
      </c>
      <c r="J14" s="42" t="s">
        <v>6</v>
      </c>
      <c r="K14" s="85"/>
      <c r="L14" s="92"/>
      <c r="M14" s="74"/>
    </row>
    <row r="15" spans="2:13" x14ac:dyDescent="0.25">
      <c r="B15" s="73"/>
      <c r="C15" s="11"/>
      <c r="D15" s="11"/>
      <c r="E15" s="42" t="s">
        <v>6</v>
      </c>
      <c r="F15" s="91" t="s">
        <v>252</v>
      </c>
      <c r="G15" s="85" t="s">
        <v>44</v>
      </c>
      <c r="H15" s="93">
        <f ca="1">IF(ISNUMBER(_xll.BDH($F15,$H$3,COB,COB)),_xll.BDH($F15,$H$3,COB,COB)/10000,"#WAIT")</f>
        <v>1E-3</v>
      </c>
      <c r="I15" s="94" t="b">
        <v>1</v>
      </c>
      <c r="J15" s="42" t="s">
        <v>6</v>
      </c>
      <c r="K15" s="85"/>
      <c r="L15" s="92"/>
      <c r="M15" s="74"/>
    </row>
    <row r="16" spans="2:13" x14ac:dyDescent="0.25">
      <c r="B16" s="73"/>
      <c r="C16" s="11"/>
      <c r="D16" s="11"/>
      <c r="E16" s="42" t="s">
        <v>6</v>
      </c>
      <c r="F16" s="91" t="s">
        <v>253</v>
      </c>
      <c r="G16" s="85" t="s">
        <v>49</v>
      </c>
      <c r="H16" s="93">
        <f ca="1">IF(ISNUMBER(_xll.BDH($F16,$H$3,COB,COB)),_xll.BDH($F16,$H$3,COB,COB)/10000,"#WAIT")</f>
        <v>1.0375E-3</v>
      </c>
      <c r="I16" s="94" t="b">
        <v>1</v>
      </c>
      <c r="J16" s="42" t="s">
        <v>6</v>
      </c>
      <c r="K16" s="85"/>
      <c r="L16" s="92"/>
      <c r="M16" s="74"/>
    </row>
    <row r="17" spans="2:13" x14ac:dyDescent="0.25">
      <c r="B17" s="73"/>
      <c r="C17" s="11"/>
      <c r="D17" s="11"/>
      <c r="E17" s="42" t="s">
        <v>6</v>
      </c>
      <c r="F17" s="91" t="s">
        <v>254</v>
      </c>
      <c r="G17" s="85" t="s">
        <v>55</v>
      </c>
      <c r="H17" s="93">
        <f ca="1">IF(ISNUMBER(_xll.BDH($F17,$H$3,COB,COB)),_xll.BDH($F17,$H$3,COB,COB)/10000,"#WAIT")</f>
        <v>1.088E-3</v>
      </c>
      <c r="I17" s="94" t="b">
        <v>1</v>
      </c>
      <c r="J17" s="42" t="s">
        <v>6</v>
      </c>
      <c r="K17" s="85"/>
      <c r="L17" s="92"/>
      <c r="M17" s="74"/>
    </row>
    <row r="18" spans="2:13" x14ac:dyDescent="0.25">
      <c r="B18" s="73"/>
      <c r="C18" s="11"/>
      <c r="D18" s="11"/>
      <c r="E18" s="42" t="s">
        <v>6</v>
      </c>
      <c r="F18" s="91" t="s">
        <v>255</v>
      </c>
      <c r="G18" s="85" t="s">
        <v>62</v>
      </c>
      <c r="H18" s="93">
        <f ca="1">IF(ISNUMBER(_xll.BDH($F18,$H$3,COB,COB)),_xll.BDH($F18,$H$3,COB,COB)/10000,"#WAIT")</f>
        <v>1.0874999999999999E-3</v>
      </c>
      <c r="I18" s="94" t="b">
        <v>1</v>
      </c>
      <c r="J18" s="42" t="s">
        <v>6</v>
      </c>
      <c r="K18" s="85"/>
      <c r="L18" s="92"/>
      <c r="M18" s="74"/>
    </row>
    <row r="19" spans="2:13" x14ac:dyDescent="0.25">
      <c r="B19" s="73"/>
      <c r="C19" s="43" t="s">
        <v>78</v>
      </c>
      <c r="D19" s="101"/>
      <c r="E19" s="42" t="s">
        <v>6</v>
      </c>
      <c r="F19" s="91" t="s">
        <v>256</v>
      </c>
      <c r="G19" s="85" t="s">
        <v>68</v>
      </c>
      <c r="H19" s="93">
        <f ca="1">IF(ISNUMBER(_xll.BDH($F19,$H$3,COB,COB)),_xll.BDH($F19,$H$3,COB,COB)/10000,"#WAIT")</f>
        <v>1.1000000000000001E-3</v>
      </c>
      <c r="I19" s="94" t="b">
        <v>1</v>
      </c>
      <c r="J19" s="42" t="s">
        <v>6</v>
      </c>
      <c r="K19" s="85"/>
      <c r="L19" s="92"/>
      <c r="M19" s="74"/>
    </row>
    <row r="20" spans="2:13" x14ac:dyDescent="0.25">
      <c r="B20" s="73"/>
      <c r="C20" s="44" t="s">
        <v>57</v>
      </c>
      <c r="D20" s="45" t="s">
        <v>240</v>
      </c>
      <c r="E20" s="42" t="s">
        <v>6</v>
      </c>
      <c r="F20" s="91"/>
      <c r="G20" s="85"/>
      <c r="H20" s="233"/>
      <c r="I20" s="94"/>
      <c r="J20" s="42" t="s">
        <v>6</v>
      </c>
      <c r="K20" s="85"/>
      <c r="L20" s="92"/>
      <c r="M20" s="74"/>
    </row>
    <row r="21" spans="2:13" x14ac:dyDescent="0.25">
      <c r="B21" s="73"/>
      <c r="C21" s="46" t="s">
        <v>80</v>
      </c>
      <c r="D21" s="54" t="s">
        <v>257</v>
      </c>
      <c r="E21" s="42" t="s">
        <v>6</v>
      </c>
      <c r="F21" s="91"/>
      <c r="G21" s="85"/>
      <c r="H21" s="233"/>
      <c r="I21" s="94"/>
      <c r="J21" s="42" t="s">
        <v>6</v>
      </c>
      <c r="K21" s="85"/>
      <c r="L21" s="92"/>
      <c r="M21" s="74"/>
    </row>
    <row r="22" spans="2:13" x14ac:dyDescent="0.25">
      <c r="B22" s="73"/>
      <c r="C22" s="46" t="s">
        <v>82</v>
      </c>
      <c r="D22" s="47" t="s">
        <v>83</v>
      </c>
      <c r="E22" s="42" t="s">
        <v>6</v>
      </c>
      <c r="F22" s="91"/>
      <c r="G22" s="85"/>
      <c r="H22" s="233"/>
      <c r="I22" s="94"/>
      <c r="J22" s="42" t="s">
        <v>6</v>
      </c>
      <c r="K22" s="85"/>
      <c r="L22" s="92"/>
      <c r="M22" s="74"/>
    </row>
    <row r="23" spans="2:13" x14ac:dyDescent="0.25">
      <c r="B23" s="73"/>
      <c r="C23" s="48" t="s">
        <v>84</v>
      </c>
      <c r="D23" s="49"/>
      <c r="E23" s="42" t="s">
        <v>6</v>
      </c>
      <c r="F23" s="91"/>
      <c r="G23" s="85"/>
      <c r="H23" s="233"/>
      <c r="I23" s="94"/>
      <c r="J23" s="42" t="s">
        <v>6</v>
      </c>
      <c r="K23" s="85"/>
      <c r="L23" s="92"/>
      <c r="M23" s="74"/>
    </row>
    <row r="24" spans="2:13" x14ac:dyDescent="0.25">
      <c r="B24" s="73"/>
      <c r="C24" s="11"/>
      <c r="D24" s="11"/>
      <c r="E24" s="42" t="s">
        <v>6</v>
      </c>
      <c r="F24" s="91"/>
      <c r="G24" s="85"/>
      <c r="H24" s="233"/>
      <c r="I24" s="94"/>
      <c r="J24" s="42" t="s">
        <v>6</v>
      </c>
      <c r="K24" s="85"/>
      <c r="L24" s="92"/>
      <c r="M24" s="74"/>
    </row>
    <row r="25" spans="2:13" x14ac:dyDescent="0.25">
      <c r="B25" s="73"/>
      <c r="C25" s="11"/>
      <c r="D25" s="11"/>
      <c r="E25" s="42" t="s">
        <v>6</v>
      </c>
      <c r="F25" s="91"/>
      <c r="G25" s="85"/>
      <c r="H25" s="233"/>
      <c r="I25" s="94"/>
      <c r="J25" s="42" t="s">
        <v>6</v>
      </c>
      <c r="K25" s="85"/>
      <c r="L25" s="92"/>
      <c r="M25" s="74"/>
    </row>
    <row r="26" spans="2:13" x14ac:dyDescent="0.25">
      <c r="B26" s="73"/>
      <c r="C26" s="43" t="s">
        <v>85</v>
      </c>
      <c r="D26" s="11"/>
      <c r="E26" s="42" t="s">
        <v>6</v>
      </c>
      <c r="F26" s="91"/>
      <c r="G26" s="85"/>
      <c r="H26" s="233"/>
      <c r="I26" s="94"/>
      <c r="J26" s="42" t="s">
        <v>6</v>
      </c>
      <c r="K26" s="85"/>
      <c r="L26" s="92"/>
      <c r="M26" s="74"/>
    </row>
    <row r="27" spans="2:13" x14ac:dyDescent="0.25">
      <c r="B27" s="73"/>
      <c r="C27" s="50" t="s">
        <v>57</v>
      </c>
      <c r="D27" s="51" t="str">
        <f t="array" aca="1" ref="D27:D30" ca="1">IF(isUSD3MLLoaded,_xll.meLWOCurveCalibrate(D20,D21,D13,D22),"#WAIT")</f>
        <v>USD_BASIS_6M@19:1</v>
      </c>
      <c r="E27" s="42" t="s">
        <v>6</v>
      </c>
      <c r="F27" s="91"/>
      <c r="G27" s="85"/>
      <c r="H27" s="233"/>
      <c r="I27" s="94"/>
      <c r="J27" s="42" t="s">
        <v>6</v>
      </c>
      <c r="K27" s="85"/>
      <c r="L27" s="92"/>
      <c r="M27" s="74"/>
    </row>
    <row r="28" spans="2:13" x14ac:dyDescent="0.25">
      <c r="B28" s="73"/>
      <c r="C28" s="54" t="s">
        <v>86</v>
      </c>
      <c r="D28" s="52" t="str">
        <f ca="1"/>
        <v>USDYC</v>
      </c>
      <c r="E28" s="42" t="s">
        <v>6</v>
      </c>
      <c r="F28" s="91"/>
      <c r="G28" s="85"/>
      <c r="H28" s="233"/>
      <c r="I28" s="94"/>
      <c r="J28" s="42" t="s">
        <v>6</v>
      </c>
      <c r="K28" s="85"/>
      <c r="L28" s="92"/>
      <c r="M28" s="74"/>
    </row>
    <row r="29" spans="2:13" x14ac:dyDescent="0.25">
      <c r="B29" s="73"/>
      <c r="C29" s="54" t="s">
        <v>87</v>
      </c>
      <c r="D29" s="52" t="str">
        <f ca="1"/>
        <v>3M6MBasis:USD6ML</v>
      </c>
      <c r="E29" s="42" t="s">
        <v>6</v>
      </c>
      <c r="F29" s="91"/>
      <c r="G29" s="85"/>
      <c r="H29" s="233"/>
      <c r="I29" s="94"/>
      <c r="J29" s="42" t="s">
        <v>6</v>
      </c>
      <c r="K29" s="85"/>
      <c r="L29" s="92"/>
      <c r="M29" s="74"/>
    </row>
    <row r="30" spans="2:13" x14ac:dyDescent="0.25">
      <c r="B30" s="73"/>
      <c r="C30" s="55" t="s">
        <v>88</v>
      </c>
      <c r="D30" s="53" t="str">
        <f ca="1"/>
        <v>0.00700 sec</v>
      </c>
      <c r="E30" s="42" t="s">
        <v>6</v>
      </c>
      <c r="F30" s="99"/>
      <c r="G30" s="102"/>
      <c r="H30" s="234"/>
      <c r="I30" s="108"/>
      <c r="J30" s="42" t="s">
        <v>6</v>
      </c>
      <c r="K30" s="102"/>
      <c r="L30" s="103"/>
      <c r="M30" s="74"/>
    </row>
    <row r="31" spans="2:13" x14ac:dyDescent="0.25">
      <c r="B31" s="73"/>
      <c r="C31" s="65" t="s">
        <v>89</v>
      </c>
      <c r="D31" s="66" t="b">
        <f ca="1">LEFT(D27,3)=LEFT(D20,3)</f>
        <v>1</v>
      </c>
      <c r="E31" s="42" t="s">
        <v>6</v>
      </c>
      <c r="F31" s="11"/>
      <c r="G31" s="11"/>
      <c r="H31" s="11"/>
      <c r="I31" s="11"/>
      <c r="J31" s="11"/>
      <c r="K31" s="11"/>
      <c r="L31" s="11"/>
      <c r="M31" s="74"/>
    </row>
    <row r="32" spans="2:13" x14ac:dyDescent="0.25">
      <c r="B32" s="73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74"/>
    </row>
    <row r="33" spans="2:13" x14ac:dyDescent="0.25">
      <c r="B33" s="73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74"/>
    </row>
    <row r="34" spans="2:13" x14ac:dyDescent="0.25">
      <c r="B34" s="73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74"/>
    </row>
    <row r="35" spans="2:13" x14ac:dyDescent="0.25">
      <c r="B35" s="73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74"/>
    </row>
    <row r="36" spans="2:13" x14ac:dyDescent="0.25">
      <c r="B36" s="73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74"/>
    </row>
    <row r="37" spans="2:13" x14ac:dyDescent="0.25">
      <c r="B37" s="73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74"/>
    </row>
    <row r="38" spans="2:13" x14ac:dyDescent="0.25">
      <c r="B38" s="73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74"/>
    </row>
    <row r="39" spans="2:13" x14ac:dyDescent="0.25">
      <c r="B39" s="73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74"/>
    </row>
    <row r="40" spans="2:13" x14ac:dyDescent="0.25">
      <c r="B40" s="73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74"/>
    </row>
    <row r="41" spans="2:13" x14ac:dyDescent="0.25">
      <c r="B41" s="73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74"/>
    </row>
    <row r="42" spans="2:13" x14ac:dyDescent="0.25">
      <c r="B42" s="73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74"/>
    </row>
    <row r="43" spans="2:13" x14ac:dyDescent="0.25">
      <c r="B43" s="73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74"/>
    </row>
    <row r="44" spans="2:13" x14ac:dyDescent="0.25">
      <c r="B44" s="73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74"/>
    </row>
    <row r="45" spans="2:13" x14ac:dyDescent="0.25">
      <c r="B45" s="73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74"/>
    </row>
    <row r="46" spans="2:13" x14ac:dyDescent="0.25">
      <c r="B46" s="73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74"/>
    </row>
    <row r="47" spans="2:13" x14ac:dyDescent="0.25">
      <c r="B47" s="73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74"/>
    </row>
    <row r="48" spans="2:13" x14ac:dyDescent="0.25">
      <c r="B48" s="73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74"/>
    </row>
    <row r="49" spans="2:13" x14ac:dyDescent="0.25">
      <c r="B49" s="73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74"/>
    </row>
    <row r="50" spans="2:13" x14ac:dyDescent="0.25">
      <c r="B50" s="73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74"/>
    </row>
    <row r="51" spans="2:13" x14ac:dyDescent="0.25">
      <c r="B51" s="73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74"/>
    </row>
    <row r="52" spans="2:13" x14ac:dyDescent="0.25">
      <c r="B52" s="73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74"/>
    </row>
    <row r="53" spans="2:13" x14ac:dyDescent="0.25">
      <c r="B53" s="73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74"/>
    </row>
    <row r="54" spans="2:13" x14ac:dyDescent="0.25">
      <c r="B54" s="73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74"/>
    </row>
    <row r="55" spans="2:13" x14ac:dyDescent="0.25">
      <c r="B55" s="73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74"/>
    </row>
    <row r="56" spans="2:13" x14ac:dyDescent="0.25">
      <c r="B56" s="73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74"/>
    </row>
    <row r="57" spans="2:13" x14ac:dyDescent="0.25">
      <c r="B57" s="73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74"/>
    </row>
    <row r="58" spans="2:13" x14ac:dyDescent="0.25">
      <c r="B58" s="73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74"/>
    </row>
    <row r="59" spans="2:13" x14ac:dyDescent="0.25">
      <c r="B59" s="73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74"/>
    </row>
    <row r="60" spans="2:13" x14ac:dyDescent="0.25">
      <c r="B60" s="73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74"/>
    </row>
    <row r="61" spans="2:13" x14ac:dyDescent="0.25">
      <c r="B61" s="73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74"/>
    </row>
    <row r="62" spans="2:13" x14ac:dyDescent="0.25">
      <c r="B62" s="73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74"/>
    </row>
    <row r="63" spans="2:13" x14ac:dyDescent="0.25">
      <c r="B63" s="73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74"/>
    </row>
    <row r="64" spans="2:13" x14ac:dyDescent="0.25">
      <c r="B64" s="73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74"/>
    </row>
    <row r="65" spans="2:13" x14ac:dyDescent="0.25">
      <c r="B65" s="73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74"/>
    </row>
    <row r="66" spans="2:13" x14ac:dyDescent="0.25">
      <c r="B66" s="73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74"/>
    </row>
    <row r="67" spans="2:13" x14ac:dyDescent="0.25">
      <c r="B67" s="73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74"/>
    </row>
    <row r="68" spans="2:13" x14ac:dyDescent="0.25">
      <c r="B68" s="73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74"/>
    </row>
    <row r="69" spans="2:13" x14ac:dyDescent="0.25">
      <c r="B69" s="73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74"/>
    </row>
    <row r="70" spans="2:13" x14ac:dyDescent="0.25">
      <c r="B70" s="73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74"/>
    </row>
    <row r="71" spans="2:13" x14ac:dyDescent="0.25">
      <c r="B71" s="73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74"/>
    </row>
    <row r="72" spans="2:13" x14ac:dyDescent="0.25">
      <c r="B72" s="73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74"/>
    </row>
    <row r="73" spans="2:13" x14ac:dyDescent="0.25">
      <c r="B73" s="73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74"/>
    </row>
    <row r="74" spans="2:13" x14ac:dyDescent="0.25">
      <c r="B74" s="73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74"/>
    </row>
    <row r="75" spans="2:13" x14ac:dyDescent="0.25">
      <c r="B75" s="73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74"/>
    </row>
    <row r="76" spans="2:13" x14ac:dyDescent="0.25">
      <c r="B76" s="73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74"/>
    </row>
    <row r="77" spans="2:13" x14ac:dyDescent="0.25">
      <c r="B77" s="73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74"/>
    </row>
    <row r="78" spans="2:13" x14ac:dyDescent="0.25">
      <c r="B78" s="73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74"/>
    </row>
    <row r="79" spans="2:13" x14ac:dyDescent="0.25">
      <c r="B79" s="73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74"/>
    </row>
    <row r="80" spans="2:13" x14ac:dyDescent="0.25">
      <c r="B80" s="73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74"/>
    </row>
    <row r="81" spans="2:13" x14ac:dyDescent="0.25">
      <c r="B81" s="73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74"/>
    </row>
    <row r="82" spans="2:13" x14ac:dyDescent="0.25">
      <c r="B82" s="73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74"/>
    </row>
    <row r="83" spans="2:13" x14ac:dyDescent="0.25">
      <c r="B83" s="73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74"/>
    </row>
    <row r="84" spans="2:13" x14ac:dyDescent="0.25">
      <c r="B84" s="73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74"/>
    </row>
    <row r="85" spans="2:13" x14ac:dyDescent="0.25">
      <c r="B85" s="73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74"/>
    </row>
    <row r="86" spans="2:13" x14ac:dyDescent="0.25">
      <c r="B86" s="73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74"/>
    </row>
    <row r="87" spans="2:13" x14ac:dyDescent="0.25">
      <c r="B87" s="73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74"/>
    </row>
    <row r="88" spans="2:13" x14ac:dyDescent="0.25">
      <c r="B88" s="73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74"/>
    </row>
    <row r="89" spans="2:13" x14ac:dyDescent="0.25">
      <c r="B89" s="73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74"/>
    </row>
    <row r="90" spans="2:13" x14ac:dyDescent="0.25">
      <c r="B90" s="73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74"/>
    </row>
    <row r="91" spans="2:13" x14ac:dyDescent="0.25">
      <c r="B91" s="73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74"/>
    </row>
    <row r="92" spans="2:13" x14ac:dyDescent="0.25">
      <c r="B92" s="73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74"/>
    </row>
    <row r="93" spans="2:13" x14ac:dyDescent="0.25">
      <c r="B93" s="73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74"/>
    </row>
    <row r="94" spans="2:13" x14ac:dyDescent="0.25">
      <c r="B94" s="73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74"/>
    </row>
    <row r="95" spans="2:13" x14ac:dyDescent="0.25">
      <c r="B95" s="73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74"/>
    </row>
    <row r="96" spans="2:13" x14ac:dyDescent="0.25">
      <c r="B96" s="73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74"/>
    </row>
    <row r="97" spans="2:13" x14ac:dyDescent="0.25">
      <c r="B97" s="73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74"/>
    </row>
    <row r="98" spans="2:13" x14ac:dyDescent="0.25">
      <c r="B98" s="73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74"/>
    </row>
    <row r="99" spans="2:13" x14ac:dyDescent="0.25">
      <c r="B99" s="73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74"/>
    </row>
    <row r="100" spans="2:13" x14ac:dyDescent="0.25">
      <c r="B100" s="73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74"/>
    </row>
    <row r="101" spans="2:13" x14ac:dyDescent="0.25">
      <c r="B101" s="73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74"/>
    </row>
    <row r="102" spans="2:13" x14ac:dyDescent="0.25">
      <c r="B102" s="73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74"/>
    </row>
    <row r="103" spans="2:13" x14ac:dyDescent="0.25">
      <c r="B103" s="73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74"/>
    </row>
    <row r="104" spans="2:13" x14ac:dyDescent="0.25">
      <c r="B104" s="73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74"/>
    </row>
    <row r="105" spans="2:13" x14ac:dyDescent="0.25">
      <c r="B105" s="73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74"/>
    </row>
    <row r="106" spans="2:13" x14ac:dyDescent="0.25">
      <c r="B106" s="73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74"/>
    </row>
    <row r="107" spans="2:13" x14ac:dyDescent="0.25">
      <c r="B107" s="73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74"/>
    </row>
    <row r="108" spans="2:13" x14ac:dyDescent="0.25">
      <c r="B108" s="109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43"/>
  <sheetViews>
    <sheetView showGridLines="0" workbookViewId="0"/>
  </sheetViews>
  <sheetFormatPr defaultRowHeight="15" x14ac:dyDescent="0.25"/>
  <cols>
    <col min="2" max="2" width="27" bestFit="1" customWidth="1"/>
    <col min="3" max="3" width="22.5703125" customWidth="1"/>
    <col min="4" max="4" width="24.140625" bestFit="1" customWidth="1"/>
    <col min="5" max="5" width="29.7109375" bestFit="1" customWidth="1"/>
    <col min="6" max="6" width="11" bestFit="1" customWidth="1"/>
    <col min="7" max="7" width="18" bestFit="1" customWidth="1"/>
    <col min="8" max="8" width="17.5703125" bestFit="1" customWidth="1"/>
    <col min="10" max="10" width="27.42578125" bestFit="1" customWidth="1"/>
    <col min="11" max="11" width="11" bestFit="1" customWidth="1"/>
    <col min="12" max="12" width="18" bestFit="1" customWidth="1"/>
    <col min="13" max="13" width="17.5703125" bestFit="1" customWidth="1"/>
  </cols>
  <sheetData>
    <row r="2" spans="2:13" x14ac:dyDescent="0.25">
      <c r="B2" s="175" t="s">
        <v>184</v>
      </c>
      <c r="C2" s="176"/>
      <c r="D2" s="176"/>
      <c r="E2" s="176"/>
      <c r="F2" s="176"/>
      <c r="G2" s="176"/>
      <c r="H2" s="176"/>
      <c r="I2" s="176"/>
      <c r="J2" s="176"/>
      <c r="K2" s="176"/>
      <c r="L2" s="176"/>
      <c r="M2" s="176"/>
    </row>
    <row r="3" spans="2:13" x14ac:dyDescent="0.25">
      <c r="B3" s="125" t="s">
        <v>185</v>
      </c>
      <c r="C3" s="126" t="s">
        <v>186</v>
      </c>
      <c r="D3" s="176"/>
      <c r="E3" s="222"/>
      <c r="F3" s="176"/>
      <c r="G3" s="176"/>
      <c r="H3" s="176"/>
      <c r="I3" s="176"/>
      <c r="J3" s="176"/>
      <c r="K3" s="176"/>
      <c r="L3" s="176"/>
      <c r="M3" s="176"/>
    </row>
    <row r="4" spans="2:13" x14ac:dyDescent="0.25">
      <c r="B4" s="127" t="s">
        <v>187</v>
      </c>
      <c r="C4" s="128" t="str">
        <f ca="1">IF(isUSD6MLLoaded,_xll.meLWOCreditModelCreate(C3,B6,B7:C20,B22,B24:C31),"#WAIT")</f>
        <v>CREDITMODEL1@20:1</v>
      </c>
      <c r="D4" s="176"/>
      <c r="E4" s="176"/>
      <c r="F4" s="176"/>
      <c r="G4" s="176"/>
      <c r="H4" s="176"/>
      <c r="I4" s="176"/>
      <c r="J4" s="176"/>
      <c r="K4" s="176"/>
      <c r="L4" s="176"/>
      <c r="M4" s="177" t="s">
        <v>188</v>
      </c>
    </row>
    <row r="5" spans="2:13" x14ac:dyDescent="0.25">
      <c r="B5" s="176"/>
      <c r="C5" s="176"/>
      <c r="D5" s="176"/>
      <c r="E5" s="176"/>
      <c r="F5" s="176"/>
      <c r="G5" s="176"/>
      <c r="H5" s="176"/>
      <c r="I5" s="176"/>
      <c r="J5" s="176"/>
      <c r="K5" s="176"/>
      <c r="L5" s="176"/>
      <c r="M5" s="178">
        <f ca="1">SUM(F8:H15)-SUM(K8:M15)</f>
        <v>0</v>
      </c>
    </row>
    <row r="6" spans="2:13" x14ac:dyDescent="0.25">
      <c r="B6" s="175" t="s">
        <v>189</v>
      </c>
      <c r="C6" s="176"/>
      <c r="D6" s="176"/>
      <c r="E6" s="175" t="s">
        <v>190</v>
      </c>
      <c r="F6" s="179"/>
      <c r="G6" s="176"/>
      <c r="H6" s="176"/>
      <c r="I6" s="176"/>
      <c r="J6" s="175" t="s">
        <v>191</v>
      </c>
      <c r="K6" s="176"/>
      <c r="L6" s="176"/>
      <c r="M6" s="176"/>
    </row>
    <row r="7" spans="2:13" x14ac:dyDescent="0.25">
      <c r="B7" s="114" t="s">
        <v>35</v>
      </c>
      <c r="C7" s="180">
        <f ca="1">COB</f>
        <v>43579</v>
      </c>
      <c r="D7" s="176"/>
      <c r="E7" s="181" t="s">
        <v>192</v>
      </c>
      <c r="F7" s="181" t="s">
        <v>193</v>
      </c>
      <c r="G7" s="179" t="s">
        <v>194</v>
      </c>
      <c r="H7" s="179" t="s">
        <v>195</v>
      </c>
      <c r="I7" s="176"/>
      <c r="J7" s="181" t="s">
        <v>192</v>
      </c>
      <c r="K7" s="181" t="s">
        <v>193</v>
      </c>
      <c r="L7" s="179" t="s">
        <v>194</v>
      </c>
      <c r="M7" s="179" t="s">
        <v>195</v>
      </c>
    </row>
    <row r="8" spans="2:13" x14ac:dyDescent="0.25">
      <c r="B8" s="115" t="s">
        <v>196</v>
      </c>
      <c r="C8" s="132" t="s">
        <v>197</v>
      </c>
      <c r="D8" s="176"/>
      <c r="E8" s="182">
        <f t="array" aca="1" ref="E8:H20" ca="1">_xll.meUtilityResize(_xll.meLWOCreditModelCalibrationParameters(C4),20,10)</f>
        <v>43728</v>
      </c>
      <c r="F8" s="183">
        <f ca="1"/>
        <v>3.7133335468476302E-3</v>
      </c>
      <c r="G8" s="183">
        <f ca="1"/>
        <v>0.99846427294172801</v>
      </c>
      <c r="H8" s="184">
        <f ca="1"/>
        <v>1.5357270582718699E-3</v>
      </c>
      <c r="I8" s="176"/>
      <c r="J8" s="182">
        <f t="shared" ref="J8:J15" ca="1" si="0">E8</f>
        <v>43728</v>
      </c>
      <c r="K8" s="183">
        <f ca="1">IF(J8="","",_xll.meLWOCreditModelHazardRate($C$4,J8))</f>
        <v>3.7133335468476332E-3</v>
      </c>
      <c r="L8" s="183">
        <f ca="1">IF(J8="","",_xll.meLWOCreditModelSurvivalProbability($C$4,J8))</f>
        <v>0.99846427294172813</v>
      </c>
      <c r="M8" s="184">
        <f ca="1">1-L8</f>
        <v>1.5357270582718741E-3</v>
      </c>
    </row>
    <row r="9" spans="2:13" x14ac:dyDescent="0.25">
      <c r="B9" s="115" t="s">
        <v>198</v>
      </c>
      <c r="C9" s="132" t="s">
        <v>140</v>
      </c>
      <c r="D9" s="176"/>
      <c r="E9" s="185">
        <f ca="1"/>
        <v>43910</v>
      </c>
      <c r="F9" s="186">
        <f ca="1"/>
        <v>2.5268570446879699E-3</v>
      </c>
      <c r="G9" s="186">
        <f ca="1"/>
        <v>0.99718958252531797</v>
      </c>
      <c r="H9" s="187">
        <f ca="1"/>
        <v>2.8104174746822501E-3</v>
      </c>
      <c r="I9" s="176"/>
      <c r="J9" s="185">
        <f t="shared" ca="1" si="0"/>
        <v>43910</v>
      </c>
      <c r="K9" s="186">
        <f ca="1">IF(J9="","",_xll.meLWOCreditModelHazardRate($C$4,J9))</f>
        <v>2.5268570446879681E-3</v>
      </c>
      <c r="L9" s="186">
        <f ca="1">IF(J9="","",_xll.meLWOCreditModelSurvivalProbability($C$4,J9))</f>
        <v>0.99718958252531775</v>
      </c>
      <c r="M9" s="187">
        <f t="shared" ref="M9:M15" ca="1" si="1">1-L9</f>
        <v>2.8104174746822475E-3</v>
      </c>
    </row>
    <row r="10" spans="2:13" x14ac:dyDescent="0.25">
      <c r="B10" s="115" t="s">
        <v>199</v>
      </c>
      <c r="C10" s="132" t="s">
        <v>200</v>
      </c>
      <c r="D10" s="176"/>
      <c r="E10" s="185">
        <f ca="1"/>
        <v>44277</v>
      </c>
      <c r="F10" s="186">
        <f ca="1"/>
        <v>3.7795593612159799E-3</v>
      </c>
      <c r="G10" s="186">
        <f ca="1"/>
        <v>0.99335475305404897</v>
      </c>
      <c r="H10" s="187">
        <f ca="1"/>
        <v>6.6452469459513698E-3</v>
      </c>
      <c r="I10" s="176"/>
      <c r="J10" s="185">
        <f t="shared" ca="1" si="0"/>
        <v>44277</v>
      </c>
      <c r="K10" s="186">
        <f ca="1">IF(J10="","",_xll.meLWOCreditModelHazardRate($C$4,J10))</f>
        <v>3.7795593612159764E-3</v>
      </c>
      <c r="L10" s="186">
        <f ca="1">IF(J10="","",_xll.meLWOCreditModelSurvivalProbability($C$4,J10))</f>
        <v>0.99335475305404863</v>
      </c>
      <c r="M10" s="187">
        <f t="shared" ca="1" si="1"/>
        <v>6.6452469459513663E-3</v>
      </c>
    </row>
    <row r="11" spans="2:13" x14ac:dyDescent="0.25">
      <c r="B11" s="115" t="s">
        <v>201</v>
      </c>
      <c r="C11" s="132">
        <f ca="1">C7</f>
        <v>43579</v>
      </c>
      <c r="D11" s="176"/>
      <c r="E11" s="185">
        <f ca="1"/>
        <v>44641</v>
      </c>
      <c r="F11" s="186">
        <f ca="1"/>
        <v>4.1012251438784899E-3</v>
      </c>
      <c r="G11" s="186">
        <f ca="1"/>
        <v>0.98924404423672496</v>
      </c>
      <c r="H11" s="187">
        <f ca="1"/>
        <v>1.07559557632748E-2</v>
      </c>
      <c r="I11" s="176"/>
      <c r="J11" s="185">
        <f t="shared" ca="1" si="0"/>
        <v>44641</v>
      </c>
      <c r="K11" s="186">
        <f ca="1">IF(J11="","",_xll.meLWOCreditModelHazardRate($C$4,J11))</f>
        <v>4.1012251438784855E-3</v>
      </c>
      <c r="L11" s="186">
        <f ca="1">IF(J11="","",_xll.meLWOCreditModelSurvivalProbability($C$4,J11))</f>
        <v>0.98924404423672518</v>
      </c>
      <c r="M11" s="187">
        <f t="shared" ca="1" si="1"/>
        <v>1.0755955763274816E-2</v>
      </c>
    </row>
    <row r="12" spans="2:13" x14ac:dyDescent="0.25">
      <c r="B12" s="115" t="s">
        <v>202</v>
      </c>
      <c r="C12" s="244">
        <f ca="1">_xll.meDateIMMCurrent(C7)</f>
        <v>43544</v>
      </c>
      <c r="D12" s="188" t="s">
        <v>266</v>
      </c>
      <c r="E12" s="185">
        <f ca="1"/>
        <v>45005</v>
      </c>
      <c r="F12" s="186">
        <f ca="1"/>
        <v>4.5114938929658099E-3</v>
      </c>
      <c r="G12" s="186">
        <f ca="1"/>
        <v>0.98474176389074997</v>
      </c>
      <c r="H12" s="187">
        <f ca="1"/>
        <v>1.52582361092504E-2</v>
      </c>
      <c r="I12" s="176"/>
      <c r="J12" s="185">
        <f t="shared" ca="1" si="0"/>
        <v>45005</v>
      </c>
      <c r="K12" s="186">
        <f ca="1">IF(J12="","",_xll.meLWOCreditModelHazardRate($C$4,J12))</f>
        <v>4.5114938929658134E-3</v>
      </c>
      <c r="L12" s="186">
        <f ca="1">IF(J12="","",_xll.meLWOCreditModelSurvivalProbability($C$4,J12))</f>
        <v>0.98474176389074963</v>
      </c>
      <c r="M12" s="187">
        <f t="shared" ca="1" si="1"/>
        <v>1.5258236109250367E-2</v>
      </c>
    </row>
    <row r="13" spans="2:13" x14ac:dyDescent="0.25">
      <c r="B13" s="130" t="s">
        <v>15</v>
      </c>
      <c r="C13" s="131" t="s">
        <v>16</v>
      </c>
      <c r="D13" s="176"/>
      <c r="E13" s="185">
        <f ca="1"/>
        <v>45371</v>
      </c>
      <c r="F13" s="186">
        <f ca="1"/>
        <v>4.0082578704447496E-3</v>
      </c>
      <c r="G13" s="186">
        <f ca="1"/>
        <v>0.98073704526377903</v>
      </c>
      <c r="H13" s="187">
        <f ca="1"/>
        <v>1.9262954736221E-2</v>
      </c>
      <c r="I13" s="176"/>
      <c r="J13" s="185">
        <f t="shared" ca="1" si="0"/>
        <v>45371</v>
      </c>
      <c r="K13" s="186">
        <f ca="1">IF(J13="","",_xll.meLWOCreditModelHazardRate($C$4,J13))</f>
        <v>4.0082578704447496E-3</v>
      </c>
      <c r="L13" s="186">
        <f ca="1">IF(J13="","",_xll.meLWOCreditModelSurvivalProbability($C$4,J13))</f>
        <v>0.98073704526377903</v>
      </c>
      <c r="M13" s="187">
        <f t="shared" ca="1" si="1"/>
        <v>1.9262954736220972E-2</v>
      </c>
    </row>
    <row r="14" spans="2:13" x14ac:dyDescent="0.25">
      <c r="B14" s="130" t="s">
        <v>203</v>
      </c>
      <c r="C14" s="189">
        <v>0.4</v>
      </c>
      <c r="D14" s="176"/>
      <c r="E14" s="185">
        <f ca="1"/>
        <v>46101</v>
      </c>
      <c r="F14" s="186">
        <f ca="1"/>
        <v>6.4754073962307798E-3</v>
      </c>
      <c r="G14" s="186">
        <f ca="1"/>
        <v>0.96794347189877405</v>
      </c>
      <c r="H14" s="187">
        <f ca="1"/>
        <v>3.2056528101225702E-2</v>
      </c>
      <c r="I14" s="176"/>
      <c r="J14" s="185">
        <f t="shared" ca="1" si="0"/>
        <v>46101</v>
      </c>
      <c r="K14" s="186">
        <f ca="1">IF(J14="","",_xll.meLWOCreditModelHazardRate($C$4,J14))</f>
        <v>6.4754073962307807E-3</v>
      </c>
      <c r="L14" s="186">
        <f ca="1">IF(J14="","",_xll.meLWOCreditModelSurvivalProbability($C$4,J14))</f>
        <v>0.96794347189877428</v>
      </c>
      <c r="M14" s="187">
        <f t="shared" ca="1" si="1"/>
        <v>3.2056528101225723E-2</v>
      </c>
    </row>
    <row r="15" spans="2:13" x14ac:dyDescent="0.25">
      <c r="B15" s="130" t="s">
        <v>204</v>
      </c>
      <c r="C15" s="132" t="b">
        <v>1</v>
      </c>
      <c r="D15" s="176"/>
      <c r="E15" s="185">
        <f ca="1"/>
        <v>47197</v>
      </c>
      <c r="F15" s="186">
        <f ca="1"/>
        <v>7.0730373087517697E-3</v>
      </c>
      <c r="G15" s="186">
        <f ca="1"/>
        <v>0.94732310185106605</v>
      </c>
      <c r="H15" s="187">
        <f ca="1"/>
        <v>5.2676898148933698E-2</v>
      </c>
      <c r="I15" s="176"/>
      <c r="J15" s="185">
        <f t="shared" ca="1" si="0"/>
        <v>47197</v>
      </c>
      <c r="K15" s="186">
        <f ca="1">IF(J15="","",_xll.meLWOCreditModelHazardRate($C$4,J15))</f>
        <v>7.0730373087517723E-3</v>
      </c>
      <c r="L15" s="186">
        <f ca="1">IF(J15="","",_xll.meLWOCreditModelSurvivalProbability($C$4,J15))</f>
        <v>0.94732310185106627</v>
      </c>
      <c r="M15" s="187">
        <f t="shared" ca="1" si="1"/>
        <v>5.2676898148933726E-2</v>
      </c>
    </row>
    <row r="16" spans="2:13" x14ac:dyDescent="0.25">
      <c r="B16" s="130" t="s">
        <v>267</v>
      </c>
      <c r="C16" s="132" t="s">
        <v>83</v>
      </c>
      <c r="D16" s="176"/>
      <c r="E16" s="185" t="str">
        <f ca="1"/>
        <v/>
      </c>
      <c r="F16" s="186" t="str">
        <f ca="1"/>
        <v/>
      </c>
      <c r="G16" s="186" t="str">
        <f ca="1"/>
        <v/>
      </c>
      <c r="H16" s="187" t="str">
        <f ca="1"/>
        <v/>
      </c>
      <c r="I16" s="176"/>
      <c r="J16" s="185"/>
      <c r="K16" s="186"/>
      <c r="L16" s="186"/>
      <c r="M16" s="187"/>
    </row>
    <row r="17" spans="2:13" x14ac:dyDescent="0.25">
      <c r="B17" s="130" t="s">
        <v>169</v>
      </c>
      <c r="C17" s="132" t="s">
        <v>205</v>
      </c>
      <c r="D17" s="176"/>
      <c r="E17" s="185" t="str">
        <f ca="1"/>
        <v/>
      </c>
      <c r="F17" s="186" t="str">
        <f ca="1"/>
        <v/>
      </c>
      <c r="G17" s="186" t="str">
        <f ca="1"/>
        <v/>
      </c>
      <c r="H17" s="187" t="str">
        <f ca="1"/>
        <v/>
      </c>
      <c r="I17" s="176"/>
      <c r="J17" s="185"/>
      <c r="K17" s="186"/>
      <c r="L17" s="186"/>
      <c r="M17" s="187"/>
    </row>
    <row r="18" spans="2:13" x14ac:dyDescent="0.25">
      <c r="B18" s="130" t="s">
        <v>206</v>
      </c>
      <c r="C18" s="132" t="s">
        <v>207</v>
      </c>
      <c r="D18" s="176"/>
      <c r="E18" s="185" t="str">
        <f ca="1"/>
        <v/>
      </c>
      <c r="F18" s="186" t="str">
        <f ca="1"/>
        <v/>
      </c>
      <c r="G18" s="186" t="str">
        <f ca="1"/>
        <v/>
      </c>
      <c r="H18" s="187" t="str">
        <f ca="1"/>
        <v/>
      </c>
      <c r="I18" s="176"/>
      <c r="J18" s="185"/>
      <c r="K18" s="186"/>
      <c r="L18" s="186"/>
      <c r="M18" s="187"/>
    </row>
    <row r="19" spans="2:13" x14ac:dyDescent="0.25">
      <c r="B19" s="130" t="s">
        <v>208</v>
      </c>
      <c r="C19" s="132" t="s">
        <v>209</v>
      </c>
      <c r="D19" s="176"/>
      <c r="E19" s="185" t="str">
        <f ca="1"/>
        <v/>
      </c>
      <c r="F19" s="186" t="str">
        <f ca="1"/>
        <v/>
      </c>
      <c r="G19" s="186" t="str">
        <f ca="1"/>
        <v/>
      </c>
      <c r="H19" s="187" t="str">
        <f ca="1"/>
        <v/>
      </c>
      <c r="I19" s="176"/>
      <c r="J19" s="185"/>
      <c r="K19" s="186"/>
      <c r="L19" s="186"/>
      <c r="M19" s="187"/>
    </row>
    <row r="20" spans="2:13" x14ac:dyDescent="0.25">
      <c r="B20" s="127" t="s">
        <v>210</v>
      </c>
      <c r="C20" s="133" t="s">
        <v>211</v>
      </c>
      <c r="D20" s="176"/>
      <c r="E20" s="190" t="str">
        <f ca="1"/>
        <v/>
      </c>
      <c r="F20" s="191" t="str">
        <f ca="1"/>
        <v/>
      </c>
      <c r="G20" s="191" t="str">
        <f ca="1"/>
        <v/>
      </c>
      <c r="H20" s="192" t="str">
        <f ca="1"/>
        <v/>
      </c>
      <c r="I20" s="176"/>
      <c r="J20" s="190"/>
      <c r="K20" s="191"/>
      <c r="L20" s="191"/>
      <c r="M20" s="192"/>
    </row>
    <row r="21" spans="2:13" x14ac:dyDescent="0.25">
      <c r="B21" s="176"/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x14ac:dyDescent="0.25">
      <c r="B22" s="175" t="s">
        <v>212</v>
      </c>
      <c r="C22" s="176"/>
      <c r="D22" s="176"/>
      <c r="E22" s="175" t="s">
        <v>213</v>
      </c>
      <c r="F22" s="176"/>
      <c r="G22" s="176"/>
      <c r="H22" s="176"/>
      <c r="I22" s="176"/>
      <c r="J22" s="176"/>
      <c r="K22" s="176"/>
      <c r="L22" s="176"/>
      <c r="M22" s="176"/>
    </row>
    <row r="23" spans="2:13" x14ac:dyDescent="0.25">
      <c r="B23" s="181" t="s">
        <v>192</v>
      </c>
      <c r="C23" s="181" t="s">
        <v>214</v>
      </c>
      <c r="D23" s="176"/>
      <c r="E23" s="181" t="s">
        <v>192</v>
      </c>
      <c r="F23" s="181" t="s">
        <v>196</v>
      </c>
      <c r="G23" s="181" t="s">
        <v>173</v>
      </c>
      <c r="H23" s="181" t="s">
        <v>174</v>
      </c>
      <c r="I23" s="181" t="s">
        <v>215</v>
      </c>
      <c r="J23" s="181" t="s">
        <v>216</v>
      </c>
      <c r="K23" s="181" t="s">
        <v>217</v>
      </c>
      <c r="L23" s="181" t="s">
        <v>182</v>
      </c>
      <c r="M23" s="193" t="s">
        <v>188</v>
      </c>
    </row>
    <row r="24" spans="2:13" x14ac:dyDescent="0.25">
      <c r="B24" s="194" t="s">
        <v>71</v>
      </c>
      <c r="C24" s="195">
        <v>2.2279999999999999E-3</v>
      </c>
      <c r="D24" s="176"/>
      <c r="E24" s="196" t="str">
        <f t="shared" ref="E24:E31" si="2">B24</f>
        <v>6M</v>
      </c>
      <c r="F24" s="197" t="s">
        <v>197</v>
      </c>
      <c r="G24" s="198">
        <f ca="1">_xll.meDateFromTenor($C$7,$C$8,$C$9,$C$10)</f>
        <v>43586</v>
      </c>
      <c r="H24" s="198">
        <f ca="1">_xll.meDateFromTenor($C$12,E24,)</f>
        <v>43728</v>
      </c>
      <c r="I24" s="199" t="s">
        <v>218</v>
      </c>
      <c r="J24" s="144" t="str">
        <f ca="1">_xll.meLWOSwapCreateFromGenerator("CDS_"&amp;E24,$C$17,"PAY",1,G24,H24,C24,0)</f>
        <v>CDS_6M@16:23</v>
      </c>
      <c r="K24" s="200">
        <f ca="1">_xll.meLWOCreditDefaultSwapPV(J24,$C$4)</f>
        <v>4.1416522988946269E-17</v>
      </c>
      <c r="L24" s="201">
        <f ca="1">_xll.meLWOCreditDefaultSwapParSpread(J24,$C$4)</f>
        <v>2.2280000000001058E-3</v>
      </c>
      <c r="M24" s="202">
        <f t="shared" ref="M24:M31" ca="1" si="3">L24-C24</f>
        <v>1.0581813203458523E-16</v>
      </c>
    </row>
    <row r="25" spans="2:13" x14ac:dyDescent="0.25">
      <c r="B25" s="203" t="s">
        <v>75</v>
      </c>
      <c r="C25" s="134">
        <v>1.8301300000000001E-3</v>
      </c>
      <c r="D25" s="176"/>
      <c r="E25" s="146" t="str">
        <f t="shared" si="2"/>
        <v>1Y</v>
      </c>
      <c r="F25" s="78" t="s">
        <v>197</v>
      </c>
      <c r="G25" s="204">
        <f ca="1">_xll.meDateFromTenor($C$7,$C$8,$C$9,$C$10)</f>
        <v>43586</v>
      </c>
      <c r="H25" s="204">
        <f ca="1">_xll.meDateFromTenor($C$12,E25,)</f>
        <v>43910</v>
      </c>
      <c r="I25" s="205" t="s">
        <v>218</v>
      </c>
      <c r="J25" s="147" t="str">
        <f ca="1">_xll.meLWOSwapCreateFromGenerator("CDS_"&amp;E25,$C$17,"PAY",1,G25,H25,C25,0)</f>
        <v>CDS_1Y@15:23</v>
      </c>
      <c r="K25" s="159">
        <f ca="1">_xll.meLWOCreditDefaultSwapPV(J25,$C$4)</f>
        <v>1.0711917464156784E-16</v>
      </c>
      <c r="L25" s="165">
        <f ca="1">_xll.meLWOCreditDefaultSwapParSpread(J25,$C$4)</f>
        <v>1.8301300000001209E-3</v>
      </c>
      <c r="M25" s="206">
        <f t="shared" ca="1" si="3"/>
        <v>1.2078012201488519E-16</v>
      </c>
    </row>
    <row r="26" spans="2:13" x14ac:dyDescent="0.25">
      <c r="B26" s="203" t="s">
        <v>77</v>
      </c>
      <c r="C26" s="134">
        <v>2.0593E-3</v>
      </c>
      <c r="D26" s="176"/>
      <c r="E26" s="146" t="str">
        <f t="shared" si="2"/>
        <v>2Y</v>
      </c>
      <c r="F26" s="78" t="s">
        <v>197</v>
      </c>
      <c r="G26" s="204">
        <f ca="1">_xll.meDateFromTenor($C$7,$C$8,$C$9,$C$10)</f>
        <v>43586</v>
      </c>
      <c r="H26" s="204">
        <f ca="1">_xll.meDateFromTenor($C$12,E26,)</f>
        <v>44275</v>
      </c>
      <c r="I26" s="205" t="s">
        <v>218</v>
      </c>
      <c r="J26" s="147" t="str">
        <f ca="1">_xll.meLWOSwapCreateFromGenerator("CDS_"&amp;E26,$C$17,"PAY",1,G26,H26,C26,0)</f>
        <v>CDS_2Y@10:23</v>
      </c>
      <c r="K26" s="159">
        <f ca="1">_xll.meLWOCreditDefaultSwapPV(J26,$C$4)</f>
        <v>2.6237692574149207E-16</v>
      </c>
      <c r="L26" s="165">
        <f ca="1">_xll.meLWOCreditDefaultSwapParSpread(J26,$C$4)</f>
        <v>2.0593000000001405E-3</v>
      </c>
      <c r="M26" s="206">
        <f t="shared" ca="1" si="3"/>
        <v>1.4051260155412137E-16</v>
      </c>
    </row>
    <row r="27" spans="2:13" x14ac:dyDescent="0.25">
      <c r="B27" s="203" t="s">
        <v>102</v>
      </c>
      <c r="C27" s="134">
        <v>2.1943800000000001E-3</v>
      </c>
      <c r="D27" s="176"/>
      <c r="E27" s="146" t="str">
        <f t="shared" si="2"/>
        <v>3Y</v>
      </c>
      <c r="F27" s="78" t="s">
        <v>197</v>
      </c>
      <c r="G27" s="204">
        <f ca="1">_xll.meDateFromTenor($C$7,$C$8,$C$9,$C$10)</f>
        <v>43586</v>
      </c>
      <c r="H27" s="204">
        <f ca="1">_xll.meDateFromTenor($C$12,E27,)</f>
        <v>44640</v>
      </c>
      <c r="I27" s="205" t="s">
        <v>218</v>
      </c>
      <c r="J27" s="147" t="str">
        <f ca="1">_xll.meLWOSwapCreateFromGenerator("CDS_"&amp;E27,$C$17,"PAY",1,G27,H27,C27,0)</f>
        <v>CDS_3Y@17:23</v>
      </c>
      <c r="K27" s="159">
        <f ca="1">_xll.meLWOCreditDefaultSwapPV(J27,$C$4)</f>
        <v>4.4235448637408581E-16</v>
      </c>
      <c r="L27" s="165">
        <f ca="1">_xll.meLWOCreditDefaultSwapParSpread(J27,$C$4)</f>
        <v>2.1943800000001575E-3</v>
      </c>
      <c r="M27" s="206">
        <f t="shared" ca="1" si="3"/>
        <v>1.5742615544489524E-16</v>
      </c>
    </row>
    <row r="28" spans="2:13" x14ac:dyDescent="0.25">
      <c r="B28" s="203" t="s">
        <v>20</v>
      </c>
      <c r="C28" s="134">
        <v>2.3206299999999997E-3</v>
      </c>
      <c r="D28" s="176"/>
      <c r="E28" s="146" t="str">
        <f t="shared" si="2"/>
        <v>4Y</v>
      </c>
      <c r="F28" s="78" t="s">
        <v>197</v>
      </c>
      <c r="G28" s="204">
        <f ca="1">_xll.meDateFromTenor($C$7,$C$8,$C$9,$C$10)</f>
        <v>43586</v>
      </c>
      <c r="H28" s="204">
        <f ca="1">_xll.meDateFromTenor($C$12,E28,)</f>
        <v>45005</v>
      </c>
      <c r="I28" s="205" t="s">
        <v>218</v>
      </c>
      <c r="J28" s="147" t="str">
        <f ca="1">_xll.meLWOSwapCreateFromGenerator("CDS_"&amp;E28,$C$17,"PAY",1,G28,H28,C28,0)</f>
        <v>CDS_4Y@12:23</v>
      </c>
      <c r="K28" s="159">
        <f ca="1">_xll.meLWOCreditDefaultSwapPV(J28,$C$4)</f>
        <v>-1.8370721610594387E-15</v>
      </c>
      <c r="L28" s="165">
        <f ca="1">_xll.meLWOCreditDefaultSwapParSpread(J28,$C$4)</f>
        <v>2.3206299999995075E-3</v>
      </c>
      <c r="M28" s="206">
        <f t="shared" ca="1" si="3"/>
        <v>-4.9222778630841901E-16</v>
      </c>
    </row>
    <row r="29" spans="2:13" x14ac:dyDescent="0.25">
      <c r="B29" s="203" t="s">
        <v>26</v>
      </c>
      <c r="C29" s="134">
        <v>2.3370000000000001E-3</v>
      </c>
      <c r="D29" s="176"/>
      <c r="E29" s="146" t="str">
        <f t="shared" si="2"/>
        <v>5Y</v>
      </c>
      <c r="F29" s="78" t="s">
        <v>197</v>
      </c>
      <c r="G29" s="204">
        <f ca="1">_xll.meDateFromTenor($C$7,$C$8,$C$9,$C$10)</f>
        <v>43586</v>
      </c>
      <c r="H29" s="204">
        <f ca="1">_xll.meDateFromTenor($C$12,E29,)</f>
        <v>45371</v>
      </c>
      <c r="I29" s="205" t="s">
        <v>218</v>
      </c>
      <c r="J29" s="147" t="str">
        <f ca="1">_xll.meLWOSwapCreateFromGenerator("CDS_"&amp;E29,$C$17,"PAY",1,G29,H29,C29,0)</f>
        <v>CDS_5Y@14:23</v>
      </c>
      <c r="K29" s="159">
        <f ca="1">_xll.meLWOCreditDefaultSwapPV(J29,$C$4)</f>
        <v>3.6429192995512949E-17</v>
      </c>
      <c r="L29" s="165">
        <f ca="1">_xll.meLWOCreditDefaultSwapParSpread(J29,$C$4)</f>
        <v>2.3370000000000083E-3</v>
      </c>
      <c r="M29" s="206">
        <f t="shared" ca="1" si="3"/>
        <v>8.2399365108898337E-18</v>
      </c>
    </row>
    <row r="30" spans="2:13" x14ac:dyDescent="0.25">
      <c r="B30" s="203" t="s">
        <v>33</v>
      </c>
      <c r="C30" s="134">
        <v>2.7550700000000001E-3</v>
      </c>
      <c r="D30" s="176"/>
      <c r="E30" s="146" t="str">
        <f t="shared" si="2"/>
        <v>7Y</v>
      </c>
      <c r="F30" s="78" t="s">
        <v>197</v>
      </c>
      <c r="G30" s="204">
        <f ca="1">_xll.meDateFromTenor($C$7,$C$8,$C$9,$C$10)</f>
        <v>43586</v>
      </c>
      <c r="H30" s="204">
        <f ca="1">_xll.meDateFromTenor($C$12,E30,)</f>
        <v>46101</v>
      </c>
      <c r="I30" s="205" t="s">
        <v>218</v>
      </c>
      <c r="J30" s="147" t="str">
        <f ca="1">_xll.meLWOSwapCreateFromGenerator("CDS_"&amp;E30,$C$17,"PAY",1,G30,H30,C30,0)</f>
        <v>CDS_7Y@13:23</v>
      </c>
      <c r="K30" s="159">
        <f ca="1">_xll.meLWOCreditDefaultSwapPV(J30,$C$4)</f>
        <v>-4.8803669439045905E-12</v>
      </c>
      <c r="L30" s="165">
        <f ca="1">_xll.meLWOCreditDefaultSwapParSpread(J30,$C$4)</f>
        <v>2.7550699992302291E-3</v>
      </c>
      <c r="M30" s="206">
        <f t="shared" ca="1" si="3"/>
        <v>-7.6977096571950732E-13</v>
      </c>
    </row>
    <row r="31" spans="2:13" x14ac:dyDescent="0.25">
      <c r="B31" s="203" t="s">
        <v>39</v>
      </c>
      <c r="C31" s="134">
        <v>3.1609699999999999E-3</v>
      </c>
      <c r="D31" s="176"/>
      <c r="E31" s="146" t="str">
        <f t="shared" si="2"/>
        <v>10Y</v>
      </c>
      <c r="F31" s="78" t="s">
        <v>197</v>
      </c>
      <c r="G31" s="204">
        <f ca="1">_xll.meDateFromTenor($C$7,$C$8,$C$9,$C$10)</f>
        <v>43586</v>
      </c>
      <c r="H31" s="204">
        <f ca="1">_xll.meDateFromTenor($C$12,E31,)</f>
        <v>47197</v>
      </c>
      <c r="I31" s="205" t="s">
        <v>218</v>
      </c>
      <c r="J31" s="147" t="str">
        <f ca="1">_xll.meLWOSwapCreateFromGenerator("CDS_"&amp;E31,$C$17,"PAY",1,G31,H31,C31,0)</f>
        <v>CDS_10Y@9:23</v>
      </c>
      <c r="K31" s="159">
        <f ca="1">_xll.meLWOCreditDefaultSwapPV(J31,$C$4)</f>
        <v>-1.8958425107573618E-11</v>
      </c>
      <c r="L31" s="165">
        <f ca="1">_xll.meLWOCreditDefaultSwapParSpread(J31,$C$4)</f>
        <v>3.1609699978250075E-3</v>
      </c>
      <c r="M31" s="206">
        <f t="shared" ca="1" si="3"/>
        <v>-2.1749923910518998E-12</v>
      </c>
    </row>
    <row r="32" spans="2:13" x14ac:dyDescent="0.25">
      <c r="B32" s="207"/>
      <c r="C32" s="208"/>
      <c r="D32" s="176"/>
      <c r="E32" s="149"/>
      <c r="F32" s="17"/>
      <c r="G32" s="209"/>
      <c r="H32" s="209"/>
      <c r="I32" s="210"/>
      <c r="J32" s="150"/>
      <c r="K32" s="160"/>
      <c r="L32" s="166"/>
      <c r="M32" s="211"/>
    </row>
    <row r="33" spans="2:13" x14ac:dyDescent="0.25">
      <c r="B33" s="176"/>
      <c r="C33" s="176"/>
      <c r="D33" s="176"/>
      <c r="E33" s="176"/>
      <c r="F33" s="176"/>
      <c r="G33" s="176"/>
      <c r="H33" s="176"/>
      <c r="I33" s="176"/>
      <c r="J33" s="176"/>
      <c r="K33" s="176"/>
      <c r="L33" s="176"/>
      <c r="M33" s="176"/>
    </row>
    <row r="34" spans="2:13" x14ac:dyDescent="0.25">
      <c r="B34" s="176"/>
      <c r="C34" s="176"/>
      <c r="D34" s="176"/>
      <c r="E34" s="175" t="s">
        <v>219</v>
      </c>
      <c r="F34" s="176"/>
      <c r="G34" s="176"/>
      <c r="H34" s="176"/>
      <c r="I34" s="176"/>
      <c r="J34" s="176"/>
      <c r="K34" s="176"/>
      <c r="L34" s="176"/>
      <c r="M34" s="176"/>
    </row>
    <row r="35" spans="2:13" x14ac:dyDescent="0.25">
      <c r="B35" s="176"/>
      <c r="C35" s="176"/>
      <c r="D35" s="176"/>
      <c r="E35" s="181" t="s">
        <v>220</v>
      </c>
      <c r="F35" s="181" t="s">
        <v>221</v>
      </c>
      <c r="G35" s="181" t="s">
        <v>222</v>
      </c>
      <c r="H35" s="193" t="s">
        <v>188</v>
      </c>
      <c r="I35" s="193"/>
      <c r="J35" s="193"/>
      <c r="K35" s="193"/>
      <c r="L35" s="193"/>
      <c r="M35" s="193"/>
    </row>
    <row r="36" spans="2:13" x14ac:dyDescent="0.25">
      <c r="B36" s="176"/>
      <c r="C36" s="176"/>
      <c r="D36" s="176"/>
      <c r="E36" s="212">
        <f t="array" aca="1" ref="E36:E43" ca="1">_xll.meCurveDiscountFactors(E8:E15,C16,"OIS")</f>
        <v>0.99255501161157023</v>
      </c>
      <c r="F36" s="215">
        <f t="array" aca="1" ref="F36:F43" ca="1">_xll.meLWOCreditModelRiskyDiscountFactors($C$4,E8:E15)</f>
        <v>0.99103071802341502</v>
      </c>
      <c r="G36" s="215">
        <f t="shared" ref="G36:G43" ca="1" si="4">G8*E36</f>
        <v>0.99103071802341491</v>
      </c>
      <c r="H36" s="216">
        <f ca="1">F36-G36</f>
        <v>0</v>
      </c>
      <c r="I36" s="216"/>
      <c r="J36" s="216"/>
      <c r="K36" s="216"/>
      <c r="L36" s="216"/>
      <c r="M36" s="217"/>
    </row>
    <row r="37" spans="2:13" x14ac:dyDescent="0.25">
      <c r="B37" s="176"/>
      <c r="C37" s="176"/>
      <c r="D37" s="176"/>
      <c r="E37" s="213">
        <f ca="1"/>
        <v>0.9806142189377437</v>
      </c>
      <c r="F37" s="171">
        <f ca="1"/>
        <v>0.9778582836009192</v>
      </c>
      <c r="G37" s="171">
        <f t="shared" ca="1" si="4"/>
        <v>0.97785828360091942</v>
      </c>
      <c r="H37" s="218">
        <f t="shared" ref="H37:H43" ca="1" si="5">F37-G37</f>
        <v>0</v>
      </c>
      <c r="I37" s="218"/>
      <c r="J37" s="218"/>
      <c r="K37" s="218"/>
      <c r="L37" s="218"/>
      <c r="M37" s="219"/>
    </row>
    <row r="38" spans="2:13" x14ac:dyDescent="0.25">
      <c r="B38" s="176"/>
      <c r="C38" s="176"/>
      <c r="D38" s="176"/>
      <c r="E38" s="213">
        <f ca="1"/>
        <v>0.95559605800183534</v>
      </c>
      <c r="F38" s="171">
        <f ca="1"/>
        <v>0.9492458862158355</v>
      </c>
      <c r="G38" s="171">
        <f t="shared" ca="1" si="4"/>
        <v>0.94924588621583583</v>
      </c>
      <c r="H38" s="218">
        <f t="shared" ca="1" si="5"/>
        <v>0</v>
      </c>
      <c r="I38" s="218"/>
      <c r="J38" s="218"/>
      <c r="K38" s="218"/>
      <c r="L38" s="218"/>
      <c r="M38" s="219"/>
    </row>
    <row r="39" spans="2:13" x14ac:dyDescent="0.25">
      <c r="B39" s="176"/>
      <c r="C39" s="176"/>
      <c r="D39" s="176"/>
      <c r="E39" s="213">
        <f ca="1"/>
        <v>0.9347330251603404</v>
      </c>
      <c r="F39" s="171">
        <f ca="1"/>
        <v>0.92467907809124372</v>
      </c>
      <c r="G39" s="171">
        <f t="shared" ca="1" si="4"/>
        <v>0.9246790780912435</v>
      </c>
      <c r="H39" s="218">
        <f t="shared" ca="1" si="5"/>
        <v>0</v>
      </c>
      <c r="I39" s="218"/>
      <c r="J39" s="218"/>
      <c r="K39" s="218"/>
      <c r="L39" s="218"/>
      <c r="M39" s="219"/>
    </row>
    <row r="40" spans="2:13" x14ac:dyDescent="0.25">
      <c r="B40" s="176"/>
      <c r="C40" s="176"/>
      <c r="D40" s="176"/>
      <c r="E40" s="213">
        <f ca="1"/>
        <v>0.9128156135519272</v>
      </c>
      <c r="F40" s="171">
        <f ca="1"/>
        <v>0.89888765739614163</v>
      </c>
      <c r="G40" s="171">
        <f t="shared" ca="1" si="4"/>
        <v>0.89888765739614196</v>
      </c>
      <c r="H40" s="218">
        <f t="shared" ca="1" si="5"/>
        <v>0</v>
      </c>
      <c r="I40" s="218"/>
      <c r="J40" s="218"/>
      <c r="K40" s="218"/>
      <c r="L40" s="218"/>
      <c r="M40" s="219"/>
    </row>
    <row r="41" spans="2:13" x14ac:dyDescent="0.25">
      <c r="B41" s="176"/>
      <c r="C41" s="176"/>
      <c r="D41" s="176"/>
      <c r="E41" s="213">
        <f ca="1"/>
        <v>0.89084608871208248</v>
      </c>
      <c r="F41" s="171">
        <f ca="1"/>
        <v>0.8736857608282822</v>
      </c>
      <c r="G41" s="171">
        <f t="shared" ca="1" si="4"/>
        <v>0.8736857608282822</v>
      </c>
      <c r="H41" s="218">
        <f t="shared" ca="1" si="5"/>
        <v>0</v>
      </c>
      <c r="I41" s="218"/>
      <c r="J41" s="218"/>
      <c r="K41" s="218"/>
      <c r="L41" s="218"/>
      <c r="M41" s="219"/>
    </row>
    <row r="42" spans="2:13" x14ac:dyDescent="0.25">
      <c r="B42" s="176"/>
      <c r="C42" s="176"/>
      <c r="D42" s="176"/>
      <c r="E42" s="213">
        <f ca="1"/>
        <v>0.84822983455155909</v>
      </c>
      <c r="F42" s="171">
        <f ca="1"/>
        <v>0.82103853102395896</v>
      </c>
      <c r="G42" s="171">
        <f t="shared" ca="1" si="4"/>
        <v>0.82103853102395885</v>
      </c>
      <c r="H42" s="218">
        <f t="shared" ca="1" si="5"/>
        <v>0</v>
      </c>
      <c r="I42" s="218"/>
      <c r="J42" s="218"/>
      <c r="K42" s="218"/>
      <c r="L42" s="218"/>
      <c r="M42" s="219"/>
    </row>
    <row r="43" spans="2:13" x14ac:dyDescent="0.25">
      <c r="B43" s="176"/>
      <c r="C43" s="176"/>
      <c r="D43" s="176"/>
      <c r="E43" s="214">
        <f ca="1"/>
        <v>0.78710610330599018</v>
      </c>
      <c r="F43" s="172">
        <f ca="1"/>
        <v>0.74564379526973645</v>
      </c>
      <c r="G43" s="172">
        <f t="shared" ca="1" si="4"/>
        <v>0.74564379526973623</v>
      </c>
      <c r="H43" s="220">
        <f t="shared" ca="1" si="5"/>
        <v>0</v>
      </c>
      <c r="I43" s="220"/>
      <c r="J43" s="220"/>
      <c r="K43" s="220"/>
      <c r="L43" s="220"/>
      <c r="M43" s="2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32"/>
  <sheetViews>
    <sheetView showGridLines="0" workbookViewId="0"/>
  </sheetViews>
  <sheetFormatPr defaultRowHeight="15" x14ac:dyDescent="0.25"/>
  <cols>
    <col min="2" max="2" width="34.140625" bestFit="1" customWidth="1"/>
    <col min="3" max="4" width="20.7109375" customWidth="1"/>
  </cols>
  <sheetData>
    <row r="2" spans="2:4" x14ac:dyDescent="0.25">
      <c r="B2" t="s">
        <v>162</v>
      </c>
      <c r="C2" t="s">
        <v>232</v>
      </c>
    </row>
    <row r="3" spans="2:4" x14ac:dyDescent="0.25">
      <c r="B3" t="s">
        <v>163</v>
      </c>
      <c r="C3" s="113" t="str">
        <f ca="1">_xll.meLWOSwapGeneratorCreate(C2,$B$6:$D$32)</f>
        <v>USD_TRS@1:23</v>
      </c>
    </row>
    <row r="6" spans="2:4" x14ac:dyDescent="0.25">
      <c r="B6" s="114" t="s">
        <v>122</v>
      </c>
      <c r="C6" s="117" t="s">
        <v>123</v>
      </c>
      <c r="D6" s="118" t="s">
        <v>124</v>
      </c>
    </row>
    <row r="7" spans="2:4" x14ac:dyDescent="0.25">
      <c r="B7" s="115" t="s">
        <v>125</v>
      </c>
      <c r="C7" s="119" t="s">
        <v>126</v>
      </c>
      <c r="D7" s="120" t="s">
        <v>126</v>
      </c>
    </row>
    <row r="8" spans="2:4" x14ac:dyDescent="0.25">
      <c r="B8" s="115" t="s">
        <v>127</v>
      </c>
      <c r="C8" s="121" t="s">
        <v>128</v>
      </c>
      <c r="D8" s="122" t="s">
        <v>129</v>
      </c>
    </row>
    <row r="9" spans="2:4" x14ac:dyDescent="0.25">
      <c r="B9" s="115" t="s">
        <v>130</v>
      </c>
      <c r="C9" s="121" t="s">
        <v>131</v>
      </c>
      <c r="D9" s="122" t="s">
        <v>131</v>
      </c>
    </row>
    <row r="10" spans="2:4" x14ac:dyDescent="0.25">
      <c r="B10" s="115" t="s">
        <v>132</v>
      </c>
      <c r="C10" s="121" t="s">
        <v>231</v>
      </c>
      <c r="D10" s="122" t="s">
        <v>231</v>
      </c>
    </row>
    <row r="11" spans="2:4" x14ac:dyDescent="0.25">
      <c r="B11" s="115" t="s">
        <v>133</v>
      </c>
      <c r="C11" s="121" t="s">
        <v>134</v>
      </c>
      <c r="D11" s="122" t="s">
        <v>134</v>
      </c>
    </row>
    <row r="12" spans="2:4" x14ac:dyDescent="0.25">
      <c r="B12" s="115" t="s">
        <v>135</v>
      </c>
      <c r="C12" s="121" t="s">
        <v>16</v>
      </c>
      <c r="D12" s="122" t="s">
        <v>16</v>
      </c>
    </row>
    <row r="13" spans="2:4" x14ac:dyDescent="0.25">
      <c r="B13" s="115" t="s">
        <v>136</v>
      </c>
      <c r="C13" s="121" t="s">
        <v>16</v>
      </c>
      <c r="D13" s="122" t="s">
        <v>16</v>
      </c>
    </row>
    <row r="14" spans="2:4" x14ac:dyDescent="0.25">
      <c r="B14" s="115" t="s">
        <v>137</v>
      </c>
      <c r="C14" s="121" t="s">
        <v>138</v>
      </c>
      <c r="D14" s="122" t="s">
        <v>138</v>
      </c>
    </row>
    <row r="15" spans="2:4" x14ac:dyDescent="0.25">
      <c r="B15" s="115" t="s">
        <v>139</v>
      </c>
      <c r="C15" s="121" t="s">
        <v>140</v>
      </c>
      <c r="D15" s="122" t="s">
        <v>140</v>
      </c>
    </row>
    <row r="16" spans="2:4" x14ac:dyDescent="0.25">
      <c r="B16" s="115" t="s">
        <v>141</v>
      </c>
      <c r="C16" s="121" t="s">
        <v>142</v>
      </c>
      <c r="D16" s="122" t="s">
        <v>142</v>
      </c>
    </row>
    <row r="17" spans="2:4" x14ac:dyDescent="0.25">
      <c r="B17" s="115" t="s">
        <v>143</v>
      </c>
      <c r="C17" s="121" t="s">
        <v>144</v>
      </c>
      <c r="D17" s="122" t="s">
        <v>144</v>
      </c>
    </row>
    <row r="18" spans="2:4" x14ac:dyDescent="0.25">
      <c r="B18" s="115" t="s">
        <v>145</v>
      </c>
      <c r="C18" s="121" t="s">
        <v>138</v>
      </c>
      <c r="D18" s="122" t="s">
        <v>138</v>
      </c>
    </row>
    <row r="19" spans="2:4" x14ac:dyDescent="0.25">
      <c r="B19" s="115" t="s">
        <v>146</v>
      </c>
      <c r="C19" s="121" t="s">
        <v>140</v>
      </c>
      <c r="D19" s="122" t="s">
        <v>140</v>
      </c>
    </row>
    <row r="20" spans="2:4" x14ac:dyDescent="0.25">
      <c r="B20" s="115" t="s">
        <v>147</v>
      </c>
      <c r="C20" s="121" t="s">
        <v>142</v>
      </c>
      <c r="D20" s="122" t="s">
        <v>142</v>
      </c>
    </row>
    <row r="21" spans="2:4" x14ac:dyDescent="0.25">
      <c r="B21" s="115" t="s">
        <v>148</v>
      </c>
      <c r="C21" s="121" t="s">
        <v>149</v>
      </c>
      <c r="D21" s="122" t="s">
        <v>149</v>
      </c>
    </row>
    <row r="22" spans="2:4" x14ac:dyDescent="0.25">
      <c r="B22" s="115" t="s">
        <v>150</v>
      </c>
      <c r="C22" s="121" t="s">
        <v>128</v>
      </c>
      <c r="D22" s="122" t="s">
        <v>128</v>
      </c>
    </row>
    <row r="23" spans="2:4" x14ac:dyDescent="0.25">
      <c r="B23" s="115" t="s">
        <v>151</v>
      </c>
      <c r="C23" s="121" t="s">
        <v>128</v>
      </c>
      <c r="D23" s="122" t="s">
        <v>128</v>
      </c>
    </row>
    <row r="24" spans="2:4" x14ac:dyDescent="0.25">
      <c r="B24" s="115" t="s">
        <v>152</v>
      </c>
      <c r="C24" s="121" t="s">
        <v>153</v>
      </c>
      <c r="D24" s="122" t="s">
        <v>153</v>
      </c>
    </row>
    <row r="25" spans="2:4" x14ac:dyDescent="0.25">
      <c r="B25" s="115" t="s">
        <v>154</v>
      </c>
      <c r="C25" s="121" t="s">
        <v>155</v>
      </c>
      <c r="D25" s="122" t="s">
        <v>155</v>
      </c>
    </row>
    <row r="26" spans="2:4" x14ac:dyDescent="0.25">
      <c r="B26" s="115" t="s">
        <v>156</v>
      </c>
      <c r="C26" s="121" t="s">
        <v>128</v>
      </c>
      <c r="D26" s="122" t="s">
        <v>128</v>
      </c>
    </row>
    <row r="27" spans="2:4" x14ac:dyDescent="0.25">
      <c r="B27" s="115" t="s">
        <v>157</v>
      </c>
      <c r="C27" s="121" t="s">
        <v>128</v>
      </c>
      <c r="D27" s="122" t="s">
        <v>128</v>
      </c>
    </row>
    <row r="28" spans="2:4" x14ac:dyDescent="0.25">
      <c r="B28" s="115" t="s">
        <v>158</v>
      </c>
      <c r="C28" s="121" t="s">
        <v>128</v>
      </c>
      <c r="D28" s="122" t="s">
        <v>128</v>
      </c>
    </row>
    <row r="29" spans="2:4" x14ac:dyDescent="0.25">
      <c r="B29" s="115" t="s">
        <v>159</v>
      </c>
      <c r="C29" s="121" t="s">
        <v>128</v>
      </c>
      <c r="D29" s="122" t="s">
        <v>128</v>
      </c>
    </row>
    <row r="30" spans="2:4" x14ac:dyDescent="0.25">
      <c r="B30" s="115" t="s">
        <v>160</v>
      </c>
      <c r="C30" s="121" t="s">
        <v>128</v>
      </c>
      <c r="D30" s="122" t="s">
        <v>128</v>
      </c>
    </row>
    <row r="31" spans="2:4" x14ac:dyDescent="0.25">
      <c r="B31" s="115" t="s">
        <v>161</v>
      </c>
      <c r="C31" s="121" t="s">
        <v>128</v>
      </c>
      <c r="D31" s="122" t="s">
        <v>128</v>
      </c>
    </row>
    <row r="32" spans="2:4" x14ac:dyDescent="0.25">
      <c r="B32" s="116" t="s">
        <v>264</v>
      </c>
      <c r="C32" s="240"/>
      <c r="D32" s="241" t="s">
        <v>265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47"/>
  <sheetViews>
    <sheetView showGridLines="0" tabSelected="1" workbookViewId="0"/>
  </sheetViews>
  <sheetFormatPr defaultRowHeight="15" x14ac:dyDescent="0.25"/>
  <cols>
    <col min="2" max="2" width="23" bestFit="1" customWidth="1"/>
    <col min="3" max="3" width="24.28515625" customWidth="1"/>
    <col min="5" max="5" width="20.28515625" customWidth="1"/>
    <col min="6" max="7" width="11.7109375" bestFit="1" customWidth="1"/>
    <col min="8" max="9" width="19.7109375" bestFit="1" customWidth="1"/>
    <col min="10" max="10" width="15" bestFit="1" customWidth="1"/>
    <col min="11" max="12" width="17.42578125" bestFit="1" customWidth="1"/>
    <col min="13" max="13" width="10.7109375" bestFit="1" customWidth="1"/>
    <col min="14" max="14" width="18.140625" bestFit="1" customWidth="1"/>
    <col min="15" max="15" width="25.7109375" bestFit="1" customWidth="1"/>
    <col min="16" max="16" width="16.28515625" bestFit="1" customWidth="1"/>
    <col min="17" max="17" width="24" bestFit="1" customWidth="1"/>
    <col min="18" max="18" width="12.5703125" bestFit="1" customWidth="1"/>
    <col min="19" max="19" width="17.85546875" bestFit="1" customWidth="1"/>
    <col min="20" max="20" width="17.7109375" bestFit="1" customWidth="1"/>
    <col min="21" max="22" width="9.28515625" bestFit="1" customWidth="1"/>
  </cols>
  <sheetData>
    <row r="2" spans="2:22" x14ac:dyDescent="0.25">
      <c r="B2" s="1" t="s">
        <v>164</v>
      </c>
    </row>
    <row r="3" spans="2:22" x14ac:dyDescent="0.25">
      <c r="B3" s="125" t="s">
        <v>165</v>
      </c>
      <c r="C3" s="126" t="s">
        <v>166</v>
      </c>
      <c r="E3" s="143" t="str">
        <f t="array" aca="1" ref="E3:V46" ca="1">_xll.meUtilityResize(IF(ISNUMBER(C20),_xll.meLWOSwapDisplayCashflows($C$4,B27:C29),"#WAIT"),100,30)</f>
        <v>LEG1:PREMIUM Leg Schedule &amp; Cashflows</v>
      </c>
      <c r="F3" s="144" t="str">
        <f ca="1"/>
        <v/>
      </c>
      <c r="G3" s="144" t="str">
        <f ca="1"/>
        <v/>
      </c>
      <c r="H3" s="144" t="str">
        <f ca="1"/>
        <v/>
      </c>
      <c r="I3" s="144" t="str">
        <f ca="1"/>
        <v/>
      </c>
      <c r="J3" s="144" t="str">
        <f ca="1"/>
        <v/>
      </c>
      <c r="K3" s="144" t="str">
        <f ca="1"/>
        <v/>
      </c>
      <c r="L3" s="144" t="str">
        <f ca="1"/>
        <v/>
      </c>
      <c r="M3" s="144" t="str">
        <f ca="1"/>
        <v/>
      </c>
      <c r="N3" s="144" t="str">
        <f ca="1"/>
        <v/>
      </c>
      <c r="O3" s="144" t="str">
        <f ca="1"/>
        <v/>
      </c>
      <c r="P3" s="144" t="str">
        <f ca="1"/>
        <v/>
      </c>
      <c r="Q3" s="144" t="str">
        <f ca="1"/>
        <v/>
      </c>
      <c r="R3" s="144" t="str">
        <f ca="1"/>
        <v/>
      </c>
      <c r="S3" s="144" t="str">
        <f ca="1"/>
        <v/>
      </c>
      <c r="T3" s="144" t="str">
        <f ca="1"/>
        <v/>
      </c>
      <c r="U3" s="144" t="str">
        <f ca="1"/>
        <v/>
      </c>
      <c r="V3" s="145" t="str">
        <f ca="1"/>
        <v/>
      </c>
    </row>
    <row r="4" spans="2:22" x14ac:dyDescent="0.25">
      <c r="B4" s="127" t="s">
        <v>167</v>
      </c>
      <c r="C4" s="128" t="str">
        <f ca="1">_xll.meLWOSwapCreateFromGenerator(C3,C15,C7,C8,C9,C10,C11,C12)</f>
        <v>TRS_0.15_FEB2028@6:23</v>
      </c>
      <c r="E4" s="146" t="str">
        <f ca="1"/>
        <v>AccrualStart</v>
      </c>
      <c r="F4" s="147" t="str">
        <f ca="1"/>
        <v>AccrualEnd</v>
      </c>
      <c r="G4" s="147" t="str">
        <f ca="1"/>
        <v>AccrualDays</v>
      </c>
      <c r="H4" s="147" t="str">
        <f ca="1"/>
        <v>AccrualYearFractions</v>
      </c>
      <c r="I4" s="147" t="str">
        <f ca="1"/>
        <v>PaymentDate</v>
      </c>
      <c r="J4" s="147" t="str">
        <f ca="1"/>
        <v>Notional</v>
      </c>
      <c r="K4" s="147" t="str">
        <f ca="1"/>
        <v>NotionalExchange</v>
      </c>
      <c r="L4" s="147" t="str">
        <f ca="1"/>
        <v>Leverage</v>
      </c>
      <c r="M4" s="147" t="str">
        <f ca="1"/>
        <v>CDSSpread</v>
      </c>
      <c r="N4" s="147" t="str">
        <f ca="1"/>
        <v>SurvivalProbability</v>
      </c>
      <c r="O4" s="147" t="str">
        <f ca="1"/>
        <v>MarginalDefaultProbability</v>
      </c>
      <c r="P4" s="147" t="str">
        <f ca="1"/>
        <v>PremiumCoupon</v>
      </c>
      <c r="Q4" s="147" t="str">
        <f ca="1"/>
        <v>AccrualOnDefaultCoupon</v>
      </c>
      <c r="R4" s="147" t="str">
        <f ca="1"/>
        <v>RiskyCoupon</v>
      </c>
      <c r="S4" s="147" t="str">
        <f ca="1"/>
        <v>DiscountFactor</v>
      </c>
      <c r="T4" s="147" t="str">
        <f ca="1"/>
        <v>CouponPV</v>
      </c>
      <c r="U4" s="147" t="str">
        <f ca="1"/>
        <v/>
      </c>
      <c r="V4" s="148" t="str">
        <f ca="1"/>
        <v/>
      </c>
    </row>
    <row r="5" spans="2:22" x14ac:dyDescent="0.25">
      <c r="E5" s="152" t="str">
        <f ca="1"/>
        <v/>
      </c>
      <c r="F5" s="153" t="str">
        <f ca="1"/>
        <v/>
      </c>
      <c r="G5" s="147" t="str">
        <f ca="1"/>
        <v/>
      </c>
      <c r="H5" s="161" t="str">
        <f ca="1"/>
        <v/>
      </c>
      <c r="I5" s="153">
        <f ca="1"/>
        <v>43579</v>
      </c>
      <c r="J5" s="163" t="str">
        <f ca="1"/>
        <v/>
      </c>
      <c r="K5" s="163">
        <f ca="1"/>
        <v>-10000000</v>
      </c>
      <c r="L5" s="157">
        <f ca="1"/>
        <v>1</v>
      </c>
      <c r="M5" s="167" t="str">
        <f ca="1"/>
        <v/>
      </c>
      <c r="N5" s="167" t="str">
        <f ca="1"/>
        <v/>
      </c>
      <c r="O5" s="167" t="str">
        <f ca="1"/>
        <v/>
      </c>
      <c r="P5" s="163" t="str">
        <f ca="1"/>
        <v/>
      </c>
      <c r="Q5" s="163">
        <f ca="1"/>
        <v>0</v>
      </c>
      <c r="R5" s="163">
        <f ca="1"/>
        <v>-10000000</v>
      </c>
      <c r="S5" s="169">
        <f ca="1"/>
        <v>1</v>
      </c>
      <c r="T5" s="163">
        <f ca="1"/>
        <v>-10000000</v>
      </c>
      <c r="U5" s="147" t="str">
        <f ca="1"/>
        <v/>
      </c>
      <c r="V5" s="148" t="str">
        <f ca="1"/>
        <v/>
      </c>
    </row>
    <row r="6" spans="2:22" x14ac:dyDescent="0.25">
      <c r="B6" s="1" t="s">
        <v>168</v>
      </c>
      <c r="E6" s="152">
        <f ca="1"/>
        <v>43579</v>
      </c>
      <c r="F6" s="153">
        <f ca="1"/>
        <v>43670</v>
      </c>
      <c r="G6" s="147">
        <f ca="1"/>
        <v>91</v>
      </c>
      <c r="H6" s="161">
        <f ca="1"/>
        <v>0.25277777777777799</v>
      </c>
      <c r="I6" s="153">
        <f ca="1"/>
        <v>43670</v>
      </c>
      <c r="J6" s="163">
        <f ca="1"/>
        <v>10000000</v>
      </c>
      <c r="K6" s="163">
        <f ca="1"/>
        <v>0</v>
      </c>
      <c r="L6" s="157">
        <f ca="1"/>
        <v>1</v>
      </c>
      <c r="M6" s="167">
        <f ca="1"/>
        <v>3.1228023353774201E-2</v>
      </c>
      <c r="N6" s="167">
        <f ca="1"/>
        <v>0.999061792190302</v>
      </c>
      <c r="O6" s="167">
        <f ca="1"/>
        <v>9.3820780969811101E-4</v>
      </c>
      <c r="P6" s="163">
        <f ca="1"/>
        <v>78863.443695355105</v>
      </c>
      <c r="Q6" s="163">
        <f ca="1"/>
        <v>37.029891120376099</v>
      </c>
      <c r="R6" s="163">
        <f ca="1"/>
        <v>78900.473586475506</v>
      </c>
      <c r="S6" s="169">
        <f ca="1"/>
        <v>0.99557516946705604</v>
      </c>
      <c r="T6" s="163">
        <f ca="1"/>
        <v>78551.352361886296</v>
      </c>
      <c r="U6" s="147" t="str">
        <f ca="1"/>
        <v/>
      </c>
      <c r="V6" s="148" t="str">
        <f ca="1"/>
        <v/>
      </c>
    </row>
    <row r="7" spans="2:22" x14ac:dyDescent="0.25">
      <c r="B7" s="114" t="s">
        <v>170</v>
      </c>
      <c r="C7" s="129" t="s">
        <v>171</v>
      </c>
      <c r="E7" s="152">
        <f ca="1"/>
        <v>43670</v>
      </c>
      <c r="F7" s="153">
        <f ca="1"/>
        <v>43762</v>
      </c>
      <c r="G7" s="147">
        <f ca="1"/>
        <v>92</v>
      </c>
      <c r="H7" s="161">
        <f ca="1"/>
        <v>0.25555555555555598</v>
      </c>
      <c r="I7" s="153">
        <f ca="1"/>
        <v>43762</v>
      </c>
      <c r="J7" s="163">
        <f ca="1"/>
        <v>10000000</v>
      </c>
      <c r="K7" s="163">
        <f ca="1"/>
        <v>0</v>
      </c>
      <c r="L7" s="157">
        <f ca="1"/>
        <v>1</v>
      </c>
      <c r="M7" s="167">
        <f ca="1"/>
        <v>3.1228023353774201E-2</v>
      </c>
      <c r="N7" s="167">
        <f ca="1"/>
        <v>0.99822602025989104</v>
      </c>
      <c r="O7" s="167">
        <f ca="1"/>
        <v>8.3577193041084496E-4</v>
      </c>
      <c r="P7" s="163">
        <f ca="1"/>
        <v>79663.376208831294</v>
      </c>
      <c r="Q7" s="163">
        <f ca="1"/>
        <v>33.349367961659603</v>
      </c>
      <c r="R7" s="163">
        <f ca="1"/>
        <v>79696.725576793004</v>
      </c>
      <c r="S7" s="169">
        <f ca="1"/>
        <v>0.99073316029727299</v>
      </c>
      <c r="T7" s="163">
        <f ca="1"/>
        <v>78958.188796040602</v>
      </c>
      <c r="U7" s="147" t="str">
        <f ca="1"/>
        <v/>
      </c>
      <c r="V7" s="148" t="str">
        <f ca="1"/>
        <v/>
      </c>
    </row>
    <row r="8" spans="2:22" x14ac:dyDescent="0.25">
      <c r="B8" s="130" t="s">
        <v>172</v>
      </c>
      <c r="C8" s="131">
        <v>10000000</v>
      </c>
      <c r="E8" s="152">
        <f ca="1"/>
        <v>43762</v>
      </c>
      <c r="F8" s="153">
        <f ca="1"/>
        <v>43854</v>
      </c>
      <c r="G8" s="147">
        <f ca="1"/>
        <v>92</v>
      </c>
      <c r="H8" s="161">
        <f ca="1"/>
        <v>0.25555555555555598</v>
      </c>
      <c r="I8" s="153">
        <f ca="1"/>
        <v>43854</v>
      </c>
      <c r="J8" s="163">
        <f ca="1"/>
        <v>10000000</v>
      </c>
      <c r="K8" s="163">
        <f ca="1"/>
        <v>0</v>
      </c>
      <c r="L8" s="157">
        <f ca="1"/>
        <v>1</v>
      </c>
      <c r="M8" s="167">
        <f ca="1"/>
        <v>3.1228023353774201E-2</v>
      </c>
      <c r="N8" s="167">
        <f ca="1"/>
        <v>0.99758162153901198</v>
      </c>
      <c r="O8" s="167">
        <f ca="1"/>
        <v>6.44398720879513E-4</v>
      </c>
      <c r="P8" s="163">
        <f ca="1"/>
        <v>79611.950002052501</v>
      </c>
      <c r="Q8" s="163">
        <f ca="1"/>
        <v>25.713103389425299</v>
      </c>
      <c r="R8" s="163">
        <f ca="1"/>
        <v>79637.663105441898</v>
      </c>
      <c r="S8" s="169">
        <f ca="1"/>
        <v>0.98558950575723803</v>
      </c>
      <c r="T8" s="163">
        <f ca="1"/>
        <v>78490.045019753903</v>
      </c>
      <c r="U8" s="147" t="str">
        <f ca="1"/>
        <v/>
      </c>
      <c r="V8" s="148" t="str">
        <f ca="1"/>
        <v/>
      </c>
    </row>
    <row r="9" spans="2:22" x14ac:dyDescent="0.25">
      <c r="B9" s="130" t="s">
        <v>173</v>
      </c>
      <c r="C9" s="132">
        <f ca="1">TODAY()</f>
        <v>43579</v>
      </c>
      <c r="E9" s="152">
        <f ca="1"/>
        <v>43854</v>
      </c>
      <c r="F9" s="153">
        <f ca="1"/>
        <v>43945</v>
      </c>
      <c r="G9" s="147">
        <f ca="1"/>
        <v>91</v>
      </c>
      <c r="H9" s="161">
        <f ca="1"/>
        <v>0.25277777777777799</v>
      </c>
      <c r="I9" s="153">
        <f ca="1"/>
        <v>43945</v>
      </c>
      <c r="J9" s="163">
        <f ca="1"/>
        <v>10000000</v>
      </c>
      <c r="K9" s="163">
        <f ca="1"/>
        <v>0</v>
      </c>
      <c r="L9" s="157">
        <f ca="1"/>
        <v>1</v>
      </c>
      <c r="M9" s="167">
        <f ca="1"/>
        <v>3.1228023353774201E-2</v>
      </c>
      <c r="N9" s="167">
        <f ca="1"/>
        <v>0.99682322538762302</v>
      </c>
      <c r="O9" s="167">
        <f ca="1"/>
        <v>7.5839615138895101E-4</v>
      </c>
      <c r="P9" s="163">
        <f ca="1"/>
        <v>78686.736820583799</v>
      </c>
      <c r="Q9" s="163">
        <f ca="1"/>
        <v>29.932949418830301</v>
      </c>
      <c r="R9" s="163">
        <f ca="1"/>
        <v>78716.669770002598</v>
      </c>
      <c r="S9" s="169">
        <f ca="1"/>
        <v>0.977038068107969</v>
      </c>
      <c r="T9" s="163">
        <f ca="1"/>
        <v>76909.1829599763</v>
      </c>
      <c r="U9" s="147" t="str">
        <f ca="1"/>
        <v/>
      </c>
      <c r="V9" s="148" t="str">
        <f ca="1"/>
        <v/>
      </c>
    </row>
    <row r="10" spans="2:22" x14ac:dyDescent="0.25">
      <c r="B10" s="130" t="s">
        <v>174</v>
      </c>
      <c r="C10" s="132">
        <f ca="1">_xll.meDateFromTenor(C9,"2Y")</f>
        <v>44310</v>
      </c>
      <c r="E10" s="152">
        <f ca="1"/>
        <v>43945</v>
      </c>
      <c r="F10" s="153">
        <f ca="1"/>
        <v>44036</v>
      </c>
      <c r="G10" s="147">
        <f ca="1"/>
        <v>91</v>
      </c>
      <c r="H10" s="161">
        <f ca="1"/>
        <v>0.25277777777777799</v>
      </c>
      <c r="I10" s="153">
        <f ca="1"/>
        <v>44036</v>
      </c>
      <c r="J10" s="163">
        <f ca="1"/>
        <v>10000000</v>
      </c>
      <c r="K10" s="163">
        <f ca="1"/>
        <v>0</v>
      </c>
      <c r="L10" s="157">
        <f ca="1"/>
        <v>1</v>
      </c>
      <c r="M10" s="167">
        <f ca="1"/>
        <v>3.1228023353774201E-2</v>
      </c>
      <c r="N10" s="167">
        <f ca="1"/>
        <v>0.99587132661464695</v>
      </c>
      <c r="O10" s="167">
        <f ca="1"/>
        <v>9.5189877297530102E-4</v>
      </c>
      <c r="P10" s="163">
        <f ca="1"/>
        <v>78611.596307881802</v>
      </c>
      <c r="Q10" s="163">
        <f ca="1"/>
        <v>37.570256351028597</v>
      </c>
      <c r="R10" s="163">
        <f ca="1"/>
        <v>78649.166564232801</v>
      </c>
      <c r="S10" s="169">
        <f ca="1"/>
        <v>0.96843562486740098</v>
      </c>
      <c r="T10" s="163">
        <f ca="1"/>
        <v>76166.654766933105</v>
      </c>
      <c r="U10" s="147" t="str">
        <f ca="1"/>
        <v/>
      </c>
      <c r="V10" s="148" t="str">
        <f ca="1"/>
        <v/>
      </c>
    </row>
    <row r="11" spans="2:22" x14ac:dyDescent="0.25">
      <c r="B11" s="130" t="s">
        <v>175</v>
      </c>
      <c r="C11" s="138">
        <v>3.1228023353774198E-2</v>
      </c>
      <c r="E11" s="152">
        <f ca="1"/>
        <v>44036</v>
      </c>
      <c r="F11" s="153">
        <f ca="1"/>
        <v>44130</v>
      </c>
      <c r="G11" s="147">
        <f ca="1"/>
        <v>94</v>
      </c>
      <c r="H11" s="161">
        <f ca="1"/>
        <v>0.26111111111111102</v>
      </c>
      <c r="I11" s="153">
        <f ca="1"/>
        <v>44130</v>
      </c>
      <c r="J11" s="163">
        <f ca="1"/>
        <v>10000000</v>
      </c>
      <c r="K11" s="163">
        <f ca="1"/>
        <v>0</v>
      </c>
      <c r="L11" s="157">
        <f ca="1"/>
        <v>1</v>
      </c>
      <c r="M11" s="167">
        <f ca="1"/>
        <v>3.1228023353774201E-2</v>
      </c>
      <c r="N11" s="167">
        <f ca="1"/>
        <v>0.99488900099684296</v>
      </c>
      <c r="O11" s="167">
        <f ca="1"/>
        <v>9.8232561780475791E-4</v>
      </c>
      <c r="P11" s="163">
        <f ca="1"/>
        <v>81123.088722472006</v>
      </c>
      <c r="Q11" s="163">
        <f ca="1"/>
        <v>40.049336241372998</v>
      </c>
      <c r="R11" s="163">
        <f ca="1"/>
        <v>81163.138058713404</v>
      </c>
      <c r="S11" s="169">
        <f ca="1"/>
        <v>0.961888550366921</v>
      </c>
      <c r="T11" s="163">
        <f ca="1"/>
        <v>78069.893210526105</v>
      </c>
      <c r="U11" s="147" t="str">
        <f ca="1"/>
        <v/>
      </c>
      <c r="V11" s="148" t="str">
        <f ca="1"/>
        <v/>
      </c>
    </row>
    <row r="12" spans="2:22" x14ac:dyDescent="0.25">
      <c r="B12" s="127" t="s">
        <v>183</v>
      </c>
      <c r="C12" s="139">
        <v>20</v>
      </c>
      <c r="E12" s="152">
        <f ca="1"/>
        <v>44130</v>
      </c>
      <c r="F12" s="153">
        <f ca="1"/>
        <v>44221</v>
      </c>
      <c r="G12" s="147">
        <f ca="1"/>
        <v>91</v>
      </c>
      <c r="H12" s="161">
        <f ca="1"/>
        <v>0.25277777777777799</v>
      </c>
      <c r="I12" s="153">
        <f ca="1"/>
        <v>44221</v>
      </c>
      <c r="J12" s="163">
        <f ca="1"/>
        <v>10000000</v>
      </c>
      <c r="K12" s="163">
        <f ca="1"/>
        <v>0</v>
      </c>
      <c r="L12" s="157">
        <f ca="1"/>
        <v>1</v>
      </c>
      <c r="M12" s="167">
        <f ca="1"/>
        <v>3.1228023353774201E-2</v>
      </c>
      <c r="N12" s="167">
        <f ca="1"/>
        <v>0.99393894927736404</v>
      </c>
      <c r="O12" s="167">
        <f ca="1"/>
        <v>9.5005171947837297E-4</v>
      </c>
      <c r="P12" s="163">
        <f ca="1"/>
        <v>78459.059265099902</v>
      </c>
      <c r="Q12" s="163">
        <f ca="1"/>
        <v>37.497355455109997</v>
      </c>
      <c r="R12" s="163">
        <f ca="1"/>
        <v>78496.5566205551</v>
      </c>
      <c r="S12" s="169">
        <f ca="1"/>
        <v>0.95764956033772997</v>
      </c>
      <c r="T12" s="163">
        <f ca="1"/>
        <v>75172.192935700295</v>
      </c>
      <c r="U12" s="147" t="str">
        <f ca="1"/>
        <v/>
      </c>
      <c r="V12" s="148" t="str">
        <f ca="1"/>
        <v/>
      </c>
    </row>
    <row r="13" spans="2:22" x14ac:dyDescent="0.25">
      <c r="B13" s="112"/>
      <c r="C13" s="112"/>
      <c r="E13" s="152">
        <f ca="1"/>
        <v>44221</v>
      </c>
      <c r="F13" s="153">
        <f ca="1"/>
        <v>44312</v>
      </c>
      <c r="G13" s="147">
        <f ca="1"/>
        <v>91</v>
      </c>
      <c r="H13" s="161">
        <f ca="1"/>
        <v>0.25277777777777799</v>
      </c>
      <c r="I13" s="153">
        <f ca="1"/>
        <v>44312</v>
      </c>
      <c r="J13" s="163">
        <f ca="1"/>
        <v>10000000</v>
      </c>
      <c r="K13" s="163">
        <f ca="1"/>
        <v>10000000</v>
      </c>
      <c r="L13" s="157">
        <f ca="1"/>
        <v>1</v>
      </c>
      <c r="M13" s="167">
        <f ca="1"/>
        <v>3.1228023353774201E-2</v>
      </c>
      <c r="N13" s="167">
        <f ca="1"/>
        <v>0.99295875144667001</v>
      </c>
      <c r="O13" s="167">
        <f ca="1"/>
        <v>9.8019783069391896E-4</v>
      </c>
      <c r="P13" s="163">
        <f ca="1"/>
        <v>78381.684895430793</v>
      </c>
      <c r="Q13" s="163">
        <f ca="1"/>
        <v>38.687184834566601</v>
      </c>
      <c r="R13" s="163">
        <f ca="1"/>
        <v>10008007.886546999</v>
      </c>
      <c r="S13" s="169">
        <f ca="1"/>
        <v>0.95428415969830704</v>
      </c>
      <c r="T13" s="163">
        <f ca="1"/>
        <v>9550483.3962675091</v>
      </c>
      <c r="U13" s="147" t="str">
        <f ca="1"/>
        <v/>
      </c>
      <c r="V13" s="148" t="str">
        <f ca="1"/>
        <v/>
      </c>
    </row>
    <row r="14" spans="2:22" x14ac:dyDescent="0.25">
      <c r="B14" s="1" t="s">
        <v>176</v>
      </c>
      <c r="E14" s="154" t="str">
        <f ca="1"/>
        <v>LEG2:FLOAT Leg Schedule &amp; Cashflows</v>
      </c>
      <c r="F14" s="153" t="str">
        <f ca="1"/>
        <v/>
      </c>
      <c r="G14" s="147" t="str">
        <f ca="1"/>
        <v/>
      </c>
      <c r="H14" s="147" t="str">
        <f ca="1"/>
        <v/>
      </c>
      <c r="I14" s="147" t="str">
        <f ca="1"/>
        <v/>
      </c>
      <c r="J14" s="147" t="str">
        <f ca="1"/>
        <v/>
      </c>
      <c r="K14" s="147" t="str">
        <f ca="1"/>
        <v/>
      </c>
      <c r="L14" s="147" t="str">
        <f ca="1"/>
        <v/>
      </c>
      <c r="M14" s="147" t="str">
        <f ca="1"/>
        <v/>
      </c>
      <c r="N14" s="147" t="str">
        <f ca="1"/>
        <v/>
      </c>
      <c r="O14" s="147" t="str">
        <f ca="1"/>
        <v/>
      </c>
      <c r="P14" s="147" t="str">
        <f ca="1"/>
        <v/>
      </c>
      <c r="Q14" s="147" t="str">
        <f ca="1"/>
        <v/>
      </c>
      <c r="R14" s="147" t="str">
        <f ca="1"/>
        <v/>
      </c>
      <c r="S14" s="169" t="str">
        <f ca="1"/>
        <v/>
      </c>
      <c r="T14" s="163" t="str">
        <f ca="1"/>
        <v/>
      </c>
      <c r="U14" s="147" t="str">
        <f ca="1"/>
        <v/>
      </c>
      <c r="V14" s="148" t="str">
        <f ca="1"/>
        <v/>
      </c>
    </row>
    <row r="15" spans="2:22" x14ac:dyDescent="0.25">
      <c r="B15" s="114" t="s">
        <v>169</v>
      </c>
      <c r="C15" s="140" t="str">
        <f ca="1">USD_TRS_3ML</f>
        <v>USD_TRS@1:23</v>
      </c>
      <c r="E15" s="152" t="str">
        <f ca="1"/>
        <v>FixingDate</v>
      </c>
      <c r="F15" s="153" t="str">
        <f ca="1"/>
        <v>AccrualStart</v>
      </c>
      <c r="G15" s="153" t="str">
        <f ca="1"/>
        <v>AccrualEnd</v>
      </c>
      <c r="H15" s="147" t="str">
        <f ca="1"/>
        <v>AccrualDays</v>
      </c>
      <c r="I15" s="161" t="str">
        <f ca="1"/>
        <v>AccrualYearFractions</v>
      </c>
      <c r="J15" s="153" t="str">
        <f ca="1"/>
        <v>PaymentDate</v>
      </c>
      <c r="K15" s="163" t="str">
        <f ca="1"/>
        <v>Notional</v>
      </c>
      <c r="L15" s="163" t="str">
        <f ca="1"/>
        <v>NotionalExchange</v>
      </c>
      <c r="M15" s="157" t="str">
        <f ca="1"/>
        <v>Leverage</v>
      </c>
      <c r="N15" s="157" t="str">
        <f ca="1"/>
        <v>FloatSpread</v>
      </c>
      <c r="O15" s="167" t="str">
        <f ca="1"/>
        <v>FloatRate</v>
      </c>
      <c r="P15" s="163" t="str">
        <f ca="1"/>
        <v>SurvivalProbability</v>
      </c>
      <c r="Q15" s="173" t="str">
        <f ca="1"/>
        <v>MarginalDefaultProbability</v>
      </c>
      <c r="R15" s="163" t="str">
        <f ca="1"/>
        <v>Coupon</v>
      </c>
      <c r="S15" s="169" t="str">
        <f ca="1"/>
        <v>RiskyCoupon</v>
      </c>
      <c r="T15" s="163" t="str">
        <f ca="1"/>
        <v>DiscountFactor</v>
      </c>
      <c r="U15" s="147" t="str">
        <f ca="1"/>
        <v>CouponPV</v>
      </c>
      <c r="V15" s="148" t="str">
        <f ca="1"/>
        <v/>
      </c>
    </row>
    <row r="16" spans="2:22" x14ac:dyDescent="0.25">
      <c r="B16" s="115" t="s">
        <v>177</v>
      </c>
      <c r="C16" s="141" t="s">
        <v>83</v>
      </c>
      <c r="E16" s="152" t="str">
        <f ca="1"/>
        <v/>
      </c>
      <c r="F16" s="153" t="str">
        <f ca="1"/>
        <v/>
      </c>
      <c r="G16" s="153" t="str">
        <f ca="1"/>
        <v/>
      </c>
      <c r="H16" s="147" t="str">
        <f ca="1"/>
        <v/>
      </c>
      <c r="I16" s="161" t="str">
        <f ca="1"/>
        <v/>
      </c>
      <c r="J16" s="153">
        <f ca="1"/>
        <v>43579</v>
      </c>
      <c r="K16" s="163" t="str">
        <f ca="1"/>
        <v/>
      </c>
      <c r="L16" s="163">
        <f ca="1"/>
        <v>10000000</v>
      </c>
      <c r="M16" s="157">
        <f ca="1"/>
        <v>1</v>
      </c>
      <c r="N16" s="157" t="str">
        <f ca="1"/>
        <v/>
      </c>
      <c r="O16" s="167" t="str">
        <f ca="1"/>
        <v/>
      </c>
      <c r="P16" s="169">
        <f ca="1"/>
        <v>1</v>
      </c>
      <c r="Q16" s="173">
        <f ca="1"/>
        <v>0</v>
      </c>
      <c r="R16" s="163">
        <f ca="1"/>
        <v>10000000</v>
      </c>
      <c r="S16" s="169">
        <f ca="1"/>
        <v>10000000</v>
      </c>
      <c r="T16" s="169">
        <f ca="1"/>
        <v>1</v>
      </c>
      <c r="U16" s="147">
        <f ca="1"/>
        <v>10000000</v>
      </c>
      <c r="V16" s="148" t="str">
        <f ca="1"/>
        <v/>
      </c>
    </row>
    <row r="17" spans="2:22" x14ac:dyDescent="0.25">
      <c r="B17" s="116" t="s">
        <v>178</v>
      </c>
      <c r="C17" s="142" t="str">
        <f ca="1">CREDITMODEL!$C$4</f>
        <v>CREDITMODEL1@20:1</v>
      </c>
      <c r="E17" s="152">
        <f ca="1"/>
        <v>43579</v>
      </c>
      <c r="F17" s="153">
        <f ca="1"/>
        <v>43579</v>
      </c>
      <c r="G17" s="153">
        <f ca="1"/>
        <v>43670</v>
      </c>
      <c r="H17" s="147">
        <f ca="1"/>
        <v>91</v>
      </c>
      <c r="I17" s="161">
        <f ca="1"/>
        <v>0.25277777777777799</v>
      </c>
      <c r="J17" s="153">
        <f ca="1"/>
        <v>43670</v>
      </c>
      <c r="K17" s="163">
        <f ca="1"/>
        <v>-10000000</v>
      </c>
      <c r="L17" s="163">
        <f ca="1"/>
        <v>0</v>
      </c>
      <c r="M17" s="157">
        <f ca="1"/>
        <v>1</v>
      </c>
      <c r="N17" s="157">
        <f ca="1"/>
        <v>20</v>
      </c>
      <c r="O17" s="167">
        <f ca="1"/>
        <v>2.5875494679319801E-2</v>
      </c>
      <c r="P17" s="169">
        <f ca="1"/>
        <v>0.999061792190302</v>
      </c>
      <c r="Q17" s="173">
        <f ca="1"/>
        <v>9.3820780969811101E-4</v>
      </c>
      <c r="R17" s="163">
        <f ca="1"/>
        <v>-70396.947005517504</v>
      </c>
      <c r="S17" s="169">
        <f ca="1"/>
        <v>-70396.947005517504</v>
      </c>
      <c r="T17" s="169">
        <f ca="1"/>
        <v>0.99557516946705604</v>
      </c>
      <c r="U17" s="147">
        <f ca="1"/>
        <v>-70085.452444981507</v>
      </c>
      <c r="V17" s="148" t="str">
        <f ca="1"/>
        <v/>
      </c>
    </row>
    <row r="18" spans="2:22" x14ac:dyDescent="0.25">
      <c r="E18" s="152">
        <f ca="1"/>
        <v>43670</v>
      </c>
      <c r="F18" s="153">
        <f ca="1"/>
        <v>43670</v>
      </c>
      <c r="G18" s="153">
        <f ca="1"/>
        <v>43762</v>
      </c>
      <c r="H18" s="147">
        <f ca="1"/>
        <v>92</v>
      </c>
      <c r="I18" s="161">
        <f ca="1"/>
        <v>0.25555555555555598</v>
      </c>
      <c r="J18" s="153">
        <f ca="1"/>
        <v>43762</v>
      </c>
      <c r="K18" s="163">
        <f ca="1"/>
        <v>-10000000</v>
      </c>
      <c r="L18" s="163">
        <f ca="1"/>
        <v>0</v>
      </c>
      <c r="M18" s="157">
        <f ca="1"/>
        <v>1</v>
      </c>
      <c r="N18" s="157">
        <f ca="1"/>
        <v>20</v>
      </c>
      <c r="O18" s="167">
        <f ca="1"/>
        <v>2.5284450078624301E-2</v>
      </c>
      <c r="P18" s="169">
        <f ca="1"/>
        <v>0.99841685394194901</v>
      </c>
      <c r="Q18" s="173">
        <f ca="1"/>
        <v>6.44938248353211E-4</v>
      </c>
      <c r="R18" s="163">
        <f ca="1"/>
        <v>-69616.540067537004</v>
      </c>
      <c r="S18" s="169">
        <f ca="1"/>
        <v>-69616.540067537004</v>
      </c>
      <c r="T18" s="169">
        <f ca="1"/>
        <v>0.99073316029727299</v>
      </c>
      <c r="U18" s="147">
        <f ca="1"/>
        <v>-68971.414750072698</v>
      </c>
      <c r="V18" s="148" t="str">
        <f ca="1"/>
        <v/>
      </c>
    </row>
    <row r="19" spans="2:22" x14ac:dyDescent="0.25">
      <c r="B19" s="1" t="s">
        <v>179</v>
      </c>
      <c r="E19" s="152">
        <f ca="1"/>
        <v>43762</v>
      </c>
      <c r="F19" s="153">
        <f ca="1"/>
        <v>43762</v>
      </c>
      <c r="G19" s="153">
        <f ca="1"/>
        <v>43854</v>
      </c>
      <c r="H19" s="147">
        <f ca="1"/>
        <v>92</v>
      </c>
      <c r="I19" s="161">
        <f ca="1"/>
        <v>0.25555555555555598</v>
      </c>
      <c r="J19" s="153">
        <f ca="1"/>
        <v>43854</v>
      </c>
      <c r="K19" s="163">
        <f ca="1"/>
        <v>-10000000</v>
      </c>
      <c r="L19" s="163">
        <f ca="1"/>
        <v>0</v>
      </c>
      <c r="M19" s="157">
        <f ca="1"/>
        <v>1</v>
      </c>
      <c r="N19" s="157">
        <f ca="1"/>
        <v>20</v>
      </c>
      <c r="O19" s="167">
        <f ca="1"/>
        <v>2.4778292139703902E-2</v>
      </c>
      <c r="P19" s="169">
        <f ca="1"/>
        <v>0.99777233202954896</v>
      </c>
      <c r="Q19" s="173">
        <f ca="1"/>
        <v>6.4452191239938695E-4</v>
      </c>
      <c r="R19" s="163">
        <f ca="1"/>
        <v>-68280.966323113505</v>
      </c>
      <c r="S19" s="169">
        <f ca="1"/>
        <v>-68280.966323113505</v>
      </c>
      <c r="T19" s="169">
        <f ca="1"/>
        <v>0.98558950575723803</v>
      </c>
      <c r="U19" s="147">
        <f ca="1"/>
        <v>-67297.003851023997</v>
      </c>
      <c r="V19" s="148" t="str">
        <f ca="1"/>
        <v/>
      </c>
    </row>
    <row r="20" spans="2:22" x14ac:dyDescent="0.25">
      <c r="B20" s="125" t="s">
        <v>180</v>
      </c>
      <c r="C20" s="135">
        <f ca="1">_xll.meLWOTotalReturnSwapPV($C$4,$C$17)</f>
        <v>109221.01147484221</v>
      </c>
      <c r="E20" s="152">
        <f ca="1"/>
        <v>43854</v>
      </c>
      <c r="F20" s="153">
        <f ca="1"/>
        <v>43854</v>
      </c>
      <c r="G20" s="153">
        <f ca="1"/>
        <v>43945</v>
      </c>
      <c r="H20" s="147">
        <f ca="1"/>
        <v>91</v>
      </c>
      <c r="I20" s="161">
        <f ca="1"/>
        <v>0.25277777777777799</v>
      </c>
      <c r="J20" s="153">
        <f ca="1"/>
        <v>43945</v>
      </c>
      <c r="K20" s="163">
        <f ca="1"/>
        <v>-10000000</v>
      </c>
      <c r="L20" s="163">
        <f ca="1"/>
        <v>0</v>
      </c>
      <c r="M20" s="157">
        <f ca="1"/>
        <v>1</v>
      </c>
      <c r="N20" s="157">
        <f ca="1"/>
        <v>20</v>
      </c>
      <c r="O20" s="167">
        <f ca="1"/>
        <v>2.42490754429193E-2</v>
      </c>
      <c r="P20" s="169">
        <f ca="1"/>
        <v>0.99681952692391196</v>
      </c>
      <c r="Q20" s="173">
        <f ca="1"/>
        <v>9.5280510563766597E-4</v>
      </c>
      <c r="R20" s="163">
        <f ca="1"/>
        <v>-66140.799384257698</v>
      </c>
      <c r="S20" s="169">
        <f ca="1"/>
        <v>-66140.799384257698</v>
      </c>
      <c r="T20" s="169">
        <f ca="1"/>
        <v>0.977038068107969</v>
      </c>
      <c r="U20" s="147">
        <f ca="1"/>
        <v>-64622.078853511899</v>
      </c>
      <c r="V20" s="148" t="str">
        <f ca="1"/>
        <v/>
      </c>
    </row>
    <row r="21" spans="2:22" x14ac:dyDescent="0.25">
      <c r="B21" s="130" t="s">
        <v>123</v>
      </c>
      <c r="C21" s="136">
        <f ca="1">_xll.meLWOTotalReturnSwapPV($C$4,$C$17,B21)</f>
        <v>92800.906318323687</v>
      </c>
      <c r="E21" s="152">
        <f ca="1"/>
        <v>43945</v>
      </c>
      <c r="F21" s="153">
        <f ca="1"/>
        <v>43945</v>
      </c>
      <c r="G21" s="153">
        <f ca="1"/>
        <v>44036</v>
      </c>
      <c r="H21" s="147">
        <f ca="1"/>
        <v>91</v>
      </c>
      <c r="I21" s="161">
        <f ca="1"/>
        <v>0.25277777777777799</v>
      </c>
      <c r="J21" s="153">
        <f ca="1"/>
        <v>44036</v>
      </c>
      <c r="K21" s="163">
        <f ca="1"/>
        <v>-10000000</v>
      </c>
      <c r="L21" s="163">
        <f ca="1"/>
        <v>0</v>
      </c>
      <c r="M21" s="157">
        <f ca="1"/>
        <v>1</v>
      </c>
      <c r="N21" s="157">
        <f ca="1"/>
        <v>20</v>
      </c>
      <c r="O21" s="167">
        <f ca="1"/>
        <v>2.3265127398081599E-2</v>
      </c>
      <c r="P21" s="169">
        <f ca="1"/>
        <v>0.99586763168271897</v>
      </c>
      <c r="Q21" s="173">
        <f ca="1"/>
        <v>9.5189524119243497E-4</v>
      </c>
      <c r="R21" s="163">
        <f ca="1"/>
        <v>-63600.715425948903</v>
      </c>
      <c r="S21" s="169">
        <f ca="1"/>
        <v>-63600.715425948903</v>
      </c>
      <c r="T21" s="169">
        <f ca="1"/>
        <v>0.96843562486740098</v>
      </c>
      <c r="U21" s="147">
        <f ca="1"/>
        <v>-61593.198585542501</v>
      </c>
      <c r="V21" s="148" t="str">
        <f ca="1"/>
        <v/>
      </c>
    </row>
    <row r="22" spans="2:22" x14ac:dyDescent="0.25">
      <c r="B22" s="130" t="s">
        <v>124</v>
      </c>
      <c r="C22" s="136">
        <f ca="1">_xll.meLWOTotalReturnSwapPV($C$4,$C$17,B22)</f>
        <v>16420.105156518519</v>
      </c>
      <c r="E22" s="152">
        <f ca="1"/>
        <v>44036</v>
      </c>
      <c r="F22" s="153">
        <f ca="1"/>
        <v>44036</v>
      </c>
      <c r="G22" s="153">
        <f ca="1"/>
        <v>44130</v>
      </c>
      <c r="H22" s="147">
        <f ca="1"/>
        <v>94</v>
      </c>
      <c r="I22" s="161">
        <f ca="1"/>
        <v>0.26111111111111102</v>
      </c>
      <c r="J22" s="153">
        <f ca="1"/>
        <v>44130</v>
      </c>
      <c r="K22" s="163">
        <f ca="1"/>
        <v>-10000000</v>
      </c>
      <c r="L22" s="163">
        <f ca="1"/>
        <v>0</v>
      </c>
      <c r="M22" s="157">
        <f ca="1"/>
        <v>1</v>
      </c>
      <c r="N22" s="157">
        <f ca="1"/>
        <v>20</v>
      </c>
      <c r="O22" s="167">
        <f ca="1"/>
        <v>2.24744523010308E-2</v>
      </c>
      <c r="P22" s="169">
        <f ca="1"/>
        <v>0.99488530970958799</v>
      </c>
      <c r="Q22" s="173">
        <f ca="1"/>
        <v>9.8232197313086189E-4</v>
      </c>
      <c r="R22" s="163">
        <f ca="1"/>
        <v>-63578.657427873797</v>
      </c>
      <c r="S22" s="169">
        <f ca="1"/>
        <v>-63578.657427873797</v>
      </c>
      <c r="T22" s="169">
        <f ca="1"/>
        <v>0.961888550366921</v>
      </c>
      <c r="U22" s="147">
        <f ca="1"/>
        <v>-61155.582627572498</v>
      </c>
      <c r="V22" s="148" t="str">
        <f ca="1"/>
        <v/>
      </c>
    </row>
    <row r="23" spans="2:22" x14ac:dyDescent="0.25">
      <c r="B23" s="130" t="s">
        <v>181</v>
      </c>
      <c r="C23" s="137">
        <f ca="1">_xll.meLWOTotalReturnSwapParRate(C4,C17)</f>
        <v>2.5701424208142525E-2</v>
      </c>
      <c r="E23" s="152">
        <f ca="1"/>
        <v>44130</v>
      </c>
      <c r="F23" s="153">
        <f ca="1"/>
        <v>44130</v>
      </c>
      <c r="G23" s="153">
        <f ca="1"/>
        <v>44221</v>
      </c>
      <c r="H23" s="147">
        <f ca="1"/>
        <v>91</v>
      </c>
      <c r="I23" s="161">
        <f ca="1"/>
        <v>0.25277777777777799</v>
      </c>
      <c r="J23" s="153">
        <f ca="1"/>
        <v>44221</v>
      </c>
      <c r="K23" s="163">
        <f ca="1"/>
        <v>-10000000</v>
      </c>
      <c r="L23" s="163">
        <f ca="1"/>
        <v>0</v>
      </c>
      <c r="M23" s="157">
        <f ca="1"/>
        <v>1</v>
      </c>
      <c r="N23" s="157">
        <f ca="1"/>
        <v>20</v>
      </c>
      <c r="O23" s="167">
        <f ca="1"/>
        <v>2.2002376926887401E-2</v>
      </c>
      <c r="P23" s="169">
        <f ca="1"/>
        <v>0.99393526151503997</v>
      </c>
      <c r="Q23" s="173">
        <f ca="1"/>
        <v>9.5004819454858102E-4</v>
      </c>
      <c r="R23" s="163">
        <f ca="1"/>
        <v>-60304.711102515597</v>
      </c>
      <c r="S23" s="169">
        <f ca="1"/>
        <v>-60304.711102515597</v>
      </c>
      <c r="T23" s="169">
        <f ca="1"/>
        <v>0.95764956033772997</v>
      </c>
      <c r="U23" s="147">
        <f ca="1"/>
        <v>-57750.780073617898</v>
      </c>
      <c r="V23" s="148" t="str">
        <f ca="1"/>
        <v/>
      </c>
    </row>
    <row r="24" spans="2:22" x14ac:dyDescent="0.25">
      <c r="B24" s="127" t="s">
        <v>182</v>
      </c>
      <c r="C24" s="225">
        <f ca="1">_xll.meLWOTotalReturnSwapParSpread(C4,C17)</f>
        <v>75.288145785150121</v>
      </c>
      <c r="E24" s="152">
        <f ca="1"/>
        <v>44221</v>
      </c>
      <c r="F24" s="153">
        <f ca="1"/>
        <v>44221</v>
      </c>
      <c r="G24" s="153">
        <f ca="1"/>
        <v>44312</v>
      </c>
      <c r="H24" s="147">
        <f ca="1"/>
        <v>91</v>
      </c>
      <c r="I24" s="161">
        <f ca="1"/>
        <v>0.25277777777777799</v>
      </c>
      <c r="J24" s="153">
        <f ca="1"/>
        <v>44312</v>
      </c>
      <c r="K24" s="163">
        <f ca="1"/>
        <v>-10000000</v>
      </c>
      <c r="L24" s="163">
        <f ca="1"/>
        <v>-10000000</v>
      </c>
      <c r="M24" s="157">
        <f ca="1"/>
        <v>1</v>
      </c>
      <c r="N24" s="157">
        <f ca="1"/>
        <v>20</v>
      </c>
      <c r="O24" s="167">
        <f ca="1"/>
        <v>2.1784173506689E-2</v>
      </c>
      <c r="P24" s="169">
        <f ca="1"/>
        <v>0.99290538417119401</v>
      </c>
      <c r="Q24" s="173">
        <f ca="1"/>
        <v>1.0298773438456299E-3</v>
      </c>
      <c r="R24" s="163">
        <f ca="1"/>
        <v>-9988748.4108199906</v>
      </c>
      <c r="S24" s="169">
        <f ca="1"/>
        <v>-9988748.4108199906</v>
      </c>
      <c r="T24" s="169">
        <f ca="1"/>
        <v>0.95428415969830704</v>
      </c>
      <c r="U24" s="147">
        <f ca="1"/>
        <v>-9532104.3836571593</v>
      </c>
      <c r="V24" s="148" t="str">
        <f ca="1"/>
        <v/>
      </c>
    </row>
    <row r="25" spans="2:22" x14ac:dyDescent="0.25">
      <c r="E25" s="152" t="str">
        <f ca="1"/>
        <v/>
      </c>
      <c r="F25" s="153" t="str">
        <f ca="1"/>
        <v/>
      </c>
      <c r="G25" s="153" t="str">
        <f ca="1"/>
        <v/>
      </c>
      <c r="H25" s="147" t="str">
        <f ca="1"/>
        <v/>
      </c>
      <c r="I25" s="161" t="str">
        <f ca="1"/>
        <v/>
      </c>
      <c r="J25" s="153" t="str">
        <f ca="1"/>
        <v/>
      </c>
      <c r="K25" s="163" t="str">
        <f ca="1"/>
        <v/>
      </c>
      <c r="L25" s="163" t="str">
        <f ca="1"/>
        <v/>
      </c>
      <c r="M25" s="157" t="str">
        <f ca="1"/>
        <v/>
      </c>
      <c r="N25" s="157" t="str">
        <f ca="1"/>
        <v/>
      </c>
      <c r="O25" s="167" t="str">
        <f ca="1"/>
        <v/>
      </c>
      <c r="P25" s="169" t="str">
        <f ca="1"/>
        <v/>
      </c>
      <c r="Q25" s="173" t="str">
        <f ca="1"/>
        <v/>
      </c>
      <c r="R25" s="163" t="str">
        <f ca="1"/>
        <v/>
      </c>
      <c r="S25" s="169" t="str">
        <f ca="1"/>
        <v/>
      </c>
      <c r="T25" s="163" t="str">
        <f ca="1"/>
        <v/>
      </c>
      <c r="U25" s="147" t="str">
        <f ca="1"/>
        <v/>
      </c>
      <c r="V25" s="148" t="str">
        <f ca="1"/>
        <v/>
      </c>
    </row>
    <row r="26" spans="2:22" x14ac:dyDescent="0.25">
      <c r="B26" s="1" t="s">
        <v>263</v>
      </c>
      <c r="C26" s="224"/>
      <c r="E26" s="152" t="str">
        <f ca="1"/>
        <v/>
      </c>
      <c r="F26" s="153" t="str">
        <f ca="1"/>
        <v/>
      </c>
      <c r="G26" s="153" t="str">
        <f ca="1"/>
        <v/>
      </c>
      <c r="H26" s="147" t="str">
        <f ca="1"/>
        <v/>
      </c>
      <c r="I26" s="161" t="str">
        <f ca="1"/>
        <v/>
      </c>
      <c r="J26" s="153" t="str">
        <f ca="1"/>
        <v/>
      </c>
      <c r="K26" s="163" t="str">
        <f ca="1"/>
        <v/>
      </c>
      <c r="L26" s="163" t="str">
        <f ca="1"/>
        <v/>
      </c>
      <c r="M26" s="157" t="str">
        <f ca="1"/>
        <v/>
      </c>
      <c r="N26" s="157" t="str">
        <f ca="1"/>
        <v/>
      </c>
      <c r="O26" s="167" t="str">
        <f ca="1"/>
        <v/>
      </c>
      <c r="P26" s="169" t="str">
        <f ca="1"/>
        <v/>
      </c>
      <c r="Q26" s="173" t="str">
        <f ca="1"/>
        <v/>
      </c>
      <c r="R26" s="163" t="str">
        <f ca="1"/>
        <v/>
      </c>
      <c r="S26" s="169" t="str">
        <f ca="1"/>
        <v/>
      </c>
      <c r="T26" s="163" t="str">
        <f ca="1"/>
        <v/>
      </c>
      <c r="U26" s="147" t="str">
        <f ca="1"/>
        <v/>
      </c>
      <c r="V26" s="148" t="str">
        <f ca="1"/>
        <v/>
      </c>
    </row>
    <row r="27" spans="2:22" x14ac:dyDescent="0.25">
      <c r="B27" s="238" t="str">
        <f>TRS_GENERATOR!C6</f>
        <v>Leg1:Premium</v>
      </c>
      <c r="C27" s="242" t="str">
        <f>C16</f>
        <v>USDYC</v>
      </c>
      <c r="E27" s="152" t="str">
        <f ca="1"/>
        <v/>
      </c>
      <c r="F27" s="153" t="str">
        <f ca="1"/>
        <v/>
      </c>
      <c r="G27" s="153" t="str">
        <f ca="1"/>
        <v/>
      </c>
      <c r="H27" s="147" t="str">
        <f ca="1"/>
        <v/>
      </c>
      <c r="I27" s="161" t="str">
        <f ca="1"/>
        <v/>
      </c>
      <c r="J27" s="153" t="str">
        <f ca="1"/>
        <v/>
      </c>
      <c r="K27" s="163" t="str">
        <f ca="1"/>
        <v/>
      </c>
      <c r="L27" s="163" t="str">
        <f ca="1"/>
        <v/>
      </c>
      <c r="M27" s="157" t="str">
        <f ca="1"/>
        <v/>
      </c>
      <c r="N27" s="157" t="str">
        <f ca="1"/>
        <v/>
      </c>
      <c r="O27" s="167" t="str">
        <f ca="1"/>
        <v/>
      </c>
      <c r="P27" s="169" t="str">
        <f ca="1"/>
        <v/>
      </c>
      <c r="Q27" s="173" t="str">
        <f ca="1"/>
        <v/>
      </c>
      <c r="R27" s="163" t="str">
        <f ca="1"/>
        <v/>
      </c>
      <c r="S27" s="169" t="str">
        <f ca="1"/>
        <v/>
      </c>
      <c r="T27" s="163" t="str">
        <f ca="1"/>
        <v/>
      </c>
      <c r="U27" s="147" t="str">
        <f ca="1"/>
        <v/>
      </c>
      <c r="V27" s="148" t="str">
        <f ca="1"/>
        <v/>
      </c>
    </row>
    <row r="28" spans="2:22" x14ac:dyDescent="0.25">
      <c r="B28" s="245" t="str">
        <f>TRS_GENERATOR!D6</f>
        <v>Leg2:Float</v>
      </c>
      <c r="C28" s="246" t="str">
        <f>C16</f>
        <v>USDYC</v>
      </c>
      <c r="E28" s="152" t="str">
        <f ca="1"/>
        <v/>
      </c>
      <c r="F28" s="153" t="str">
        <f ca="1"/>
        <v/>
      </c>
      <c r="G28" s="153" t="str">
        <f ca="1"/>
        <v/>
      </c>
      <c r="H28" s="147" t="str">
        <f ca="1"/>
        <v/>
      </c>
      <c r="I28" s="161" t="str">
        <f ca="1"/>
        <v/>
      </c>
      <c r="J28" s="153" t="str">
        <f ca="1"/>
        <v/>
      </c>
      <c r="K28" s="163" t="str">
        <f ca="1"/>
        <v/>
      </c>
      <c r="L28" s="163" t="str">
        <f ca="1"/>
        <v/>
      </c>
      <c r="M28" s="157" t="str">
        <f ca="1"/>
        <v/>
      </c>
      <c r="N28" s="157" t="str">
        <f ca="1"/>
        <v/>
      </c>
      <c r="O28" s="167" t="str">
        <f ca="1"/>
        <v/>
      </c>
      <c r="P28" s="169" t="str">
        <f ca="1"/>
        <v/>
      </c>
      <c r="Q28" s="173" t="str">
        <f ca="1"/>
        <v/>
      </c>
      <c r="R28" s="163" t="str">
        <f ca="1"/>
        <v/>
      </c>
      <c r="S28" s="169" t="str">
        <f ca="1"/>
        <v/>
      </c>
      <c r="T28" s="163" t="str">
        <f ca="1"/>
        <v/>
      </c>
      <c r="U28" s="147" t="str">
        <f ca="1"/>
        <v/>
      </c>
      <c r="V28" s="148" t="str">
        <f ca="1"/>
        <v/>
      </c>
    </row>
    <row r="29" spans="2:22" x14ac:dyDescent="0.25">
      <c r="B29" s="239" t="s">
        <v>178</v>
      </c>
      <c r="C29" s="243" t="str">
        <f ca="1">C17</f>
        <v>CREDITMODEL1@20:1</v>
      </c>
      <c r="E29" s="152" t="str">
        <f ca="1"/>
        <v/>
      </c>
      <c r="F29" s="153" t="str">
        <f ca="1"/>
        <v/>
      </c>
      <c r="G29" s="153" t="str">
        <f ca="1"/>
        <v/>
      </c>
      <c r="H29" s="147" t="str">
        <f ca="1"/>
        <v/>
      </c>
      <c r="I29" s="161" t="str">
        <f ca="1"/>
        <v/>
      </c>
      <c r="J29" s="153" t="str">
        <f ca="1"/>
        <v/>
      </c>
      <c r="K29" s="163" t="str">
        <f ca="1"/>
        <v/>
      </c>
      <c r="L29" s="163" t="str">
        <f ca="1"/>
        <v/>
      </c>
      <c r="M29" s="157" t="str">
        <f ca="1"/>
        <v/>
      </c>
      <c r="N29" s="157" t="str">
        <f ca="1"/>
        <v/>
      </c>
      <c r="O29" s="167" t="str">
        <f ca="1"/>
        <v/>
      </c>
      <c r="P29" s="169" t="str">
        <f ca="1"/>
        <v/>
      </c>
      <c r="Q29" s="173" t="str">
        <f ca="1"/>
        <v/>
      </c>
      <c r="R29" s="163" t="str">
        <f ca="1"/>
        <v/>
      </c>
      <c r="S29" s="169" t="str">
        <f ca="1"/>
        <v/>
      </c>
      <c r="T29" s="163" t="str">
        <f ca="1"/>
        <v/>
      </c>
      <c r="U29" s="147" t="str">
        <f ca="1"/>
        <v/>
      </c>
      <c r="V29" s="148" t="str">
        <f ca="1"/>
        <v/>
      </c>
    </row>
    <row r="30" spans="2:22" x14ac:dyDescent="0.25">
      <c r="E30" s="152" t="str">
        <f ca="1"/>
        <v/>
      </c>
      <c r="F30" s="153" t="str">
        <f ca="1"/>
        <v/>
      </c>
      <c r="G30" s="153" t="str">
        <f ca="1"/>
        <v/>
      </c>
      <c r="H30" s="147" t="str">
        <f ca="1"/>
        <v/>
      </c>
      <c r="I30" s="161" t="str">
        <f ca="1"/>
        <v/>
      </c>
      <c r="J30" s="153" t="str">
        <f ca="1"/>
        <v/>
      </c>
      <c r="K30" s="163" t="str">
        <f ca="1"/>
        <v/>
      </c>
      <c r="L30" s="163" t="str">
        <f ca="1"/>
        <v/>
      </c>
      <c r="M30" s="157" t="str">
        <f ca="1"/>
        <v/>
      </c>
      <c r="N30" s="157" t="str">
        <f ca="1"/>
        <v/>
      </c>
      <c r="O30" s="167" t="str">
        <f ca="1"/>
        <v/>
      </c>
      <c r="P30" s="169" t="str">
        <f ca="1"/>
        <v/>
      </c>
      <c r="Q30" s="173" t="str">
        <f ca="1"/>
        <v/>
      </c>
      <c r="R30" s="163" t="str">
        <f ca="1"/>
        <v/>
      </c>
      <c r="S30" s="169" t="str">
        <f ca="1"/>
        <v/>
      </c>
      <c r="T30" s="163" t="str">
        <f ca="1"/>
        <v/>
      </c>
      <c r="U30" s="147" t="str">
        <f ca="1"/>
        <v/>
      </c>
      <c r="V30" s="148" t="str">
        <f ca="1"/>
        <v/>
      </c>
    </row>
    <row r="31" spans="2:22" x14ac:dyDescent="0.25">
      <c r="E31" s="152" t="str">
        <f ca="1"/>
        <v/>
      </c>
      <c r="F31" s="153" t="str">
        <f ca="1"/>
        <v/>
      </c>
      <c r="G31" s="153" t="str">
        <f ca="1"/>
        <v/>
      </c>
      <c r="H31" s="147" t="str">
        <f ca="1"/>
        <v/>
      </c>
      <c r="I31" s="161" t="str">
        <f ca="1"/>
        <v/>
      </c>
      <c r="J31" s="153" t="str">
        <f ca="1"/>
        <v/>
      </c>
      <c r="K31" s="163" t="str">
        <f ca="1"/>
        <v/>
      </c>
      <c r="L31" s="163" t="str">
        <f ca="1"/>
        <v/>
      </c>
      <c r="M31" s="157" t="str">
        <f ca="1"/>
        <v/>
      </c>
      <c r="N31" s="157" t="str">
        <f ca="1"/>
        <v/>
      </c>
      <c r="O31" s="167" t="str">
        <f ca="1"/>
        <v/>
      </c>
      <c r="P31" s="169" t="str">
        <f ca="1"/>
        <v/>
      </c>
      <c r="Q31" s="173" t="str">
        <f ca="1"/>
        <v/>
      </c>
      <c r="R31" s="163" t="str">
        <f ca="1"/>
        <v/>
      </c>
      <c r="S31" s="169" t="str">
        <f ca="1"/>
        <v/>
      </c>
      <c r="T31" s="163" t="str">
        <f ca="1"/>
        <v/>
      </c>
      <c r="U31" s="147" t="str">
        <f ca="1"/>
        <v/>
      </c>
      <c r="V31" s="148" t="str">
        <f ca="1"/>
        <v/>
      </c>
    </row>
    <row r="32" spans="2:22" x14ac:dyDescent="0.25">
      <c r="E32" s="152" t="str">
        <f ca="1"/>
        <v/>
      </c>
      <c r="F32" s="153" t="str">
        <f ca="1"/>
        <v/>
      </c>
      <c r="G32" s="153" t="str">
        <f ca="1"/>
        <v/>
      </c>
      <c r="H32" s="147" t="str">
        <f ca="1"/>
        <v/>
      </c>
      <c r="I32" s="161" t="str">
        <f ca="1"/>
        <v/>
      </c>
      <c r="J32" s="153" t="str">
        <f ca="1"/>
        <v/>
      </c>
      <c r="K32" s="163" t="str">
        <f ca="1"/>
        <v/>
      </c>
      <c r="L32" s="163" t="str">
        <f ca="1"/>
        <v/>
      </c>
      <c r="M32" s="157" t="str">
        <f ca="1"/>
        <v/>
      </c>
      <c r="N32" s="157" t="str">
        <f ca="1"/>
        <v/>
      </c>
      <c r="O32" s="167" t="str">
        <f ca="1"/>
        <v/>
      </c>
      <c r="P32" s="169" t="str">
        <f ca="1"/>
        <v/>
      </c>
      <c r="Q32" s="173" t="str">
        <f ca="1"/>
        <v/>
      </c>
      <c r="R32" s="163" t="str">
        <f ca="1"/>
        <v/>
      </c>
      <c r="S32" s="169" t="str">
        <f ca="1"/>
        <v/>
      </c>
      <c r="T32" s="163" t="str">
        <f ca="1"/>
        <v/>
      </c>
      <c r="U32" s="147" t="str">
        <f ca="1"/>
        <v/>
      </c>
      <c r="V32" s="148" t="str">
        <f ca="1"/>
        <v/>
      </c>
    </row>
    <row r="33" spans="5:22" x14ac:dyDescent="0.25">
      <c r="E33" s="152" t="str">
        <f ca="1"/>
        <v/>
      </c>
      <c r="F33" s="153" t="str">
        <f ca="1"/>
        <v/>
      </c>
      <c r="G33" s="153" t="str">
        <f ca="1"/>
        <v/>
      </c>
      <c r="H33" s="147" t="str">
        <f ca="1"/>
        <v/>
      </c>
      <c r="I33" s="161" t="str">
        <f ca="1"/>
        <v/>
      </c>
      <c r="J33" s="153" t="str">
        <f ca="1"/>
        <v/>
      </c>
      <c r="K33" s="163" t="str">
        <f ca="1"/>
        <v/>
      </c>
      <c r="L33" s="163" t="str">
        <f ca="1"/>
        <v/>
      </c>
      <c r="M33" s="157" t="str">
        <f ca="1"/>
        <v/>
      </c>
      <c r="N33" s="157" t="str">
        <f ca="1"/>
        <v/>
      </c>
      <c r="O33" s="167" t="str">
        <f ca="1"/>
        <v/>
      </c>
      <c r="P33" s="169" t="str">
        <f ca="1"/>
        <v/>
      </c>
      <c r="Q33" s="173" t="str">
        <f ca="1"/>
        <v/>
      </c>
      <c r="R33" s="163" t="str">
        <f ca="1"/>
        <v/>
      </c>
      <c r="S33" s="169" t="str">
        <f ca="1"/>
        <v/>
      </c>
      <c r="T33" s="163" t="str">
        <f ca="1"/>
        <v/>
      </c>
      <c r="U33" s="147" t="str">
        <f ca="1"/>
        <v/>
      </c>
      <c r="V33" s="148" t="str">
        <f ca="1"/>
        <v/>
      </c>
    </row>
    <row r="34" spans="5:22" x14ac:dyDescent="0.25">
      <c r="E34" s="152" t="str">
        <f ca="1"/>
        <v/>
      </c>
      <c r="F34" s="153" t="str">
        <f ca="1"/>
        <v/>
      </c>
      <c r="G34" s="153" t="str">
        <f ca="1"/>
        <v/>
      </c>
      <c r="H34" s="147" t="str">
        <f ca="1"/>
        <v/>
      </c>
      <c r="I34" s="161" t="str">
        <f ca="1"/>
        <v/>
      </c>
      <c r="J34" s="153" t="str">
        <f ca="1"/>
        <v/>
      </c>
      <c r="K34" s="163" t="str">
        <f ca="1"/>
        <v/>
      </c>
      <c r="L34" s="163" t="str">
        <f ca="1"/>
        <v/>
      </c>
      <c r="M34" s="157" t="str">
        <f ca="1"/>
        <v/>
      </c>
      <c r="N34" s="157" t="str">
        <f ca="1"/>
        <v/>
      </c>
      <c r="O34" s="167" t="str">
        <f ca="1"/>
        <v/>
      </c>
      <c r="P34" s="169" t="str">
        <f ca="1"/>
        <v/>
      </c>
      <c r="Q34" s="173" t="str">
        <f ca="1"/>
        <v/>
      </c>
      <c r="R34" s="163" t="str">
        <f ca="1"/>
        <v/>
      </c>
      <c r="S34" s="169" t="str">
        <f ca="1"/>
        <v/>
      </c>
      <c r="T34" s="163" t="str">
        <f ca="1"/>
        <v/>
      </c>
      <c r="U34" s="147" t="str">
        <f ca="1"/>
        <v/>
      </c>
      <c r="V34" s="148" t="str">
        <f ca="1"/>
        <v/>
      </c>
    </row>
    <row r="35" spans="5:22" x14ac:dyDescent="0.25">
      <c r="E35" s="152" t="str">
        <f ca="1"/>
        <v/>
      </c>
      <c r="F35" s="153" t="str">
        <f ca="1"/>
        <v/>
      </c>
      <c r="G35" s="153" t="str">
        <f ca="1"/>
        <v/>
      </c>
      <c r="H35" s="147" t="str">
        <f ca="1"/>
        <v/>
      </c>
      <c r="I35" s="161" t="str">
        <f ca="1"/>
        <v/>
      </c>
      <c r="J35" s="153" t="str">
        <f ca="1"/>
        <v/>
      </c>
      <c r="K35" s="163" t="str">
        <f ca="1"/>
        <v/>
      </c>
      <c r="L35" s="163" t="str">
        <f ca="1"/>
        <v/>
      </c>
      <c r="M35" s="157" t="str">
        <f ca="1"/>
        <v/>
      </c>
      <c r="N35" s="157" t="str">
        <f ca="1"/>
        <v/>
      </c>
      <c r="O35" s="167" t="str">
        <f ca="1"/>
        <v/>
      </c>
      <c r="P35" s="169" t="str">
        <f ca="1"/>
        <v/>
      </c>
      <c r="Q35" s="173" t="str">
        <f ca="1"/>
        <v/>
      </c>
      <c r="R35" s="163" t="str">
        <f ca="1"/>
        <v/>
      </c>
      <c r="S35" s="169" t="str">
        <f ca="1"/>
        <v/>
      </c>
      <c r="T35" s="163" t="str">
        <f ca="1"/>
        <v/>
      </c>
      <c r="U35" s="147" t="str">
        <f ca="1"/>
        <v/>
      </c>
      <c r="V35" s="148" t="str">
        <f ca="1"/>
        <v/>
      </c>
    </row>
    <row r="36" spans="5:22" x14ac:dyDescent="0.25">
      <c r="E36" s="152" t="str">
        <f ca="1"/>
        <v/>
      </c>
      <c r="F36" s="153" t="str">
        <f ca="1"/>
        <v/>
      </c>
      <c r="G36" s="153" t="str">
        <f ca="1"/>
        <v/>
      </c>
      <c r="H36" s="147" t="str">
        <f ca="1"/>
        <v/>
      </c>
      <c r="I36" s="161" t="str">
        <f ca="1"/>
        <v/>
      </c>
      <c r="J36" s="153" t="str">
        <f ca="1"/>
        <v/>
      </c>
      <c r="K36" s="163" t="str">
        <f ca="1"/>
        <v/>
      </c>
      <c r="L36" s="163" t="str">
        <f ca="1"/>
        <v/>
      </c>
      <c r="M36" s="157" t="str">
        <f ca="1"/>
        <v/>
      </c>
      <c r="N36" s="157" t="str">
        <f ca="1"/>
        <v/>
      </c>
      <c r="O36" s="167" t="str">
        <f ca="1"/>
        <v/>
      </c>
      <c r="P36" s="169" t="str">
        <f ca="1"/>
        <v/>
      </c>
      <c r="Q36" s="173" t="str">
        <f ca="1"/>
        <v/>
      </c>
      <c r="R36" s="163" t="str">
        <f ca="1"/>
        <v/>
      </c>
      <c r="S36" s="169" t="str">
        <f ca="1"/>
        <v/>
      </c>
      <c r="T36" s="163" t="str">
        <f ca="1"/>
        <v/>
      </c>
      <c r="U36" s="147" t="str">
        <f ca="1"/>
        <v/>
      </c>
      <c r="V36" s="148" t="str">
        <f ca="1"/>
        <v/>
      </c>
    </row>
    <row r="37" spans="5:22" x14ac:dyDescent="0.25">
      <c r="E37" s="152" t="str">
        <f ca="1"/>
        <v/>
      </c>
      <c r="F37" s="153" t="str">
        <f ca="1"/>
        <v/>
      </c>
      <c r="G37" s="153" t="str">
        <f ca="1"/>
        <v/>
      </c>
      <c r="H37" s="147" t="str">
        <f ca="1"/>
        <v/>
      </c>
      <c r="I37" s="161" t="str">
        <f ca="1"/>
        <v/>
      </c>
      <c r="J37" s="153" t="str">
        <f ca="1"/>
        <v/>
      </c>
      <c r="K37" s="163" t="str">
        <f ca="1"/>
        <v/>
      </c>
      <c r="L37" s="163" t="str">
        <f ca="1"/>
        <v/>
      </c>
      <c r="M37" s="157" t="str">
        <f ca="1"/>
        <v/>
      </c>
      <c r="N37" s="157" t="str">
        <f ca="1"/>
        <v/>
      </c>
      <c r="O37" s="167" t="str">
        <f ca="1"/>
        <v/>
      </c>
      <c r="P37" s="169" t="str">
        <f ca="1"/>
        <v/>
      </c>
      <c r="Q37" s="173" t="str">
        <f ca="1"/>
        <v/>
      </c>
      <c r="R37" s="163" t="str">
        <f ca="1"/>
        <v/>
      </c>
      <c r="S37" s="169" t="str">
        <f ca="1"/>
        <v/>
      </c>
      <c r="T37" s="163" t="str">
        <f ca="1"/>
        <v/>
      </c>
      <c r="U37" s="147" t="str">
        <f ca="1"/>
        <v/>
      </c>
      <c r="V37" s="148" t="str">
        <f ca="1"/>
        <v/>
      </c>
    </row>
    <row r="38" spans="5:22" x14ac:dyDescent="0.25">
      <c r="E38" s="152" t="str">
        <f ca="1"/>
        <v/>
      </c>
      <c r="F38" s="153" t="str">
        <f ca="1"/>
        <v/>
      </c>
      <c r="G38" s="153" t="str">
        <f ca="1"/>
        <v/>
      </c>
      <c r="H38" s="147" t="str">
        <f ca="1"/>
        <v/>
      </c>
      <c r="I38" s="161" t="str">
        <f ca="1"/>
        <v/>
      </c>
      <c r="J38" s="153" t="str">
        <f ca="1"/>
        <v/>
      </c>
      <c r="K38" s="163" t="str">
        <f ca="1"/>
        <v/>
      </c>
      <c r="L38" s="163" t="str">
        <f ca="1"/>
        <v/>
      </c>
      <c r="M38" s="157" t="str">
        <f ca="1"/>
        <v/>
      </c>
      <c r="N38" s="157" t="str">
        <f ca="1"/>
        <v/>
      </c>
      <c r="O38" s="167" t="str">
        <f ca="1"/>
        <v/>
      </c>
      <c r="P38" s="169" t="str">
        <f ca="1"/>
        <v/>
      </c>
      <c r="Q38" s="173" t="str">
        <f ca="1"/>
        <v/>
      </c>
      <c r="R38" s="163" t="str">
        <f ca="1"/>
        <v/>
      </c>
      <c r="S38" s="169" t="str">
        <f ca="1"/>
        <v/>
      </c>
      <c r="T38" s="163" t="str">
        <f ca="1"/>
        <v/>
      </c>
      <c r="U38" s="147" t="str">
        <f ca="1"/>
        <v/>
      </c>
      <c r="V38" s="148" t="str">
        <f ca="1"/>
        <v/>
      </c>
    </row>
    <row r="39" spans="5:22" x14ac:dyDescent="0.25">
      <c r="E39" s="152" t="str">
        <f ca="1"/>
        <v/>
      </c>
      <c r="F39" s="153" t="str">
        <f ca="1"/>
        <v/>
      </c>
      <c r="G39" s="153" t="str">
        <f ca="1"/>
        <v/>
      </c>
      <c r="H39" s="147" t="str">
        <f ca="1"/>
        <v/>
      </c>
      <c r="I39" s="161" t="str">
        <f ca="1"/>
        <v/>
      </c>
      <c r="J39" s="153" t="str">
        <f ca="1"/>
        <v/>
      </c>
      <c r="K39" s="163" t="str">
        <f ca="1"/>
        <v/>
      </c>
      <c r="L39" s="163" t="str">
        <f ca="1"/>
        <v/>
      </c>
      <c r="M39" s="157" t="str">
        <f ca="1"/>
        <v/>
      </c>
      <c r="N39" s="157" t="str">
        <f ca="1"/>
        <v/>
      </c>
      <c r="O39" s="167" t="str">
        <f ca="1"/>
        <v/>
      </c>
      <c r="P39" s="169" t="str">
        <f ca="1"/>
        <v/>
      </c>
      <c r="Q39" s="173" t="str">
        <f ca="1"/>
        <v/>
      </c>
      <c r="R39" s="163" t="str">
        <f ca="1"/>
        <v/>
      </c>
      <c r="S39" s="169" t="str">
        <f ca="1"/>
        <v/>
      </c>
      <c r="T39" s="163" t="str">
        <f ca="1"/>
        <v/>
      </c>
      <c r="U39" s="147" t="str">
        <f ca="1"/>
        <v/>
      </c>
      <c r="V39" s="148" t="str">
        <f ca="1"/>
        <v/>
      </c>
    </row>
    <row r="40" spans="5:22" x14ac:dyDescent="0.25">
      <c r="E40" s="152" t="str">
        <f ca="1"/>
        <v/>
      </c>
      <c r="F40" s="153" t="str">
        <f ca="1"/>
        <v/>
      </c>
      <c r="G40" s="153" t="str">
        <f ca="1"/>
        <v/>
      </c>
      <c r="H40" s="147" t="str">
        <f ca="1"/>
        <v/>
      </c>
      <c r="I40" s="161" t="str">
        <f ca="1"/>
        <v/>
      </c>
      <c r="J40" s="153" t="str">
        <f ca="1"/>
        <v/>
      </c>
      <c r="K40" s="163" t="str">
        <f ca="1"/>
        <v/>
      </c>
      <c r="L40" s="163" t="str">
        <f ca="1"/>
        <v/>
      </c>
      <c r="M40" s="157" t="str">
        <f ca="1"/>
        <v/>
      </c>
      <c r="N40" s="157" t="str">
        <f ca="1"/>
        <v/>
      </c>
      <c r="O40" s="167" t="str">
        <f ca="1"/>
        <v/>
      </c>
      <c r="P40" s="169" t="str">
        <f ca="1"/>
        <v/>
      </c>
      <c r="Q40" s="173" t="str">
        <f ca="1"/>
        <v/>
      </c>
      <c r="R40" s="163" t="str">
        <f ca="1"/>
        <v/>
      </c>
      <c r="S40" s="169" t="str">
        <f ca="1"/>
        <v/>
      </c>
      <c r="T40" s="163" t="str">
        <f ca="1"/>
        <v/>
      </c>
      <c r="U40" s="147" t="str">
        <f ca="1"/>
        <v/>
      </c>
      <c r="V40" s="148" t="str">
        <f ca="1"/>
        <v/>
      </c>
    </row>
    <row r="41" spans="5:22" x14ac:dyDescent="0.25">
      <c r="E41" s="152" t="str">
        <f ca="1"/>
        <v/>
      </c>
      <c r="F41" s="153" t="str">
        <f ca="1"/>
        <v/>
      </c>
      <c r="G41" s="153" t="str">
        <f ca="1"/>
        <v/>
      </c>
      <c r="H41" s="147" t="str">
        <f ca="1"/>
        <v/>
      </c>
      <c r="I41" s="161" t="str">
        <f ca="1"/>
        <v/>
      </c>
      <c r="J41" s="153" t="str">
        <f ca="1"/>
        <v/>
      </c>
      <c r="K41" s="163" t="str">
        <f ca="1"/>
        <v/>
      </c>
      <c r="L41" s="163" t="str">
        <f ca="1"/>
        <v/>
      </c>
      <c r="M41" s="157" t="str">
        <f ca="1"/>
        <v/>
      </c>
      <c r="N41" s="157" t="str">
        <f ca="1"/>
        <v/>
      </c>
      <c r="O41" s="167" t="str">
        <f ca="1"/>
        <v/>
      </c>
      <c r="P41" s="169" t="str">
        <f ca="1"/>
        <v/>
      </c>
      <c r="Q41" s="173" t="str">
        <f ca="1"/>
        <v/>
      </c>
      <c r="R41" s="163" t="str">
        <f ca="1"/>
        <v/>
      </c>
      <c r="S41" s="169" t="str">
        <f ca="1"/>
        <v/>
      </c>
      <c r="T41" s="163" t="str">
        <f ca="1"/>
        <v/>
      </c>
      <c r="U41" s="147" t="str">
        <f ca="1"/>
        <v/>
      </c>
      <c r="V41" s="148" t="str">
        <f ca="1"/>
        <v/>
      </c>
    </row>
    <row r="42" spans="5:22" x14ac:dyDescent="0.25">
      <c r="E42" s="152" t="str">
        <f ca="1"/>
        <v/>
      </c>
      <c r="F42" s="153" t="str">
        <f ca="1"/>
        <v/>
      </c>
      <c r="G42" s="153" t="str">
        <f ca="1"/>
        <v/>
      </c>
      <c r="H42" s="147" t="str">
        <f ca="1"/>
        <v/>
      </c>
      <c r="I42" s="161" t="str">
        <f ca="1"/>
        <v/>
      </c>
      <c r="J42" s="153" t="str">
        <f ca="1"/>
        <v/>
      </c>
      <c r="K42" s="163" t="str">
        <f ca="1"/>
        <v/>
      </c>
      <c r="L42" s="163" t="str">
        <f ca="1"/>
        <v/>
      </c>
      <c r="M42" s="157" t="str">
        <f ca="1"/>
        <v/>
      </c>
      <c r="N42" s="157" t="str">
        <f ca="1"/>
        <v/>
      </c>
      <c r="O42" s="167" t="str">
        <f ca="1"/>
        <v/>
      </c>
      <c r="P42" s="169" t="str">
        <f ca="1"/>
        <v/>
      </c>
      <c r="Q42" s="173" t="str">
        <f ca="1"/>
        <v/>
      </c>
      <c r="R42" s="163" t="str">
        <f ca="1"/>
        <v/>
      </c>
      <c r="S42" s="169" t="str">
        <f ca="1"/>
        <v/>
      </c>
      <c r="T42" s="163" t="str">
        <f ca="1"/>
        <v/>
      </c>
      <c r="U42" s="147" t="str">
        <f ca="1"/>
        <v/>
      </c>
      <c r="V42" s="148" t="str">
        <f ca="1"/>
        <v/>
      </c>
    </row>
    <row r="43" spans="5:22" x14ac:dyDescent="0.25">
      <c r="E43" s="152" t="str">
        <f ca="1"/>
        <v/>
      </c>
      <c r="F43" s="153" t="str">
        <f ca="1"/>
        <v/>
      </c>
      <c r="G43" s="153" t="str">
        <f ca="1"/>
        <v/>
      </c>
      <c r="H43" s="147" t="str">
        <f ca="1"/>
        <v/>
      </c>
      <c r="I43" s="161" t="str">
        <f ca="1"/>
        <v/>
      </c>
      <c r="J43" s="153" t="str">
        <f ca="1"/>
        <v/>
      </c>
      <c r="K43" s="163" t="str">
        <f ca="1"/>
        <v/>
      </c>
      <c r="L43" s="163" t="str">
        <f ca="1"/>
        <v/>
      </c>
      <c r="M43" s="157" t="str">
        <f ca="1"/>
        <v/>
      </c>
      <c r="N43" s="157" t="str">
        <f ca="1"/>
        <v/>
      </c>
      <c r="O43" s="167" t="str">
        <f ca="1"/>
        <v/>
      </c>
      <c r="P43" s="169" t="str">
        <f ca="1"/>
        <v/>
      </c>
      <c r="Q43" s="173" t="str">
        <f ca="1"/>
        <v/>
      </c>
      <c r="R43" s="163" t="str">
        <f ca="1"/>
        <v/>
      </c>
      <c r="S43" s="169" t="str">
        <f ca="1"/>
        <v/>
      </c>
      <c r="T43" s="163" t="str">
        <f ca="1"/>
        <v/>
      </c>
      <c r="U43" s="147" t="str">
        <f ca="1"/>
        <v/>
      </c>
      <c r="V43" s="148" t="str">
        <f ca="1"/>
        <v/>
      </c>
    </row>
    <row r="44" spans="5:22" x14ac:dyDescent="0.25">
      <c r="E44" s="152" t="str">
        <f ca="1"/>
        <v/>
      </c>
      <c r="F44" s="153" t="str">
        <f ca="1"/>
        <v/>
      </c>
      <c r="G44" s="153" t="str">
        <f ca="1"/>
        <v/>
      </c>
      <c r="H44" s="147" t="str">
        <f ca="1"/>
        <v/>
      </c>
      <c r="I44" s="161" t="str">
        <f ca="1"/>
        <v/>
      </c>
      <c r="J44" s="153" t="str">
        <f ca="1"/>
        <v/>
      </c>
      <c r="K44" s="163" t="str">
        <f ca="1"/>
        <v/>
      </c>
      <c r="L44" s="163" t="str">
        <f ca="1"/>
        <v/>
      </c>
      <c r="M44" s="157" t="str">
        <f ca="1"/>
        <v/>
      </c>
      <c r="N44" s="157" t="str">
        <f ca="1"/>
        <v/>
      </c>
      <c r="O44" s="167" t="str">
        <f ca="1"/>
        <v/>
      </c>
      <c r="P44" s="169" t="str">
        <f ca="1"/>
        <v/>
      </c>
      <c r="Q44" s="173" t="str">
        <f ca="1"/>
        <v/>
      </c>
      <c r="R44" s="163" t="str">
        <f ca="1"/>
        <v/>
      </c>
      <c r="S44" s="169" t="str">
        <f ca="1"/>
        <v/>
      </c>
      <c r="T44" s="163" t="str">
        <f ca="1"/>
        <v/>
      </c>
      <c r="U44" s="147" t="str">
        <f ca="1"/>
        <v/>
      </c>
      <c r="V44" s="148" t="str">
        <f ca="1"/>
        <v/>
      </c>
    </row>
    <row r="45" spans="5:22" x14ac:dyDescent="0.25">
      <c r="E45" s="152" t="str">
        <f ca="1"/>
        <v/>
      </c>
      <c r="F45" s="153" t="str">
        <f ca="1"/>
        <v/>
      </c>
      <c r="G45" s="153" t="str">
        <f ca="1"/>
        <v/>
      </c>
      <c r="H45" s="147" t="str">
        <f ca="1"/>
        <v/>
      </c>
      <c r="I45" s="161" t="str">
        <f ca="1"/>
        <v/>
      </c>
      <c r="J45" s="153" t="str">
        <f ca="1"/>
        <v/>
      </c>
      <c r="K45" s="163" t="str">
        <f ca="1"/>
        <v/>
      </c>
      <c r="L45" s="163" t="str">
        <f ca="1"/>
        <v/>
      </c>
      <c r="M45" s="157" t="str">
        <f ca="1"/>
        <v/>
      </c>
      <c r="N45" s="157" t="str">
        <f ca="1"/>
        <v/>
      </c>
      <c r="O45" s="167" t="str">
        <f ca="1"/>
        <v/>
      </c>
      <c r="P45" s="169" t="str">
        <f ca="1"/>
        <v/>
      </c>
      <c r="Q45" s="173" t="str">
        <f ca="1"/>
        <v/>
      </c>
      <c r="R45" s="163" t="str">
        <f ca="1"/>
        <v/>
      </c>
      <c r="S45" s="169" t="str">
        <f ca="1"/>
        <v/>
      </c>
      <c r="T45" s="163" t="str">
        <f ca="1"/>
        <v/>
      </c>
      <c r="U45" s="147" t="str">
        <f ca="1"/>
        <v/>
      </c>
      <c r="V45" s="148" t="str">
        <f ca="1"/>
        <v/>
      </c>
    </row>
    <row r="46" spans="5:22" x14ac:dyDescent="0.25">
      <c r="E46" s="155" t="str">
        <f ca="1"/>
        <v/>
      </c>
      <c r="F46" s="156" t="str">
        <f ca="1"/>
        <v/>
      </c>
      <c r="G46" s="156" t="str">
        <f ca="1"/>
        <v/>
      </c>
      <c r="H46" s="150" t="str">
        <f ca="1"/>
        <v/>
      </c>
      <c r="I46" s="162" t="str">
        <f ca="1"/>
        <v/>
      </c>
      <c r="J46" s="156" t="str">
        <f ca="1"/>
        <v/>
      </c>
      <c r="K46" s="164" t="str">
        <f ca="1"/>
        <v/>
      </c>
      <c r="L46" s="164" t="str">
        <f ca="1"/>
        <v/>
      </c>
      <c r="M46" s="158" t="str">
        <f ca="1"/>
        <v/>
      </c>
      <c r="N46" s="158" t="str">
        <f ca="1"/>
        <v/>
      </c>
      <c r="O46" s="168" t="str">
        <f ca="1"/>
        <v/>
      </c>
      <c r="P46" s="170" t="str">
        <f ca="1"/>
        <v/>
      </c>
      <c r="Q46" s="174" t="str">
        <f ca="1"/>
        <v/>
      </c>
      <c r="R46" s="164" t="str">
        <f ca="1"/>
        <v/>
      </c>
      <c r="S46" s="170" t="str">
        <f ca="1"/>
        <v/>
      </c>
      <c r="T46" s="164" t="str">
        <f ca="1"/>
        <v/>
      </c>
      <c r="U46" s="150" t="str">
        <f ca="1"/>
        <v/>
      </c>
      <c r="V46" s="151" t="str">
        <f ca="1"/>
        <v/>
      </c>
    </row>
    <row r="47" spans="5:22" x14ac:dyDescent="0.25">
      <c r="E47" s="223" t="str">
        <f ca="1">_xll.meLWOSwapCreateFromGenerator("TestCDS","USD_CDS","Pay",1000000,COB,C10,1%,0)</f>
        <v>TESTCDS@7:23</v>
      </c>
    </row>
  </sheetData>
  <dataValidations count="1">
    <dataValidation type="list" allowBlank="1" showInputMessage="1" showErrorMessage="1" sqref="C7">
      <formula1>"PAY,RECEIVE"</formula1>
    </dataValidation>
  </dataValidation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32"/>
  <sheetViews>
    <sheetView showGridLines="0" workbookViewId="0"/>
  </sheetViews>
  <sheetFormatPr defaultRowHeight="15" x14ac:dyDescent="0.25"/>
  <cols>
    <col min="2" max="2" width="34.140625" bestFit="1" customWidth="1"/>
    <col min="3" max="3" width="20" bestFit="1" customWidth="1"/>
    <col min="4" max="4" width="16.28515625" bestFit="1" customWidth="1"/>
    <col min="6" max="6" width="23" bestFit="1" customWidth="1"/>
    <col min="7" max="7" width="27.28515625" bestFit="1" customWidth="1"/>
  </cols>
  <sheetData>
    <row r="2" spans="2:9" x14ac:dyDescent="0.25">
      <c r="B2" s="1" t="s">
        <v>233</v>
      </c>
      <c r="F2" s="1" t="s">
        <v>164</v>
      </c>
    </row>
    <row r="3" spans="2:9" x14ac:dyDescent="0.25">
      <c r="B3" s="125" t="s">
        <v>162</v>
      </c>
      <c r="C3" s="228" t="s">
        <v>262</v>
      </c>
      <c r="D3" s="226"/>
      <c r="F3" s="125" t="s">
        <v>165</v>
      </c>
      <c r="G3" s="126" t="s">
        <v>235</v>
      </c>
    </row>
    <row r="4" spans="2:9" x14ac:dyDescent="0.25">
      <c r="B4" s="127" t="s">
        <v>163</v>
      </c>
      <c r="C4" s="229" t="str">
        <f ca="1">_xll.meLWOSwapGeneratorCreate(C3,$B$7:$D$32)</f>
        <v>USD_TREASURY@2:23</v>
      </c>
      <c r="D4" s="227"/>
      <c r="F4" s="127" t="s">
        <v>167</v>
      </c>
      <c r="G4" s="128" t="str">
        <f ca="1">_xll.meLWOSwapCreateFromGenerator(G3,G15,G7,G8,G9,G10,G11,G12)</f>
        <v>TRS_USD_CT10@4:23</v>
      </c>
    </row>
    <row r="6" spans="2:9" x14ac:dyDescent="0.25">
      <c r="B6" s="1" t="s">
        <v>234</v>
      </c>
      <c r="F6" s="1" t="s">
        <v>168</v>
      </c>
    </row>
    <row r="7" spans="2:9" x14ac:dyDescent="0.25">
      <c r="B7" s="114" t="s">
        <v>122</v>
      </c>
      <c r="C7" s="117" t="s">
        <v>123</v>
      </c>
      <c r="D7" s="118" t="s">
        <v>124</v>
      </c>
      <c r="F7" s="114" t="s">
        <v>170</v>
      </c>
      <c r="G7" s="129" t="s">
        <v>171</v>
      </c>
    </row>
    <row r="8" spans="2:9" x14ac:dyDescent="0.25">
      <c r="B8" s="115" t="s">
        <v>125</v>
      </c>
      <c r="C8" s="119" t="s">
        <v>126</v>
      </c>
      <c r="D8" s="120" t="s">
        <v>126</v>
      </c>
      <c r="F8" s="130" t="s">
        <v>172</v>
      </c>
      <c r="G8" s="131">
        <v>10000000</v>
      </c>
    </row>
    <row r="9" spans="2:9" x14ac:dyDescent="0.25">
      <c r="B9" s="115" t="s">
        <v>127</v>
      </c>
      <c r="C9" s="121" t="s">
        <v>128</v>
      </c>
      <c r="D9" s="122" t="s">
        <v>259</v>
      </c>
      <c r="F9" s="130" t="s">
        <v>173</v>
      </c>
      <c r="G9" s="132">
        <f ca="1">_xll.meDateFromTenor(COB,H9,"FOLLOWING","NYB")</f>
        <v>43581</v>
      </c>
      <c r="H9" s="1" t="s">
        <v>236</v>
      </c>
    </row>
    <row r="10" spans="2:9" x14ac:dyDescent="0.25">
      <c r="B10" s="115" t="s">
        <v>130</v>
      </c>
      <c r="C10" s="121" t="s">
        <v>131</v>
      </c>
      <c r="D10" s="122" t="s">
        <v>131</v>
      </c>
      <c r="F10" s="130" t="s">
        <v>174</v>
      </c>
      <c r="G10" s="132">
        <f ca="1">_xll.meDateFromTenor(COB,H10)</f>
        <v>47232</v>
      </c>
      <c r="H10" s="1" t="s">
        <v>39</v>
      </c>
      <c r="I10" s="237" t="s">
        <v>261</v>
      </c>
    </row>
    <row r="11" spans="2:9" x14ac:dyDescent="0.25">
      <c r="B11" s="115" t="s">
        <v>132</v>
      </c>
      <c r="C11" s="121" t="s">
        <v>231</v>
      </c>
      <c r="D11" s="122" t="s">
        <v>231</v>
      </c>
      <c r="F11" s="130" t="s">
        <v>175</v>
      </c>
      <c r="G11" s="138">
        <v>2.75E-2</v>
      </c>
    </row>
    <row r="12" spans="2:9" x14ac:dyDescent="0.25">
      <c r="B12" s="115" t="s">
        <v>133</v>
      </c>
      <c r="C12" s="121" t="s">
        <v>134</v>
      </c>
      <c r="D12" s="122" t="s">
        <v>134</v>
      </c>
      <c r="F12" s="127" t="s">
        <v>183</v>
      </c>
      <c r="G12" s="139">
        <v>239.34</v>
      </c>
    </row>
    <row r="13" spans="2:9" x14ac:dyDescent="0.25">
      <c r="B13" s="115" t="s">
        <v>135</v>
      </c>
      <c r="C13" s="121" t="s">
        <v>16</v>
      </c>
      <c r="D13" s="122" t="s">
        <v>16</v>
      </c>
      <c r="F13" s="112"/>
      <c r="G13" s="112"/>
    </row>
    <row r="14" spans="2:9" x14ac:dyDescent="0.25">
      <c r="B14" s="115" t="s">
        <v>136</v>
      </c>
      <c r="C14" s="121" t="s">
        <v>16</v>
      </c>
      <c r="D14" s="122" t="s">
        <v>16</v>
      </c>
      <c r="F14" s="1" t="s">
        <v>176</v>
      </c>
    </row>
    <row r="15" spans="2:9" x14ac:dyDescent="0.25">
      <c r="B15" s="115" t="s">
        <v>137</v>
      </c>
      <c r="C15" s="121" t="s">
        <v>237</v>
      </c>
      <c r="D15" s="122" t="s">
        <v>237</v>
      </c>
      <c r="F15" s="114" t="s">
        <v>169</v>
      </c>
      <c r="G15" s="230" t="str">
        <f ca="1">C4</f>
        <v>USD_TREASURY@2:23</v>
      </c>
    </row>
    <row r="16" spans="2:9" x14ac:dyDescent="0.25">
      <c r="B16" s="115" t="s">
        <v>139</v>
      </c>
      <c r="C16" s="121" t="s">
        <v>140</v>
      </c>
      <c r="D16" s="122" t="s">
        <v>140</v>
      </c>
      <c r="F16" s="115" t="s">
        <v>177</v>
      </c>
      <c r="G16" s="141" t="str">
        <f ca="1">USD3ML!D28</f>
        <v>USDYC</v>
      </c>
    </row>
    <row r="17" spans="2:8" x14ac:dyDescent="0.25">
      <c r="B17" s="115" t="s">
        <v>141</v>
      </c>
      <c r="C17" s="121" t="s">
        <v>200</v>
      </c>
      <c r="D17" s="122" t="s">
        <v>200</v>
      </c>
      <c r="F17" s="116" t="s">
        <v>178</v>
      </c>
      <c r="G17" s="142" t="str">
        <f ca="1">CREDITMODEL!$C$4</f>
        <v>CREDITMODEL1@20:1</v>
      </c>
    </row>
    <row r="18" spans="2:8" x14ac:dyDescent="0.25">
      <c r="B18" s="115" t="s">
        <v>143</v>
      </c>
      <c r="C18" s="121" t="s">
        <v>144</v>
      </c>
      <c r="D18" s="122" t="s">
        <v>144</v>
      </c>
    </row>
    <row r="19" spans="2:8" x14ac:dyDescent="0.25">
      <c r="B19" s="115" t="s">
        <v>145</v>
      </c>
      <c r="C19" s="121" t="s">
        <v>237</v>
      </c>
      <c r="D19" s="122" t="s">
        <v>237</v>
      </c>
      <c r="F19" s="1" t="s">
        <v>179</v>
      </c>
    </row>
    <row r="20" spans="2:8" x14ac:dyDescent="0.25">
      <c r="B20" s="115" t="s">
        <v>146</v>
      </c>
      <c r="C20" s="121" t="s">
        <v>140</v>
      </c>
      <c r="D20" s="122" t="s">
        <v>140</v>
      </c>
      <c r="F20" s="125" t="s">
        <v>180</v>
      </c>
      <c r="G20" s="135">
        <f ca="1">_xll.meLWOTotalReturnSwapPV($G$4,$G$17)</f>
        <v>-2450948.8907979568</v>
      </c>
      <c r="H20" t="s">
        <v>6</v>
      </c>
    </row>
    <row r="21" spans="2:8" x14ac:dyDescent="0.25">
      <c r="B21" s="115" t="s">
        <v>147</v>
      </c>
      <c r="C21" s="121" t="s">
        <v>200</v>
      </c>
      <c r="D21" s="122" t="s">
        <v>142</v>
      </c>
      <c r="F21" s="130" t="s">
        <v>123</v>
      </c>
      <c r="G21" s="136">
        <f ca="1">_xll.meLWOTotalReturnSwapPV($G$4,$G$17,F21)</f>
        <v>-152315.76932984497</v>
      </c>
      <c r="H21" t="s">
        <v>6</v>
      </c>
    </row>
    <row r="22" spans="2:8" x14ac:dyDescent="0.25">
      <c r="B22" s="115" t="s">
        <v>148</v>
      </c>
      <c r="C22" s="121" t="s">
        <v>149</v>
      </c>
      <c r="D22" s="122" t="s">
        <v>149</v>
      </c>
      <c r="F22" s="130" t="s">
        <v>124</v>
      </c>
      <c r="G22" s="136">
        <f ca="1">_xll.meLWOTotalReturnSwapPV($G$4,$G$17,F22)</f>
        <v>-2298633.1214681119</v>
      </c>
      <c r="H22" t="s">
        <v>6</v>
      </c>
    </row>
    <row r="23" spans="2:8" x14ac:dyDescent="0.25">
      <c r="B23" s="115" t="s">
        <v>150</v>
      </c>
      <c r="C23" s="121" t="s">
        <v>128</v>
      </c>
      <c r="D23" s="122" t="s">
        <v>128</v>
      </c>
      <c r="F23" s="130" t="s">
        <v>181</v>
      </c>
      <c r="G23" s="137">
        <f ca="1">_xll.meLWOTotalReturnSwapParRate(G4,G17)</f>
        <v>5.5429286387172427E-2</v>
      </c>
      <c r="H23" t="s">
        <v>6</v>
      </c>
    </row>
    <row r="24" spans="2:8" x14ac:dyDescent="0.25">
      <c r="B24" s="115" t="s">
        <v>151</v>
      </c>
      <c r="C24" s="121" t="s">
        <v>128</v>
      </c>
      <c r="D24" s="122" t="s">
        <v>128</v>
      </c>
      <c r="F24" s="127" t="s">
        <v>182</v>
      </c>
      <c r="G24" s="225">
        <f ca="1">_xll.meLWOTotalReturnSwapParSpread(G4,G17)</f>
        <v>-33.862440183871911</v>
      </c>
      <c r="H24" t="s">
        <v>6</v>
      </c>
    </row>
    <row r="25" spans="2:8" x14ac:dyDescent="0.25">
      <c r="B25" s="115" t="s">
        <v>152</v>
      </c>
      <c r="C25" s="121" t="s">
        <v>153</v>
      </c>
      <c r="D25" s="122" t="s">
        <v>153</v>
      </c>
    </row>
    <row r="26" spans="2:8" x14ac:dyDescent="0.25">
      <c r="B26" s="115" t="s">
        <v>154</v>
      </c>
      <c r="C26" s="121" t="s">
        <v>260</v>
      </c>
      <c r="D26" s="122" t="s">
        <v>260</v>
      </c>
    </row>
    <row r="27" spans="2:8" x14ac:dyDescent="0.25">
      <c r="B27" s="115" t="s">
        <v>156</v>
      </c>
      <c r="C27" s="121" t="s">
        <v>128</v>
      </c>
      <c r="D27" s="122" t="s">
        <v>128</v>
      </c>
      <c r="G27" s="236"/>
    </row>
    <row r="28" spans="2:8" x14ac:dyDescent="0.25">
      <c r="B28" s="115" t="s">
        <v>157</v>
      </c>
      <c r="C28" s="121" t="s">
        <v>128</v>
      </c>
      <c r="D28" s="122" t="s">
        <v>128</v>
      </c>
    </row>
    <row r="29" spans="2:8" x14ac:dyDescent="0.25">
      <c r="B29" s="115" t="s">
        <v>158</v>
      </c>
      <c r="C29" s="121" t="s">
        <v>128</v>
      </c>
      <c r="D29" s="122" t="s">
        <v>128</v>
      </c>
    </row>
    <row r="30" spans="2:8" x14ac:dyDescent="0.25">
      <c r="B30" s="115" t="s">
        <v>159</v>
      </c>
      <c r="C30" s="121" t="s">
        <v>128</v>
      </c>
      <c r="D30" s="122" t="s">
        <v>128</v>
      </c>
    </row>
    <row r="31" spans="2:8" x14ac:dyDescent="0.25">
      <c r="B31" s="115" t="s">
        <v>160</v>
      </c>
      <c r="C31" s="121" t="s">
        <v>128</v>
      </c>
      <c r="D31" s="122" t="s">
        <v>128</v>
      </c>
    </row>
    <row r="32" spans="2:8" x14ac:dyDescent="0.25">
      <c r="B32" s="116" t="s">
        <v>161</v>
      </c>
      <c r="C32" s="123" t="s">
        <v>128</v>
      </c>
      <c r="D32" s="124" t="s">
        <v>128</v>
      </c>
    </row>
  </sheetData>
  <dataValidations count="1">
    <dataValidation type="list" allowBlank="1" showInputMessage="1" showErrorMessage="1" sqref="G7">
      <formula1>"PAY,RECEIVE"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Settings</vt:lpstr>
      <vt:lpstr>USDOIS</vt:lpstr>
      <vt:lpstr>USD3ML</vt:lpstr>
      <vt:lpstr>USD6ML</vt:lpstr>
      <vt:lpstr>CREDITMODEL</vt:lpstr>
      <vt:lpstr>TRS_GENERATOR</vt:lpstr>
      <vt:lpstr>USD_TRS</vt:lpstr>
      <vt:lpstr>BESPOKE TRS</vt:lpstr>
      <vt:lpstr>COB</vt:lpstr>
      <vt:lpstr>USD3ML!CurveCollection</vt:lpstr>
      <vt:lpstr>USD6ML!CurveCollection</vt:lpstr>
      <vt:lpstr>isUSD3MLLoaded</vt:lpstr>
      <vt:lpstr>isUSD6MLLoaded</vt:lpstr>
      <vt:lpstr>isUSDOISLoaded</vt:lpstr>
      <vt:lpstr>USD_TRS_3ML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2018-04-09T14:43:50Z</dcterms:created>
  <dcterms:modified xsi:type="dcterms:W3CDTF">2019-04-24T13:54:30Z</dcterms:modified>
</cp:coreProperties>
</file>