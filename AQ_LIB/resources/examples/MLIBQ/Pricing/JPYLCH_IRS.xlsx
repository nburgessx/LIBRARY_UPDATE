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90" windowWidth="20700" windowHeight="11760"/>
  </bookViews>
  <sheets>
    <sheet name="JPY-LCH IRS" sheetId="1" r:id="rId1"/>
  </sheets>
  <externalReferences>
    <externalReference r:id="rId2"/>
  </externalReferences>
  <definedNames>
    <definedName name="allowTradeUpdates">[1]Settings!$K$4</definedName>
    <definedName name="enableCurveRepricing">[1]Settings!$M$4</definedName>
    <definedName name="Settings.COB">[1]Settings!$C$4</definedName>
  </definedNames>
  <calcPr calcId="145621" calcMode="manual" calcOnSave="0"/>
</workbook>
</file>

<file path=xl/calcChain.xml><?xml version="1.0" encoding="utf-8"?>
<calcChain xmlns="http://schemas.openxmlformats.org/spreadsheetml/2006/main">
  <c r="N43" i="1" l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3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B17" i="1"/>
  <c r="B14" i="1"/>
  <c r="B18" i="1"/>
  <c r="B22" i="1"/>
  <c r="C14" i="1"/>
  <c r="M14" i="1"/>
  <c r="B8" i="1"/>
  <c r="B23" i="1"/>
  <c r="C22" i="1"/>
  <c r="M22" i="1" s="1"/>
  <c r="B15" i="1"/>
  <c r="B12" i="1"/>
  <c r="B11" i="1"/>
  <c r="C12" i="1"/>
  <c r="B20" i="1"/>
  <c r="B10" i="1"/>
  <c r="B19" i="1"/>
  <c r="C15" i="1"/>
  <c r="C11" i="1"/>
  <c r="C8" i="1"/>
  <c r="B16" i="1"/>
  <c r="B13" i="1"/>
  <c r="C13" i="1" s="1"/>
  <c r="C17" i="1"/>
  <c r="M11" i="1"/>
  <c r="B21" i="1"/>
  <c r="C23" i="1"/>
  <c r="C16" i="1"/>
  <c r="C20" i="1"/>
  <c r="B9" i="1"/>
  <c r="C18" i="1"/>
  <c r="M18" i="1" s="1"/>
  <c r="C10" i="1"/>
  <c r="P29" i="1" l="1"/>
  <c r="O26" i="1"/>
  <c r="Q41" i="1"/>
  <c r="P27" i="1"/>
  <c r="O35" i="1"/>
  <c r="O24" i="1"/>
  <c r="Q31" i="1"/>
  <c r="P33" i="1"/>
  <c r="O36" i="1"/>
  <c r="O27" i="1"/>
  <c r="P32" i="1"/>
  <c r="O39" i="1"/>
  <c r="P36" i="1"/>
  <c r="P43" i="1"/>
  <c r="P39" i="1"/>
  <c r="P37" i="1"/>
  <c r="P30" i="1"/>
  <c r="P42" i="1"/>
  <c r="P28" i="1"/>
  <c r="O25" i="1"/>
  <c r="O43" i="1"/>
  <c r="P40" i="1"/>
  <c r="P26" i="1"/>
  <c r="P35" i="1"/>
  <c r="Q42" i="1"/>
  <c r="Q33" i="1"/>
  <c r="Q26" i="1"/>
  <c r="Q35" i="1"/>
  <c r="Q24" i="1"/>
  <c r="Q29" i="1"/>
  <c r="Q36" i="1"/>
  <c r="O41" i="1"/>
  <c r="Q27" i="1"/>
  <c r="P34" i="1"/>
  <c r="P24" i="1"/>
  <c r="O31" i="1"/>
  <c r="Q39" i="1"/>
  <c r="O29" i="1"/>
  <c r="Q30" i="1"/>
  <c r="Q34" i="1"/>
  <c r="P31" i="1"/>
  <c r="Q37" i="1"/>
  <c r="O30" i="1"/>
  <c r="O34" i="1"/>
  <c r="Q32" i="1"/>
  <c r="Q28" i="1"/>
  <c r="P25" i="1"/>
  <c r="Q43" i="1"/>
  <c r="O32" i="1"/>
  <c r="O37" i="1"/>
  <c r="Q38" i="1"/>
  <c r="O42" i="1"/>
  <c r="O28" i="1"/>
  <c r="Q25" i="1"/>
  <c r="O38" i="1"/>
  <c r="Q40" i="1"/>
  <c r="P41" i="1"/>
  <c r="P38" i="1"/>
  <c r="O40" i="1"/>
  <c r="O33" i="1"/>
  <c r="Q18" i="1"/>
  <c r="Q22" i="1"/>
  <c r="O11" i="1"/>
  <c r="M10" i="1"/>
  <c r="C21" i="1"/>
  <c r="M21" i="1" s="1"/>
  <c r="M8" i="1"/>
  <c r="Q11" i="1"/>
  <c r="C9" i="1"/>
  <c r="M9" i="1" s="1"/>
  <c r="M15" i="1"/>
  <c r="M12" i="1"/>
  <c r="P18" i="1"/>
  <c r="P22" i="1"/>
  <c r="Q14" i="1"/>
  <c r="M20" i="1"/>
  <c r="P11" i="1"/>
  <c r="O18" i="1"/>
  <c r="O14" i="1"/>
  <c r="O22" i="1"/>
  <c r="M16" i="1"/>
  <c r="M17" i="1"/>
  <c r="C19" i="1"/>
  <c r="M19" i="1" s="1"/>
  <c r="P14" i="1"/>
  <c r="M23" i="1"/>
  <c r="M13" i="1"/>
  <c r="P13" i="1"/>
  <c r="Q19" i="1"/>
  <c r="P20" i="1"/>
  <c r="O15" i="1"/>
  <c r="O21" i="1"/>
  <c r="Q13" i="1"/>
  <c r="P17" i="1"/>
  <c r="O20" i="1"/>
  <c r="O9" i="1"/>
  <c r="P21" i="1"/>
  <c r="O12" i="1"/>
  <c r="O13" i="1"/>
  <c r="O17" i="1"/>
  <c r="Q20" i="1"/>
  <c r="Q9" i="1"/>
  <c r="P10" i="1"/>
  <c r="P16" i="1"/>
  <c r="P12" i="1"/>
  <c r="P23" i="1"/>
  <c r="Q17" i="1"/>
  <c r="Q12" i="1"/>
  <c r="P9" i="1"/>
  <c r="O10" i="1"/>
  <c r="Q23" i="1"/>
  <c r="O16" i="1"/>
  <c r="P19" i="1"/>
  <c r="Q16" i="1"/>
  <c r="Q15" i="1"/>
  <c r="P8" i="1"/>
  <c r="Q8" i="1"/>
  <c r="O23" i="1"/>
  <c r="O19" i="1"/>
  <c r="R8" i="1" a="1"/>
  <c r="P15" i="1"/>
  <c r="Q21" i="1"/>
  <c r="Q10" i="1"/>
  <c r="O8" i="1"/>
  <c r="R22" i="1" l="1"/>
  <c r="R33" i="1"/>
  <c r="R24" i="1"/>
  <c r="R13" i="1"/>
  <c r="R12" i="1"/>
  <c r="R30" i="1"/>
  <c r="R11" i="1"/>
  <c r="R32" i="1"/>
  <c r="R10" i="1"/>
  <c r="R28" i="1"/>
  <c r="R38" i="1"/>
  <c r="R35" i="1"/>
  <c r="R40" i="1"/>
  <c r="R18" i="1"/>
  <c r="R29" i="1"/>
  <c r="R31" i="1"/>
  <c r="R41" i="1"/>
  <c r="R15" i="1"/>
  <c r="R20" i="1"/>
  <c r="R9" i="1"/>
  <c r="R26" i="1"/>
  <c r="R42" i="1"/>
  <c r="R23" i="1"/>
  <c r="R37" i="1"/>
  <c r="R25" i="1"/>
  <c r="R34" i="1"/>
  <c r="R21" i="1"/>
  <c r="R39" i="1"/>
  <c r="R8" i="1"/>
  <c r="R27" i="1"/>
  <c r="R19" i="1"/>
  <c r="R14" i="1"/>
  <c r="R17" i="1"/>
  <c r="R16" i="1"/>
  <c r="R36" i="1"/>
  <c r="R43" i="1"/>
</calcChain>
</file>

<file path=xl/sharedStrings.xml><?xml version="1.0" encoding="utf-8"?>
<sst xmlns="http://schemas.openxmlformats.org/spreadsheetml/2006/main" count="85" uniqueCount="39">
  <si>
    <t>Trade Dates</t>
  </si>
  <si>
    <r>
      <t xml:space="preserve">SWAPS: JPY6ML </t>
    </r>
    <r>
      <rPr>
        <b/>
        <sz val="11"/>
        <color rgb="FFC00000"/>
        <rFont val="Calibri"/>
        <family val="2"/>
        <scheme val="minor"/>
      </rPr>
      <t xml:space="preserve">- Note: 1Y Swap Not Used as a Calibration Point </t>
    </r>
  </si>
  <si>
    <t>Trade Booking &amp; Pricing</t>
  </si>
  <si>
    <t>Swap Template</t>
  </si>
  <si>
    <t>EffectiveDate</t>
  </si>
  <si>
    <t>MaturityDate</t>
  </si>
  <si>
    <t>Maturity</t>
  </si>
  <si>
    <t>Generator</t>
  </si>
  <si>
    <t>PayRec</t>
  </si>
  <si>
    <t>Notional</t>
  </si>
  <si>
    <t>FixedRate</t>
  </si>
  <si>
    <t>Spread</t>
  </si>
  <si>
    <t>CreateSwap</t>
  </si>
  <si>
    <t>CurveCollection</t>
  </si>
  <si>
    <t>2D</t>
  </si>
  <si>
    <t>JPY_6ML</t>
  </si>
  <si>
    <t>PAY</t>
  </si>
  <si>
    <t>Unadjusted Date!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</si>
  <si>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</si>
  <si>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</si>
  <si>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</si>
  <si>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</si>
  <si>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</si>
  <si>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</si>
  <si>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</si>
  <si>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</si>
  <si>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</si>
  <si>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</si>
  <si>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</si>
  <si>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</si>
  <si>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</si>
  <si>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</si>
  <si>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</si>
  <si>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</si>
  <si>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ParRate</t>
  </si>
  <si>
    <t>PV</t>
  </si>
  <si>
    <t>PV01</t>
  </si>
  <si>
    <t>DV01</t>
  </si>
  <si>
    <t>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</si>
</sst>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d\,\ d\-mmm\-yy"/>
    <numFmt numFmtId="165" formatCode="0.00000%"/>
    <numFmt numFmtId="166" formatCode="#,##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6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6" fillId="2" borderId="1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0" fillId="3" borderId="1" xfId="0" quotePrefix="1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164" fontId="0" fillId="3" borderId="5" xfId="0" quotePrefix="1" applyNumberFormat="1" applyFill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65" fontId="0" fillId="3" borderId="0" xfId="0" applyNumberFormat="1" applyFill="1" applyBorder="1" applyAlignment="1">
      <alignment horizontal="center" vertical="center"/>
    </xf>
    <xf numFmtId="166" fontId="0" fillId="3" borderId="6" xfId="0" applyNumberForma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0" fillId="3" borderId="8" xfId="0" quotePrefix="1" applyNumberForma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3" fontId="0" fillId="3" borderId="10" xfId="0" applyNumberFormat="1" applyFill="1" applyBorder="1" applyAlignment="1">
      <alignment horizontal="center" vertical="center"/>
    </xf>
    <xf numFmtId="165" fontId="0" fillId="3" borderId="10" xfId="0" applyNumberFormat="1" applyFill="1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3" fontId="6" fillId="2" borderId="6" xfId="0" applyNumberFormat="1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1.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4">
          <cell r="C4">
            <v>43177</v>
          </cell>
          <cell r="K4" t="b">
            <v>0</v>
          </cell>
          <cell r="M4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R43"/>
  <sheetViews>
    <sheetView showGridLines="0" tabSelected="1" workbookViewId="0"/>
  </sheetViews>
  <sheetFormatPr defaultRowHeight="15" x14ac:dyDescent="0.25"/>
  <cols>
    <col min="1" max="1" width="6.7109375" customWidth="1"/>
    <col min="2" max="3" width="20.7109375" customWidth="1"/>
    <col min="4" max="4" width="6.7109375" customWidth="1"/>
    <col min="5" max="11" width="12.7109375" customWidth="1"/>
    <col min="12" max="12" width="6.7109375" customWidth="1"/>
    <col min="13" max="13" width="20.7109375" customWidth="1"/>
    <col min="14" max="18" width="15.7109375" customWidth="1"/>
  </cols>
  <sheetData>
    <row r="2" spans="2:18" x14ac:dyDescent="0.25">
      <c r="B2" s="50" t="s">
        <v>38</v>
      </c>
    </row>
    <row r="3" spans="2:18" x14ac:dyDescent="0.25">
      <c r="B3" s="51">
        <f ca="1">TODAY()</f>
        <v>43177</v>
      </c>
      <c r="E3" s="2" t="s">
        <v>1</v>
      </c>
    </row>
    <row r="5" spans="2:18" x14ac:dyDescent="0.25">
      <c r="B5" s="1" t="s">
        <v>0</v>
      </c>
      <c r="L5" s="3"/>
      <c r="M5" s="1" t="s">
        <v>2</v>
      </c>
    </row>
    <row r="6" spans="2:18" x14ac:dyDescent="0.25">
      <c r="C6" s="4" t="s">
        <v>17</v>
      </c>
      <c r="G6" s="4" t="s">
        <v>3</v>
      </c>
      <c r="L6" s="3"/>
    </row>
    <row r="7" spans="2:18" x14ac:dyDescent="0.25">
      <c r="B7" s="5" t="s">
        <v>4</v>
      </c>
      <c r="C7" s="6" t="s">
        <v>5</v>
      </c>
      <c r="D7" s="6"/>
      <c r="E7" s="6" t="s">
        <v>4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5" t="s">
        <v>11</v>
      </c>
      <c r="L7" s="3"/>
      <c r="M7" s="5" t="s">
        <v>12</v>
      </c>
      <c r="N7" s="5" t="s">
        <v>13</v>
      </c>
      <c r="O7" s="5" t="s">
        <v>34</v>
      </c>
      <c r="P7" s="5" t="s">
        <v>35</v>
      </c>
      <c r="Q7" s="5" t="s">
        <v>36</v>
      </c>
      <c r="R7" s="5" t="s">
        <v>37</v>
      </c>
    </row>
    <row r="8" spans="2:18" x14ac:dyDescent="0.25">
      <c r="B8" s="7">
        <f ca="1">IF(E8="","",_xll.meDateFromTenor($B$3,E8,"MOD_FOLLOWING","LNB:TKB",""))</f>
        <v>43179</v>
      </c>
      <c r="C8" s="8">
        <f ca="1">IF(F8="","",_xll.meDateFromTenor(B8,F8,))</f>
        <v>43544</v>
      </c>
      <c r="D8" s="6"/>
      <c r="E8" s="9" t="s">
        <v>14</v>
      </c>
      <c r="F8" s="10" t="s">
        <v>18</v>
      </c>
      <c r="G8" s="11" t="s">
        <v>15</v>
      </c>
      <c r="H8" s="12" t="s">
        <v>16</v>
      </c>
      <c r="I8" s="13">
        <v>1000000</v>
      </c>
      <c r="J8" s="14">
        <v>0.01</v>
      </c>
      <c r="K8" s="15">
        <v>0</v>
      </c>
      <c r="L8" s="3">
        <v>1</v>
      </c>
      <c r="M8" s="16" t="str">
        <f ca="1">IF(G8="","",_xll.meLWOSwapCreateFromGenerator("JPY_LCH"&amp;L8,G8,H8,I8,B8,C8,J8,K8))</f>
        <v>JPY_LCH1@88:0</v>
      </c>
      <c r="N8" s="17" t="str">
        <f>IF(G8="","","JPYYC_LCH")</f>
        <v>JPYYC_LCH</v>
      </c>
      <c r="O8" s="40">
        <f ca="1">IF(M8="","",_xll.meLWOSwapParRate($M8,$N8))</f>
        <v>2.7499999973035628E-4</v>
      </c>
      <c r="P8" s="43">
        <f ca="1">IF(M8="","",_xll.meLWOSwapPV($M8,$N8))</f>
        <v>-9727.7169855161228</v>
      </c>
      <c r="Q8" s="43">
        <f ca="1">IF(M8="","",_xll.meLWOSwapPV01($M8,$N8))</f>
        <v>100.02793815163167</v>
      </c>
      <c r="R8" s="46">
        <f t="array" aca="1" ref="R8:R43" ca="1">_xll.meUtilityResize(_xll.meLWOSwapDV01(_xll.meUtilityClean($M8:$M43),_xll.meUtilityClean($N8:$N43),,,,"SWAP",FALSE),100,10)</f>
        <v>100.762914968988</v>
      </c>
    </row>
    <row r="9" spans="2:18" x14ac:dyDescent="0.25">
      <c r="B9" s="18">
        <f ca="1">IF(E9="","",_xll.meDateFromTenor($B$3,E9,"MOD_FOLLOWING","LNB:TKB",""))</f>
        <v>43179</v>
      </c>
      <c r="C9" s="19">
        <f ca="1">IF(F9="","",_xll.meDateFromTenor(B9,F9,))</f>
        <v>43728</v>
      </c>
      <c r="E9" s="20" t="s">
        <v>14</v>
      </c>
      <c r="F9" s="21" t="s">
        <v>19</v>
      </c>
      <c r="G9" s="22" t="s">
        <v>15</v>
      </c>
      <c r="H9" s="23" t="s">
        <v>16</v>
      </c>
      <c r="I9" s="24">
        <v>1000000</v>
      </c>
      <c r="J9" s="25">
        <v>0.01</v>
      </c>
      <c r="K9" s="26">
        <v>0</v>
      </c>
      <c r="L9" s="3">
        <v>2</v>
      </c>
      <c r="M9" s="27" t="str">
        <f ca="1">IF(G9="","",_xll.meLWOSwapCreateFromGenerator("JPY_LCH"&amp;L9,G9,H9,I9,B9,C9,J9,K9))</f>
        <v>JPY_LCH2@92:0</v>
      </c>
      <c r="N9" s="28" t="str">
        <f t="shared" ref="N9:N43" si="0">IF(G9="","","JPYYC_LCH")</f>
        <v>JPYYC_LCH</v>
      </c>
      <c r="O9" s="41">
        <f ca="1">IF(M9="","",_xll.meLWOSwapParRate($M9,$N9))</f>
        <v>3.8749999953141914E-4</v>
      </c>
      <c r="P9" s="44">
        <f ca="1">IF(M9="","",_xll.meLWOSwapPV($M9,$N9))</f>
        <v>-14462.688879851052</v>
      </c>
      <c r="Q9" s="44">
        <f ca="1">IF(M9="","",_xll.meLWOSwapPV01($M9,$N9))</f>
        <v>150.45710147356084</v>
      </c>
      <c r="R9" s="47">
        <f ca="1"/>
        <v>151.915452533126</v>
      </c>
    </row>
    <row r="10" spans="2:18" x14ac:dyDescent="0.25">
      <c r="B10" s="18">
        <f ca="1">IF(E10="","",_xll.meDateFromTenor($B$3,E10,"MOD_FOLLOWING","LNB:TKB",""))</f>
        <v>43179</v>
      </c>
      <c r="C10" s="19">
        <f ca="1">IF(F10="","",_xll.meDateFromTenor(B10,F10,))</f>
        <v>43910</v>
      </c>
      <c r="E10" s="20" t="s">
        <v>14</v>
      </c>
      <c r="F10" s="21" t="s">
        <v>20</v>
      </c>
      <c r="G10" s="22" t="s">
        <v>15</v>
      </c>
      <c r="H10" s="23" t="s">
        <v>16</v>
      </c>
      <c r="I10" s="24">
        <v>1000000</v>
      </c>
      <c r="J10" s="25">
        <v>0.01</v>
      </c>
      <c r="K10" s="26">
        <v>0</v>
      </c>
      <c r="L10" s="3">
        <v>3</v>
      </c>
      <c r="M10" s="27" t="str">
        <f ca="1">IF(G10="","",_xll.meLWOSwapCreateFromGenerator("JPY_LCH"&amp;L10,G10,H10,I10,B10,C10,J10,K10))</f>
        <v>JPY_LCH3@86:0</v>
      </c>
      <c r="N10" s="28" t="str">
        <f t="shared" si="0"/>
        <v>JPYYC_LCH</v>
      </c>
      <c r="O10" s="41">
        <f ca="1">IF(M10="","",_xll.meLWOSwapParRate($M10,$N10))</f>
        <v>4.7499999705143971E-4</v>
      </c>
      <c r="P10" s="44">
        <f ca="1">IF(M10="","",_xll.meLWOSwapPV($M10,$N10))</f>
        <v>-19160.617868944591</v>
      </c>
      <c r="Q10" s="44">
        <f ca="1">IF(M10="","",_xll.meLWOSwapPV01($M10,$N10))</f>
        <v>201.16134239383965</v>
      </c>
      <c r="R10" s="47">
        <f ca="1"/>
        <v>203.58136023175999</v>
      </c>
    </row>
    <row r="11" spans="2:18" x14ac:dyDescent="0.25">
      <c r="B11" s="18">
        <f ca="1">IF(E11="","",_xll.meDateFromTenor($B$3,E11,"MOD_FOLLOWING","LNB:TKB",""))</f>
        <v>43179</v>
      </c>
      <c r="C11" s="19">
        <f ca="1">IF(F11="","",_xll.meDateFromTenor(B11,F11,))</f>
        <v>44275</v>
      </c>
      <c r="E11" s="20" t="s">
        <v>14</v>
      </c>
      <c r="F11" s="21" t="s">
        <v>21</v>
      </c>
      <c r="G11" s="22" t="s">
        <v>15</v>
      </c>
      <c r="H11" s="23" t="s">
        <v>16</v>
      </c>
      <c r="I11" s="24">
        <v>1000000</v>
      </c>
      <c r="J11" s="25">
        <v>0.01</v>
      </c>
      <c r="K11" s="26">
        <v>0</v>
      </c>
      <c r="L11" s="3">
        <v>4</v>
      </c>
      <c r="M11" s="27" t="str">
        <f ca="1">IF(G11="","",_xll.meLWOSwapCreateFromGenerator("JPY_LCH"&amp;L11,G11,H11,I11,B11,C11,J11,K11))</f>
        <v>JPY_LCH4@80:0</v>
      </c>
      <c r="N11" s="28" t="str">
        <f t="shared" si="0"/>
        <v>JPYYC_LCH</v>
      </c>
      <c r="O11" s="41">
        <f ca="1">IF(M11="","",_xll.meLWOSwapParRate($M11,$N11))</f>
        <v>6.6250000707611259E-4</v>
      </c>
      <c r="P11" s="44">
        <f ca="1">IF(M11="","",_xll.meLWOSwapPV($M11,$N11))</f>
        <v>-28097.305432367077</v>
      </c>
      <c r="Q11" s="44">
        <f ca="1">IF(M11="","",_xll.meLWOSwapPV01($M11,$N11))</f>
        <v>300.90822440331652</v>
      </c>
      <c r="R11" s="47">
        <f ca="1"/>
        <v>305.84988315724797</v>
      </c>
    </row>
    <row r="12" spans="2:18" x14ac:dyDescent="0.25">
      <c r="B12" s="18">
        <f ca="1">IF(E12="","",_xll.meDateFromTenor($B$3,E12,"MOD_FOLLOWING","LNB:TKB",""))</f>
        <v>43179</v>
      </c>
      <c r="C12" s="19">
        <f ca="1">IF(F12="","",_xll.meDateFromTenor(B12,F12,))</f>
        <v>44640</v>
      </c>
      <c r="E12" s="20" t="s">
        <v>14</v>
      </c>
      <c r="F12" s="21" t="s">
        <v>22</v>
      </c>
      <c r="G12" s="22" t="s">
        <v>15</v>
      </c>
      <c r="H12" s="23" t="s">
        <v>16</v>
      </c>
      <c r="I12" s="24">
        <v>1000000</v>
      </c>
      <c r="J12" s="25">
        <v>0.01</v>
      </c>
      <c r="K12" s="26">
        <v>0</v>
      </c>
      <c r="L12" s="3">
        <v>5</v>
      </c>
      <c r="M12" s="27" t="str">
        <f ca="1">IF(G12="","",_xll.meLWOSwapCreateFromGenerator("JPY_LCH"&amp;L12,G12,H12,I12,B12,C12,J12,K12))</f>
        <v>JPY_LCH5@94:0</v>
      </c>
      <c r="N12" s="28" t="str">
        <f t="shared" si="0"/>
        <v>JPYYC_LCH</v>
      </c>
      <c r="O12" s="41">
        <f ca="1">IF(M12="","",_xll.meLWOSwapParRate($M12,$N12))</f>
        <v>8.7499998369706164E-4</v>
      </c>
      <c r="P12" s="44">
        <f ca="1">IF(M12="","",_xll.meLWOSwapPV($M12,$N12))</f>
        <v>-36580.274203248817</v>
      </c>
      <c r="Q12" s="44">
        <f ca="1">IF(M12="","",_xll.meLWOSwapPV01($M12,$N12))</f>
        <v>400.8797165796563</v>
      </c>
      <c r="R12" s="47">
        <f ca="1"/>
        <v>409.15986575014398</v>
      </c>
    </row>
    <row r="13" spans="2:18" x14ac:dyDescent="0.25">
      <c r="B13" s="18">
        <f ca="1">IF(E13="","",_xll.meDateFromTenor($B$3,E13,"MOD_FOLLOWING","LNB:TKB",""))</f>
        <v>43179</v>
      </c>
      <c r="C13" s="19">
        <f ca="1">IF(F13="","",_xll.meDateFromTenor(B13,F13,))</f>
        <v>45005</v>
      </c>
      <c r="E13" s="20" t="s">
        <v>14</v>
      </c>
      <c r="F13" s="21" t="s">
        <v>23</v>
      </c>
      <c r="G13" s="22" t="s">
        <v>15</v>
      </c>
      <c r="H13" s="23" t="s">
        <v>16</v>
      </c>
      <c r="I13" s="24">
        <v>1000000</v>
      </c>
      <c r="J13" s="25">
        <v>0.01</v>
      </c>
      <c r="K13" s="26">
        <v>0</v>
      </c>
      <c r="L13" s="3">
        <v>6</v>
      </c>
      <c r="M13" s="27" t="str">
        <f ca="1">IF(G13="","",_xll.meLWOSwapCreateFromGenerator("JPY_LCH"&amp;L13,G13,H13,I13,B13,C13,J13,K13))</f>
        <v>JPY_LCH6@115:0</v>
      </c>
      <c r="N13" s="28" t="str">
        <f t="shared" si="0"/>
        <v>JPYYC_LCH</v>
      </c>
      <c r="O13" s="41">
        <f ca="1">IF(M13="","",_xll.meLWOSwapParRate($M13,$N13))</f>
        <v>1.12500000448911E-3</v>
      </c>
      <c r="P13" s="44">
        <f ca="1">IF(M13="","",_xll.meLWOSwapPV($M13,$N13))</f>
        <v>-44393.517161320065</v>
      </c>
      <c r="Q13" s="44">
        <f ca="1">IF(M13="","",_xll.meLWOSwapPV01($M13,$N13))</f>
        <v>500.20864432422502</v>
      </c>
      <c r="R13" s="47">
        <f ca="1"/>
        <v>512.44153114648702</v>
      </c>
    </row>
    <row r="14" spans="2:18" x14ac:dyDescent="0.25">
      <c r="B14" s="18">
        <f ca="1">IF(E14="","",_xll.meDateFromTenor($B$3,E14,"MOD_FOLLOWING","LNB:TKB",""))</f>
        <v>43179</v>
      </c>
      <c r="C14" s="19">
        <f ca="1">IF(F14="","",_xll.meDateFromTenor(B14,F14,))</f>
        <v>45371</v>
      </c>
      <c r="E14" s="20" t="s">
        <v>14</v>
      </c>
      <c r="F14" s="21" t="s">
        <v>24</v>
      </c>
      <c r="G14" s="22" t="s">
        <v>15</v>
      </c>
      <c r="H14" s="23" t="s">
        <v>16</v>
      </c>
      <c r="I14" s="24">
        <v>1000000</v>
      </c>
      <c r="J14" s="25">
        <v>0.01</v>
      </c>
      <c r="K14" s="26">
        <v>0</v>
      </c>
      <c r="L14" s="3">
        <v>7</v>
      </c>
      <c r="M14" s="27" t="str">
        <f ca="1">IF(G14="","",_xll.meLWOSwapCreateFromGenerator("JPY_LCH"&amp;L14,G14,H14,I14,B14,C14,J14,K14))</f>
        <v>JPY_LCH7@78:0</v>
      </c>
      <c r="N14" s="28" t="str">
        <f t="shared" si="0"/>
        <v>JPYYC_LCH</v>
      </c>
      <c r="O14" s="41">
        <f ca="1">IF(M14="","",_xll.meLWOSwapParRate($M14,$N14))</f>
        <v>1.4375000047630315E-3</v>
      </c>
      <c r="P14" s="44">
        <f ca="1">IF(M14="","",_xll.meLWOSwapPV($M14,$N14))</f>
        <v>-51415.026527157803</v>
      </c>
      <c r="Q14" s="44">
        <f ca="1">IF(M14="","",_xll.meLWOSwapPV01($M14,$N14))</f>
        <v>600.46746342491394</v>
      </c>
      <c r="R14" s="47">
        <f ca="1"/>
        <v>617.21789385846898</v>
      </c>
    </row>
    <row r="15" spans="2:18" x14ac:dyDescent="0.25">
      <c r="B15" s="18">
        <f ca="1">IF(E15="","",_xll.meDateFromTenor($B$3,E15,"MOD_FOLLOWING","LNB:TKB",""))</f>
        <v>43179</v>
      </c>
      <c r="C15" s="19">
        <f ca="1">IF(F15="","",_xll.meDateFromTenor(B15,F15,))</f>
        <v>45736</v>
      </c>
      <c r="E15" s="20" t="s">
        <v>14</v>
      </c>
      <c r="F15" s="21" t="s">
        <v>25</v>
      </c>
      <c r="G15" s="22" t="s">
        <v>15</v>
      </c>
      <c r="H15" s="23" t="s">
        <v>16</v>
      </c>
      <c r="I15" s="24">
        <v>1000000</v>
      </c>
      <c r="J15" s="25">
        <v>0.01</v>
      </c>
      <c r="K15" s="26">
        <v>0</v>
      </c>
      <c r="L15" s="3">
        <v>8</v>
      </c>
      <c r="M15" s="27" t="str">
        <f ca="1">IF(G15="","",_xll.meLWOSwapCreateFromGenerator("JPY_LCH"&amp;L15,G15,H15,I15,B15,C15,J15,K15))</f>
        <v>JPY_LCH8@93:0</v>
      </c>
      <c r="N15" s="28" t="str">
        <f t="shared" si="0"/>
        <v>JPYYC_LCH</v>
      </c>
      <c r="O15" s="41">
        <f ca="1">IF(M15="","",_xll.meLWOSwapParRate($M15,$N15))</f>
        <v>1.7750000427147854E-3</v>
      </c>
      <c r="P15" s="44">
        <f ca="1">IF(M15="","",_xll.meLWOSwapPV($M15,$N15))</f>
        <v>-57570.734180660482</v>
      </c>
      <c r="Q15" s="44">
        <f ca="1">IF(M15="","",_xll.meLWOSwapPV01($M15,$N15))</f>
        <v>699.94813957011331</v>
      </c>
      <c r="R15" s="47">
        <f ca="1"/>
        <v>721.52393046089901</v>
      </c>
    </row>
    <row r="16" spans="2:18" x14ac:dyDescent="0.25">
      <c r="B16" s="18">
        <f ca="1">IF(E16="","",_xll.meDateFromTenor($B$3,E16,"MOD_FOLLOWING","LNB:TKB",""))</f>
        <v>43179</v>
      </c>
      <c r="C16" s="19">
        <f ca="1">IF(F16="","",_xll.meDateFromTenor(B16,F16,))</f>
        <v>46101</v>
      </c>
      <c r="E16" s="20" t="s">
        <v>14</v>
      </c>
      <c r="F16" s="21" t="s">
        <v>26</v>
      </c>
      <c r="G16" s="22" t="s">
        <v>15</v>
      </c>
      <c r="H16" s="23" t="s">
        <v>16</v>
      </c>
      <c r="I16" s="24">
        <v>1000000</v>
      </c>
      <c r="J16" s="25">
        <v>0.01</v>
      </c>
      <c r="K16" s="26">
        <v>0</v>
      </c>
      <c r="L16" s="3">
        <v>9</v>
      </c>
      <c r="M16" s="27" t="str">
        <f ca="1">IF(G16="","",_xll.meLWOSwapCreateFromGenerator("JPY_LCH"&amp;L16,G16,H16,I16,B16,C16,J16,K16))</f>
        <v>JPY_LCH9@106:0</v>
      </c>
      <c r="N16" s="28" t="str">
        <f t="shared" si="0"/>
        <v>JPYYC_LCH</v>
      </c>
      <c r="O16" s="41">
        <f ca="1">IF(M16="","",_xll.meLWOSwapParRate($M16,$N16))</f>
        <v>2.1500000376285392E-3</v>
      </c>
      <c r="P16" s="44">
        <f ca="1">IF(M16="","",_xll.meLWOSwapPV($M16,$N16))</f>
        <v>-62774.480213123155</v>
      </c>
      <c r="Q16" s="44">
        <f ca="1">IF(M16="","",_xll.meLWOSwapPV01($M16,$N16))</f>
        <v>799.67491100674044</v>
      </c>
      <c r="R16" s="47">
        <f ca="1"/>
        <v>826.35495347967696</v>
      </c>
    </row>
    <row r="17" spans="2:18" x14ac:dyDescent="0.25">
      <c r="B17" s="18">
        <f ca="1">IF(E17="","",_xll.meDateFromTenor($B$3,E17,"MOD_FOLLOWING","LNB:TKB",""))</f>
        <v>43179</v>
      </c>
      <c r="C17" s="19">
        <f ca="1">IF(F17="","",_xll.meDateFromTenor(B17,F17,))</f>
        <v>46466</v>
      </c>
      <c r="E17" s="20" t="s">
        <v>14</v>
      </c>
      <c r="F17" s="21" t="s">
        <v>27</v>
      </c>
      <c r="G17" s="22" t="s">
        <v>15</v>
      </c>
      <c r="H17" s="23" t="s">
        <v>16</v>
      </c>
      <c r="I17" s="24">
        <v>1000000</v>
      </c>
      <c r="J17" s="25">
        <v>0.01</v>
      </c>
      <c r="K17" s="26">
        <v>0</v>
      </c>
      <c r="L17" s="3">
        <v>10</v>
      </c>
      <c r="M17" s="27" t="str">
        <f ca="1">IF(G17="","",_xll.meLWOSwapCreateFromGenerator("JPY_LCH"&amp;L17,G17,H17,I17,B17,C17,J17,K17))</f>
        <v>JPY_LCH10@107:0</v>
      </c>
      <c r="N17" s="28" t="str">
        <f t="shared" si="0"/>
        <v>JPYYC_LCH</v>
      </c>
      <c r="O17" s="41">
        <f ca="1">IF(M17="","",_xll.meLWOSwapParRate($M17,$N17))</f>
        <v>2.5375000304103026E-3</v>
      </c>
      <c r="P17" s="44">
        <f ca="1">IF(M17="","",_xll.meLWOSwapPV($M17,$N17))</f>
        <v>-67050.243211977053</v>
      </c>
      <c r="Q17" s="44">
        <f ca="1">IF(M17="","",_xll.meLWOSwapPV01($M17,$N17))</f>
        <v>898.49572509497227</v>
      </c>
      <c r="R17" s="47">
        <f ca="1"/>
        <v>930.34323004539999</v>
      </c>
    </row>
    <row r="18" spans="2:18" x14ac:dyDescent="0.25">
      <c r="B18" s="18">
        <f ca="1">IF(E18="","",_xll.meDateFromTenor($B$3,E18,"MOD_FOLLOWING","LNB:TKB",""))</f>
        <v>43179</v>
      </c>
      <c r="C18" s="19">
        <f ca="1">IF(F18="","",_xll.meDateFromTenor(B18,F18,))</f>
        <v>46832</v>
      </c>
      <c r="E18" s="20" t="s">
        <v>14</v>
      </c>
      <c r="F18" s="21" t="s">
        <v>28</v>
      </c>
      <c r="G18" s="22" t="s">
        <v>15</v>
      </c>
      <c r="H18" s="23" t="s">
        <v>16</v>
      </c>
      <c r="I18" s="24">
        <v>1000000</v>
      </c>
      <c r="J18" s="25">
        <v>0.01</v>
      </c>
      <c r="K18" s="26">
        <v>0</v>
      </c>
      <c r="L18" s="3">
        <v>11</v>
      </c>
      <c r="M18" s="27" t="str">
        <f ca="1">IF(G18="","",_xll.meLWOSwapCreateFromGenerator("JPY_LCH"&amp;L18,G18,H18,I18,B18,C18,J18,K18))</f>
        <v>JPY_LCH11@81:0</v>
      </c>
      <c r="N18" s="28" t="str">
        <f t="shared" si="0"/>
        <v>JPYYC_LCH</v>
      </c>
      <c r="O18" s="41">
        <f ca="1">IF(M18="","",_xll.meLWOSwapParRate($M18,$N18))</f>
        <v>2.962500015675479E-3</v>
      </c>
      <c r="P18" s="44">
        <f ca="1">IF(M18="","",_xll.meLWOSwapPV($M18,$N18))</f>
        <v>-70135.408241202298</v>
      </c>
      <c r="Q18" s="44">
        <f ca="1">IF(M18="","",_xll.meLWOSwapPV01($M18,$N18))</f>
        <v>996.59550120672645</v>
      </c>
      <c r="R18" s="47">
        <f ca="1"/>
        <v>1033.4145410870401</v>
      </c>
    </row>
    <row r="19" spans="2:18" x14ac:dyDescent="0.25">
      <c r="B19" s="18">
        <f ca="1">IF(E19="","",_xll.meDateFromTenor($B$3,E19,"MOD_FOLLOWING","LNB:TKB",""))</f>
        <v>43179</v>
      </c>
      <c r="C19" s="19">
        <f ca="1">IF(F19="","",_xll.meDateFromTenor(B19,F19,))</f>
        <v>47562</v>
      </c>
      <c r="E19" s="20" t="s">
        <v>14</v>
      </c>
      <c r="F19" s="21" t="s">
        <v>29</v>
      </c>
      <c r="G19" s="22" t="s">
        <v>15</v>
      </c>
      <c r="H19" s="23" t="s">
        <v>16</v>
      </c>
      <c r="I19" s="24">
        <v>1000000</v>
      </c>
      <c r="J19" s="25">
        <v>0.01</v>
      </c>
      <c r="K19" s="26">
        <v>0</v>
      </c>
      <c r="L19" s="3">
        <v>12</v>
      </c>
      <c r="M19" s="27" t="str">
        <f ca="1">IF(G19="","",_xll.meLWOSwapCreateFromGenerator("JPY_LCH"&amp;L19,G19,H19,I19,B19,C19,J19,K19))</f>
        <v>JPY_LCH12@108:0</v>
      </c>
      <c r="N19" s="28" t="str">
        <f t="shared" si="0"/>
        <v>JPYYC_LCH</v>
      </c>
      <c r="O19" s="41">
        <f ca="1">IF(M19="","",_xll.meLWOSwapParRate($M19,$N19))</f>
        <v>3.8374999837216318E-3</v>
      </c>
      <c r="P19" s="44">
        <f ca="1">IF(M19="","",_xll.meLWOSwapPV($M19,$N19))</f>
        <v>-73434.054065256496</v>
      </c>
      <c r="Q19" s="44">
        <f ca="1">IF(M19="","",_xll.meLWOSwapPV01($M19,$N19))</f>
        <v>1191.6276490268383</v>
      </c>
      <c r="R19" s="47">
        <f ca="1"/>
        <v>1237.54166605358</v>
      </c>
    </row>
    <row r="20" spans="2:18" x14ac:dyDescent="0.25">
      <c r="B20" s="18">
        <f ca="1">IF(E20="","",_xll.meDateFromTenor($B$3,E20,"MOD_FOLLOWING","LNB:TKB",""))</f>
        <v>43179</v>
      </c>
      <c r="C20" s="19">
        <f ca="1">IF(F20="","",_xll.meDateFromTenor(B20,F20,))</f>
        <v>48658</v>
      </c>
      <c r="E20" s="20" t="s">
        <v>14</v>
      </c>
      <c r="F20" s="21" t="s">
        <v>30</v>
      </c>
      <c r="G20" s="22" t="s">
        <v>15</v>
      </c>
      <c r="H20" s="23" t="s">
        <v>16</v>
      </c>
      <c r="I20" s="24">
        <v>1000000</v>
      </c>
      <c r="J20" s="25">
        <v>0.01</v>
      </c>
      <c r="K20" s="26">
        <v>0</v>
      </c>
      <c r="L20" s="3">
        <v>13</v>
      </c>
      <c r="M20" s="27" t="str">
        <f ca="1">IF(G20="","",_xll.meLWOSwapCreateFromGenerator("JPY_LCH"&amp;L20,G20,H20,I20,B20,C20,J20,K20))</f>
        <v>JPY_LCH13@99:0</v>
      </c>
      <c r="N20" s="28" t="str">
        <f t="shared" si="0"/>
        <v>JPYYC_LCH</v>
      </c>
      <c r="O20" s="41">
        <f ca="1">IF(M20="","",_xll.meLWOSwapParRate($M20,$N20))</f>
        <v>5.1124999713742193E-3</v>
      </c>
      <c r="P20" s="44">
        <f ca="1">IF(M20="","",_xll.meLWOSwapPV($M20,$N20))</f>
        <v>-72294.297540662999</v>
      </c>
      <c r="Q20" s="44">
        <f ca="1">IF(M20="","",_xll.meLWOSwapPV01($M20,$N20))</f>
        <v>1479.1672044448042</v>
      </c>
      <c r="R20" s="47">
        <f ca="1"/>
        <v>1535.1533254695801</v>
      </c>
    </row>
    <row r="21" spans="2:18" x14ac:dyDescent="0.25">
      <c r="B21" s="18">
        <f ca="1">IF(E21="","",_xll.meDateFromTenor($B$3,E21,"MOD_FOLLOWING","LNB:TKB",""))</f>
        <v>43179</v>
      </c>
      <c r="C21" s="19">
        <f ca="1">IF(F21="","",_xll.meDateFromTenor(B21,F21,))</f>
        <v>50484</v>
      </c>
      <c r="E21" s="20" t="s">
        <v>14</v>
      </c>
      <c r="F21" s="21" t="s">
        <v>31</v>
      </c>
      <c r="G21" s="22" t="s">
        <v>15</v>
      </c>
      <c r="H21" s="23" t="s">
        <v>16</v>
      </c>
      <c r="I21" s="24">
        <v>1000000</v>
      </c>
      <c r="J21" s="25">
        <v>0.01</v>
      </c>
      <c r="K21" s="26">
        <v>0</v>
      </c>
      <c r="L21" s="3">
        <v>14</v>
      </c>
      <c r="M21" s="27" t="str">
        <f ca="1">IF(G21="","",_xll.meLWOSwapCreateFromGenerator("JPY_LCH"&amp;L21,G21,H21,I21,B21,C21,J21,K21))</f>
        <v>JPY_LCH14@87:0</v>
      </c>
      <c r="N21" s="28" t="str">
        <f t="shared" si="0"/>
        <v>JPYYC_LCH</v>
      </c>
      <c r="O21" s="41">
        <f ca="1">IF(M21="","",_xll.meLWOSwapParRate($M21,$N21))</f>
        <v>6.9374999931216428E-3</v>
      </c>
      <c r="P21" s="44">
        <f ca="1">IF(M21="","",_xll.meLWOSwapPV($M21,$N21))</f>
        <v>-59377.120628758799</v>
      </c>
      <c r="Q21" s="44">
        <f ca="1">IF(M21="","",_xll.meLWOSwapPV01($M21,$N21))</f>
        <v>1938.8447508701429</v>
      </c>
      <c r="R21" s="47">
        <f ca="1"/>
        <v>1999.3049688404401</v>
      </c>
    </row>
    <row r="22" spans="2:18" x14ac:dyDescent="0.25">
      <c r="B22" s="18">
        <f ca="1">IF(E22="","",_xll.meDateFromTenor($B$3,E22,"MOD_FOLLOWING","LNB:TKB",""))</f>
        <v>43179</v>
      </c>
      <c r="C22" s="19">
        <f ca="1">IF(F22="","",_xll.meDateFromTenor(B22,F22,))</f>
        <v>52310</v>
      </c>
      <c r="E22" s="20" t="s">
        <v>14</v>
      </c>
      <c r="F22" s="21" t="s">
        <v>32</v>
      </c>
      <c r="G22" s="22" t="s">
        <v>15</v>
      </c>
      <c r="H22" s="23" t="s">
        <v>16</v>
      </c>
      <c r="I22" s="24">
        <v>1000000</v>
      </c>
      <c r="J22" s="25">
        <v>0.01</v>
      </c>
      <c r="K22" s="26">
        <v>0</v>
      </c>
      <c r="L22" s="3">
        <v>15</v>
      </c>
      <c r="M22" s="27" t="str">
        <f ca="1">IF(G22="","",_xll.meLWOSwapCreateFromGenerator("JPY_LCH"&amp;L22,G22,H22,I22,B22,C22,J22,K22))</f>
        <v>JPY_LCH15@79:0</v>
      </c>
      <c r="N22" s="28" t="str">
        <f t="shared" si="0"/>
        <v>JPYYC_LCH</v>
      </c>
      <c r="O22" s="41">
        <f ca="1">IF(M22="","",_xll.meLWOSwapParRate($M22,$N22))</f>
        <v>8.0875000041366659E-3</v>
      </c>
      <c r="P22" s="44">
        <f ca="1">IF(M22="","",_xll.meLWOSwapPV($M22,$N22))</f>
        <v>-45383.697179519862</v>
      </c>
      <c r="Q22" s="44">
        <f ca="1">IF(M22="","",_xll.meLWOSwapPV01($M22,$N22))</f>
        <v>2373.003779225261</v>
      </c>
      <c r="R22" s="47">
        <f ca="1"/>
        <v>2430.07091635081</v>
      </c>
    </row>
    <row r="23" spans="2:18" x14ac:dyDescent="0.25">
      <c r="B23" s="18">
        <f ca="1">IF(E23="","",_xll.meDateFromTenor($B$3,E23,"MOD_FOLLOWING","LNB:TKB",""))</f>
        <v>43179</v>
      </c>
      <c r="C23" s="19">
        <f ca="1">IF(F23="","",_xll.meDateFromTenor(B23,F23,))</f>
        <v>54137</v>
      </c>
      <c r="E23" s="20" t="s">
        <v>14</v>
      </c>
      <c r="F23" s="21" t="s">
        <v>33</v>
      </c>
      <c r="G23" s="22" t="s">
        <v>15</v>
      </c>
      <c r="H23" s="23" t="s">
        <v>16</v>
      </c>
      <c r="I23" s="24">
        <v>1000000</v>
      </c>
      <c r="J23" s="25">
        <v>0.01</v>
      </c>
      <c r="K23" s="26">
        <v>0</v>
      </c>
      <c r="L23" s="3">
        <v>16</v>
      </c>
      <c r="M23" s="27" t="str">
        <f ca="1">IF(G23="","",_xll.meLWOSwapCreateFromGenerator("JPY_LCH"&amp;L23,G23,H23,I23,B23,C23,J23,K23))</f>
        <v>JPY_LCH16@114:0</v>
      </c>
      <c r="N23" s="28" t="str">
        <f t="shared" si="0"/>
        <v>JPYYC_LCH</v>
      </c>
      <c r="O23" s="41">
        <f ca="1">IF(M23="","",_xll.meLWOSwapParRate($M23,$N23))</f>
        <v>8.799999981373598E-3</v>
      </c>
      <c r="P23" s="44">
        <f ca="1">IF(M23="","",_xll.meLWOSwapPV($M23,$N23))</f>
        <v>-33427.716620339284</v>
      </c>
      <c r="Q23" s="44">
        <f ca="1">IF(M23="","",_xll.meLWOSwapPV01($M23,$N23))</f>
        <v>2785.6430084561862</v>
      </c>
      <c r="R23" s="47">
        <f ca="1"/>
        <v>2835.6893856864199</v>
      </c>
    </row>
    <row r="24" spans="2:18" x14ac:dyDescent="0.25">
      <c r="B24" s="18" t="str">
        <f>IF(E24="","",_xll.meDateFromTenor($B$3,E24,"MOD_FOLLOWING","LNB:TKB",""))</f>
        <v/>
      </c>
      <c r="C24" s="19" t="str">
        <f>IF(F24="","",_xll.meDateFromTenor(B24,F24,))</f>
        <v/>
      </c>
      <c r="D24" s="49"/>
      <c r="E24" s="20"/>
      <c r="F24" s="21"/>
      <c r="G24" s="22"/>
      <c r="H24" s="23"/>
      <c r="I24" s="24"/>
      <c r="J24" s="25"/>
      <c r="K24" s="26"/>
      <c r="L24" s="3">
        <v>17</v>
      </c>
      <c r="M24" s="27" t="str">
        <f>IF(G24="","",_xll.meLWOSwapCreateFromGenerator("JPY_LCH"&amp;L24,G24,H24,I24,B24,C24,J24,K24))</f>
        <v/>
      </c>
      <c r="N24" s="28" t="str">
        <f t="shared" si="0"/>
        <v/>
      </c>
      <c r="O24" s="41" t="str">
        <f>IF(M24="","",_xll.meLWOSwapParRate($M24,$N24))</f>
        <v/>
      </c>
      <c r="P24" s="44" t="str">
        <f>IF(M24="","",_xll.meLWOSwapPV($M24,$N24))</f>
        <v/>
      </c>
      <c r="Q24" s="44" t="str">
        <f>IF(M24="","",_xll.meLWOSwapPV01($M24,$N24))</f>
        <v/>
      </c>
      <c r="R24" s="47" t="str">
        <f ca="1"/>
        <v/>
      </c>
    </row>
    <row r="25" spans="2:18" x14ac:dyDescent="0.25">
      <c r="B25" s="18" t="str">
        <f>IF(E25="","",_xll.meDateFromTenor($B$3,E25,"MOD_FOLLOWING","LNB:TKB",""))</f>
        <v/>
      </c>
      <c r="C25" s="19" t="str">
        <f>IF(F25="","",_xll.meDateFromTenor(B25,F25,))</f>
        <v/>
      </c>
      <c r="D25" s="49"/>
      <c r="E25" s="20"/>
      <c r="F25" s="21"/>
      <c r="G25" s="22"/>
      <c r="H25" s="23"/>
      <c r="I25" s="24"/>
      <c r="J25" s="25"/>
      <c r="K25" s="26"/>
      <c r="L25" s="3">
        <v>18</v>
      </c>
      <c r="M25" s="27" t="str">
        <f>IF(G25="","",_xll.meLWOSwapCreateFromGenerator("JPY_LCH"&amp;L25,G25,H25,I25,B25,C25,J25,K25))</f>
        <v/>
      </c>
      <c r="N25" s="28" t="str">
        <f t="shared" si="0"/>
        <v/>
      </c>
      <c r="O25" s="41" t="str">
        <f>IF(M25="","",_xll.meLWOSwapParRate($M25,$N25))</f>
        <v/>
      </c>
      <c r="P25" s="44" t="str">
        <f>IF(M25="","",_xll.meLWOSwapPV($M25,$N25))</f>
        <v/>
      </c>
      <c r="Q25" s="44" t="str">
        <f>IF(M25="","",_xll.meLWOSwapPV01($M25,$N25))</f>
        <v/>
      </c>
      <c r="R25" s="47" t="str">
        <f ca="1"/>
        <v/>
      </c>
    </row>
    <row r="26" spans="2:18" x14ac:dyDescent="0.25">
      <c r="B26" s="18" t="str">
        <f>IF(E26="","",_xll.meDateFromTenor($B$3,E26,"MOD_FOLLOWING","LNB:TKB",""))</f>
        <v/>
      </c>
      <c r="C26" s="19" t="str">
        <f>IF(F26="","",_xll.meDateFromTenor(B26,F26,))</f>
        <v/>
      </c>
      <c r="D26" s="49"/>
      <c r="E26" s="20"/>
      <c r="F26" s="21"/>
      <c r="G26" s="22"/>
      <c r="H26" s="23"/>
      <c r="I26" s="24"/>
      <c r="J26" s="25"/>
      <c r="K26" s="26"/>
      <c r="L26" s="3">
        <v>19</v>
      </c>
      <c r="M26" s="27" t="str">
        <f>IF(G26="","",_xll.meLWOSwapCreateFromGenerator("JPY_LCH"&amp;L26,G26,H26,I26,B26,C26,J26,K26))</f>
        <v/>
      </c>
      <c r="N26" s="28" t="str">
        <f t="shared" si="0"/>
        <v/>
      </c>
      <c r="O26" s="41" t="str">
        <f>IF(M26="","",_xll.meLWOSwapParRate($M26,$N26))</f>
        <v/>
      </c>
      <c r="P26" s="44" t="str">
        <f>IF(M26="","",_xll.meLWOSwapPV($M26,$N26))</f>
        <v/>
      </c>
      <c r="Q26" s="44" t="str">
        <f>IF(M26="","",_xll.meLWOSwapPV01($M26,$N26))</f>
        <v/>
      </c>
      <c r="R26" s="47" t="str">
        <f ca="1"/>
        <v/>
      </c>
    </row>
    <row r="27" spans="2:18" x14ac:dyDescent="0.25">
      <c r="B27" s="18" t="str">
        <f>IF(E27="","",_xll.meDateFromTenor($B$3,E27,"MOD_FOLLOWING","LNB:TKB",""))</f>
        <v/>
      </c>
      <c r="C27" s="19" t="str">
        <f>IF(F27="","",_xll.meDateFromTenor(B27,F27,))</f>
        <v/>
      </c>
      <c r="D27" s="49"/>
      <c r="E27" s="20"/>
      <c r="F27" s="21"/>
      <c r="G27" s="22"/>
      <c r="H27" s="23"/>
      <c r="I27" s="24"/>
      <c r="J27" s="25"/>
      <c r="K27" s="26"/>
      <c r="L27" s="3">
        <v>20</v>
      </c>
      <c r="M27" s="27" t="str">
        <f>IF(G27="","",_xll.meLWOSwapCreateFromGenerator("JPY_LCH"&amp;L27,G27,H27,I27,B27,C27,J27,K27))</f>
        <v/>
      </c>
      <c r="N27" s="28" t="str">
        <f t="shared" si="0"/>
        <v/>
      </c>
      <c r="O27" s="41" t="str">
        <f>IF(M27="","",_xll.meLWOSwapParRate($M27,$N27))</f>
        <v/>
      </c>
      <c r="P27" s="44" t="str">
        <f>IF(M27="","",_xll.meLWOSwapPV($M27,$N27))</f>
        <v/>
      </c>
      <c r="Q27" s="44" t="str">
        <f>IF(M27="","",_xll.meLWOSwapPV01($M27,$N27))</f>
        <v/>
      </c>
      <c r="R27" s="47" t="str">
        <f ca="1"/>
        <v/>
      </c>
    </row>
    <row r="28" spans="2:18" x14ac:dyDescent="0.25">
      <c r="B28" s="18" t="str">
        <f>IF(E28="","",_xll.meDateFromTenor($B$3,E28,"MOD_FOLLOWING","LNB:TKB",""))</f>
        <v/>
      </c>
      <c r="C28" s="19" t="str">
        <f>IF(F28="","",_xll.meDateFromTenor(B28,F28,))</f>
        <v/>
      </c>
      <c r="D28" s="49"/>
      <c r="E28" s="20"/>
      <c r="F28" s="21"/>
      <c r="G28" s="22"/>
      <c r="H28" s="23"/>
      <c r="I28" s="24"/>
      <c r="J28" s="25"/>
      <c r="K28" s="26"/>
      <c r="L28" s="3">
        <v>21</v>
      </c>
      <c r="M28" s="27" t="str">
        <f>IF(G28="","",_xll.meLWOSwapCreateFromGenerator("JPY_LCH"&amp;L28,G28,H28,I28,B28,C28,J28,K28))</f>
        <v/>
      </c>
      <c r="N28" s="28" t="str">
        <f t="shared" si="0"/>
        <v/>
      </c>
      <c r="O28" s="41" t="str">
        <f>IF(M28="","",_xll.meLWOSwapParRate($M28,$N28))</f>
        <v/>
      </c>
      <c r="P28" s="44" t="str">
        <f>IF(M28="","",_xll.meLWOSwapPV($M28,$N28))</f>
        <v/>
      </c>
      <c r="Q28" s="44" t="str">
        <f>IF(M28="","",_xll.meLWOSwapPV01($M28,$N28))</f>
        <v/>
      </c>
      <c r="R28" s="47" t="str">
        <f ca="1"/>
        <v/>
      </c>
    </row>
    <row r="29" spans="2:18" x14ac:dyDescent="0.25">
      <c r="B29" s="18" t="str">
        <f>IF(E29="","",_xll.meDateFromTenor($B$3,E29,"MOD_FOLLOWING","LNB:TKB",""))</f>
        <v/>
      </c>
      <c r="C29" s="19" t="str">
        <f>IF(F29="","",_xll.meDateFromTenor(B29,F29,))</f>
        <v/>
      </c>
      <c r="D29" s="49"/>
      <c r="E29" s="20"/>
      <c r="F29" s="21"/>
      <c r="G29" s="22"/>
      <c r="H29" s="23"/>
      <c r="I29" s="24"/>
      <c r="J29" s="25"/>
      <c r="K29" s="26"/>
      <c r="L29" s="3">
        <v>22</v>
      </c>
      <c r="M29" s="27" t="str">
        <f>IF(G29="","",_xll.meLWOSwapCreateFromGenerator("JPY_LCH"&amp;L29,G29,H29,I29,B29,C29,J29,K29))</f>
        <v/>
      </c>
      <c r="N29" s="28" t="str">
        <f t="shared" si="0"/>
        <v/>
      </c>
      <c r="O29" s="41" t="str">
        <f>IF(M29="","",_xll.meLWOSwapParRate($M29,$N29))</f>
        <v/>
      </c>
      <c r="P29" s="44" t="str">
        <f>IF(M29="","",_xll.meLWOSwapPV($M29,$N29))</f>
        <v/>
      </c>
      <c r="Q29" s="44" t="str">
        <f>IF(M29="","",_xll.meLWOSwapPV01($M29,$N29))</f>
        <v/>
      </c>
      <c r="R29" s="47" t="str">
        <f ca="1"/>
        <v/>
      </c>
    </row>
    <row r="30" spans="2:18" x14ac:dyDescent="0.25">
      <c r="B30" s="18" t="str">
        <f>IF(E30="","",_xll.meDateFromTenor($B$3,E30,"MOD_FOLLOWING","LNB:TKB",""))</f>
        <v/>
      </c>
      <c r="C30" s="19" t="str">
        <f>IF(F30="","",_xll.meDateFromTenor(B30,F30,))</f>
        <v/>
      </c>
      <c r="D30" s="49"/>
      <c r="E30" s="20"/>
      <c r="F30" s="21"/>
      <c r="G30" s="22"/>
      <c r="H30" s="23"/>
      <c r="I30" s="24"/>
      <c r="J30" s="25"/>
      <c r="K30" s="26"/>
      <c r="L30" s="3">
        <v>23</v>
      </c>
      <c r="M30" s="27" t="str">
        <f>IF(G30="","",_xll.meLWOSwapCreateFromGenerator("JPY_LCH"&amp;L30,G30,H30,I30,B30,C30,J30,K30))</f>
        <v/>
      </c>
      <c r="N30" s="28" t="str">
        <f t="shared" si="0"/>
        <v/>
      </c>
      <c r="O30" s="41" t="str">
        <f>IF(M30="","",_xll.meLWOSwapParRate($M30,$N30))</f>
        <v/>
      </c>
      <c r="P30" s="44" t="str">
        <f>IF(M30="","",_xll.meLWOSwapPV($M30,$N30))</f>
        <v/>
      </c>
      <c r="Q30" s="44" t="str">
        <f>IF(M30="","",_xll.meLWOSwapPV01($M30,$N30))</f>
        <v/>
      </c>
      <c r="R30" s="47" t="str">
        <f ca="1"/>
        <v/>
      </c>
    </row>
    <row r="31" spans="2:18" x14ac:dyDescent="0.25">
      <c r="B31" s="18" t="str">
        <f>IF(E31="","",_xll.meDateFromTenor($B$3,E31,"MOD_FOLLOWING","LNB:TKB",""))</f>
        <v/>
      </c>
      <c r="C31" s="19" t="str">
        <f>IF(F31="","",_xll.meDateFromTenor(B31,F31,))</f>
        <v/>
      </c>
      <c r="D31" s="49"/>
      <c r="E31" s="20"/>
      <c r="F31" s="21"/>
      <c r="G31" s="22"/>
      <c r="H31" s="23"/>
      <c r="I31" s="24"/>
      <c r="J31" s="25"/>
      <c r="K31" s="26"/>
      <c r="L31" s="3">
        <v>24</v>
      </c>
      <c r="M31" s="27" t="str">
        <f>IF(G31="","",_xll.meLWOSwapCreateFromGenerator("JPY_LCH"&amp;L31,G31,H31,I31,B31,C31,J31,K31))</f>
        <v/>
      </c>
      <c r="N31" s="28" t="str">
        <f t="shared" si="0"/>
        <v/>
      </c>
      <c r="O31" s="41" t="str">
        <f>IF(M31="","",_xll.meLWOSwapParRate($M31,$N31))</f>
        <v/>
      </c>
      <c r="P31" s="44" t="str">
        <f>IF(M31="","",_xll.meLWOSwapPV($M31,$N31))</f>
        <v/>
      </c>
      <c r="Q31" s="44" t="str">
        <f>IF(M31="","",_xll.meLWOSwapPV01($M31,$N31))</f>
        <v/>
      </c>
      <c r="R31" s="47" t="str">
        <f ca="1"/>
        <v/>
      </c>
    </row>
    <row r="32" spans="2:18" x14ac:dyDescent="0.25">
      <c r="B32" s="18" t="str">
        <f>IF(E32="","",_xll.meDateFromTenor($B$3,E32,"MOD_FOLLOWING","LNB:TKB",""))</f>
        <v/>
      </c>
      <c r="C32" s="19" t="str">
        <f>IF(F32="","",_xll.meDateFromTenor(B32,F32,))</f>
        <v/>
      </c>
      <c r="D32" s="49"/>
      <c r="E32" s="20"/>
      <c r="F32" s="21"/>
      <c r="G32" s="22"/>
      <c r="H32" s="23"/>
      <c r="I32" s="24"/>
      <c r="J32" s="25"/>
      <c r="K32" s="26"/>
      <c r="L32" s="3">
        <v>25</v>
      </c>
      <c r="M32" s="27" t="str">
        <f>IF(G32="","",_xll.meLWOSwapCreateFromGenerator("JPY_LCH"&amp;L32,G32,H32,I32,B32,C32,J32,K32))</f>
        <v/>
      </c>
      <c r="N32" s="28" t="str">
        <f t="shared" si="0"/>
        <v/>
      </c>
      <c r="O32" s="41" t="str">
        <f>IF(M32="","",_xll.meLWOSwapParRate($M32,$N32))</f>
        <v/>
      </c>
      <c r="P32" s="44" t="str">
        <f>IF(M32="","",_xll.meLWOSwapPV($M32,$N32))</f>
        <v/>
      </c>
      <c r="Q32" s="44" t="str">
        <f>IF(M32="","",_xll.meLWOSwapPV01($M32,$N32))</f>
        <v/>
      </c>
      <c r="R32" s="47" t="str">
        <f ca="1"/>
        <v/>
      </c>
    </row>
    <row r="33" spans="2:18" x14ac:dyDescent="0.25">
      <c r="B33" s="18" t="str">
        <f>IF(E33="","",_xll.meDateFromTenor($B$3,E33,"MOD_FOLLOWING","LNB:TKB",""))</f>
        <v/>
      </c>
      <c r="C33" s="19" t="str">
        <f>IF(F33="","",_xll.meDateFromTenor(B33,F33,))</f>
        <v/>
      </c>
      <c r="D33" s="49"/>
      <c r="E33" s="20"/>
      <c r="F33" s="21"/>
      <c r="G33" s="22"/>
      <c r="H33" s="23"/>
      <c r="I33" s="24"/>
      <c r="J33" s="25"/>
      <c r="K33" s="26"/>
      <c r="L33" s="3">
        <v>26</v>
      </c>
      <c r="M33" s="27" t="str">
        <f>IF(G33="","",_xll.meLWOSwapCreateFromGenerator("JPY_LCH"&amp;L33,G33,H33,I33,B33,C33,J33,K33))</f>
        <v/>
      </c>
      <c r="N33" s="28" t="str">
        <f t="shared" si="0"/>
        <v/>
      </c>
      <c r="O33" s="41" t="str">
        <f>IF(M33="","",_xll.meLWOSwapParRate($M33,$N33))</f>
        <v/>
      </c>
      <c r="P33" s="44" t="str">
        <f>IF(M33="","",_xll.meLWOSwapPV($M33,$N33))</f>
        <v/>
      </c>
      <c r="Q33" s="44" t="str">
        <f>IF(M33="","",_xll.meLWOSwapPV01($M33,$N33))</f>
        <v/>
      </c>
      <c r="R33" s="47" t="str">
        <f ca="1"/>
        <v/>
      </c>
    </row>
    <row r="34" spans="2:18" x14ac:dyDescent="0.25">
      <c r="B34" s="18" t="str">
        <f>IF(E34="","",_xll.meDateFromTenor($B$3,E34,"MOD_FOLLOWING","LNB:TKB",""))</f>
        <v/>
      </c>
      <c r="C34" s="19" t="str">
        <f>IF(F34="","",_xll.meDateFromTenor(B34,F34,))</f>
        <v/>
      </c>
      <c r="D34" s="49"/>
      <c r="E34" s="20"/>
      <c r="F34" s="21"/>
      <c r="G34" s="22"/>
      <c r="H34" s="23"/>
      <c r="I34" s="24"/>
      <c r="J34" s="25"/>
      <c r="K34" s="26"/>
      <c r="L34" s="3">
        <v>27</v>
      </c>
      <c r="M34" s="27" t="str">
        <f>IF(G34="","",_xll.meLWOSwapCreateFromGenerator("JPY_LCH"&amp;L34,G34,H34,I34,B34,C34,J34,K34))</f>
        <v/>
      </c>
      <c r="N34" s="28" t="str">
        <f t="shared" si="0"/>
        <v/>
      </c>
      <c r="O34" s="41" t="str">
        <f>IF(M34="","",_xll.meLWOSwapParRate($M34,$N34))</f>
        <v/>
      </c>
      <c r="P34" s="44" t="str">
        <f>IF(M34="","",_xll.meLWOSwapPV($M34,$N34))</f>
        <v/>
      </c>
      <c r="Q34" s="44" t="str">
        <f>IF(M34="","",_xll.meLWOSwapPV01($M34,$N34))</f>
        <v/>
      </c>
      <c r="R34" s="47" t="str">
        <f ca="1"/>
        <v/>
      </c>
    </row>
    <row r="35" spans="2:18" x14ac:dyDescent="0.25">
      <c r="B35" s="18" t="str">
        <f>IF(E35="","",_xll.meDateFromTenor($B$3,E35,"MOD_FOLLOWING","LNB:TKB",""))</f>
        <v/>
      </c>
      <c r="C35" s="19" t="str">
        <f>IF(F35="","",_xll.meDateFromTenor(B35,F35,))</f>
        <v/>
      </c>
      <c r="D35" s="49"/>
      <c r="E35" s="20"/>
      <c r="F35" s="21"/>
      <c r="G35" s="22"/>
      <c r="H35" s="23"/>
      <c r="I35" s="24"/>
      <c r="J35" s="25"/>
      <c r="K35" s="26"/>
      <c r="L35" s="3">
        <v>28</v>
      </c>
      <c r="M35" s="27" t="str">
        <f>IF(G35="","",_xll.meLWOSwapCreateFromGenerator("JPY_LCH"&amp;L35,G35,H35,I35,B35,C35,J35,K35))</f>
        <v/>
      </c>
      <c r="N35" s="28" t="str">
        <f t="shared" si="0"/>
        <v/>
      </c>
      <c r="O35" s="41" t="str">
        <f>IF(M35="","",_xll.meLWOSwapParRate($M35,$N35))</f>
        <v/>
      </c>
      <c r="P35" s="44" t="str">
        <f>IF(M35="","",_xll.meLWOSwapPV($M35,$N35))</f>
        <v/>
      </c>
      <c r="Q35" s="44" t="str">
        <f>IF(M35="","",_xll.meLWOSwapPV01($M35,$N35))</f>
        <v/>
      </c>
      <c r="R35" s="47" t="str">
        <f ca="1"/>
        <v/>
      </c>
    </row>
    <row r="36" spans="2:18" x14ac:dyDescent="0.25">
      <c r="B36" s="18" t="str">
        <f>IF(E36="","",_xll.meDateFromTenor($B$3,E36,"MOD_FOLLOWING","LNB:TKB",""))</f>
        <v/>
      </c>
      <c r="C36" s="19" t="str">
        <f>IF(F36="","",_xll.meDateFromTenor(B36,F36,))</f>
        <v/>
      </c>
      <c r="D36" s="49"/>
      <c r="E36" s="20"/>
      <c r="F36" s="21"/>
      <c r="G36" s="22"/>
      <c r="H36" s="23"/>
      <c r="I36" s="24"/>
      <c r="J36" s="25"/>
      <c r="K36" s="26"/>
      <c r="L36" s="3">
        <v>29</v>
      </c>
      <c r="M36" s="27" t="str">
        <f>IF(G36="","",_xll.meLWOSwapCreateFromGenerator("JPY_LCH"&amp;L36,G36,H36,I36,B36,C36,J36,K36))</f>
        <v/>
      </c>
      <c r="N36" s="28" t="str">
        <f t="shared" si="0"/>
        <v/>
      </c>
      <c r="O36" s="41" t="str">
        <f>IF(M36="","",_xll.meLWOSwapParRate($M36,$N36))</f>
        <v/>
      </c>
      <c r="P36" s="44" t="str">
        <f>IF(M36="","",_xll.meLWOSwapPV($M36,$N36))</f>
        <v/>
      </c>
      <c r="Q36" s="44" t="str">
        <f>IF(M36="","",_xll.meLWOSwapPV01($M36,$N36))</f>
        <v/>
      </c>
      <c r="R36" s="47" t="str">
        <f ca="1"/>
        <v/>
      </c>
    </row>
    <row r="37" spans="2:18" x14ac:dyDescent="0.25">
      <c r="B37" s="18" t="str">
        <f>IF(E37="","",_xll.meDateFromTenor($B$3,E37,"MOD_FOLLOWING","LNB:TKB",""))</f>
        <v/>
      </c>
      <c r="C37" s="19" t="str">
        <f>IF(F37="","",_xll.meDateFromTenor(B37,F37,))</f>
        <v/>
      </c>
      <c r="D37" s="49"/>
      <c r="E37" s="20"/>
      <c r="F37" s="21"/>
      <c r="G37" s="22"/>
      <c r="H37" s="23"/>
      <c r="I37" s="24"/>
      <c r="J37" s="25"/>
      <c r="K37" s="26"/>
      <c r="L37" s="3">
        <v>30</v>
      </c>
      <c r="M37" s="27" t="str">
        <f>IF(G37="","",_xll.meLWOSwapCreateFromGenerator("JPY_LCH"&amp;L37,G37,H37,I37,B37,C37,J37,K37))</f>
        <v/>
      </c>
      <c r="N37" s="28" t="str">
        <f t="shared" si="0"/>
        <v/>
      </c>
      <c r="O37" s="41" t="str">
        <f>IF(M37="","",_xll.meLWOSwapParRate($M37,$N37))</f>
        <v/>
      </c>
      <c r="P37" s="44" t="str">
        <f>IF(M37="","",_xll.meLWOSwapPV($M37,$N37))</f>
        <v/>
      </c>
      <c r="Q37" s="44" t="str">
        <f>IF(M37="","",_xll.meLWOSwapPV01($M37,$N37))</f>
        <v/>
      </c>
      <c r="R37" s="47" t="str">
        <f ca="1"/>
        <v/>
      </c>
    </row>
    <row r="38" spans="2:18" x14ac:dyDescent="0.25">
      <c r="B38" s="18" t="str">
        <f>IF(E38="","",_xll.meDateFromTenor($B$3,E38,"MOD_FOLLOWING","LNB:TKB",""))</f>
        <v/>
      </c>
      <c r="C38" s="19" t="str">
        <f>IF(F38="","",_xll.meDateFromTenor(B38,F38,))</f>
        <v/>
      </c>
      <c r="D38" s="49"/>
      <c r="E38" s="20"/>
      <c r="F38" s="21"/>
      <c r="G38" s="22"/>
      <c r="H38" s="23"/>
      <c r="I38" s="24"/>
      <c r="J38" s="25"/>
      <c r="K38" s="26"/>
      <c r="L38" s="3">
        <v>31</v>
      </c>
      <c r="M38" s="27" t="str">
        <f>IF(G38="","",_xll.meLWOSwapCreateFromGenerator("JPY_LCH"&amp;L38,G38,H38,I38,B38,C38,J38,K38))</f>
        <v/>
      </c>
      <c r="N38" s="28" t="str">
        <f t="shared" si="0"/>
        <v/>
      </c>
      <c r="O38" s="41" t="str">
        <f>IF(M38="","",_xll.meLWOSwapParRate($M38,$N38))</f>
        <v/>
      </c>
      <c r="P38" s="44" t="str">
        <f>IF(M38="","",_xll.meLWOSwapPV($M38,$N38))</f>
        <v/>
      </c>
      <c r="Q38" s="44" t="str">
        <f>IF(M38="","",_xll.meLWOSwapPV01($M38,$N38))</f>
        <v/>
      </c>
      <c r="R38" s="47" t="str">
        <f ca="1"/>
        <v/>
      </c>
    </row>
    <row r="39" spans="2:18" x14ac:dyDescent="0.25">
      <c r="B39" s="18" t="str">
        <f>IF(E39="","",_xll.meDateFromTenor($B$3,E39,"MOD_FOLLOWING","LNB:TKB",""))</f>
        <v/>
      </c>
      <c r="C39" s="19" t="str">
        <f>IF(F39="","",_xll.meDateFromTenor(B39,F39,))</f>
        <v/>
      </c>
      <c r="D39" s="49"/>
      <c r="E39" s="20"/>
      <c r="F39" s="21"/>
      <c r="G39" s="22"/>
      <c r="H39" s="23"/>
      <c r="I39" s="24"/>
      <c r="J39" s="25"/>
      <c r="K39" s="26"/>
      <c r="L39" s="3">
        <v>32</v>
      </c>
      <c r="M39" s="27" t="str">
        <f>IF(G39="","",_xll.meLWOSwapCreateFromGenerator("JPY_LCH"&amp;L39,G39,H39,I39,B39,C39,J39,K39))</f>
        <v/>
      </c>
      <c r="N39" s="28" t="str">
        <f t="shared" si="0"/>
        <v/>
      </c>
      <c r="O39" s="41" t="str">
        <f>IF(M39="","",_xll.meLWOSwapParRate($M39,$N39))</f>
        <v/>
      </c>
      <c r="P39" s="44" t="str">
        <f>IF(M39="","",_xll.meLWOSwapPV($M39,$N39))</f>
        <v/>
      </c>
      <c r="Q39" s="44" t="str">
        <f>IF(M39="","",_xll.meLWOSwapPV01($M39,$N39))</f>
        <v/>
      </c>
      <c r="R39" s="47" t="str">
        <f ca="1"/>
        <v/>
      </c>
    </row>
    <row r="40" spans="2:18" x14ac:dyDescent="0.25">
      <c r="B40" s="18" t="str">
        <f>IF(E40="","",_xll.meDateFromTenor($B$3,E40,"MOD_FOLLOWING","LNB:TKB",""))</f>
        <v/>
      </c>
      <c r="C40" s="19" t="str">
        <f>IF(F40="","",_xll.meDateFromTenor(B40,F40,))</f>
        <v/>
      </c>
      <c r="D40" s="49"/>
      <c r="E40" s="20"/>
      <c r="F40" s="21"/>
      <c r="G40" s="22"/>
      <c r="H40" s="23"/>
      <c r="I40" s="24"/>
      <c r="J40" s="25"/>
      <c r="K40" s="26"/>
      <c r="L40" s="3">
        <v>33</v>
      </c>
      <c r="M40" s="27" t="str">
        <f>IF(G40="","",_xll.meLWOSwapCreateFromGenerator("JPY_LCH"&amp;L40,G40,H40,I40,B40,C40,J40,K40))</f>
        <v/>
      </c>
      <c r="N40" s="28" t="str">
        <f t="shared" si="0"/>
        <v/>
      </c>
      <c r="O40" s="41" t="str">
        <f>IF(M40="","",_xll.meLWOSwapParRate($M40,$N40))</f>
        <v/>
      </c>
      <c r="P40" s="44" t="str">
        <f>IF(M40="","",_xll.meLWOSwapPV($M40,$N40))</f>
        <v/>
      </c>
      <c r="Q40" s="44" t="str">
        <f>IF(M40="","",_xll.meLWOSwapPV01($M40,$N40))</f>
        <v/>
      </c>
      <c r="R40" s="47" t="str">
        <f ca="1"/>
        <v/>
      </c>
    </row>
    <row r="41" spans="2:18" x14ac:dyDescent="0.25">
      <c r="B41" s="18" t="str">
        <f>IF(E41="","",_xll.meDateFromTenor($B$3,E41,"MOD_FOLLOWING","LNB:TKB",""))</f>
        <v/>
      </c>
      <c r="C41" s="19" t="str">
        <f>IF(F41="","",_xll.meDateFromTenor(B41,F41,))</f>
        <v/>
      </c>
      <c r="D41" s="49"/>
      <c r="E41" s="20"/>
      <c r="F41" s="21"/>
      <c r="G41" s="22"/>
      <c r="H41" s="23"/>
      <c r="I41" s="24"/>
      <c r="J41" s="25"/>
      <c r="K41" s="26"/>
      <c r="L41" s="3">
        <v>34</v>
      </c>
      <c r="M41" s="27" t="str">
        <f>IF(G41="","",_xll.meLWOSwapCreateFromGenerator("JPY_LCH"&amp;L41,G41,H41,I41,B41,C41,J41,K41))</f>
        <v/>
      </c>
      <c r="N41" s="28" t="str">
        <f t="shared" si="0"/>
        <v/>
      </c>
      <c r="O41" s="41" t="str">
        <f>IF(M41="","",_xll.meLWOSwapParRate($M41,$N41))</f>
        <v/>
      </c>
      <c r="P41" s="44" t="str">
        <f>IF(M41="","",_xll.meLWOSwapPV($M41,$N41))</f>
        <v/>
      </c>
      <c r="Q41" s="44" t="str">
        <f>IF(M41="","",_xll.meLWOSwapPV01($M41,$N41))</f>
        <v/>
      </c>
      <c r="R41" s="47" t="str">
        <f ca="1"/>
        <v/>
      </c>
    </row>
    <row r="42" spans="2:18" x14ac:dyDescent="0.25">
      <c r="B42" s="18" t="str">
        <f>IF(E42="","",_xll.meDateFromTenor($B$3,E42,"MOD_FOLLOWING","LNB:TKB",""))</f>
        <v/>
      </c>
      <c r="C42" s="19" t="str">
        <f>IF(F42="","",_xll.meDateFromTenor(B42,F42,))</f>
        <v/>
      </c>
      <c r="D42" s="49"/>
      <c r="E42" s="20"/>
      <c r="F42" s="21"/>
      <c r="G42" s="22"/>
      <c r="H42" s="23"/>
      <c r="I42" s="24"/>
      <c r="J42" s="25"/>
      <c r="K42" s="26"/>
      <c r="L42" s="3">
        <v>35</v>
      </c>
      <c r="M42" s="27" t="str">
        <f>IF(G42="","",_xll.meLWOSwapCreateFromGenerator("JPY_LCH"&amp;L42,G42,H42,I42,B42,C42,J42,K42))</f>
        <v/>
      </c>
      <c r="N42" s="28" t="str">
        <f t="shared" si="0"/>
        <v/>
      </c>
      <c r="O42" s="41" t="str">
        <f>IF(M42="","",_xll.meLWOSwapParRate($M42,$N42))</f>
        <v/>
      </c>
      <c r="P42" s="44" t="str">
        <f>IF(M42="","",_xll.meLWOSwapPV($M42,$N42))</f>
        <v/>
      </c>
      <c r="Q42" s="44" t="str">
        <f>IF(M42="","",_xll.meLWOSwapPV01($M42,$N42))</f>
        <v/>
      </c>
      <c r="R42" s="47" t="str">
        <f ca="1"/>
        <v/>
      </c>
    </row>
    <row r="43" spans="2:18" x14ac:dyDescent="0.25">
      <c r="B43" s="29" t="str">
        <f>IF(E43="","",_xll.meDateFromTenor($B$3,E43,"MOD_FOLLOWING","LNB:TKB",""))</f>
        <v/>
      </c>
      <c r="C43" s="30" t="str">
        <f>IF(F43="","",_xll.meDateFromTenor(B43,F43,))</f>
        <v/>
      </c>
      <c r="D43" s="49"/>
      <c r="E43" s="31"/>
      <c r="F43" s="32"/>
      <c r="G43" s="33"/>
      <c r="H43" s="34"/>
      <c r="I43" s="35"/>
      <c r="J43" s="36"/>
      <c r="K43" s="37"/>
      <c r="L43" s="3">
        <v>36</v>
      </c>
      <c r="M43" s="38" t="str">
        <f>IF(G43="","",_xll.meLWOSwapCreateFromGenerator("JPY_LCH"&amp;L43,G43,H43,I43,B43,C43,J43,K43))</f>
        <v/>
      </c>
      <c r="N43" s="39" t="str">
        <f t="shared" si="0"/>
        <v/>
      </c>
      <c r="O43" s="42" t="str">
        <f>IF(M43="","",_xll.meLWOSwapParRate($M43,$N43))</f>
        <v/>
      </c>
      <c r="P43" s="45" t="str">
        <f>IF(M43="","",_xll.meLWOSwapPV($M43,$N43))</f>
        <v/>
      </c>
      <c r="Q43" s="45" t="str">
        <f>IF(M43="","",_xll.meLWOSwapPV01($M43,$N43))</f>
        <v/>
      </c>
      <c r="R43" s="48" t="str">
        <f ca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JPY-LCH IRS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2018-03-14T17:36:59Z</dcterms:created>
  <dcterms:modified xsi:type="dcterms:W3CDTF">2018-03-18T21:33:42Z</dcterms:modified>
</cp:coreProperties>
</file>