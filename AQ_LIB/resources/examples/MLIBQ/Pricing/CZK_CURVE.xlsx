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Secure\DIR_MLib_Analytics\Examples\Pricing\"/>
    </mc:Choice>
  </mc:AlternateContent>
  <bookViews>
    <workbookView xWindow="0" yWindow="0" windowWidth="20490" windowHeight="7095" firstSheet="1" activeTab="4"/>
  </bookViews>
  <sheets>
    <sheet name="CZK SWAP 3M" sheetId="4" state="hidden" r:id="rId1"/>
    <sheet name="CZK_DATA" sheetId="6" r:id="rId2"/>
    <sheet name="CZK SWAP 6M" sheetId="2" r:id="rId3"/>
    <sheet name="CZK_CHART" sheetId="5" r:id="rId4"/>
    <sheet name="CZK" sheetId="7" r:id="rId5"/>
  </sheets>
  <externalReferences>
    <externalReference r:id="rId6"/>
  </externalReferences>
  <definedNames>
    <definedName name="allowTradeUpdates">[1]Settings!$K$4</definedName>
    <definedName name="enableCurveRepricing">[1]Settings!$M$4</definedName>
    <definedName name="Settings.COB">[1]Settings!$C$4</definedName>
  </definedNames>
  <calcPr calcId="162913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7" l="1"/>
  <c r="H5" i="7"/>
  <c r="B5" i="7"/>
  <c r="G5" i="7"/>
  <c r="D5" i="7"/>
  <c r="N5" i="7"/>
  <c r="P5" i="7"/>
  <c r="S5" i="7"/>
  <c r="T5" i="7"/>
  <c r="H6" i="7"/>
  <c r="B6" i="7"/>
  <c r="G6" i="7"/>
  <c r="D6" i="7"/>
  <c r="N6" i="7"/>
  <c r="P6" i="7"/>
  <c r="S6" i="7"/>
  <c r="T6" i="7"/>
  <c r="H7" i="7"/>
  <c r="B7" i="7"/>
  <c r="G7" i="7"/>
  <c r="D7" i="7"/>
  <c r="N7" i="7"/>
  <c r="P7" i="7"/>
  <c r="S7" i="7"/>
  <c r="T7" i="7"/>
  <c r="H8" i="7"/>
  <c r="B8" i="7"/>
  <c r="G8" i="7"/>
  <c r="D8" i="7"/>
  <c r="N8" i="7"/>
  <c r="P8" i="7"/>
  <c r="S8" i="7"/>
  <c r="T8" i="7"/>
  <c r="H9" i="7"/>
  <c r="B9" i="7"/>
  <c r="G9" i="7"/>
  <c r="D9" i="7"/>
  <c r="N9" i="7"/>
  <c r="P9" i="7"/>
  <c r="S9" i="7"/>
  <c r="T9" i="7"/>
  <c r="H10" i="7"/>
  <c r="B10" i="7"/>
  <c r="G10" i="7"/>
  <c r="D10" i="7"/>
  <c r="N10" i="7"/>
  <c r="P10" i="7"/>
  <c r="S10" i="7"/>
  <c r="T10" i="7"/>
  <c r="H11" i="7"/>
  <c r="B11" i="7"/>
  <c r="G11" i="7"/>
  <c r="D11" i="7"/>
  <c r="N11" i="7"/>
  <c r="P11" i="7"/>
  <c r="S11" i="7"/>
  <c r="T11" i="7"/>
  <c r="H12" i="7"/>
  <c r="B12" i="7"/>
  <c r="G12" i="7"/>
  <c r="D12" i="7"/>
  <c r="N12" i="7"/>
  <c r="P12" i="7"/>
  <c r="S12" i="7"/>
  <c r="T12" i="7"/>
  <c r="H13" i="7"/>
  <c r="B13" i="7"/>
  <c r="G13" i="7"/>
  <c r="D13" i="7"/>
  <c r="N13" i="7"/>
  <c r="P13" i="7"/>
  <c r="S13" i="7"/>
  <c r="T13" i="7"/>
  <c r="H14" i="7"/>
  <c r="B14" i="7"/>
  <c r="G14" i="7"/>
  <c r="D14" i="7"/>
  <c r="N14" i="7"/>
  <c r="P14" i="7"/>
  <c r="S14" i="7"/>
  <c r="T14" i="7"/>
  <c r="H15" i="7"/>
  <c r="B15" i="7"/>
  <c r="G15" i="7"/>
  <c r="D15" i="7"/>
  <c r="N15" i="7"/>
  <c r="P15" i="7"/>
  <c r="S15" i="7"/>
  <c r="T15" i="7"/>
  <c r="H16" i="7"/>
  <c r="B16" i="7"/>
  <c r="G16" i="7"/>
  <c r="D16" i="7"/>
  <c r="N16" i="7"/>
  <c r="P16" i="7"/>
  <c r="S16" i="7"/>
  <c r="T16" i="7"/>
  <c r="R5" i="7"/>
  <c r="R6" i="7"/>
  <c r="R7" i="7"/>
  <c r="R8" i="7"/>
  <c r="R9" i="7"/>
  <c r="R10" i="7"/>
  <c r="R11" i="7"/>
  <c r="R12" i="7"/>
  <c r="R13" i="7"/>
  <c r="R14" i="7"/>
  <c r="R15" i="7"/>
  <c r="R16" i="7"/>
  <c r="I8" i="2"/>
  <c r="K6" i="2"/>
  <c r="L6" i="2"/>
  <c r="N9" i="2"/>
  <c r="O9" i="2"/>
  <c r="N10" i="2"/>
  <c r="O10" i="2"/>
  <c r="N7" i="2"/>
  <c r="O7" i="2"/>
  <c r="N8" i="2"/>
  <c r="O8" i="2"/>
  <c r="W6" i="2"/>
  <c r="D7" i="2"/>
  <c r="I21" i="2"/>
  <c r="D3" i="6"/>
  <c r="N6" i="2"/>
  <c r="D6" i="6"/>
  <c r="O6" i="2"/>
  <c r="R6" i="2"/>
  <c r="H3" i="6"/>
  <c r="S6" i="2"/>
  <c r="R7" i="2"/>
  <c r="H4" i="6"/>
  <c r="S7" i="2"/>
  <c r="R8" i="2"/>
  <c r="H5" i="6"/>
  <c r="S8" i="2"/>
  <c r="R9" i="2"/>
  <c r="H6" i="6"/>
  <c r="S9" i="2"/>
  <c r="R10" i="2"/>
  <c r="H7" i="6"/>
  <c r="S10" i="2"/>
  <c r="R11" i="2"/>
  <c r="H8" i="6"/>
  <c r="S11" i="2"/>
  <c r="R12" i="2"/>
  <c r="H9" i="6"/>
  <c r="S12" i="2"/>
  <c r="R13" i="2"/>
  <c r="H10" i="6"/>
  <c r="S13" i="2"/>
  <c r="R14" i="2"/>
  <c r="H11" i="6"/>
  <c r="S14" i="2"/>
  <c r="R15" i="2"/>
  <c r="H12" i="6"/>
  <c r="S15" i="2"/>
  <c r="R16" i="2"/>
  <c r="H13" i="6"/>
  <c r="S16" i="2"/>
  <c r="R17" i="2"/>
  <c r="H14" i="6"/>
  <c r="S17" i="2"/>
  <c r="R18" i="2"/>
  <c r="H15" i="6"/>
  <c r="S18" i="2"/>
  <c r="R19" i="2"/>
  <c r="H16" i="6"/>
  <c r="S19" i="2"/>
  <c r="S20" i="2"/>
  <c r="V6" i="2"/>
  <c r="L3" i="6"/>
  <c r="V7" i="2"/>
  <c r="L4" i="6"/>
  <c r="V8" i="2"/>
  <c r="L5" i="6"/>
  <c r="V9" i="2"/>
  <c r="L6" i="6"/>
  <c r="V10" i="2"/>
  <c r="L7" i="6"/>
  <c r="V11" i="2"/>
  <c r="L8" i="6"/>
  <c r="V12" i="2"/>
  <c r="L9" i="6"/>
  <c r="V13" i="2"/>
  <c r="L10" i="6"/>
  <c r="V14" i="2"/>
  <c r="L11" i="6"/>
  <c r="V15" i="2"/>
  <c r="L12" i="6"/>
  <c r="V16" i="2"/>
  <c r="L13" i="6"/>
  <c r="V17" i="2"/>
  <c r="L14" i="6"/>
  <c r="V18" i="2"/>
  <c r="L15" i="6"/>
  <c r="V19" i="2"/>
  <c r="L16" i="6"/>
  <c r="V20" i="2"/>
  <c r="D7" i="6"/>
  <c r="D8" i="6"/>
  <c r="D9" i="6"/>
  <c r="D10" i="6"/>
  <c r="I14" i="2"/>
  <c r="I27" i="2" a="1"/>
  <c r="I27" i="2"/>
  <c r="I28" i="2"/>
  <c r="I29" i="2"/>
  <c r="I30" i="2"/>
  <c r="D11" i="6"/>
  <c r="D12" i="6"/>
  <c r="B2" i="5" a="1"/>
  <c r="B2" i="5"/>
  <c r="C2" i="5"/>
  <c r="B3" i="5"/>
  <c r="C3" i="5"/>
  <c r="B4" i="5"/>
  <c r="C4" i="5"/>
  <c r="B5" i="5"/>
  <c r="C5" i="5"/>
  <c r="B6" i="5"/>
  <c r="C6" i="5"/>
  <c r="B7" i="5"/>
  <c r="C7" i="5"/>
  <c r="B8" i="5"/>
  <c r="C8" i="5"/>
  <c r="B9" i="5"/>
  <c r="C9" i="5"/>
  <c r="B10" i="5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B21" i="5"/>
  <c r="C21" i="5"/>
  <c r="B22" i="5"/>
  <c r="C22" i="5"/>
  <c r="B23" i="5"/>
  <c r="C23" i="5"/>
  <c r="B24" i="5"/>
  <c r="C24" i="5"/>
  <c r="B25" i="5"/>
  <c r="C25" i="5"/>
  <c r="B26" i="5"/>
  <c r="C26" i="5"/>
  <c r="B27" i="5"/>
  <c r="C27" i="5"/>
  <c r="B28" i="5"/>
  <c r="C28" i="5"/>
  <c r="B29" i="5"/>
  <c r="C29" i="5"/>
  <c r="B30" i="5"/>
  <c r="C30" i="5"/>
  <c r="B31" i="5"/>
  <c r="C31" i="5"/>
  <c r="B32" i="5"/>
  <c r="C32" i="5"/>
  <c r="B33" i="5"/>
  <c r="C33" i="5"/>
  <c r="B34" i="5"/>
  <c r="C34" i="5"/>
  <c r="B35" i="5"/>
  <c r="C35" i="5"/>
  <c r="B36" i="5"/>
  <c r="C36" i="5"/>
  <c r="B37" i="5"/>
  <c r="C37" i="5"/>
  <c r="B38" i="5"/>
  <c r="C38" i="5"/>
  <c r="B39" i="5"/>
  <c r="C39" i="5"/>
  <c r="B40" i="5"/>
  <c r="C40" i="5"/>
  <c r="B41" i="5"/>
  <c r="C41" i="5"/>
  <c r="B42" i="5"/>
  <c r="C42" i="5"/>
  <c r="B43" i="5"/>
  <c r="C43" i="5"/>
  <c r="B44" i="5"/>
  <c r="C44" i="5"/>
  <c r="B45" i="5"/>
  <c r="C45" i="5"/>
  <c r="B46" i="5"/>
  <c r="C46" i="5"/>
  <c r="B47" i="5"/>
  <c r="C47" i="5"/>
  <c r="B48" i="5"/>
  <c r="C48" i="5"/>
  <c r="B49" i="5"/>
  <c r="C49" i="5"/>
  <c r="B50" i="5"/>
  <c r="C50" i="5"/>
  <c r="B51" i="5"/>
  <c r="C51" i="5"/>
  <c r="B52" i="5"/>
  <c r="C52" i="5"/>
  <c r="B53" i="5"/>
  <c r="C53" i="5"/>
  <c r="B54" i="5"/>
  <c r="C54" i="5"/>
  <c r="B55" i="5"/>
  <c r="C55" i="5"/>
  <c r="B56" i="5"/>
  <c r="C56" i="5"/>
  <c r="B57" i="5"/>
  <c r="C57" i="5"/>
  <c r="B58" i="5"/>
  <c r="C58" i="5"/>
  <c r="B59" i="5"/>
  <c r="C59" i="5"/>
  <c r="B60" i="5"/>
  <c r="C60" i="5"/>
  <c r="B61" i="5"/>
  <c r="C61" i="5"/>
  <c r="B62" i="5"/>
  <c r="C62" i="5"/>
  <c r="B63" i="5"/>
  <c r="C63" i="5"/>
  <c r="B64" i="5"/>
  <c r="C64" i="5"/>
  <c r="B65" i="5"/>
  <c r="C65" i="5"/>
  <c r="B66" i="5"/>
  <c r="C66" i="5"/>
  <c r="B67" i="5"/>
  <c r="C67" i="5"/>
  <c r="B68" i="5"/>
  <c r="C68" i="5"/>
  <c r="B69" i="5"/>
  <c r="C69" i="5"/>
  <c r="B70" i="5"/>
  <c r="C70" i="5"/>
  <c r="B71" i="5"/>
  <c r="C71" i="5"/>
  <c r="B72" i="5"/>
  <c r="C72" i="5"/>
  <c r="B73" i="5"/>
  <c r="C73" i="5"/>
  <c r="B74" i="5"/>
  <c r="C74" i="5"/>
  <c r="B75" i="5"/>
  <c r="C75" i="5"/>
  <c r="B76" i="5"/>
  <c r="C76" i="5"/>
  <c r="B77" i="5"/>
  <c r="C77" i="5"/>
  <c r="B78" i="5"/>
  <c r="C78" i="5"/>
  <c r="B79" i="5"/>
  <c r="C79" i="5"/>
  <c r="B80" i="5"/>
  <c r="C80" i="5"/>
  <c r="B81" i="5"/>
  <c r="C81" i="5"/>
  <c r="B82" i="5"/>
  <c r="C82" i="5"/>
  <c r="B83" i="5"/>
  <c r="C83" i="5"/>
  <c r="B84" i="5"/>
  <c r="C84" i="5"/>
  <c r="B85" i="5"/>
  <c r="C85" i="5"/>
  <c r="B86" i="5"/>
  <c r="C86" i="5"/>
  <c r="B87" i="5"/>
  <c r="C87" i="5"/>
  <c r="B88" i="5"/>
  <c r="C88" i="5"/>
  <c r="B89" i="5"/>
  <c r="C89" i="5"/>
  <c r="B90" i="5"/>
  <c r="C90" i="5"/>
  <c r="B91" i="5"/>
  <c r="C91" i="5"/>
  <c r="B92" i="5"/>
  <c r="C92" i="5"/>
  <c r="B93" i="5"/>
  <c r="C93" i="5"/>
  <c r="B94" i="5"/>
  <c r="C94" i="5"/>
  <c r="B95" i="5"/>
  <c r="C95" i="5"/>
  <c r="B96" i="5"/>
  <c r="C96" i="5"/>
  <c r="B97" i="5"/>
  <c r="C97" i="5"/>
  <c r="B98" i="5"/>
  <c r="C98" i="5"/>
  <c r="B99" i="5"/>
  <c r="C99" i="5"/>
  <c r="B100" i="5"/>
  <c r="C100" i="5"/>
  <c r="B101" i="5"/>
  <c r="C101" i="5"/>
  <c r="B102" i="5"/>
  <c r="C102" i="5"/>
  <c r="B103" i="5"/>
  <c r="C103" i="5"/>
  <c r="B104" i="5"/>
  <c r="C104" i="5"/>
  <c r="B105" i="5"/>
  <c r="C105" i="5"/>
  <c r="B106" i="5"/>
  <c r="C106" i="5"/>
  <c r="B107" i="5"/>
  <c r="C107" i="5"/>
  <c r="B108" i="5"/>
  <c r="C108" i="5"/>
  <c r="B109" i="5"/>
  <c r="C109" i="5"/>
  <c r="B110" i="5"/>
  <c r="C110" i="5"/>
  <c r="B111" i="5"/>
  <c r="C111" i="5"/>
  <c r="B112" i="5"/>
  <c r="C112" i="5"/>
  <c r="B113" i="5"/>
  <c r="C113" i="5"/>
  <c r="B114" i="5"/>
  <c r="C114" i="5"/>
  <c r="B115" i="5"/>
  <c r="C115" i="5"/>
  <c r="B116" i="5"/>
  <c r="C116" i="5"/>
  <c r="B117" i="5"/>
  <c r="C117" i="5"/>
  <c r="B118" i="5"/>
  <c r="C118" i="5"/>
  <c r="B119" i="5"/>
  <c r="C119" i="5"/>
  <c r="B120" i="5"/>
  <c r="C120" i="5"/>
  <c r="B121" i="5"/>
  <c r="C121" i="5"/>
  <c r="B122" i="5"/>
  <c r="C122" i="5"/>
  <c r="B123" i="5"/>
  <c r="C123" i="5"/>
  <c r="B124" i="5"/>
  <c r="C124" i="5"/>
  <c r="B125" i="5"/>
  <c r="C125" i="5"/>
  <c r="B126" i="5"/>
  <c r="C126" i="5"/>
  <c r="B127" i="5"/>
  <c r="C127" i="5"/>
  <c r="B128" i="5"/>
  <c r="C128" i="5"/>
  <c r="B129" i="5"/>
  <c r="C129" i="5"/>
  <c r="B130" i="5"/>
  <c r="C130" i="5"/>
  <c r="B131" i="5"/>
  <c r="C131" i="5"/>
  <c r="B132" i="5"/>
  <c r="C132" i="5"/>
  <c r="B133" i="5"/>
  <c r="C133" i="5"/>
  <c r="B134" i="5"/>
  <c r="C134" i="5"/>
  <c r="B135" i="5"/>
  <c r="C135" i="5"/>
  <c r="B136" i="5"/>
  <c r="C136" i="5"/>
  <c r="B137" i="5"/>
  <c r="C137" i="5"/>
  <c r="B138" i="5"/>
  <c r="C138" i="5"/>
  <c r="B139" i="5"/>
  <c r="C139" i="5"/>
  <c r="B140" i="5"/>
  <c r="C140" i="5"/>
  <c r="B141" i="5"/>
  <c r="C141" i="5"/>
  <c r="B142" i="5"/>
  <c r="C142" i="5"/>
  <c r="B143" i="5"/>
  <c r="C143" i="5"/>
  <c r="B144" i="5"/>
  <c r="C144" i="5"/>
  <c r="B145" i="5"/>
  <c r="C145" i="5"/>
  <c r="B146" i="5"/>
  <c r="C146" i="5"/>
  <c r="B147" i="5"/>
  <c r="C147" i="5"/>
  <c r="B148" i="5"/>
  <c r="C148" i="5"/>
  <c r="B149" i="5"/>
  <c r="C149" i="5"/>
  <c r="I31" i="4"/>
  <c r="I21" i="4"/>
  <c r="O10" i="4"/>
  <c r="O9" i="4"/>
  <c r="O8" i="4"/>
  <c r="O7" i="4"/>
  <c r="O6" i="4"/>
  <c r="I31" i="2"/>
</calcChain>
</file>

<file path=xl/sharedStrings.xml><?xml version="1.0" encoding="utf-8"?>
<sst xmlns="http://schemas.openxmlformats.org/spreadsheetml/2006/main" count="818" uniqueCount="259">
  <si>
    <t>Enable</t>
  </si>
  <si>
    <t>Create &amp; Save Curve Generator</t>
  </si>
  <si>
    <t>MARKETDATAPROPERTIES</t>
  </si>
  <si>
    <t>SWAPS</t>
  </si>
  <si>
    <t xml:space="preserve"> </t>
  </si>
  <si>
    <t>Term</t>
  </si>
  <si>
    <t>Rate</t>
  </si>
  <si>
    <t>Use</t>
  </si>
  <si>
    <t>Generator Filepath</t>
  </si>
  <si>
    <t>Currency</t>
  </si>
  <si>
    <t>Create Curve Generator</t>
  </si>
  <si>
    <t>CurveType</t>
  </si>
  <si>
    <t>Save Curve Generator</t>
  </si>
  <si>
    <t>CurveIndexFrequency</t>
  </si>
  <si>
    <t>StaticDataTable</t>
  </si>
  <si>
    <t>AsOfDate</t>
  </si>
  <si>
    <t>CURVEPROPERTIES</t>
  </si>
  <si>
    <t>Create Market Data Handle</t>
  </si>
  <si>
    <t>Handle Name</t>
  </si>
  <si>
    <t>IndexName</t>
  </si>
  <si>
    <t>Market Data Handle</t>
  </si>
  <si>
    <t>interpolation</t>
  </si>
  <si>
    <t>yieldgen.interpolation</t>
  </si>
  <si>
    <t>Curve Dictionary</t>
  </si>
  <si>
    <t>40Y</t>
  </si>
  <si>
    <t>Extrapolation</t>
  </si>
  <si>
    <t>Curve Generator</t>
  </si>
  <si>
    <t>calendar</t>
  </si>
  <si>
    <t>Domestic Curve Collection</t>
  </si>
  <si>
    <t>daycount</t>
  </si>
  <si>
    <t>Foreign Curve Collection</t>
  </si>
  <si>
    <t>frequency</t>
  </si>
  <si>
    <t>ANNUAL</t>
  </si>
  <si>
    <t>resetlag</t>
  </si>
  <si>
    <t>Curve Build</t>
  </si>
  <si>
    <t>slidingrule</t>
  </si>
  <si>
    <t>MOD_FOLLOWING</t>
  </si>
  <si>
    <t>Curve Collection</t>
  </si>
  <si>
    <t>TRUE</t>
  </si>
  <si>
    <t>Curve Index</t>
  </si>
  <si>
    <t/>
  </si>
  <si>
    <t>Calibration Time Taken</t>
  </si>
  <si>
    <t>Curve Loaded</t>
  </si>
  <si>
    <t>3Y</t>
  </si>
  <si>
    <t>Epsilon</t>
  </si>
  <si>
    <t>MaxLoop</t>
  </si>
  <si>
    <t>QUARTERLY</t>
  </si>
  <si>
    <t>LIBORFIXINGS</t>
  </si>
  <si>
    <t>BASISSWAPS</t>
  </si>
  <si>
    <t>SWAP</t>
  </si>
  <si>
    <t>6M</t>
  </si>
  <si>
    <t>STD</t>
  </si>
  <si>
    <t>FN_LINEARSPLINEINTERPOLATION</t>
  </si>
  <si>
    <t>isfrause</t>
  </si>
  <si>
    <t>isfutureuse</t>
  </si>
  <si>
    <t>future.interpolation</t>
  </si>
  <si>
    <t>Frequency</t>
  </si>
  <si>
    <t>SIMPLE</t>
  </si>
  <si>
    <t>IsSwapTenorAdjust</t>
  </si>
  <si>
    <t>TenorSwapName</t>
  </si>
  <si>
    <t>3M6MBasis</t>
  </si>
  <si>
    <t>FastRebuild</t>
  </si>
  <si>
    <t>MONEYMARKET</t>
  </si>
  <si>
    <t>Calendar</t>
  </si>
  <si>
    <t>DayCount</t>
  </si>
  <si>
    <t>FOLLOWING</t>
  </si>
  <si>
    <t>Simple</t>
  </si>
  <si>
    <t>SlidingRule</t>
  </si>
  <si>
    <t>FRAS</t>
  </si>
  <si>
    <t>ResetLag</t>
  </si>
  <si>
    <t>DayCountFix</t>
  </si>
  <si>
    <t>DayCountFloat</t>
  </si>
  <si>
    <t>SEMI-ANNUAL</t>
  </si>
  <si>
    <t>FrequencyFix.1y</t>
  </si>
  <si>
    <t>FrequencyFloat</t>
  </si>
  <si>
    <t>FrequencyFloat.1y</t>
  </si>
  <si>
    <t>IsNewtonraphson</t>
  </si>
  <si>
    <t>issimultaneouseq</t>
  </si>
  <si>
    <t>BaseFrequencyFloat</t>
  </si>
  <si>
    <t>IsEomRoll</t>
  </si>
  <si>
    <t>IsLeg1Spread</t>
  </si>
  <si>
    <t>Leg1cashlet.calendar</t>
  </si>
  <si>
    <t>Leg1cashlet.daycount</t>
  </si>
  <si>
    <t>Leg1cashlet.frequency</t>
  </si>
  <si>
    <t>Leg1cashlet.slidingrule</t>
  </si>
  <si>
    <t>Leg1cashlet.spotlag</t>
  </si>
  <si>
    <t>Leg1discount</t>
  </si>
  <si>
    <t>Leg1forecast</t>
  </si>
  <si>
    <t>Leg1index.accessary</t>
  </si>
  <si>
    <t>Leg1index.daycount</t>
  </si>
  <si>
    <t>Leg1index.fixing.calendar</t>
  </si>
  <si>
    <t>Leg1index.frequency</t>
  </si>
  <si>
    <t>Leg1index.payment.calendar</t>
  </si>
  <si>
    <t>Leg1index.resetlag</t>
  </si>
  <si>
    <t>Leg1index.slidingrule</t>
  </si>
  <si>
    <t>Leg2cashlet.calendar</t>
  </si>
  <si>
    <t>Leg2cashlet.daycount</t>
  </si>
  <si>
    <t>Leg2cashlet.frequency</t>
  </si>
  <si>
    <t>Quarterly</t>
  </si>
  <si>
    <t>Leg2cashlet.slidingrule</t>
  </si>
  <si>
    <t>Leg2cashlet.spotlag</t>
  </si>
  <si>
    <t>Leg2discount</t>
  </si>
  <si>
    <t>Leg2forecast</t>
  </si>
  <si>
    <t>Leg2index.accessary</t>
  </si>
  <si>
    <t>3M</t>
  </si>
  <si>
    <t>Leg2index.daycount</t>
  </si>
  <si>
    <t>Leg2index.fixing.calendar</t>
  </si>
  <si>
    <t>Leg2index.frequency</t>
  </si>
  <si>
    <t>Leg2index.payment.calendar</t>
  </si>
  <si>
    <t>Leg2index.resetlag</t>
  </si>
  <si>
    <t>Leg2index.slidingrule</t>
  </si>
  <si>
    <t>Target</t>
  </si>
  <si>
    <t>Leg2Forecast</t>
  </si>
  <si>
    <t>issamegridindex</t>
  </si>
  <si>
    <t>C:\Temp\CZK_SWAP_6M.JSON</t>
  </si>
  <si>
    <t>CZK</t>
  </si>
  <si>
    <t>CZK_SWAP_6M_CURVE_MARKETDATA</t>
  </si>
  <si>
    <t>CZK_SWAP_6M_CURVE</t>
  </si>
  <si>
    <t>CZKYC</t>
  </si>
  <si>
    <t>FRAs</t>
  </si>
  <si>
    <t>2Y</t>
  </si>
  <si>
    <t>4Y</t>
  </si>
  <si>
    <t>5Y</t>
  </si>
  <si>
    <t>6Y</t>
  </si>
  <si>
    <t>7Y</t>
  </si>
  <si>
    <t>8Y</t>
  </si>
  <si>
    <t>9Y</t>
  </si>
  <si>
    <t>10Y</t>
  </si>
  <si>
    <t>15Y</t>
  </si>
  <si>
    <t>20Y</t>
  </si>
  <si>
    <t>25Y</t>
  </si>
  <si>
    <t>30Y</t>
  </si>
  <si>
    <t>STD:PRB6M</t>
  </si>
  <si>
    <t>FALSE</t>
  </si>
  <si>
    <t>AlwaysCalcJoinDate</t>
  </si>
  <si>
    <t>DfCurveName</t>
  </si>
  <si>
    <t>ITSELF</t>
  </si>
  <si>
    <t>PRB</t>
  </si>
  <si>
    <t>ACT/360</t>
  </si>
  <si>
    <t>simple</t>
  </si>
  <si>
    <t>2D</t>
  </si>
  <si>
    <t>1Y</t>
  </si>
  <si>
    <t>1x4</t>
  </si>
  <si>
    <t>2x5</t>
  </si>
  <si>
    <t>3x6</t>
  </si>
  <si>
    <t>6x9</t>
  </si>
  <si>
    <t>9x12</t>
  </si>
  <si>
    <t>#Error: Swap Curves with Tenor Basis instruments are only supported using the STD staticDataTable keyword. Please check the 'IsTenorSwapAdjust' and StaticDataTable / MarketData parameter settings.</t>
  </si>
  <si>
    <t>STD:PRB3M</t>
  </si>
  <si>
    <t>SPLINE</t>
  </si>
  <si>
    <t>LINEAR</t>
  </si>
  <si>
    <t>1=IF(D5,meLWOCurveGeneratorCreate("CZK_SWAP_6M",C11,C12:D28,C30,C31:D34,C36,C37:D42,C44,C45:D49,C51,C52:D69,C71,C72:D104),"Disabled")</t>
  </si>
  <si>
    <t>1=meLWOCurveMarketDataCreate(I13,H4,H5:I10,K4,K6:L10,N4,N6:P11,R4,R6:T20,V4,V6:X20)</t>
  </si>
  <si>
    <t>1=meLWOCurveCalibrate(I20,I21,I14,I22,I23)</t>
  </si>
  <si>
    <t>PRIB06M Index</t>
  </si>
  <si>
    <t>CKFR0AG CMPN Curncy</t>
  </si>
  <si>
    <t>CKFR0BH CMPN Curncy</t>
  </si>
  <si>
    <t>CKFR0CI CMPN Curncy</t>
  </si>
  <si>
    <t>CKFR0DJ CMPN Curncy</t>
  </si>
  <si>
    <t>CKFR0EK CMPN Curncy</t>
  </si>
  <si>
    <t>CKFR0F1 CMPN Curncy</t>
  </si>
  <si>
    <t>CKFR011F CMPN Curncy</t>
  </si>
  <si>
    <t>CKSW2 BGN  Curncy</t>
  </si>
  <si>
    <t>CKSW3 BGN  Curncy</t>
  </si>
  <si>
    <t>CKSW4 BGN  Curncy</t>
  </si>
  <si>
    <t>CKSW5 BGN  Curncy</t>
  </si>
  <si>
    <t>CKSW6 BGN  Curncy</t>
  </si>
  <si>
    <t>CKSW7 BGN  Curncy</t>
  </si>
  <si>
    <t>CKSW8 BGN  Curncy</t>
  </si>
  <si>
    <t>CKSW9 BGN  Curncy</t>
  </si>
  <si>
    <t>CKSW10 BGN  Curncy</t>
  </si>
  <si>
    <t>CKSW12 BGN  Curncy</t>
  </si>
  <si>
    <t>CKSW15 BGN  Curncy</t>
  </si>
  <si>
    <t>CKSW20 BGN  Curncy</t>
  </si>
  <si>
    <t>CKSW30 BGN  Curncy</t>
  </si>
  <si>
    <t>1X7</t>
  </si>
  <si>
    <t>2X8</t>
  </si>
  <si>
    <t>3X9</t>
  </si>
  <si>
    <t>4X10</t>
  </si>
  <si>
    <t>5X11</t>
  </si>
  <si>
    <t>6X12</t>
  </si>
  <si>
    <t>CKSW1 BGN  Curncy</t>
  </si>
  <si>
    <t>12Y</t>
  </si>
  <si>
    <t>7X13</t>
  </si>
  <si>
    <t>CASH DEPO</t>
  </si>
  <si>
    <t>3X6 BASIS</t>
  </si>
  <si>
    <t>CKBSV1 BGN  Curncy</t>
  </si>
  <si>
    <t>CKBSV2 BGN  Curncy</t>
  </si>
  <si>
    <t>CKBSV3 BGN  Curncy</t>
  </si>
  <si>
    <t>CKBSV4 BGN  Curncy</t>
  </si>
  <si>
    <t>CKBSV5 BGN  Curncy</t>
  </si>
  <si>
    <t>CKBSV6 BGN  Curncy</t>
  </si>
  <si>
    <t>CKBSV7 BGN  Curncy</t>
  </si>
  <si>
    <t>CKBSV8 BGN  Curncy</t>
  </si>
  <si>
    <t>CKBSV9 BGN  Curncy</t>
  </si>
  <si>
    <t>CKBSV10 BGN  Curncy</t>
  </si>
  <si>
    <t>CKBSV12 BGN  Curncy</t>
  </si>
  <si>
    <t>CKBSV15 BGN  Curncy</t>
  </si>
  <si>
    <t>CKBSV20 BGN  Curncy</t>
  </si>
  <si>
    <t>CKBSV30 BGN  Curncy</t>
  </si>
  <si>
    <t>Trade Dates</t>
  </si>
  <si>
    <t>Trade Booking &amp; Pricing</t>
  </si>
  <si>
    <t>Curve Calibration Check</t>
  </si>
  <si>
    <t>Unadjusted Date !</t>
  </si>
  <si>
    <t>Swap Template</t>
  </si>
  <si>
    <t>EffectiveDate</t>
  </si>
  <si>
    <t>MaturityDate</t>
  </si>
  <si>
    <t>Maturity</t>
  </si>
  <si>
    <t>Generator</t>
  </si>
  <si>
    <t>PayRec</t>
  </si>
  <si>
    <t>Notional</t>
  </si>
  <si>
    <t>FixedRate</t>
  </si>
  <si>
    <t>Spread</t>
  </si>
  <si>
    <t>CreateSwap</t>
  </si>
  <si>
    <t>CurveCollection</t>
  </si>
  <si>
    <t>ParRate</t>
  </si>
  <si>
    <t>+/- Bps</t>
  </si>
  <si>
    <t>PAY</t>
  </si>
  <si>
    <t>0D</t>
  </si>
  <si>
    <t>SWAPS: PRB6M</t>
  </si>
  <si>
    <t>LEGTYPE</t>
  </si>
  <si>
    <t>Leg1:Fixed</t>
  </si>
  <si>
    <t>Leg2:Float</t>
  </si>
  <si>
    <t>LEVERAGE</t>
  </si>
  <si>
    <t>FORECASTCURVE</t>
  </si>
  <si>
    <t>COMPOUNDMETHOD</t>
  </si>
  <si>
    <t>NOTIONALEXCHANGE</t>
  </si>
  <si>
    <t>NONE</t>
  </si>
  <si>
    <t>DISCOUNTCURVE</t>
  </si>
  <si>
    <t>VALUATIONCURRENCY</t>
  </si>
  <si>
    <t>CURRENCY</t>
  </si>
  <si>
    <t>ACCRUALFREQUENCY</t>
  </si>
  <si>
    <t>ACCRUALBUSINESSDAYADJUSTMENT</t>
  </si>
  <si>
    <t>ACCRUALCALENDAR</t>
  </si>
  <si>
    <t>ACCRUALDAYCOUNT</t>
  </si>
  <si>
    <t>PAYMENTFREQUENCY</t>
  </si>
  <si>
    <t>PAYMENTBUSINESSDAYADJUSTMENT</t>
  </si>
  <si>
    <t>PAYMENTCALENDAR</t>
  </si>
  <si>
    <t>PAYMENTLAG</t>
  </si>
  <si>
    <t>FIRSTSTUBDATE</t>
  </si>
  <si>
    <t>LASTSTUBDATE</t>
  </si>
  <si>
    <t>ROLLDAY</t>
  </si>
  <si>
    <t>NORMAL</t>
  </si>
  <si>
    <t>STUBTYPE</t>
  </si>
  <si>
    <t>SHORTSTART</t>
  </si>
  <si>
    <t>FIXINGBUSINESSDAYADJUSTMENT</t>
  </si>
  <si>
    <t>FIXINGCALENDAR</t>
  </si>
  <si>
    <t>FIXINGLAG</t>
  </si>
  <si>
    <t>FIXINGADVANCEORARREAR</t>
  </si>
  <si>
    <t>FIRSTSTUBCURVEINDEX</t>
  </si>
  <si>
    <t>NATURAL</t>
  </si>
  <si>
    <t>LASTSTUBCURVEINDEX</t>
  </si>
  <si>
    <t>PRB6M</t>
  </si>
  <si>
    <t>FrequencyFix.1Y</t>
  </si>
  <si>
    <t>FrequencyFloat.1Y</t>
  </si>
  <si>
    <t>SWAP GENERATOR</t>
  </si>
  <si>
    <t>Extrapolated</t>
  </si>
  <si>
    <t>Basis Needed</t>
  </si>
  <si>
    <t>Basis Not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</si>
</sst>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64" formatCode="0.00000%"/>
    <numFmt numFmtId="165" formatCode="0.0000%"/>
    <numFmt numFmtId="166" formatCode="ddd\,\ d\-mmm\-yy"/>
    <numFmt numFmtId="167" formatCode="0.000%"/>
    <numFmt numFmtId="169" formatCode="#,##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color rgb="FF6600FF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</fills>
  <borders count="23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 style="thin">
        <color theme="0" tint="-0.24994659260841701"/>
      </bottom>
      <diagonal/>
    </border>
  </borders>
  <cellStyleXfs count="3">
    <xf numFmtId="0" fontId="0" fillId="0" borderId="0"/>
    <xf numFmtId="0" fontId="10" fillId="0" borderId="0">
      <alignment vertical="center"/>
    </xf>
    <xf numFmtId="41" fontId="1" fillId="0" borderId="0" applyFont="0" applyFill="0" applyBorder="0" applyAlignment="0" applyProtection="0"/>
  </cellStyleXfs>
  <cellXfs count="20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2" borderId="0" xfId="0" applyFill="1" applyBorder="1"/>
    <xf numFmtId="0" fontId="0" fillId="2" borderId="6" xfId="0" applyFill="1" applyBorder="1"/>
    <xf numFmtId="0" fontId="6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0" fillId="4" borderId="5" xfId="0" applyFont="1" applyFill="1" applyBorder="1" applyAlignment="1">
      <alignment horizontal="center" vertical="center"/>
    </xf>
    <xf numFmtId="0" fontId="0" fillId="3" borderId="11" xfId="0" applyFill="1" applyBorder="1"/>
    <xf numFmtId="0" fontId="0" fillId="4" borderId="1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65" fontId="9" fillId="0" borderId="3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0" fillId="3" borderId="11" xfId="0" applyFont="1" applyFill="1" applyBorder="1"/>
    <xf numFmtId="0" fontId="9" fillId="0" borderId="4" xfId="0" applyFont="1" applyFill="1" applyBorder="1" applyAlignment="1">
      <alignment horizontal="center" vertical="center"/>
    </xf>
    <xf numFmtId="164" fontId="9" fillId="0" borderId="0" xfId="0" applyNumberFormat="1" applyFont="1" applyFill="1" applyBorder="1" applyAlignment="1">
      <alignment horizontal="center" vertical="center"/>
    </xf>
    <xf numFmtId="165" fontId="9" fillId="0" borderId="6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vertical="center"/>
    </xf>
    <xf numFmtId="15" fontId="8" fillId="0" borderId="5" xfId="0" applyNumberFormat="1" applyFont="1" applyFill="1" applyBorder="1" applyAlignment="1">
      <alignment horizontal="center" vertical="center"/>
    </xf>
    <xf numFmtId="0" fontId="0" fillId="3" borderId="7" xfId="0" applyFill="1" applyBorder="1"/>
    <xf numFmtId="0" fontId="9" fillId="2" borderId="7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vertical="center"/>
    </xf>
    <xf numFmtId="0" fontId="8" fillId="0" borderId="11" xfId="0" applyFont="1" applyFill="1" applyBorder="1" applyAlignment="1">
      <alignment horizontal="center" vertical="center"/>
    </xf>
    <xf numFmtId="0" fontId="0" fillId="3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8" fillId="0" borderId="11" xfId="0" applyFont="1" applyFill="1" applyBorder="1"/>
    <xf numFmtId="15" fontId="8" fillId="0" borderId="11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0" fillId="3" borderId="5" xfId="0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0" fillId="2" borderId="0" xfId="0" applyFont="1" applyFill="1" applyBorder="1"/>
    <xf numFmtId="0" fontId="8" fillId="0" borderId="7" xfId="0" applyFont="1" applyFill="1" applyBorder="1"/>
    <xf numFmtId="0" fontId="8" fillId="0" borderId="7" xfId="0" applyFont="1" applyFill="1" applyBorder="1" applyAlignment="1">
      <alignment horizontal="center" vertical="center"/>
    </xf>
    <xf numFmtId="0" fontId="2" fillId="2" borderId="0" xfId="0" applyFont="1" applyFill="1" applyBorder="1"/>
    <xf numFmtId="0" fontId="0" fillId="0" borderId="5" xfId="0" applyFont="1" applyFill="1" applyBorder="1"/>
    <xf numFmtId="0" fontId="0" fillId="0" borderId="5" xfId="0" applyFont="1" applyFill="1" applyBorder="1" applyAlignment="1">
      <alignment horizontal="left" vertical="center"/>
    </xf>
    <xf numFmtId="0" fontId="0" fillId="0" borderId="11" xfId="0" applyFont="1" applyFill="1" applyBorder="1"/>
    <xf numFmtId="0" fontId="0" fillId="0" borderId="11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center" vertical="center"/>
    </xf>
    <xf numFmtId="0" fontId="0" fillId="0" borderId="7" xfId="0" applyFont="1" applyFill="1" applyBorder="1"/>
    <xf numFmtId="0" fontId="0" fillId="0" borderId="7" xfId="0" applyFont="1" applyFill="1" applyBorder="1" applyAlignment="1">
      <alignment horizontal="left" vertical="center"/>
    </xf>
    <xf numFmtId="0" fontId="0" fillId="0" borderId="5" xfId="0" applyBorder="1"/>
    <xf numFmtId="0" fontId="7" fillId="0" borderId="5" xfId="0" applyFont="1" applyFill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left"/>
    </xf>
    <xf numFmtId="0" fontId="8" fillId="0" borderId="11" xfId="0" applyFont="1" applyFill="1" applyBorder="1" applyAlignment="1"/>
    <xf numFmtId="0" fontId="0" fillId="0" borderId="11" xfId="0" applyBorder="1"/>
    <xf numFmtId="0" fontId="0" fillId="0" borderId="7" xfId="0" applyBorder="1"/>
    <xf numFmtId="3" fontId="8" fillId="0" borderId="6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center" vertical="center"/>
    </xf>
    <xf numFmtId="164" fontId="9" fillId="0" borderId="9" xfId="0" applyNumberFormat="1" applyFont="1" applyFill="1" applyBorder="1" applyAlignment="1">
      <alignment horizontal="center" vertical="center"/>
    </xf>
    <xf numFmtId="164" fontId="9" fillId="0" borderId="10" xfId="0" applyNumberFormat="1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10" xfId="0" applyFont="1" applyFill="1" applyBorder="1"/>
    <xf numFmtId="0" fontId="0" fillId="0" borderId="5" xfId="0" applyFill="1" applyBorder="1" applyAlignment="1">
      <alignment horizontal="center" vertical="center"/>
    </xf>
    <xf numFmtId="11" fontId="8" fillId="0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2" xfId="0" applyFill="1" applyBorder="1"/>
    <xf numFmtId="0" fontId="0" fillId="2" borderId="13" xfId="0" applyFill="1" applyBorder="1"/>
    <xf numFmtId="0" fontId="0" fillId="2" borderId="13" xfId="0" applyFill="1" applyBorder="1" applyAlignment="1">
      <alignment horizontal="left" vertical="center"/>
    </xf>
    <xf numFmtId="0" fontId="0" fillId="2" borderId="14" xfId="0" applyFill="1" applyBorder="1"/>
    <xf numFmtId="0" fontId="0" fillId="2" borderId="15" xfId="0" applyFill="1" applyBorder="1"/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0" fontId="0" fillId="2" borderId="16" xfId="0" applyFill="1" applyBorder="1"/>
    <xf numFmtId="0" fontId="8" fillId="3" borderId="5" xfId="0" applyFont="1" applyFill="1" applyBorder="1"/>
    <xf numFmtId="15" fontId="8" fillId="3" borderId="5" xfId="0" applyNumberFormat="1" applyFont="1" applyFill="1" applyBorder="1" applyAlignment="1">
      <alignment horizontal="left" vertical="center"/>
    </xf>
    <xf numFmtId="0" fontId="0" fillId="2" borderId="9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left" vertical="center"/>
    </xf>
    <xf numFmtId="0" fontId="8" fillId="3" borderId="11" xfId="0" applyFont="1" applyFill="1" applyBorder="1"/>
    <xf numFmtId="15" fontId="8" fillId="3" borderId="11" xfId="0" applyNumberFormat="1" applyFont="1" applyFill="1" applyBorder="1" applyAlignment="1">
      <alignment horizontal="left" vertical="center"/>
    </xf>
    <xf numFmtId="15" fontId="9" fillId="3" borderId="1" xfId="0" applyNumberFormat="1" applyFont="1" applyFill="1" applyBorder="1" applyAlignment="1">
      <alignment horizontal="center" vertical="center"/>
    </xf>
    <xf numFmtId="167" fontId="8" fillId="3" borderId="3" xfId="2" quotePrefix="1" applyNumberFormat="1" applyFont="1" applyFill="1" applyBorder="1" applyAlignment="1">
      <alignment horizontal="center" vertical="center"/>
    </xf>
    <xf numFmtId="164" fontId="0" fillId="0" borderId="0" xfId="0" applyNumberFormat="1"/>
    <xf numFmtId="0" fontId="9" fillId="3" borderId="4" xfId="0" applyFont="1" applyFill="1" applyBorder="1" applyAlignment="1">
      <alignment horizontal="center" vertical="center"/>
    </xf>
    <xf numFmtId="167" fontId="8" fillId="3" borderId="6" xfId="2" quotePrefix="1" applyNumberFormat="1" applyFont="1" applyFill="1" applyBorder="1" applyAlignment="1">
      <alignment horizontal="center" vertical="center"/>
    </xf>
    <xf numFmtId="164" fontId="8" fillId="0" borderId="6" xfId="0" applyNumberFormat="1" applyFont="1" applyFill="1" applyBorder="1" applyAlignment="1">
      <alignment horizontal="center" vertical="center"/>
    </xf>
    <xf numFmtId="166" fontId="7" fillId="3" borderId="11" xfId="0" applyNumberFormat="1" applyFont="1" applyFill="1" applyBorder="1" applyAlignment="1">
      <alignment horizontal="left" vertical="center"/>
    </xf>
    <xf numFmtId="166" fontId="9" fillId="3" borderId="0" xfId="1" applyNumberFormat="1" applyFont="1" applyFill="1" applyBorder="1" applyAlignment="1">
      <alignment horizontal="center" vertical="center"/>
    </xf>
    <xf numFmtId="167" fontId="8" fillId="3" borderId="6" xfId="2" applyNumberFormat="1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left"/>
    </xf>
    <xf numFmtId="0" fontId="8" fillId="3" borderId="7" xfId="0" applyFont="1" applyFill="1" applyBorder="1" applyAlignment="1">
      <alignment horizontal="left"/>
    </xf>
    <xf numFmtId="0" fontId="8" fillId="0" borderId="8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165" fontId="9" fillId="3" borderId="0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9" fillId="3" borderId="8" xfId="0" applyFont="1" applyFill="1" applyBorder="1" applyAlignment="1">
      <alignment horizontal="center" vertical="center"/>
    </xf>
    <xf numFmtId="166" fontId="9" fillId="3" borderId="9" xfId="1" applyNumberFormat="1" applyFont="1" applyFill="1" applyBorder="1" applyAlignment="1">
      <alignment horizontal="center" vertical="center"/>
    </xf>
    <xf numFmtId="167" fontId="8" fillId="3" borderId="10" xfId="2" applyNumberFormat="1" applyFont="1" applyFill="1" applyBorder="1" applyAlignment="1">
      <alignment horizontal="center" vertical="center"/>
    </xf>
    <xf numFmtId="165" fontId="9" fillId="3" borderId="9" xfId="0" applyNumberFormat="1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164" fontId="8" fillId="0" borderId="10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7" xfId="0" applyFont="1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8" xfId="0" applyFill="1" applyBorder="1" applyAlignment="1">
      <alignment horizontal="left" vertical="center"/>
    </xf>
    <xf numFmtId="0" fontId="0" fillId="2" borderId="19" xfId="0" applyFill="1" applyBorder="1"/>
    <xf numFmtId="0" fontId="8" fillId="5" borderId="11" xfId="0" applyFont="1" applyFill="1" applyBorder="1" applyAlignment="1">
      <alignment horizontal="center" vertical="center"/>
    </xf>
    <xf numFmtId="0" fontId="5" fillId="3" borderId="11" xfId="0" applyFont="1" applyFill="1" applyBorder="1"/>
    <xf numFmtId="0" fontId="5" fillId="0" borderId="11" xfId="0" applyFont="1" applyFill="1" applyBorder="1" applyAlignment="1">
      <alignment vertical="center"/>
    </xf>
    <xf numFmtId="0" fontId="8" fillId="5" borderId="11" xfId="0" applyFont="1" applyFill="1" applyBorder="1" applyAlignment="1">
      <alignment vertical="center"/>
    </xf>
    <xf numFmtId="3" fontId="8" fillId="5" borderId="6" xfId="0" applyNumberFormat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3" fontId="3" fillId="6" borderId="6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/>
    </xf>
    <xf numFmtId="0" fontId="8" fillId="2" borderId="16" xfId="0" applyFont="1" applyFill="1" applyBorder="1"/>
    <xf numFmtId="0" fontId="8" fillId="0" borderId="0" xfId="0" applyFont="1"/>
    <xf numFmtId="164" fontId="8" fillId="0" borderId="0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4" fontId="9" fillId="5" borderId="2" xfId="0" applyNumberFormat="1" applyFont="1" applyFill="1" applyBorder="1" applyAlignment="1">
      <alignment horizontal="center" vertical="center"/>
    </xf>
    <xf numFmtId="164" fontId="8" fillId="5" borderId="3" xfId="0" applyNumberFormat="1" applyFont="1" applyFill="1" applyBorder="1" applyAlignment="1">
      <alignment horizontal="center" vertical="center"/>
    </xf>
    <xf numFmtId="165" fontId="9" fillId="3" borderId="2" xfId="1" quotePrefix="1" applyNumberFormat="1" applyFont="1" applyFill="1" applyBorder="1" applyAlignment="1">
      <alignment horizontal="center" vertical="center"/>
    </xf>
    <xf numFmtId="165" fontId="9" fillId="3" borderId="0" xfId="1" quotePrefix="1" applyNumberFormat="1" applyFont="1" applyFill="1" applyBorder="1" applyAlignment="1">
      <alignment horizontal="center" vertical="center"/>
    </xf>
    <xf numFmtId="165" fontId="9" fillId="3" borderId="0" xfId="1" applyNumberFormat="1" applyFont="1" applyFill="1" applyBorder="1" applyAlignment="1">
      <alignment horizontal="center" vertical="center"/>
    </xf>
    <xf numFmtId="15" fontId="8" fillId="5" borderId="11" xfId="0" applyNumberFormat="1" applyFont="1" applyFill="1" applyBorder="1" applyAlignment="1">
      <alignment horizontal="center" vertical="center"/>
    </xf>
    <xf numFmtId="15" fontId="3" fillId="6" borderId="11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167" fontId="11" fillId="0" borderId="0" xfId="0" applyNumberFormat="1" applyFont="1" applyAlignment="1">
      <alignment horizontal="center" vertical="center"/>
    </xf>
    <xf numFmtId="0" fontId="11" fillId="0" borderId="0" xfId="0" applyFont="1"/>
    <xf numFmtId="0" fontId="2" fillId="0" borderId="0" xfId="0" applyFont="1"/>
    <xf numFmtId="10" fontId="11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1" fontId="6" fillId="0" borderId="6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0" fillId="5" borderId="0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/>
    <xf numFmtId="0" fontId="11" fillId="0" borderId="0" xfId="0" applyFont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166" fontId="9" fillId="2" borderId="1" xfId="0" applyNumberFormat="1" applyFont="1" applyFill="1" applyBorder="1" applyAlignment="1">
      <alignment horizontal="center" vertical="center"/>
    </xf>
    <xf numFmtId="166" fontId="9" fillId="2" borderId="2" xfId="0" applyNumberFormat="1" applyFont="1" applyFill="1" applyBorder="1" applyAlignment="1">
      <alignment horizontal="center" vertical="center"/>
    </xf>
    <xf numFmtId="166" fontId="9" fillId="2" borderId="3" xfId="0" applyNumberFormat="1" applyFont="1" applyFill="1" applyBorder="1" applyAlignment="1">
      <alignment horizontal="center" vertical="center"/>
    </xf>
    <xf numFmtId="166" fontId="0" fillId="4" borderId="1" xfId="0" quotePrefix="1" applyNumberFormat="1" applyFill="1" applyBorder="1" applyAlignment="1">
      <alignment horizontal="center" vertical="center"/>
    </xf>
    <xf numFmtId="166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3" fontId="0" fillId="4" borderId="2" xfId="0" applyNumberForma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9" fontId="0" fillId="4" borderId="3" xfId="0" applyNumberForma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6" fontId="9" fillId="2" borderId="4" xfId="0" applyNumberFormat="1" applyFont="1" applyFill="1" applyBorder="1" applyAlignment="1">
      <alignment horizontal="center" vertical="center"/>
    </xf>
    <xf numFmtId="166" fontId="9" fillId="2" borderId="0" xfId="0" applyNumberFormat="1" applyFont="1" applyFill="1" applyBorder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/>
    </xf>
    <xf numFmtId="166" fontId="0" fillId="4" borderId="4" xfId="0" quotePrefix="1" applyNumberFormat="1" applyFill="1" applyBorder="1" applyAlignment="1">
      <alignment horizontal="center" vertical="center"/>
    </xf>
    <xf numFmtId="166" fontId="0" fillId="4" borderId="0" xfId="0" applyNumberForma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3" fontId="0" fillId="4" borderId="0" xfId="0" applyNumberFormat="1" applyFill="1" applyBorder="1" applyAlignment="1">
      <alignment horizontal="center" vertical="center"/>
    </xf>
    <xf numFmtId="164" fontId="0" fillId="4" borderId="0" xfId="0" applyNumberFormat="1" applyFill="1" applyBorder="1" applyAlignment="1">
      <alignment horizontal="center" vertical="center"/>
    </xf>
    <xf numFmtId="169" fontId="0" fillId="4" borderId="6" xfId="0" applyNumberForma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69" fontId="9" fillId="2" borderId="6" xfId="0" applyNumberFormat="1" applyFont="1" applyFill="1" applyBorder="1" applyAlignment="1">
      <alignment horizontal="center"/>
    </xf>
    <xf numFmtId="166" fontId="9" fillId="2" borderId="8" xfId="0" applyNumberFormat="1" applyFont="1" applyFill="1" applyBorder="1" applyAlignment="1">
      <alignment horizontal="center" vertical="center"/>
    </xf>
    <xf numFmtId="166" fontId="9" fillId="2" borderId="9" xfId="0" applyNumberFormat="1" applyFont="1" applyFill="1" applyBorder="1" applyAlignment="1">
      <alignment horizontal="center" vertical="center"/>
    </xf>
    <xf numFmtId="166" fontId="9" fillId="2" borderId="10" xfId="0" applyNumberFormat="1" applyFont="1" applyFill="1" applyBorder="1" applyAlignment="1">
      <alignment horizontal="center" vertical="center"/>
    </xf>
    <xf numFmtId="166" fontId="0" fillId="4" borderId="8" xfId="0" quotePrefix="1" applyNumberFormat="1" applyFill="1" applyBorder="1" applyAlignment="1">
      <alignment horizontal="center" vertical="center"/>
    </xf>
    <xf numFmtId="166" fontId="0" fillId="4" borderId="9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3" fontId="0" fillId="4" borderId="9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169" fontId="0" fillId="4" borderId="10" xfId="0" applyNumberForma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9" fontId="9" fillId="2" borderId="10" xfId="0" applyNumberFormat="1" applyFont="1" applyFill="1" applyBorder="1" applyAlignment="1">
      <alignment horizontal="center"/>
    </xf>
    <xf numFmtId="3" fontId="6" fillId="0" borderId="6" xfId="0" applyNumberFormat="1" applyFont="1" applyFill="1" applyBorder="1" applyAlignment="1">
      <alignment horizontal="center" vertical="center"/>
    </xf>
    <xf numFmtId="0" fontId="2" fillId="5" borderId="0" xfId="0" applyFont="1" applyFill="1"/>
    <xf numFmtId="0" fontId="6" fillId="7" borderId="20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164" fontId="9" fillId="2" borderId="10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>
      <alignment horizontal="center" vertical="center"/>
    </xf>
    <xf numFmtId="164" fontId="9" fillId="2" borderId="9" xfId="0" applyNumberFormat="1" applyFont="1" applyFill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center" vertical="center"/>
    </xf>
    <xf numFmtId="169" fontId="9" fillId="2" borderId="3" xfId="0" applyNumberFormat="1" applyFont="1" applyFill="1" applyBorder="1" applyAlignment="1">
      <alignment horizontal="center"/>
    </xf>
    <xf numFmtId="0" fontId="14" fillId="2" borderId="16" xfId="0" applyFont="1" applyFill="1" applyBorder="1"/>
  </cellXfs>
  <cellStyles count="3">
    <cellStyle name="Comma [0] 5" xfId="2"/>
    <cellStyle name="Normal" xfId="0" builtinId="0"/>
    <cellStyle name="標準_Input_OutPut20060417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0.24</v>
        <stp/>
        <stp>##V3_BDPV12</stp>
        <stp>CKSW1 BGN  Curncy</stp>
        <stp>PX_LAST</stp>
        <stp>[CZK_CURVE.xlsx]CZK_DATA!R3C8</stp>
        <tr r="H3" s="6"/>
      </tp>
      <tp>
        <v>0.4</v>
        <stp/>
        <stp>##V3_BDPV12</stp>
        <stp>CKSW4 BGN  Curncy</stp>
        <stp>PX_LAST</stp>
        <stp>[CZK_CURVE.xlsx]CZK_DATA!R6C8</stp>
        <tr r="H6" s="6"/>
      </tp>
      <tp>
        <v>0.4425</v>
        <stp/>
        <stp>##V3_BDPV12</stp>
        <stp>CKSW5 BGN  Curncy</stp>
        <stp>PX_LAST</stp>
        <stp>[CZK_CURVE.xlsx]CZK_DATA!R7C8</stp>
        <tr r="H7" s="6"/>
      </tp>
      <tp>
        <v>0.30504999999999999</v>
        <stp/>
        <stp>##V3_BDPV12</stp>
        <stp>CKSW2 BGN  Curncy</stp>
        <stp>PX_LAST</stp>
        <stp>[CZK_CURVE.xlsx]CZK_DATA!R4C8</stp>
        <tr r="H4" s="6"/>
      </tp>
      <tp>
        <v>0.35499999999999998</v>
        <stp/>
        <stp>##V3_BDPV12</stp>
        <stp>CKSW3 BGN  Curncy</stp>
        <stp>PX_LAST</stp>
        <stp>[CZK_CURVE.xlsx]CZK_DATA!R5C8</stp>
        <tr r="H5" s="6"/>
      </tp>
      <tp>
        <v>7.75</v>
        <stp/>
        <stp>##V3_BDPV12</stp>
        <stp>CKBSV6 BGN  Curncy</stp>
        <stp>PX_LAST</stp>
        <stp>[CZK_CURVE.xlsx]CZK_DATA!R8C12</stp>
        <tr r="L8" s="6"/>
      </tp>
      <tp>
        <v>8.4250000000000007</v>
        <stp/>
        <stp>##V3_BDPV12</stp>
        <stp>CKBSV7 BGN  Curncy</stp>
        <stp>PX_LAST</stp>
        <stp>[CZK_CURVE.xlsx]CZK_DATA!R9C12</stp>
        <tr r="L9" s="6"/>
      </tp>
      <tp>
        <v>5.9349999999999996</v>
        <stp/>
        <stp>##V3_BDPV12</stp>
        <stp>CKBSV1 BGN  Curncy</stp>
        <stp>PX_LAST</stp>
        <stp>[CZK_CURVE.xlsx]CZK_DATA!R3C12</stp>
        <tr r="L3" s="6"/>
      </tp>
      <tp>
        <v>7.51</v>
        <stp/>
        <stp>##V3_BDPV12</stp>
        <stp>CKBSV4 BGN  Curncy</stp>
        <stp>PX_LAST</stp>
        <stp>[CZK_CURVE.xlsx]CZK_DATA!R6C12</stp>
        <tr r="L6" s="6"/>
      </tp>
      <tp>
        <v>7.5</v>
        <stp/>
        <stp>##V3_BDPV12</stp>
        <stp>CKBSV5 BGN  Curncy</stp>
        <stp>PX_LAST</stp>
        <stp>[CZK_CURVE.xlsx]CZK_DATA!R7C12</stp>
        <tr r="L7" s="6"/>
      </tp>
      <tp>
        <v>6.56</v>
        <stp/>
        <stp>##V3_BDPV12</stp>
        <stp>CKBSV2 BGN  Curncy</stp>
        <stp>PX_LAST</stp>
        <stp>[CZK_CURVE.xlsx]CZK_DATA!R4C12</stp>
        <tr r="L4" s="6"/>
      </tp>
      <tp>
        <v>6.5750000000000002</v>
        <stp/>
        <stp>##V3_BDPV12</stp>
        <stp>CKBSV3 BGN  Curncy</stp>
        <stp>PX_LAST</stp>
        <stp>[CZK_CURVE.xlsx]CZK_DATA!R5C12</stp>
        <tr r="L5" s="6"/>
      </tp>
      <tp>
        <v>0.23499999999999999</v>
        <stp/>
        <stp>##V3_BDPV12</stp>
        <stp>CKFR0EK CMPN Curncy</stp>
        <stp>PX_LAST</stp>
        <stp>[CZK_CURVE.xlsx]CZK_DATA!R10C4</stp>
        <tr r="D10" s="6"/>
      </tp>
      <tp>
        <v>0.24</v>
        <stp/>
        <stp>##V3_BDPV12</stp>
        <stp>CKFR0F1 CMPN Curncy</stp>
        <stp>PX_LAST</stp>
        <stp>[CZK_CURVE.xlsx]CZK_DATA!R11C4</stp>
        <tr r="D11" s="6"/>
      </tp>
      <tp>
        <v>0.47</v>
        <stp/>
        <stp>##V3_BDPV12</stp>
        <stp>CKSW6 BGN  Curncy</stp>
        <stp>PX_LAST</stp>
        <stp>[CZK_CURVE.xlsx]CZK_DATA!R8C8</stp>
        <tr r="H8" s="6"/>
      </tp>
      <tp>
        <v>0.505</v>
        <stp/>
        <stp>##V3_BDPV12</stp>
        <stp>CKSW7 BGN  Curncy</stp>
        <stp>PX_LAST</stp>
        <stp>[CZK_CURVE.xlsx]CZK_DATA!R9C8</stp>
        <tr r="H9" s="6"/>
      </tp>
      <tp>
        <v>9.44</v>
        <stp/>
        <stp>##V3_BDPV12</stp>
        <stp>CKBSV9 BGN  Curncy</stp>
        <stp>PX_LAST</stp>
        <stp>[CZK_CURVE.xlsx]CZK_DATA!R11C12</stp>
        <tr r="L11" s="6"/>
      </tp>
      <tp>
        <v>9.375</v>
        <stp/>
        <stp>##V3_BDPV12</stp>
        <stp>CKBSV8 BGN  Curncy</stp>
        <stp>PX_LAST</stp>
        <stp>[CZK_CURVE.xlsx]CZK_DATA!R10C12</stp>
        <tr r="L10" s="6"/>
      </tp>
      <tp>
        <v>9</v>
        <stp/>
        <stp>##V3_BDPV12</stp>
        <stp>CKBSV10 BGN  Curncy</stp>
        <stp>PX_LAST</stp>
        <stp>[CZK_CURVE.xlsx]CZK_DATA!R12C12</stp>
        <tr r="L12" s="6"/>
      </tp>
    </main>
    <main first="bloomberg.rtd">
      <tp>
        <v>0.54313</v>
        <stp/>
        <stp>##V3_BDPV12</stp>
        <stp>CKSW8 BGN  Curncy</stp>
        <stp>PX_LAST</stp>
        <stp>[CZK_CURVE.xlsx]CZK_DATA!R10C8</stp>
        <tr r="H10" s="6"/>
      </tp>
      <tp>
        <v>0.56999999999999995</v>
        <stp/>
        <stp>##V3_BDPV12</stp>
        <stp>CKSW9 BGN  Curncy</stp>
        <stp>PX_LAST</stp>
        <stp>[CZK_CURVE.xlsx]CZK_DATA!R11C8</stp>
        <tr r="H11" s="6"/>
      </tp>
      <tp>
        <v>0.23</v>
        <stp/>
        <stp>##V3_BDPV12</stp>
        <stp>CKFR0DJ CMPN Curncy</stp>
        <stp>PX_LAST</stp>
        <stp>[CZK_CURVE.xlsx]CZK_DATA!R9C4</stp>
        <tr r="D9" s="6"/>
      </tp>
      <tp>
        <v>0.255</v>
        <stp/>
        <stp>##V3_BDPV12</stp>
        <stp>CKFR0CI CMPN Curncy</stp>
        <stp>PX_LAST</stp>
        <stp>[CZK_CURVE.xlsx]CZK_DATA!R8C4</stp>
        <tr r="D8" s="6"/>
      </tp>
      <tp>
        <v>0.318</v>
        <stp/>
        <stp>##V3_BDPV12</stp>
        <stp>CKFR0AG CMPN Curncy</stp>
        <stp>PX_LAST</stp>
        <stp>[CZK_CURVE.xlsx]CZK_DATA!R6C4</stp>
        <tr r="D6" s="6"/>
      </tp>
      <tp>
        <v>0.26300000000000001</v>
        <stp/>
        <stp>##V3_BDPV12</stp>
        <stp>CKFR0BH CMPN Curncy</stp>
        <stp>PX_LAST</stp>
        <stp>[CZK_CURVE.xlsx]CZK_DATA!R7C4</stp>
        <tr r="D7" s="6"/>
      </tp>
      <tp>
        <v>0.89500000000000002</v>
        <stp/>
        <stp>##V3_BDPV12</stp>
        <stp>CKSW30 BGN  Curncy</stp>
        <stp>PX_LAST</stp>
        <stp>[CZK_CURVE.xlsx]CZK_DATA!R16C8</stp>
        <tr r="H16" s="6"/>
      </tp>
      <tp>
        <v>0.37</v>
        <stp/>
        <stp>##V3_BDPV12</stp>
        <stp>PRIB06M Index</stp>
        <stp>PX_LAST</stp>
        <stp>[CZK_CURVE.xlsx]CZK_DATA!R3C4</stp>
        <tr r="D3" s="6"/>
      </tp>
      <tp>
        <v>0.72499999999999998</v>
        <stp/>
        <stp>##V3_BDPV12</stp>
        <stp>CKSW15 BGN  Curncy</stp>
        <stp>PX_LAST</stp>
        <stp>[CZK_CURVE.xlsx]CZK_DATA!R14C8</stp>
        <tr r="H14" s="6"/>
      </tp>
      <tp>
        <v>0.79500000000000004</v>
        <stp/>
        <stp>##V3_BDPV12</stp>
        <stp>CKSW20 BGN  Curncy</stp>
        <stp>PX_LAST</stp>
        <stp>[CZK_CURVE.xlsx]CZK_DATA!R15C8</stp>
        <tr r="H15" s="6"/>
      </tp>
      <tp>
        <v>0.6</v>
        <stp/>
        <stp>##V3_BDPV12</stp>
        <stp>CKSW10 BGN  Curncy</stp>
        <stp>PX_LAST</stp>
        <stp>[CZK_CURVE.xlsx]CZK_DATA!R12C8</stp>
        <tr r="H12" s="6"/>
      </tp>
      <tp>
        <v>0.27300000000000002</v>
        <stp/>
        <stp>##V3_BDPV12</stp>
        <stp>CKFR011F CMPN Curncy</stp>
        <stp>PX_LAST</stp>
        <stp>[CZK_CURVE.xlsx]CZK_DATA!R12C4</stp>
        <tr r="D12" s="6"/>
      </tp>
      <tp>
        <v>0.65500000000000003</v>
        <stp/>
        <stp>##V3_BDPV12</stp>
        <stp>CKSW12 BGN  Curncy</stp>
        <stp>PX_LAST</stp>
        <stp>[CZK_CURVE.xlsx]CZK_DATA!R13C8</stp>
        <tr r="H13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CZK_CHART!$C$2</c:f>
              <c:strCache>
                <c:ptCount val="1"/>
                <c:pt idx="0">
                  <c:v>PRB6M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CZK_CHART!$B$3:$B$120</c:f>
              <c:numCache>
                <c:formatCode>d\-mmm\-yy</c:formatCode>
                <c:ptCount val="118"/>
                <c:pt idx="0">
                  <c:v>43964</c:v>
                </c:pt>
                <c:pt idx="1">
                  <c:v>43997</c:v>
                </c:pt>
                <c:pt idx="2">
                  <c:v>44025</c:v>
                </c:pt>
                <c:pt idx="3">
                  <c:v>44056</c:v>
                </c:pt>
                <c:pt idx="4">
                  <c:v>44088</c:v>
                </c:pt>
                <c:pt idx="5">
                  <c:v>44117</c:v>
                </c:pt>
                <c:pt idx="6">
                  <c:v>44148</c:v>
                </c:pt>
                <c:pt idx="7">
                  <c:v>44179</c:v>
                </c:pt>
                <c:pt idx="8">
                  <c:v>44209</c:v>
                </c:pt>
                <c:pt idx="9">
                  <c:v>44242</c:v>
                </c:pt>
                <c:pt idx="10">
                  <c:v>44270</c:v>
                </c:pt>
                <c:pt idx="11">
                  <c:v>44299</c:v>
                </c:pt>
                <c:pt idx="12">
                  <c:v>44329</c:v>
                </c:pt>
                <c:pt idx="13">
                  <c:v>44361</c:v>
                </c:pt>
                <c:pt idx="14">
                  <c:v>44390</c:v>
                </c:pt>
                <c:pt idx="15">
                  <c:v>44421</c:v>
                </c:pt>
                <c:pt idx="16">
                  <c:v>44452</c:v>
                </c:pt>
                <c:pt idx="17">
                  <c:v>44482</c:v>
                </c:pt>
                <c:pt idx="18">
                  <c:v>44515</c:v>
                </c:pt>
                <c:pt idx="19">
                  <c:v>44543</c:v>
                </c:pt>
                <c:pt idx="20">
                  <c:v>44574</c:v>
                </c:pt>
                <c:pt idx="21">
                  <c:v>44606</c:v>
                </c:pt>
                <c:pt idx="22">
                  <c:v>44634</c:v>
                </c:pt>
                <c:pt idx="23">
                  <c:v>44664</c:v>
                </c:pt>
                <c:pt idx="24">
                  <c:v>44694</c:v>
                </c:pt>
                <c:pt idx="25">
                  <c:v>44725</c:v>
                </c:pt>
                <c:pt idx="26">
                  <c:v>44755</c:v>
                </c:pt>
                <c:pt idx="27">
                  <c:v>44788</c:v>
                </c:pt>
                <c:pt idx="28">
                  <c:v>44817</c:v>
                </c:pt>
                <c:pt idx="29">
                  <c:v>44847</c:v>
                </c:pt>
                <c:pt idx="30">
                  <c:v>44879</c:v>
                </c:pt>
                <c:pt idx="31">
                  <c:v>44908</c:v>
                </c:pt>
                <c:pt idx="32">
                  <c:v>44939</c:v>
                </c:pt>
                <c:pt idx="33">
                  <c:v>44970</c:v>
                </c:pt>
                <c:pt idx="34">
                  <c:v>44998</c:v>
                </c:pt>
                <c:pt idx="35">
                  <c:v>45029</c:v>
                </c:pt>
                <c:pt idx="36">
                  <c:v>45061</c:v>
                </c:pt>
                <c:pt idx="37">
                  <c:v>45090</c:v>
                </c:pt>
                <c:pt idx="38">
                  <c:v>45120</c:v>
                </c:pt>
                <c:pt idx="39">
                  <c:v>45152</c:v>
                </c:pt>
                <c:pt idx="40">
                  <c:v>45182</c:v>
                </c:pt>
                <c:pt idx="41">
                  <c:v>45212</c:v>
                </c:pt>
                <c:pt idx="42">
                  <c:v>45243</c:v>
                </c:pt>
                <c:pt idx="43">
                  <c:v>45273</c:v>
                </c:pt>
                <c:pt idx="44">
                  <c:v>45306</c:v>
                </c:pt>
                <c:pt idx="45">
                  <c:v>45335</c:v>
                </c:pt>
                <c:pt idx="46">
                  <c:v>45364</c:v>
                </c:pt>
                <c:pt idx="47">
                  <c:v>45397</c:v>
                </c:pt>
                <c:pt idx="48">
                  <c:v>45425</c:v>
                </c:pt>
                <c:pt idx="49">
                  <c:v>45456</c:v>
                </c:pt>
                <c:pt idx="50">
                  <c:v>45488</c:v>
                </c:pt>
                <c:pt idx="51">
                  <c:v>45517</c:v>
                </c:pt>
                <c:pt idx="52">
                  <c:v>45548</c:v>
                </c:pt>
                <c:pt idx="53">
                  <c:v>45579</c:v>
                </c:pt>
                <c:pt idx="54">
                  <c:v>45609</c:v>
                </c:pt>
                <c:pt idx="55">
                  <c:v>45639</c:v>
                </c:pt>
                <c:pt idx="56">
                  <c:v>45670</c:v>
                </c:pt>
                <c:pt idx="57">
                  <c:v>45701</c:v>
                </c:pt>
                <c:pt idx="58">
                  <c:v>45729</c:v>
                </c:pt>
                <c:pt idx="59">
                  <c:v>45761</c:v>
                </c:pt>
                <c:pt idx="60">
                  <c:v>45790</c:v>
                </c:pt>
                <c:pt idx="61">
                  <c:v>45821</c:v>
                </c:pt>
                <c:pt idx="62">
                  <c:v>45852</c:v>
                </c:pt>
                <c:pt idx="63">
                  <c:v>45882</c:v>
                </c:pt>
                <c:pt idx="64">
                  <c:v>45915</c:v>
                </c:pt>
                <c:pt idx="65">
                  <c:v>45943</c:v>
                </c:pt>
                <c:pt idx="66">
                  <c:v>45974</c:v>
                </c:pt>
                <c:pt idx="67">
                  <c:v>46006</c:v>
                </c:pt>
                <c:pt idx="68">
                  <c:v>46035</c:v>
                </c:pt>
                <c:pt idx="69">
                  <c:v>46066</c:v>
                </c:pt>
                <c:pt idx="70">
                  <c:v>46094</c:v>
                </c:pt>
                <c:pt idx="71">
                  <c:v>46125</c:v>
                </c:pt>
                <c:pt idx="72">
                  <c:v>46155</c:v>
                </c:pt>
                <c:pt idx="73">
                  <c:v>46188</c:v>
                </c:pt>
                <c:pt idx="74">
                  <c:v>46216</c:v>
                </c:pt>
                <c:pt idx="75">
                  <c:v>46247</c:v>
                </c:pt>
                <c:pt idx="76">
                  <c:v>46279</c:v>
                </c:pt>
                <c:pt idx="77">
                  <c:v>46308</c:v>
                </c:pt>
                <c:pt idx="78">
                  <c:v>46339</c:v>
                </c:pt>
                <c:pt idx="79">
                  <c:v>46370</c:v>
                </c:pt>
                <c:pt idx="80">
                  <c:v>46400</c:v>
                </c:pt>
                <c:pt idx="81">
                  <c:v>46433</c:v>
                </c:pt>
                <c:pt idx="82">
                  <c:v>46461</c:v>
                </c:pt>
                <c:pt idx="83">
                  <c:v>46490</c:v>
                </c:pt>
                <c:pt idx="84">
                  <c:v>46520</c:v>
                </c:pt>
                <c:pt idx="85">
                  <c:v>46552</c:v>
                </c:pt>
                <c:pt idx="86">
                  <c:v>46581</c:v>
                </c:pt>
                <c:pt idx="87">
                  <c:v>46612</c:v>
                </c:pt>
                <c:pt idx="88">
                  <c:v>46643</c:v>
                </c:pt>
                <c:pt idx="89">
                  <c:v>46673</c:v>
                </c:pt>
                <c:pt idx="90">
                  <c:v>46706</c:v>
                </c:pt>
                <c:pt idx="91">
                  <c:v>46734</c:v>
                </c:pt>
                <c:pt idx="92">
                  <c:v>46765</c:v>
                </c:pt>
                <c:pt idx="93">
                  <c:v>46797</c:v>
                </c:pt>
                <c:pt idx="94">
                  <c:v>46825</c:v>
                </c:pt>
                <c:pt idx="95">
                  <c:v>46856</c:v>
                </c:pt>
                <c:pt idx="96">
                  <c:v>46888</c:v>
                </c:pt>
                <c:pt idx="97">
                  <c:v>46917</c:v>
                </c:pt>
                <c:pt idx="98">
                  <c:v>46947</c:v>
                </c:pt>
                <c:pt idx="99">
                  <c:v>46979</c:v>
                </c:pt>
                <c:pt idx="100">
                  <c:v>47009</c:v>
                </c:pt>
                <c:pt idx="101">
                  <c:v>47039</c:v>
                </c:pt>
                <c:pt idx="102">
                  <c:v>47070</c:v>
                </c:pt>
                <c:pt idx="103">
                  <c:v>47100</c:v>
                </c:pt>
                <c:pt idx="104">
                  <c:v>47133</c:v>
                </c:pt>
                <c:pt idx="105">
                  <c:v>47162</c:v>
                </c:pt>
                <c:pt idx="106">
                  <c:v>47190</c:v>
                </c:pt>
                <c:pt idx="107">
                  <c:v>47221</c:v>
                </c:pt>
                <c:pt idx="108">
                  <c:v>47252</c:v>
                </c:pt>
                <c:pt idx="109">
                  <c:v>47282</c:v>
                </c:pt>
                <c:pt idx="110">
                  <c:v>47312</c:v>
                </c:pt>
                <c:pt idx="111">
                  <c:v>47343</c:v>
                </c:pt>
                <c:pt idx="112">
                  <c:v>47374</c:v>
                </c:pt>
                <c:pt idx="113">
                  <c:v>47406</c:v>
                </c:pt>
                <c:pt idx="114">
                  <c:v>47435</c:v>
                </c:pt>
                <c:pt idx="115">
                  <c:v>47465</c:v>
                </c:pt>
                <c:pt idx="116">
                  <c:v>47497</c:v>
                </c:pt>
                <c:pt idx="117">
                  <c:v>47527</c:v>
                </c:pt>
              </c:numCache>
            </c:numRef>
          </c:cat>
          <c:val>
            <c:numRef>
              <c:f>CZK_CHART!$C$3:$C$120</c:f>
              <c:numCache>
                <c:formatCode>0.00000%</c:formatCode>
                <c:ptCount val="118"/>
                <c:pt idx="0">
                  <c:v>3.7000756466540165E-3</c:v>
                </c:pt>
                <c:pt idx="1">
                  <c:v>3.1800000000000001E-3</c:v>
                </c:pt>
                <c:pt idx="2">
                  <c:v>2.6666666666666666E-3</c:v>
                </c:pt>
                <c:pt idx="3">
                  <c:v>2.5596969696969696E-3</c:v>
                </c:pt>
                <c:pt idx="4">
                  <c:v>2.3086206896551723E-3</c:v>
                </c:pt>
                <c:pt idx="5">
                  <c:v>2.3466666666666666E-3</c:v>
                </c:pt>
                <c:pt idx="6">
                  <c:v>2.2715304163695893E-3</c:v>
                </c:pt>
                <c:pt idx="7">
                  <c:v>2.3544257412822342E-3</c:v>
                </c:pt>
                <c:pt idx="8">
                  <c:v>2.4519395284752607E-3</c:v>
                </c:pt>
                <c:pt idx="9">
                  <c:v>2.5592046943875902E-3</c:v>
                </c:pt>
                <c:pt idx="10">
                  <c:v>2.6502175624344153E-3</c:v>
                </c:pt>
                <c:pt idx="11">
                  <c:v>2.7444808900543411E-3</c:v>
                </c:pt>
                <c:pt idx="12">
                  <c:v>2.8419946772473676E-3</c:v>
                </c:pt>
                <c:pt idx="13">
                  <c:v>2.9155650275292586E-3</c:v>
                </c:pt>
                <c:pt idx="14">
                  <c:v>2.9825147457414884E-3</c:v>
                </c:pt>
                <c:pt idx="15">
                  <c:v>3.0601341528041521E-3</c:v>
                </c:pt>
                <c:pt idx="16">
                  <c:v>3.1472975654831124E-3</c:v>
                </c:pt>
                <c:pt idx="17">
                  <c:v>3.2439031588927174E-3</c:v>
                </c:pt>
                <c:pt idx="18">
                  <c:v>3.3677663823523094E-3</c:v>
                </c:pt>
                <c:pt idx="19">
                  <c:v>3.4891203080094566E-3</c:v>
                </c:pt>
                <c:pt idx="20">
                  <c:v>3.63711648955788E-3</c:v>
                </c:pt>
                <c:pt idx="21">
                  <c:v>3.7989912285852473E-3</c:v>
                </c:pt>
                <c:pt idx="22">
                  <c:v>3.9432769113196698E-3</c:v>
                </c:pt>
                <c:pt idx="23">
                  <c:v>4.0955464407824533E-3</c:v>
                </c:pt>
                <c:pt idx="24">
                  <c:v>4.240293400027904E-3</c:v>
                </c:pt>
                <c:pt idx="25">
                  <c:v>4.3771622252439029E-3</c:v>
                </c:pt>
                <c:pt idx="26">
                  <c:v>4.4964773262386477E-3</c:v>
                </c:pt>
                <c:pt idx="27">
                  <c:v>4.6132658123529281E-3</c:v>
                </c:pt>
                <c:pt idx="28">
                  <c:v>4.7037913338261019E-3</c:v>
                </c:pt>
                <c:pt idx="29">
                  <c:v>4.7859111566561771E-3</c:v>
                </c:pt>
                <c:pt idx="30">
                  <c:v>4.8610181598850557E-3</c:v>
                </c:pt>
                <c:pt idx="31">
                  <c:v>4.9186909525362858E-3</c:v>
                </c:pt>
                <c:pt idx="32">
                  <c:v>4.9718596614221648E-3</c:v>
                </c:pt>
                <c:pt idx="33">
                  <c:v>5.0192285082957221E-3</c:v>
                </c:pt>
                <c:pt idx="34">
                  <c:v>5.0595481105493896E-3</c:v>
                </c:pt>
                <c:pt idx="35">
                  <c:v>5.1042483192440986E-3</c:v>
                </c:pt>
                <c:pt idx="36">
                  <c:v>5.1535666727991316E-3</c:v>
                </c:pt>
                <c:pt idx="37">
                  <c:v>5.2034118962288852E-3</c:v>
                </c:pt>
                <c:pt idx="38">
                  <c:v>5.2607319744880972E-3</c:v>
                </c:pt>
                <c:pt idx="39">
                  <c:v>5.3284615582335484E-3</c:v>
                </c:pt>
                <c:pt idx="40">
                  <c:v>5.3982635242511663E-3</c:v>
                </c:pt>
                <c:pt idx="41">
                  <c:v>5.4742924799562383E-3</c:v>
                </c:pt>
                <c:pt idx="42">
                  <c:v>5.5595273324257994E-3</c:v>
                </c:pt>
                <c:pt idx="43">
                  <c:v>5.6480664982378383E-3</c:v>
                </c:pt>
                <c:pt idx="44">
                  <c:v>5.749032453840436E-3</c:v>
                </c:pt>
                <c:pt idx="45">
                  <c:v>5.8373925811652135E-3</c:v>
                </c:pt>
                <c:pt idx="46">
                  <c:v>5.9222096009060674E-3</c:v>
                </c:pt>
                <c:pt idx="47">
                  <c:v>6.0105240082631E-3</c:v>
                </c:pt>
                <c:pt idx="48">
                  <c:v>6.0753977840157097E-3</c:v>
                </c:pt>
                <c:pt idx="49">
                  <c:v>6.1335105571387778E-3</c:v>
                </c:pt>
                <c:pt idx="50">
                  <c:v>6.1778380819227418E-3</c:v>
                </c:pt>
                <c:pt idx="51">
                  <c:v>6.2043489922755423E-3</c:v>
                </c:pt>
                <c:pt idx="52">
                  <c:v>6.218409048107232E-3</c:v>
                </c:pt>
                <c:pt idx="53">
                  <c:v>6.2178002575706678E-3</c:v>
                </c:pt>
                <c:pt idx="54">
                  <c:v>6.2033275010956899E-3</c:v>
                </c:pt>
                <c:pt idx="55">
                  <c:v>6.1759823755506288E-3</c:v>
                </c:pt>
                <c:pt idx="56">
                  <c:v>6.1383444600143873E-3</c:v>
                </c:pt>
                <c:pt idx="57">
                  <c:v>6.0963540735038072E-3</c:v>
                </c:pt>
                <c:pt idx="58">
                  <c:v>6.0590439790638856E-3</c:v>
                </c:pt>
                <c:pt idx="59">
                  <c:v>6.0222415935102802E-3</c:v>
                </c:pt>
                <c:pt idx="60">
                  <c:v>5.9988825705726027E-3</c:v>
                </c:pt>
                <c:pt idx="61">
                  <c:v>5.9886717118108864E-3</c:v>
                </c:pt>
                <c:pt idx="62">
                  <c:v>5.9947355590123583E-3</c:v>
                </c:pt>
                <c:pt idx="63">
                  <c:v>6.0162730738096233E-3</c:v>
                </c:pt>
                <c:pt idx="64">
                  <c:v>6.057967127597764E-3</c:v>
                </c:pt>
                <c:pt idx="65">
                  <c:v>6.1082942987517735E-3</c:v>
                </c:pt>
                <c:pt idx="66">
                  <c:v>6.180196663509439E-3</c:v>
                </c:pt>
                <c:pt idx="67">
                  <c:v>6.2718535183546873E-3</c:v>
                </c:pt>
                <c:pt idx="68">
                  <c:v>6.3677415216960905E-3</c:v>
                </c:pt>
                <c:pt idx="69">
                  <c:v>6.4805042039452147E-3</c:v>
                </c:pt>
                <c:pt idx="70">
                  <c:v>6.5887312926309043E-3</c:v>
                </c:pt>
                <c:pt idx="71">
                  <c:v>6.7125149126641727E-3</c:v>
                </c:pt>
                <c:pt idx="72">
                  <c:v>6.8332018179452893E-3</c:v>
                </c:pt>
                <c:pt idx="73">
                  <c:v>6.9639722643428164E-3</c:v>
                </c:pt>
                <c:pt idx="74">
                  <c:v>7.0730235311017428E-3</c:v>
                </c:pt>
                <c:pt idx="75">
                  <c:v>7.1920225292782516E-3</c:v>
                </c:pt>
                <c:pt idx="76">
                  <c:v>7.3132779506050261E-3</c:v>
                </c:pt>
                <c:pt idx="77">
                  <c:v>7.422071453176627E-3</c:v>
                </c:pt>
                <c:pt idx="78">
                  <c:v>7.5375267508577615E-3</c:v>
                </c:pt>
                <c:pt idx="79">
                  <c:v>7.6520255445464416E-3</c:v>
                </c:pt>
                <c:pt idx="80">
                  <c:v>7.7598168297298934E-3</c:v>
                </c:pt>
                <c:pt idx="81">
                  <c:v>7.8717256798751471E-3</c:v>
                </c:pt>
                <c:pt idx="82">
                  <c:v>7.9586305612964012E-3</c:v>
                </c:pt>
                <c:pt idx="83">
                  <c:v>8.0383852992912761E-3</c:v>
                </c:pt>
                <c:pt idx="84">
                  <c:v>8.1073590806400534E-3</c:v>
                </c:pt>
                <c:pt idx="85">
                  <c:v>8.1632887278443381E-3</c:v>
                </c:pt>
                <c:pt idx="86">
                  <c:v>8.1978753084012111E-3</c:v>
                </c:pt>
                <c:pt idx="87">
                  <c:v>8.2180486700654688E-3</c:v>
                </c:pt>
                <c:pt idx="88">
                  <c:v>8.2209958097244785E-3</c:v>
                </c:pt>
                <c:pt idx="89">
                  <c:v>8.207573505047203E-3</c:v>
                </c:pt>
                <c:pt idx="90">
                  <c:v>8.1744679571136326E-3</c:v>
                </c:pt>
                <c:pt idx="91">
                  <c:v>8.1321493845512762E-3</c:v>
                </c:pt>
                <c:pt idx="92">
                  <c:v>8.0746442490835599E-3</c:v>
                </c:pt>
                <c:pt idx="93">
                  <c:v>8.0097110561277232E-3</c:v>
                </c:pt>
                <c:pt idx="94">
                  <c:v>7.9533907173384693E-3</c:v>
                </c:pt>
                <c:pt idx="95">
                  <c:v>7.8971725921650245E-3</c:v>
                </c:pt>
                <c:pt idx="96">
                  <c:v>7.8520734234887174E-3</c:v>
                </c:pt>
                <c:pt idx="97">
                  <c:v>7.8272163623573938E-3</c:v>
                </c:pt>
                <c:pt idx="98">
                  <c:v>7.818599376172122E-3</c:v>
                </c:pt>
                <c:pt idx="99">
                  <c:v>7.8286754033873255E-3</c:v>
                </c:pt>
                <c:pt idx="100">
                  <c:v>7.8562827000032594E-3</c:v>
                </c:pt>
                <c:pt idx="101">
                  <c:v>7.9015597842035587E-3</c:v>
                </c:pt>
                <c:pt idx="102">
                  <c:v>7.9670075064694045E-3</c:v>
                </c:pt>
                <c:pt idx="103">
                  <c:v>8.0478015065597562E-3</c:v>
                </c:pt>
                <c:pt idx="104">
                  <c:v>8.152063485188649E-3</c:v>
                </c:pt>
                <c:pt idx="105">
                  <c:v>8.2523630506534211E-3</c:v>
                </c:pt>
                <c:pt idx="106">
                  <c:v>8.3528814323406871E-3</c:v>
                </c:pt>
                <c:pt idx="107">
                  <c:v>8.4638756994031145E-3</c:v>
                </c:pt>
                <c:pt idx="108">
                  <c:v>8.5697159475514959E-3</c:v>
                </c:pt>
                <c:pt idx="109">
                  <c:v>8.6633040684673691E-3</c:v>
                </c:pt>
                <c:pt idx="110">
                  <c:v>8.7475495824526003E-3</c:v>
                </c:pt>
                <c:pt idx="111">
                  <c:v>8.8249722188001121E-3</c:v>
                </c:pt>
                <c:pt idx="112">
                  <c:v>8.8927948414646019E-3</c:v>
                </c:pt>
                <c:pt idx="113">
                  <c:v>8.9529382478008446E-3</c:v>
                </c:pt>
                <c:pt idx="114">
                  <c:v>8.998958969448221E-3</c:v>
                </c:pt>
                <c:pt idx="115">
                  <c:v>9.0384524595275954E-3</c:v>
                </c:pt>
                <c:pt idx="116">
                  <c:v>9.0729174219654329E-3</c:v>
                </c:pt>
                <c:pt idx="117">
                  <c:v>9.0996513446786192E-3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B9-4C4E-98F1-3D061DAB7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8636464"/>
        <c:axId val="2038631472"/>
      </c:lineChart>
      <c:dateAx>
        <c:axId val="203863646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5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631472"/>
        <c:crosses val="autoZero"/>
        <c:auto val="1"/>
        <c:lblOffset val="100"/>
        <c:baseTimeUnit val="months"/>
      </c:dateAx>
      <c:valAx>
        <c:axId val="203863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63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PricingTools\CurveCalibrationTool\CurveCalibrationTool-13.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Curve Dependencies"/>
      <sheetName val="FX Forward Invariance"/>
      <sheetName val="Non-Standard CSA Curves"/>
      <sheetName val="MKT DATA USD"/>
      <sheetName val="USD OIS"/>
      <sheetName val="USD SWAP 3ML"/>
      <sheetName val="USD BASIS 6ML"/>
      <sheetName val="USD BASIS 1ML"/>
      <sheetName val="USD BASIS 12ML"/>
      <sheetName val="USD CSA CURVES"/>
      <sheetName val="USD FORWARDS"/>
      <sheetName val="USD DISC FACTORS"/>
      <sheetName val="USD SWAPS"/>
      <sheetName val="MKT DATA GBP"/>
      <sheetName val="GBP OIS"/>
      <sheetName val="GBP SWAP 3ML"/>
      <sheetName val="GBP BASIS 6ML"/>
      <sheetName val="GBP BASIS 1ML"/>
      <sheetName val="GBP BASIS 12ML"/>
      <sheetName val="GBP XCCY BASIS"/>
      <sheetName val="GBP CSA CURVES"/>
      <sheetName val="GBP FORWARDS"/>
      <sheetName val="GBP DISC FACTORS"/>
      <sheetName val="GBP SWAPS"/>
      <sheetName val="MKT DATA EUR"/>
      <sheetName val="EUR OIS"/>
      <sheetName val="EUR SWAP 3ML"/>
      <sheetName val="EUR SWAP 6ML"/>
      <sheetName val="EUR BASIS 1ML"/>
      <sheetName val="EUR BASIS 12ML"/>
      <sheetName val="EUR XCCY BASIS"/>
      <sheetName val="EUR CSA CURVES"/>
      <sheetName val="EUR FORWARDS"/>
      <sheetName val="EUR DISC FACTORS"/>
      <sheetName val="EUR SWAPS"/>
      <sheetName val="MKT DATA AUD"/>
      <sheetName val="AUD OIS"/>
      <sheetName val="AUD SWAP 3ML"/>
      <sheetName val="AUD SWAP 6ML"/>
      <sheetName val="AUD XCCY BASIS"/>
      <sheetName val="AUD CSA CURVES"/>
      <sheetName val="AUD FORWARDS"/>
      <sheetName val="AUD DISC FACTORS"/>
      <sheetName val="AUD SWAPS"/>
      <sheetName val="MKT DATA JPY"/>
      <sheetName val="JPY OIS JSCC"/>
      <sheetName val="JPY SWAP 6ML JSCC"/>
      <sheetName val="JPY BASIS 3ML JSCC"/>
      <sheetName val="JPY BASIS 1ML JSCC"/>
      <sheetName val="JPY FORWARDS JSCC"/>
      <sheetName val="JPY SWAPS JSCC"/>
      <sheetName val="JPY OIS LCH"/>
      <sheetName val="JPY SWAP 6ML LCH"/>
      <sheetName val="JPY BASIS 3ML LCH"/>
      <sheetName val="JPY BASIS 1ML LCH"/>
      <sheetName val="JPY XCCY BASIS LCH"/>
      <sheetName val="JPY CSA CURVES LCH"/>
      <sheetName val="JPY FORWARDS LCH"/>
      <sheetName val="JPY DISC FACTORS"/>
      <sheetName val="JPY SWAPS LCH"/>
      <sheetName val="JPY OIS TIBOR"/>
      <sheetName val="JPY BASIS 6ML TIBOR"/>
      <sheetName val="JPY BASIS 3ML TIBOR"/>
      <sheetName val="JPY BASIS 1ML TIBOR"/>
      <sheetName val="JPY FORWARDS TIBOR"/>
      <sheetName val="JPY SWAPS TIBOR"/>
    </sheetNames>
    <sheetDataSet>
      <sheetData sheetId="0">
        <row r="4">
          <cell r="C4">
            <v>43864</v>
          </cell>
          <cell r="K4" t="b">
            <v>0</v>
          </cell>
          <cell r="M4" t="b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rgb="FFFFFFCC"/>
  </sheetPr>
  <dimension ref="B3:AB142"/>
  <sheetViews>
    <sheetView showGridLines="0" topLeftCell="A16" workbookViewId="0">
      <selection activeCell="I27" sqref="I27"/>
    </sheetView>
  </sheetViews>
  <sheetFormatPr defaultRowHeight="15" x14ac:dyDescent="0.25"/>
  <cols>
    <col min="1" max="2" width="2.7109375" customWidth="1"/>
    <col min="3" max="4" width="40.7109375" customWidth="1"/>
    <col min="5" max="5" width="2.7109375" customWidth="1"/>
    <col min="7" max="7" width="2.7109375" customWidth="1"/>
    <col min="8" max="8" width="30.7109375" customWidth="1"/>
    <col min="9" max="9" width="41" bestFit="1" customWidth="1"/>
    <col min="10" max="10" width="2.7109375" customWidth="1"/>
    <col min="11" max="12" width="10.7109375" customWidth="1"/>
    <col min="13" max="13" width="2.7109375" customWidth="1"/>
    <col min="14" max="14" width="10.7109375" customWidth="1"/>
    <col min="15" max="15" width="15.7109375" customWidth="1"/>
    <col min="16" max="16" width="10.7109375" customWidth="1"/>
    <col min="17" max="17" width="2.7109375" customWidth="1"/>
    <col min="18" max="18" width="10.7109375" customWidth="1"/>
    <col min="19" max="19" width="12.7109375" customWidth="1"/>
    <col min="20" max="20" width="10.7109375" customWidth="1"/>
    <col min="21" max="21" width="5.7109375" style="65" customWidth="1"/>
    <col min="22" max="22" width="10.7109375" customWidth="1"/>
    <col min="23" max="23" width="12.7109375" customWidth="1"/>
    <col min="24" max="24" width="10.7109375" customWidth="1"/>
    <col min="25" max="25" width="2.7109375" customWidth="1"/>
    <col min="27" max="27" width="9.85546875" bestFit="1" customWidth="1"/>
  </cols>
  <sheetData>
    <row r="3" spans="2:28" x14ac:dyDescent="0.25">
      <c r="B3" s="1"/>
      <c r="C3" s="2"/>
      <c r="D3" s="2"/>
      <c r="E3" s="3"/>
      <c r="G3" s="66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8"/>
      <c r="V3" s="67"/>
      <c r="W3" s="67"/>
      <c r="X3" s="67"/>
      <c r="Y3" s="69"/>
    </row>
    <row r="4" spans="2:28" x14ac:dyDescent="0.25">
      <c r="B4" s="4"/>
      <c r="C4" s="8" t="s">
        <v>1</v>
      </c>
      <c r="D4" s="6"/>
      <c r="E4" s="7"/>
      <c r="G4" s="70"/>
      <c r="H4" s="10" t="s">
        <v>2</v>
      </c>
      <c r="I4" s="11"/>
      <c r="J4" s="6"/>
      <c r="K4" s="10" t="s">
        <v>47</v>
      </c>
      <c r="L4" s="11"/>
      <c r="M4" s="6"/>
      <c r="N4" s="10" t="s">
        <v>119</v>
      </c>
      <c r="O4" s="71"/>
      <c r="P4" s="11"/>
      <c r="Q4" s="6"/>
      <c r="R4" s="10" t="s">
        <v>3</v>
      </c>
      <c r="S4" s="6"/>
      <c r="T4" s="6"/>
      <c r="U4" s="72"/>
      <c r="V4" s="10" t="s">
        <v>48</v>
      </c>
      <c r="W4" s="6"/>
      <c r="X4" s="6"/>
      <c r="Y4" s="73"/>
    </row>
    <row r="5" spans="2:28" x14ac:dyDescent="0.25">
      <c r="B5" s="4"/>
      <c r="C5" s="5" t="s">
        <v>0</v>
      </c>
      <c r="D5" s="12" t="b">
        <v>1</v>
      </c>
      <c r="E5" s="7"/>
      <c r="G5" s="70"/>
      <c r="H5" s="74" t="s">
        <v>9</v>
      </c>
      <c r="I5" s="75" t="s">
        <v>115</v>
      </c>
      <c r="J5" s="6" t="s">
        <v>4</v>
      </c>
      <c r="K5" s="9" t="s">
        <v>5</v>
      </c>
      <c r="L5" s="9" t="s">
        <v>6</v>
      </c>
      <c r="M5" s="37"/>
      <c r="N5" s="76" t="s">
        <v>5</v>
      </c>
      <c r="O5" s="76" t="s">
        <v>6</v>
      </c>
      <c r="P5" s="76" t="s">
        <v>7</v>
      </c>
      <c r="Q5" s="37"/>
      <c r="R5" s="77" t="s">
        <v>5</v>
      </c>
      <c r="S5" s="9" t="s">
        <v>6</v>
      </c>
      <c r="T5" s="9" t="s">
        <v>7</v>
      </c>
      <c r="U5" s="78"/>
      <c r="V5" s="77" t="s">
        <v>5</v>
      </c>
      <c r="W5" s="77" t="s">
        <v>6</v>
      </c>
      <c r="X5" s="77" t="s">
        <v>7</v>
      </c>
      <c r="Y5" s="73"/>
    </row>
    <row r="6" spans="2:28" x14ac:dyDescent="0.25">
      <c r="B6" s="4"/>
      <c r="C6" s="13" t="s">
        <v>8</v>
      </c>
      <c r="D6" s="14" t="s">
        <v>114</v>
      </c>
      <c r="E6" s="7"/>
      <c r="G6" s="70"/>
      <c r="H6" s="79" t="s">
        <v>11</v>
      </c>
      <c r="I6" s="80" t="s">
        <v>49</v>
      </c>
      <c r="J6" s="6" t="s">
        <v>4</v>
      </c>
      <c r="K6" s="15" t="s">
        <v>104</v>
      </c>
      <c r="L6" s="16">
        <v>8.5500000000000003E-3</v>
      </c>
      <c r="M6" s="6"/>
      <c r="N6" s="81" t="s">
        <v>142</v>
      </c>
      <c r="O6" s="130">
        <f t="shared" ref="O6:O10" si="0">S6</f>
        <v>6.1374999999999997E-3</v>
      </c>
      <c r="P6" s="82" t="b">
        <v>1</v>
      </c>
      <c r="Q6" s="6"/>
      <c r="R6" s="127" t="s">
        <v>141</v>
      </c>
      <c r="S6" s="128">
        <v>6.1374999999999997E-3</v>
      </c>
      <c r="T6" s="129" t="b">
        <v>1</v>
      </c>
      <c r="U6" s="78" t="s">
        <v>104</v>
      </c>
      <c r="V6" s="127" t="s">
        <v>141</v>
      </c>
      <c r="W6" s="128">
        <v>1.0874999999999999E-3</v>
      </c>
      <c r="X6" s="129" t="s">
        <v>38</v>
      </c>
      <c r="Y6" s="73"/>
      <c r="AA6" s="83"/>
      <c r="AB6" s="83"/>
    </row>
    <row r="7" spans="2:28" x14ac:dyDescent="0.25">
      <c r="B7" s="4"/>
      <c r="C7" s="13" t="s">
        <v>10</v>
      </c>
      <c r="D7" s="17" t="s">
        <v>151</v>
      </c>
      <c r="E7" s="7"/>
      <c r="G7" s="70"/>
      <c r="H7" s="79" t="s">
        <v>13</v>
      </c>
      <c r="I7" s="80" t="s">
        <v>72</v>
      </c>
      <c r="J7" s="6" t="s">
        <v>4</v>
      </c>
      <c r="K7" s="19" t="s">
        <v>50</v>
      </c>
      <c r="L7" s="21">
        <v>8.8000000000000005E-3</v>
      </c>
      <c r="M7" s="6"/>
      <c r="N7" s="84" t="s">
        <v>143</v>
      </c>
      <c r="O7" s="131">
        <f t="shared" si="0"/>
        <v>6.1999999999999998E-3</v>
      </c>
      <c r="P7" s="85" t="b">
        <v>1</v>
      </c>
      <c r="Q7" s="6"/>
      <c r="R7" s="19" t="s">
        <v>120</v>
      </c>
      <c r="S7" s="20">
        <v>6.1999999999999998E-3</v>
      </c>
      <c r="T7" s="86" t="b">
        <v>1</v>
      </c>
      <c r="U7" s="78" t="s">
        <v>50</v>
      </c>
      <c r="V7" s="19" t="s">
        <v>120</v>
      </c>
      <c r="W7" s="20">
        <v>1.0124999999999999E-3</v>
      </c>
      <c r="X7" s="86" t="s">
        <v>38</v>
      </c>
      <c r="Y7" s="73"/>
    </row>
    <row r="8" spans="2:28" x14ac:dyDescent="0.25">
      <c r="B8" s="4"/>
      <c r="C8" s="24" t="s">
        <v>12</v>
      </c>
      <c r="D8" s="25"/>
      <c r="E8" s="7" t="s">
        <v>4</v>
      </c>
      <c r="G8" s="70"/>
      <c r="H8" s="79" t="s">
        <v>15</v>
      </c>
      <c r="I8" s="87">
        <v>43864</v>
      </c>
      <c r="J8" s="6" t="s">
        <v>4</v>
      </c>
      <c r="K8" s="19"/>
      <c r="L8" s="21"/>
      <c r="M8" s="6"/>
      <c r="N8" s="84" t="s">
        <v>144</v>
      </c>
      <c r="O8" s="132">
        <f t="shared" si="0"/>
        <v>6.2624999999999998E-3</v>
      </c>
      <c r="P8" s="89" t="b">
        <v>1</v>
      </c>
      <c r="Q8" s="6"/>
      <c r="R8" s="19" t="s">
        <v>43</v>
      </c>
      <c r="S8" s="20">
        <v>6.2624999999999998E-3</v>
      </c>
      <c r="T8" s="86" t="b">
        <v>1</v>
      </c>
      <c r="U8" s="78" t="s">
        <v>50</v>
      </c>
      <c r="V8" s="19" t="s">
        <v>43</v>
      </c>
      <c r="W8" s="20">
        <v>9.3749999999999997E-4</v>
      </c>
      <c r="X8" s="86" t="s">
        <v>38</v>
      </c>
      <c r="Y8" s="73"/>
    </row>
    <row r="9" spans="2:28" x14ac:dyDescent="0.25">
      <c r="B9" s="4"/>
      <c r="C9" s="6"/>
      <c r="D9" s="6"/>
      <c r="E9" s="7"/>
      <c r="G9" s="70"/>
      <c r="H9" s="13"/>
      <c r="I9" s="90"/>
      <c r="J9" s="6" t="s">
        <v>4</v>
      </c>
      <c r="K9" s="19"/>
      <c r="L9" s="21"/>
      <c r="M9" s="6"/>
      <c r="N9" s="84" t="s">
        <v>145</v>
      </c>
      <c r="O9" s="132">
        <f t="shared" si="0"/>
        <v>7.4999999999999997E-3</v>
      </c>
      <c r="P9" s="89" t="b">
        <v>1</v>
      </c>
      <c r="Q9" s="6"/>
      <c r="R9" s="19" t="s">
        <v>121</v>
      </c>
      <c r="S9" s="20">
        <v>7.4999999999999997E-3</v>
      </c>
      <c r="T9" s="86" t="b">
        <v>1</v>
      </c>
      <c r="U9" s="78" t="s">
        <v>50</v>
      </c>
      <c r="V9" s="19" t="s">
        <v>121</v>
      </c>
      <c r="W9" s="20">
        <v>8.8750000000000005E-4</v>
      </c>
      <c r="X9" s="86" t="s">
        <v>38</v>
      </c>
      <c r="Y9" s="73"/>
    </row>
    <row r="10" spans="2:28" x14ac:dyDescent="0.25">
      <c r="B10" s="4"/>
      <c r="C10" s="6"/>
      <c r="D10" s="6"/>
      <c r="E10" s="7"/>
      <c r="G10" s="70"/>
      <c r="H10" s="24"/>
      <c r="I10" s="91"/>
      <c r="J10" s="6" t="s">
        <v>4</v>
      </c>
      <c r="K10" s="92"/>
      <c r="L10" s="59"/>
      <c r="M10" s="6"/>
      <c r="N10" s="84" t="s">
        <v>146</v>
      </c>
      <c r="O10" s="132">
        <f t="shared" si="0"/>
        <v>7.9749999999999995E-3</v>
      </c>
      <c r="P10" s="89" t="b">
        <v>1</v>
      </c>
      <c r="Q10" s="6"/>
      <c r="R10" s="19" t="s">
        <v>122</v>
      </c>
      <c r="S10" s="20">
        <v>7.9749999999999995E-3</v>
      </c>
      <c r="T10" s="86" t="b">
        <v>1</v>
      </c>
      <c r="U10" s="78" t="s">
        <v>50</v>
      </c>
      <c r="V10" s="19" t="s">
        <v>122</v>
      </c>
      <c r="W10" s="20">
        <v>8.3750000000000003E-4</v>
      </c>
      <c r="X10" s="86" t="s">
        <v>38</v>
      </c>
      <c r="Y10" s="73"/>
    </row>
    <row r="11" spans="2:28" x14ac:dyDescent="0.25">
      <c r="B11" s="4"/>
      <c r="C11" s="10" t="s">
        <v>16</v>
      </c>
      <c r="D11" s="11"/>
      <c r="E11" s="7"/>
      <c r="G11" s="70"/>
      <c r="H11" s="6"/>
      <c r="I11" s="6"/>
      <c r="J11" s="6" t="s">
        <v>4</v>
      </c>
      <c r="K11" s="6"/>
      <c r="L11" s="6"/>
      <c r="M11" s="6"/>
      <c r="N11" s="84"/>
      <c r="O11" s="88"/>
      <c r="P11" s="89"/>
      <c r="Q11" s="6"/>
      <c r="R11" s="19" t="s">
        <v>123</v>
      </c>
      <c r="S11" s="20">
        <v>8.575000000000001E-3</v>
      </c>
      <c r="T11" s="86" t="s">
        <v>38</v>
      </c>
      <c r="U11" s="93" t="s">
        <v>50</v>
      </c>
      <c r="V11" s="19" t="s">
        <v>123</v>
      </c>
      <c r="W11" s="20">
        <v>7.8750000000000001E-4</v>
      </c>
      <c r="X11" s="86" t="s">
        <v>38</v>
      </c>
      <c r="Y11" s="73"/>
    </row>
    <row r="12" spans="2:28" x14ac:dyDescent="0.25">
      <c r="B12" s="4"/>
      <c r="C12" s="74" t="s">
        <v>11</v>
      </c>
      <c r="D12" s="23" t="s">
        <v>49</v>
      </c>
      <c r="E12" s="7"/>
      <c r="G12" s="70"/>
      <c r="H12" s="34" t="s">
        <v>17</v>
      </c>
      <c r="I12" s="9"/>
      <c r="J12" s="6" t="s">
        <v>4</v>
      </c>
      <c r="K12" s="6"/>
      <c r="L12" s="6"/>
      <c r="M12" s="6"/>
      <c r="N12" s="84"/>
      <c r="O12" s="88"/>
      <c r="P12" s="89"/>
      <c r="Q12" s="6"/>
      <c r="R12" s="19" t="s">
        <v>124</v>
      </c>
      <c r="S12" s="20">
        <v>9.1874999999999995E-3</v>
      </c>
      <c r="T12" s="86" t="s">
        <v>38</v>
      </c>
      <c r="U12" s="93" t="s">
        <v>50</v>
      </c>
      <c r="V12" s="19" t="s">
        <v>124</v>
      </c>
      <c r="W12" s="20">
        <v>7.6250000000000005E-4</v>
      </c>
      <c r="X12" s="86" t="s">
        <v>38</v>
      </c>
      <c r="Y12" s="73"/>
    </row>
    <row r="13" spans="2:28" x14ac:dyDescent="0.25">
      <c r="B13" s="4"/>
      <c r="C13" s="79" t="s">
        <v>13</v>
      </c>
      <c r="D13" s="33" t="s">
        <v>46</v>
      </c>
      <c r="E13" s="7"/>
      <c r="G13" s="70"/>
      <c r="H13" s="5" t="s">
        <v>18</v>
      </c>
      <c r="I13" s="35" t="s">
        <v>116</v>
      </c>
      <c r="J13" s="6" t="s">
        <v>4</v>
      </c>
      <c r="K13" s="6"/>
      <c r="L13" s="6"/>
      <c r="M13" s="6"/>
      <c r="N13" s="84"/>
      <c r="O13" s="88"/>
      <c r="P13" s="89"/>
      <c r="Q13" s="6"/>
      <c r="R13" s="19" t="s">
        <v>125</v>
      </c>
      <c r="S13" s="20">
        <v>9.7874999999999993E-3</v>
      </c>
      <c r="T13" s="86" t="s">
        <v>38</v>
      </c>
      <c r="U13" s="93" t="s">
        <v>50</v>
      </c>
      <c r="V13" s="19" t="s">
        <v>125</v>
      </c>
      <c r="W13" s="20">
        <v>7.2499999999999995E-4</v>
      </c>
      <c r="X13" s="86" t="s">
        <v>38</v>
      </c>
      <c r="Y13" s="73"/>
    </row>
    <row r="14" spans="2:28" x14ac:dyDescent="0.25">
      <c r="B14" s="4"/>
      <c r="C14" s="79" t="s">
        <v>14</v>
      </c>
      <c r="D14" s="33" t="s">
        <v>51</v>
      </c>
      <c r="E14" s="7" t="s">
        <v>4</v>
      </c>
      <c r="G14" s="70"/>
      <c r="H14" s="24" t="s">
        <v>20</v>
      </c>
      <c r="I14" s="36" t="s">
        <v>152</v>
      </c>
      <c r="J14" s="6" t="s">
        <v>4</v>
      </c>
      <c r="K14" s="6"/>
      <c r="L14" s="6"/>
      <c r="M14" s="6"/>
      <c r="N14" s="84"/>
      <c r="O14" s="88"/>
      <c r="P14" s="89"/>
      <c r="Q14" s="6"/>
      <c r="R14" s="19" t="s">
        <v>126</v>
      </c>
      <c r="S14" s="20">
        <v>1.0375000000000001E-2</v>
      </c>
      <c r="T14" s="86" t="s">
        <v>38</v>
      </c>
      <c r="U14" s="93" t="s">
        <v>50</v>
      </c>
      <c r="V14" s="19" t="s">
        <v>126</v>
      </c>
      <c r="W14" s="20">
        <v>6.8749999999999996E-4</v>
      </c>
      <c r="X14" s="86" t="s">
        <v>38</v>
      </c>
      <c r="Y14" s="73"/>
    </row>
    <row r="15" spans="2:28" x14ac:dyDescent="0.25">
      <c r="B15" s="4"/>
      <c r="C15" s="79" t="s">
        <v>19</v>
      </c>
      <c r="D15" s="33" t="s">
        <v>148</v>
      </c>
      <c r="E15" s="7"/>
      <c r="G15" s="70"/>
      <c r="H15" s="6"/>
      <c r="I15" s="6"/>
      <c r="J15" s="6" t="s">
        <v>4</v>
      </c>
      <c r="K15" s="6"/>
      <c r="L15" s="6"/>
      <c r="M15" s="6"/>
      <c r="N15" s="84"/>
      <c r="O15" s="88"/>
      <c r="P15" s="89"/>
      <c r="Q15" s="6"/>
      <c r="R15" s="19" t="s">
        <v>127</v>
      </c>
      <c r="S15" s="20">
        <v>1.0925000000000001E-2</v>
      </c>
      <c r="T15" s="86" t="s">
        <v>38</v>
      </c>
      <c r="U15" s="93" t="s">
        <v>50</v>
      </c>
      <c r="V15" s="19" t="s">
        <v>127</v>
      </c>
      <c r="W15" s="20">
        <v>6.625E-4</v>
      </c>
      <c r="X15" s="86" t="s">
        <v>38</v>
      </c>
      <c r="Y15" s="73"/>
    </row>
    <row r="16" spans="2:28" x14ac:dyDescent="0.25">
      <c r="B16" s="4"/>
      <c r="C16" s="79" t="s">
        <v>9</v>
      </c>
      <c r="D16" s="27" t="s">
        <v>115</v>
      </c>
      <c r="E16" s="7"/>
      <c r="G16" s="70"/>
      <c r="H16" s="6"/>
      <c r="I16" s="6"/>
      <c r="J16" s="6" t="s">
        <v>4</v>
      </c>
      <c r="K16" s="6"/>
      <c r="L16" s="6"/>
      <c r="M16" s="6"/>
      <c r="N16" s="84"/>
      <c r="O16" s="88"/>
      <c r="P16" s="89"/>
      <c r="Q16" s="6"/>
      <c r="R16" s="19" t="s">
        <v>128</v>
      </c>
      <c r="S16" s="20">
        <v>1.3162499999999999E-2</v>
      </c>
      <c r="T16" s="86" t="s">
        <v>38</v>
      </c>
      <c r="U16" s="93" t="s">
        <v>50</v>
      </c>
      <c r="V16" s="19" t="s">
        <v>128</v>
      </c>
      <c r="W16" s="20">
        <v>5.9999999999999995E-4</v>
      </c>
      <c r="X16" s="86" t="s">
        <v>38</v>
      </c>
      <c r="Y16" s="73"/>
    </row>
    <row r="17" spans="2:26" x14ac:dyDescent="0.25">
      <c r="B17" s="4"/>
      <c r="C17" s="79" t="s">
        <v>21</v>
      </c>
      <c r="D17" s="27" t="s">
        <v>149</v>
      </c>
      <c r="E17" s="7"/>
      <c r="G17" s="70"/>
      <c r="H17" s="6"/>
      <c r="I17" s="6"/>
      <c r="J17" s="6" t="s">
        <v>4</v>
      </c>
      <c r="K17" s="6"/>
      <c r="L17" s="6"/>
      <c r="M17" s="6"/>
      <c r="N17" s="84"/>
      <c r="O17" s="88"/>
      <c r="P17" s="89"/>
      <c r="Q17" s="6"/>
      <c r="R17" s="19" t="s">
        <v>129</v>
      </c>
      <c r="S17" s="20">
        <v>1.4312499999999999E-2</v>
      </c>
      <c r="T17" s="86" t="s">
        <v>38</v>
      </c>
      <c r="U17" s="93" t="s">
        <v>50</v>
      </c>
      <c r="V17" s="19" t="s">
        <v>129</v>
      </c>
      <c r="W17" s="20">
        <v>6.1249999999999998E-4</v>
      </c>
      <c r="X17" s="86" t="b">
        <v>1</v>
      </c>
      <c r="Y17" s="73"/>
    </row>
    <row r="18" spans="2:26" x14ac:dyDescent="0.25">
      <c r="B18" s="4"/>
      <c r="C18" s="79" t="s">
        <v>22</v>
      </c>
      <c r="D18" s="27" t="s">
        <v>149</v>
      </c>
      <c r="E18" s="7"/>
      <c r="G18" s="70"/>
      <c r="H18" s="6"/>
      <c r="I18" s="6"/>
      <c r="J18" s="6"/>
      <c r="K18" s="6"/>
      <c r="L18" s="6"/>
      <c r="M18" s="6"/>
      <c r="N18" s="84"/>
      <c r="O18" s="88"/>
      <c r="P18" s="89"/>
      <c r="Q18" s="6"/>
      <c r="R18" s="19" t="s">
        <v>130</v>
      </c>
      <c r="S18" s="20">
        <v>1.4775E-2</v>
      </c>
      <c r="T18" s="86" t="s">
        <v>38</v>
      </c>
      <c r="U18" s="93" t="s">
        <v>50</v>
      </c>
      <c r="V18" s="19" t="s">
        <v>130</v>
      </c>
      <c r="W18" s="20">
        <v>6.2500000000000001E-4</v>
      </c>
      <c r="X18" s="86" t="b">
        <v>1</v>
      </c>
      <c r="Y18" s="73"/>
    </row>
    <row r="19" spans="2:26" x14ac:dyDescent="0.25">
      <c r="B19" s="4"/>
      <c r="C19" s="79" t="s">
        <v>55</v>
      </c>
      <c r="D19" s="27" t="s">
        <v>150</v>
      </c>
      <c r="E19" s="7"/>
      <c r="G19" s="70"/>
      <c r="H19" s="40" t="s">
        <v>23</v>
      </c>
      <c r="I19" s="9"/>
      <c r="J19" s="6" t="s">
        <v>4</v>
      </c>
      <c r="K19" s="6"/>
      <c r="L19" s="6"/>
      <c r="M19" s="6"/>
      <c r="N19" s="84"/>
      <c r="O19" s="88"/>
      <c r="P19" s="89"/>
      <c r="Q19" s="6"/>
      <c r="R19" s="19" t="s">
        <v>131</v>
      </c>
      <c r="S19" s="20">
        <v>1.4637500000000001E-2</v>
      </c>
      <c r="T19" s="86" t="s">
        <v>38</v>
      </c>
      <c r="U19" s="93" t="s">
        <v>50</v>
      </c>
      <c r="V19" s="19" t="s">
        <v>131</v>
      </c>
      <c r="W19" s="20">
        <v>6.4999999999999997E-4</v>
      </c>
      <c r="X19" s="86" t="b">
        <v>1</v>
      </c>
      <c r="Y19" s="73"/>
    </row>
    <row r="20" spans="2:26" x14ac:dyDescent="0.25">
      <c r="B20" s="4"/>
      <c r="C20" s="18" t="s">
        <v>53</v>
      </c>
      <c r="D20" s="27" t="s">
        <v>38</v>
      </c>
      <c r="E20" s="7"/>
      <c r="G20" s="70"/>
      <c r="H20" s="41" t="s">
        <v>18</v>
      </c>
      <c r="I20" s="42" t="s">
        <v>117</v>
      </c>
      <c r="J20" s="6" t="s">
        <v>4</v>
      </c>
      <c r="K20" s="6"/>
      <c r="L20" s="6"/>
      <c r="M20" s="6"/>
      <c r="N20" s="84"/>
      <c r="O20" s="88"/>
      <c r="P20" s="89"/>
      <c r="Q20" s="6"/>
      <c r="R20" s="120" t="s">
        <v>24</v>
      </c>
      <c r="S20" s="121">
        <v>1.4637500000000001E-2</v>
      </c>
      <c r="T20" s="122" t="b">
        <v>1</v>
      </c>
      <c r="U20" s="124" t="s">
        <v>25</v>
      </c>
      <c r="V20" s="120" t="s">
        <v>24</v>
      </c>
      <c r="W20" s="123">
        <v>6.4999999999999997E-4</v>
      </c>
      <c r="X20" s="86" t="b">
        <v>1</v>
      </c>
      <c r="Y20" s="124" t="s">
        <v>25</v>
      </c>
      <c r="Z20" s="125"/>
    </row>
    <row r="21" spans="2:26" x14ac:dyDescent="0.25">
      <c r="B21" s="4"/>
      <c r="C21" s="18" t="s">
        <v>54</v>
      </c>
      <c r="D21" s="27" t="s">
        <v>133</v>
      </c>
      <c r="E21" s="7"/>
      <c r="G21" s="70"/>
      <c r="H21" s="43" t="s">
        <v>26</v>
      </c>
      <c r="I21" s="53" t="str">
        <f>D7</f>
        <v>1=IF(D5,meLWOCurveGeneratorCreate("CZK_SWAP_6M",C11,C12:D28,C30,C31:D34,C36,C37:D42,C44,C45:D49,C51,C52:D69,C71,C72:D104),"Disabled")</v>
      </c>
      <c r="J21" s="6" t="s">
        <v>4</v>
      </c>
      <c r="K21" s="6"/>
      <c r="L21" s="6"/>
      <c r="M21" s="6"/>
      <c r="N21" s="84"/>
      <c r="O21" s="88"/>
      <c r="P21" s="89"/>
      <c r="Q21" s="6"/>
      <c r="R21" s="104"/>
      <c r="S21" s="126"/>
      <c r="T21" s="86"/>
      <c r="U21" s="93"/>
      <c r="V21" s="104"/>
      <c r="W21" s="126"/>
      <c r="X21" s="86"/>
      <c r="Y21" s="124"/>
      <c r="Z21" s="125"/>
    </row>
    <row r="22" spans="2:26" x14ac:dyDescent="0.25">
      <c r="B22" s="4"/>
      <c r="C22" s="26" t="s">
        <v>56</v>
      </c>
      <c r="D22" s="60" t="s">
        <v>57</v>
      </c>
      <c r="E22" s="7"/>
      <c r="G22" s="70"/>
      <c r="H22" s="43" t="s">
        <v>28</v>
      </c>
      <c r="I22" s="44" t="s">
        <v>118</v>
      </c>
      <c r="J22" s="6" t="s">
        <v>4</v>
      </c>
      <c r="K22" s="6"/>
      <c r="L22" s="6"/>
      <c r="M22" s="6"/>
      <c r="N22" s="84"/>
      <c r="O22" s="88"/>
      <c r="P22" s="89"/>
      <c r="Q22" s="6"/>
      <c r="R22" s="84"/>
      <c r="S22" s="94"/>
      <c r="T22" s="95"/>
      <c r="U22" s="78"/>
      <c r="V22" s="19"/>
      <c r="W22" s="20"/>
      <c r="X22" s="86"/>
      <c r="Y22" s="73"/>
    </row>
    <row r="23" spans="2:26" x14ac:dyDescent="0.25">
      <c r="B23" s="4"/>
      <c r="C23" s="26" t="s">
        <v>134</v>
      </c>
      <c r="D23" s="60" t="s">
        <v>38</v>
      </c>
      <c r="E23" s="7"/>
      <c r="G23" s="70"/>
      <c r="H23" s="46" t="s">
        <v>30</v>
      </c>
      <c r="I23" s="47"/>
      <c r="J23" s="6" t="s">
        <v>4</v>
      </c>
      <c r="K23" s="6"/>
      <c r="L23" s="6"/>
      <c r="M23" s="6"/>
      <c r="N23" s="84"/>
      <c r="O23" s="88"/>
      <c r="P23" s="89"/>
      <c r="Q23" s="6"/>
      <c r="R23" s="84"/>
      <c r="S23" s="94"/>
      <c r="T23" s="95"/>
      <c r="U23" s="78"/>
      <c r="V23" s="19"/>
      <c r="W23" s="20"/>
      <c r="X23" s="86"/>
      <c r="Y23" s="73"/>
    </row>
    <row r="24" spans="2:26" x14ac:dyDescent="0.25">
      <c r="B24" s="4"/>
      <c r="C24" s="26" t="s">
        <v>61</v>
      </c>
      <c r="D24" s="60" t="s">
        <v>38</v>
      </c>
      <c r="E24" s="7"/>
      <c r="G24" s="70"/>
      <c r="H24" s="6"/>
      <c r="I24" s="6"/>
      <c r="J24" s="6" t="s">
        <v>4</v>
      </c>
      <c r="K24" s="6"/>
      <c r="L24" s="6"/>
      <c r="M24" s="6"/>
      <c r="N24" s="84"/>
      <c r="O24" s="88"/>
      <c r="P24" s="89"/>
      <c r="Q24" s="6"/>
      <c r="R24" s="84"/>
      <c r="S24" s="94"/>
      <c r="T24" s="95"/>
      <c r="U24" s="78"/>
      <c r="V24" s="19"/>
      <c r="W24" s="20"/>
      <c r="X24" s="86"/>
      <c r="Y24" s="73"/>
    </row>
    <row r="25" spans="2:26" x14ac:dyDescent="0.25">
      <c r="B25" s="4"/>
      <c r="C25" s="115" t="s">
        <v>135</v>
      </c>
      <c r="D25" s="113" t="s">
        <v>136</v>
      </c>
      <c r="E25" s="7"/>
      <c r="G25" s="70"/>
      <c r="H25" s="6"/>
      <c r="I25" s="6"/>
      <c r="J25" s="6" t="s">
        <v>4</v>
      </c>
      <c r="K25" s="6"/>
      <c r="L25" s="6"/>
      <c r="M25" s="6"/>
      <c r="N25" s="84"/>
      <c r="O25" s="88"/>
      <c r="P25" s="89"/>
      <c r="Q25" s="6"/>
      <c r="R25" s="84"/>
      <c r="S25" s="94"/>
      <c r="T25" s="95"/>
      <c r="U25" s="78"/>
      <c r="V25" s="19"/>
      <c r="W25" s="20"/>
      <c r="X25" s="86"/>
      <c r="Y25" s="73"/>
    </row>
    <row r="26" spans="2:26" x14ac:dyDescent="0.25">
      <c r="B26" s="4"/>
      <c r="C26" s="114" t="s">
        <v>58</v>
      </c>
      <c r="D26" s="113" t="b">
        <v>1</v>
      </c>
      <c r="E26" s="7"/>
      <c r="G26" s="70"/>
      <c r="H26" s="40" t="s">
        <v>34</v>
      </c>
      <c r="I26" s="6"/>
      <c r="J26" s="6" t="s">
        <v>4</v>
      </c>
      <c r="K26" s="6"/>
      <c r="L26" s="6"/>
      <c r="M26" s="6"/>
      <c r="N26" s="84"/>
      <c r="O26" s="88"/>
      <c r="P26" s="89"/>
      <c r="Q26" s="6"/>
      <c r="R26" s="84"/>
      <c r="S26" s="94"/>
      <c r="T26" s="95"/>
      <c r="U26" s="78"/>
      <c r="V26" s="19"/>
      <c r="W26" s="20"/>
      <c r="X26" s="86"/>
      <c r="Y26" s="73"/>
    </row>
    <row r="27" spans="2:26" x14ac:dyDescent="0.25">
      <c r="B27" s="4"/>
      <c r="C27" s="114" t="s">
        <v>59</v>
      </c>
      <c r="D27" s="113" t="s">
        <v>60</v>
      </c>
      <c r="E27" s="7"/>
      <c r="G27" s="70"/>
      <c r="H27" s="48" t="s">
        <v>18</v>
      </c>
      <c r="I27" s="49" t="s">
        <v>153</v>
      </c>
      <c r="J27" s="6" t="s">
        <v>4</v>
      </c>
      <c r="K27" s="6"/>
      <c r="L27" s="6"/>
      <c r="M27" s="6"/>
      <c r="N27" s="84"/>
      <c r="O27" s="88"/>
      <c r="P27" s="89"/>
      <c r="Q27" s="6"/>
      <c r="R27" s="84"/>
      <c r="S27" s="94"/>
      <c r="T27" s="95"/>
      <c r="U27" s="78"/>
      <c r="V27" s="19"/>
      <c r="W27" s="20"/>
      <c r="X27" s="86"/>
      <c r="Y27" s="73"/>
    </row>
    <row r="28" spans="2:26" x14ac:dyDescent="0.25">
      <c r="B28" s="4"/>
      <c r="C28" s="28"/>
      <c r="D28" s="39"/>
      <c r="E28" s="7"/>
      <c r="G28" s="70"/>
      <c r="H28" s="53" t="s">
        <v>37</v>
      </c>
      <c r="I28" s="136" t="s">
        <v>153</v>
      </c>
      <c r="J28" s="6" t="s">
        <v>4</v>
      </c>
      <c r="K28" s="6"/>
      <c r="L28" s="6"/>
      <c r="M28" s="6"/>
      <c r="N28" s="84"/>
      <c r="O28" s="88"/>
      <c r="P28" s="89"/>
      <c r="Q28" s="6"/>
      <c r="R28" s="84"/>
      <c r="S28" s="94"/>
      <c r="T28" s="95"/>
      <c r="U28" s="78"/>
      <c r="V28" s="19"/>
      <c r="W28" s="20"/>
      <c r="X28" s="86"/>
      <c r="Y28" s="73"/>
    </row>
    <row r="29" spans="2:26" x14ac:dyDescent="0.25">
      <c r="B29" s="4"/>
      <c r="C29" s="6"/>
      <c r="D29" s="6"/>
      <c r="E29" s="7"/>
      <c r="G29" s="70"/>
      <c r="H29" s="53" t="s">
        <v>39</v>
      </c>
      <c r="I29" s="136" t="s">
        <v>153</v>
      </c>
      <c r="J29" s="6" t="s">
        <v>4</v>
      </c>
      <c r="K29" s="6"/>
      <c r="L29" s="6"/>
      <c r="M29" s="6"/>
      <c r="N29" s="84"/>
      <c r="O29" s="88"/>
      <c r="P29" s="89"/>
      <c r="Q29" s="6"/>
      <c r="R29" s="84"/>
      <c r="S29" s="94"/>
      <c r="T29" s="95"/>
      <c r="U29" s="78"/>
      <c r="V29" s="19"/>
      <c r="W29" s="20"/>
      <c r="X29" s="86"/>
      <c r="Y29" s="73"/>
    </row>
    <row r="30" spans="2:26" x14ac:dyDescent="0.25">
      <c r="B30" s="4"/>
      <c r="C30" s="10" t="s">
        <v>62</v>
      </c>
      <c r="D30" s="11" t="s">
        <v>40</v>
      </c>
      <c r="E30" s="7"/>
      <c r="G30" s="70"/>
      <c r="H30" s="54" t="s">
        <v>41</v>
      </c>
      <c r="I30" s="137" t="s">
        <v>153</v>
      </c>
      <c r="J30" s="6" t="s">
        <v>4</v>
      </c>
      <c r="K30" s="6"/>
      <c r="L30" s="6"/>
      <c r="M30" s="6"/>
      <c r="N30" s="84"/>
      <c r="O30" s="88"/>
      <c r="P30" s="89"/>
      <c r="Q30" s="6"/>
      <c r="R30" s="84"/>
      <c r="S30" s="94"/>
      <c r="T30" s="95"/>
      <c r="U30" s="78"/>
      <c r="V30" s="19"/>
      <c r="W30" s="20"/>
      <c r="X30" s="86"/>
      <c r="Y30" s="73"/>
    </row>
    <row r="31" spans="2:26" x14ac:dyDescent="0.25">
      <c r="B31" s="4"/>
      <c r="C31" s="22" t="s">
        <v>27</v>
      </c>
      <c r="D31" s="61" t="s">
        <v>137</v>
      </c>
      <c r="E31" s="7"/>
      <c r="G31" s="70"/>
      <c r="H31" s="56" t="s">
        <v>42</v>
      </c>
      <c r="I31" s="96" t="b">
        <f>_xll.meLWOExists(I27,"CURVE")</f>
        <v>0</v>
      </c>
      <c r="J31" s="6"/>
      <c r="K31" s="6"/>
      <c r="L31" s="6"/>
      <c r="M31" s="6"/>
      <c r="N31" s="97"/>
      <c r="O31" s="98"/>
      <c r="P31" s="99"/>
      <c r="Q31" s="6"/>
      <c r="R31" s="97"/>
      <c r="S31" s="100"/>
      <c r="T31" s="101"/>
      <c r="U31" s="78"/>
      <c r="V31" s="57"/>
      <c r="W31" s="58"/>
      <c r="X31" s="102"/>
      <c r="Y31" s="73"/>
    </row>
    <row r="32" spans="2:26" x14ac:dyDescent="0.25">
      <c r="B32" s="4"/>
      <c r="C32" s="26" t="s">
        <v>29</v>
      </c>
      <c r="D32" s="45" t="s">
        <v>138</v>
      </c>
      <c r="E32" s="7"/>
      <c r="G32" s="70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8"/>
      <c r="V32" s="9"/>
      <c r="W32" s="9"/>
      <c r="X32" s="9"/>
      <c r="Y32" s="73"/>
    </row>
    <row r="33" spans="2:25" x14ac:dyDescent="0.25">
      <c r="B33" s="4"/>
      <c r="C33" s="26" t="s">
        <v>35</v>
      </c>
      <c r="D33" s="45" t="s">
        <v>65</v>
      </c>
      <c r="E33" s="7"/>
      <c r="G33" s="70"/>
      <c r="H33" s="6" t="s">
        <v>147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8"/>
      <c r="V33" s="9"/>
      <c r="W33" s="9"/>
      <c r="X33" s="9"/>
      <c r="Y33" s="73"/>
    </row>
    <row r="34" spans="2:25" x14ac:dyDescent="0.25">
      <c r="B34" s="4"/>
      <c r="C34" s="46"/>
      <c r="D34" s="62"/>
      <c r="E34" s="7"/>
      <c r="G34" s="70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8"/>
      <c r="V34" s="9"/>
      <c r="W34" s="9"/>
      <c r="X34" s="9"/>
      <c r="Y34" s="73"/>
    </row>
    <row r="35" spans="2:25" x14ac:dyDescent="0.25">
      <c r="B35" s="4"/>
      <c r="C35" s="6"/>
      <c r="D35" s="6"/>
      <c r="E35" s="7"/>
      <c r="G35" s="70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8"/>
      <c r="V35" s="9"/>
      <c r="W35" s="9"/>
      <c r="X35" s="9"/>
      <c r="Y35" s="73"/>
    </row>
    <row r="36" spans="2:25" x14ac:dyDescent="0.25">
      <c r="B36" s="4"/>
      <c r="C36" s="10" t="s">
        <v>47</v>
      </c>
      <c r="D36" s="11" t="s">
        <v>40</v>
      </c>
      <c r="E36" s="7"/>
      <c r="G36" s="70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8"/>
      <c r="V36" s="9"/>
      <c r="W36" s="9"/>
      <c r="X36" s="9"/>
      <c r="Y36" s="73"/>
    </row>
    <row r="37" spans="2:25" x14ac:dyDescent="0.25">
      <c r="B37" s="4"/>
      <c r="C37" s="22" t="s">
        <v>27</v>
      </c>
      <c r="D37" s="61" t="s">
        <v>137</v>
      </c>
      <c r="E37" s="7"/>
      <c r="G37" s="70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8"/>
      <c r="V37" s="9"/>
      <c r="W37" s="9"/>
      <c r="X37" s="9"/>
      <c r="Y37" s="73"/>
    </row>
    <row r="38" spans="2:25" x14ac:dyDescent="0.25">
      <c r="B38" s="4"/>
      <c r="C38" s="52" t="s">
        <v>29</v>
      </c>
      <c r="D38" s="103" t="s">
        <v>138</v>
      </c>
      <c r="E38" s="7"/>
      <c r="G38" s="70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8"/>
      <c r="V38" s="9"/>
      <c r="W38" s="9"/>
      <c r="X38" s="9"/>
      <c r="Y38" s="73"/>
    </row>
    <row r="39" spans="2:25" x14ac:dyDescent="0.25">
      <c r="B39" s="4"/>
      <c r="C39" s="32" t="s">
        <v>31</v>
      </c>
      <c r="D39" s="45" t="s">
        <v>139</v>
      </c>
      <c r="E39" s="7"/>
      <c r="G39" s="70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78"/>
      <c r="V39" s="9"/>
      <c r="W39" s="9"/>
      <c r="X39" s="9"/>
      <c r="Y39" s="73"/>
    </row>
    <row r="40" spans="2:25" x14ac:dyDescent="0.25">
      <c r="B40" s="4" t="s">
        <v>4</v>
      </c>
      <c r="C40" s="32" t="s">
        <v>33</v>
      </c>
      <c r="D40" s="103" t="s">
        <v>140</v>
      </c>
      <c r="E40" s="7"/>
      <c r="G40" s="70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78"/>
      <c r="V40" s="9"/>
      <c r="W40" s="9"/>
      <c r="X40" s="9"/>
      <c r="Y40" s="73"/>
    </row>
    <row r="41" spans="2:25" x14ac:dyDescent="0.25">
      <c r="B41" s="4"/>
      <c r="C41" s="32" t="s">
        <v>35</v>
      </c>
      <c r="D41" s="45" t="s">
        <v>36</v>
      </c>
      <c r="E41" s="7"/>
      <c r="G41" s="70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78"/>
      <c r="V41" s="9"/>
      <c r="W41" s="9"/>
      <c r="X41" s="9"/>
      <c r="Y41" s="73"/>
    </row>
    <row r="42" spans="2:25" x14ac:dyDescent="0.25">
      <c r="B42" s="4"/>
      <c r="C42" s="38"/>
      <c r="D42" s="105"/>
      <c r="E42" s="7"/>
      <c r="G42" s="70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8"/>
      <c r="V42" s="9"/>
      <c r="W42" s="9"/>
      <c r="X42" s="9"/>
      <c r="Y42" s="73"/>
    </row>
    <row r="43" spans="2:25" x14ac:dyDescent="0.25">
      <c r="B43" s="4"/>
      <c r="C43" s="6"/>
      <c r="D43" s="6"/>
      <c r="E43" s="7"/>
      <c r="G43" s="70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78"/>
      <c r="V43" s="9"/>
      <c r="W43" s="9"/>
      <c r="X43" s="9"/>
      <c r="Y43" s="73"/>
    </row>
    <row r="44" spans="2:25" x14ac:dyDescent="0.25">
      <c r="B44" s="4"/>
      <c r="C44" s="10" t="s">
        <v>68</v>
      </c>
      <c r="D44" s="11" t="s">
        <v>40</v>
      </c>
      <c r="E44" s="7"/>
      <c r="G44" s="70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8"/>
      <c r="V44" s="9"/>
      <c r="W44" s="9"/>
      <c r="X44" s="9"/>
      <c r="Y44" s="73"/>
    </row>
    <row r="45" spans="2:25" x14ac:dyDescent="0.25">
      <c r="B45" s="4"/>
      <c r="C45" s="5" t="s">
        <v>63</v>
      </c>
      <c r="D45" s="106" t="s">
        <v>137</v>
      </c>
      <c r="E45" s="7"/>
      <c r="G45" s="70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8"/>
      <c r="V45" s="9"/>
      <c r="W45" s="9"/>
      <c r="X45" s="9"/>
      <c r="Y45" s="73"/>
    </row>
    <row r="46" spans="2:25" x14ac:dyDescent="0.25">
      <c r="B46" s="4"/>
      <c r="C46" s="13" t="s">
        <v>64</v>
      </c>
      <c r="D46" s="107" t="s">
        <v>138</v>
      </c>
      <c r="E46" s="7"/>
      <c r="G46" s="70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78"/>
      <c r="V46" s="9"/>
      <c r="W46" s="9"/>
      <c r="X46" s="9"/>
      <c r="Y46" s="73"/>
    </row>
    <row r="47" spans="2:25" x14ac:dyDescent="0.25">
      <c r="B47" s="4"/>
      <c r="C47" s="13" t="s">
        <v>69</v>
      </c>
      <c r="D47" s="107" t="s">
        <v>140</v>
      </c>
      <c r="E47" s="7"/>
      <c r="G47" s="70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78"/>
      <c r="V47" s="9"/>
      <c r="W47" s="9"/>
      <c r="X47" s="9"/>
      <c r="Y47" s="73"/>
    </row>
    <row r="48" spans="2:25" x14ac:dyDescent="0.25">
      <c r="B48" s="4"/>
      <c r="C48" s="13" t="s">
        <v>67</v>
      </c>
      <c r="D48" s="107" t="s">
        <v>36</v>
      </c>
      <c r="E48" s="7"/>
      <c r="G48" s="70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8"/>
      <c r="V48" s="9"/>
      <c r="W48" s="9"/>
      <c r="X48" s="9"/>
      <c r="Y48" s="73"/>
    </row>
    <row r="49" spans="2:25" x14ac:dyDescent="0.25">
      <c r="B49" s="4"/>
      <c r="C49" s="38"/>
      <c r="D49" s="105"/>
      <c r="E49" s="7"/>
      <c r="G49" s="70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78"/>
      <c r="V49" s="9"/>
      <c r="W49" s="9"/>
      <c r="X49" s="9"/>
      <c r="Y49" s="73"/>
    </row>
    <row r="50" spans="2:25" x14ac:dyDescent="0.25">
      <c r="B50" s="4"/>
      <c r="C50" s="6"/>
      <c r="D50" s="6"/>
      <c r="E50" s="7"/>
      <c r="G50" s="70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72"/>
      <c r="V50" s="6"/>
      <c r="W50" s="6"/>
      <c r="X50" s="6"/>
      <c r="Y50" s="73"/>
    </row>
    <row r="51" spans="2:25" x14ac:dyDescent="0.25">
      <c r="B51" s="4"/>
      <c r="C51" s="10" t="s">
        <v>3</v>
      </c>
      <c r="D51" s="11"/>
      <c r="E51" s="7"/>
      <c r="G51" s="70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72"/>
      <c r="V51" s="6"/>
      <c r="W51" s="6"/>
      <c r="X51" s="6"/>
      <c r="Y51" s="73"/>
    </row>
    <row r="52" spans="2:25" x14ac:dyDescent="0.25">
      <c r="B52" s="4"/>
      <c r="C52" s="22" t="s">
        <v>63</v>
      </c>
      <c r="D52" s="63" t="s">
        <v>137</v>
      </c>
      <c r="E52" s="7"/>
      <c r="G52" s="70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72"/>
      <c r="V52" s="6"/>
      <c r="W52" s="6"/>
      <c r="X52" s="6"/>
      <c r="Y52" s="73"/>
    </row>
    <row r="53" spans="2:25" x14ac:dyDescent="0.25">
      <c r="B53" s="4"/>
      <c r="C53" s="26" t="s">
        <v>64</v>
      </c>
      <c r="D53" s="45" t="s">
        <v>138</v>
      </c>
      <c r="E53" s="7"/>
      <c r="G53" s="70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2"/>
      <c r="V53" s="6"/>
      <c r="W53" s="6"/>
      <c r="X53" s="6"/>
      <c r="Y53" s="73"/>
    </row>
    <row r="54" spans="2:25" x14ac:dyDescent="0.25">
      <c r="B54" s="4"/>
      <c r="C54" s="26" t="s">
        <v>70</v>
      </c>
      <c r="D54" s="45" t="s">
        <v>138</v>
      </c>
      <c r="E54" s="7"/>
      <c r="G54" s="70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72"/>
      <c r="V54" s="6"/>
      <c r="W54" s="6"/>
      <c r="X54" s="6"/>
      <c r="Y54" s="73"/>
    </row>
    <row r="55" spans="2:25" x14ac:dyDescent="0.25">
      <c r="B55" s="4"/>
      <c r="C55" s="26" t="s">
        <v>71</v>
      </c>
      <c r="D55" s="45" t="s">
        <v>138</v>
      </c>
      <c r="E55" s="7"/>
      <c r="G55" s="70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72"/>
      <c r="V55" s="6"/>
      <c r="W55" s="6"/>
      <c r="X55" s="6"/>
      <c r="Y55" s="73"/>
    </row>
    <row r="56" spans="2:25" x14ac:dyDescent="0.25">
      <c r="B56" s="4"/>
      <c r="C56" s="116" t="s">
        <v>56</v>
      </c>
      <c r="D56" s="118" t="s">
        <v>32</v>
      </c>
      <c r="E56" s="7"/>
      <c r="G56" s="70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72"/>
      <c r="V56" s="6"/>
      <c r="W56" s="6"/>
      <c r="X56" s="6"/>
      <c r="Y56" s="73"/>
    </row>
    <row r="57" spans="2:25" x14ac:dyDescent="0.25">
      <c r="B57" s="4"/>
      <c r="C57" s="116" t="s">
        <v>73</v>
      </c>
      <c r="D57" s="118" t="s">
        <v>32</v>
      </c>
      <c r="E57" s="7"/>
      <c r="G57" s="70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72"/>
      <c r="V57" s="6"/>
      <c r="W57" s="6"/>
      <c r="X57" s="6"/>
      <c r="Y57" s="73"/>
    </row>
    <row r="58" spans="2:25" x14ac:dyDescent="0.25">
      <c r="B58" s="4"/>
      <c r="C58" s="116" t="s">
        <v>74</v>
      </c>
      <c r="D58" s="118" t="s">
        <v>72</v>
      </c>
      <c r="E58" s="7"/>
      <c r="G58" s="70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72"/>
      <c r="V58" s="6"/>
      <c r="W58" s="6"/>
      <c r="X58" s="6"/>
      <c r="Y58" s="73"/>
    </row>
    <row r="59" spans="2:25" x14ac:dyDescent="0.25">
      <c r="B59" s="4"/>
      <c r="C59" s="116" t="s">
        <v>75</v>
      </c>
      <c r="D59" s="118" t="s">
        <v>46</v>
      </c>
      <c r="E59" s="7"/>
      <c r="G59" s="70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72"/>
      <c r="V59" s="6"/>
      <c r="W59" s="6"/>
      <c r="X59" s="6"/>
      <c r="Y59" s="73"/>
    </row>
    <row r="60" spans="2:25" x14ac:dyDescent="0.25">
      <c r="B60" s="4"/>
      <c r="C60" s="26" t="s">
        <v>21</v>
      </c>
      <c r="D60" s="64" t="s">
        <v>52</v>
      </c>
      <c r="E60" s="7"/>
      <c r="G60" s="70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72"/>
      <c r="V60" s="6"/>
      <c r="W60" s="6"/>
      <c r="X60" s="6"/>
      <c r="Y60" s="73"/>
    </row>
    <row r="61" spans="2:25" x14ac:dyDescent="0.25">
      <c r="B61" s="4"/>
      <c r="C61" s="26" t="s">
        <v>67</v>
      </c>
      <c r="D61" s="55" t="s">
        <v>36</v>
      </c>
      <c r="E61" s="7"/>
      <c r="G61" s="70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72"/>
      <c r="V61" s="6"/>
      <c r="W61" s="6"/>
      <c r="X61" s="6"/>
      <c r="Y61" s="73"/>
    </row>
    <row r="62" spans="2:25" x14ac:dyDescent="0.25">
      <c r="B62" s="4"/>
      <c r="C62" s="26" t="s">
        <v>76</v>
      </c>
      <c r="D62" s="55" t="b">
        <v>1</v>
      </c>
      <c r="E62" s="7"/>
      <c r="G62" s="70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72"/>
      <c r="V62" s="6"/>
      <c r="W62" s="6"/>
      <c r="X62" s="6"/>
      <c r="Y62" s="73"/>
    </row>
    <row r="63" spans="2:25" x14ac:dyDescent="0.25">
      <c r="B63" s="4"/>
      <c r="C63" s="26" t="s">
        <v>77</v>
      </c>
      <c r="D63" s="55" t="b">
        <v>1</v>
      </c>
      <c r="E63" s="7"/>
      <c r="G63" s="70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72"/>
      <c r="V63" s="6"/>
      <c r="W63" s="6"/>
      <c r="X63" s="6"/>
      <c r="Y63" s="73"/>
    </row>
    <row r="64" spans="2:25" x14ac:dyDescent="0.25">
      <c r="B64" s="4"/>
      <c r="C64" s="26" t="s">
        <v>44</v>
      </c>
      <c r="D64" s="64">
        <v>1.0000000000000001E-9</v>
      </c>
      <c r="E64" s="7"/>
      <c r="G64" s="70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72"/>
      <c r="V64" s="6"/>
      <c r="W64" s="6"/>
      <c r="X64" s="6"/>
      <c r="Y64" s="73"/>
    </row>
    <row r="65" spans="2:25" x14ac:dyDescent="0.25">
      <c r="B65" s="4"/>
      <c r="C65" s="26" t="s">
        <v>45</v>
      </c>
      <c r="D65" s="55">
        <v>1000</v>
      </c>
      <c r="E65" s="7"/>
      <c r="G65" s="70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72"/>
      <c r="V65" s="6"/>
      <c r="W65" s="6"/>
      <c r="X65" s="6"/>
      <c r="Y65" s="73"/>
    </row>
    <row r="66" spans="2:25" x14ac:dyDescent="0.25">
      <c r="B66" s="4"/>
      <c r="C66" s="26" t="s">
        <v>69</v>
      </c>
      <c r="D66" s="55">
        <v>1</v>
      </c>
      <c r="E66" s="7"/>
      <c r="G66" s="70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72"/>
      <c r="V66" s="6"/>
      <c r="W66" s="6"/>
      <c r="X66" s="6"/>
      <c r="Y66" s="73"/>
    </row>
    <row r="67" spans="2:25" x14ac:dyDescent="0.25">
      <c r="B67" s="4"/>
      <c r="C67" s="116" t="s">
        <v>78</v>
      </c>
      <c r="D67" s="117" t="s">
        <v>72</v>
      </c>
      <c r="E67" s="7"/>
      <c r="G67" s="70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72"/>
      <c r="V67" s="6"/>
      <c r="W67" s="6"/>
      <c r="X67" s="6"/>
      <c r="Y67" s="73"/>
    </row>
    <row r="68" spans="2:25" x14ac:dyDescent="0.25">
      <c r="B68" s="4"/>
      <c r="C68" s="26" t="s">
        <v>79</v>
      </c>
      <c r="D68" s="55" t="b">
        <v>1</v>
      </c>
      <c r="E68" s="7"/>
      <c r="G68" s="70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72"/>
      <c r="V68" s="6"/>
      <c r="W68" s="6"/>
      <c r="X68" s="6"/>
      <c r="Y68" s="73"/>
    </row>
    <row r="69" spans="2:25" x14ac:dyDescent="0.25">
      <c r="B69" s="4"/>
      <c r="C69" s="108"/>
      <c r="D69" s="62"/>
      <c r="E69" s="7"/>
      <c r="G69" s="70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72"/>
      <c r="V69" s="6"/>
      <c r="W69" s="6"/>
      <c r="X69" s="6"/>
      <c r="Y69" s="73"/>
    </row>
    <row r="70" spans="2:25" x14ac:dyDescent="0.25">
      <c r="B70" s="4"/>
      <c r="C70" s="6"/>
      <c r="D70" s="6"/>
      <c r="E70" s="7"/>
      <c r="G70" s="70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72"/>
      <c r="V70" s="6"/>
      <c r="W70" s="6"/>
      <c r="X70" s="6"/>
      <c r="Y70" s="73"/>
    </row>
    <row r="71" spans="2:25" x14ac:dyDescent="0.25">
      <c r="B71" s="4"/>
      <c r="C71" s="10" t="s">
        <v>48</v>
      </c>
      <c r="D71" s="6"/>
      <c r="E71" s="7"/>
      <c r="G71" s="70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72"/>
      <c r="V71" s="6"/>
      <c r="W71" s="6"/>
      <c r="X71" s="6"/>
      <c r="Y71" s="73"/>
    </row>
    <row r="72" spans="2:25" x14ac:dyDescent="0.25">
      <c r="B72" s="4"/>
      <c r="C72" s="22" t="s">
        <v>80</v>
      </c>
      <c r="D72" s="61" t="b">
        <v>0</v>
      </c>
      <c r="E72" s="7"/>
      <c r="G72" s="70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72"/>
      <c r="V72" s="6"/>
      <c r="W72" s="6"/>
      <c r="X72" s="6"/>
      <c r="Y72" s="73"/>
    </row>
    <row r="73" spans="2:25" x14ac:dyDescent="0.25">
      <c r="B73" s="4"/>
      <c r="C73" s="26" t="s">
        <v>81</v>
      </c>
      <c r="D73" s="45" t="s">
        <v>137</v>
      </c>
      <c r="E73" s="7"/>
      <c r="G73" s="70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72"/>
      <c r="V73" s="6"/>
      <c r="W73" s="6"/>
      <c r="X73" s="6"/>
      <c r="Y73" s="73"/>
    </row>
    <row r="74" spans="2:25" x14ac:dyDescent="0.25">
      <c r="B74" s="4"/>
      <c r="C74" s="26" t="s">
        <v>82</v>
      </c>
      <c r="D74" s="45" t="s">
        <v>138</v>
      </c>
      <c r="E74" s="7"/>
      <c r="G74" s="70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72"/>
      <c r="V74" s="6"/>
      <c r="W74" s="6"/>
      <c r="X74" s="6"/>
      <c r="Y74" s="73"/>
    </row>
    <row r="75" spans="2:25" x14ac:dyDescent="0.25">
      <c r="B75" s="4"/>
      <c r="C75" s="26" t="s">
        <v>83</v>
      </c>
      <c r="D75" s="45" t="s">
        <v>72</v>
      </c>
      <c r="E75" s="7"/>
      <c r="G75" s="70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72"/>
      <c r="V75" s="6"/>
      <c r="W75" s="6"/>
      <c r="X75" s="6"/>
      <c r="Y75" s="73"/>
    </row>
    <row r="76" spans="2:25" x14ac:dyDescent="0.25">
      <c r="B76" s="4"/>
      <c r="C76" s="26" t="s">
        <v>84</v>
      </c>
      <c r="D76" s="45" t="s">
        <v>36</v>
      </c>
      <c r="E76" s="7"/>
      <c r="G76" s="70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72"/>
      <c r="V76" s="6"/>
      <c r="W76" s="6"/>
      <c r="X76" s="6"/>
      <c r="Y76" s="73"/>
    </row>
    <row r="77" spans="2:25" x14ac:dyDescent="0.25">
      <c r="B77" s="4"/>
      <c r="C77" s="26" t="s">
        <v>85</v>
      </c>
      <c r="D77" s="55">
        <v>0</v>
      </c>
      <c r="E77" s="7"/>
      <c r="G77" s="70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72"/>
      <c r="V77" s="6"/>
      <c r="W77" s="6"/>
      <c r="X77" s="6"/>
      <c r="Y77" s="73"/>
    </row>
    <row r="78" spans="2:25" x14ac:dyDescent="0.25">
      <c r="B78" s="4"/>
      <c r="C78" s="116" t="s">
        <v>86</v>
      </c>
      <c r="D78" s="118" t="s">
        <v>51</v>
      </c>
      <c r="E78" s="7"/>
      <c r="G78" s="70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72"/>
      <c r="V78" s="6"/>
      <c r="W78" s="6"/>
      <c r="X78" s="6"/>
      <c r="Y78" s="73"/>
    </row>
    <row r="79" spans="2:25" x14ac:dyDescent="0.25">
      <c r="B79" s="4"/>
      <c r="C79" s="116" t="s">
        <v>87</v>
      </c>
      <c r="D79" s="118" t="s">
        <v>51</v>
      </c>
      <c r="E79" s="7"/>
      <c r="G79" s="70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72"/>
      <c r="V79" s="6"/>
      <c r="W79" s="6"/>
      <c r="X79" s="6"/>
      <c r="Y79" s="73"/>
    </row>
    <row r="80" spans="2:25" x14ac:dyDescent="0.25">
      <c r="B80" s="4"/>
      <c r="C80" s="26" t="s">
        <v>88</v>
      </c>
      <c r="D80" s="45" t="s">
        <v>50</v>
      </c>
      <c r="E80" s="7"/>
      <c r="G80" s="70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72"/>
      <c r="V80" s="6"/>
      <c r="W80" s="6"/>
      <c r="X80" s="6"/>
      <c r="Y80" s="73"/>
    </row>
    <row r="81" spans="2:25" x14ac:dyDescent="0.25">
      <c r="B81" s="4"/>
      <c r="C81" s="26" t="s">
        <v>89</v>
      </c>
      <c r="D81" s="45" t="s">
        <v>138</v>
      </c>
      <c r="E81" s="7"/>
      <c r="G81" s="70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72"/>
      <c r="V81" s="6"/>
      <c r="W81" s="6"/>
      <c r="X81" s="6"/>
      <c r="Y81" s="73"/>
    </row>
    <row r="82" spans="2:25" x14ac:dyDescent="0.25">
      <c r="B82" s="4"/>
      <c r="C82" s="26" t="s">
        <v>90</v>
      </c>
      <c r="D82" s="45" t="s">
        <v>137</v>
      </c>
      <c r="E82" s="7"/>
      <c r="G82" s="70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72"/>
      <c r="V82" s="6"/>
      <c r="W82" s="6"/>
      <c r="X82" s="6"/>
      <c r="Y82" s="73"/>
    </row>
    <row r="83" spans="2:25" x14ac:dyDescent="0.25">
      <c r="B83" s="4"/>
      <c r="C83" s="26" t="s">
        <v>91</v>
      </c>
      <c r="D83" s="45" t="s">
        <v>66</v>
      </c>
      <c r="E83" s="7"/>
      <c r="G83" s="70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72"/>
      <c r="V83" s="6"/>
      <c r="W83" s="6"/>
      <c r="X83" s="6"/>
      <c r="Y83" s="73"/>
    </row>
    <row r="84" spans="2:25" x14ac:dyDescent="0.25">
      <c r="B84" s="4"/>
      <c r="C84" s="26" t="s">
        <v>92</v>
      </c>
      <c r="D84" s="45" t="s">
        <v>137</v>
      </c>
      <c r="E84" s="7"/>
      <c r="G84" s="70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72"/>
      <c r="V84" s="6"/>
      <c r="W84" s="6"/>
      <c r="X84" s="6"/>
      <c r="Y84" s="73"/>
    </row>
    <row r="85" spans="2:25" x14ac:dyDescent="0.25">
      <c r="B85" s="4"/>
      <c r="C85" s="26" t="s">
        <v>93</v>
      </c>
      <c r="D85" s="55">
        <v>0</v>
      </c>
      <c r="E85" s="7"/>
      <c r="G85" s="70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72"/>
      <c r="V85" s="6"/>
      <c r="W85" s="6"/>
      <c r="X85" s="6"/>
      <c r="Y85" s="73"/>
    </row>
    <row r="86" spans="2:25" x14ac:dyDescent="0.25">
      <c r="B86" s="4"/>
      <c r="C86" s="26" t="s">
        <v>94</v>
      </c>
      <c r="D86" s="55" t="s">
        <v>36</v>
      </c>
      <c r="E86" s="7"/>
      <c r="G86" s="70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72"/>
      <c r="V86" s="6"/>
      <c r="W86" s="6"/>
      <c r="X86" s="6"/>
      <c r="Y86" s="73"/>
    </row>
    <row r="87" spans="2:25" x14ac:dyDescent="0.25">
      <c r="B87" s="4"/>
      <c r="C87" s="26" t="s">
        <v>95</v>
      </c>
      <c r="D87" s="45" t="s">
        <v>137</v>
      </c>
      <c r="E87" s="7"/>
      <c r="G87" s="70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72"/>
      <c r="V87" s="6"/>
      <c r="W87" s="6"/>
      <c r="X87" s="6"/>
      <c r="Y87" s="73"/>
    </row>
    <row r="88" spans="2:25" x14ac:dyDescent="0.25">
      <c r="B88" s="4"/>
      <c r="C88" s="26" t="s">
        <v>96</v>
      </c>
      <c r="D88" s="45" t="s">
        <v>138</v>
      </c>
      <c r="E88" s="7"/>
      <c r="G88" s="70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72"/>
      <c r="V88" s="6"/>
      <c r="W88" s="6"/>
      <c r="X88" s="6"/>
      <c r="Y88" s="73"/>
    </row>
    <row r="89" spans="2:25" x14ac:dyDescent="0.25">
      <c r="B89" s="4"/>
      <c r="C89" s="26" t="s">
        <v>97</v>
      </c>
      <c r="D89" s="55" t="s">
        <v>98</v>
      </c>
      <c r="E89" s="7"/>
      <c r="G89" s="70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72"/>
      <c r="V89" s="6"/>
      <c r="W89" s="6"/>
      <c r="X89" s="6"/>
      <c r="Y89" s="73"/>
    </row>
    <row r="90" spans="2:25" x14ac:dyDescent="0.25">
      <c r="B90" s="4"/>
      <c r="C90" s="26" t="s">
        <v>99</v>
      </c>
      <c r="D90" s="55" t="s">
        <v>36</v>
      </c>
      <c r="E90" s="7"/>
      <c r="G90" s="70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72"/>
      <c r="V90" s="6"/>
      <c r="W90" s="6"/>
      <c r="X90" s="6"/>
      <c r="Y90" s="73"/>
    </row>
    <row r="91" spans="2:25" x14ac:dyDescent="0.25">
      <c r="B91" s="4"/>
      <c r="C91" s="26" t="s">
        <v>100</v>
      </c>
      <c r="D91" s="55">
        <v>0</v>
      </c>
      <c r="E91" s="7"/>
      <c r="G91" s="70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72"/>
      <c r="V91" s="6"/>
      <c r="W91" s="6"/>
      <c r="X91" s="6"/>
      <c r="Y91" s="73"/>
    </row>
    <row r="92" spans="2:25" x14ac:dyDescent="0.25">
      <c r="B92" s="4"/>
      <c r="C92" s="116" t="s">
        <v>101</v>
      </c>
      <c r="D92" s="118" t="s">
        <v>51</v>
      </c>
      <c r="E92" s="7"/>
      <c r="G92" s="70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72"/>
      <c r="V92" s="6"/>
      <c r="W92" s="6"/>
      <c r="X92" s="6"/>
      <c r="Y92" s="73"/>
    </row>
    <row r="93" spans="2:25" x14ac:dyDescent="0.25">
      <c r="B93" s="4"/>
      <c r="C93" s="116" t="s">
        <v>102</v>
      </c>
      <c r="D93" s="118" t="s">
        <v>51</v>
      </c>
      <c r="E93" s="7"/>
      <c r="G93" s="70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72"/>
      <c r="V93" s="6"/>
      <c r="W93" s="6"/>
      <c r="X93" s="6"/>
      <c r="Y93" s="73"/>
    </row>
    <row r="94" spans="2:25" x14ac:dyDescent="0.25">
      <c r="B94" s="4"/>
      <c r="C94" s="26" t="s">
        <v>103</v>
      </c>
      <c r="D94" s="64" t="s">
        <v>104</v>
      </c>
      <c r="E94" s="7"/>
      <c r="G94" s="70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72"/>
      <c r="V94" s="6"/>
      <c r="W94" s="6"/>
      <c r="X94" s="6"/>
      <c r="Y94" s="73"/>
    </row>
    <row r="95" spans="2:25" x14ac:dyDescent="0.25">
      <c r="B95" s="4"/>
      <c r="C95" s="26" t="s">
        <v>105</v>
      </c>
      <c r="D95" s="45" t="s">
        <v>138</v>
      </c>
      <c r="E95" s="7"/>
      <c r="G95" s="70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72"/>
      <c r="V95" s="6"/>
      <c r="W95" s="6"/>
      <c r="X95" s="6"/>
      <c r="Y95" s="73"/>
    </row>
    <row r="96" spans="2:25" x14ac:dyDescent="0.25">
      <c r="B96" s="4"/>
      <c r="C96" s="26" t="s">
        <v>106</v>
      </c>
      <c r="D96" s="55" t="s">
        <v>137</v>
      </c>
      <c r="E96" s="7"/>
      <c r="G96" s="70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72"/>
      <c r="V96" s="6"/>
      <c r="W96" s="6"/>
      <c r="X96" s="6"/>
      <c r="Y96" s="73"/>
    </row>
    <row r="97" spans="2:25" x14ac:dyDescent="0.25">
      <c r="B97" s="4"/>
      <c r="C97" s="26" t="s">
        <v>107</v>
      </c>
      <c r="D97" s="55" t="s">
        <v>66</v>
      </c>
      <c r="E97" s="7"/>
      <c r="G97" s="70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72"/>
      <c r="V97" s="6"/>
      <c r="W97" s="6"/>
      <c r="X97" s="6"/>
      <c r="Y97" s="73"/>
    </row>
    <row r="98" spans="2:25" x14ac:dyDescent="0.25">
      <c r="B98" s="4"/>
      <c r="C98" s="26" t="s">
        <v>108</v>
      </c>
      <c r="D98" s="64" t="s">
        <v>137</v>
      </c>
      <c r="E98" s="7"/>
      <c r="G98" s="70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72"/>
      <c r="V98" s="6"/>
      <c r="W98" s="6"/>
      <c r="X98" s="6"/>
      <c r="Y98" s="73"/>
    </row>
    <row r="99" spans="2:25" x14ac:dyDescent="0.25">
      <c r="B99" s="4"/>
      <c r="C99" s="26" t="s">
        <v>109</v>
      </c>
      <c r="D99" s="55">
        <v>0</v>
      </c>
      <c r="E99" s="7"/>
      <c r="G99" s="70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72"/>
      <c r="V99" s="6"/>
      <c r="W99" s="6"/>
      <c r="X99" s="6"/>
      <c r="Y99" s="73"/>
    </row>
    <row r="100" spans="2:25" x14ac:dyDescent="0.25">
      <c r="B100" s="4"/>
      <c r="C100" s="26" t="s">
        <v>110</v>
      </c>
      <c r="D100" s="55" t="s">
        <v>36</v>
      </c>
      <c r="E100" s="7"/>
      <c r="G100" s="70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72"/>
      <c r="V100" s="6"/>
      <c r="W100" s="6"/>
      <c r="X100" s="6"/>
      <c r="Y100" s="73"/>
    </row>
    <row r="101" spans="2:25" x14ac:dyDescent="0.25">
      <c r="B101" s="4"/>
      <c r="C101" s="26" t="s">
        <v>111</v>
      </c>
      <c r="D101" s="119" t="s">
        <v>112</v>
      </c>
      <c r="E101" s="7"/>
      <c r="G101" s="70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72"/>
      <c r="V101" s="6"/>
      <c r="W101" s="6"/>
      <c r="X101" s="6"/>
      <c r="Y101" s="73"/>
    </row>
    <row r="102" spans="2:25" x14ac:dyDescent="0.25">
      <c r="B102" s="4"/>
      <c r="C102" s="26" t="s">
        <v>77</v>
      </c>
      <c r="D102" s="55" t="b">
        <v>1</v>
      </c>
      <c r="E102" s="7"/>
      <c r="G102" s="70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72"/>
      <c r="V102" s="6"/>
      <c r="W102" s="6"/>
      <c r="X102" s="6"/>
      <c r="Y102" s="73"/>
    </row>
    <row r="103" spans="2:25" x14ac:dyDescent="0.25">
      <c r="B103" s="4"/>
      <c r="C103" s="26" t="s">
        <v>113</v>
      </c>
      <c r="D103" s="55" t="b">
        <v>1</v>
      </c>
      <c r="E103" s="7"/>
      <c r="G103" s="70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72"/>
      <c r="V103" s="6"/>
      <c r="W103" s="6"/>
      <c r="X103" s="6"/>
      <c r="Y103" s="73"/>
    </row>
    <row r="104" spans="2:25" x14ac:dyDescent="0.25">
      <c r="B104" s="4"/>
      <c r="C104" s="108"/>
      <c r="D104" s="62"/>
      <c r="E104" s="7"/>
      <c r="G104" s="70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72"/>
      <c r="V104" s="6"/>
      <c r="W104" s="6"/>
      <c r="X104" s="6"/>
      <c r="Y104" s="73"/>
    </row>
    <row r="105" spans="2:25" x14ac:dyDescent="0.25">
      <c r="B105" s="29"/>
      <c r="C105" s="30"/>
      <c r="D105" s="30"/>
      <c r="E105" s="31"/>
      <c r="G105" s="70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72"/>
      <c r="V105" s="6"/>
      <c r="W105" s="6"/>
      <c r="X105" s="6"/>
      <c r="Y105" s="73"/>
    </row>
    <row r="106" spans="2:25" x14ac:dyDescent="0.25">
      <c r="G106" s="70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72"/>
      <c r="V106" s="6"/>
      <c r="W106" s="6"/>
      <c r="X106" s="6"/>
      <c r="Y106" s="73"/>
    </row>
    <row r="107" spans="2:25" x14ac:dyDescent="0.25">
      <c r="G107" s="70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72"/>
      <c r="V107" s="6"/>
      <c r="W107" s="6"/>
      <c r="X107" s="6"/>
      <c r="Y107" s="73"/>
    </row>
    <row r="108" spans="2:25" x14ac:dyDescent="0.25">
      <c r="G108" s="70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72"/>
      <c r="V108" s="6"/>
      <c r="W108" s="6"/>
      <c r="X108" s="6"/>
      <c r="Y108" s="73"/>
    </row>
    <row r="109" spans="2:25" x14ac:dyDescent="0.25">
      <c r="G109" s="70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72"/>
      <c r="V109" s="6"/>
      <c r="W109" s="6"/>
      <c r="X109" s="6"/>
      <c r="Y109" s="73"/>
    </row>
    <row r="110" spans="2:25" x14ac:dyDescent="0.25">
      <c r="G110" s="70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72"/>
      <c r="V110" s="6"/>
      <c r="W110" s="6"/>
      <c r="X110" s="6"/>
      <c r="Y110" s="73"/>
    </row>
    <row r="111" spans="2:25" x14ac:dyDescent="0.25">
      <c r="G111" s="70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72"/>
      <c r="V111" s="6"/>
      <c r="W111" s="6"/>
      <c r="X111" s="6"/>
      <c r="Y111" s="73"/>
    </row>
    <row r="112" spans="2:25" x14ac:dyDescent="0.25">
      <c r="G112" s="70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72"/>
      <c r="V112" s="6"/>
      <c r="W112" s="6"/>
      <c r="X112" s="6"/>
      <c r="Y112" s="73"/>
    </row>
    <row r="113" spans="7:25" x14ac:dyDescent="0.25">
      <c r="G113" s="70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72"/>
      <c r="V113" s="6"/>
      <c r="W113" s="6"/>
      <c r="X113" s="6"/>
      <c r="Y113" s="73"/>
    </row>
    <row r="114" spans="7:25" x14ac:dyDescent="0.25">
      <c r="G114" s="70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72"/>
      <c r="V114" s="6"/>
      <c r="W114" s="6"/>
      <c r="X114" s="6"/>
      <c r="Y114" s="73"/>
    </row>
    <row r="115" spans="7:25" x14ac:dyDescent="0.25">
      <c r="G115" s="70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72"/>
      <c r="V115" s="6"/>
      <c r="W115" s="6"/>
      <c r="X115" s="6"/>
      <c r="Y115" s="73"/>
    </row>
    <row r="116" spans="7:25" x14ac:dyDescent="0.25">
      <c r="G116" s="70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72"/>
      <c r="V116" s="6"/>
      <c r="W116" s="6"/>
      <c r="X116" s="6"/>
      <c r="Y116" s="73"/>
    </row>
    <row r="117" spans="7:25" x14ac:dyDescent="0.25">
      <c r="G117" s="70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72"/>
      <c r="V117" s="6"/>
      <c r="W117" s="6"/>
      <c r="X117" s="6"/>
      <c r="Y117" s="73"/>
    </row>
    <row r="118" spans="7:25" x14ac:dyDescent="0.25">
      <c r="G118" s="70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72"/>
      <c r="V118" s="6"/>
      <c r="W118" s="6"/>
      <c r="X118" s="6"/>
      <c r="Y118" s="73"/>
    </row>
    <row r="119" spans="7:25" x14ac:dyDescent="0.25">
      <c r="G119" s="70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72"/>
      <c r="V119" s="6"/>
      <c r="W119" s="6"/>
      <c r="X119" s="6"/>
      <c r="Y119" s="73"/>
    </row>
    <row r="120" spans="7:25" x14ac:dyDescent="0.25">
      <c r="G120" s="70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72"/>
      <c r="V120" s="6"/>
      <c r="W120" s="6"/>
      <c r="X120" s="6"/>
      <c r="Y120" s="73"/>
    </row>
    <row r="121" spans="7:25" x14ac:dyDescent="0.25">
      <c r="G121" s="70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72"/>
      <c r="V121" s="6"/>
      <c r="W121" s="6"/>
      <c r="X121" s="6"/>
      <c r="Y121" s="73"/>
    </row>
    <row r="122" spans="7:25" x14ac:dyDescent="0.25">
      <c r="G122" s="70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72"/>
      <c r="V122" s="6"/>
      <c r="W122" s="6"/>
      <c r="X122" s="6"/>
      <c r="Y122" s="73"/>
    </row>
    <row r="123" spans="7:25" x14ac:dyDescent="0.25">
      <c r="G123" s="70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72"/>
      <c r="V123" s="6"/>
      <c r="W123" s="6"/>
      <c r="X123" s="6"/>
      <c r="Y123" s="73"/>
    </row>
    <row r="124" spans="7:25" x14ac:dyDescent="0.25">
      <c r="G124" s="70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72"/>
      <c r="V124" s="6"/>
      <c r="W124" s="6"/>
      <c r="X124" s="6"/>
      <c r="Y124" s="73"/>
    </row>
    <row r="125" spans="7:25" x14ac:dyDescent="0.25">
      <c r="G125" s="70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72"/>
      <c r="V125" s="6"/>
      <c r="W125" s="6"/>
      <c r="X125" s="6"/>
      <c r="Y125" s="73"/>
    </row>
    <row r="126" spans="7:25" x14ac:dyDescent="0.25">
      <c r="G126" s="70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72"/>
      <c r="V126" s="6"/>
      <c r="W126" s="6"/>
      <c r="X126" s="6"/>
      <c r="Y126" s="73"/>
    </row>
    <row r="127" spans="7:25" x14ac:dyDescent="0.25">
      <c r="G127" s="70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72"/>
      <c r="V127" s="6"/>
      <c r="W127" s="6"/>
      <c r="X127" s="6"/>
      <c r="Y127" s="73"/>
    </row>
    <row r="128" spans="7:25" x14ac:dyDescent="0.25">
      <c r="G128" s="70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72"/>
      <c r="V128" s="6"/>
      <c r="W128" s="6"/>
      <c r="X128" s="6"/>
      <c r="Y128" s="73"/>
    </row>
    <row r="129" spans="7:25" x14ac:dyDescent="0.25">
      <c r="G129" s="70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72"/>
      <c r="V129" s="6"/>
      <c r="W129" s="6"/>
      <c r="X129" s="6"/>
      <c r="Y129" s="73"/>
    </row>
    <row r="130" spans="7:25" x14ac:dyDescent="0.25">
      <c r="G130" s="70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72"/>
      <c r="V130" s="6"/>
      <c r="W130" s="6"/>
      <c r="X130" s="6"/>
      <c r="Y130" s="73"/>
    </row>
    <row r="131" spans="7:25" x14ac:dyDescent="0.25">
      <c r="G131" s="70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72"/>
      <c r="V131" s="6"/>
      <c r="W131" s="6"/>
      <c r="X131" s="6"/>
      <c r="Y131" s="73"/>
    </row>
    <row r="132" spans="7:25" x14ac:dyDescent="0.25">
      <c r="G132" s="70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72"/>
      <c r="V132" s="6"/>
      <c r="W132" s="6"/>
      <c r="X132" s="6"/>
      <c r="Y132" s="73"/>
    </row>
    <row r="133" spans="7:25" x14ac:dyDescent="0.25">
      <c r="G133" s="70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72"/>
      <c r="V133" s="6"/>
      <c r="W133" s="6"/>
      <c r="X133" s="6"/>
      <c r="Y133" s="73"/>
    </row>
    <row r="134" spans="7:25" x14ac:dyDescent="0.25">
      <c r="G134" s="70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72"/>
      <c r="V134" s="6"/>
      <c r="W134" s="6"/>
      <c r="X134" s="6"/>
      <c r="Y134" s="73"/>
    </row>
    <row r="135" spans="7:25" x14ac:dyDescent="0.25">
      <c r="G135" s="70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72"/>
      <c r="V135" s="6"/>
      <c r="W135" s="6"/>
      <c r="X135" s="6"/>
      <c r="Y135" s="73"/>
    </row>
    <row r="136" spans="7:25" x14ac:dyDescent="0.25">
      <c r="G136" s="70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72"/>
      <c r="V136" s="6"/>
      <c r="W136" s="6"/>
      <c r="X136" s="6"/>
      <c r="Y136" s="73"/>
    </row>
    <row r="137" spans="7:25" x14ac:dyDescent="0.25">
      <c r="G137" s="70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72"/>
      <c r="V137" s="6"/>
      <c r="W137" s="6"/>
      <c r="X137" s="6"/>
      <c r="Y137" s="73"/>
    </row>
    <row r="138" spans="7:25" x14ac:dyDescent="0.25">
      <c r="G138" s="70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72"/>
      <c r="V138" s="6"/>
      <c r="W138" s="6"/>
      <c r="X138" s="6"/>
      <c r="Y138" s="73"/>
    </row>
    <row r="139" spans="7:25" x14ac:dyDescent="0.25">
      <c r="G139" s="70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72"/>
      <c r="V139" s="6"/>
      <c r="W139" s="6"/>
      <c r="X139" s="6"/>
      <c r="Y139" s="73"/>
    </row>
    <row r="140" spans="7:25" x14ac:dyDescent="0.25">
      <c r="G140" s="70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72"/>
      <c r="V140" s="6"/>
      <c r="W140" s="6"/>
      <c r="X140" s="6"/>
      <c r="Y140" s="73"/>
    </row>
    <row r="141" spans="7:25" x14ac:dyDescent="0.25">
      <c r="G141" s="70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72"/>
      <c r="V141" s="6"/>
      <c r="W141" s="6"/>
      <c r="X141" s="6"/>
      <c r="Y141" s="73"/>
    </row>
    <row r="142" spans="7:25" x14ac:dyDescent="0.25">
      <c r="G142" s="109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1"/>
      <c r="V142" s="110"/>
      <c r="W142" s="110"/>
      <c r="X142" s="110"/>
      <c r="Y142" s="112"/>
    </row>
  </sheetData>
  <dataValidations count="2">
    <dataValidation type="list" allowBlank="1" showInputMessage="1" showErrorMessage="1" sqref="D33 D41 D59">
      <formula1>"FOLLOWING,MOD_FOLLOWING,PRECEDING,MOD_PRECEEDING,NO_CHANGE"</formula1>
    </dataValidation>
    <dataValidation type="list" allowBlank="1" showInputMessage="1" showErrorMessage="1" sqref="D5">
      <formula1>"TRUE,FALSE"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"/>
  <sheetViews>
    <sheetView showGridLines="0" workbookViewId="0"/>
  </sheetViews>
  <sheetFormatPr defaultRowHeight="15" x14ac:dyDescent="0.25"/>
  <cols>
    <col min="3" max="3" width="22.140625" bestFit="1" customWidth="1"/>
    <col min="7" max="7" width="19.5703125" bestFit="1" customWidth="1"/>
    <col min="11" max="11" width="20.140625" bestFit="1" customWidth="1"/>
  </cols>
  <sheetData>
    <row r="2" spans="2:13" x14ac:dyDescent="0.25">
      <c r="B2" s="140" t="s">
        <v>184</v>
      </c>
      <c r="F2" s="140" t="s">
        <v>3</v>
      </c>
      <c r="J2" s="140" t="s">
        <v>185</v>
      </c>
    </row>
    <row r="3" spans="2:13" x14ac:dyDescent="0.25">
      <c r="B3" t="s">
        <v>50</v>
      </c>
      <c r="C3" s="139" t="s">
        <v>154</v>
      </c>
      <c r="D3" s="138">
        <f>_xll.BDP(C3,"PX_LAST")%</f>
        <v>3.7000000000000002E-3</v>
      </c>
      <c r="F3" t="s">
        <v>141</v>
      </c>
      <c r="G3" s="139" t="s">
        <v>181</v>
      </c>
      <c r="H3" s="138">
        <f>_xll.BDP(G3,"PX_LAST")%</f>
        <v>2.3999999999999998E-3</v>
      </c>
      <c r="J3" t="s">
        <v>141</v>
      </c>
      <c r="K3" s="139" t="s">
        <v>186</v>
      </c>
      <c r="L3" s="141">
        <f>_xll.BDP(K3,"PX_LAST")%/100</f>
        <v>5.9349999999999995E-4</v>
      </c>
    </row>
    <row r="4" spans="2:13" x14ac:dyDescent="0.25">
      <c r="F4" t="s">
        <v>120</v>
      </c>
      <c r="G4" s="139" t="s">
        <v>162</v>
      </c>
      <c r="H4" s="138">
        <f>_xll.BDP(G4,"PX_LAST")%</f>
        <v>3.0504999999999998E-3</v>
      </c>
      <c r="J4" t="s">
        <v>120</v>
      </c>
      <c r="K4" s="139" t="s">
        <v>187</v>
      </c>
      <c r="L4" s="141">
        <f>_xll.BDP(K4,"PX_LAST")%/100</f>
        <v>6.559999999999999E-4</v>
      </c>
    </row>
    <row r="5" spans="2:13" x14ac:dyDescent="0.25">
      <c r="B5" s="140" t="s">
        <v>68</v>
      </c>
      <c r="F5" t="s">
        <v>43</v>
      </c>
      <c r="G5" s="139" t="s">
        <v>163</v>
      </c>
      <c r="H5" s="138">
        <f>_xll.BDP(G5,"PX_LAST")%</f>
        <v>3.5499999999999998E-3</v>
      </c>
      <c r="J5" t="s">
        <v>43</v>
      </c>
      <c r="K5" s="139" t="s">
        <v>188</v>
      </c>
      <c r="L5" s="141">
        <f>_xll.BDP(K5,"PX_LAST")%/100</f>
        <v>6.5749999999999999E-4</v>
      </c>
    </row>
    <row r="6" spans="2:13" x14ac:dyDescent="0.25">
      <c r="B6" t="s">
        <v>175</v>
      </c>
      <c r="C6" s="139" t="s">
        <v>155</v>
      </c>
      <c r="D6" s="138">
        <f>_xll.BDP(C6,"PX_LAST")%</f>
        <v>3.1800000000000001E-3</v>
      </c>
      <c r="F6" t="s">
        <v>121</v>
      </c>
      <c r="G6" s="139" t="s">
        <v>164</v>
      </c>
      <c r="H6" s="138">
        <f>_xll.BDP(G6,"PX_LAST")%</f>
        <v>4.0000000000000001E-3</v>
      </c>
      <c r="J6" t="s">
        <v>121</v>
      </c>
      <c r="K6" s="139" t="s">
        <v>189</v>
      </c>
      <c r="L6" s="141">
        <f>_xll.BDP(K6,"PX_LAST")%/100</f>
        <v>7.5100000000000004E-4</v>
      </c>
    </row>
    <row r="7" spans="2:13" x14ac:dyDescent="0.25">
      <c r="B7" t="s">
        <v>176</v>
      </c>
      <c r="C7" s="139" t="s">
        <v>156</v>
      </c>
      <c r="D7" s="138">
        <f>_xll.BDP(C7,"PX_LAST")%</f>
        <v>2.63E-3</v>
      </c>
      <c r="F7" t="s">
        <v>122</v>
      </c>
      <c r="G7" s="139" t="s">
        <v>165</v>
      </c>
      <c r="H7" s="138">
        <f>_xll.BDP(G7,"PX_LAST")%</f>
        <v>4.4250000000000001E-3</v>
      </c>
      <c r="J7" t="s">
        <v>122</v>
      </c>
      <c r="K7" s="139" t="s">
        <v>190</v>
      </c>
      <c r="L7" s="141">
        <f>_xll.BDP(K7,"PX_LAST")%/100</f>
        <v>7.5000000000000002E-4</v>
      </c>
    </row>
    <row r="8" spans="2:13" x14ac:dyDescent="0.25">
      <c r="B8" t="s">
        <v>177</v>
      </c>
      <c r="C8" s="139" t="s">
        <v>157</v>
      </c>
      <c r="D8" s="138">
        <f>_xll.BDP(C8,"PX_LAST")%</f>
        <v>2.5500000000000002E-3</v>
      </c>
      <c r="F8" t="s">
        <v>123</v>
      </c>
      <c r="G8" s="139" t="s">
        <v>166</v>
      </c>
      <c r="H8" s="138">
        <f>_xll.BDP(G8,"PX_LAST")%</f>
        <v>4.6999999999999993E-3</v>
      </c>
      <c r="J8" t="s">
        <v>123</v>
      </c>
      <c r="K8" s="139" t="s">
        <v>191</v>
      </c>
      <c r="L8" s="141">
        <f>_xll.BDP(K8,"PX_LAST")%/100</f>
        <v>7.7499999999999997E-4</v>
      </c>
    </row>
    <row r="9" spans="2:13" x14ac:dyDescent="0.25">
      <c r="B9" t="s">
        <v>178</v>
      </c>
      <c r="C9" s="139" t="s">
        <v>158</v>
      </c>
      <c r="D9" s="138">
        <f>_xll.BDP(C9,"PX_LAST")%</f>
        <v>2.3E-3</v>
      </c>
      <c r="F9" t="s">
        <v>124</v>
      </c>
      <c r="G9" s="139" t="s">
        <v>167</v>
      </c>
      <c r="H9" s="138">
        <f>_xll.BDP(G9,"PX_LAST")%</f>
        <v>5.0499999999999998E-3</v>
      </c>
      <c r="J9" t="s">
        <v>124</v>
      </c>
      <c r="K9" s="139" t="s">
        <v>192</v>
      </c>
      <c r="L9" s="141">
        <f>_xll.BDP(K9,"PX_LAST")%/100</f>
        <v>8.4250000000000004E-4</v>
      </c>
    </row>
    <row r="10" spans="2:13" x14ac:dyDescent="0.25">
      <c r="B10" t="s">
        <v>179</v>
      </c>
      <c r="C10" s="139" t="s">
        <v>159</v>
      </c>
      <c r="D10" s="138">
        <f>_xll.BDP(C10,"PX_LAST")%</f>
        <v>2.3499999999999997E-3</v>
      </c>
      <c r="F10" t="s">
        <v>125</v>
      </c>
      <c r="G10" s="139" t="s">
        <v>168</v>
      </c>
      <c r="H10" s="138">
        <f>_xll.BDP(G10,"PX_LAST")%</f>
        <v>5.4313E-3</v>
      </c>
      <c r="J10" t="s">
        <v>125</v>
      </c>
      <c r="K10" s="139" t="s">
        <v>193</v>
      </c>
      <c r="L10" s="141">
        <f>_xll.BDP(K10,"PX_LAST")%/100</f>
        <v>9.3749999999999997E-4</v>
      </c>
    </row>
    <row r="11" spans="2:13" x14ac:dyDescent="0.25">
      <c r="B11" t="s">
        <v>180</v>
      </c>
      <c r="C11" s="139" t="s">
        <v>160</v>
      </c>
      <c r="D11" s="138">
        <f>_xll.BDP(C11,"PX_LAST")%</f>
        <v>2.3999999999999998E-3</v>
      </c>
      <c r="F11" t="s">
        <v>126</v>
      </c>
      <c r="G11" s="139" t="s">
        <v>169</v>
      </c>
      <c r="H11" s="138">
        <f>_xll.BDP(G11,"PX_LAST")%</f>
        <v>5.6999999999999993E-3</v>
      </c>
      <c r="J11" t="s">
        <v>126</v>
      </c>
      <c r="K11" s="139" t="s">
        <v>194</v>
      </c>
      <c r="L11" s="141">
        <f>_xll.BDP(K11,"PX_LAST")%/100</f>
        <v>9.4399999999999996E-4</v>
      </c>
    </row>
    <row r="12" spans="2:13" x14ac:dyDescent="0.25">
      <c r="B12" t="s">
        <v>183</v>
      </c>
      <c r="C12" s="139" t="s">
        <v>161</v>
      </c>
      <c r="D12" s="138">
        <f>_xll.BDP(C12,"PX_LAST")%</f>
        <v>2.7300000000000002E-3</v>
      </c>
      <c r="F12" t="s">
        <v>127</v>
      </c>
      <c r="G12" s="139" t="s">
        <v>170</v>
      </c>
      <c r="H12" s="138">
        <f>_xll.BDP(G12,"PX_LAST")%</f>
        <v>6.0000000000000001E-3</v>
      </c>
      <c r="J12" t="s">
        <v>127</v>
      </c>
      <c r="K12" s="139" t="s">
        <v>195</v>
      </c>
      <c r="L12" s="141">
        <f>_xll.BDP(K12,"PX_LAST")%/100</f>
        <v>8.9999999999999998E-4</v>
      </c>
    </row>
    <row r="13" spans="2:13" x14ac:dyDescent="0.25">
      <c r="F13" t="s">
        <v>182</v>
      </c>
      <c r="G13" s="139" t="s">
        <v>171</v>
      </c>
      <c r="H13" s="138">
        <f>_xll.BDP(G13,"PX_LAST")%</f>
        <v>6.5500000000000003E-3</v>
      </c>
      <c r="J13" s="125" t="s">
        <v>182</v>
      </c>
      <c r="K13" s="125" t="s">
        <v>196</v>
      </c>
      <c r="L13" s="142">
        <f t="shared" ref="L13:L16" si="0">L12</f>
        <v>8.9999999999999998E-4</v>
      </c>
      <c r="M13" t="s">
        <v>256</v>
      </c>
    </row>
    <row r="14" spans="2:13" x14ac:dyDescent="0.25">
      <c r="F14" t="s">
        <v>128</v>
      </c>
      <c r="G14" s="139" t="s">
        <v>172</v>
      </c>
      <c r="H14" s="138">
        <f>_xll.BDP(G14,"PX_LAST")%</f>
        <v>7.2499999999999995E-3</v>
      </c>
      <c r="J14" s="125" t="s">
        <v>128</v>
      </c>
      <c r="K14" s="125" t="s">
        <v>197</v>
      </c>
      <c r="L14" s="142">
        <f t="shared" si="0"/>
        <v>8.9999999999999998E-4</v>
      </c>
      <c r="M14" t="s">
        <v>256</v>
      </c>
    </row>
    <row r="15" spans="2:13" x14ac:dyDescent="0.25">
      <c r="F15" t="s">
        <v>129</v>
      </c>
      <c r="G15" s="139" t="s">
        <v>173</v>
      </c>
      <c r="H15" s="138">
        <f>_xll.BDP(G15,"PX_LAST")%</f>
        <v>7.9500000000000005E-3</v>
      </c>
      <c r="J15" s="125" t="s">
        <v>129</v>
      </c>
      <c r="K15" s="125" t="s">
        <v>198</v>
      </c>
      <c r="L15" s="142">
        <f t="shared" si="0"/>
        <v>8.9999999999999998E-4</v>
      </c>
      <c r="M15" t="s">
        <v>256</v>
      </c>
    </row>
    <row r="16" spans="2:13" x14ac:dyDescent="0.25">
      <c r="F16" t="s">
        <v>131</v>
      </c>
      <c r="G16" s="139" t="s">
        <v>174</v>
      </c>
      <c r="H16" s="138">
        <f>_xll.BDP(G16,"PX_LAST")%</f>
        <v>8.9499999999999996E-3</v>
      </c>
      <c r="J16" s="125" t="s">
        <v>131</v>
      </c>
      <c r="K16" s="125" t="s">
        <v>199</v>
      </c>
      <c r="L16" s="142">
        <f t="shared" si="0"/>
        <v>8.9999999999999998E-4</v>
      </c>
      <c r="M16" t="s">
        <v>256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B3:AB142"/>
  <sheetViews>
    <sheetView showGridLines="0" workbookViewId="0"/>
  </sheetViews>
  <sheetFormatPr defaultRowHeight="15" x14ac:dyDescent="0.25"/>
  <cols>
    <col min="1" max="2" width="2.7109375" customWidth="1"/>
    <col min="3" max="4" width="40.7109375" customWidth="1"/>
    <col min="5" max="5" width="2.7109375" customWidth="1"/>
    <col min="7" max="7" width="2.7109375" customWidth="1"/>
    <col min="8" max="8" width="30.7109375" customWidth="1"/>
    <col min="9" max="9" width="41.28515625" bestFit="1" customWidth="1"/>
    <col min="10" max="10" width="2.7109375" customWidth="1"/>
    <col min="11" max="12" width="10.7109375" customWidth="1"/>
    <col min="13" max="13" width="2.7109375" customWidth="1"/>
    <col min="14" max="14" width="10.7109375" customWidth="1"/>
    <col min="15" max="15" width="15.7109375" customWidth="1"/>
    <col min="16" max="16" width="10.7109375" customWidth="1"/>
    <col min="17" max="17" width="2.7109375" customWidth="1"/>
    <col min="18" max="18" width="10.7109375" customWidth="1"/>
    <col min="19" max="19" width="12.7109375" customWidth="1"/>
    <col min="20" max="20" width="10.7109375" customWidth="1"/>
    <col min="21" max="21" width="5.7109375" style="65" customWidth="1"/>
    <col min="22" max="22" width="10.7109375" customWidth="1"/>
    <col min="23" max="23" width="12.7109375" customWidth="1"/>
    <col min="24" max="24" width="10.7109375" customWidth="1"/>
    <col min="25" max="25" width="18" bestFit="1" customWidth="1"/>
    <col min="27" max="27" width="9.85546875" bestFit="1" customWidth="1"/>
  </cols>
  <sheetData>
    <row r="3" spans="2:28" x14ac:dyDescent="0.25">
      <c r="B3" s="1"/>
      <c r="C3" s="2"/>
      <c r="D3" s="2"/>
      <c r="E3" s="3"/>
      <c r="G3" s="66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8"/>
      <c r="V3" s="67"/>
      <c r="W3" s="67"/>
      <c r="X3" s="67"/>
      <c r="Y3" s="69"/>
    </row>
    <row r="4" spans="2:28" x14ac:dyDescent="0.25">
      <c r="B4" s="4"/>
      <c r="C4" s="8" t="s">
        <v>1</v>
      </c>
      <c r="D4" s="6"/>
      <c r="E4" s="7"/>
      <c r="G4" s="70"/>
      <c r="H4" s="10" t="s">
        <v>2</v>
      </c>
      <c r="I4" s="11"/>
      <c r="J4" s="6"/>
      <c r="K4" s="10" t="s">
        <v>47</v>
      </c>
      <c r="L4" s="11"/>
      <c r="M4" s="6"/>
      <c r="N4" s="10" t="s">
        <v>119</v>
      </c>
      <c r="O4" s="71"/>
      <c r="P4" s="11"/>
      <c r="Q4" s="6"/>
      <c r="R4" s="10" t="s">
        <v>3</v>
      </c>
      <c r="S4" s="6"/>
      <c r="T4" s="6"/>
      <c r="U4" s="72"/>
      <c r="V4" s="10" t="s">
        <v>48</v>
      </c>
      <c r="W4" s="6"/>
      <c r="X4" s="6"/>
      <c r="Y4" s="73"/>
    </row>
    <row r="5" spans="2:28" x14ac:dyDescent="0.25">
      <c r="B5" s="4"/>
      <c r="C5" s="5" t="s">
        <v>0</v>
      </c>
      <c r="D5" s="12" t="b">
        <v>1</v>
      </c>
      <c r="E5" s="7"/>
      <c r="G5" s="70"/>
      <c r="H5" s="74" t="s">
        <v>9</v>
      </c>
      <c r="I5" s="75" t="s">
        <v>115</v>
      </c>
      <c r="J5" s="6" t="s">
        <v>4</v>
      </c>
      <c r="K5" s="9" t="s">
        <v>5</v>
      </c>
      <c r="L5" s="9" t="s">
        <v>6</v>
      </c>
      <c r="M5" s="37"/>
      <c r="N5" s="76" t="s">
        <v>5</v>
      </c>
      <c r="O5" s="76" t="s">
        <v>6</v>
      </c>
      <c r="P5" s="76" t="s">
        <v>7</v>
      </c>
      <c r="Q5" s="37"/>
      <c r="R5" s="77" t="s">
        <v>5</v>
      </c>
      <c r="S5" s="9" t="s">
        <v>6</v>
      </c>
      <c r="T5" s="9" t="s">
        <v>7</v>
      </c>
      <c r="U5" s="78"/>
      <c r="V5" s="77" t="s">
        <v>5</v>
      </c>
      <c r="W5" s="77" t="s">
        <v>6</v>
      </c>
      <c r="X5" s="77" t="s">
        <v>7</v>
      </c>
      <c r="Y5" s="73"/>
    </row>
    <row r="6" spans="2:28" x14ac:dyDescent="0.25">
      <c r="B6" s="4"/>
      <c r="C6" s="13" t="s">
        <v>8</v>
      </c>
      <c r="D6" s="14" t="s">
        <v>114</v>
      </c>
      <c r="E6" s="7"/>
      <c r="G6" s="70"/>
      <c r="H6" s="79" t="s">
        <v>11</v>
      </c>
      <c r="I6" s="80" t="s">
        <v>49</v>
      </c>
      <c r="J6" s="6" t="s">
        <v>4</v>
      </c>
      <c r="K6" s="15" t="str">
        <f ca="1">CZK_DATA!B3</f>
        <v>6M</v>
      </c>
      <c r="L6" s="16">
        <f ca="1">CZK_DATA!D3</f>
        <v>3.7000000000000002E-3</v>
      </c>
      <c r="M6" s="6"/>
      <c r="N6" s="81" t="str">
        <f>CZK_DATA!B6</f>
        <v>1X7</v>
      </c>
      <c r="O6" s="130">
        <f>CZK_DATA!D6</f>
        <v>3.1800000000000001E-3</v>
      </c>
      <c r="P6" s="82" t="b">
        <v>1</v>
      </c>
      <c r="Q6" s="6"/>
      <c r="R6" s="127" t="str">
        <f>CZK_DATA!F3</f>
        <v>1Y</v>
      </c>
      <c r="S6" s="128">
        <f>CZK_DATA!H3</f>
        <v>2.3999999999999998E-3</v>
      </c>
      <c r="T6" s="129" t="b">
        <v>1</v>
      </c>
      <c r="U6" s="147" t="s">
        <v>104</v>
      </c>
      <c r="V6" s="127" t="str">
        <f t="shared" ref="V6:V20" si="0">R6</f>
        <v>1Y</v>
      </c>
      <c r="W6" s="128">
        <f ca="1">CZK_DATA!L3</f>
        <v>5.9349999999999995E-4</v>
      </c>
      <c r="X6" s="129" t="s">
        <v>38</v>
      </c>
      <c r="Y6" s="73" t="s">
        <v>257</v>
      </c>
      <c r="AA6" s="83"/>
      <c r="AB6" s="83"/>
    </row>
    <row r="7" spans="2:28" x14ac:dyDescent="0.25">
      <c r="B7" s="4"/>
      <c r="C7" s="13" t="s">
        <v>10</v>
      </c>
      <c r="D7" s="17" t="str">
        <f ca="1">IF(D5,_xll.meLWOCurveGeneratorCreate("CZK_SWAP_6M",C11,C12:D28,C30,C31:D33,C36,C37:D41,C44,C45:D48,C51,C52:D68,C71,C72:D103),"Disabled")</f>
        <v>CZK_SWAP_6M@3:22</v>
      </c>
      <c r="E7" s="7"/>
      <c r="G7" s="70"/>
      <c r="H7" s="79" t="s">
        <v>13</v>
      </c>
      <c r="I7" s="80" t="s">
        <v>72</v>
      </c>
      <c r="J7" s="6" t="s">
        <v>4</v>
      </c>
      <c r="K7" s="19"/>
      <c r="L7" s="21"/>
      <c r="M7" s="6"/>
      <c r="N7" s="84" t="str">
        <f ca="1">CZK_DATA!B7</f>
        <v>2X8</v>
      </c>
      <c r="O7" s="131">
        <f ca="1">CZK_DATA!D7</f>
        <v>2.63E-3</v>
      </c>
      <c r="P7" s="85" t="b">
        <v>1</v>
      </c>
      <c r="Q7" s="6"/>
      <c r="R7" s="19" t="str">
        <f>CZK_DATA!F4</f>
        <v>2Y</v>
      </c>
      <c r="S7" s="20">
        <f>CZK_DATA!H4</f>
        <v>3.0504999999999998E-3</v>
      </c>
      <c r="T7" s="86" t="b">
        <v>1</v>
      </c>
      <c r="U7" s="9" t="s">
        <v>50</v>
      </c>
      <c r="V7" s="19" t="str">
        <f t="shared" si="0"/>
        <v>2Y</v>
      </c>
      <c r="W7" s="126">
        <v>0</v>
      </c>
      <c r="X7" s="86" t="s">
        <v>38</v>
      </c>
      <c r="Y7" s="207" t="s">
        <v>258</v>
      </c>
    </row>
    <row r="8" spans="2:28" x14ac:dyDescent="0.25">
      <c r="B8" s="4"/>
      <c r="C8" s="24" t="s">
        <v>12</v>
      </c>
      <c r="D8" s="25"/>
      <c r="E8" s="7" t="s">
        <v>4</v>
      </c>
      <c r="G8" s="70"/>
      <c r="H8" s="79" t="s">
        <v>15</v>
      </c>
      <c r="I8" s="87">
        <f ca="1">TODAY()</f>
        <v>43964</v>
      </c>
      <c r="J8" s="6" t="s">
        <v>4</v>
      </c>
      <c r="K8" s="19"/>
      <c r="L8" s="21"/>
      <c r="M8" s="6"/>
      <c r="N8" s="84" t="str">
        <f ca="1">CZK_DATA!B8</f>
        <v>3X9</v>
      </c>
      <c r="O8" s="132">
        <f ca="1">CZK_DATA!D8</f>
        <v>2.5500000000000002E-3</v>
      </c>
      <c r="P8" s="89" t="b">
        <v>1</v>
      </c>
      <c r="Q8" s="6"/>
      <c r="R8" s="19" t="str">
        <f>CZK_DATA!F5</f>
        <v>3Y</v>
      </c>
      <c r="S8" s="20">
        <f>CZK_DATA!H5</f>
        <v>3.5499999999999998E-3</v>
      </c>
      <c r="T8" s="86" t="b">
        <v>1</v>
      </c>
      <c r="U8" s="9" t="s">
        <v>50</v>
      </c>
      <c r="V8" s="19" t="str">
        <f t="shared" si="0"/>
        <v>3Y</v>
      </c>
      <c r="W8" s="126">
        <v>0</v>
      </c>
      <c r="X8" s="86" t="s">
        <v>38</v>
      </c>
      <c r="Y8" s="207" t="s">
        <v>258</v>
      </c>
    </row>
    <row r="9" spans="2:28" x14ac:dyDescent="0.25">
      <c r="B9" s="4"/>
      <c r="C9" s="6"/>
      <c r="D9" s="6"/>
      <c r="E9" s="7"/>
      <c r="G9" s="70"/>
      <c r="H9" s="13"/>
      <c r="I9" s="90"/>
      <c r="J9" s="6" t="s">
        <v>4</v>
      </c>
      <c r="K9" s="19"/>
      <c r="L9" s="21"/>
      <c r="M9" s="6"/>
      <c r="N9" s="84" t="str">
        <f ca="1">CZK_DATA!B9</f>
        <v>4X10</v>
      </c>
      <c r="O9" s="132">
        <f ca="1">CZK_DATA!D9</f>
        <v>2.3E-3</v>
      </c>
      <c r="P9" s="89" t="b">
        <v>1</v>
      </c>
      <c r="Q9" s="6"/>
      <c r="R9" s="19" t="str">
        <f>CZK_DATA!F6</f>
        <v>4Y</v>
      </c>
      <c r="S9" s="20">
        <f>CZK_DATA!H6</f>
        <v>4.0000000000000001E-3</v>
      </c>
      <c r="T9" s="86" t="b">
        <v>1</v>
      </c>
      <c r="U9" s="9" t="s">
        <v>50</v>
      </c>
      <c r="V9" s="19" t="str">
        <f t="shared" si="0"/>
        <v>4Y</v>
      </c>
      <c r="W9" s="126">
        <v>0</v>
      </c>
      <c r="X9" s="86" t="s">
        <v>38</v>
      </c>
      <c r="Y9" s="207" t="s">
        <v>258</v>
      </c>
    </row>
    <row r="10" spans="2:28" x14ac:dyDescent="0.25">
      <c r="B10" s="4"/>
      <c r="C10" s="6"/>
      <c r="D10" s="6"/>
      <c r="E10" s="7"/>
      <c r="G10" s="70"/>
      <c r="H10" s="24"/>
      <c r="I10" s="91"/>
      <c r="J10" s="6" t="s">
        <v>4</v>
      </c>
      <c r="K10" s="92"/>
      <c r="L10" s="59"/>
      <c r="M10" s="6"/>
      <c r="N10" s="84" t="str">
        <f ca="1">CZK_DATA!B10</f>
        <v>5X11</v>
      </c>
      <c r="O10" s="132">
        <f ca="1">CZK_DATA!D10</f>
        <v>2.3499999999999997E-3</v>
      </c>
      <c r="P10" s="89" t="b">
        <v>1</v>
      </c>
      <c r="Q10" s="6"/>
      <c r="R10" s="19" t="str">
        <f>CZK_DATA!F7</f>
        <v>5Y</v>
      </c>
      <c r="S10" s="20">
        <f>CZK_DATA!H7</f>
        <v>4.4250000000000001E-3</v>
      </c>
      <c r="T10" s="86" t="b">
        <v>1</v>
      </c>
      <c r="U10" s="9" t="s">
        <v>50</v>
      </c>
      <c r="V10" s="19" t="str">
        <f t="shared" si="0"/>
        <v>5Y</v>
      </c>
      <c r="W10" s="126">
        <v>0</v>
      </c>
      <c r="X10" s="86" t="s">
        <v>38</v>
      </c>
      <c r="Y10" s="207" t="s">
        <v>258</v>
      </c>
    </row>
    <row r="11" spans="2:28" x14ac:dyDescent="0.25">
      <c r="B11" s="4"/>
      <c r="C11" s="10" t="s">
        <v>16</v>
      </c>
      <c r="D11" s="11"/>
      <c r="E11" s="7"/>
      <c r="G11" s="70"/>
      <c r="H11" s="6"/>
      <c r="I11" s="6"/>
      <c r="J11" s="6" t="s">
        <v>4</v>
      </c>
      <c r="K11" s="6"/>
      <c r="L11" s="6"/>
      <c r="M11" s="6"/>
      <c r="N11" s="84"/>
      <c r="O11" s="88"/>
      <c r="P11" s="89"/>
      <c r="Q11" s="6"/>
      <c r="R11" s="19" t="str">
        <f>CZK_DATA!F8</f>
        <v>6Y</v>
      </c>
      <c r="S11" s="20">
        <f>CZK_DATA!H8</f>
        <v>4.6999999999999993E-3</v>
      </c>
      <c r="T11" s="86" t="s">
        <v>38</v>
      </c>
      <c r="U11" s="77" t="s">
        <v>50</v>
      </c>
      <c r="V11" s="19" t="str">
        <f t="shared" si="0"/>
        <v>6Y</v>
      </c>
      <c r="W11" s="126">
        <v>0</v>
      </c>
      <c r="X11" s="86" t="s">
        <v>38</v>
      </c>
      <c r="Y11" s="207" t="s">
        <v>258</v>
      </c>
    </row>
    <row r="12" spans="2:28" x14ac:dyDescent="0.25">
      <c r="B12" s="4"/>
      <c r="C12" s="74" t="s">
        <v>11</v>
      </c>
      <c r="D12" s="23" t="s">
        <v>49</v>
      </c>
      <c r="E12" s="7"/>
      <c r="G12" s="70"/>
      <c r="H12" s="34" t="s">
        <v>17</v>
      </c>
      <c r="I12" s="9"/>
      <c r="J12" s="6" t="s">
        <v>4</v>
      </c>
      <c r="K12" s="6"/>
      <c r="L12" s="6"/>
      <c r="M12" s="6"/>
      <c r="N12" s="84"/>
      <c r="O12" s="88"/>
      <c r="P12" s="89"/>
      <c r="Q12" s="6"/>
      <c r="R12" s="19" t="str">
        <f>CZK_DATA!F9</f>
        <v>7Y</v>
      </c>
      <c r="S12" s="20">
        <f>CZK_DATA!H9</f>
        <v>5.0499999999999998E-3</v>
      </c>
      <c r="T12" s="86" t="s">
        <v>38</v>
      </c>
      <c r="U12" s="77" t="s">
        <v>50</v>
      </c>
      <c r="V12" s="19" t="str">
        <f t="shared" si="0"/>
        <v>7Y</v>
      </c>
      <c r="W12" s="126">
        <v>0</v>
      </c>
      <c r="X12" s="86" t="s">
        <v>38</v>
      </c>
      <c r="Y12" s="207" t="s">
        <v>258</v>
      </c>
    </row>
    <row r="13" spans="2:28" x14ac:dyDescent="0.25">
      <c r="B13" s="4"/>
      <c r="C13" s="79" t="s">
        <v>13</v>
      </c>
      <c r="D13" s="33" t="s">
        <v>72</v>
      </c>
      <c r="E13" s="7"/>
      <c r="G13" s="70"/>
      <c r="H13" s="5" t="s">
        <v>18</v>
      </c>
      <c r="I13" s="35" t="s">
        <v>116</v>
      </c>
      <c r="J13" s="6" t="s">
        <v>4</v>
      </c>
      <c r="K13" s="6"/>
      <c r="L13" s="6"/>
      <c r="M13" s="6"/>
      <c r="N13" s="84"/>
      <c r="O13" s="88"/>
      <c r="P13" s="89"/>
      <c r="Q13" s="6"/>
      <c r="R13" s="19" t="str">
        <f>CZK_DATA!F10</f>
        <v>8Y</v>
      </c>
      <c r="S13" s="20">
        <f>CZK_DATA!H10</f>
        <v>5.4313E-3</v>
      </c>
      <c r="T13" s="86" t="s">
        <v>38</v>
      </c>
      <c r="U13" s="77" t="s">
        <v>50</v>
      </c>
      <c r="V13" s="19" t="str">
        <f t="shared" si="0"/>
        <v>8Y</v>
      </c>
      <c r="W13" s="126">
        <v>0</v>
      </c>
      <c r="X13" s="86" t="s">
        <v>38</v>
      </c>
      <c r="Y13" s="207" t="s">
        <v>258</v>
      </c>
    </row>
    <row r="14" spans="2:28" x14ac:dyDescent="0.25">
      <c r="B14" s="4"/>
      <c r="C14" s="79" t="s">
        <v>14</v>
      </c>
      <c r="D14" s="33" t="s">
        <v>51</v>
      </c>
      <c r="E14" s="7" t="s">
        <v>4</v>
      </c>
      <c r="G14" s="70"/>
      <c r="H14" s="24" t="s">
        <v>20</v>
      </c>
      <c r="I14" s="36" t="str">
        <f ca="1">_xll.meLWOCurveMarketDataCreate(I13,H4,H5:I10,K4,K6:L7,N4,N6:P10,R4,R6:T20,V4,V6:X20)</f>
        <v>CZK_SWAP_6M_CURVE_MARKETDATA@1:43</v>
      </c>
      <c r="J14" s="6" t="s">
        <v>4</v>
      </c>
      <c r="K14" s="6"/>
      <c r="L14" s="6"/>
      <c r="M14" s="6"/>
      <c r="N14" s="84"/>
      <c r="O14" s="88"/>
      <c r="P14" s="89"/>
      <c r="Q14" s="6"/>
      <c r="R14" s="19" t="str">
        <f>CZK_DATA!F11</f>
        <v>9Y</v>
      </c>
      <c r="S14" s="20">
        <f>CZK_DATA!H11</f>
        <v>5.6999999999999993E-3</v>
      </c>
      <c r="T14" s="86" t="s">
        <v>38</v>
      </c>
      <c r="U14" s="77" t="s">
        <v>50</v>
      </c>
      <c r="V14" s="19" t="str">
        <f t="shared" si="0"/>
        <v>9Y</v>
      </c>
      <c r="W14" s="126">
        <v>0</v>
      </c>
      <c r="X14" s="86" t="s">
        <v>38</v>
      </c>
      <c r="Y14" s="207" t="s">
        <v>258</v>
      </c>
    </row>
    <row r="15" spans="2:28" x14ac:dyDescent="0.25">
      <c r="B15" s="4"/>
      <c r="C15" s="79" t="s">
        <v>19</v>
      </c>
      <c r="D15" s="33" t="s">
        <v>132</v>
      </c>
      <c r="E15" s="7"/>
      <c r="G15" s="70"/>
      <c r="H15" s="6"/>
      <c r="I15" s="6"/>
      <c r="J15" s="6" t="s">
        <v>4</v>
      </c>
      <c r="K15" s="6"/>
      <c r="L15" s="6"/>
      <c r="M15" s="6"/>
      <c r="N15" s="84"/>
      <c r="O15" s="88"/>
      <c r="P15" s="89"/>
      <c r="Q15" s="6"/>
      <c r="R15" s="19" t="str">
        <f>CZK_DATA!F12</f>
        <v>10Y</v>
      </c>
      <c r="S15" s="20">
        <f>CZK_DATA!H12</f>
        <v>6.0000000000000001E-3</v>
      </c>
      <c r="T15" s="86" t="s">
        <v>38</v>
      </c>
      <c r="U15" s="77" t="s">
        <v>50</v>
      </c>
      <c r="V15" s="104" t="str">
        <f t="shared" si="0"/>
        <v>10Y</v>
      </c>
      <c r="W15" s="126">
        <v>0</v>
      </c>
      <c r="X15" s="86" t="s">
        <v>38</v>
      </c>
      <c r="Y15" s="207" t="s">
        <v>258</v>
      </c>
    </row>
    <row r="16" spans="2:28" x14ac:dyDescent="0.25">
      <c r="B16" s="4"/>
      <c r="C16" s="79" t="s">
        <v>9</v>
      </c>
      <c r="D16" s="27" t="s">
        <v>115</v>
      </c>
      <c r="E16" s="7"/>
      <c r="G16" s="70"/>
      <c r="H16" s="6"/>
      <c r="I16" s="6"/>
      <c r="J16" s="6" t="s">
        <v>4</v>
      </c>
      <c r="K16" s="6"/>
      <c r="L16" s="6"/>
      <c r="M16" s="6"/>
      <c r="N16" s="84"/>
      <c r="O16" s="88"/>
      <c r="P16" s="89"/>
      <c r="Q16" s="6"/>
      <c r="R16" s="19" t="str">
        <f>CZK_DATA!F13</f>
        <v>12Y</v>
      </c>
      <c r="S16" s="20">
        <f>CZK_DATA!H13</f>
        <v>6.5500000000000003E-3</v>
      </c>
      <c r="T16" s="86" t="s">
        <v>38</v>
      </c>
      <c r="U16" s="77" t="s">
        <v>50</v>
      </c>
      <c r="V16" s="104" t="str">
        <f t="shared" si="0"/>
        <v>12Y</v>
      </c>
      <c r="W16" s="126">
        <v>0</v>
      </c>
      <c r="X16" s="86" t="s">
        <v>38</v>
      </c>
      <c r="Y16" s="207" t="s">
        <v>258</v>
      </c>
    </row>
    <row r="17" spans="2:26" x14ac:dyDescent="0.25">
      <c r="B17" s="4"/>
      <c r="C17" s="79" t="s">
        <v>21</v>
      </c>
      <c r="D17" s="27" t="s">
        <v>52</v>
      </c>
      <c r="E17" s="7"/>
      <c r="G17" s="70"/>
      <c r="H17" s="6"/>
      <c r="I17" s="6"/>
      <c r="J17" s="6" t="s">
        <v>4</v>
      </c>
      <c r="K17" s="6"/>
      <c r="L17" s="6"/>
      <c r="M17" s="6"/>
      <c r="N17" s="84"/>
      <c r="O17" s="88"/>
      <c r="P17" s="89"/>
      <c r="Q17" s="6"/>
      <c r="R17" s="19" t="str">
        <f>CZK_DATA!F14</f>
        <v>15Y</v>
      </c>
      <c r="S17" s="20">
        <f>CZK_DATA!H14</f>
        <v>7.2499999999999995E-3</v>
      </c>
      <c r="T17" s="86" t="s">
        <v>38</v>
      </c>
      <c r="U17" s="77" t="s">
        <v>50</v>
      </c>
      <c r="V17" s="104" t="str">
        <f t="shared" si="0"/>
        <v>15Y</v>
      </c>
      <c r="W17" s="126">
        <v>0</v>
      </c>
      <c r="X17" s="86" t="b">
        <v>1</v>
      </c>
      <c r="Y17" s="207" t="s">
        <v>258</v>
      </c>
    </row>
    <row r="18" spans="2:26" x14ac:dyDescent="0.25">
      <c r="B18" s="4"/>
      <c r="C18" s="79" t="s">
        <v>22</v>
      </c>
      <c r="D18" s="27" t="s">
        <v>52</v>
      </c>
      <c r="E18" s="7"/>
      <c r="G18" s="70"/>
      <c r="H18" s="6"/>
      <c r="I18" s="6"/>
      <c r="J18" s="6"/>
      <c r="K18" s="6"/>
      <c r="L18" s="6"/>
      <c r="M18" s="6"/>
      <c r="N18" s="84"/>
      <c r="O18" s="88"/>
      <c r="P18" s="89"/>
      <c r="Q18" s="6"/>
      <c r="R18" s="19" t="str">
        <f>CZK_DATA!F15</f>
        <v>20Y</v>
      </c>
      <c r="S18" s="20">
        <f>CZK_DATA!H15</f>
        <v>7.9500000000000005E-3</v>
      </c>
      <c r="T18" s="86" t="s">
        <v>38</v>
      </c>
      <c r="U18" s="77" t="s">
        <v>50</v>
      </c>
      <c r="V18" s="104" t="str">
        <f t="shared" si="0"/>
        <v>20Y</v>
      </c>
      <c r="W18" s="126">
        <v>0</v>
      </c>
      <c r="X18" s="86" t="b">
        <v>1</v>
      </c>
      <c r="Y18" s="207" t="s">
        <v>258</v>
      </c>
    </row>
    <row r="19" spans="2:26" x14ac:dyDescent="0.25">
      <c r="B19" s="4"/>
      <c r="C19" s="79" t="s">
        <v>55</v>
      </c>
      <c r="D19" s="27" t="s">
        <v>52</v>
      </c>
      <c r="E19" s="7"/>
      <c r="G19" s="70"/>
      <c r="H19" s="40" t="s">
        <v>23</v>
      </c>
      <c r="I19" s="9"/>
      <c r="J19" s="6" t="s">
        <v>4</v>
      </c>
      <c r="K19" s="6"/>
      <c r="L19" s="6"/>
      <c r="M19" s="6"/>
      <c r="N19" s="84"/>
      <c r="O19" s="88"/>
      <c r="P19" s="89"/>
      <c r="Q19" s="6"/>
      <c r="R19" s="19" t="str">
        <f>CZK_DATA!F16</f>
        <v>30Y</v>
      </c>
      <c r="S19" s="20">
        <f>CZK_DATA!H16</f>
        <v>8.9499999999999996E-3</v>
      </c>
      <c r="T19" s="86" t="s">
        <v>38</v>
      </c>
      <c r="U19" s="77" t="s">
        <v>50</v>
      </c>
      <c r="V19" s="104" t="str">
        <f t="shared" si="0"/>
        <v>30Y</v>
      </c>
      <c r="W19" s="126">
        <v>0</v>
      </c>
      <c r="X19" s="86" t="b">
        <v>1</v>
      </c>
      <c r="Y19" s="207" t="s">
        <v>258</v>
      </c>
    </row>
    <row r="20" spans="2:26" x14ac:dyDescent="0.25">
      <c r="B20" s="4"/>
      <c r="C20" s="18" t="s">
        <v>53</v>
      </c>
      <c r="D20" s="113" t="b">
        <v>1</v>
      </c>
      <c r="E20" s="7"/>
      <c r="G20" s="70"/>
      <c r="H20" s="41" t="s">
        <v>18</v>
      </c>
      <c r="I20" s="42" t="s">
        <v>117</v>
      </c>
      <c r="J20" s="6" t="s">
        <v>4</v>
      </c>
      <c r="K20" s="6"/>
      <c r="L20" s="6"/>
      <c r="M20" s="6"/>
      <c r="N20" s="84"/>
      <c r="O20" s="88"/>
      <c r="P20" s="89"/>
      <c r="Q20" s="6"/>
      <c r="R20" s="120" t="s">
        <v>24</v>
      </c>
      <c r="S20" s="121">
        <f>S19</f>
        <v>8.9499999999999996E-3</v>
      </c>
      <c r="T20" s="122" t="b">
        <v>1</v>
      </c>
      <c r="U20" s="148" t="s">
        <v>50</v>
      </c>
      <c r="V20" s="120" t="str">
        <f t="shared" si="0"/>
        <v>40Y</v>
      </c>
      <c r="W20" s="123">
        <v>0</v>
      </c>
      <c r="X20" s="86" t="b">
        <v>1</v>
      </c>
      <c r="Y20" s="207" t="s">
        <v>258</v>
      </c>
      <c r="Z20" s="125"/>
    </row>
    <row r="21" spans="2:26" x14ac:dyDescent="0.25">
      <c r="B21" s="4"/>
      <c r="C21" s="18" t="s">
        <v>54</v>
      </c>
      <c r="D21" s="113" t="s">
        <v>133</v>
      </c>
      <c r="E21" s="7"/>
      <c r="G21" s="70"/>
      <c r="H21" s="43" t="s">
        <v>26</v>
      </c>
      <c r="I21" s="53" t="str">
        <f ca="1">D7</f>
        <v>CZK_SWAP_6M@3:22</v>
      </c>
      <c r="J21" s="6" t="s">
        <v>4</v>
      </c>
      <c r="K21" s="6"/>
      <c r="L21" s="6"/>
      <c r="M21" s="6"/>
      <c r="N21" s="84"/>
      <c r="O21" s="88"/>
      <c r="P21" s="89"/>
      <c r="Q21" s="6"/>
      <c r="R21" s="104"/>
      <c r="S21" s="126"/>
      <c r="T21" s="86"/>
      <c r="U21" s="93"/>
      <c r="V21" s="104"/>
      <c r="W21" s="126"/>
      <c r="X21" s="86"/>
      <c r="Y21" s="124"/>
      <c r="Z21" s="125"/>
    </row>
    <row r="22" spans="2:26" x14ac:dyDescent="0.25">
      <c r="B22" s="4"/>
      <c r="C22" s="26" t="s">
        <v>56</v>
      </c>
      <c r="D22" s="60" t="s">
        <v>57</v>
      </c>
      <c r="E22" s="7"/>
      <c r="G22" s="70"/>
      <c r="H22" s="43" t="s">
        <v>28</v>
      </c>
      <c r="I22" s="44" t="s">
        <v>118</v>
      </c>
      <c r="J22" s="6" t="s">
        <v>4</v>
      </c>
      <c r="K22" s="6"/>
      <c r="L22" s="6"/>
      <c r="M22" s="6"/>
      <c r="N22" s="84"/>
      <c r="O22" s="88"/>
      <c r="P22" s="89"/>
      <c r="Q22" s="6"/>
      <c r="R22" s="84"/>
      <c r="S22" s="94"/>
      <c r="T22" s="95"/>
      <c r="U22" s="78"/>
      <c r="V22" s="19"/>
      <c r="W22" s="20"/>
      <c r="X22" s="86"/>
      <c r="Y22" s="73"/>
    </row>
    <row r="23" spans="2:26" x14ac:dyDescent="0.25">
      <c r="B23" s="4"/>
      <c r="C23" s="26" t="s">
        <v>134</v>
      </c>
      <c r="D23" s="60" t="b">
        <v>0</v>
      </c>
      <c r="E23" s="7"/>
      <c r="G23" s="70"/>
      <c r="H23" s="46" t="s">
        <v>30</v>
      </c>
      <c r="I23" s="47"/>
      <c r="J23" s="6" t="s">
        <v>4</v>
      </c>
      <c r="K23" s="6"/>
      <c r="L23" s="6"/>
      <c r="M23" s="6"/>
      <c r="N23" s="84"/>
      <c r="O23" s="88"/>
      <c r="P23" s="89"/>
      <c r="Q23" s="6"/>
      <c r="R23" s="84"/>
      <c r="S23" s="94"/>
      <c r="T23" s="95"/>
      <c r="U23" s="78"/>
      <c r="V23" s="19"/>
      <c r="W23" s="20"/>
      <c r="X23" s="86"/>
      <c r="Y23" s="73"/>
    </row>
    <row r="24" spans="2:26" x14ac:dyDescent="0.25">
      <c r="B24" s="4"/>
      <c r="C24" s="26" t="s">
        <v>61</v>
      </c>
      <c r="D24" s="60" t="s">
        <v>38</v>
      </c>
      <c r="E24" s="7"/>
      <c r="G24" s="70"/>
      <c r="H24" s="6"/>
      <c r="I24" s="6"/>
      <c r="J24" s="6" t="s">
        <v>4</v>
      </c>
      <c r="K24" s="6"/>
      <c r="L24" s="6"/>
      <c r="M24" s="6"/>
      <c r="N24" s="84"/>
      <c r="O24" s="88"/>
      <c r="P24" s="89"/>
      <c r="Q24" s="6"/>
      <c r="R24" s="84"/>
      <c r="S24" s="94"/>
      <c r="T24" s="95"/>
      <c r="U24" s="78"/>
      <c r="V24" s="19"/>
      <c r="W24" s="20"/>
      <c r="X24" s="86"/>
      <c r="Y24" s="73"/>
    </row>
    <row r="25" spans="2:26" x14ac:dyDescent="0.25">
      <c r="B25" s="4"/>
      <c r="C25" s="115" t="s">
        <v>135</v>
      </c>
      <c r="D25" s="113" t="s">
        <v>136</v>
      </c>
      <c r="E25" s="7"/>
      <c r="G25" s="70"/>
      <c r="H25" s="6"/>
      <c r="I25" s="6"/>
      <c r="J25" s="6" t="s">
        <v>4</v>
      </c>
      <c r="K25" s="6"/>
      <c r="L25" s="6"/>
      <c r="M25" s="6"/>
      <c r="N25" s="84"/>
      <c r="O25" s="88"/>
      <c r="P25" s="89"/>
      <c r="Q25" s="6"/>
      <c r="R25" s="84"/>
      <c r="S25" s="94"/>
      <c r="T25" s="95"/>
      <c r="U25" s="78"/>
      <c r="V25" s="19"/>
      <c r="W25" s="20"/>
      <c r="X25" s="86"/>
      <c r="Y25" s="73"/>
    </row>
    <row r="26" spans="2:26" x14ac:dyDescent="0.25">
      <c r="B26" s="4"/>
      <c r="C26" s="114" t="s">
        <v>58</v>
      </c>
      <c r="D26" s="113" t="b">
        <v>1</v>
      </c>
      <c r="E26" s="7"/>
      <c r="G26" s="70"/>
      <c r="H26" s="40" t="s">
        <v>34</v>
      </c>
      <c r="I26" s="6"/>
      <c r="J26" s="6" t="s">
        <v>4</v>
      </c>
      <c r="K26" s="6"/>
      <c r="L26" s="6"/>
      <c r="M26" s="6"/>
      <c r="N26" s="84"/>
      <c r="O26" s="88"/>
      <c r="P26" s="89"/>
      <c r="Q26" s="6"/>
      <c r="R26" s="84"/>
      <c r="S26" s="94"/>
      <c r="T26" s="95"/>
      <c r="U26" s="78"/>
      <c r="V26" s="19"/>
      <c r="W26" s="20"/>
      <c r="X26" s="86"/>
      <c r="Y26" s="73"/>
    </row>
    <row r="27" spans="2:26" x14ac:dyDescent="0.25">
      <c r="B27" s="4"/>
      <c r="C27" s="114" t="s">
        <v>59</v>
      </c>
      <c r="D27" s="113" t="s">
        <v>60</v>
      </c>
      <c r="E27" s="7"/>
      <c r="G27" s="70"/>
      <c r="H27" s="48" t="s">
        <v>18</v>
      </c>
      <c r="I27" s="49" t="str">
        <f t="array" aca="1" ref="I27:I30" ca="1">_xll.meLWOCurveCalibrate(I20,I21,I14,I22,I23)</f>
        <v>CZK_SWAP_6M_CURVE@2:32</v>
      </c>
      <c r="J27" s="6" t="s">
        <v>4</v>
      </c>
      <c r="K27" s="6"/>
      <c r="L27" s="6"/>
      <c r="M27" s="6"/>
      <c r="N27" s="84"/>
      <c r="O27" s="88"/>
      <c r="P27" s="89"/>
      <c r="Q27" s="6"/>
      <c r="R27" s="84"/>
      <c r="S27" s="94"/>
      <c r="T27" s="95"/>
      <c r="U27" s="78"/>
      <c r="V27" s="19"/>
      <c r="W27" s="20"/>
      <c r="X27" s="86"/>
      <c r="Y27" s="73"/>
    </row>
    <row r="28" spans="2:26" x14ac:dyDescent="0.25">
      <c r="B28" s="4"/>
      <c r="C28" s="28"/>
      <c r="D28" s="39"/>
      <c r="E28" s="7"/>
      <c r="G28" s="70"/>
      <c r="H28" s="53" t="s">
        <v>37</v>
      </c>
      <c r="I28" s="50" t="str">
        <f ca="1"/>
        <v>CZKYC</v>
      </c>
      <c r="J28" s="6" t="s">
        <v>4</v>
      </c>
      <c r="K28" s="6"/>
      <c r="L28" s="6"/>
      <c r="M28" s="6"/>
      <c r="N28" s="84"/>
      <c r="O28" s="88"/>
      <c r="P28" s="89"/>
      <c r="Q28" s="6"/>
      <c r="R28" s="84"/>
      <c r="S28" s="94"/>
      <c r="T28" s="95"/>
      <c r="U28" s="78"/>
      <c r="V28" s="19"/>
      <c r="W28" s="20"/>
      <c r="X28" s="86"/>
      <c r="Y28" s="73"/>
    </row>
    <row r="29" spans="2:26" x14ac:dyDescent="0.25">
      <c r="B29" s="4"/>
      <c r="C29" s="6"/>
      <c r="D29" s="6"/>
      <c r="E29" s="7"/>
      <c r="G29" s="70"/>
      <c r="H29" s="53" t="s">
        <v>39</v>
      </c>
      <c r="I29" s="50" t="str">
        <f ca="1"/>
        <v>STD:PRB6M</v>
      </c>
      <c r="J29" s="6" t="s">
        <v>4</v>
      </c>
      <c r="K29" s="6"/>
      <c r="L29" s="6"/>
      <c r="M29" s="6"/>
      <c r="N29" s="84"/>
      <c r="O29" s="88"/>
      <c r="P29" s="89"/>
      <c r="Q29" s="6"/>
      <c r="R29" s="84"/>
      <c r="S29" s="94"/>
      <c r="T29" s="95"/>
      <c r="U29" s="78"/>
      <c r="V29" s="19"/>
      <c r="W29" s="20"/>
      <c r="X29" s="86"/>
      <c r="Y29" s="73"/>
    </row>
    <row r="30" spans="2:26" x14ac:dyDescent="0.25">
      <c r="B30" s="4"/>
      <c r="C30" s="10" t="s">
        <v>62</v>
      </c>
      <c r="D30" s="11" t="s">
        <v>40</v>
      </c>
      <c r="E30" s="7"/>
      <c r="G30" s="70"/>
      <c r="H30" s="54" t="s">
        <v>41</v>
      </c>
      <c r="I30" s="51" t="str">
        <f ca="1"/>
        <v>0.00500 sec</v>
      </c>
      <c r="J30" s="6" t="s">
        <v>4</v>
      </c>
      <c r="K30" s="6"/>
      <c r="L30" s="6"/>
      <c r="M30" s="6"/>
      <c r="N30" s="84"/>
      <c r="O30" s="88"/>
      <c r="P30" s="89"/>
      <c r="Q30" s="6"/>
      <c r="R30" s="84"/>
      <c r="S30" s="94"/>
      <c r="T30" s="95"/>
      <c r="U30" s="78"/>
      <c r="V30" s="19"/>
      <c r="W30" s="20"/>
      <c r="X30" s="86"/>
      <c r="Y30" s="73"/>
    </row>
    <row r="31" spans="2:26" x14ac:dyDescent="0.25">
      <c r="B31" s="4"/>
      <c r="C31" s="22" t="s">
        <v>27</v>
      </c>
      <c r="D31" s="61" t="s">
        <v>137</v>
      </c>
      <c r="E31" s="7"/>
      <c r="G31" s="70"/>
      <c r="H31" s="56" t="s">
        <v>42</v>
      </c>
      <c r="I31" s="96" t="b">
        <f ca="1">_xll.meLWOExists(I27,"CURVE")</f>
        <v>1</v>
      </c>
      <c r="J31" s="6"/>
      <c r="K31" s="6"/>
      <c r="L31" s="6"/>
      <c r="M31" s="6"/>
      <c r="N31" s="97"/>
      <c r="O31" s="98"/>
      <c r="P31" s="99"/>
      <c r="Q31" s="6"/>
      <c r="R31" s="97"/>
      <c r="S31" s="100"/>
      <c r="T31" s="101"/>
      <c r="U31" s="78"/>
      <c r="V31" s="57"/>
      <c r="W31" s="58"/>
      <c r="X31" s="102"/>
      <c r="Y31" s="73"/>
    </row>
    <row r="32" spans="2:26" x14ac:dyDescent="0.25">
      <c r="B32" s="4"/>
      <c r="C32" s="26" t="s">
        <v>29</v>
      </c>
      <c r="D32" s="45" t="s">
        <v>138</v>
      </c>
      <c r="E32" s="7"/>
      <c r="G32" s="70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8"/>
      <c r="V32" s="9"/>
      <c r="W32" s="9"/>
      <c r="X32" s="9"/>
      <c r="Y32" s="73"/>
    </row>
    <row r="33" spans="2:25" x14ac:dyDescent="0.25">
      <c r="B33" s="4"/>
      <c r="C33" s="26" t="s">
        <v>35</v>
      </c>
      <c r="D33" s="45" t="s">
        <v>65</v>
      </c>
      <c r="E33" s="7"/>
      <c r="G33" s="70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8"/>
      <c r="V33" s="9"/>
      <c r="W33" s="9"/>
      <c r="X33" s="9"/>
      <c r="Y33" s="73"/>
    </row>
    <row r="34" spans="2:25" x14ac:dyDescent="0.25">
      <c r="B34" s="4"/>
      <c r="C34" s="46"/>
      <c r="D34" s="62"/>
      <c r="E34" s="7"/>
      <c r="G34" s="70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8"/>
      <c r="V34" s="9"/>
      <c r="W34" s="9"/>
      <c r="X34" s="9"/>
      <c r="Y34" s="73"/>
    </row>
    <row r="35" spans="2:25" x14ac:dyDescent="0.25">
      <c r="B35" s="4"/>
      <c r="C35" s="6"/>
      <c r="D35" s="6"/>
      <c r="E35" s="7"/>
      <c r="G35" s="70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8"/>
      <c r="V35" s="9"/>
      <c r="W35" s="9"/>
      <c r="X35" s="9"/>
      <c r="Y35" s="73"/>
    </row>
    <row r="36" spans="2:25" x14ac:dyDescent="0.25">
      <c r="B36" s="4"/>
      <c r="C36" s="10" t="s">
        <v>47</v>
      </c>
      <c r="D36" s="11" t="s">
        <v>40</v>
      </c>
      <c r="E36" s="7"/>
      <c r="G36" s="70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8"/>
      <c r="V36" s="9"/>
      <c r="W36" s="9"/>
      <c r="X36" s="9"/>
      <c r="Y36" s="73"/>
    </row>
    <row r="37" spans="2:25" x14ac:dyDescent="0.25">
      <c r="B37" s="4"/>
      <c r="C37" s="22" t="s">
        <v>27</v>
      </c>
      <c r="D37" s="61" t="s">
        <v>137</v>
      </c>
      <c r="E37" s="7"/>
      <c r="G37" s="70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8"/>
      <c r="V37" s="9"/>
      <c r="W37" s="9"/>
      <c r="X37" s="9"/>
      <c r="Y37" s="73"/>
    </row>
    <row r="38" spans="2:25" x14ac:dyDescent="0.25">
      <c r="B38" s="4"/>
      <c r="C38" s="52" t="s">
        <v>29</v>
      </c>
      <c r="D38" s="103" t="s">
        <v>138</v>
      </c>
      <c r="E38" s="7"/>
      <c r="G38" s="70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8"/>
      <c r="V38" s="9"/>
      <c r="W38" s="9"/>
      <c r="X38" s="9"/>
      <c r="Y38" s="73"/>
    </row>
    <row r="39" spans="2:25" x14ac:dyDescent="0.25">
      <c r="B39" s="4"/>
      <c r="C39" s="32" t="s">
        <v>31</v>
      </c>
      <c r="D39" s="45" t="s">
        <v>139</v>
      </c>
      <c r="E39" s="7"/>
      <c r="G39" s="70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78"/>
      <c r="V39" s="9"/>
      <c r="W39" s="9"/>
      <c r="X39" s="9"/>
      <c r="Y39" s="73"/>
    </row>
    <row r="40" spans="2:25" x14ac:dyDescent="0.25">
      <c r="B40" s="4" t="s">
        <v>4</v>
      </c>
      <c r="C40" s="32" t="s">
        <v>33</v>
      </c>
      <c r="D40" s="103">
        <v>2</v>
      </c>
      <c r="E40" s="7"/>
      <c r="G40" s="70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78"/>
      <c r="V40" s="9"/>
      <c r="W40" s="9"/>
      <c r="X40" s="9"/>
      <c r="Y40" s="73"/>
    </row>
    <row r="41" spans="2:25" x14ac:dyDescent="0.25">
      <c r="B41" s="4"/>
      <c r="C41" s="32" t="s">
        <v>35</v>
      </c>
      <c r="D41" s="45" t="s">
        <v>36</v>
      </c>
      <c r="E41" s="7"/>
      <c r="G41" s="70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78"/>
      <c r="V41" s="9"/>
      <c r="W41" s="9"/>
      <c r="X41" s="9"/>
      <c r="Y41" s="73"/>
    </row>
    <row r="42" spans="2:25" x14ac:dyDescent="0.25">
      <c r="B42" s="4"/>
      <c r="C42" s="38"/>
      <c r="D42" s="105"/>
      <c r="E42" s="7"/>
      <c r="G42" s="70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8"/>
      <c r="V42" s="9"/>
      <c r="W42" s="9"/>
      <c r="X42" s="9"/>
      <c r="Y42" s="73"/>
    </row>
    <row r="43" spans="2:25" x14ac:dyDescent="0.25">
      <c r="B43" s="4"/>
      <c r="C43" s="6"/>
      <c r="D43" s="6"/>
      <c r="E43" s="7"/>
      <c r="G43" s="70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78"/>
      <c r="V43" s="9"/>
      <c r="W43" s="9"/>
      <c r="X43" s="9"/>
      <c r="Y43" s="73"/>
    </row>
    <row r="44" spans="2:25" x14ac:dyDescent="0.25">
      <c r="B44" s="4"/>
      <c r="C44" s="10" t="s">
        <v>68</v>
      </c>
      <c r="D44" s="11" t="s">
        <v>40</v>
      </c>
      <c r="E44" s="7"/>
      <c r="G44" s="70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8"/>
      <c r="V44" s="9"/>
      <c r="W44" s="9"/>
      <c r="X44" s="9"/>
      <c r="Y44" s="73"/>
    </row>
    <row r="45" spans="2:25" x14ac:dyDescent="0.25">
      <c r="B45" s="4"/>
      <c r="C45" s="5" t="s">
        <v>63</v>
      </c>
      <c r="D45" s="106" t="s">
        <v>137</v>
      </c>
      <c r="E45" s="7"/>
      <c r="G45" s="70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8"/>
      <c r="V45" s="9"/>
      <c r="W45" s="9"/>
      <c r="X45" s="9"/>
      <c r="Y45" s="73"/>
    </row>
    <row r="46" spans="2:25" x14ac:dyDescent="0.25">
      <c r="B46" s="4"/>
      <c r="C46" s="13" t="s">
        <v>64</v>
      </c>
      <c r="D46" s="107" t="s">
        <v>138</v>
      </c>
      <c r="E46" s="7"/>
      <c r="G46" s="70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78"/>
      <c r="V46" s="9"/>
      <c r="W46" s="9"/>
      <c r="X46" s="9"/>
      <c r="Y46" s="73"/>
    </row>
    <row r="47" spans="2:25" x14ac:dyDescent="0.25">
      <c r="B47" s="4"/>
      <c r="C47" s="13" t="s">
        <v>69</v>
      </c>
      <c r="D47" s="107">
        <v>2</v>
      </c>
      <c r="E47" s="7"/>
      <c r="G47" s="70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78"/>
      <c r="V47" s="9"/>
      <c r="W47" s="9"/>
      <c r="X47" s="9"/>
      <c r="Y47" s="73"/>
    </row>
    <row r="48" spans="2:25" x14ac:dyDescent="0.25">
      <c r="B48" s="4"/>
      <c r="C48" s="13" t="s">
        <v>67</v>
      </c>
      <c r="D48" s="107" t="s">
        <v>36</v>
      </c>
      <c r="E48" s="7"/>
      <c r="G48" s="70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8"/>
      <c r="V48" s="9"/>
      <c r="W48" s="9"/>
      <c r="X48" s="9"/>
      <c r="Y48" s="73"/>
    </row>
    <row r="49" spans="2:25" x14ac:dyDescent="0.25">
      <c r="B49" s="4"/>
      <c r="C49" s="38"/>
      <c r="D49" s="105"/>
      <c r="E49" s="7"/>
      <c r="G49" s="70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78"/>
      <c r="V49" s="9"/>
      <c r="W49" s="9"/>
      <c r="X49" s="9"/>
      <c r="Y49" s="73"/>
    </row>
    <row r="50" spans="2:25" x14ac:dyDescent="0.25">
      <c r="B50" s="4"/>
      <c r="C50" s="6"/>
      <c r="D50" s="6"/>
      <c r="E50" s="7"/>
      <c r="G50" s="70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72"/>
      <c r="V50" s="6"/>
      <c r="W50" s="6"/>
      <c r="X50" s="6"/>
      <c r="Y50" s="73"/>
    </row>
    <row r="51" spans="2:25" x14ac:dyDescent="0.25">
      <c r="B51" s="4"/>
      <c r="C51" s="10" t="s">
        <v>3</v>
      </c>
      <c r="D51" s="11"/>
      <c r="E51" s="7"/>
      <c r="G51" s="70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72"/>
      <c r="V51" s="6"/>
      <c r="W51" s="6"/>
      <c r="X51" s="6"/>
      <c r="Y51" s="73"/>
    </row>
    <row r="52" spans="2:25" x14ac:dyDescent="0.25">
      <c r="B52" s="4"/>
      <c r="C52" s="22" t="s">
        <v>63</v>
      </c>
      <c r="D52" s="63" t="s">
        <v>137</v>
      </c>
      <c r="E52" s="7"/>
      <c r="G52" s="70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72"/>
      <c r="V52" s="6"/>
      <c r="W52" s="6"/>
      <c r="X52" s="6"/>
      <c r="Y52" s="73"/>
    </row>
    <row r="53" spans="2:25" x14ac:dyDescent="0.25">
      <c r="B53" s="4"/>
      <c r="C53" s="26" t="s">
        <v>64</v>
      </c>
      <c r="D53" s="45" t="s">
        <v>138</v>
      </c>
      <c r="E53" s="7"/>
      <c r="G53" s="70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2"/>
      <c r="V53" s="6"/>
      <c r="W53" s="6"/>
      <c r="X53" s="6"/>
      <c r="Y53" s="73"/>
    </row>
    <row r="54" spans="2:25" x14ac:dyDescent="0.25">
      <c r="B54" s="4"/>
      <c r="C54" s="26" t="s">
        <v>70</v>
      </c>
      <c r="D54" s="45" t="s">
        <v>138</v>
      </c>
      <c r="E54" s="7"/>
      <c r="G54" s="70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72"/>
      <c r="V54" s="6"/>
      <c r="W54" s="6"/>
      <c r="X54" s="6"/>
      <c r="Y54" s="73"/>
    </row>
    <row r="55" spans="2:25" x14ac:dyDescent="0.25">
      <c r="B55" s="4"/>
      <c r="C55" s="26" t="s">
        <v>71</v>
      </c>
      <c r="D55" s="45" t="s">
        <v>138</v>
      </c>
      <c r="E55" s="7"/>
      <c r="G55" s="70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72"/>
      <c r="V55" s="6"/>
      <c r="W55" s="6"/>
      <c r="X55" s="6"/>
      <c r="Y55" s="73"/>
    </row>
    <row r="56" spans="2:25" x14ac:dyDescent="0.25">
      <c r="B56" s="4"/>
      <c r="C56" s="116" t="s">
        <v>56</v>
      </c>
      <c r="D56" s="118" t="s">
        <v>32</v>
      </c>
      <c r="E56" s="7"/>
      <c r="G56" s="70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72"/>
      <c r="V56" s="6"/>
      <c r="W56" s="6"/>
      <c r="X56" s="6"/>
      <c r="Y56" s="73"/>
    </row>
    <row r="57" spans="2:25" x14ac:dyDescent="0.25">
      <c r="B57" s="4"/>
      <c r="C57" s="116" t="s">
        <v>253</v>
      </c>
      <c r="D57" s="118" t="s">
        <v>32</v>
      </c>
      <c r="E57" s="7"/>
      <c r="G57" s="70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72"/>
      <c r="V57" s="6"/>
      <c r="W57" s="6"/>
      <c r="X57" s="6"/>
      <c r="Y57" s="73"/>
    </row>
    <row r="58" spans="2:25" x14ac:dyDescent="0.25">
      <c r="B58" s="4"/>
      <c r="C58" s="116" t="s">
        <v>74</v>
      </c>
      <c r="D58" s="118" t="s">
        <v>72</v>
      </c>
      <c r="E58" s="7"/>
      <c r="G58" s="70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72"/>
      <c r="V58" s="6"/>
      <c r="W58" s="6"/>
      <c r="X58" s="6"/>
      <c r="Y58" s="73"/>
    </row>
    <row r="59" spans="2:25" x14ac:dyDescent="0.25">
      <c r="B59" s="4"/>
      <c r="C59" s="116" t="s">
        <v>254</v>
      </c>
      <c r="D59" s="118" t="s">
        <v>46</v>
      </c>
      <c r="E59" s="7"/>
      <c r="G59" s="70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72"/>
      <c r="V59" s="6"/>
      <c r="W59" s="6"/>
      <c r="X59" s="6"/>
      <c r="Y59" s="73"/>
    </row>
    <row r="60" spans="2:25" x14ac:dyDescent="0.25">
      <c r="B60" s="4"/>
      <c r="C60" s="26" t="s">
        <v>21</v>
      </c>
      <c r="D60" s="64" t="s">
        <v>52</v>
      </c>
      <c r="E60" s="7"/>
      <c r="G60" s="70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72"/>
      <c r="V60" s="6"/>
      <c r="W60" s="6"/>
      <c r="X60" s="6"/>
      <c r="Y60" s="73"/>
    </row>
    <row r="61" spans="2:25" x14ac:dyDescent="0.25">
      <c r="B61" s="4"/>
      <c r="C61" s="26" t="s">
        <v>67</v>
      </c>
      <c r="D61" s="55" t="s">
        <v>36</v>
      </c>
      <c r="E61" s="7"/>
      <c r="G61" s="70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72"/>
      <c r="V61" s="6"/>
      <c r="W61" s="6"/>
      <c r="X61" s="6"/>
      <c r="Y61" s="73"/>
    </row>
    <row r="62" spans="2:25" x14ac:dyDescent="0.25">
      <c r="B62" s="4"/>
      <c r="C62" s="26" t="s">
        <v>76</v>
      </c>
      <c r="D62" s="55" t="b">
        <v>1</v>
      </c>
      <c r="E62" s="7"/>
      <c r="G62" s="70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72"/>
      <c r="V62" s="6"/>
      <c r="W62" s="6"/>
      <c r="X62" s="6"/>
      <c r="Y62" s="73"/>
    </row>
    <row r="63" spans="2:25" x14ac:dyDescent="0.25">
      <c r="B63" s="4"/>
      <c r="C63" s="26" t="s">
        <v>77</v>
      </c>
      <c r="D63" s="55" t="b">
        <v>1</v>
      </c>
      <c r="E63" s="7"/>
      <c r="G63" s="70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72"/>
      <c r="V63" s="6"/>
      <c r="W63" s="6"/>
      <c r="X63" s="6"/>
      <c r="Y63" s="73"/>
    </row>
    <row r="64" spans="2:25" x14ac:dyDescent="0.25">
      <c r="B64" s="4"/>
      <c r="C64" s="26" t="s">
        <v>44</v>
      </c>
      <c r="D64" s="64">
        <v>1.0000000000000001E-9</v>
      </c>
      <c r="E64" s="7"/>
      <c r="G64" s="70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72"/>
      <c r="V64" s="6"/>
      <c r="W64" s="6"/>
      <c r="X64" s="6"/>
      <c r="Y64" s="73"/>
    </row>
    <row r="65" spans="2:25" x14ac:dyDescent="0.25">
      <c r="B65" s="4"/>
      <c r="C65" s="26" t="s">
        <v>45</v>
      </c>
      <c r="D65" s="55">
        <v>1000</v>
      </c>
      <c r="E65" s="7"/>
      <c r="G65" s="70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72"/>
      <c r="V65" s="6"/>
      <c r="W65" s="6"/>
      <c r="X65" s="6"/>
      <c r="Y65" s="73"/>
    </row>
    <row r="66" spans="2:25" x14ac:dyDescent="0.25">
      <c r="B66" s="4"/>
      <c r="C66" s="26" t="s">
        <v>69</v>
      </c>
      <c r="D66" s="195">
        <v>0</v>
      </c>
      <c r="E66" s="7"/>
      <c r="G66" s="70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72"/>
      <c r="V66" s="6"/>
      <c r="W66" s="6"/>
      <c r="X66" s="6"/>
      <c r="Y66" s="73"/>
    </row>
    <row r="67" spans="2:25" x14ac:dyDescent="0.25">
      <c r="B67" s="4"/>
      <c r="C67" s="116" t="s">
        <v>78</v>
      </c>
      <c r="D67" s="117" t="s">
        <v>72</v>
      </c>
      <c r="E67" s="7"/>
      <c r="G67" s="70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72"/>
      <c r="V67" s="6"/>
      <c r="W67" s="6"/>
      <c r="X67" s="6"/>
      <c r="Y67" s="73"/>
    </row>
    <row r="68" spans="2:25" x14ac:dyDescent="0.25">
      <c r="B68" s="4"/>
      <c r="C68" s="26" t="s">
        <v>79</v>
      </c>
      <c r="D68" s="55" t="b">
        <v>1</v>
      </c>
      <c r="E68" s="7"/>
      <c r="G68" s="70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72"/>
      <c r="V68" s="6"/>
      <c r="W68" s="6"/>
      <c r="X68" s="6"/>
      <c r="Y68" s="73"/>
    </row>
    <row r="69" spans="2:25" x14ac:dyDescent="0.25">
      <c r="B69" s="4"/>
      <c r="C69" s="108"/>
      <c r="D69" s="62"/>
      <c r="E69" s="7"/>
      <c r="G69" s="70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72"/>
      <c r="V69" s="6"/>
      <c r="W69" s="6"/>
      <c r="X69" s="6"/>
      <c r="Y69" s="73"/>
    </row>
    <row r="70" spans="2:25" x14ac:dyDescent="0.25">
      <c r="B70" s="4"/>
      <c r="C70" s="6"/>
      <c r="D70" s="6"/>
      <c r="E70" s="7"/>
      <c r="G70" s="70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72"/>
      <c r="V70" s="6"/>
      <c r="W70" s="6"/>
      <c r="X70" s="6"/>
      <c r="Y70" s="73"/>
    </row>
    <row r="71" spans="2:25" x14ac:dyDescent="0.25">
      <c r="B71" s="4"/>
      <c r="C71" s="10" t="s">
        <v>48</v>
      </c>
      <c r="D71" s="6"/>
      <c r="E71" s="7"/>
      <c r="G71" s="70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72"/>
      <c r="V71" s="6"/>
      <c r="W71" s="6"/>
      <c r="X71" s="6"/>
      <c r="Y71" s="73"/>
    </row>
    <row r="72" spans="2:25" x14ac:dyDescent="0.25">
      <c r="B72" s="4"/>
      <c r="C72" s="22" t="s">
        <v>80</v>
      </c>
      <c r="D72" s="135" t="b">
        <v>0</v>
      </c>
      <c r="E72" s="7"/>
      <c r="G72" s="70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72"/>
      <c r="V72" s="6"/>
      <c r="W72" s="6"/>
      <c r="X72" s="6"/>
      <c r="Y72" s="73"/>
    </row>
    <row r="73" spans="2:25" x14ac:dyDescent="0.25">
      <c r="B73" s="4"/>
      <c r="C73" s="26" t="s">
        <v>81</v>
      </c>
      <c r="D73" s="45" t="s">
        <v>137</v>
      </c>
      <c r="E73" s="7"/>
      <c r="G73" s="70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72"/>
      <c r="V73" s="6"/>
      <c r="W73" s="6"/>
      <c r="X73" s="6"/>
      <c r="Y73" s="73"/>
    </row>
    <row r="74" spans="2:25" x14ac:dyDescent="0.25">
      <c r="B74" s="4"/>
      <c r="C74" s="26" t="s">
        <v>82</v>
      </c>
      <c r="D74" s="45" t="s">
        <v>138</v>
      </c>
      <c r="E74" s="7"/>
      <c r="G74" s="70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72"/>
      <c r="V74" s="6"/>
      <c r="W74" s="6"/>
      <c r="X74" s="6"/>
      <c r="Y74" s="73"/>
    </row>
    <row r="75" spans="2:25" x14ac:dyDescent="0.25">
      <c r="B75" s="4"/>
      <c r="C75" s="26" t="s">
        <v>83</v>
      </c>
      <c r="D75" s="146" t="s">
        <v>72</v>
      </c>
      <c r="E75" s="7"/>
      <c r="G75" s="70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72"/>
      <c r="V75" s="6"/>
      <c r="W75" s="6"/>
      <c r="X75" s="6"/>
      <c r="Y75" s="73"/>
    </row>
    <row r="76" spans="2:25" x14ac:dyDescent="0.25">
      <c r="B76" s="4"/>
      <c r="C76" s="26" t="s">
        <v>84</v>
      </c>
      <c r="D76" s="45" t="s">
        <v>36</v>
      </c>
      <c r="E76" s="7"/>
      <c r="G76" s="70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72"/>
      <c r="V76" s="6"/>
      <c r="W76" s="6"/>
      <c r="X76" s="6"/>
      <c r="Y76" s="73"/>
    </row>
    <row r="77" spans="2:25" x14ac:dyDescent="0.25">
      <c r="B77" s="4"/>
      <c r="C77" s="26" t="s">
        <v>85</v>
      </c>
      <c r="D77" s="55">
        <v>2</v>
      </c>
      <c r="E77" s="7"/>
      <c r="G77" s="70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72"/>
      <c r="V77" s="6"/>
      <c r="W77" s="6"/>
      <c r="X77" s="6"/>
      <c r="Y77" s="73"/>
    </row>
    <row r="78" spans="2:25" x14ac:dyDescent="0.25">
      <c r="B78" s="4"/>
      <c r="C78" s="116" t="s">
        <v>86</v>
      </c>
      <c r="D78" s="133" t="s">
        <v>51</v>
      </c>
      <c r="E78" s="7"/>
      <c r="G78" s="70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72"/>
      <c r="V78" s="6"/>
      <c r="W78" s="6"/>
      <c r="X78" s="6"/>
      <c r="Y78" s="73"/>
    </row>
    <row r="79" spans="2:25" x14ac:dyDescent="0.25">
      <c r="B79" s="4"/>
      <c r="C79" s="116" t="s">
        <v>87</v>
      </c>
      <c r="D79" s="134" t="s">
        <v>51</v>
      </c>
      <c r="E79" s="7"/>
      <c r="G79" s="70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72"/>
      <c r="V79" s="6"/>
      <c r="W79" s="6"/>
      <c r="X79" s="6"/>
      <c r="Y79" s="73"/>
    </row>
    <row r="80" spans="2:25" x14ac:dyDescent="0.25">
      <c r="B80" s="4"/>
      <c r="C80" s="26" t="s">
        <v>88</v>
      </c>
      <c r="D80" s="146" t="s">
        <v>50</v>
      </c>
      <c r="E80" s="7"/>
      <c r="G80" s="70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72"/>
      <c r="V80" s="6"/>
      <c r="W80" s="6"/>
      <c r="X80" s="6"/>
      <c r="Y80" s="73"/>
    </row>
    <row r="81" spans="2:25" x14ac:dyDescent="0.25">
      <c r="B81" s="4"/>
      <c r="C81" s="26" t="s">
        <v>89</v>
      </c>
      <c r="D81" s="45" t="s">
        <v>138</v>
      </c>
      <c r="E81" s="7"/>
      <c r="G81" s="70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72"/>
      <c r="V81" s="6"/>
      <c r="W81" s="6"/>
      <c r="X81" s="6"/>
      <c r="Y81" s="73"/>
    </row>
    <row r="82" spans="2:25" x14ac:dyDescent="0.25">
      <c r="B82" s="4"/>
      <c r="C82" s="26" t="s">
        <v>90</v>
      </c>
      <c r="D82" s="45" t="s">
        <v>137</v>
      </c>
      <c r="E82" s="7"/>
      <c r="G82" s="70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72"/>
      <c r="V82" s="6"/>
      <c r="W82" s="6"/>
      <c r="X82" s="6"/>
      <c r="Y82" s="73"/>
    </row>
    <row r="83" spans="2:25" x14ac:dyDescent="0.25">
      <c r="B83" s="4"/>
      <c r="C83" s="26" t="s">
        <v>91</v>
      </c>
      <c r="D83" s="45" t="s">
        <v>66</v>
      </c>
      <c r="E83" s="7"/>
      <c r="G83" s="70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72"/>
      <c r="V83" s="6"/>
      <c r="W83" s="6"/>
      <c r="X83" s="6"/>
      <c r="Y83" s="73"/>
    </row>
    <row r="84" spans="2:25" x14ac:dyDescent="0.25">
      <c r="B84" s="4"/>
      <c r="C84" s="26" t="s">
        <v>92</v>
      </c>
      <c r="D84" s="45" t="s">
        <v>137</v>
      </c>
      <c r="E84" s="7"/>
      <c r="G84" s="70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72"/>
      <c r="V84" s="6"/>
      <c r="W84" s="6"/>
      <c r="X84" s="6"/>
      <c r="Y84" s="73"/>
    </row>
    <row r="85" spans="2:25" x14ac:dyDescent="0.25">
      <c r="B85" s="4"/>
      <c r="C85" s="26" t="s">
        <v>93</v>
      </c>
      <c r="D85" s="55">
        <v>0</v>
      </c>
      <c r="E85" s="7"/>
      <c r="G85" s="70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72"/>
      <c r="V85" s="6"/>
      <c r="W85" s="6"/>
      <c r="X85" s="6"/>
      <c r="Y85" s="73"/>
    </row>
    <row r="86" spans="2:25" x14ac:dyDescent="0.25">
      <c r="B86" s="4"/>
      <c r="C86" s="26" t="s">
        <v>94</v>
      </c>
      <c r="D86" s="55" t="s">
        <v>36</v>
      </c>
      <c r="E86" s="7"/>
      <c r="G86" s="70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72"/>
      <c r="V86" s="6"/>
      <c r="W86" s="6"/>
      <c r="X86" s="6"/>
      <c r="Y86" s="73"/>
    </row>
    <row r="87" spans="2:25" x14ac:dyDescent="0.25">
      <c r="B87" s="4"/>
      <c r="C87" s="26" t="s">
        <v>95</v>
      </c>
      <c r="D87" s="45" t="s">
        <v>137</v>
      </c>
      <c r="E87" s="7"/>
      <c r="G87" s="70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72"/>
      <c r="V87" s="6"/>
      <c r="W87" s="6"/>
      <c r="X87" s="6"/>
      <c r="Y87" s="73"/>
    </row>
    <row r="88" spans="2:25" x14ac:dyDescent="0.25">
      <c r="B88" s="4"/>
      <c r="C88" s="26" t="s">
        <v>96</v>
      </c>
      <c r="D88" s="45" t="s">
        <v>138</v>
      </c>
      <c r="E88" s="7"/>
      <c r="G88" s="70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72"/>
      <c r="V88" s="6"/>
      <c r="W88" s="6"/>
      <c r="X88" s="6"/>
      <c r="Y88" s="73"/>
    </row>
    <row r="89" spans="2:25" x14ac:dyDescent="0.25">
      <c r="B89" s="4"/>
      <c r="C89" s="26" t="s">
        <v>97</v>
      </c>
      <c r="D89" s="195" t="s">
        <v>46</v>
      </c>
      <c r="E89" s="7"/>
      <c r="G89" s="70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72"/>
      <c r="V89" s="6"/>
      <c r="W89" s="6"/>
      <c r="X89" s="6"/>
      <c r="Y89" s="73"/>
    </row>
    <row r="90" spans="2:25" x14ac:dyDescent="0.25">
      <c r="B90" s="4"/>
      <c r="C90" s="26" t="s">
        <v>99</v>
      </c>
      <c r="D90" s="55" t="s">
        <v>36</v>
      </c>
      <c r="E90" s="7"/>
      <c r="G90" s="70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72"/>
      <c r="V90" s="6"/>
      <c r="W90" s="6"/>
      <c r="X90" s="6"/>
      <c r="Y90" s="73"/>
    </row>
    <row r="91" spans="2:25" x14ac:dyDescent="0.25">
      <c r="B91" s="4"/>
      <c r="C91" s="26" t="s">
        <v>100</v>
      </c>
      <c r="D91" s="55">
        <v>0</v>
      </c>
      <c r="E91" s="7"/>
      <c r="G91" s="70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72"/>
      <c r="V91" s="6"/>
      <c r="W91" s="6"/>
      <c r="X91" s="6"/>
      <c r="Y91" s="73"/>
    </row>
    <row r="92" spans="2:25" x14ac:dyDescent="0.25">
      <c r="B92" s="4"/>
      <c r="C92" s="116" t="s">
        <v>101</v>
      </c>
      <c r="D92" s="133" t="s">
        <v>51</v>
      </c>
      <c r="E92" s="7"/>
      <c r="G92" s="70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72"/>
      <c r="V92" s="6"/>
      <c r="W92" s="6"/>
      <c r="X92" s="6"/>
      <c r="Y92" s="73"/>
    </row>
    <row r="93" spans="2:25" x14ac:dyDescent="0.25">
      <c r="B93" s="4"/>
      <c r="C93" s="116" t="s">
        <v>102</v>
      </c>
      <c r="D93" s="133" t="s">
        <v>51</v>
      </c>
      <c r="E93" s="7"/>
      <c r="G93" s="70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72"/>
      <c r="V93" s="6"/>
      <c r="W93" s="6"/>
      <c r="X93" s="6"/>
      <c r="Y93" s="73"/>
    </row>
    <row r="94" spans="2:25" x14ac:dyDescent="0.25">
      <c r="B94" s="4"/>
      <c r="C94" s="26" t="s">
        <v>103</v>
      </c>
      <c r="D94" s="145" t="s">
        <v>104</v>
      </c>
      <c r="E94" s="7"/>
      <c r="G94" s="70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72"/>
      <c r="V94" s="6"/>
      <c r="W94" s="6"/>
      <c r="X94" s="6"/>
      <c r="Y94" s="73"/>
    </row>
    <row r="95" spans="2:25" x14ac:dyDescent="0.25">
      <c r="B95" s="4"/>
      <c r="C95" s="26" t="s">
        <v>105</v>
      </c>
      <c r="D95" s="45" t="s">
        <v>138</v>
      </c>
      <c r="E95" s="7"/>
      <c r="G95" s="70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72"/>
      <c r="V95" s="6"/>
      <c r="W95" s="6"/>
      <c r="X95" s="6"/>
      <c r="Y95" s="73"/>
    </row>
    <row r="96" spans="2:25" x14ac:dyDescent="0.25">
      <c r="B96" s="4"/>
      <c r="C96" s="26" t="s">
        <v>106</v>
      </c>
      <c r="D96" s="55" t="s">
        <v>137</v>
      </c>
      <c r="E96" s="7"/>
      <c r="G96" s="70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72"/>
      <c r="V96" s="6"/>
      <c r="W96" s="6"/>
      <c r="X96" s="6"/>
      <c r="Y96" s="73"/>
    </row>
    <row r="97" spans="2:25" x14ac:dyDescent="0.25">
      <c r="B97" s="4"/>
      <c r="C97" s="26" t="s">
        <v>107</v>
      </c>
      <c r="D97" s="55" t="s">
        <v>66</v>
      </c>
      <c r="E97" s="7"/>
      <c r="G97" s="70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72"/>
      <c r="V97" s="6"/>
      <c r="W97" s="6"/>
      <c r="X97" s="6"/>
      <c r="Y97" s="73"/>
    </row>
    <row r="98" spans="2:25" x14ac:dyDescent="0.25">
      <c r="B98" s="4"/>
      <c r="C98" s="26" t="s">
        <v>108</v>
      </c>
      <c r="D98" s="64" t="s">
        <v>137</v>
      </c>
      <c r="E98" s="7"/>
      <c r="G98" s="70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72"/>
      <c r="V98" s="6"/>
      <c r="W98" s="6"/>
      <c r="X98" s="6"/>
      <c r="Y98" s="73"/>
    </row>
    <row r="99" spans="2:25" x14ac:dyDescent="0.25">
      <c r="B99" s="4"/>
      <c r="C99" s="26" t="s">
        <v>109</v>
      </c>
      <c r="D99" s="55">
        <v>0</v>
      </c>
      <c r="E99" s="7"/>
      <c r="G99" s="70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72"/>
      <c r="V99" s="6"/>
      <c r="W99" s="6"/>
      <c r="X99" s="6"/>
      <c r="Y99" s="73"/>
    </row>
    <row r="100" spans="2:25" x14ac:dyDescent="0.25">
      <c r="B100" s="4"/>
      <c r="C100" s="26" t="s">
        <v>110</v>
      </c>
      <c r="D100" s="55" t="s">
        <v>36</v>
      </c>
      <c r="E100" s="7"/>
      <c r="G100" s="70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72"/>
      <c r="V100" s="6"/>
      <c r="W100" s="6"/>
      <c r="X100" s="6"/>
      <c r="Y100" s="73"/>
    </row>
    <row r="101" spans="2:25" x14ac:dyDescent="0.25">
      <c r="B101" s="4"/>
      <c r="C101" s="26" t="s">
        <v>111</v>
      </c>
      <c r="D101" s="119" t="s">
        <v>87</v>
      </c>
      <c r="E101" s="7"/>
      <c r="G101" s="70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72"/>
      <c r="V101" s="6"/>
      <c r="W101" s="6"/>
      <c r="X101" s="6"/>
      <c r="Y101" s="73"/>
    </row>
    <row r="102" spans="2:25" x14ac:dyDescent="0.25">
      <c r="B102" s="4"/>
      <c r="C102" s="26" t="s">
        <v>77</v>
      </c>
      <c r="D102" s="55" t="b">
        <v>1</v>
      </c>
      <c r="E102" s="7"/>
      <c r="G102" s="70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72"/>
      <c r="V102" s="6"/>
      <c r="W102" s="6"/>
      <c r="X102" s="6"/>
      <c r="Y102" s="73"/>
    </row>
    <row r="103" spans="2:25" x14ac:dyDescent="0.25">
      <c r="B103" s="4"/>
      <c r="C103" s="26" t="s">
        <v>113</v>
      </c>
      <c r="D103" s="55" t="b">
        <v>1</v>
      </c>
      <c r="E103" s="7"/>
      <c r="G103" s="70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72"/>
      <c r="V103" s="6"/>
      <c r="W103" s="6"/>
      <c r="X103" s="6"/>
      <c r="Y103" s="73"/>
    </row>
    <row r="104" spans="2:25" x14ac:dyDescent="0.25">
      <c r="B104" s="4"/>
      <c r="C104" s="108"/>
      <c r="D104" s="62"/>
      <c r="E104" s="7"/>
      <c r="G104" s="70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72"/>
      <c r="V104" s="6"/>
      <c r="W104" s="6"/>
      <c r="X104" s="6"/>
      <c r="Y104" s="73"/>
    </row>
    <row r="105" spans="2:25" x14ac:dyDescent="0.25">
      <c r="B105" s="29"/>
      <c r="C105" s="30"/>
      <c r="D105" s="30"/>
      <c r="E105" s="31"/>
      <c r="G105" s="70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72"/>
      <c r="V105" s="6"/>
      <c r="W105" s="6"/>
      <c r="X105" s="6"/>
      <c r="Y105" s="73"/>
    </row>
    <row r="106" spans="2:25" x14ac:dyDescent="0.25">
      <c r="G106" s="70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72"/>
      <c r="V106" s="6"/>
      <c r="W106" s="6"/>
      <c r="X106" s="6"/>
      <c r="Y106" s="73"/>
    </row>
    <row r="107" spans="2:25" x14ac:dyDescent="0.25">
      <c r="G107" s="70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72"/>
      <c r="V107" s="6"/>
      <c r="W107" s="6"/>
      <c r="X107" s="6"/>
      <c r="Y107" s="73"/>
    </row>
    <row r="108" spans="2:25" x14ac:dyDescent="0.25">
      <c r="G108" s="70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72"/>
      <c r="V108" s="6"/>
      <c r="W108" s="6"/>
      <c r="X108" s="6"/>
      <c r="Y108" s="73"/>
    </row>
    <row r="109" spans="2:25" x14ac:dyDescent="0.25">
      <c r="G109" s="70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72"/>
      <c r="V109" s="6"/>
      <c r="W109" s="6"/>
      <c r="X109" s="6"/>
      <c r="Y109" s="73"/>
    </row>
    <row r="110" spans="2:25" x14ac:dyDescent="0.25">
      <c r="G110" s="70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72"/>
      <c r="V110" s="6"/>
      <c r="W110" s="6"/>
      <c r="X110" s="6"/>
      <c r="Y110" s="73"/>
    </row>
    <row r="111" spans="2:25" x14ac:dyDescent="0.25">
      <c r="G111" s="70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72"/>
      <c r="V111" s="6"/>
      <c r="W111" s="6"/>
      <c r="X111" s="6"/>
      <c r="Y111" s="73"/>
    </row>
    <row r="112" spans="2:25" x14ac:dyDescent="0.25">
      <c r="G112" s="70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72"/>
      <c r="V112" s="6"/>
      <c r="W112" s="6"/>
      <c r="X112" s="6"/>
      <c r="Y112" s="73"/>
    </row>
    <row r="113" spans="7:25" x14ac:dyDescent="0.25">
      <c r="G113" s="70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72"/>
      <c r="V113" s="6"/>
      <c r="W113" s="6"/>
      <c r="X113" s="6"/>
      <c r="Y113" s="73"/>
    </row>
    <row r="114" spans="7:25" x14ac:dyDescent="0.25">
      <c r="G114" s="70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72"/>
      <c r="V114" s="6"/>
      <c r="W114" s="6"/>
      <c r="X114" s="6"/>
      <c r="Y114" s="73"/>
    </row>
    <row r="115" spans="7:25" x14ac:dyDescent="0.25">
      <c r="G115" s="70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72"/>
      <c r="V115" s="6"/>
      <c r="W115" s="6"/>
      <c r="X115" s="6"/>
      <c r="Y115" s="73"/>
    </row>
    <row r="116" spans="7:25" x14ac:dyDescent="0.25">
      <c r="G116" s="70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72"/>
      <c r="V116" s="6"/>
      <c r="W116" s="6"/>
      <c r="X116" s="6"/>
      <c r="Y116" s="73"/>
    </row>
    <row r="117" spans="7:25" x14ac:dyDescent="0.25">
      <c r="G117" s="70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72"/>
      <c r="V117" s="6"/>
      <c r="W117" s="6"/>
      <c r="X117" s="6"/>
      <c r="Y117" s="73"/>
    </row>
    <row r="118" spans="7:25" x14ac:dyDescent="0.25">
      <c r="G118" s="70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72"/>
      <c r="V118" s="6"/>
      <c r="W118" s="6"/>
      <c r="X118" s="6"/>
      <c r="Y118" s="73"/>
    </row>
    <row r="119" spans="7:25" x14ac:dyDescent="0.25">
      <c r="G119" s="70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72"/>
      <c r="V119" s="6"/>
      <c r="W119" s="6"/>
      <c r="X119" s="6"/>
      <c r="Y119" s="73"/>
    </row>
    <row r="120" spans="7:25" x14ac:dyDescent="0.25">
      <c r="G120" s="70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72"/>
      <c r="V120" s="6"/>
      <c r="W120" s="6"/>
      <c r="X120" s="6"/>
      <c r="Y120" s="73"/>
    </row>
    <row r="121" spans="7:25" x14ac:dyDescent="0.25">
      <c r="G121" s="70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72"/>
      <c r="V121" s="6"/>
      <c r="W121" s="6"/>
      <c r="X121" s="6"/>
      <c r="Y121" s="73"/>
    </row>
    <row r="122" spans="7:25" x14ac:dyDescent="0.25">
      <c r="G122" s="70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72"/>
      <c r="V122" s="6"/>
      <c r="W122" s="6"/>
      <c r="X122" s="6"/>
      <c r="Y122" s="73"/>
    </row>
    <row r="123" spans="7:25" x14ac:dyDescent="0.25">
      <c r="G123" s="70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72"/>
      <c r="V123" s="6"/>
      <c r="W123" s="6"/>
      <c r="X123" s="6"/>
      <c r="Y123" s="73"/>
    </row>
    <row r="124" spans="7:25" x14ac:dyDescent="0.25">
      <c r="G124" s="70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72"/>
      <c r="V124" s="6"/>
      <c r="W124" s="6"/>
      <c r="X124" s="6"/>
      <c r="Y124" s="73"/>
    </row>
    <row r="125" spans="7:25" x14ac:dyDescent="0.25">
      <c r="G125" s="70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72"/>
      <c r="V125" s="6"/>
      <c r="W125" s="6"/>
      <c r="X125" s="6"/>
      <c r="Y125" s="73"/>
    </row>
    <row r="126" spans="7:25" x14ac:dyDescent="0.25">
      <c r="G126" s="70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72"/>
      <c r="V126" s="6"/>
      <c r="W126" s="6"/>
      <c r="X126" s="6"/>
      <c r="Y126" s="73"/>
    </row>
    <row r="127" spans="7:25" x14ac:dyDescent="0.25">
      <c r="G127" s="70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72"/>
      <c r="V127" s="6"/>
      <c r="W127" s="6"/>
      <c r="X127" s="6"/>
      <c r="Y127" s="73"/>
    </row>
    <row r="128" spans="7:25" x14ac:dyDescent="0.25">
      <c r="G128" s="70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72"/>
      <c r="V128" s="6"/>
      <c r="W128" s="6"/>
      <c r="X128" s="6"/>
      <c r="Y128" s="73"/>
    </row>
    <row r="129" spans="7:25" x14ac:dyDescent="0.25">
      <c r="G129" s="70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72"/>
      <c r="V129" s="6"/>
      <c r="W129" s="6"/>
      <c r="X129" s="6"/>
      <c r="Y129" s="73"/>
    </row>
    <row r="130" spans="7:25" x14ac:dyDescent="0.25">
      <c r="G130" s="70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72"/>
      <c r="V130" s="6"/>
      <c r="W130" s="6"/>
      <c r="X130" s="6"/>
      <c r="Y130" s="73"/>
    </row>
    <row r="131" spans="7:25" x14ac:dyDescent="0.25">
      <c r="G131" s="70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72"/>
      <c r="V131" s="6"/>
      <c r="W131" s="6"/>
      <c r="X131" s="6"/>
      <c r="Y131" s="73"/>
    </row>
    <row r="132" spans="7:25" x14ac:dyDescent="0.25">
      <c r="G132" s="70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72"/>
      <c r="V132" s="6"/>
      <c r="W132" s="6"/>
      <c r="X132" s="6"/>
      <c r="Y132" s="73"/>
    </row>
    <row r="133" spans="7:25" x14ac:dyDescent="0.25">
      <c r="G133" s="70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72"/>
      <c r="V133" s="6"/>
      <c r="W133" s="6"/>
      <c r="X133" s="6"/>
      <c r="Y133" s="73"/>
    </row>
    <row r="134" spans="7:25" x14ac:dyDescent="0.25">
      <c r="G134" s="70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72"/>
      <c r="V134" s="6"/>
      <c r="W134" s="6"/>
      <c r="X134" s="6"/>
      <c r="Y134" s="73"/>
    </row>
    <row r="135" spans="7:25" x14ac:dyDescent="0.25">
      <c r="G135" s="70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72"/>
      <c r="V135" s="6"/>
      <c r="W135" s="6"/>
      <c r="X135" s="6"/>
      <c r="Y135" s="73"/>
    </row>
    <row r="136" spans="7:25" x14ac:dyDescent="0.25">
      <c r="G136" s="70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72"/>
      <c r="V136" s="6"/>
      <c r="W136" s="6"/>
      <c r="X136" s="6"/>
      <c r="Y136" s="73"/>
    </row>
    <row r="137" spans="7:25" x14ac:dyDescent="0.25">
      <c r="G137" s="70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72"/>
      <c r="V137" s="6"/>
      <c r="W137" s="6"/>
      <c r="X137" s="6"/>
      <c r="Y137" s="73"/>
    </row>
    <row r="138" spans="7:25" x14ac:dyDescent="0.25">
      <c r="G138" s="70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72"/>
      <c r="V138" s="6"/>
      <c r="W138" s="6"/>
      <c r="X138" s="6"/>
      <c r="Y138" s="73"/>
    </row>
    <row r="139" spans="7:25" x14ac:dyDescent="0.25">
      <c r="G139" s="70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72"/>
      <c r="V139" s="6"/>
      <c r="W139" s="6"/>
      <c r="X139" s="6"/>
      <c r="Y139" s="73"/>
    </row>
    <row r="140" spans="7:25" x14ac:dyDescent="0.25">
      <c r="G140" s="70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72"/>
      <c r="V140" s="6"/>
      <c r="W140" s="6"/>
      <c r="X140" s="6"/>
      <c r="Y140" s="73"/>
    </row>
    <row r="141" spans="7:25" x14ac:dyDescent="0.25">
      <c r="G141" s="70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72"/>
      <c r="V141" s="6"/>
      <c r="W141" s="6"/>
      <c r="X141" s="6"/>
      <c r="Y141" s="73"/>
    </row>
    <row r="142" spans="7:25" x14ac:dyDescent="0.25">
      <c r="G142" s="109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1"/>
      <c r="V142" s="110"/>
      <c r="W142" s="110"/>
      <c r="X142" s="110"/>
      <c r="Y142" s="112"/>
    </row>
  </sheetData>
  <dataValidations count="2">
    <dataValidation type="list" allowBlank="1" showInputMessage="1" showErrorMessage="1" sqref="D5">
      <formula1>"TRUE,FALSE"</formula1>
    </dataValidation>
    <dataValidation type="list" allowBlank="1" showInputMessage="1" showErrorMessage="1" sqref="D33 D41 D59">
      <formula1>"FOLLOWING,MOD_FOLLOWING,PRECEDING,MOD_PRECEEDING,NO_CHANGE"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49"/>
  <sheetViews>
    <sheetView showGridLines="0" workbookViewId="0"/>
  </sheetViews>
  <sheetFormatPr defaultRowHeight="15" x14ac:dyDescent="0.25"/>
  <cols>
    <col min="2" max="2" width="11.7109375" style="144" bestFit="1" customWidth="1"/>
    <col min="3" max="3" width="10.7109375" customWidth="1"/>
  </cols>
  <sheetData>
    <row r="2" spans="2:3" x14ac:dyDescent="0.25">
      <c r="B2" s="144" t="str">
        <f t="array" aca="1" ref="B2:C149" ca="1">_xll.meLWOCurveForwardRatesTable("CZKYC","PRB6M")</f>
        <v>Fixing Dates</v>
      </c>
      <c r="C2" s="143" t="str">
        <f ca="1"/>
        <v>PRB6M</v>
      </c>
    </row>
    <row r="3" spans="2:3" x14ac:dyDescent="0.25">
      <c r="B3" s="144">
        <f ca="1"/>
        <v>43964</v>
      </c>
      <c r="C3" s="143">
        <f ca="1"/>
        <v>3.7000756466540165E-3</v>
      </c>
    </row>
    <row r="4" spans="2:3" x14ac:dyDescent="0.25">
      <c r="B4" s="144">
        <f ca="1"/>
        <v>43997</v>
      </c>
      <c r="C4" s="143">
        <f ca="1"/>
        <v>3.1800000000000001E-3</v>
      </c>
    </row>
    <row r="5" spans="2:3" x14ac:dyDescent="0.25">
      <c r="B5" s="144">
        <f ca="1"/>
        <v>44025</v>
      </c>
      <c r="C5" s="143">
        <f ca="1"/>
        <v>2.6666666666666666E-3</v>
      </c>
    </row>
    <row r="6" spans="2:3" x14ac:dyDescent="0.25">
      <c r="B6" s="144">
        <f ca="1"/>
        <v>44056</v>
      </c>
      <c r="C6" s="143">
        <f ca="1"/>
        <v>2.5596969696969696E-3</v>
      </c>
    </row>
    <row r="7" spans="2:3" x14ac:dyDescent="0.25">
      <c r="B7" s="144">
        <f ca="1"/>
        <v>44088</v>
      </c>
      <c r="C7" s="143">
        <f ca="1"/>
        <v>2.3086206896551723E-3</v>
      </c>
    </row>
    <row r="8" spans="2:3" x14ac:dyDescent="0.25">
      <c r="B8" s="144">
        <f ca="1"/>
        <v>44117</v>
      </c>
      <c r="C8" s="143">
        <f ca="1"/>
        <v>2.3466666666666666E-3</v>
      </c>
    </row>
    <row r="9" spans="2:3" x14ac:dyDescent="0.25">
      <c r="B9" s="144">
        <f ca="1"/>
        <v>44148</v>
      </c>
      <c r="C9" s="143">
        <f ca="1"/>
        <v>2.2715304163695893E-3</v>
      </c>
    </row>
    <row r="10" spans="2:3" x14ac:dyDescent="0.25">
      <c r="B10" s="144">
        <f ca="1"/>
        <v>44179</v>
      </c>
      <c r="C10" s="143">
        <f ca="1"/>
        <v>2.3544257412822342E-3</v>
      </c>
    </row>
    <row r="11" spans="2:3" x14ac:dyDescent="0.25">
      <c r="B11" s="144">
        <f ca="1"/>
        <v>44209</v>
      </c>
      <c r="C11" s="143">
        <f ca="1"/>
        <v>2.4519395284752607E-3</v>
      </c>
    </row>
    <row r="12" spans="2:3" x14ac:dyDescent="0.25">
      <c r="B12" s="144">
        <f ca="1"/>
        <v>44242</v>
      </c>
      <c r="C12" s="143">
        <f ca="1"/>
        <v>2.5592046943875902E-3</v>
      </c>
    </row>
    <row r="13" spans="2:3" x14ac:dyDescent="0.25">
      <c r="B13" s="144">
        <f ca="1"/>
        <v>44270</v>
      </c>
      <c r="C13" s="143">
        <f ca="1"/>
        <v>2.6502175624344153E-3</v>
      </c>
    </row>
    <row r="14" spans="2:3" x14ac:dyDescent="0.25">
      <c r="B14" s="144">
        <f ca="1"/>
        <v>44299</v>
      </c>
      <c r="C14" s="143">
        <f ca="1"/>
        <v>2.7444808900543411E-3</v>
      </c>
    </row>
    <row r="15" spans="2:3" x14ac:dyDescent="0.25">
      <c r="B15" s="144">
        <f ca="1"/>
        <v>44329</v>
      </c>
      <c r="C15" s="143">
        <f ca="1"/>
        <v>2.8419946772473676E-3</v>
      </c>
    </row>
    <row r="16" spans="2:3" x14ac:dyDescent="0.25">
      <c r="B16" s="144">
        <f ca="1"/>
        <v>44361</v>
      </c>
      <c r="C16" s="143">
        <f ca="1"/>
        <v>2.9155650275292586E-3</v>
      </c>
    </row>
    <row r="17" spans="2:3" x14ac:dyDescent="0.25">
      <c r="B17" s="144">
        <f ca="1"/>
        <v>44390</v>
      </c>
      <c r="C17" s="143">
        <f ca="1"/>
        <v>2.9825147457414884E-3</v>
      </c>
    </row>
    <row r="18" spans="2:3" x14ac:dyDescent="0.25">
      <c r="B18" s="144">
        <f ca="1"/>
        <v>44421</v>
      </c>
      <c r="C18" s="143">
        <f ca="1"/>
        <v>3.0601341528041521E-3</v>
      </c>
    </row>
    <row r="19" spans="2:3" x14ac:dyDescent="0.25">
      <c r="B19" s="144">
        <f ca="1"/>
        <v>44452</v>
      </c>
      <c r="C19" s="143">
        <f ca="1"/>
        <v>3.1472975654831124E-3</v>
      </c>
    </row>
    <row r="20" spans="2:3" x14ac:dyDescent="0.25">
      <c r="B20" s="144">
        <f ca="1"/>
        <v>44482</v>
      </c>
      <c r="C20" s="143">
        <f ca="1"/>
        <v>3.2439031588927174E-3</v>
      </c>
    </row>
    <row r="21" spans="2:3" x14ac:dyDescent="0.25">
      <c r="B21" s="144">
        <f ca="1"/>
        <v>44515</v>
      </c>
      <c r="C21" s="143">
        <f ca="1"/>
        <v>3.3677663823523094E-3</v>
      </c>
    </row>
    <row r="22" spans="2:3" x14ac:dyDescent="0.25">
      <c r="B22" s="144">
        <f ca="1"/>
        <v>44543</v>
      </c>
      <c r="C22" s="143">
        <f ca="1"/>
        <v>3.4891203080094566E-3</v>
      </c>
    </row>
    <row r="23" spans="2:3" x14ac:dyDescent="0.25">
      <c r="B23" s="144">
        <f ca="1"/>
        <v>44574</v>
      </c>
      <c r="C23" s="143">
        <f ca="1"/>
        <v>3.63711648955788E-3</v>
      </c>
    </row>
    <row r="24" spans="2:3" x14ac:dyDescent="0.25">
      <c r="B24" s="144">
        <f ca="1"/>
        <v>44606</v>
      </c>
      <c r="C24" s="143">
        <f ca="1"/>
        <v>3.7989912285852473E-3</v>
      </c>
    </row>
    <row r="25" spans="2:3" x14ac:dyDescent="0.25">
      <c r="B25" s="144">
        <f ca="1"/>
        <v>44634</v>
      </c>
      <c r="C25" s="143">
        <f ca="1"/>
        <v>3.9432769113196698E-3</v>
      </c>
    </row>
    <row r="26" spans="2:3" x14ac:dyDescent="0.25">
      <c r="B26" s="144">
        <f ca="1"/>
        <v>44664</v>
      </c>
      <c r="C26" s="143">
        <f ca="1"/>
        <v>4.0955464407824533E-3</v>
      </c>
    </row>
    <row r="27" spans="2:3" x14ac:dyDescent="0.25">
      <c r="B27" s="144">
        <f ca="1"/>
        <v>44694</v>
      </c>
      <c r="C27" s="143">
        <f ca="1"/>
        <v>4.240293400027904E-3</v>
      </c>
    </row>
    <row r="28" spans="2:3" x14ac:dyDescent="0.25">
      <c r="B28" s="144">
        <f ca="1"/>
        <v>44725</v>
      </c>
      <c r="C28" s="143">
        <f ca="1"/>
        <v>4.3771622252439029E-3</v>
      </c>
    </row>
    <row r="29" spans="2:3" x14ac:dyDescent="0.25">
      <c r="B29" s="144">
        <f ca="1"/>
        <v>44755</v>
      </c>
      <c r="C29" s="143">
        <f ca="1"/>
        <v>4.4964773262386477E-3</v>
      </c>
    </row>
    <row r="30" spans="2:3" x14ac:dyDescent="0.25">
      <c r="B30" s="144">
        <f ca="1"/>
        <v>44788</v>
      </c>
      <c r="C30" s="143">
        <f ca="1"/>
        <v>4.6132658123529281E-3</v>
      </c>
    </row>
    <row r="31" spans="2:3" x14ac:dyDescent="0.25">
      <c r="B31" s="144">
        <f ca="1"/>
        <v>44817</v>
      </c>
      <c r="C31" s="143">
        <f ca="1"/>
        <v>4.7037913338261019E-3</v>
      </c>
    </row>
    <row r="32" spans="2:3" x14ac:dyDescent="0.25">
      <c r="B32" s="144">
        <f ca="1"/>
        <v>44847</v>
      </c>
      <c r="C32" s="143">
        <f ca="1"/>
        <v>4.7859111566561771E-3</v>
      </c>
    </row>
    <row r="33" spans="2:3" x14ac:dyDescent="0.25">
      <c r="B33" s="144">
        <f ca="1"/>
        <v>44879</v>
      </c>
      <c r="C33" s="143">
        <f ca="1"/>
        <v>4.8610181598850557E-3</v>
      </c>
    </row>
    <row r="34" spans="2:3" x14ac:dyDescent="0.25">
      <c r="B34" s="144">
        <f ca="1"/>
        <v>44908</v>
      </c>
      <c r="C34" s="143">
        <f ca="1"/>
        <v>4.9186909525362858E-3</v>
      </c>
    </row>
    <row r="35" spans="2:3" x14ac:dyDescent="0.25">
      <c r="B35" s="144">
        <f ca="1"/>
        <v>44939</v>
      </c>
      <c r="C35" s="143">
        <f ca="1"/>
        <v>4.9718596614221648E-3</v>
      </c>
    </row>
    <row r="36" spans="2:3" x14ac:dyDescent="0.25">
      <c r="B36" s="144">
        <f ca="1"/>
        <v>44970</v>
      </c>
      <c r="C36" s="143">
        <f ca="1"/>
        <v>5.0192285082957221E-3</v>
      </c>
    </row>
    <row r="37" spans="2:3" x14ac:dyDescent="0.25">
      <c r="B37" s="144">
        <f ca="1"/>
        <v>44998</v>
      </c>
      <c r="C37" s="143">
        <f ca="1"/>
        <v>5.0595481105493896E-3</v>
      </c>
    </row>
    <row r="38" spans="2:3" x14ac:dyDescent="0.25">
      <c r="B38" s="144">
        <f ca="1"/>
        <v>45029</v>
      </c>
      <c r="C38" s="143">
        <f ca="1"/>
        <v>5.1042483192440986E-3</v>
      </c>
    </row>
    <row r="39" spans="2:3" x14ac:dyDescent="0.25">
      <c r="B39" s="144">
        <f ca="1"/>
        <v>45061</v>
      </c>
      <c r="C39" s="143">
        <f ca="1"/>
        <v>5.1535666727991316E-3</v>
      </c>
    </row>
    <row r="40" spans="2:3" x14ac:dyDescent="0.25">
      <c r="B40" s="144">
        <f ca="1"/>
        <v>45090</v>
      </c>
      <c r="C40" s="143">
        <f ca="1"/>
        <v>5.2034118962288852E-3</v>
      </c>
    </row>
    <row r="41" spans="2:3" x14ac:dyDescent="0.25">
      <c r="B41" s="144">
        <f ca="1"/>
        <v>45120</v>
      </c>
      <c r="C41" s="143">
        <f ca="1"/>
        <v>5.2607319744880972E-3</v>
      </c>
    </row>
    <row r="42" spans="2:3" x14ac:dyDescent="0.25">
      <c r="B42" s="144">
        <f ca="1"/>
        <v>45152</v>
      </c>
      <c r="C42" s="143">
        <f ca="1"/>
        <v>5.3284615582335484E-3</v>
      </c>
    </row>
    <row r="43" spans="2:3" x14ac:dyDescent="0.25">
      <c r="B43" s="144">
        <f ca="1"/>
        <v>45182</v>
      </c>
      <c r="C43" s="143">
        <f ca="1"/>
        <v>5.3982635242511663E-3</v>
      </c>
    </row>
    <row r="44" spans="2:3" x14ac:dyDescent="0.25">
      <c r="B44" s="144">
        <f ca="1"/>
        <v>45212</v>
      </c>
      <c r="C44" s="143">
        <f ca="1"/>
        <v>5.4742924799562383E-3</v>
      </c>
    </row>
    <row r="45" spans="2:3" x14ac:dyDescent="0.25">
      <c r="B45" s="144">
        <f ca="1"/>
        <v>45243</v>
      </c>
      <c r="C45" s="143">
        <f ca="1"/>
        <v>5.5595273324257994E-3</v>
      </c>
    </row>
    <row r="46" spans="2:3" x14ac:dyDescent="0.25">
      <c r="B46" s="144">
        <f ca="1"/>
        <v>45273</v>
      </c>
      <c r="C46" s="143">
        <f ca="1"/>
        <v>5.6480664982378383E-3</v>
      </c>
    </row>
    <row r="47" spans="2:3" x14ac:dyDescent="0.25">
      <c r="B47" s="144">
        <f ca="1"/>
        <v>45306</v>
      </c>
      <c r="C47" s="143">
        <f ca="1"/>
        <v>5.749032453840436E-3</v>
      </c>
    </row>
    <row r="48" spans="2:3" x14ac:dyDescent="0.25">
      <c r="B48" s="144">
        <f ca="1"/>
        <v>45335</v>
      </c>
      <c r="C48" s="143">
        <f ca="1"/>
        <v>5.8373925811652135E-3</v>
      </c>
    </row>
    <row r="49" spans="2:3" x14ac:dyDescent="0.25">
      <c r="B49" s="144">
        <f ca="1"/>
        <v>45364</v>
      </c>
      <c r="C49" s="143">
        <f ca="1"/>
        <v>5.9222096009060674E-3</v>
      </c>
    </row>
    <row r="50" spans="2:3" x14ac:dyDescent="0.25">
      <c r="B50" s="144">
        <f ca="1"/>
        <v>45397</v>
      </c>
      <c r="C50" s="143">
        <f ca="1"/>
        <v>6.0105240082631E-3</v>
      </c>
    </row>
    <row r="51" spans="2:3" x14ac:dyDescent="0.25">
      <c r="B51" s="144">
        <f ca="1"/>
        <v>45425</v>
      </c>
      <c r="C51" s="143">
        <f ca="1"/>
        <v>6.0753977840157097E-3</v>
      </c>
    </row>
    <row r="52" spans="2:3" x14ac:dyDescent="0.25">
      <c r="B52" s="144">
        <f ca="1"/>
        <v>45456</v>
      </c>
      <c r="C52" s="143">
        <f ca="1"/>
        <v>6.1335105571387778E-3</v>
      </c>
    </row>
    <row r="53" spans="2:3" x14ac:dyDescent="0.25">
      <c r="B53" s="144">
        <f ca="1"/>
        <v>45488</v>
      </c>
      <c r="C53" s="143">
        <f ca="1"/>
        <v>6.1778380819227418E-3</v>
      </c>
    </row>
    <row r="54" spans="2:3" x14ac:dyDescent="0.25">
      <c r="B54" s="144">
        <f ca="1"/>
        <v>45517</v>
      </c>
      <c r="C54" s="143">
        <f ca="1"/>
        <v>6.2043489922755423E-3</v>
      </c>
    </row>
    <row r="55" spans="2:3" x14ac:dyDescent="0.25">
      <c r="B55" s="144">
        <f ca="1"/>
        <v>45548</v>
      </c>
      <c r="C55" s="143">
        <f ca="1"/>
        <v>6.218409048107232E-3</v>
      </c>
    </row>
    <row r="56" spans="2:3" x14ac:dyDescent="0.25">
      <c r="B56" s="144">
        <f ca="1"/>
        <v>45579</v>
      </c>
      <c r="C56" s="143">
        <f ca="1"/>
        <v>6.2178002575706678E-3</v>
      </c>
    </row>
    <row r="57" spans="2:3" x14ac:dyDescent="0.25">
      <c r="B57" s="144">
        <f ca="1"/>
        <v>45609</v>
      </c>
      <c r="C57" s="143">
        <f ca="1"/>
        <v>6.2033275010956899E-3</v>
      </c>
    </row>
    <row r="58" spans="2:3" x14ac:dyDescent="0.25">
      <c r="B58" s="144">
        <f ca="1"/>
        <v>45639</v>
      </c>
      <c r="C58" s="143">
        <f ca="1"/>
        <v>6.1759823755506288E-3</v>
      </c>
    </row>
    <row r="59" spans="2:3" x14ac:dyDescent="0.25">
      <c r="B59" s="144">
        <f ca="1"/>
        <v>45670</v>
      </c>
      <c r="C59" s="143">
        <f ca="1"/>
        <v>6.1383444600143873E-3</v>
      </c>
    </row>
    <row r="60" spans="2:3" x14ac:dyDescent="0.25">
      <c r="B60" s="144">
        <f ca="1"/>
        <v>45701</v>
      </c>
      <c r="C60" s="143">
        <f ca="1"/>
        <v>6.0963540735038072E-3</v>
      </c>
    </row>
    <row r="61" spans="2:3" x14ac:dyDescent="0.25">
      <c r="B61" s="144">
        <f ca="1"/>
        <v>45729</v>
      </c>
      <c r="C61" s="143">
        <f ca="1"/>
        <v>6.0590439790638856E-3</v>
      </c>
    </row>
    <row r="62" spans="2:3" x14ac:dyDescent="0.25">
      <c r="B62" s="144">
        <f ca="1"/>
        <v>45761</v>
      </c>
      <c r="C62" s="143">
        <f ca="1"/>
        <v>6.0222415935102802E-3</v>
      </c>
    </row>
    <row r="63" spans="2:3" x14ac:dyDescent="0.25">
      <c r="B63" s="144">
        <f ca="1"/>
        <v>45790</v>
      </c>
      <c r="C63" s="143">
        <f ca="1"/>
        <v>5.9988825705726027E-3</v>
      </c>
    </row>
    <row r="64" spans="2:3" x14ac:dyDescent="0.25">
      <c r="B64" s="144">
        <f ca="1"/>
        <v>45821</v>
      </c>
      <c r="C64" s="143">
        <f ca="1"/>
        <v>5.9886717118108864E-3</v>
      </c>
    </row>
    <row r="65" spans="2:3" x14ac:dyDescent="0.25">
      <c r="B65" s="144">
        <f ca="1"/>
        <v>45852</v>
      </c>
      <c r="C65" s="143">
        <f ca="1"/>
        <v>5.9947355590123583E-3</v>
      </c>
    </row>
    <row r="66" spans="2:3" x14ac:dyDescent="0.25">
      <c r="B66" s="144">
        <f ca="1"/>
        <v>45882</v>
      </c>
      <c r="C66" s="143">
        <f ca="1"/>
        <v>6.0162730738096233E-3</v>
      </c>
    </row>
    <row r="67" spans="2:3" x14ac:dyDescent="0.25">
      <c r="B67" s="144">
        <f ca="1"/>
        <v>45915</v>
      </c>
      <c r="C67" s="143">
        <f ca="1"/>
        <v>6.057967127597764E-3</v>
      </c>
    </row>
    <row r="68" spans="2:3" x14ac:dyDescent="0.25">
      <c r="B68" s="144">
        <f ca="1"/>
        <v>45943</v>
      </c>
      <c r="C68" s="143">
        <f ca="1"/>
        <v>6.1082942987517735E-3</v>
      </c>
    </row>
    <row r="69" spans="2:3" x14ac:dyDescent="0.25">
      <c r="B69" s="144">
        <f ca="1"/>
        <v>45974</v>
      </c>
      <c r="C69" s="143">
        <f ca="1"/>
        <v>6.180196663509439E-3</v>
      </c>
    </row>
    <row r="70" spans="2:3" x14ac:dyDescent="0.25">
      <c r="B70" s="144">
        <f ca="1"/>
        <v>46006</v>
      </c>
      <c r="C70" s="143">
        <f ca="1"/>
        <v>6.2718535183546873E-3</v>
      </c>
    </row>
    <row r="71" spans="2:3" x14ac:dyDescent="0.25">
      <c r="B71" s="144">
        <f ca="1"/>
        <v>46035</v>
      </c>
      <c r="C71" s="143">
        <f ca="1"/>
        <v>6.3677415216960905E-3</v>
      </c>
    </row>
    <row r="72" spans="2:3" x14ac:dyDescent="0.25">
      <c r="B72" s="144">
        <f ca="1"/>
        <v>46066</v>
      </c>
      <c r="C72" s="143">
        <f ca="1"/>
        <v>6.4805042039452147E-3</v>
      </c>
    </row>
    <row r="73" spans="2:3" x14ac:dyDescent="0.25">
      <c r="B73" s="144">
        <f ca="1"/>
        <v>46094</v>
      </c>
      <c r="C73" s="143">
        <f ca="1"/>
        <v>6.5887312926309043E-3</v>
      </c>
    </row>
    <row r="74" spans="2:3" x14ac:dyDescent="0.25">
      <c r="B74" s="144">
        <f ca="1"/>
        <v>46125</v>
      </c>
      <c r="C74" s="143">
        <f ca="1"/>
        <v>6.7125149126641727E-3</v>
      </c>
    </row>
    <row r="75" spans="2:3" x14ac:dyDescent="0.25">
      <c r="B75" s="144">
        <f ca="1"/>
        <v>46155</v>
      </c>
      <c r="C75" s="143">
        <f ca="1"/>
        <v>6.8332018179452893E-3</v>
      </c>
    </row>
    <row r="76" spans="2:3" x14ac:dyDescent="0.25">
      <c r="B76" s="144">
        <f ca="1"/>
        <v>46188</v>
      </c>
      <c r="C76" s="143">
        <f ca="1"/>
        <v>6.9639722643428164E-3</v>
      </c>
    </row>
    <row r="77" spans="2:3" x14ac:dyDescent="0.25">
      <c r="B77" s="144">
        <f ca="1"/>
        <v>46216</v>
      </c>
      <c r="C77" s="143">
        <f ca="1"/>
        <v>7.0730235311017428E-3</v>
      </c>
    </row>
    <row r="78" spans="2:3" x14ac:dyDescent="0.25">
      <c r="B78" s="144">
        <f ca="1"/>
        <v>46247</v>
      </c>
      <c r="C78" s="143">
        <f ca="1"/>
        <v>7.1920225292782516E-3</v>
      </c>
    </row>
    <row r="79" spans="2:3" x14ac:dyDescent="0.25">
      <c r="B79" s="144">
        <f ca="1"/>
        <v>46279</v>
      </c>
      <c r="C79" s="143">
        <f ca="1"/>
        <v>7.3132779506050261E-3</v>
      </c>
    </row>
    <row r="80" spans="2:3" x14ac:dyDescent="0.25">
      <c r="B80" s="144">
        <f ca="1"/>
        <v>46308</v>
      </c>
      <c r="C80" s="143">
        <f ca="1"/>
        <v>7.422071453176627E-3</v>
      </c>
    </row>
    <row r="81" spans="2:3" x14ac:dyDescent="0.25">
      <c r="B81" s="144">
        <f ca="1"/>
        <v>46339</v>
      </c>
      <c r="C81" s="143">
        <f ca="1"/>
        <v>7.5375267508577615E-3</v>
      </c>
    </row>
    <row r="82" spans="2:3" x14ac:dyDescent="0.25">
      <c r="B82" s="144">
        <f ca="1"/>
        <v>46370</v>
      </c>
      <c r="C82" s="143">
        <f ca="1"/>
        <v>7.6520255445464416E-3</v>
      </c>
    </row>
    <row r="83" spans="2:3" x14ac:dyDescent="0.25">
      <c r="B83" s="144">
        <f ca="1"/>
        <v>46400</v>
      </c>
      <c r="C83" s="143">
        <f ca="1"/>
        <v>7.7598168297298934E-3</v>
      </c>
    </row>
    <row r="84" spans="2:3" x14ac:dyDescent="0.25">
      <c r="B84" s="144">
        <f ca="1"/>
        <v>46433</v>
      </c>
      <c r="C84" s="143">
        <f ca="1"/>
        <v>7.8717256798751471E-3</v>
      </c>
    </row>
    <row r="85" spans="2:3" x14ac:dyDescent="0.25">
      <c r="B85" s="144">
        <f ca="1"/>
        <v>46461</v>
      </c>
      <c r="C85" s="143">
        <f ca="1"/>
        <v>7.9586305612964012E-3</v>
      </c>
    </row>
    <row r="86" spans="2:3" x14ac:dyDescent="0.25">
      <c r="B86" s="144">
        <f ca="1"/>
        <v>46490</v>
      </c>
      <c r="C86" s="143">
        <f ca="1"/>
        <v>8.0383852992912761E-3</v>
      </c>
    </row>
    <row r="87" spans="2:3" x14ac:dyDescent="0.25">
      <c r="B87" s="144">
        <f ca="1"/>
        <v>46520</v>
      </c>
      <c r="C87" s="143">
        <f ca="1"/>
        <v>8.1073590806400534E-3</v>
      </c>
    </row>
    <row r="88" spans="2:3" x14ac:dyDescent="0.25">
      <c r="B88" s="144">
        <f ca="1"/>
        <v>46552</v>
      </c>
      <c r="C88" s="143">
        <f ca="1"/>
        <v>8.1632887278443381E-3</v>
      </c>
    </row>
    <row r="89" spans="2:3" x14ac:dyDescent="0.25">
      <c r="B89" s="144">
        <f ca="1"/>
        <v>46581</v>
      </c>
      <c r="C89" s="143">
        <f ca="1"/>
        <v>8.1978753084012111E-3</v>
      </c>
    </row>
    <row r="90" spans="2:3" x14ac:dyDescent="0.25">
      <c r="B90" s="144">
        <f ca="1"/>
        <v>46612</v>
      </c>
      <c r="C90" s="143">
        <f ca="1"/>
        <v>8.2180486700654688E-3</v>
      </c>
    </row>
    <row r="91" spans="2:3" x14ac:dyDescent="0.25">
      <c r="B91" s="144">
        <f ca="1"/>
        <v>46643</v>
      </c>
      <c r="C91" s="143">
        <f ca="1"/>
        <v>8.2209958097244785E-3</v>
      </c>
    </row>
    <row r="92" spans="2:3" x14ac:dyDescent="0.25">
      <c r="B92" s="144">
        <f ca="1"/>
        <v>46673</v>
      </c>
      <c r="C92" s="143">
        <f ca="1"/>
        <v>8.207573505047203E-3</v>
      </c>
    </row>
    <row r="93" spans="2:3" x14ac:dyDescent="0.25">
      <c r="B93" s="144">
        <f ca="1"/>
        <v>46706</v>
      </c>
      <c r="C93" s="143">
        <f ca="1"/>
        <v>8.1744679571136326E-3</v>
      </c>
    </row>
    <row r="94" spans="2:3" x14ac:dyDescent="0.25">
      <c r="B94" s="144">
        <f ca="1"/>
        <v>46734</v>
      </c>
      <c r="C94" s="143">
        <f ca="1"/>
        <v>8.1321493845512762E-3</v>
      </c>
    </row>
    <row r="95" spans="2:3" x14ac:dyDescent="0.25">
      <c r="B95" s="144">
        <f ca="1"/>
        <v>46765</v>
      </c>
      <c r="C95" s="143">
        <f ca="1"/>
        <v>8.0746442490835599E-3</v>
      </c>
    </row>
    <row r="96" spans="2:3" x14ac:dyDescent="0.25">
      <c r="B96" s="144">
        <f ca="1"/>
        <v>46797</v>
      </c>
      <c r="C96" s="143">
        <f ca="1"/>
        <v>8.0097110561277232E-3</v>
      </c>
    </row>
    <row r="97" spans="2:3" x14ac:dyDescent="0.25">
      <c r="B97" s="144">
        <f ca="1"/>
        <v>46825</v>
      </c>
      <c r="C97" s="143">
        <f ca="1"/>
        <v>7.9533907173384693E-3</v>
      </c>
    </row>
    <row r="98" spans="2:3" x14ac:dyDescent="0.25">
      <c r="B98" s="144">
        <f ca="1"/>
        <v>46856</v>
      </c>
      <c r="C98" s="143">
        <f ca="1"/>
        <v>7.8971725921650245E-3</v>
      </c>
    </row>
    <row r="99" spans="2:3" x14ac:dyDescent="0.25">
      <c r="B99" s="144">
        <f ca="1"/>
        <v>46888</v>
      </c>
      <c r="C99" s="143">
        <f ca="1"/>
        <v>7.8520734234887174E-3</v>
      </c>
    </row>
    <row r="100" spans="2:3" x14ac:dyDescent="0.25">
      <c r="B100" s="144">
        <f ca="1"/>
        <v>46917</v>
      </c>
      <c r="C100" s="143">
        <f ca="1"/>
        <v>7.8272163623573938E-3</v>
      </c>
    </row>
    <row r="101" spans="2:3" x14ac:dyDescent="0.25">
      <c r="B101" s="144">
        <f ca="1"/>
        <v>46947</v>
      </c>
      <c r="C101" s="143">
        <f ca="1"/>
        <v>7.818599376172122E-3</v>
      </c>
    </row>
    <row r="102" spans="2:3" x14ac:dyDescent="0.25">
      <c r="B102" s="144">
        <f ca="1"/>
        <v>46979</v>
      </c>
      <c r="C102" s="143">
        <f ca="1"/>
        <v>7.8286754033873255E-3</v>
      </c>
    </row>
    <row r="103" spans="2:3" x14ac:dyDescent="0.25">
      <c r="B103" s="144">
        <f ca="1"/>
        <v>47009</v>
      </c>
      <c r="C103" s="143">
        <f ca="1"/>
        <v>7.8562827000032594E-3</v>
      </c>
    </row>
    <row r="104" spans="2:3" x14ac:dyDescent="0.25">
      <c r="B104" s="144">
        <f ca="1"/>
        <v>47039</v>
      </c>
      <c r="C104" s="143">
        <f ca="1"/>
        <v>7.9015597842035587E-3</v>
      </c>
    </row>
    <row r="105" spans="2:3" x14ac:dyDescent="0.25">
      <c r="B105" s="144">
        <f ca="1"/>
        <v>47070</v>
      </c>
      <c r="C105" s="143">
        <f ca="1"/>
        <v>7.9670075064694045E-3</v>
      </c>
    </row>
    <row r="106" spans="2:3" x14ac:dyDescent="0.25">
      <c r="B106" s="144">
        <f ca="1"/>
        <v>47100</v>
      </c>
      <c r="C106" s="143">
        <f ca="1"/>
        <v>8.0478015065597562E-3</v>
      </c>
    </row>
    <row r="107" spans="2:3" x14ac:dyDescent="0.25">
      <c r="B107" s="144">
        <f ca="1"/>
        <v>47133</v>
      </c>
      <c r="C107" s="143">
        <f ca="1"/>
        <v>8.152063485188649E-3</v>
      </c>
    </row>
    <row r="108" spans="2:3" x14ac:dyDescent="0.25">
      <c r="B108" s="144">
        <f ca="1"/>
        <v>47162</v>
      </c>
      <c r="C108" s="143">
        <f ca="1"/>
        <v>8.2523630506534211E-3</v>
      </c>
    </row>
    <row r="109" spans="2:3" x14ac:dyDescent="0.25">
      <c r="B109" s="144">
        <f ca="1"/>
        <v>47190</v>
      </c>
      <c r="C109" s="143">
        <f ca="1"/>
        <v>8.3528814323406871E-3</v>
      </c>
    </row>
    <row r="110" spans="2:3" x14ac:dyDescent="0.25">
      <c r="B110" s="144">
        <f ca="1"/>
        <v>47221</v>
      </c>
      <c r="C110" s="143">
        <f ca="1"/>
        <v>8.4638756994031145E-3</v>
      </c>
    </row>
    <row r="111" spans="2:3" x14ac:dyDescent="0.25">
      <c r="B111" s="144">
        <f ca="1"/>
        <v>47252</v>
      </c>
      <c r="C111" s="143">
        <f ca="1"/>
        <v>8.5697159475514959E-3</v>
      </c>
    </row>
    <row r="112" spans="2:3" x14ac:dyDescent="0.25">
      <c r="B112" s="144">
        <f ca="1"/>
        <v>47282</v>
      </c>
      <c r="C112" s="143">
        <f ca="1"/>
        <v>8.6633040684673691E-3</v>
      </c>
    </row>
    <row r="113" spans="2:3" x14ac:dyDescent="0.25">
      <c r="B113" s="144">
        <f ca="1"/>
        <v>47312</v>
      </c>
      <c r="C113" s="143">
        <f ca="1"/>
        <v>8.7475495824526003E-3</v>
      </c>
    </row>
    <row r="114" spans="2:3" x14ac:dyDescent="0.25">
      <c r="B114" s="144">
        <f ca="1"/>
        <v>47343</v>
      </c>
      <c r="C114" s="143">
        <f ca="1"/>
        <v>8.8249722188001121E-3</v>
      </c>
    </row>
    <row r="115" spans="2:3" x14ac:dyDescent="0.25">
      <c r="B115" s="144">
        <f ca="1"/>
        <v>47374</v>
      </c>
      <c r="C115" s="143">
        <f ca="1"/>
        <v>8.8927948414646019E-3</v>
      </c>
    </row>
    <row r="116" spans="2:3" x14ac:dyDescent="0.25">
      <c r="B116" s="144">
        <f ca="1"/>
        <v>47406</v>
      </c>
      <c r="C116" s="143">
        <f ca="1"/>
        <v>8.9529382478008446E-3</v>
      </c>
    </row>
    <row r="117" spans="2:3" x14ac:dyDescent="0.25">
      <c r="B117" s="144">
        <f ca="1"/>
        <v>47435</v>
      </c>
      <c r="C117" s="143">
        <f ca="1"/>
        <v>8.998958969448221E-3</v>
      </c>
    </row>
    <row r="118" spans="2:3" x14ac:dyDescent="0.25">
      <c r="B118" s="144">
        <f ca="1"/>
        <v>47465</v>
      </c>
      <c r="C118" s="143">
        <f ca="1"/>
        <v>9.0384524595275954E-3</v>
      </c>
    </row>
    <row r="119" spans="2:3" x14ac:dyDescent="0.25">
      <c r="B119" s="144">
        <f ca="1"/>
        <v>47497</v>
      </c>
      <c r="C119" s="143">
        <f ca="1"/>
        <v>9.0729174219654329E-3</v>
      </c>
    </row>
    <row r="120" spans="2:3" x14ac:dyDescent="0.25">
      <c r="B120" s="144">
        <f ca="1"/>
        <v>47527</v>
      </c>
      <c r="C120" s="143">
        <f ca="1"/>
        <v>9.0996513446786192E-3</v>
      </c>
    </row>
    <row r="121" spans="2:3" x14ac:dyDescent="0.25">
      <c r="B121" s="144">
        <f ca="1"/>
        <v>47555</v>
      </c>
      <c r="C121" s="143">
        <f ca="1"/>
        <v>9.1211050602779068E-3</v>
      </c>
    </row>
    <row r="122" spans="2:3" x14ac:dyDescent="0.25">
      <c r="B122" s="144">
        <f ca="1"/>
        <v>47588</v>
      </c>
      <c r="C122" s="143">
        <f ca="1"/>
        <v>9.1437727844401739E-3</v>
      </c>
    </row>
    <row r="123" spans="2:3" x14ac:dyDescent="0.25">
      <c r="B123" s="144">
        <f ca="1"/>
        <v>47616</v>
      </c>
      <c r="C123" s="143">
        <f ca="1"/>
        <v>9.1622118362862971E-3</v>
      </c>
    </row>
    <row r="124" spans="2:3" x14ac:dyDescent="0.25">
      <c r="B124" s="144" t="e">
        <f ca="1"/>
        <v>#N/A</v>
      </c>
      <c r="C124" s="143" t="e">
        <f ca="1"/>
        <v>#N/A</v>
      </c>
    </row>
    <row r="125" spans="2:3" x14ac:dyDescent="0.25">
      <c r="B125" s="144" t="e">
        <f ca="1"/>
        <v>#N/A</v>
      </c>
      <c r="C125" s="143" t="e">
        <f ca="1"/>
        <v>#N/A</v>
      </c>
    </row>
    <row r="126" spans="2:3" x14ac:dyDescent="0.25">
      <c r="B126" s="144" t="e">
        <f ca="1"/>
        <v>#N/A</v>
      </c>
      <c r="C126" s="143" t="e">
        <f ca="1"/>
        <v>#N/A</v>
      </c>
    </row>
    <row r="127" spans="2:3" x14ac:dyDescent="0.25">
      <c r="B127" s="144" t="e">
        <f ca="1"/>
        <v>#N/A</v>
      </c>
      <c r="C127" s="143" t="e">
        <f ca="1"/>
        <v>#N/A</v>
      </c>
    </row>
    <row r="128" spans="2:3" x14ac:dyDescent="0.25">
      <c r="B128" s="144" t="e">
        <f ca="1"/>
        <v>#N/A</v>
      </c>
      <c r="C128" s="143" t="e">
        <f ca="1"/>
        <v>#N/A</v>
      </c>
    </row>
    <row r="129" spans="2:3" x14ac:dyDescent="0.25">
      <c r="B129" s="144" t="e">
        <f ca="1"/>
        <v>#N/A</v>
      </c>
      <c r="C129" s="143" t="e">
        <f ca="1"/>
        <v>#N/A</v>
      </c>
    </row>
    <row r="130" spans="2:3" x14ac:dyDescent="0.25">
      <c r="B130" s="144" t="e">
        <f ca="1"/>
        <v>#N/A</v>
      </c>
      <c r="C130" s="143" t="e">
        <f ca="1"/>
        <v>#N/A</v>
      </c>
    </row>
    <row r="131" spans="2:3" x14ac:dyDescent="0.25">
      <c r="B131" s="144" t="e">
        <f ca="1"/>
        <v>#N/A</v>
      </c>
      <c r="C131" s="143" t="e">
        <f ca="1"/>
        <v>#N/A</v>
      </c>
    </row>
    <row r="132" spans="2:3" x14ac:dyDescent="0.25">
      <c r="B132" s="144" t="e">
        <f ca="1"/>
        <v>#N/A</v>
      </c>
      <c r="C132" s="143" t="e">
        <f ca="1"/>
        <v>#N/A</v>
      </c>
    </row>
    <row r="133" spans="2:3" x14ac:dyDescent="0.25">
      <c r="B133" s="144" t="e">
        <f ca="1"/>
        <v>#N/A</v>
      </c>
      <c r="C133" s="143" t="e">
        <f ca="1"/>
        <v>#N/A</v>
      </c>
    </row>
    <row r="134" spans="2:3" x14ac:dyDescent="0.25">
      <c r="B134" s="144" t="e">
        <f ca="1"/>
        <v>#N/A</v>
      </c>
      <c r="C134" s="143" t="e">
        <f ca="1"/>
        <v>#N/A</v>
      </c>
    </row>
    <row r="135" spans="2:3" x14ac:dyDescent="0.25">
      <c r="B135" s="144" t="e">
        <f ca="1"/>
        <v>#N/A</v>
      </c>
      <c r="C135" s="143" t="e">
        <f ca="1"/>
        <v>#N/A</v>
      </c>
    </row>
    <row r="136" spans="2:3" x14ac:dyDescent="0.25">
      <c r="B136" s="144" t="e">
        <f ca="1"/>
        <v>#N/A</v>
      </c>
      <c r="C136" s="143" t="e">
        <f ca="1"/>
        <v>#N/A</v>
      </c>
    </row>
    <row r="137" spans="2:3" x14ac:dyDescent="0.25">
      <c r="B137" s="144" t="e">
        <f ca="1"/>
        <v>#N/A</v>
      </c>
      <c r="C137" s="143" t="e">
        <f ca="1"/>
        <v>#N/A</v>
      </c>
    </row>
    <row r="138" spans="2:3" x14ac:dyDescent="0.25">
      <c r="B138" s="144" t="e">
        <f ca="1"/>
        <v>#N/A</v>
      </c>
      <c r="C138" s="143" t="e">
        <f ca="1"/>
        <v>#N/A</v>
      </c>
    </row>
    <row r="139" spans="2:3" x14ac:dyDescent="0.25">
      <c r="B139" s="144" t="e">
        <f ca="1"/>
        <v>#N/A</v>
      </c>
      <c r="C139" s="143" t="e">
        <f ca="1"/>
        <v>#N/A</v>
      </c>
    </row>
    <row r="140" spans="2:3" x14ac:dyDescent="0.25">
      <c r="B140" s="144" t="e">
        <f ca="1"/>
        <v>#N/A</v>
      </c>
      <c r="C140" s="143" t="e">
        <f ca="1"/>
        <v>#N/A</v>
      </c>
    </row>
    <row r="141" spans="2:3" x14ac:dyDescent="0.25">
      <c r="B141" s="144" t="e">
        <f ca="1"/>
        <v>#N/A</v>
      </c>
      <c r="C141" s="143" t="e">
        <f ca="1"/>
        <v>#N/A</v>
      </c>
    </row>
    <row r="142" spans="2:3" x14ac:dyDescent="0.25">
      <c r="B142" s="144" t="e">
        <f ca="1"/>
        <v>#N/A</v>
      </c>
      <c r="C142" s="143" t="e">
        <f ca="1"/>
        <v>#N/A</v>
      </c>
    </row>
    <row r="143" spans="2:3" x14ac:dyDescent="0.25">
      <c r="B143" s="144" t="e">
        <f ca="1"/>
        <v>#N/A</v>
      </c>
      <c r="C143" s="143" t="e">
        <f ca="1"/>
        <v>#N/A</v>
      </c>
    </row>
    <row r="144" spans="2:3" x14ac:dyDescent="0.25">
      <c r="B144" s="144" t="e">
        <f ca="1"/>
        <v>#N/A</v>
      </c>
      <c r="C144" s="143" t="e">
        <f ca="1"/>
        <v>#N/A</v>
      </c>
    </row>
    <row r="145" spans="2:3" x14ac:dyDescent="0.25">
      <c r="B145" s="144" t="e">
        <f ca="1"/>
        <v>#N/A</v>
      </c>
      <c r="C145" s="143" t="e">
        <f ca="1"/>
        <v>#N/A</v>
      </c>
    </row>
    <row r="146" spans="2:3" x14ac:dyDescent="0.25">
      <c r="B146" s="144" t="e">
        <f ca="1"/>
        <v>#N/A</v>
      </c>
      <c r="C146" s="143" t="e">
        <f ca="1"/>
        <v>#N/A</v>
      </c>
    </row>
    <row r="147" spans="2:3" x14ac:dyDescent="0.25">
      <c r="B147" s="144" t="e">
        <f ca="1"/>
        <v>#N/A</v>
      </c>
      <c r="C147" s="143" t="e">
        <f ca="1"/>
        <v>#N/A</v>
      </c>
    </row>
    <row r="148" spans="2:3" x14ac:dyDescent="0.25">
      <c r="B148" s="144" t="e">
        <f ca="1"/>
        <v>#N/A</v>
      </c>
      <c r="C148" s="143" t="e">
        <f ca="1"/>
        <v>#N/A</v>
      </c>
    </row>
    <row r="149" spans="2:3" x14ac:dyDescent="0.25">
      <c r="B149" s="144" t="e">
        <f ca="1"/>
        <v>#N/A</v>
      </c>
      <c r="C149" s="143" t="e">
        <f ca="1"/>
        <v>#N/A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48"/>
  <sheetViews>
    <sheetView showGridLines="0" tabSelected="1" workbookViewId="0"/>
  </sheetViews>
  <sheetFormatPr defaultRowHeight="15" x14ac:dyDescent="0.25"/>
  <cols>
    <col min="2" max="2" width="20.7109375" customWidth="1"/>
    <col min="3" max="4" width="17.42578125" bestFit="1" customWidth="1"/>
    <col min="6" max="6" width="12.28515625" customWidth="1"/>
    <col min="8" max="8" width="14.7109375" bestFit="1" customWidth="1"/>
    <col min="11" max="11" width="9.85546875" bestFit="1" customWidth="1"/>
    <col min="14" max="14" width="22.42578125" bestFit="1" customWidth="1"/>
    <col min="15" max="15" width="15.28515625" bestFit="1" customWidth="1"/>
    <col min="16" max="16" width="11.42578125" customWidth="1"/>
    <col min="20" max="20" width="10.28515625" customWidth="1"/>
  </cols>
  <sheetData>
    <row r="2" spans="2:20" x14ac:dyDescent="0.25">
      <c r="B2" s="149" t="s">
        <v>200</v>
      </c>
      <c r="C2" s="149"/>
      <c r="F2" s="150" t="s">
        <v>219</v>
      </c>
      <c r="M2" s="151" t="s">
        <v>4</v>
      </c>
      <c r="N2" s="149" t="s">
        <v>201</v>
      </c>
      <c r="Q2" t="s">
        <v>4</v>
      </c>
      <c r="R2" s="149" t="s">
        <v>202</v>
      </c>
    </row>
    <row r="3" spans="2:20" x14ac:dyDescent="0.25">
      <c r="D3" s="152" t="s">
        <v>203</v>
      </c>
      <c r="H3" s="152" t="s">
        <v>204</v>
      </c>
      <c r="M3" s="151" t="s">
        <v>4</v>
      </c>
      <c r="P3" s="153"/>
      <c r="Q3" t="s">
        <v>4</v>
      </c>
    </row>
    <row r="4" spans="2:20" x14ac:dyDescent="0.25">
      <c r="B4" s="154" t="s">
        <v>205</v>
      </c>
      <c r="C4" s="154" t="s">
        <v>63</v>
      </c>
      <c r="D4" s="155" t="s">
        <v>206</v>
      </c>
      <c r="E4" s="155"/>
      <c r="F4" s="155" t="s">
        <v>205</v>
      </c>
      <c r="G4" s="154" t="s">
        <v>207</v>
      </c>
      <c r="H4" s="154" t="s">
        <v>208</v>
      </c>
      <c r="I4" s="154" t="s">
        <v>209</v>
      </c>
      <c r="J4" s="154" t="s">
        <v>210</v>
      </c>
      <c r="K4" s="154" t="s">
        <v>211</v>
      </c>
      <c r="L4" s="154" t="s">
        <v>212</v>
      </c>
      <c r="M4" s="151" t="s">
        <v>4</v>
      </c>
      <c r="N4" s="154" t="s">
        <v>213</v>
      </c>
      <c r="O4" s="154" t="s">
        <v>214</v>
      </c>
      <c r="P4" s="154" t="s">
        <v>215</v>
      </c>
      <c r="Q4" t="s">
        <v>4</v>
      </c>
      <c r="R4" s="154" t="s">
        <v>5</v>
      </c>
      <c r="S4" s="154" t="s">
        <v>6</v>
      </c>
      <c r="T4" s="156" t="s">
        <v>216</v>
      </c>
    </row>
    <row r="5" spans="2:20" x14ac:dyDescent="0.25">
      <c r="B5" s="157">
        <f ca="1">_xll.meDateFromTenor(TODAY(),F5,"MOD_FOLLOWING",$C5,"")</f>
        <v>43964</v>
      </c>
      <c r="C5" s="158" t="s">
        <v>137</v>
      </c>
      <c r="D5" s="159">
        <f ca="1">_xll.meDateFromTenor(B5,G5,)</f>
        <v>44694</v>
      </c>
      <c r="F5" s="160" t="s">
        <v>218</v>
      </c>
      <c r="G5" s="161" t="str">
        <f ca="1">'CZK SWAP 6M'!R7</f>
        <v>2Y</v>
      </c>
      <c r="H5" s="197" t="str">
        <f t="shared" ref="H5:H16" ca="1" si="0">$B$19</f>
        <v>CZK_6M@5:8</v>
      </c>
      <c r="I5" s="162" t="s">
        <v>217</v>
      </c>
      <c r="J5" s="163">
        <v>1000000</v>
      </c>
      <c r="K5" s="164">
        <v>0.01</v>
      </c>
      <c r="L5" s="165">
        <v>0</v>
      </c>
      <c r="M5" s="151">
        <v>27</v>
      </c>
      <c r="N5" s="166" t="str">
        <f ca="1">_xll.meLWOSwapCreateFromGenerator("CZK_SWAP"&amp;M5,H5,I5,J5,B5,D5,K5,L5)</f>
        <v>CZK_SWAP27@6:8</v>
      </c>
      <c r="O5" s="167" t="s">
        <v>118</v>
      </c>
      <c r="P5" s="200">
        <f ca="1">_xll.meLWOSwapParRate(N5,O5)</f>
        <v>3.050500000000048E-3</v>
      </c>
      <c r="Q5" t="s">
        <v>4</v>
      </c>
      <c r="R5" s="168" t="str">
        <f ca="1">'CZK SWAP 6M'!R7</f>
        <v>2Y</v>
      </c>
      <c r="S5" s="205">
        <f ca="1">'CZK SWAP 6M'!S7</f>
        <v>3.0504999999999998E-3</v>
      </c>
      <c r="T5" s="206">
        <f t="shared" ref="T5:T16" ca="1" si="1">ABS(P5-S5)*10000</f>
        <v>4.8138576458356397E-13</v>
      </c>
    </row>
    <row r="6" spans="2:20" x14ac:dyDescent="0.25">
      <c r="B6" s="169">
        <f ca="1">_xll.meDateFromTenor(TODAY(),F6,"MOD_FOLLOWING",$C6,"")</f>
        <v>43964</v>
      </c>
      <c r="C6" s="170" t="s">
        <v>137</v>
      </c>
      <c r="D6" s="171">
        <f ca="1">_xll.meDateFromTenor(B6,G6,)</f>
        <v>45059</v>
      </c>
      <c r="F6" s="172" t="s">
        <v>218</v>
      </c>
      <c r="G6" s="173" t="str">
        <f ca="1">'CZK SWAP 6M'!R8</f>
        <v>3Y</v>
      </c>
      <c r="H6" s="198" t="str">
        <f t="shared" ca="1" si="0"/>
        <v>CZK_6M@5:8</v>
      </c>
      <c r="I6" s="174" t="s">
        <v>217</v>
      </c>
      <c r="J6" s="175">
        <v>1000000</v>
      </c>
      <c r="K6" s="176">
        <v>0.01</v>
      </c>
      <c r="L6" s="177">
        <v>0</v>
      </c>
      <c r="M6" s="151">
        <v>28</v>
      </c>
      <c r="N6" s="178" t="str">
        <f ca="1">_xll.meLWOSwapCreateFromGenerator("CZK_SWAP"&amp;M6,H6,I6,J6,B6,D6,K6,L6)</f>
        <v>CZK_SWAP28@7:7</v>
      </c>
      <c r="O6" s="179" t="s">
        <v>118</v>
      </c>
      <c r="P6" s="201">
        <f ca="1">_xll.meLWOSwapParRate(N6,O6)</f>
        <v>3.5500000000000535E-3</v>
      </c>
      <c r="Q6" t="s">
        <v>4</v>
      </c>
      <c r="R6" s="180" t="str">
        <f ca="1">'CZK SWAP 6M'!R8</f>
        <v>3Y</v>
      </c>
      <c r="S6" s="203">
        <f ca="1">'CZK SWAP 6M'!S8</f>
        <v>3.5499999999999998E-3</v>
      </c>
      <c r="T6" s="181">
        <f t="shared" ca="1" si="1"/>
        <v>5.377642775528102E-13</v>
      </c>
    </row>
    <row r="7" spans="2:20" x14ac:dyDescent="0.25">
      <c r="B7" s="169">
        <f ca="1">_xll.meDateFromTenor(TODAY(),F7,"MOD_FOLLOWING",$C7,"")</f>
        <v>43964</v>
      </c>
      <c r="C7" s="170" t="s">
        <v>137</v>
      </c>
      <c r="D7" s="171">
        <f ca="1">_xll.meDateFromTenor(B7,G7,)</f>
        <v>45425</v>
      </c>
      <c r="F7" s="172" t="s">
        <v>218</v>
      </c>
      <c r="G7" s="173" t="str">
        <f ca="1">'CZK SWAP 6M'!R9</f>
        <v>4Y</v>
      </c>
      <c r="H7" s="198" t="str">
        <f t="shared" ca="1" si="0"/>
        <v>CZK_6M@5:8</v>
      </c>
      <c r="I7" s="174" t="s">
        <v>217</v>
      </c>
      <c r="J7" s="175">
        <v>1000000</v>
      </c>
      <c r="K7" s="176">
        <v>0.01</v>
      </c>
      <c r="L7" s="177">
        <v>0</v>
      </c>
      <c r="M7" s="151">
        <v>29</v>
      </c>
      <c r="N7" s="178" t="str">
        <f ca="1">_xll.meLWOSwapCreateFromGenerator("CZK_SWAP"&amp;M7,H7,I7,J7,B7,D7,K7,L7)</f>
        <v>CZK_SWAP29@8:7</v>
      </c>
      <c r="O7" s="179" t="s">
        <v>118</v>
      </c>
      <c r="P7" s="201">
        <f ca="1">_xll.meLWOSwapParRate(N7,O7)</f>
        <v>3.9999999999999888E-3</v>
      </c>
      <c r="Q7" t="s">
        <v>4</v>
      </c>
      <c r="R7" s="180" t="str">
        <f ca="1">'CZK SWAP 6M'!R9</f>
        <v>4Y</v>
      </c>
      <c r="S7" s="203">
        <f ca="1">'CZK SWAP 6M'!S9</f>
        <v>4.0000000000000001E-3</v>
      </c>
      <c r="T7" s="181">
        <f t="shared" ca="1" si="1"/>
        <v>1.1275702593849246E-13</v>
      </c>
    </row>
    <row r="8" spans="2:20" x14ac:dyDescent="0.25">
      <c r="B8" s="169">
        <f ca="1">_xll.meDateFromTenor(TODAY(),F8,"MOD_FOLLOWING",$C8,"")</f>
        <v>43964</v>
      </c>
      <c r="C8" s="170" t="s">
        <v>137</v>
      </c>
      <c r="D8" s="171">
        <f ca="1">_xll.meDateFromTenor(B8,G8,)</f>
        <v>45790</v>
      </c>
      <c r="F8" s="172" t="s">
        <v>218</v>
      </c>
      <c r="G8" s="173" t="str">
        <f ca="1">'CZK SWAP 6M'!R10</f>
        <v>5Y</v>
      </c>
      <c r="H8" s="198" t="str">
        <f t="shared" ca="1" si="0"/>
        <v>CZK_6M@5:8</v>
      </c>
      <c r="I8" s="174" t="s">
        <v>217</v>
      </c>
      <c r="J8" s="175">
        <v>1000000</v>
      </c>
      <c r="K8" s="176">
        <v>0.01</v>
      </c>
      <c r="L8" s="177">
        <v>0</v>
      </c>
      <c r="M8" s="151">
        <v>30</v>
      </c>
      <c r="N8" s="178" t="str">
        <f ca="1">_xll.meLWOSwapCreateFromGenerator("CZK_SWAP"&amp;M8,H8,I8,J8,B8,D8,K8,L8)</f>
        <v>CZK_SWAP30@9:7</v>
      </c>
      <c r="O8" s="179" t="s">
        <v>118</v>
      </c>
      <c r="P8" s="201">
        <f ca="1">_xll.meLWOSwapParRate(N8,O8)</f>
        <v>4.4249999999999888E-3</v>
      </c>
      <c r="Q8" t="s">
        <v>4</v>
      </c>
      <c r="R8" s="180" t="str">
        <f ca="1">'CZK SWAP 6M'!R10</f>
        <v>5Y</v>
      </c>
      <c r="S8" s="203">
        <f ca="1">'CZK SWAP 6M'!S10</f>
        <v>4.4250000000000001E-3</v>
      </c>
      <c r="T8" s="181">
        <f t="shared" ca="1" si="1"/>
        <v>1.1275702593849246E-13</v>
      </c>
    </row>
    <row r="9" spans="2:20" x14ac:dyDescent="0.25">
      <c r="B9" s="169">
        <f ca="1">_xll.meDateFromTenor(TODAY(),F9,"MOD_FOLLOWING",$C9,"")</f>
        <v>43964</v>
      </c>
      <c r="C9" s="170" t="s">
        <v>137</v>
      </c>
      <c r="D9" s="171">
        <f ca="1">_xll.meDateFromTenor(B9,G9,)</f>
        <v>46155</v>
      </c>
      <c r="F9" s="172" t="s">
        <v>218</v>
      </c>
      <c r="G9" s="173" t="str">
        <f ca="1">'CZK SWAP 6M'!R11</f>
        <v>6Y</v>
      </c>
      <c r="H9" s="198" t="str">
        <f t="shared" ca="1" si="0"/>
        <v>CZK_6M@5:8</v>
      </c>
      <c r="I9" s="174" t="s">
        <v>217</v>
      </c>
      <c r="J9" s="175">
        <v>1000000</v>
      </c>
      <c r="K9" s="176">
        <v>0.01</v>
      </c>
      <c r="L9" s="177">
        <v>0</v>
      </c>
      <c r="M9" s="151">
        <v>31</v>
      </c>
      <c r="N9" s="178" t="str">
        <f ca="1">_xll.meLWOSwapCreateFromGenerator("CZK_SWAP"&amp;M9,H9,I9,J9,B9,D9,K9,L9)</f>
        <v>CZK_SWAP31@10:7</v>
      </c>
      <c r="O9" s="179" t="s">
        <v>118</v>
      </c>
      <c r="P9" s="201">
        <f ca="1">_xll.meLWOSwapParRate(N9,O9)</f>
        <v>4.6999999999999906E-3</v>
      </c>
      <c r="Q9" t="s">
        <v>4</v>
      </c>
      <c r="R9" s="180" t="str">
        <f ca="1">'CZK SWAP 6M'!R11</f>
        <v>6Y</v>
      </c>
      <c r="S9" s="203">
        <f ca="1">'CZK SWAP 6M'!S11</f>
        <v>4.6999999999999993E-3</v>
      </c>
      <c r="T9" s="181">
        <f t="shared" ca="1" si="1"/>
        <v>8.6736173798840355E-14</v>
      </c>
    </row>
    <row r="10" spans="2:20" x14ac:dyDescent="0.25">
      <c r="B10" s="169">
        <f ca="1">_xll.meDateFromTenor(TODAY(),F10,"MOD_FOLLOWING",$C10,"")</f>
        <v>43964</v>
      </c>
      <c r="C10" s="170" t="s">
        <v>137</v>
      </c>
      <c r="D10" s="171">
        <f ca="1">_xll.meDateFromTenor(B10,G10,)</f>
        <v>46520</v>
      </c>
      <c r="F10" s="172" t="s">
        <v>218</v>
      </c>
      <c r="G10" s="173" t="str">
        <f ca="1">'CZK SWAP 6M'!R12</f>
        <v>7Y</v>
      </c>
      <c r="H10" s="198" t="str">
        <f t="shared" ca="1" si="0"/>
        <v>CZK_6M@5:8</v>
      </c>
      <c r="I10" s="174" t="s">
        <v>217</v>
      </c>
      <c r="J10" s="175">
        <v>1000000</v>
      </c>
      <c r="K10" s="176">
        <v>0.01</v>
      </c>
      <c r="L10" s="177">
        <v>0</v>
      </c>
      <c r="M10" s="151">
        <v>32</v>
      </c>
      <c r="N10" s="178" t="str">
        <f ca="1">_xll.meLWOSwapCreateFromGenerator("CZK_SWAP"&amp;M10,H10,I10,J10,B10,D10,K10,L10)</f>
        <v>CZK_SWAP32@11:7</v>
      </c>
      <c r="O10" s="179" t="s">
        <v>118</v>
      </c>
      <c r="P10" s="201">
        <f ca="1">_xll.meLWOSwapParRate(N10,O10)</f>
        <v>5.0500000000000128E-3</v>
      </c>
      <c r="Q10" t="s">
        <v>4</v>
      </c>
      <c r="R10" s="180" t="str">
        <f ca="1">'CZK SWAP 6M'!R12</f>
        <v>7Y</v>
      </c>
      <c r="S10" s="203">
        <f ca="1">'CZK SWAP 6M'!S12</f>
        <v>5.0499999999999998E-3</v>
      </c>
      <c r="T10" s="181">
        <f t="shared" ca="1" si="1"/>
        <v>1.3010426069826053E-13</v>
      </c>
    </row>
    <row r="11" spans="2:20" x14ac:dyDescent="0.25">
      <c r="B11" s="169">
        <f ca="1">_xll.meDateFromTenor(TODAY(),F11,"MOD_FOLLOWING",$C11,"")</f>
        <v>43964</v>
      </c>
      <c r="C11" s="170" t="s">
        <v>137</v>
      </c>
      <c r="D11" s="171">
        <f ca="1">_xll.meDateFromTenor(B11,G11,)</f>
        <v>46886</v>
      </c>
      <c r="F11" s="172" t="s">
        <v>218</v>
      </c>
      <c r="G11" s="173" t="str">
        <f ca="1">'CZK SWAP 6M'!R13</f>
        <v>8Y</v>
      </c>
      <c r="H11" s="198" t="str">
        <f t="shared" ca="1" si="0"/>
        <v>CZK_6M@5:8</v>
      </c>
      <c r="I11" s="174" t="s">
        <v>217</v>
      </c>
      <c r="J11" s="175">
        <v>1000000</v>
      </c>
      <c r="K11" s="176">
        <v>0.01</v>
      </c>
      <c r="L11" s="177">
        <v>0</v>
      </c>
      <c r="M11" s="151">
        <v>33</v>
      </c>
      <c r="N11" s="178" t="str">
        <f ca="1">_xll.meLWOSwapCreateFromGenerator("CZK_SWAP"&amp;M11,H11,I11,J11,B11,D11,K11,L11)</f>
        <v>CZK_SWAP33@12:7</v>
      </c>
      <c r="O11" s="179" t="s">
        <v>118</v>
      </c>
      <c r="P11" s="201">
        <f ca="1">_xll.meLWOSwapParRate(N11,O11)</f>
        <v>5.4313000000000096E-3</v>
      </c>
      <c r="Q11" t="s">
        <v>4</v>
      </c>
      <c r="R11" s="180" t="str">
        <f ca="1">'CZK SWAP 6M'!R13</f>
        <v>8Y</v>
      </c>
      <c r="S11" s="203">
        <f ca="1">'CZK SWAP 6M'!S13</f>
        <v>5.4313E-3</v>
      </c>
      <c r="T11" s="181">
        <f t="shared" ca="1" si="1"/>
        <v>9.540979117872439E-14</v>
      </c>
    </row>
    <row r="12" spans="2:20" x14ac:dyDescent="0.25">
      <c r="B12" s="169">
        <f ca="1">_xll.meDateFromTenor(TODAY(),F12,"MOD_FOLLOWING",$C12,"")</f>
        <v>43964</v>
      </c>
      <c r="C12" s="170" t="s">
        <v>137</v>
      </c>
      <c r="D12" s="171">
        <f ca="1">_xll.meDateFromTenor(B12,G12,)</f>
        <v>47251</v>
      </c>
      <c r="F12" s="172" t="s">
        <v>218</v>
      </c>
      <c r="G12" s="173" t="str">
        <f ca="1">'CZK SWAP 6M'!R14</f>
        <v>9Y</v>
      </c>
      <c r="H12" s="198" t="str">
        <f t="shared" ca="1" si="0"/>
        <v>CZK_6M@5:8</v>
      </c>
      <c r="I12" s="174" t="s">
        <v>217</v>
      </c>
      <c r="J12" s="175">
        <v>1000000</v>
      </c>
      <c r="K12" s="176">
        <v>0.01</v>
      </c>
      <c r="L12" s="177">
        <v>0</v>
      </c>
      <c r="M12" s="151">
        <v>34</v>
      </c>
      <c r="N12" s="178" t="str">
        <f ca="1">_xll.meLWOSwapCreateFromGenerator("CZK_SWAP"&amp;M12,H12,I12,J12,B12,D12,K12,L12)</f>
        <v>CZK_SWAP34@13:7</v>
      </c>
      <c r="O12" s="179" t="s">
        <v>118</v>
      </c>
      <c r="P12" s="201">
        <f ca="1">_xll.meLWOSwapParRate(N12,O12)</f>
        <v>5.7000000000000045E-3</v>
      </c>
      <c r="Q12" t="s">
        <v>4</v>
      </c>
      <c r="R12" s="180" t="str">
        <f ca="1">'CZK SWAP 6M'!R14</f>
        <v>9Y</v>
      </c>
      <c r="S12" s="203">
        <f ca="1">'CZK SWAP 6M'!S14</f>
        <v>5.6999999999999993E-3</v>
      </c>
      <c r="T12" s="181">
        <f t="shared" ca="1" si="1"/>
        <v>5.2041704279304213E-14</v>
      </c>
    </row>
    <row r="13" spans="2:20" x14ac:dyDescent="0.25">
      <c r="B13" s="169">
        <f ca="1">_xll.meDateFromTenor(TODAY(),F13,"MOD_FOLLOWING",$C13,"")</f>
        <v>43964</v>
      </c>
      <c r="C13" s="170" t="s">
        <v>137</v>
      </c>
      <c r="D13" s="171">
        <f ca="1">_xll.meDateFromTenor(B13,G13,)</f>
        <v>47616</v>
      </c>
      <c r="F13" s="172" t="s">
        <v>218</v>
      </c>
      <c r="G13" s="173" t="str">
        <f ca="1">'CZK SWAP 6M'!R15</f>
        <v>10Y</v>
      </c>
      <c r="H13" s="198" t="str">
        <f t="shared" ca="1" si="0"/>
        <v>CZK_6M@5:8</v>
      </c>
      <c r="I13" s="174" t="s">
        <v>217</v>
      </c>
      <c r="J13" s="175">
        <v>1000000</v>
      </c>
      <c r="K13" s="176">
        <v>0.01</v>
      </c>
      <c r="L13" s="177">
        <v>0</v>
      </c>
      <c r="M13" s="151">
        <v>35</v>
      </c>
      <c r="N13" s="178" t="str">
        <f ca="1">_xll.meLWOSwapCreateFromGenerator("CZK_SWAP"&amp;M13,H13,I13,J13,B13,D13,K13,L13)</f>
        <v>CZK_SWAP35@14:7</v>
      </c>
      <c r="O13" s="179" t="s">
        <v>118</v>
      </c>
      <c r="P13" s="201">
        <f ca="1">_xll.meLWOSwapParRate(N13,O13)</f>
        <v>5.9999999999999967E-3</v>
      </c>
      <c r="Q13" t="s">
        <v>4</v>
      </c>
      <c r="R13" s="180" t="str">
        <f ca="1">'CZK SWAP 6M'!R15</f>
        <v>10Y</v>
      </c>
      <c r="S13" s="203">
        <f ca="1">'CZK SWAP 6M'!S15</f>
        <v>6.0000000000000001E-3</v>
      </c>
      <c r="T13" s="181">
        <f t="shared" ca="1" si="1"/>
        <v>3.4694469519536142E-14</v>
      </c>
    </row>
    <row r="14" spans="2:20" x14ac:dyDescent="0.25">
      <c r="B14" s="169">
        <f ca="1">_xll.meDateFromTenor(TODAY(),F14,"MOD_FOLLOWING",$C14,"")</f>
        <v>43964</v>
      </c>
      <c r="C14" s="170" t="s">
        <v>137</v>
      </c>
      <c r="D14" s="171">
        <f ca="1">_xll.meDateFromTenor(B14,G14,)</f>
        <v>48347</v>
      </c>
      <c r="F14" s="172" t="s">
        <v>218</v>
      </c>
      <c r="G14" s="173" t="str">
        <f ca="1">'CZK SWAP 6M'!R16</f>
        <v>12Y</v>
      </c>
      <c r="H14" s="198" t="str">
        <f t="shared" ca="1" si="0"/>
        <v>CZK_6M@5:8</v>
      </c>
      <c r="I14" s="174" t="s">
        <v>217</v>
      </c>
      <c r="J14" s="175">
        <v>1000000</v>
      </c>
      <c r="K14" s="176">
        <v>0.01</v>
      </c>
      <c r="L14" s="177">
        <v>0</v>
      </c>
      <c r="M14" s="151">
        <v>36</v>
      </c>
      <c r="N14" s="178" t="str">
        <f ca="1">_xll.meLWOSwapCreateFromGenerator("CZK_SWAP"&amp;M14,H14,I14,J14,B14,D14,K14,L14)</f>
        <v>CZK_SWAP36@15:7</v>
      </c>
      <c r="O14" s="179" t="s">
        <v>118</v>
      </c>
      <c r="P14" s="201">
        <f ca="1">_xll.meLWOSwapParRate(N14,O14)</f>
        <v>6.5500000000000003E-3</v>
      </c>
      <c r="Q14" t="s">
        <v>4</v>
      </c>
      <c r="R14" s="180" t="str">
        <f ca="1">'CZK SWAP 6M'!R16</f>
        <v>12Y</v>
      </c>
      <c r="S14" s="203">
        <f ca="1">'CZK SWAP 6M'!S16</f>
        <v>6.5500000000000003E-3</v>
      </c>
      <c r="T14" s="181">
        <f t="shared" ca="1" si="1"/>
        <v>0</v>
      </c>
    </row>
    <row r="15" spans="2:20" x14ac:dyDescent="0.25">
      <c r="B15" s="169">
        <f ca="1">_xll.meDateFromTenor(TODAY(),F15,"MOD_FOLLOWING",$C15,"")</f>
        <v>43964</v>
      </c>
      <c r="C15" s="170" t="s">
        <v>137</v>
      </c>
      <c r="D15" s="171">
        <f ca="1">_xll.meDateFromTenor(B15,G15,)</f>
        <v>49442</v>
      </c>
      <c r="F15" s="172" t="s">
        <v>218</v>
      </c>
      <c r="G15" s="173" t="str">
        <f ca="1">'CZK SWAP 6M'!R17</f>
        <v>15Y</v>
      </c>
      <c r="H15" s="198" t="str">
        <f t="shared" ca="1" si="0"/>
        <v>CZK_6M@5:8</v>
      </c>
      <c r="I15" s="174" t="s">
        <v>217</v>
      </c>
      <c r="J15" s="175">
        <v>1000000</v>
      </c>
      <c r="K15" s="176">
        <v>0.01</v>
      </c>
      <c r="L15" s="177">
        <v>0</v>
      </c>
      <c r="M15" s="151">
        <v>37</v>
      </c>
      <c r="N15" s="178" t="str">
        <f ca="1">_xll.meLWOSwapCreateFromGenerator("CZK_SWAP"&amp;M15,H15,I15,J15,B15,D15,K15,L15)</f>
        <v>CZK_SWAP37@16:7</v>
      </c>
      <c r="O15" s="179" t="s">
        <v>118</v>
      </c>
      <c r="P15" s="201">
        <f ca="1">_xll.meLWOSwapParRate(N15,O15)</f>
        <v>7.2500000000000073E-3</v>
      </c>
      <c r="Q15" t="s">
        <v>4</v>
      </c>
      <c r="R15" s="180" t="str">
        <f ca="1">'CZK SWAP 6M'!R17</f>
        <v>15Y</v>
      </c>
      <c r="S15" s="203">
        <f ca="1">'CZK SWAP 6M'!S17</f>
        <v>7.2499999999999995E-3</v>
      </c>
      <c r="T15" s="181">
        <f t="shared" ca="1" si="1"/>
        <v>7.8062556418956319E-14</v>
      </c>
    </row>
    <row r="16" spans="2:20" x14ac:dyDescent="0.25">
      <c r="B16" s="182">
        <f ca="1">_xll.meDateFromTenor(TODAY(),F16,"MOD_FOLLOWING",$C16,"")</f>
        <v>43964</v>
      </c>
      <c r="C16" s="183" t="s">
        <v>137</v>
      </c>
      <c r="D16" s="184">
        <f ca="1">_xll.meDateFromTenor(B16,G16,)</f>
        <v>51269</v>
      </c>
      <c r="F16" s="185" t="s">
        <v>218</v>
      </c>
      <c r="G16" s="186" t="str">
        <f ca="1">'CZK SWAP 6M'!R18</f>
        <v>20Y</v>
      </c>
      <c r="H16" s="199" t="str">
        <f t="shared" ca="1" si="0"/>
        <v>CZK_6M@5:8</v>
      </c>
      <c r="I16" s="187" t="s">
        <v>217</v>
      </c>
      <c r="J16" s="188">
        <v>1000000</v>
      </c>
      <c r="K16" s="189">
        <v>0.01</v>
      </c>
      <c r="L16" s="190">
        <v>0</v>
      </c>
      <c r="M16" s="151">
        <v>38</v>
      </c>
      <c r="N16" s="191" t="str">
        <f ca="1">_xll.meLWOSwapCreateFromGenerator("CZK_SWAP"&amp;M16,H16,I16,J16,B16,D16,K16,L16)</f>
        <v>CZK_SWAP38@17:7</v>
      </c>
      <c r="O16" s="192" t="s">
        <v>118</v>
      </c>
      <c r="P16" s="202">
        <f ca="1">_xll.meLWOSwapParRate(N16,O16)</f>
        <v>7.9500000000000039E-3</v>
      </c>
      <c r="Q16" t="s">
        <v>4</v>
      </c>
      <c r="R16" s="193" t="str">
        <f ca="1">'CZK SWAP 6M'!R18</f>
        <v>20Y</v>
      </c>
      <c r="S16" s="204">
        <f ca="1">'CZK SWAP 6M'!S18</f>
        <v>7.9500000000000005E-3</v>
      </c>
      <c r="T16" s="194">
        <f t="shared" ca="1" si="1"/>
        <v>3.4694469519536142E-14</v>
      </c>
    </row>
    <row r="18" spans="2:4" x14ac:dyDescent="0.25">
      <c r="B18" s="140" t="s">
        <v>255</v>
      </c>
    </row>
    <row r="19" spans="2:4" x14ac:dyDescent="0.25">
      <c r="B19" s="196" t="str">
        <f ca="1">_xll.meLWOSwapGeneratorCreate("CZK_6M",B21:D46)</f>
        <v>CZK_6M@5:8</v>
      </c>
    </row>
    <row r="21" spans="2:4" x14ac:dyDescent="0.25">
      <c r="B21" s="65" t="s">
        <v>220</v>
      </c>
      <c r="C21" s="154" t="s">
        <v>221</v>
      </c>
      <c r="D21" s="154" t="s">
        <v>222</v>
      </c>
    </row>
    <row r="22" spans="2:4" x14ac:dyDescent="0.25">
      <c r="B22" s="65" t="s">
        <v>223</v>
      </c>
      <c r="C22" s="154">
        <v>1</v>
      </c>
      <c r="D22" s="154">
        <v>1</v>
      </c>
    </row>
    <row r="23" spans="2:4" x14ac:dyDescent="0.25">
      <c r="B23" s="65" t="s">
        <v>224</v>
      </c>
      <c r="C23" s="154" t="s">
        <v>40</v>
      </c>
      <c r="D23" s="154" t="s">
        <v>252</v>
      </c>
    </row>
    <row r="24" spans="2:4" x14ac:dyDescent="0.25">
      <c r="B24" s="65" t="s">
        <v>225</v>
      </c>
      <c r="C24" s="154" t="s">
        <v>40</v>
      </c>
      <c r="D24" s="154" t="s">
        <v>40</v>
      </c>
    </row>
    <row r="25" spans="2:4" x14ac:dyDescent="0.25">
      <c r="B25" s="65" t="s">
        <v>226</v>
      </c>
      <c r="C25" s="154" t="s">
        <v>227</v>
      </c>
      <c r="D25" s="154" t="s">
        <v>227</v>
      </c>
    </row>
    <row r="26" spans="2:4" x14ac:dyDescent="0.25">
      <c r="B26" s="65" t="s">
        <v>228</v>
      </c>
      <c r="C26" s="154" t="s">
        <v>252</v>
      </c>
      <c r="D26" s="154" t="s">
        <v>252</v>
      </c>
    </row>
    <row r="27" spans="2:4" x14ac:dyDescent="0.25">
      <c r="B27" s="65" t="s">
        <v>229</v>
      </c>
      <c r="C27" s="154" t="s">
        <v>115</v>
      </c>
      <c r="D27" s="154" t="s">
        <v>115</v>
      </c>
    </row>
    <row r="28" spans="2:4" x14ac:dyDescent="0.25">
      <c r="B28" s="65" t="s">
        <v>230</v>
      </c>
      <c r="C28" s="154" t="s">
        <v>115</v>
      </c>
      <c r="D28" s="154" t="s">
        <v>115</v>
      </c>
    </row>
    <row r="29" spans="2:4" x14ac:dyDescent="0.25">
      <c r="B29" s="65" t="s">
        <v>231</v>
      </c>
      <c r="C29" s="154" t="s">
        <v>32</v>
      </c>
      <c r="D29" s="154" t="s">
        <v>72</v>
      </c>
    </row>
    <row r="30" spans="2:4" x14ac:dyDescent="0.25">
      <c r="B30" s="65" t="s">
        <v>232</v>
      </c>
      <c r="C30" s="154" t="s">
        <v>36</v>
      </c>
      <c r="D30" s="154" t="s">
        <v>36</v>
      </c>
    </row>
    <row r="31" spans="2:4" x14ac:dyDescent="0.25">
      <c r="B31" s="65" t="s">
        <v>233</v>
      </c>
      <c r="C31" s="154" t="s">
        <v>137</v>
      </c>
      <c r="D31" s="154" t="s">
        <v>137</v>
      </c>
    </row>
    <row r="32" spans="2:4" x14ac:dyDescent="0.25">
      <c r="B32" s="65" t="s">
        <v>234</v>
      </c>
      <c r="C32" s="154" t="s">
        <v>138</v>
      </c>
      <c r="D32" s="154" t="s">
        <v>138</v>
      </c>
    </row>
    <row r="33" spans="2:4" x14ac:dyDescent="0.25">
      <c r="B33" s="65" t="s">
        <v>235</v>
      </c>
      <c r="C33" s="154" t="s">
        <v>32</v>
      </c>
      <c r="D33" s="154" t="s">
        <v>72</v>
      </c>
    </row>
    <row r="34" spans="2:4" x14ac:dyDescent="0.25">
      <c r="B34" s="65" t="s">
        <v>236</v>
      </c>
      <c r="C34" s="154" t="s">
        <v>36</v>
      </c>
      <c r="D34" s="154" t="s">
        <v>36</v>
      </c>
    </row>
    <row r="35" spans="2:4" x14ac:dyDescent="0.25">
      <c r="B35" s="65" t="s">
        <v>237</v>
      </c>
      <c r="C35" s="154" t="s">
        <v>137</v>
      </c>
      <c r="D35" s="154" t="s">
        <v>137</v>
      </c>
    </row>
    <row r="36" spans="2:4" x14ac:dyDescent="0.25">
      <c r="B36" s="65" t="s">
        <v>238</v>
      </c>
      <c r="C36" s="154" t="s">
        <v>218</v>
      </c>
      <c r="D36" s="154" t="s">
        <v>218</v>
      </c>
    </row>
    <row r="37" spans="2:4" x14ac:dyDescent="0.25">
      <c r="B37" s="65" t="s">
        <v>239</v>
      </c>
      <c r="C37" s="154" t="s">
        <v>40</v>
      </c>
      <c r="D37" s="154" t="s">
        <v>40</v>
      </c>
    </row>
    <row r="38" spans="2:4" x14ac:dyDescent="0.25">
      <c r="B38" s="65" t="s">
        <v>240</v>
      </c>
      <c r="C38" s="154" t="s">
        <v>40</v>
      </c>
      <c r="D38" s="154" t="s">
        <v>40</v>
      </c>
    </row>
    <row r="39" spans="2:4" x14ac:dyDescent="0.25">
      <c r="B39" s="65" t="s">
        <v>241</v>
      </c>
      <c r="C39" s="154" t="s">
        <v>242</v>
      </c>
      <c r="D39" s="154" t="s">
        <v>242</v>
      </c>
    </row>
    <row r="40" spans="2:4" x14ac:dyDescent="0.25">
      <c r="B40" s="65" t="s">
        <v>243</v>
      </c>
      <c r="C40" s="154" t="s">
        <v>244</v>
      </c>
      <c r="D40" s="154" t="s">
        <v>244</v>
      </c>
    </row>
    <row r="41" spans="2:4" x14ac:dyDescent="0.25">
      <c r="B41" s="65" t="s">
        <v>245</v>
      </c>
      <c r="C41" s="154" t="s">
        <v>40</v>
      </c>
      <c r="D41" s="154" t="s">
        <v>36</v>
      </c>
    </row>
    <row r="42" spans="2:4" x14ac:dyDescent="0.25">
      <c r="B42" s="65" t="s">
        <v>246</v>
      </c>
      <c r="C42" s="154" t="s">
        <v>40</v>
      </c>
      <c r="D42" s="154" t="s">
        <v>137</v>
      </c>
    </row>
    <row r="43" spans="2:4" x14ac:dyDescent="0.25">
      <c r="B43" s="65" t="s">
        <v>247</v>
      </c>
      <c r="C43" s="154" t="s">
        <v>40</v>
      </c>
      <c r="D43" s="154" t="s">
        <v>218</v>
      </c>
    </row>
    <row r="44" spans="2:4" x14ac:dyDescent="0.25">
      <c r="B44" s="65" t="s">
        <v>248</v>
      </c>
      <c r="C44" s="154" t="s">
        <v>40</v>
      </c>
      <c r="D44" s="154" t="s">
        <v>40</v>
      </c>
    </row>
    <row r="45" spans="2:4" x14ac:dyDescent="0.25">
      <c r="B45" s="65" t="s">
        <v>249</v>
      </c>
      <c r="C45" s="154" t="s">
        <v>40</v>
      </c>
      <c r="D45" s="154" t="s">
        <v>250</v>
      </c>
    </row>
    <row r="46" spans="2:4" x14ac:dyDescent="0.25">
      <c r="B46" s="65" t="s">
        <v>251</v>
      </c>
      <c r="C46" s="154" t="s">
        <v>40</v>
      </c>
      <c r="D46" s="154" t="s">
        <v>250</v>
      </c>
    </row>
    <row r="47" spans="2:4" x14ac:dyDescent="0.25">
      <c r="B47" s="65"/>
      <c r="C47" s="154"/>
      <c r="D47" s="154"/>
    </row>
    <row r="48" spans="2:4" x14ac:dyDescent="0.25">
      <c r="B48" s="65"/>
      <c r="C48" s="154"/>
      <c r="D48" s="1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CZK SWAP 3M</vt:lpstr>
      <vt:lpstr>CZK_DATA</vt:lpstr>
      <vt:lpstr>CZK SWAP 6M</vt:lpstr>
      <vt:lpstr>CZK_CHART</vt:lpstr>
      <vt:lpstr>CZK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 Nicholas</dc:creator>
  <cp:lastModifiedBy>Burgess Nicholas</cp:lastModifiedBy>
  <dcterms:created xsi:type="dcterms:W3CDTF">2020-05-13T15:32:10Z</dcterms:created>
  <dcterms:modified xsi:type="dcterms:W3CDTF">2020-05-13T21:44:54Z</dcterms:modified>
</cp:coreProperties>
</file>