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165" windowWidth="28830" windowHeight="3765"/>
  </bookViews>
  <sheets>
    <sheet name="AUD ASW" sheetId="5" r:id="rId1"/>
    <sheet name="BOND CASHFLOWS" sheetId="2" r:id="rId2"/>
    <sheet name="ASW CASHFLOWS" sheetId="3" r:id="rId3"/>
  </sheets>
  <externalReferences>
    <externalReference r:id="rId4"/>
  </externalReferences>
  <definedNames>
    <definedName name="COB">'AUD ASW'!$C$3</definedName>
  </definedNames>
  <calcPr calcId="145621"/>
</workbook>
</file>

<file path=xl/calcChain.xml><?xml version="1.0" encoding="utf-8"?>
<calcChain xmlns="http://schemas.openxmlformats.org/spreadsheetml/2006/main">
  <c r="C3" i="5" l="1"/>
  <c r="I40" i="5"/>
  <c r="I39" i="5"/>
  <c r="I38" i="5"/>
  <c r="C36" i="5"/>
  <c r="I34" i="5"/>
  <c r="O33" i="5"/>
  <c r="O32" i="5"/>
  <c r="O31" i="5"/>
  <c r="O30" i="5"/>
  <c r="F29" i="5"/>
  <c r="O28" i="5"/>
  <c r="O27" i="5"/>
  <c r="O26" i="5"/>
  <c r="I25" i="5"/>
  <c r="O24" i="5"/>
  <c r="J24" i="5"/>
  <c r="I24" i="5"/>
  <c r="O23" i="5"/>
  <c r="J23" i="5"/>
  <c r="O25" i="5" s="1"/>
  <c r="I23" i="5"/>
  <c r="F23" i="5"/>
  <c r="J18" i="5"/>
  <c r="F12" i="5"/>
  <c r="J11" i="5"/>
  <c r="C37" i="5" s="1"/>
  <c r="F10" i="5"/>
  <c r="F3" i="5" s="1"/>
  <c r="J9" i="5"/>
  <c r="J8" i="5"/>
  <c r="I8" i="5"/>
  <c r="F7" i="5"/>
  <c r="F32" i="5"/>
  <c r="C13" i="5"/>
  <c r="P41" i="5"/>
  <c r="P37" i="5"/>
  <c r="F31" i="5"/>
  <c r="F21" i="5"/>
  <c r="F33" i="5"/>
  <c r="P42" i="5"/>
  <c r="F22" i="5"/>
  <c r="F19" i="5"/>
  <c r="P40" i="5"/>
  <c r="P39" i="5"/>
  <c r="P38" i="5"/>
  <c r="F17" i="5"/>
  <c r="F18" i="5"/>
  <c r="F20" i="5"/>
  <c r="C23" i="5" l="1"/>
  <c r="I15" i="5"/>
  <c r="I32" i="5"/>
  <c r="I22" i="5"/>
  <c r="J22" i="5" s="1"/>
  <c r="O22" i="5" s="1"/>
  <c r="I33" i="5"/>
  <c r="I21" i="5"/>
  <c r="N11" i="5"/>
  <c r="C7" i="5"/>
  <c r="F4" i="5"/>
  <c r="C27" i="5"/>
  <c r="B3" i="2" a="1"/>
  <c r="C26" i="5"/>
  <c r="C24" i="5"/>
  <c r="C25" i="5"/>
  <c r="C30" i="5"/>
  <c r="C29" i="5"/>
  <c r="C28" i="5"/>
  <c r="K4" i="2" l="1"/>
  <c r="F5" i="2"/>
  <c r="N41" i="2"/>
  <c r="I19" i="2"/>
  <c r="D20" i="2"/>
  <c r="O13" i="2"/>
  <c r="F9" i="2"/>
  <c r="K15" i="2"/>
  <c r="C34" i="2"/>
  <c r="C37" i="2"/>
  <c r="B17" i="2"/>
  <c r="C17" i="2"/>
  <c r="M21" i="2"/>
  <c r="B35" i="2"/>
  <c r="G16" i="2"/>
  <c r="H5" i="2"/>
  <c r="B59" i="2"/>
  <c r="H46" i="2"/>
  <c r="B32" i="2"/>
  <c r="M51" i="2"/>
  <c r="E9" i="2"/>
  <c r="N9" i="2"/>
  <c r="K3" i="2"/>
  <c r="C24" i="2"/>
  <c r="L24" i="2"/>
  <c r="I18" i="2"/>
  <c r="D16" i="2"/>
  <c r="G21" i="2"/>
  <c r="K38" i="2"/>
  <c r="H43" i="2"/>
  <c r="G25" i="2"/>
  <c r="B6" i="2"/>
  <c r="C28" i="2"/>
  <c r="L40" i="2"/>
  <c r="O20" i="2"/>
  <c r="J14" i="2"/>
  <c r="J63" i="2"/>
  <c r="K51" i="2"/>
  <c r="F39" i="2"/>
  <c r="G58" i="2"/>
  <c r="G18" i="2"/>
  <c r="B19" i="2"/>
  <c r="M12" i="2"/>
  <c r="E33" i="2"/>
  <c r="N33" i="2"/>
  <c r="I15" i="2"/>
  <c r="J27" i="2"/>
  <c r="E11" i="2"/>
  <c r="M47" i="2"/>
  <c r="N53" i="2"/>
  <c r="L39" i="2"/>
  <c r="N23" i="2"/>
  <c r="D4" i="2"/>
  <c r="I10" i="2"/>
  <c r="C30" i="2"/>
  <c r="L30" i="2"/>
  <c r="B9" i="2"/>
  <c r="C9" i="2"/>
  <c r="J50" i="2"/>
  <c r="C32" i="2"/>
  <c r="G17" i="2"/>
  <c r="J15" i="2"/>
  <c r="O26" i="2"/>
  <c r="K6" i="2"/>
  <c r="I22" i="2"/>
  <c r="M45" i="2"/>
  <c r="C16" i="2"/>
  <c r="O21" i="2"/>
  <c r="G23" i="2"/>
  <c r="J33" i="2"/>
  <c r="F55" i="2"/>
  <c r="K82" i="2"/>
  <c r="O34" i="2"/>
  <c r="G5" i="2"/>
  <c r="C26" i="2"/>
  <c r="F24" i="2"/>
  <c r="L68" i="2"/>
  <c r="M56" i="2"/>
  <c r="B46" i="2"/>
  <c r="F64" i="2"/>
  <c r="O30" i="2"/>
  <c r="O8" i="2"/>
  <c r="I32" i="2"/>
  <c r="C45" i="2"/>
  <c r="L54" i="2"/>
  <c r="I85" i="2"/>
  <c r="O68" i="2"/>
  <c r="E70" i="2"/>
  <c r="E13" i="2"/>
  <c r="G13" i="2"/>
  <c r="N8" i="2"/>
  <c r="B28" i="2"/>
  <c r="C43" i="2"/>
  <c r="E75" i="2"/>
  <c r="K36" i="2"/>
  <c r="M5" i="2"/>
  <c r="F29" i="2"/>
  <c r="M33" i="2"/>
  <c r="M15" i="2"/>
  <c r="L29" i="2"/>
  <c r="B51" i="2"/>
  <c r="G34" i="2"/>
  <c r="E7" i="2"/>
  <c r="B38" i="2"/>
  <c r="I40" i="2"/>
  <c r="H19" i="2"/>
  <c r="E87" i="2"/>
  <c r="L4" i="2"/>
  <c r="C11" i="2"/>
  <c r="K30" i="2"/>
  <c r="K31" i="2"/>
  <c r="D10" i="2"/>
  <c r="E10" i="2"/>
  <c r="F51" i="2"/>
  <c r="I69" i="2"/>
  <c r="N5" i="2"/>
  <c r="E15" i="2"/>
  <c r="O41" i="2"/>
  <c r="O53" i="2"/>
  <c r="B25" i="2"/>
  <c r="E91" i="2"/>
  <c r="E6" i="2"/>
  <c r="M74" i="2"/>
  <c r="K24" i="2"/>
  <c r="M3" i="2"/>
  <c r="H21" i="2"/>
  <c r="D38" i="2"/>
  <c r="O49" i="2"/>
  <c r="O80" i="2"/>
  <c r="H14" i="2"/>
  <c r="G10" i="2"/>
  <c r="H38" i="2"/>
  <c r="J3" i="2"/>
  <c r="G20" i="2"/>
  <c r="B49" i="2"/>
  <c r="K55" i="2"/>
  <c r="H10" i="2"/>
  <c r="M11" i="2"/>
  <c r="E44" i="2"/>
  <c r="E56" i="2"/>
  <c r="F32" i="2"/>
  <c r="M91" i="2"/>
  <c r="J11" i="2"/>
  <c r="M16" i="2"/>
  <c r="E35" i="2"/>
  <c r="N38" i="2"/>
  <c r="D28" i="2"/>
  <c r="K28" i="2"/>
  <c r="M4" i="2"/>
  <c r="H34" i="2"/>
  <c r="I29" i="2"/>
  <c r="B63" i="2"/>
  <c r="D15" i="2"/>
  <c r="H22" i="2"/>
  <c r="K34" i="2"/>
  <c r="H54" i="2"/>
  <c r="D7" i="2"/>
  <c r="K63" i="2"/>
  <c r="O10" i="2"/>
  <c r="B23" i="2"/>
  <c r="M7" i="2"/>
  <c r="G44" i="2"/>
  <c r="F50" i="2"/>
  <c r="I34" i="2"/>
  <c r="H17" i="2"/>
  <c r="L33" i="2"/>
  <c r="E83" i="2"/>
  <c r="F33" i="2"/>
  <c r="I37" i="2"/>
  <c r="N65" i="2"/>
  <c r="L19" i="2"/>
  <c r="G60" i="2"/>
  <c r="F43" i="2"/>
  <c r="N45" i="2"/>
  <c r="L13" i="2"/>
  <c r="N17" i="2"/>
  <c r="G24" i="2"/>
  <c r="L52" i="2"/>
  <c r="K13" i="2"/>
  <c r="M41" i="2"/>
  <c r="O14" i="2"/>
  <c r="N21" i="2"/>
  <c r="H58" i="2"/>
  <c r="L16" i="2"/>
  <c r="K49" i="2"/>
  <c r="D43" i="2"/>
  <c r="F17" i="2"/>
  <c r="M39" i="2"/>
  <c r="F19" i="2"/>
  <c r="B33" i="2"/>
  <c r="K78" i="2"/>
  <c r="E20" i="2"/>
  <c r="F11" i="2"/>
  <c r="H39" i="2"/>
  <c r="I58" i="2"/>
  <c r="O83" i="2"/>
  <c r="F45" i="2"/>
  <c r="L60" i="2"/>
  <c r="B8" i="2"/>
  <c r="H35" i="2"/>
  <c r="J38" i="2"/>
  <c r="C85" i="2"/>
  <c r="B58" i="2"/>
  <c r="N42" i="2"/>
  <c r="L87" i="2"/>
  <c r="D72" i="2"/>
  <c r="E61" i="2"/>
  <c r="H30" i="2"/>
  <c r="L7" i="2"/>
  <c r="M52" i="2"/>
  <c r="F56" i="2"/>
  <c r="D59" i="2"/>
  <c r="K73" i="2"/>
  <c r="D51" i="2"/>
  <c r="N56" i="2"/>
  <c r="F96" i="2"/>
  <c r="E89" i="2"/>
  <c r="B88" i="2"/>
  <c r="J75" i="2"/>
  <c r="G54" i="2"/>
  <c r="M77" i="2"/>
  <c r="K57" i="2"/>
  <c r="H99" i="2"/>
  <c r="I14" i="2"/>
  <c r="D41" i="2"/>
  <c r="N12" i="2"/>
  <c r="M75" i="2"/>
  <c r="O3" i="2"/>
  <c r="N6" i="2"/>
  <c r="H73" i="2"/>
  <c r="G49" i="2"/>
  <c r="F14" i="2"/>
  <c r="F6" i="2"/>
  <c r="E98" i="2"/>
  <c r="G98" i="2"/>
  <c r="E90" i="2"/>
  <c r="N82" i="2"/>
  <c r="N90" i="2"/>
  <c r="E17" i="2"/>
  <c r="I17" i="2"/>
  <c r="L64" i="2"/>
  <c r="J44" i="2"/>
  <c r="N3" i="2"/>
  <c r="G43" i="2"/>
  <c r="N44" i="2"/>
  <c r="F88" i="2"/>
  <c r="M72" i="2"/>
  <c r="O60" i="2"/>
  <c r="K58" i="2"/>
  <c r="E46" i="2"/>
  <c r="E95" i="2"/>
  <c r="D85" i="2"/>
  <c r="J57" i="2"/>
  <c r="F72" i="2"/>
  <c r="O17" i="2"/>
  <c r="G46" i="2"/>
  <c r="J18" i="2"/>
  <c r="O84" i="2"/>
  <c r="F31" i="2"/>
  <c r="D46" i="2"/>
  <c r="B89" i="2"/>
  <c r="H80" i="2"/>
  <c r="C79" i="2"/>
  <c r="J84" i="2"/>
  <c r="D80" i="2"/>
  <c r="L92" i="2"/>
  <c r="J62" i="2"/>
  <c r="L8" i="2"/>
  <c r="L31" i="2"/>
  <c r="I44" i="2"/>
  <c r="J8" i="2"/>
  <c r="H88" i="2"/>
  <c r="H78" i="2"/>
  <c r="O58" i="2"/>
  <c r="C92" i="2"/>
  <c r="H7" i="2"/>
  <c r="F10" i="2"/>
  <c r="L51" i="2"/>
  <c r="I52" i="2"/>
  <c r="H37" i="2"/>
  <c r="L79" i="2"/>
  <c r="G50" i="2"/>
  <c r="J42" i="2"/>
  <c r="J52" i="2"/>
  <c r="O40" i="2"/>
  <c r="D35" i="2"/>
  <c r="H64" i="2"/>
  <c r="K9" i="2"/>
  <c r="K80" i="2"/>
  <c r="G7" i="2"/>
  <c r="L27" i="2"/>
  <c r="F73" i="2"/>
  <c r="L5" i="2"/>
  <c r="E45" i="2"/>
  <c r="N69" i="2"/>
  <c r="L22" i="2"/>
  <c r="M73" i="2"/>
  <c r="D97" i="2"/>
  <c r="B37" i="2"/>
  <c r="B36" i="2"/>
  <c r="J22" i="2"/>
  <c r="B64" i="2"/>
  <c r="O86" i="2"/>
  <c r="F48" i="2"/>
  <c r="G80" i="2"/>
  <c r="M22" i="2"/>
  <c r="D58" i="2"/>
  <c r="B30" i="2"/>
  <c r="B56" i="2"/>
  <c r="C44" i="2"/>
  <c r="J39" i="2"/>
  <c r="M6" i="2"/>
  <c r="K65" i="2"/>
  <c r="L62" i="2"/>
  <c r="N100" i="2"/>
  <c r="I92" i="2"/>
  <c r="K75" i="2"/>
  <c r="L88" i="2"/>
  <c r="L48" i="2"/>
  <c r="L34" i="2"/>
  <c r="F83" i="2"/>
  <c r="J37" i="2"/>
  <c r="E58" i="2"/>
  <c r="M13" i="2"/>
  <c r="M37" i="2"/>
  <c r="D40" i="2"/>
  <c r="J67" i="2"/>
  <c r="L28" i="2"/>
  <c r="D68" i="2"/>
  <c r="N68" i="2"/>
  <c r="N29" i="2"/>
  <c r="O48" i="2"/>
  <c r="D27" i="2"/>
  <c r="B40" i="2"/>
  <c r="M87" i="2"/>
  <c r="E23" i="2"/>
  <c r="H23" i="2"/>
  <c r="M50" i="2"/>
  <c r="L63" i="2"/>
  <c r="J28" i="2"/>
  <c r="C10" i="2"/>
  <c r="B67" i="2"/>
  <c r="N27" i="2"/>
  <c r="K45" i="2"/>
  <c r="O47" i="2"/>
  <c r="F18" i="2"/>
  <c r="M66" i="2"/>
  <c r="N62" i="2"/>
  <c r="N92" i="2"/>
  <c r="G78" i="2"/>
  <c r="H69" i="2"/>
  <c r="H42" i="2"/>
  <c r="D26" i="2"/>
  <c r="I12" i="2"/>
  <c r="J65" i="2"/>
  <c r="F66" i="2"/>
  <c r="O79" i="2"/>
  <c r="N63" i="2"/>
  <c r="L18" i="2"/>
  <c r="C5" i="2"/>
  <c r="F95" i="2"/>
  <c r="C93" i="2"/>
  <c r="I87" i="2"/>
  <c r="E77" i="2"/>
  <c r="G89" i="2"/>
  <c r="O77" i="2"/>
  <c r="D93" i="2"/>
  <c r="I5" i="2"/>
  <c r="F53" i="2"/>
  <c r="G29" i="2"/>
  <c r="M83" i="2"/>
  <c r="F28" i="2"/>
  <c r="F27" i="2"/>
  <c r="D81" i="2"/>
  <c r="M62" i="2"/>
  <c r="O42" i="2"/>
  <c r="L38" i="2"/>
  <c r="B21" i="2"/>
  <c r="N72" i="2"/>
  <c r="J99" i="2"/>
  <c r="C80" i="2"/>
  <c r="C72" i="2"/>
  <c r="M29" i="2"/>
  <c r="E27" i="2"/>
  <c r="H12" i="2"/>
  <c r="J53" i="2"/>
  <c r="L26" i="2"/>
  <c r="M54" i="2"/>
  <c r="C54" i="2"/>
  <c r="O93" i="2"/>
  <c r="K79" i="2"/>
  <c r="G70" i="2"/>
  <c r="I68" i="2"/>
  <c r="C60" i="2"/>
  <c r="N58" i="2"/>
  <c r="D100" i="2"/>
  <c r="N77" i="2"/>
  <c r="G6" i="2"/>
  <c r="G8" i="2"/>
  <c r="D56" i="2"/>
  <c r="L35" i="2"/>
  <c r="H8" i="2"/>
  <c r="K44" i="2"/>
  <c r="O54" i="2"/>
  <c r="I94" i="2"/>
  <c r="C87" i="2"/>
  <c r="O85" i="2"/>
  <c r="O89" i="2"/>
  <c r="H91" i="2"/>
  <c r="K27" i="2"/>
  <c r="H79" i="2"/>
  <c r="D36" i="2"/>
  <c r="G3" i="2"/>
  <c r="G62" i="2"/>
  <c r="F59" i="2"/>
  <c r="D99" i="2"/>
  <c r="J90" i="2"/>
  <c r="N70" i="2"/>
  <c r="K71" i="2"/>
  <c r="L73" i="2"/>
  <c r="G88" i="2"/>
  <c r="D98" i="2"/>
  <c r="N25" i="2"/>
  <c r="O70" i="2"/>
  <c r="K68" i="2"/>
  <c r="M40" i="2"/>
  <c r="E84" i="2"/>
  <c r="B44" i="2"/>
  <c r="B18" i="2"/>
  <c r="F62" i="2"/>
  <c r="K77" i="2"/>
  <c r="B5" i="2"/>
  <c r="B93" i="2"/>
  <c r="D83" i="2"/>
  <c r="G85" i="2"/>
  <c r="J95" i="2"/>
  <c r="K70" i="2"/>
  <c r="B66" i="2"/>
  <c r="I48" i="2"/>
  <c r="M49" i="2"/>
  <c r="D50" i="2"/>
  <c r="C36" i="2"/>
  <c r="I84" i="2"/>
  <c r="O94" i="2"/>
  <c r="N14" i="2"/>
  <c r="J88" i="2"/>
  <c r="I23" i="2"/>
  <c r="F3" i="2"/>
  <c r="F15" i="2"/>
  <c r="E49" i="2"/>
  <c r="K76" i="2"/>
  <c r="E64" i="2"/>
  <c r="J96" i="2"/>
  <c r="J71" i="2"/>
  <c r="G4" i="2"/>
  <c r="H27" i="2"/>
  <c r="E22" i="2"/>
  <c r="N78" i="2"/>
  <c r="O37" i="2"/>
  <c r="N11" i="2"/>
  <c r="F97" i="2"/>
  <c r="O6" i="2"/>
  <c r="C86" i="2"/>
  <c r="E81" i="2"/>
  <c r="I71" i="2"/>
  <c r="E71" i="2"/>
  <c r="O22" i="2"/>
  <c r="H6" i="2"/>
  <c r="C3" i="2"/>
  <c r="N7" i="2"/>
  <c r="E4" i="2"/>
  <c r="D18" i="2"/>
  <c r="I73" i="2"/>
  <c r="J35" i="2"/>
  <c r="J6" i="2"/>
  <c r="E41" i="2"/>
  <c r="H3" i="2"/>
  <c r="C12" i="2"/>
  <c r="E31" i="2"/>
  <c r="F36" i="2"/>
  <c r="N66" i="2"/>
  <c r="O23" i="2"/>
  <c r="C40" i="2"/>
  <c r="C18" i="2"/>
  <c r="J13" i="2"/>
  <c r="J54" i="2"/>
  <c r="L53" i="2"/>
  <c r="L55" i="2"/>
  <c r="H31" i="2"/>
  <c r="F74" i="2"/>
  <c r="O25" i="2"/>
  <c r="H97" i="2"/>
  <c r="H84" i="2"/>
  <c r="D76" i="2"/>
  <c r="E12" i="2"/>
  <c r="H40" i="2"/>
  <c r="L11" i="2"/>
  <c r="K74" i="2"/>
  <c r="H72" i="2"/>
  <c r="J4" i="2"/>
  <c r="L72" i="2"/>
  <c r="D45" i="2"/>
  <c r="L9" i="2"/>
  <c r="H100" i="2"/>
  <c r="K97" i="2"/>
  <c r="E97" i="2"/>
  <c r="N88" i="2"/>
  <c r="D75" i="2"/>
  <c r="J89" i="2"/>
  <c r="G14" i="2"/>
  <c r="K14" i="2"/>
  <c r="H62" i="2"/>
  <c r="N43" i="2"/>
  <c r="K90" i="2"/>
  <c r="E42" i="2"/>
  <c r="L43" i="2"/>
  <c r="K87" i="2"/>
  <c r="B72" i="2"/>
  <c r="K59" i="2"/>
  <c r="E57" i="2"/>
  <c r="O43" i="2"/>
  <c r="O92" i="2"/>
  <c r="B82" i="2"/>
  <c r="I50" i="2"/>
  <c r="I63" i="2"/>
  <c r="B7" i="2"/>
  <c r="G36" i="2"/>
  <c r="O29" i="2"/>
  <c r="I26" i="2"/>
  <c r="N40" i="2"/>
  <c r="I62" i="2"/>
  <c r="K60" i="2"/>
  <c r="C99" i="2"/>
  <c r="H86" i="2"/>
  <c r="J77" i="2"/>
  <c r="N76" i="2"/>
  <c r="J68" i="2"/>
  <c r="C98" i="2"/>
  <c r="J92" i="2"/>
  <c r="H89" i="2"/>
  <c r="M17" i="2"/>
  <c r="K18" i="2"/>
  <c r="F65" i="2"/>
  <c r="L46" i="2"/>
  <c r="E28" i="2"/>
  <c r="H56" i="2"/>
  <c r="B4" i="2"/>
  <c r="K99" i="2"/>
  <c r="H93" i="2"/>
  <c r="N91" i="2"/>
  <c r="M94" i="2"/>
  <c r="K100" i="2"/>
  <c r="N87" i="2"/>
  <c r="M90" i="2"/>
  <c r="C19" i="2"/>
  <c r="N20" i="2"/>
  <c r="G15" i="2"/>
  <c r="J76" i="2"/>
  <c r="F26" i="2"/>
  <c r="O99" i="2"/>
  <c r="N93" i="2"/>
  <c r="E88" i="2"/>
  <c r="F94" i="2"/>
  <c r="L70" i="2"/>
  <c r="B86" i="2"/>
  <c r="M31" i="2"/>
  <c r="I51" i="2"/>
  <c r="L74" i="2"/>
  <c r="G72" i="2"/>
  <c r="O56" i="2"/>
  <c r="L50" i="2"/>
  <c r="K47" i="2"/>
  <c r="E79" i="2"/>
  <c r="J20" i="2"/>
  <c r="K56" i="2"/>
  <c r="B24" i="2"/>
  <c r="D39" i="2"/>
  <c r="G100" i="2"/>
  <c r="I31" i="2"/>
  <c r="J29" i="2"/>
  <c r="B94" i="2"/>
  <c r="N94" i="2"/>
  <c r="C31" i="2"/>
  <c r="O95" i="2"/>
  <c r="O12" i="2"/>
  <c r="O46" i="2"/>
  <c r="F86" i="2"/>
  <c r="I89" i="2"/>
  <c r="B54" i="2"/>
  <c r="L12" i="2"/>
  <c r="D37" i="2"/>
  <c r="N47" i="2"/>
  <c r="F22" i="2"/>
  <c r="L89" i="2"/>
  <c r="B80" i="2"/>
  <c r="B77" i="2"/>
  <c r="G94" i="2"/>
  <c r="K22" i="2"/>
  <c r="N51" i="2"/>
  <c r="C51" i="2"/>
  <c r="E92" i="2"/>
  <c r="F67" i="2"/>
  <c r="O55" i="2"/>
  <c r="O100" i="2"/>
  <c r="F21" i="2"/>
  <c r="I55" i="2"/>
  <c r="H53" i="2"/>
  <c r="N80" i="2"/>
  <c r="G56" i="2"/>
  <c r="I27" i="2"/>
  <c r="B11" i="2"/>
  <c r="O9" i="2"/>
  <c r="J32" i="2"/>
  <c r="E16" i="2"/>
  <c r="E26" i="2"/>
  <c r="C78" i="2"/>
  <c r="F41" i="2"/>
  <c r="L15" i="2"/>
  <c r="C47" i="2"/>
  <c r="L21" i="2"/>
  <c r="K20" i="2"/>
  <c r="I45" i="2"/>
  <c r="G11" i="2"/>
  <c r="O72" i="2"/>
  <c r="K35" i="2"/>
  <c r="E5" i="2"/>
  <c r="G32" i="2"/>
  <c r="H48" i="2"/>
  <c r="K61" i="2"/>
  <c r="M59" i="2"/>
  <c r="D61" i="2"/>
  <c r="I42" i="2"/>
  <c r="F80" i="2"/>
  <c r="F47" i="2"/>
  <c r="D23" i="2"/>
  <c r="N89" i="2"/>
  <c r="F82" i="2"/>
  <c r="O4" i="2"/>
  <c r="D52" i="2"/>
  <c r="H28" i="2"/>
  <c r="C82" i="2"/>
  <c r="H25" i="2"/>
  <c r="L25" i="2"/>
  <c r="J79" i="2"/>
  <c r="O61" i="2"/>
  <c r="J40" i="2"/>
  <c r="N35" i="2"/>
  <c r="H16" i="2"/>
  <c r="C71" i="2"/>
  <c r="H98" i="2"/>
  <c r="I75" i="2"/>
  <c r="H63" i="2"/>
  <c r="G26" i="2"/>
  <c r="K26" i="2"/>
  <c r="L6" i="2"/>
  <c r="B53" i="2"/>
  <c r="C25" i="2"/>
  <c r="O52" i="2"/>
  <c r="D53" i="2"/>
  <c r="G93" i="2"/>
  <c r="O78" i="2"/>
  <c r="G69" i="2"/>
  <c r="G67" i="2"/>
  <c r="M58" i="2"/>
  <c r="C21" i="2"/>
  <c r="L96" i="2"/>
  <c r="F76" i="2"/>
  <c r="L59" i="2"/>
  <c r="J19" i="2"/>
  <c r="C46" i="2"/>
  <c r="I43" i="2"/>
  <c r="J46" i="2"/>
  <c r="N52" i="2"/>
  <c r="B69" i="2"/>
  <c r="E34" i="2"/>
  <c r="O31" i="2"/>
  <c r="F92" i="2"/>
  <c r="E85" i="2"/>
  <c r="L83" i="2"/>
  <c r="E60" i="2"/>
  <c r="B96" i="2"/>
  <c r="M65" i="2"/>
  <c r="O98" i="2"/>
  <c r="G30" i="2"/>
  <c r="M27" i="2"/>
  <c r="L14" i="2"/>
  <c r="D54" i="2"/>
  <c r="D42" i="2"/>
  <c r="D63" i="2"/>
  <c r="G37" i="2"/>
  <c r="L37" i="2"/>
  <c r="J98" i="2"/>
  <c r="B97" i="2"/>
  <c r="G27" i="2"/>
  <c r="B79" i="2"/>
  <c r="G33" i="2"/>
  <c r="C100" i="2"/>
  <c r="E19" i="2"/>
  <c r="G47" i="2"/>
  <c r="N46" i="2"/>
  <c r="K89" i="2"/>
  <c r="E63" i="2"/>
  <c r="H50" i="2"/>
  <c r="L91" i="2"/>
  <c r="K94" i="2"/>
  <c r="J16" i="2"/>
  <c r="O71" i="2"/>
  <c r="G63" i="2"/>
  <c r="D60" i="2"/>
  <c r="D95" i="2"/>
  <c r="B84" i="2"/>
  <c r="N36" i="2"/>
  <c r="N99" i="2"/>
  <c r="C20" i="2"/>
  <c r="F69" i="2"/>
  <c r="B13" i="2"/>
  <c r="D48" i="2"/>
  <c r="C75" i="2"/>
  <c r="F63" i="2"/>
  <c r="M99" i="2"/>
  <c r="E69" i="2"/>
  <c r="I6" i="2"/>
  <c r="J69" i="2"/>
  <c r="J49" i="2"/>
  <c r="L93" i="2"/>
  <c r="O57" i="2"/>
  <c r="J70" i="2"/>
  <c r="E36" i="2"/>
  <c r="M96" i="2"/>
  <c r="B100" i="2"/>
  <c r="N71" i="2"/>
  <c r="C97" i="2"/>
  <c r="B39" i="2"/>
  <c r="K5" i="2"/>
  <c r="G64" i="2"/>
  <c r="J61" i="2"/>
  <c r="F100" i="2"/>
  <c r="O91" i="2"/>
  <c r="D74" i="2"/>
  <c r="O74" i="2"/>
  <c r="C42" i="2"/>
  <c r="E38" i="2"/>
  <c r="C67" i="2"/>
  <c r="M18" i="2"/>
  <c r="D82" i="2"/>
  <c r="H36" i="2"/>
  <c r="J48" i="2"/>
  <c r="I9" i="2"/>
  <c r="M32" i="2"/>
  <c r="B73" i="2"/>
  <c r="N97" i="2"/>
  <c r="D34" i="2"/>
  <c r="D33" i="2"/>
  <c r="K50" i="2"/>
  <c r="B43" i="2"/>
  <c r="O7" i="2"/>
  <c r="E18" i="2"/>
  <c r="E3" i="2"/>
  <c r="E52" i="2"/>
  <c r="N13" i="2"/>
  <c r="L3" i="2"/>
  <c r="M53" i="2"/>
  <c r="G40" i="2"/>
  <c r="E68" i="2"/>
  <c r="G66" i="2"/>
  <c r="G86" i="2"/>
  <c r="D5" i="2"/>
  <c r="K12" i="2"/>
  <c r="N61" i="2"/>
  <c r="C90" i="2"/>
  <c r="G41" i="2"/>
  <c r="B71" i="2"/>
  <c r="M55" i="2"/>
  <c r="H90" i="2"/>
  <c r="K41" i="2"/>
  <c r="B3" i="2"/>
  <c r="B29" i="2"/>
  <c r="I39" i="2"/>
  <c r="B60" i="2"/>
  <c r="M85" i="2"/>
  <c r="H75" i="2"/>
  <c r="I93" i="2"/>
  <c r="D88" i="2"/>
  <c r="J31" i="2"/>
  <c r="I54" i="2"/>
  <c r="C61" i="2"/>
  <c r="N54" i="2"/>
  <c r="B98" i="2"/>
  <c r="F89" i="2"/>
  <c r="K64" i="2"/>
  <c r="K66" i="2"/>
  <c r="O36" i="2"/>
  <c r="H29" i="2"/>
  <c r="K69" i="2"/>
  <c r="N31" i="2"/>
  <c r="H15" i="2"/>
  <c r="G96" i="2"/>
  <c r="M69" i="2"/>
  <c r="N30" i="2"/>
  <c r="E100" i="2"/>
  <c r="I70" i="2"/>
  <c r="C69" i="2"/>
  <c r="J56" i="2"/>
  <c r="N4" i="2"/>
  <c r="D87" i="2"/>
  <c r="N73" i="2"/>
  <c r="G35" i="2"/>
  <c r="D13" i="2"/>
  <c r="D79" i="2"/>
  <c r="E93" i="2"/>
  <c r="D57" i="2"/>
  <c r="I7" i="2"/>
  <c r="L76" i="2"/>
  <c r="B68" i="2"/>
  <c r="C73" i="2"/>
  <c r="M20" i="2"/>
  <c r="O19" i="2"/>
  <c r="E32" i="2"/>
  <c r="D96" i="2"/>
  <c r="D25" i="2"/>
  <c r="M78" i="2"/>
  <c r="D94" i="2"/>
  <c r="C88" i="2"/>
  <c r="M70" i="2"/>
  <c r="D24" i="2"/>
  <c r="F87" i="2"/>
  <c r="K7" i="2"/>
  <c r="E40" i="2"/>
  <c r="M95" i="2"/>
  <c r="M57" i="2"/>
  <c r="H65" i="2"/>
  <c r="D6" i="2"/>
  <c r="B31" i="2"/>
  <c r="H60" i="2"/>
  <c r="C53" i="2"/>
  <c r="N96" i="2"/>
  <c r="F60" i="2"/>
  <c r="K62" i="2"/>
  <c r="B14" i="2"/>
  <c r="I8" i="2"/>
  <c r="B75" i="2"/>
  <c r="M98" i="2"/>
  <c r="F12" i="2"/>
  <c r="H11" i="2"/>
  <c r="O59" i="2"/>
  <c r="I78" i="2"/>
  <c r="D55" i="2"/>
  <c r="F30" i="2"/>
  <c r="B34" i="2"/>
  <c r="C96" i="2"/>
  <c r="F77" i="2"/>
  <c r="F93" i="2"/>
  <c r="H95" i="2"/>
  <c r="G97" i="2"/>
  <c r="L65" i="2"/>
  <c r="H4" i="2"/>
  <c r="G65" i="2"/>
  <c r="O39" i="2"/>
  <c r="M93" i="2"/>
  <c r="G55" i="2"/>
  <c r="M38" i="2"/>
  <c r="K52" i="2"/>
  <c r="F44" i="2"/>
  <c r="C52" i="2"/>
  <c r="H71" i="2"/>
  <c r="O90" i="2"/>
  <c r="I65" i="2"/>
  <c r="F98" i="2"/>
  <c r="F61" i="2"/>
  <c r="M43" i="2"/>
  <c r="H32" i="2"/>
  <c r="L17" i="2"/>
  <c r="D17" i="2"/>
  <c r="C76" i="2"/>
  <c r="B10" i="2"/>
  <c r="I90" i="2"/>
  <c r="L66" i="2"/>
  <c r="D9" i="2"/>
  <c r="I99" i="2"/>
  <c r="F68" i="2"/>
  <c r="C62" i="2"/>
  <c r="B16" i="2"/>
  <c r="E73" i="2"/>
  <c r="K17" i="2"/>
  <c r="N15" i="2"/>
  <c r="M71" i="2"/>
  <c r="E14" i="2"/>
  <c r="J17" i="2"/>
  <c r="L47" i="2"/>
  <c r="C84" i="2"/>
  <c r="J10" i="2"/>
  <c r="E8" i="2"/>
  <c r="D64" i="2"/>
  <c r="O51" i="2"/>
  <c r="M26" i="2"/>
  <c r="K40" i="2"/>
  <c r="F46" i="2"/>
  <c r="E66" i="2"/>
  <c r="L90" i="2"/>
  <c r="D30" i="2"/>
  <c r="O5" i="2"/>
  <c r="D71" i="2"/>
  <c r="H66" i="2"/>
  <c r="H20" i="2"/>
  <c r="J72" i="2"/>
  <c r="G9" i="2"/>
  <c r="D31" i="2"/>
  <c r="F16" i="2"/>
  <c r="G12" i="2"/>
  <c r="G19" i="2"/>
  <c r="F25" i="2"/>
  <c r="E30" i="2"/>
  <c r="N59" i="2"/>
  <c r="K46" i="2"/>
  <c r="K86" i="2"/>
  <c r="G71" i="2"/>
  <c r="J91" i="2"/>
  <c r="C35" i="2"/>
  <c r="M25" i="2"/>
  <c r="J5" i="2"/>
  <c r="D22" i="2"/>
  <c r="F52" i="2"/>
  <c r="D78" i="2"/>
  <c r="I66" i="2"/>
  <c r="B99" i="2"/>
  <c r="N74" i="2"/>
  <c r="H18" i="2"/>
  <c r="M42" i="2"/>
  <c r="N50" i="2"/>
  <c r="G31" i="2"/>
  <c r="K91" i="2"/>
  <c r="B83" i="2"/>
  <c r="G91" i="2"/>
  <c r="M97" i="2"/>
  <c r="L44" i="2"/>
  <c r="O15" i="2"/>
  <c r="K67" i="2"/>
  <c r="O65" i="2"/>
  <c r="F40" i="2"/>
  <c r="E94" i="2"/>
  <c r="E80" i="2"/>
  <c r="B81" i="2"/>
  <c r="E47" i="2"/>
  <c r="J47" i="2"/>
  <c r="I76" i="2"/>
  <c r="E53" i="2"/>
  <c r="K43" i="2"/>
  <c r="D21" i="2"/>
  <c r="F81" i="2"/>
  <c r="B61" i="2"/>
  <c r="E67" i="2"/>
  <c r="L81" i="2"/>
  <c r="J97" i="2"/>
  <c r="D84" i="2"/>
  <c r="K53" i="2"/>
  <c r="E37" i="2"/>
  <c r="C39" i="2"/>
  <c r="I4" i="2"/>
  <c r="J60" i="2"/>
  <c r="F91" i="2"/>
  <c r="G73" i="2"/>
  <c r="M82" i="2"/>
  <c r="C7" i="2"/>
  <c r="H61" i="2"/>
  <c r="B62" i="2"/>
  <c r="L58" i="2"/>
  <c r="C22" i="2"/>
  <c r="B50" i="2"/>
  <c r="D66" i="2"/>
  <c r="I97" i="2"/>
  <c r="O50" i="2"/>
  <c r="E24" i="2"/>
  <c r="N32" i="2"/>
  <c r="M67" i="2"/>
  <c r="J34" i="2"/>
  <c r="K10" i="2"/>
  <c r="E72" i="2"/>
  <c r="J21" i="2"/>
  <c r="I83" i="2"/>
  <c r="I16" i="2"/>
  <c r="E59" i="2"/>
  <c r="D89" i="2"/>
  <c r="H24" i="2"/>
  <c r="C15" i="2"/>
  <c r="N18" i="2"/>
  <c r="D92" i="2"/>
  <c r="C70" i="2"/>
  <c r="N64" i="2"/>
  <c r="C68" i="2"/>
  <c r="I77" i="2"/>
  <c r="O11" i="2"/>
  <c r="K37" i="2"/>
  <c r="I13" i="2"/>
  <c r="N22" i="2"/>
  <c r="I100" i="2"/>
  <c r="C50" i="2"/>
  <c r="O87" i="2"/>
  <c r="I41" i="2"/>
  <c r="G81" i="2"/>
  <c r="G39" i="2"/>
  <c r="E50" i="2"/>
  <c r="I95" i="2"/>
  <c r="F35" i="2"/>
  <c r="I38" i="2"/>
  <c r="L41" i="2"/>
  <c r="J87" i="2"/>
  <c r="I57" i="2"/>
  <c r="O27" i="2"/>
  <c r="B92" i="2"/>
  <c r="O67" i="2"/>
  <c r="N16" i="2"/>
  <c r="H92" i="2"/>
  <c r="I35" i="2"/>
  <c r="K85" i="2"/>
  <c r="K72" i="2"/>
  <c r="O69" i="2"/>
  <c r="F49" i="2"/>
  <c r="I81" i="2"/>
  <c r="M44" i="2"/>
  <c r="L95" i="2"/>
  <c r="F37" i="2"/>
  <c r="J59" i="2"/>
  <c r="J51" i="2"/>
  <c r="M10" i="2"/>
  <c r="N26" i="2"/>
  <c r="O97" i="2"/>
  <c r="H47" i="2"/>
  <c r="D77" i="2"/>
  <c r="H51" i="2"/>
  <c r="G57" i="2"/>
  <c r="L69" i="2"/>
  <c r="O96" i="2"/>
  <c r="K19" i="2"/>
  <c r="G95" i="2"/>
  <c r="H74" i="2"/>
  <c r="J24" i="2"/>
  <c r="N98" i="2"/>
  <c r="H57" i="2"/>
  <c r="C74" i="2"/>
  <c r="C48" i="2"/>
  <c r="O82" i="2"/>
  <c r="C27" i="2"/>
  <c r="C23" i="2"/>
  <c r="G92" i="2"/>
  <c r="G84" i="2"/>
  <c r="B76" i="2"/>
  <c r="C13" i="2"/>
  <c r="B90" i="2"/>
  <c r="C66" i="2"/>
  <c r="M19" i="2"/>
  <c r="K8" i="2"/>
  <c r="I3" i="2"/>
  <c r="M24" i="2"/>
  <c r="O16" i="2"/>
  <c r="F8" i="2"/>
  <c r="D44" i="2"/>
  <c r="J41" i="2"/>
  <c r="C65" i="2"/>
  <c r="F34" i="2"/>
  <c r="O75" i="2"/>
  <c r="E96" i="2"/>
  <c r="I53" i="2"/>
  <c r="G38" i="2"/>
  <c r="F38" i="2"/>
  <c r="G59" i="2"/>
  <c r="B85" i="2"/>
  <c r="J74" i="2"/>
  <c r="M89" i="2"/>
  <c r="N86" i="2"/>
  <c r="G53" i="2"/>
  <c r="K88" i="2"/>
  <c r="I91" i="2"/>
  <c r="N55" i="2"/>
  <c r="H68" i="2"/>
  <c r="G61" i="2"/>
  <c r="C63" i="2"/>
  <c r="I11" i="2"/>
  <c r="E54" i="2"/>
  <c r="H59" i="2"/>
  <c r="F85" i="2"/>
  <c r="I64" i="2"/>
  <c r="C91" i="2"/>
  <c r="F4" i="2"/>
  <c r="H26" i="2"/>
  <c r="I33" i="2"/>
  <c r="J66" i="2"/>
  <c r="I59" i="2"/>
  <c r="G76" i="2"/>
  <c r="D32" i="2"/>
  <c r="B47" i="2"/>
  <c r="I96" i="2"/>
  <c r="B95" i="2"/>
  <c r="M8" i="2"/>
  <c r="E25" i="2"/>
  <c r="E62" i="2"/>
  <c r="I86" i="2"/>
  <c r="E29" i="2"/>
  <c r="L36" i="2"/>
  <c r="O81" i="2"/>
  <c r="L67" i="2"/>
  <c r="G99" i="2"/>
  <c r="M88" i="2"/>
  <c r="C41" i="2"/>
  <c r="J82" i="2"/>
  <c r="D47" i="2"/>
  <c r="L85" i="2"/>
  <c r="E21" i="2"/>
  <c r="M9" i="2"/>
  <c r="G45" i="2"/>
  <c r="I21" i="2"/>
  <c r="K25" i="2"/>
  <c r="K11" i="2"/>
  <c r="K48" i="2"/>
  <c r="G79" i="2"/>
  <c r="L45" i="2"/>
  <c r="L23" i="2"/>
  <c r="I80" i="2"/>
  <c r="M100" i="2"/>
  <c r="C64" i="2"/>
  <c r="B15" i="2"/>
  <c r="B42" i="2"/>
  <c r="N49" i="2"/>
  <c r="I28" i="2"/>
  <c r="B91" i="2"/>
  <c r="H81" i="2"/>
  <c r="H87" i="2"/>
  <c r="K96" i="2"/>
  <c r="J43" i="2"/>
  <c r="M14" i="2"/>
  <c r="O66" i="2"/>
  <c r="M64" i="2"/>
  <c r="N34" i="2"/>
  <c r="K93" i="2"/>
  <c r="L78" i="2"/>
  <c r="I79" i="2"/>
  <c r="C6" i="2"/>
  <c r="O33" i="2"/>
  <c r="K29" i="2"/>
  <c r="N81" i="2"/>
  <c r="H45" i="2"/>
  <c r="I24" i="2"/>
  <c r="L100" i="2"/>
  <c r="F78" i="2"/>
  <c r="N28" i="2"/>
  <c r="O76" i="2"/>
  <c r="C33" i="2"/>
  <c r="J73" i="2"/>
  <c r="H70" i="2"/>
  <c r="M81" i="2"/>
  <c r="O18" i="2"/>
  <c r="L10" i="2"/>
  <c r="G74" i="2"/>
  <c r="K98" i="2"/>
  <c r="K92" i="2"/>
  <c r="J94" i="2"/>
  <c r="J58" i="2"/>
  <c r="K39" i="2"/>
  <c r="I46" i="2"/>
  <c r="B48" i="2"/>
  <c r="F90" i="2"/>
  <c r="G52" i="2"/>
  <c r="E99" i="2"/>
  <c r="H83" i="2"/>
  <c r="F57" i="2"/>
  <c r="J30" i="2"/>
  <c r="D73" i="2"/>
  <c r="B70" i="2"/>
  <c r="F20" i="2"/>
  <c r="E78" i="2"/>
  <c r="J93" i="2"/>
  <c r="M86" i="2"/>
  <c r="O38" i="2"/>
  <c r="J25" i="2"/>
  <c r="L80" i="2"/>
  <c r="H76" i="2"/>
  <c r="C95" i="2"/>
  <c r="C49" i="2"/>
  <c r="N24" i="2"/>
  <c r="O88" i="2"/>
  <c r="L98" i="2"/>
  <c r="B27" i="2"/>
  <c r="L71" i="2"/>
  <c r="E76" i="2"/>
  <c r="J23" i="2"/>
  <c r="O24" i="2"/>
  <c r="I25" i="2"/>
  <c r="C4" i="2"/>
  <c r="B45" i="2"/>
  <c r="H44" i="2"/>
  <c r="D3" i="2"/>
  <c r="M79" i="2"/>
  <c r="K32" i="2"/>
  <c r="C55" i="2"/>
  <c r="B65" i="2"/>
  <c r="G51" i="2"/>
  <c r="M60" i="2"/>
  <c r="L94" i="2"/>
  <c r="C14" i="2"/>
  <c r="F42" i="2"/>
  <c r="B41" i="2"/>
  <c r="B87" i="2"/>
  <c r="F58" i="2"/>
  <c r="H41" i="2"/>
  <c r="H77" i="2"/>
  <c r="K33" i="2"/>
  <c r="M35" i="2"/>
  <c r="K23" i="2"/>
  <c r="M61" i="2"/>
  <c r="I98" i="2"/>
  <c r="M76" i="2"/>
  <c r="H67" i="2"/>
  <c r="C83" i="2"/>
  <c r="D65" i="2"/>
  <c r="D11" i="2"/>
  <c r="L57" i="2"/>
  <c r="G75" i="2"/>
  <c r="N60" i="2"/>
  <c r="D91" i="2"/>
  <c r="J78" i="2"/>
  <c r="M80" i="2"/>
  <c r="D8" i="2"/>
  <c r="M30" i="2"/>
  <c r="K54" i="2"/>
  <c r="I56" i="2"/>
  <c r="F23" i="2"/>
  <c r="E48" i="2"/>
  <c r="J100" i="2"/>
  <c r="C38" i="2"/>
  <c r="M63" i="2"/>
  <c r="N79" i="2"/>
  <c r="B12" i="2"/>
  <c r="I82" i="2"/>
  <c r="J83" i="2"/>
  <c r="I74" i="2"/>
  <c r="N39" i="2"/>
  <c r="D12" i="2"/>
  <c r="M46" i="2"/>
  <c r="C89" i="2"/>
  <c r="F70" i="2"/>
  <c r="G28" i="2"/>
  <c r="J86" i="2"/>
  <c r="O35" i="2"/>
  <c r="L49" i="2"/>
  <c r="J85" i="2"/>
  <c r="B74" i="2"/>
  <c r="J26" i="2"/>
  <c r="B78" i="2"/>
  <c r="F7" i="2"/>
  <c r="H94" i="2"/>
  <c r="O64" i="2"/>
  <c r="D14" i="2"/>
  <c r="E86" i="2"/>
  <c r="I49" i="2"/>
  <c r="O45" i="2"/>
  <c r="G83" i="2"/>
  <c r="N85" i="2"/>
  <c r="F71" i="2"/>
  <c r="L86" i="2"/>
  <c r="O32" i="2"/>
  <c r="E55" i="2"/>
  <c r="H85" i="2"/>
  <c r="L32" i="2"/>
  <c r="E43" i="2"/>
  <c r="E39" i="2"/>
  <c r="K16" i="2"/>
  <c r="B55" i="2"/>
  <c r="D19" i="2"/>
  <c r="N19" i="2"/>
  <c r="J7" i="2"/>
  <c r="H9" i="2"/>
  <c r="D70" i="2"/>
  <c r="C58" i="2"/>
  <c r="D69" i="2"/>
  <c r="F99" i="2"/>
  <c r="M23" i="2"/>
  <c r="H52" i="2"/>
  <c r="B52" i="2"/>
  <c r="M92" i="2"/>
  <c r="L97" i="2"/>
  <c r="E82" i="2"/>
  <c r="O44" i="2"/>
  <c r="J45" i="2"/>
  <c r="G68" i="2"/>
  <c r="C29" i="2"/>
  <c r="K83" i="2"/>
  <c r="F54" i="2"/>
  <c r="I61" i="2"/>
  <c r="L77" i="2"/>
  <c r="I67" i="2"/>
  <c r="K81" i="2"/>
  <c r="M28" i="2"/>
  <c r="H96" i="2"/>
  <c r="D90" i="2"/>
  <c r="L20" i="2"/>
  <c r="L61" i="2"/>
  <c r="I47" i="2"/>
  <c r="M68" i="2"/>
  <c r="C77" i="2"/>
  <c r="N83" i="2"/>
  <c r="M84" i="2"/>
  <c r="N37" i="2"/>
  <c r="L99" i="2"/>
  <c r="H33" i="2"/>
  <c r="J12" i="2"/>
  <c r="F84" i="2"/>
  <c r="K84" i="2"/>
  <c r="L56" i="2"/>
  <c r="I72" i="2"/>
  <c r="G22" i="2"/>
  <c r="C59" i="2"/>
  <c r="B22" i="2"/>
  <c r="N75" i="2"/>
  <c r="I60" i="2"/>
  <c r="O73" i="2"/>
  <c r="B57" i="2"/>
  <c r="E74" i="2"/>
  <c r="F79" i="2"/>
  <c r="L42" i="2"/>
  <c r="N10" i="2"/>
  <c r="I88" i="2"/>
  <c r="L75" i="2"/>
  <c r="G82" i="2"/>
  <c r="B20" i="2"/>
  <c r="O28" i="2"/>
  <c r="D49" i="2"/>
  <c r="D29" i="2"/>
  <c r="H49" i="2"/>
  <c r="M36" i="2"/>
  <c r="G77" i="2"/>
  <c r="K95" i="2"/>
  <c r="F75" i="2"/>
  <c r="H13" i="2"/>
  <c r="G48" i="2"/>
  <c r="N57" i="2"/>
  <c r="M34" i="2"/>
  <c r="G42" i="2"/>
  <c r="K42" i="2"/>
  <c r="B26" i="2"/>
  <c r="C56" i="2"/>
  <c r="C81" i="2"/>
  <c r="N95" i="2"/>
  <c r="J55" i="2"/>
  <c r="O63" i="2"/>
  <c r="D86" i="2"/>
  <c r="I20" i="2"/>
  <c r="J64" i="2"/>
  <c r="D62" i="2"/>
  <c r="H82" i="2"/>
  <c r="N48" i="2"/>
  <c r="E65" i="2"/>
  <c r="O62" i="2"/>
  <c r="J80" i="2"/>
  <c r="C94" i="2"/>
  <c r="D67" i="2"/>
  <c r="K21" i="2"/>
  <c r="L84" i="2"/>
  <c r="C8" i="2"/>
  <c r="N67" i="2"/>
  <c r="F13" i="2"/>
  <c r="N84" i="2"/>
  <c r="L82" i="2"/>
  <c r="I36" i="2"/>
  <c r="G90" i="2"/>
  <c r="E51" i="2"/>
  <c r="G87" i="2"/>
  <c r="J36" i="2"/>
  <c r="J9" i="2"/>
  <c r="M48" i="2"/>
  <c r="C57" i="2"/>
  <c r="H55" i="2"/>
  <c r="J81" i="2"/>
  <c r="I30" i="2"/>
  <c r="C35" i="5"/>
  <c r="C33" i="5"/>
  <c r="J21" i="5"/>
  <c r="C34" i="5"/>
  <c r="C38" i="5"/>
  <c r="N14" i="5"/>
  <c r="I4" i="5"/>
  <c r="C42" i="5"/>
  <c r="O3" i="3" a="1"/>
  <c r="B3" i="3" a="1"/>
  <c r="V6" i="3" l="1"/>
  <c r="V38" i="3"/>
  <c r="W26" i="3"/>
  <c r="P39" i="3"/>
  <c r="Q27" i="3"/>
  <c r="R36" i="3"/>
  <c r="S24" i="3"/>
  <c r="Y11" i="3"/>
  <c r="AA6" i="3"/>
  <c r="W54" i="3"/>
  <c r="W43" i="3"/>
  <c r="V31" i="3"/>
  <c r="Y22" i="3"/>
  <c r="T78" i="3"/>
  <c r="V66" i="3"/>
  <c r="X48" i="3"/>
  <c r="W32" i="3"/>
  <c r="AB9" i="3"/>
  <c r="S20" i="3"/>
  <c r="Y13" i="3"/>
  <c r="Y59" i="3"/>
  <c r="U50" i="3"/>
  <c r="T38" i="3"/>
  <c r="X33" i="3"/>
  <c r="T8" i="3"/>
  <c r="X71" i="3"/>
  <c r="Y57" i="3"/>
  <c r="R50" i="3"/>
  <c r="V10" i="3"/>
  <c r="AA20" i="3"/>
  <c r="U14" i="3"/>
  <c r="S60" i="3"/>
  <c r="S51" i="3"/>
  <c r="R39" i="3"/>
  <c r="Y7" i="3"/>
  <c r="AA3" i="3"/>
  <c r="S52" i="3"/>
  <c r="W40" i="3"/>
  <c r="V28" i="3"/>
  <c r="AA17" i="3"/>
  <c r="P76" i="3"/>
  <c r="R64" i="3"/>
  <c r="AB43" i="3"/>
  <c r="AB24" i="3"/>
  <c r="AA93" i="3"/>
  <c r="O3" i="3"/>
  <c r="AA39" i="3"/>
  <c r="Y5" i="3"/>
  <c r="W25" i="3"/>
  <c r="S46" i="3"/>
  <c r="R28" i="3"/>
  <c r="O29" i="3"/>
  <c r="AB4" i="3"/>
  <c r="X38" i="3"/>
  <c r="V57" i="3"/>
  <c r="AA68" i="3"/>
  <c r="W95" i="3"/>
  <c r="AB81" i="3"/>
  <c r="AA65" i="3"/>
  <c r="AA83" i="3"/>
  <c r="AA77" i="3"/>
  <c r="W55" i="3"/>
  <c r="U95" i="3"/>
  <c r="U16" i="3"/>
  <c r="T34" i="3"/>
  <c r="O84" i="3"/>
  <c r="Z44" i="3"/>
  <c r="Y42" i="3"/>
  <c r="X18" i="3"/>
  <c r="T56" i="3"/>
  <c r="R68" i="3"/>
  <c r="O78" i="3"/>
  <c r="Z3" i="3"/>
  <c r="X87" i="3"/>
  <c r="O75" i="3"/>
  <c r="AA95" i="3"/>
  <c r="AB84" i="3"/>
  <c r="AB68" i="3"/>
  <c r="X30" i="3"/>
  <c r="X62" i="3"/>
  <c r="X6" i="3"/>
  <c r="X22" i="3"/>
  <c r="O38" i="3"/>
  <c r="Z17" i="3"/>
  <c r="Q24" i="3"/>
  <c r="AB5" i="3"/>
  <c r="P43" i="3"/>
  <c r="P7" i="3"/>
  <c r="X43" i="3"/>
  <c r="X3" i="3"/>
  <c r="Z40" i="3"/>
  <c r="T9" i="3"/>
  <c r="Q19" i="3"/>
  <c r="O13" i="3"/>
  <c r="Q59" i="3"/>
  <c r="Y49" i="3"/>
  <c r="X37" i="3"/>
  <c r="V32" i="3"/>
  <c r="S7" i="3"/>
  <c r="P71" i="3"/>
  <c r="Y56" i="3"/>
  <c r="P48" i="3"/>
  <c r="T17" i="3"/>
  <c r="Y27" i="3"/>
  <c r="AA19" i="3"/>
  <c r="AA7" i="3"/>
  <c r="S55" i="3"/>
  <c r="V44" i="3"/>
  <c r="T43" i="3"/>
  <c r="Q18" i="3"/>
  <c r="R76" i="3"/>
  <c r="Y63" i="3"/>
  <c r="AA61" i="3"/>
  <c r="V18" i="3"/>
  <c r="S28" i="3"/>
  <c r="W20" i="3"/>
  <c r="W8" i="3"/>
  <c r="AA55" i="3"/>
  <c r="Z4" i="3"/>
  <c r="Y15" i="3"/>
  <c r="AA9" i="3"/>
  <c r="AA56" i="3"/>
  <c r="Y46" i="3"/>
  <c r="X34" i="3"/>
  <c r="V27" i="3"/>
  <c r="X80" i="3"/>
  <c r="Z68" i="3"/>
  <c r="Q53" i="3"/>
  <c r="V40" i="3"/>
  <c r="R12" i="3"/>
  <c r="S15" i="3"/>
  <c r="AA51" i="3"/>
  <c r="T20" i="3"/>
  <c r="U42" i="3"/>
  <c r="V59" i="3"/>
  <c r="V42" i="3"/>
  <c r="Q41" i="3"/>
  <c r="P17" i="3"/>
  <c r="Y53" i="3"/>
  <c r="AB65" i="3"/>
  <c r="Y75" i="3"/>
  <c r="Q100" i="3"/>
  <c r="V86" i="3"/>
  <c r="Q73" i="3"/>
  <c r="W93" i="3"/>
  <c r="Z83" i="3"/>
  <c r="Q66" i="3"/>
  <c r="U20" i="3"/>
  <c r="P56" i="3"/>
  <c r="T95" i="3"/>
  <c r="X12" i="3"/>
  <c r="Q11" i="3"/>
  <c r="O54" i="3"/>
  <c r="Z30" i="3"/>
  <c r="Z65" i="3"/>
  <c r="P75" i="3"/>
  <c r="P13" i="3"/>
  <c r="R19" i="3"/>
  <c r="R92" i="3"/>
  <c r="O82" i="3"/>
  <c r="P10" i="3"/>
  <c r="V89" i="3"/>
  <c r="Q82" i="3"/>
  <c r="S65" i="3"/>
  <c r="R82" i="3"/>
  <c r="AA47" i="3"/>
  <c r="S78" i="3"/>
  <c r="U49" i="3"/>
  <c r="P36" i="3"/>
  <c r="P52" i="3"/>
  <c r="P11" i="3"/>
  <c r="X47" i="3"/>
  <c r="X11" i="3"/>
  <c r="R48" i="3"/>
  <c r="Z8" i="3"/>
  <c r="T45" i="3"/>
  <c r="Z16" i="3"/>
  <c r="O26" i="3"/>
  <c r="O19" i="3"/>
  <c r="O7" i="3"/>
  <c r="Y54" i="3"/>
  <c r="Z43" i="3"/>
  <c r="S42" i="3"/>
  <c r="AB16" i="3"/>
  <c r="X75" i="3"/>
  <c r="P63" i="3"/>
  <c r="Y60" i="3"/>
  <c r="R24" i="3"/>
  <c r="S32" i="3"/>
  <c r="AA25" i="3"/>
  <c r="AA13" i="3"/>
  <c r="AA59" i="3"/>
  <c r="X50" i="3"/>
  <c r="Y52" i="3"/>
  <c r="AB27" i="3"/>
  <c r="Z80" i="3"/>
  <c r="S68" i="3"/>
  <c r="S69" i="3"/>
  <c r="AB25" i="3"/>
  <c r="AA32" i="3"/>
  <c r="Y26" i="3"/>
  <c r="Y14" i="3"/>
  <c r="U60" i="3"/>
  <c r="Z12" i="3"/>
  <c r="Q23" i="3"/>
  <c r="O16" i="3"/>
  <c r="O4" i="3"/>
  <c r="U52" i="3"/>
  <c r="X40" i="3"/>
  <c r="R37" i="3"/>
  <c r="O12" i="3"/>
  <c r="T73" i="3"/>
  <c r="T60" i="3"/>
  <c r="O55" i="3"/>
  <c r="V26" i="3"/>
  <c r="U27" i="3"/>
  <c r="T3" i="3"/>
  <c r="Q36" i="3"/>
  <c r="X56" i="3"/>
  <c r="Q67" i="3"/>
  <c r="U9" i="3"/>
  <c r="AA52" i="3"/>
  <c r="R29" i="3"/>
  <c r="V63" i="3"/>
  <c r="AB73" i="3"/>
  <c r="U7" i="3"/>
  <c r="R15" i="3"/>
  <c r="P91" i="3"/>
  <c r="V80" i="3"/>
  <c r="R6" i="3"/>
  <c r="T88" i="3"/>
  <c r="AA78" i="3"/>
  <c r="O59" i="3"/>
  <c r="V77" i="3"/>
  <c r="AA37" i="3"/>
  <c r="O69" i="3"/>
  <c r="U25" i="3"/>
  <c r="S6" i="3"/>
  <c r="AB42" i="3"/>
  <c r="X72" i="3"/>
  <c r="P6" i="3"/>
  <c r="U38" i="3"/>
  <c r="Z34" i="3"/>
  <c r="Z96" i="3"/>
  <c r="W86" i="3"/>
  <c r="Y25" i="3"/>
  <c r="P94" i="3"/>
  <c r="Y90" i="3"/>
  <c r="U83" i="3"/>
  <c r="S94" i="3"/>
  <c r="AB72" i="3"/>
  <c r="P24" i="3"/>
  <c r="AA22" i="3"/>
  <c r="X53" i="3"/>
  <c r="X67" i="3"/>
  <c r="X15" i="3"/>
  <c r="Y3" i="3"/>
  <c r="R16" i="3"/>
  <c r="S4" i="3"/>
  <c r="T13" i="3"/>
  <c r="AB49" i="3"/>
  <c r="X23" i="3"/>
  <c r="Y31" i="3"/>
  <c r="Q25" i="3"/>
  <c r="Q13" i="3"/>
  <c r="S59" i="3"/>
  <c r="Z49" i="3"/>
  <c r="Z51" i="3"/>
  <c r="X26" i="3"/>
  <c r="R80" i="3"/>
  <c r="Y67" i="3"/>
  <c r="U68" i="3"/>
  <c r="R32" i="3"/>
  <c r="AA36" i="3"/>
  <c r="O32" i="3"/>
  <c r="O20" i="3"/>
  <c r="AB7" i="3"/>
  <c r="T55" i="3"/>
  <c r="P60" i="3"/>
  <c r="Y37" i="3"/>
  <c r="O11" i="3"/>
  <c r="AA72" i="3"/>
  <c r="W76" i="3"/>
  <c r="Z32" i="3"/>
  <c r="U37" i="3"/>
  <c r="Y32" i="3"/>
  <c r="Y20" i="3"/>
  <c r="X8" i="3"/>
  <c r="X19" i="3"/>
  <c r="U29" i="3"/>
  <c r="Q22" i="3"/>
  <c r="Q10" i="3"/>
  <c r="O57" i="3"/>
  <c r="Z46" i="3"/>
  <c r="O47" i="3"/>
  <c r="Z21" i="3"/>
  <c r="AB77" i="3"/>
  <c r="U65" i="3"/>
  <c r="Y64" i="3"/>
  <c r="T41" i="3"/>
  <c r="W39" i="3"/>
  <c r="V15" i="3"/>
  <c r="Z50" i="3"/>
  <c r="T65" i="3"/>
  <c r="Q75" i="3"/>
  <c r="Y23" i="3"/>
  <c r="Y4" i="3"/>
  <c r="V41" i="3"/>
  <c r="AB70" i="3"/>
  <c r="T81" i="3"/>
  <c r="AA30" i="3"/>
  <c r="AB30" i="3"/>
  <c r="X95" i="3"/>
  <c r="U85" i="3"/>
  <c r="Y21" i="3"/>
  <c r="AB92" i="3"/>
  <c r="U88" i="3"/>
  <c r="AB79" i="3"/>
  <c r="T91" i="3"/>
  <c r="Q68" i="3"/>
  <c r="Z97" i="3"/>
  <c r="Y35" i="3"/>
  <c r="U18" i="3"/>
  <c r="P53" i="3"/>
  <c r="P80" i="3"/>
  <c r="AA21" i="3"/>
  <c r="R59" i="3"/>
  <c r="T50" i="3"/>
  <c r="W15" i="3"/>
  <c r="Q91" i="3"/>
  <c r="P41" i="3"/>
  <c r="X98" i="3"/>
  <c r="AA99" i="3"/>
  <c r="V95" i="3"/>
  <c r="Y97" i="3"/>
  <c r="V88" i="3"/>
  <c r="W96" i="3"/>
  <c r="AA41" i="3"/>
  <c r="T63" i="3"/>
  <c r="V78" i="3"/>
  <c r="R20" i="3"/>
  <c r="Z20" i="3"/>
  <c r="AB17" i="3"/>
  <c r="P31" i="3"/>
  <c r="S31" i="3"/>
  <c r="R7" i="3"/>
  <c r="P59" i="3"/>
  <c r="Y9" i="3"/>
  <c r="Z75" i="3"/>
  <c r="U41" i="3"/>
  <c r="Q26" i="3"/>
  <c r="AB59" i="3"/>
  <c r="T47" i="3"/>
  <c r="U77" i="3"/>
  <c r="R40" i="3"/>
  <c r="AA38" i="3"/>
  <c r="Z14" i="3"/>
  <c r="O34" i="3"/>
  <c r="Q16" i="3"/>
  <c r="V52" i="3"/>
  <c r="W31" i="3"/>
  <c r="O70" i="3"/>
  <c r="Q7" i="3"/>
  <c r="Z27" i="3"/>
  <c r="Z72" i="3"/>
  <c r="W34" i="3"/>
  <c r="T51" i="3"/>
  <c r="Q17" i="3"/>
  <c r="X46" i="3"/>
  <c r="O90" i="3"/>
  <c r="V97" i="3"/>
  <c r="W92" i="3"/>
  <c r="R85" i="3"/>
  <c r="AA44" i="3"/>
  <c r="V60" i="3"/>
  <c r="V36" i="3"/>
  <c r="AB61" i="3"/>
  <c r="Y95" i="3"/>
  <c r="T12" i="3"/>
  <c r="U61" i="3"/>
  <c r="AB99" i="3"/>
  <c r="O58" i="3"/>
  <c r="S23" i="3"/>
  <c r="S97" i="3"/>
  <c r="P95" i="3"/>
  <c r="U97" i="3"/>
  <c r="W80" i="3"/>
  <c r="S87" i="3"/>
  <c r="AA82" i="3"/>
  <c r="Q69" i="3"/>
  <c r="AA94" i="3"/>
  <c r="W23" i="3"/>
  <c r="R54" i="3"/>
  <c r="T69" i="3"/>
  <c r="U78" i="3"/>
  <c r="R84" i="3"/>
  <c r="O86" i="3"/>
  <c r="R61" i="3"/>
  <c r="S61" i="3"/>
  <c r="Z81" i="3"/>
  <c r="T87" i="3"/>
  <c r="V91" i="3"/>
  <c r="Y39" i="3"/>
  <c r="R23" i="3"/>
  <c r="P34" i="3"/>
  <c r="X36" i="3"/>
  <c r="Y66" i="3"/>
  <c r="U70" i="3"/>
  <c r="T27" i="3"/>
  <c r="P22" i="3"/>
  <c r="P5" i="3"/>
  <c r="AB95" i="3"/>
  <c r="P28" i="3"/>
  <c r="S48" i="3"/>
  <c r="P64" i="3"/>
  <c r="Q84" i="3"/>
  <c r="O62" i="3"/>
  <c r="Z78" i="3"/>
  <c r="AB35" i="3"/>
  <c r="O35" i="3"/>
  <c r="T14" i="3"/>
  <c r="Z24" i="3"/>
  <c r="T25" i="3"/>
  <c r="V22" i="3"/>
  <c r="AB37" i="3"/>
  <c r="S37" i="3"/>
  <c r="R13" i="3"/>
  <c r="X64" i="3"/>
  <c r="V19" i="3"/>
  <c r="U82" i="3"/>
  <c r="O46" i="3"/>
  <c r="Q32" i="3"/>
  <c r="U4" i="3"/>
  <c r="X55" i="3"/>
  <c r="U3" i="3"/>
  <c r="P47" i="3"/>
  <c r="O45" i="3"/>
  <c r="AB20" i="3"/>
  <c r="W38" i="3"/>
  <c r="S22" i="3"/>
  <c r="P57" i="3"/>
  <c r="R41" i="3"/>
  <c r="W74" i="3"/>
  <c r="U21" i="3"/>
  <c r="AB39" i="3"/>
  <c r="X79" i="3"/>
  <c r="Y43" i="3"/>
  <c r="R58" i="3"/>
  <c r="AB32" i="3"/>
  <c r="W59" i="3"/>
  <c r="W94" i="3"/>
  <c r="Q8" i="3"/>
  <c r="R34" i="3"/>
  <c r="X97" i="3"/>
  <c r="Q6" i="3"/>
  <c r="U10" i="3"/>
  <c r="Q52" i="3"/>
  <c r="V69" i="3"/>
  <c r="S100" i="3"/>
  <c r="AA27" i="3"/>
  <c r="AB8" i="3"/>
  <c r="V43" i="3"/>
  <c r="W21" i="3"/>
  <c r="P45" i="3"/>
  <c r="W9" i="3"/>
  <c r="V17" i="3"/>
  <c r="AB67" i="3"/>
  <c r="X86" i="3"/>
  <c r="V4" i="3"/>
  <c r="AA71" i="3"/>
  <c r="R22" i="3"/>
  <c r="R100" i="3"/>
  <c r="Y45" i="3"/>
  <c r="R9" i="3"/>
  <c r="P79" i="3"/>
  <c r="AA89" i="3"/>
  <c r="AB89" i="3"/>
  <c r="S92" i="3"/>
  <c r="U71" i="3"/>
  <c r="S75" i="3"/>
  <c r="T98" i="3"/>
  <c r="Z71" i="3"/>
  <c r="T57" i="3"/>
  <c r="Q9" i="3"/>
  <c r="R42" i="3"/>
  <c r="AA53" i="3"/>
  <c r="X65" i="3"/>
  <c r="X77" i="3"/>
  <c r="W79" i="3"/>
  <c r="AB46" i="3"/>
  <c r="V45" i="3"/>
  <c r="O56" i="3"/>
  <c r="T28" i="3"/>
  <c r="W73" i="3"/>
  <c r="W33" i="3"/>
  <c r="X9" i="3"/>
  <c r="Q96" i="3"/>
  <c r="AB75" i="3"/>
  <c r="X90" i="3"/>
  <c r="O88" i="3"/>
  <c r="S9" i="3"/>
  <c r="AA49" i="3"/>
  <c r="T29" i="3"/>
  <c r="AB33" i="3"/>
  <c r="V34" i="3"/>
  <c r="X31" i="3"/>
  <c r="AA4" i="3"/>
  <c r="W49" i="3"/>
  <c r="V25" i="3"/>
  <c r="Z73" i="3"/>
  <c r="AB38" i="3"/>
  <c r="W91" i="3"/>
  <c r="W7" i="3"/>
  <c r="U44" i="3"/>
  <c r="O24" i="3"/>
  <c r="P67" i="3"/>
  <c r="Y34" i="3"/>
  <c r="O14" i="3"/>
  <c r="Y55" i="3"/>
  <c r="P33" i="3"/>
  <c r="Y47" i="3"/>
  <c r="U34" i="3"/>
  <c r="P8" i="3"/>
  <c r="U58" i="3"/>
  <c r="P9" i="3"/>
  <c r="W42" i="3"/>
  <c r="X57" i="3"/>
  <c r="Z31" i="3"/>
  <c r="Y16" i="3"/>
  <c r="V21" i="3"/>
  <c r="Q61" i="3"/>
  <c r="AA74" i="3"/>
  <c r="Y70" i="3"/>
  <c r="U39" i="3"/>
  <c r="R79" i="3"/>
  <c r="R66" i="3"/>
  <c r="U30" i="3"/>
  <c r="O41" i="3"/>
  <c r="W70" i="3"/>
  <c r="P83" i="3"/>
  <c r="Y86" i="3"/>
  <c r="X58" i="3"/>
  <c r="S26" i="3"/>
  <c r="W88" i="3"/>
  <c r="W57" i="3"/>
  <c r="S76" i="3"/>
  <c r="R52" i="3"/>
  <c r="R55" i="3"/>
  <c r="S99" i="3"/>
  <c r="R99" i="3"/>
  <c r="Y81" i="3"/>
  <c r="Q70" i="3"/>
  <c r="Z89" i="3"/>
  <c r="AB21" i="3"/>
  <c r="O23" i="3"/>
  <c r="S57" i="3"/>
  <c r="R51" i="3"/>
  <c r="T11" i="3"/>
  <c r="W19" i="3"/>
  <c r="V72" i="3"/>
  <c r="R87" i="3"/>
  <c r="O9" i="3"/>
  <c r="W84" i="3"/>
  <c r="U26" i="3"/>
  <c r="Z18" i="3"/>
  <c r="S47" i="3"/>
  <c r="AA11" i="3"/>
  <c r="W3" i="3"/>
  <c r="O91" i="3"/>
  <c r="V90" i="3"/>
  <c r="AA92" i="3"/>
  <c r="S73" i="3"/>
  <c r="P77" i="3"/>
  <c r="V99" i="3"/>
  <c r="V84" i="3"/>
  <c r="Z63" i="3"/>
  <c r="Y33" i="3"/>
  <c r="R72" i="3"/>
  <c r="W56" i="3"/>
  <c r="AA96" i="3"/>
  <c r="V33" i="3"/>
  <c r="Q5" i="3"/>
  <c r="V9" i="3"/>
  <c r="O28" i="3"/>
  <c r="P73" i="3"/>
  <c r="Y82" i="3"/>
  <c r="O67" i="3"/>
  <c r="V83" i="3"/>
  <c r="S8" i="3"/>
  <c r="W22" i="3"/>
  <c r="AA40" i="3"/>
  <c r="T19" i="3"/>
  <c r="AA54" i="3"/>
  <c r="X39" i="3"/>
  <c r="Q55" i="3"/>
  <c r="Z69" i="3"/>
  <c r="AA18" i="3"/>
  <c r="Q51" i="3"/>
  <c r="X27" i="3"/>
  <c r="U46" i="3"/>
  <c r="Q62" i="3"/>
  <c r="Q79" i="3"/>
  <c r="U15" i="3"/>
  <c r="R5" i="3"/>
  <c r="O53" i="3"/>
  <c r="R70" i="3"/>
  <c r="Q99" i="3"/>
  <c r="W64" i="3"/>
  <c r="U87" i="3"/>
  <c r="T6" i="3"/>
  <c r="W83" i="3"/>
  <c r="S74" i="3"/>
  <c r="S86" i="3"/>
  <c r="AB82" i="3"/>
  <c r="V3" i="3"/>
  <c r="P74" i="3"/>
  <c r="AA87" i="3"/>
  <c r="O60" i="3"/>
  <c r="Y89" i="3"/>
  <c r="S53" i="3"/>
  <c r="Q58" i="3"/>
  <c r="X25" i="3"/>
  <c r="Y65" i="3"/>
  <c r="O89" i="3"/>
  <c r="X41" i="3"/>
  <c r="Y72" i="3"/>
  <c r="Y12" i="3"/>
  <c r="AA45" i="3"/>
  <c r="Z26" i="3"/>
  <c r="P55" i="3"/>
  <c r="Q76" i="3"/>
  <c r="S62" i="3"/>
  <c r="Z41" i="3"/>
  <c r="V39" i="3"/>
  <c r="Y28" i="3"/>
  <c r="AB85" i="3"/>
  <c r="AB100" i="3"/>
  <c r="O30" i="3"/>
  <c r="Z61" i="3"/>
  <c r="AB3" i="3"/>
  <c r="AA66" i="3"/>
  <c r="Y41" i="3"/>
  <c r="O96" i="3"/>
  <c r="U11" i="3"/>
  <c r="R73" i="3"/>
  <c r="U86" i="3"/>
  <c r="O65" i="3"/>
  <c r="T84" i="3"/>
  <c r="T67" i="3"/>
  <c r="Q78" i="3"/>
  <c r="S56" i="3"/>
  <c r="T44" i="3"/>
  <c r="S63" i="3"/>
  <c r="P70" i="3"/>
  <c r="Z82" i="3"/>
  <c r="V47" i="3"/>
  <c r="R27" i="3"/>
  <c r="Q64" i="3"/>
  <c r="V65" i="3"/>
  <c r="P19" i="3"/>
  <c r="O63" i="3"/>
  <c r="AB34" i="3"/>
  <c r="T64" i="3"/>
  <c r="Z52" i="3"/>
  <c r="Y17" i="3"/>
  <c r="R71" i="3"/>
  <c r="T31" i="3"/>
  <c r="V64" i="3"/>
  <c r="S40" i="3"/>
  <c r="S81" i="3"/>
  <c r="P38" i="3"/>
  <c r="AA100" i="3"/>
  <c r="W62" i="3"/>
  <c r="V48" i="3"/>
  <c r="P88" i="3"/>
  <c r="T37" i="3"/>
  <c r="V61" i="3"/>
  <c r="AB56" i="3"/>
  <c r="AA81" i="3"/>
  <c r="Y8" i="3"/>
  <c r="Z38" i="3"/>
  <c r="U51" i="3"/>
  <c r="AA35" i="3"/>
  <c r="S33" i="3"/>
  <c r="V5" i="3"/>
  <c r="T96" i="3"/>
  <c r="AA12" i="3"/>
  <c r="P27" i="3"/>
  <c r="U45" i="3"/>
  <c r="Z54" i="3"/>
  <c r="Y61" i="3"/>
  <c r="V46" i="3"/>
  <c r="S38" i="3"/>
  <c r="T74" i="3"/>
  <c r="O83" i="3"/>
  <c r="U8" i="3"/>
  <c r="P35" i="3"/>
  <c r="U28" i="3"/>
  <c r="AB66" i="3"/>
  <c r="O72" i="3"/>
  <c r="W27" i="3"/>
  <c r="X28" i="3"/>
  <c r="Z6" i="3"/>
  <c r="Q81" i="3"/>
  <c r="Q37" i="3"/>
  <c r="T83" i="3"/>
  <c r="R67" i="3"/>
  <c r="T26" i="3"/>
  <c r="U90" i="3"/>
  <c r="U55" i="3"/>
  <c r="S98" i="3"/>
  <c r="T21" i="3"/>
  <c r="AA64" i="3"/>
  <c r="X83" i="3"/>
  <c r="Z19" i="3"/>
  <c r="V73" i="3"/>
  <c r="O100" i="3"/>
  <c r="R98" i="3"/>
  <c r="X21" i="3"/>
  <c r="O66" i="3"/>
  <c r="AA75" i="3"/>
  <c r="U100" i="3"/>
  <c r="W89" i="3"/>
  <c r="X92" i="3"/>
  <c r="R4" i="3"/>
  <c r="Y58" i="3"/>
  <c r="AB53" i="3"/>
  <c r="Z84" i="3"/>
  <c r="Q90" i="3"/>
  <c r="AA91" i="3"/>
  <c r="T75" i="3"/>
  <c r="Z29" i="3"/>
  <c r="AB44" i="3"/>
  <c r="V94" i="3"/>
  <c r="Q65" i="3"/>
  <c r="AA48" i="3"/>
  <c r="AA80" i="3"/>
  <c r="R33" i="3"/>
  <c r="X82" i="3"/>
  <c r="X89" i="3"/>
  <c r="X60" i="3"/>
  <c r="W36" i="3"/>
  <c r="V20" i="3"/>
  <c r="Y100" i="3"/>
  <c r="W82" i="3"/>
  <c r="R95" i="3"/>
  <c r="R94" i="3"/>
  <c r="Y6" i="3"/>
  <c r="O49" i="3"/>
  <c r="Y92" i="3"/>
  <c r="Z13" i="3"/>
  <c r="P69" i="3"/>
  <c r="AA58" i="3"/>
  <c r="P25" i="3"/>
  <c r="S70" i="3"/>
  <c r="P86" i="3"/>
  <c r="Z100" i="3"/>
  <c r="W30" i="3"/>
  <c r="V13" i="3"/>
  <c r="T72" i="3"/>
  <c r="Y98" i="3"/>
  <c r="Z98" i="3"/>
  <c r="AB10" i="3"/>
  <c r="O95" i="3"/>
  <c r="R74" i="3"/>
  <c r="O80" i="3"/>
  <c r="W24" i="3"/>
  <c r="U92" i="3"/>
  <c r="U66" i="3"/>
  <c r="U84" i="3"/>
  <c r="AB83" i="3"/>
  <c r="Z5" i="3"/>
  <c r="Q50" i="3"/>
  <c r="AA60" i="3"/>
  <c r="V7" i="3"/>
  <c r="W85" i="3"/>
  <c r="Z60" i="3"/>
  <c r="R97" i="3"/>
  <c r="Z55" i="3"/>
  <c r="X74" i="3"/>
  <c r="V12" i="3"/>
  <c r="Z91" i="3"/>
  <c r="S96" i="3"/>
  <c r="V96" i="3"/>
  <c r="U17" i="3"/>
  <c r="O6" i="3"/>
  <c r="O50" i="3"/>
  <c r="T59" i="3"/>
  <c r="S29" i="3"/>
  <c r="U5" i="3"/>
  <c r="P14" i="3"/>
  <c r="AB78" i="3"/>
  <c r="W87" i="3"/>
  <c r="O51" i="3"/>
  <c r="AB41" i="3"/>
  <c r="P4" i="3"/>
  <c r="V71" i="3"/>
  <c r="T79" i="3"/>
  <c r="P49" i="3"/>
  <c r="T53" i="3"/>
  <c r="Z77" i="3"/>
  <c r="Y88" i="3"/>
  <c r="W52" i="3"/>
  <c r="AB94" i="3"/>
  <c r="P15" i="3"/>
  <c r="Z15" i="3"/>
  <c r="Y96" i="3"/>
  <c r="P65" i="3"/>
  <c r="Q89" i="3"/>
  <c r="R44" i="3"/>
  <c r="Z22" i="3"/>
  <c r="T89" i="3"/>
  <c r="R43" i="3"/>
  <c r="X54" i="3"/>
  <c r="P84" i="3"/>
  <c r="Z48" i="3"/>
  <c r="AB36" i="3"/>
  <c r="W78" i="3"/>
  <c r="R96" i="3"/>
  <c r="V23" i="3"/>
  <c r="AB58" i="3"/>
  <c r="AB6" i="3"/>
  <c r="P23" i="3"/>
  <c r="AB55" i="3"/>
  <c r="W66" i="3"/>
  <c r="T97" i="3"/>
  <c r="Q4" i="3"/>
  <c r="AA14" i="3"/>
  <c r="S90" i="3"/>
  <c r="X35" i="3"/>
  <c r="R18" i="3"/>
  <c r="V29" i="3"/>
  <c r="Q86" i="3"/>
  <c r="S35" i="3"/>
  <c r="AA57" i="3"/>
  <c r="Q63" i="3"/>
  <c r="R91" i="3"/>
  <c r="P99" i="3"/>
  <c r="T18" i="3"/>
  <c r="W11" i="3"/>
  <c r="O61" i="3"/>
  <c r="Y38" i="3"/>
  <c r="W90" i="3"/>
  <c r="Q14" i="3"/>
  <c r="O40" i="3"/>
  <c r="R78" i="3"/>
  <c r="R45" i="3"/>
  <c r="Q21" i="3"/>
  <c r="T58" i="3"/>
  <c r="Q60" i="3"/>
  <c r="O85" i="3"/>
  <c r="V75" i="3"/>
  <c r="X91" i="3"/>
  <c r="S10" i="3"/>
  <c r="P89" i="3"/>
  <c r="S21" i="3"/>
  <c r="Y71" i="3"/>
  <c r="U93" i="3"/>
  <c r="V92" i="3"/>
  <c r="T82" i="3"/>
  <c r="AB51" i="3"/>
  <c r="Z42" i="3"/>
  <c r="P90" i="3"/>
  <c r="S66" i="3"/>
  <c r="V56" i="3"/>
  <c r="R75" i="3"/>
  <c r="R81" i="3"/>
  <c r="O21" i="3"/>
  <c r="S44" i="3"/>
  <c r="O22" i="3"/>
  <c r="W10" i="3"/>
  <c r="U43" i="3"/>
  <c r="R3" i="3"/>
  <c r="S72" i="3"/>
  <c r="S12" i="3"/>
  <c r="P20" i="3"/>
  <c r="T62" i="3"/>
  <c r="Q92" i="3"/>
  <c r="AA26" i="3"/>
  <c r="T49" i="3"/>
  <c r="R10" i="3"/>
  <c r="AB50" i="3"/>
  <c r="Y84" i="3"/>
  <c r="AA62" i="3"/>
  <c r="AB13" i="3"/>
  <c r="S13" i="3"/>
  <c r="W67" i="3"/>
  <c r="R63" i="3"/>
  <c r="AB86" i="3"/>
  <c r="V30" i="3"/>
  <c r="X32" i="3"/>
  <c r="Y76" i="3"/>
  <c r="U72" i="3"/>
  <c r="O71" i="3"/>
  <c r="AA16" i="3"/>
  <c r="Y62" i="3"/>
  <c r="P37" i="3"/>
  <c r="Z59" i="3"/>
  <c r="U99" i="3"/>
  <c r="T54" i="3"/>
  <c r="W18" i="3"/>
  <c r="R31" i="3"/>
  <c r="O27" i="3"/>
  <c r="S39" i="3"/>
  <c r="S45" i="3"/>
  <c r="X84" i="3"/>
  <c r="V76" i="3"/>
  <c r="V50" i="3"/>
  <c r="AA34" i="3"/>
  <c r="Y79" i="3"/>
  <c r="R21" i="3"/>
  <c r="P62" i="3"/>
  <c r="V62" i="3"/>
  <c r="X81" i="3"/>
  <c r="AA28" i="3"/>
  <c r="V58" i="3"/>
  <c r="S88" i="3"/>
  <c r="Z35" i="3"/>
  <c r="T35" i="3"/>
  <c r="S85" i="3"/>
  <c r="AB76" i="3"/>
  <c r="T4" i="3"/>
  <c r="X10" i="3"/>
  <c r="Z57" i="3"/>
  <c r="U47" i="3"/>
  <c r="T77" i="3"/>
  <c r="AB62" i="3"/>
  <c r="U6" i="3"/>
  <c r="R49" i="3"/>
  <c r="Z47" i="3"/>
  <c r="O44" i="3"/>
  <c r="AB18" i="3"/>
  <c r="V68" i="3"/>
  <c r="V85" i="3"/>
  <c r="X99" i="3"/>
  <c r="V14" i="3"/>
  <c r="U59" i="3"/>
  <c r="R25" i="3"/>
  <c r="Q57" i="3"/>
  <c r="P42" i="3"/>
  <c r="U12" i="3"/>
  <c r="X66" i="3"/>
  <c r="AA79" i="3"/>
  <c r="Y74" i="3"/>
  <c r="X88" i="3"/>
  <c r="U48" i="3"/>
  <c r="X78" i="3"/>
  <c r="Z25" i="3"/>
  <c r="AB97" i="3"/>
  <c r="U19" i="3"/>
  <c r="X29" i="3"/>
  <c r="AB14" i="3"/>
  <c r="AA33" i="3"/>
  <c r="AA29" i="3"/>
  <c r="Y94" i="3"/>
  <c r="P81" i="3"/>
  <c r="T52" i="3"/>
  <c r="P26" i="3"/>
  <c r="Q47" i="3"/>
  <c r="Y83" i="3"/>
  <c r="R53" i="3"/>
  <c r="AB63" i="3"/>
  <c r="V98" i="3"/>
  <c r="Z64" i="3"/>
  <c r="X96" i="3"/>
  <c r="V100" i="3"/>
  <c r="T42" i="3"/>
  <c r="AB29" i="3"/>
  <c r="S19" i="3"/>
  <c r="AA76" i="3"/>
  <c r="R26" i="3"/>
  <c r="P3" i="3"/>
  <c r="Q43" i="3"/>
  <c r="O5" i="3"/>
  <c r="T70" i="3"/>
  <c r="P29" i="3"/>
  <c r="X70" i="3"/>
  <c r="S18" i="3"/>
  <c r="O31" i="3"/>
  <c r="AB98" i="3"/>
  <c r="W77" i="3"/>
  <c r="X69" i="3"/>
  <c r="W65" i="3"/>
  <c r="X68" i="3"/>
  <c r="P58" i="3"/>
  <c r="W100" i="3"/>
  <c r="AA24" i="3"/>
  <c r="T80" i="3"/>
  <c r="P82" i="3"/>
  <c r="P32" i="3"/>
  <c r="S80" i="3"/>
  <c r="R89" i="3"/>
  <c r="O99" i="3"/>
  <c r="W35" i="3"/>
  <c r="V87" i="3"/>
  <c r="Z37" i="3"/>
  <c r="S91" i="3"/>
  <c r="Z86" i="3"/>
  <c r="AB74" i="3"/>
  <c r="P98" i="3"/>
  <c r="S16" i="3"/>
  <c r="T71" i="3"/>
  <c r="T94" i="3"/>
  <c r="U94" i="3"/>
  <c r="U54" i="3"/>
  <c r="V79" i="3"/>
  <c r="Y69" i="3"/>
  <c r="W41" i="3"/>
  <c r="Q80" i="3"/>
  <c r="R62" i="3"/>
  <c r="X100" i="3"/>
  <c r="S83" i="3"/>
  <c r="P100" i="3"/>
  <c r="R47" i="3"/>
  <c r="X13" i="3"/>
  <c r="T33" i="3"/>
  <c r="O48" i="3"/>
  <c r="P30" i="3"/>
  <c r="AA8" i="3"/>
  <c r="S25" i="3"/>
  <c r="U81" i="3"/>
  <c r="T32" i="3"/>
  <c r="W6" i="3"/>
  <c r="Q28" i="3"/>
  <c r="X14" i="3"/>
  <c r="R77" i="3"/>
  <c r="AA43" i="3"/>
  <c r="Z23" i="3"/>
  <c r="Y30" i="3"/>
  <c r="AA46" i="3"/>
  <c r="O79" i="3"/>
  <c r="Q88" i="3"/>
  <c r="T92" i="3"/>
  <c r="X16" i="3"/>
  <c r="X4" i="3"/>
  <c r="W69" i="3"/>
  <c r="W51" i="3"/>
  <c r="U24" i="3"/>
  <c r="U98" i="3"/>
  <c r="Z87" i="3"/>
  <c r="U75" i="3"/>
  <c r="O52" i="3"/>
  <c r="U76" i="3"/>
  <c r="O25" i="3"/>
  <c r="O93" i="3"/>
  <c r="R8" i="3"/>
  <c r="U69" i="3"/>
  <c r="AB15" i="3"/>
  <c r="S49" i="3"/>
  <c r="P40" i="3"/>
  <c r="S54" i="3"/>
  <c r="W17" i="3"/>
  <c r="U89" i="3"/>
  <c r="AB80" i="3"/>
  <c r="Y40" i="3"/>
  <c r="O68" i="3"/>
  <c r="X63" i="3"/>
  <c r="Q20" i="3"/>
  <c r="AA73" i="3"/>
  <c r="X24" i="3"/>
  <c r="AB22" i="3"/>
  <c r="AB47" i="3"/>
  <c r="O81" i="3"/>
  <c r="O36" i="3"/>
  <c r="AB71" i="3"/>
  <c r="S84" i="3"/>
  <c r="V49" i="3"/>
  <c r="AB23" i="3"/>
  <c r="O64" i="3"/>
  <c r="U13" i="3"/>
  <c r="U31" i="3"/>
  <c r="R17" i="3"/>
  <c r="R14" i="3"/>
  <c r="O42" i="3"/>
  <c r="S34" i="3"/>
  <c r="T24" i="3"/>
  <c r="Z10" i="3"/>
  <c r="W47" i="3"/>
  <c r="W97" i="3"/>
  <c r="AA42" i="3"/>
  <c r="X59" i="3"/>
  <c r="W61" i="3"/>
  <c r="AB28" i="3"/>
  <c r="P18" i="3"/>
  <c r="W63" i="3"/>
  <c r="S30" i="3"/>
  <c r="Y78" i="3"/>
  <c r="Z85" i="3"/>
  <c r="W5" i="3"/>
  <c r="W13" i="3"/>
  <c r="X94" i="3"/>
  <c r="P93" i="3"/>
  <c r="T23" i="3"/>
  <c r="T5" i="3"/>
  <c r="AB57" i="3"/>
  <c r="X45" i="3"/>
  <c r="P51" i="3"/>
  <c r="O15" i="3"/>
  <c r="AA50" i="3"/>
  <c r="P44" i="3"/>
  <c r="V8" i="3"/>
  <c r="Q94" i="3"/>
  <c r="AA10" i="3"/>
  <c r="P78" i="3"/>
  <c r="Y85" i="3"/>
  <c r="S71" i="3"/>
  <c r="R38" i="3"/>
  <c r="U35" i="3"/>
  <c r="P97" i="3"/>
  <c r="W44" i="3"/>
  <c r="Z76" i="3"/>
  <c r="X42" i="3"/>
  <c r="Y50" i="3"/>
  <c r="Q3" i="3"/>
  <c r="T15" i="3"/>
  <c r="Z90" i="3"/>
  <c r="Q98" i="3"/>
  <c r="O74" i="3"/>
  <c r="V70" i="3"/>
  <c r="AB96" i="3"/>
  <c r="Q15" i="3"/>
  <c r="AB12" i="3"/>
  <c r="W50" i="3"/>
  <c r="X20" i="3"/>
  <c r="O33" i="3"/>
  <c r="T16" i="3"/>
  <c r="S89" i="3"/>
  <c r="W4" i="3"/>
  <c r="V11" i="3"/>
  <c r="T61" i="3"/>
  <c r="W48" i="3"/>
  <c r="Z79" i="3"/>
  <c r="Y36" i="3"/>
  <c r="W68" i="3"/>
  <c r="Q46" i="3"/>
  <c r="Q39" i="3"/>
  <c r="AA63" i="3"/>
  <c r="V81" i="3"/>
  <c r="Z70" i="3"/>
  <c r="S58" i="3"/>
  <c r="AB40" i="3"/>
  <c r="AB87" i="3"/>
  <c r="U57" i="3"/>
  <c r="W81" i="3"/>
  <c r="P61" i="3"/>
  <c r="AA88" i="3"/>
  <c r="Q93" i="3"/>
  <c r="Z11" i="3"/>
  <c r="U79" i="3"/>
  <c r="W71" i="3"/>
  <c r="Y73" i="3"/>
  <c r="R88" i="3"/>
  <c r="W28" i="3"/>
  <c r="P12" i="3"/>
  <c r="U96" i="3"/>
  <c r="U56" i="3"/>
  <c r="W29" i="3"/>
  <c r="Y93" i="3"/>
  <c r="T93" i="3"/>
  <c r="Q56" i="3"/>
  <c r="Y24" i="3"/>
  <c r="U53" i="3"/>
  <c r="Q83" i="3"/>
  <c r="T76" i="3"/>
  <c r="S82" i="3"/>
  <c r="AB54" i="3"/>
  <c r="Y10" i="3"/>
  <c r="X49" i="3"/>
  <c r="U80" i="3"/>
  <c r="AA98" i="3"/>
  <c r="X73" i="3"/>
  <c r="O18" i="3"/>
  <c r="O87" i="3"/>
  <c r="W46" i="3"/>
  <c r="Q34" i="3"/>
  <c r="R56" i="3"/>
  <c r="Q54" i="3"/>
  <c r="AA70" i="3"/>
  <c r="V37" i="3"/>
  <c r="AB52" i="3"/>
  <c r="T36" i="3"/>
  <c r="O37" i="3"/>
  <c r="Z94" i="3"/>
  <c r="Z36" i="3"/>
  <c r="AA90" i="3"/>
  <c r="U67" i="3"/>
  <c r="T99" i="3"/>
  <c r="Q77" i="3"/>
  <c r="X17" i="3"/>
  <c r="Z92" i="3"/>
  <c r="U73" i="3"/>
  <c r="AB93" i="3"/>
  <c r="Z74" i="3"/>
  <c r="P54" i="3"/>
  <c r="O92" i="3"/>
  <c r="W99" i="3"/>
  <c r="X51" i="3"/>
  <c r="Y19" i="3"/>
  <c r="Q38" i="3"/>
  <c r="O39" i="3"/>
  <c r="U33" i="3"/>
  <c r="S27" i="3"/>
  <c r="R60" i="3"/>
  <c r="Q30" i="3"/>
  <c r="S77" i="3"/>
  <c r="AA97" i="3"/>
  <c r="U91" i="3"/>
  <c r="AB60" i="3"/>
  <c r="X5" i="3"/>
  <c r="Z39" i="3"/>
  <c r="Y18" i="3"/>
  <c r="Z88" i="3"/>
  <c r="X7" i="3"/>
  <c r="V16" i="3"/>
  <c r="S79" i="3"/>
  <c r="AA67" i="3"/>
  <c r="AB48" i="3"/>
  <c r="AB90" i="3"/>
  <c r="O76" i="3"/>
  <c r="O10" i="3"/>
  <c r="Q48" i="3"/>
  <c r="Q95" i="3"/>
  <c r="AB45" i="3"/>
  <c r="Q44" i="3"/>
  <c r="Q45" i="3"/>
  <c r="Y51" i="3"/>
  <c r="O43" i="3"/>
  <c r="U62" i="3"/>
  <c r="V54" i="3"/>
  <c r="Q97" i="3"/>
  <c r="Q33" i="3"/>
  <c r="U22" i="3"/>
  <c r="Q87" i="3"/>
  <c r="Z33" i="3"/>
  <c r="T66" i="3"/>
  <c r="R86" i="3"/>
  <c r="Z7" i="3"/>
  <c r="W14" i="3"/>
  <c r="AA86" i="3"/>
  <c r="W72" i="3"/>
  <c r="AB88" i="3"/>
  <c r="Q74" i="3"/>
  <c r="Q85" i="3"/>
  <c r="AA31" i="3"/>
  <c r="T7" i="3"/>
  <c r="W16" i="3"/>
  <c r="T10" i="3"/>
  <c r="S36" i="3"/>
  <c r="S50" i="3"/>
  <c r="AB26" i="3"/>
  <c r="S3" i="3"/>
  <c r="Z56" i="3"/>
  <c r="O73" i="3"/>
  <c r="P68" i="3"/>
  <c r="AB31" i="3"/>
  <c r="V53" i="3"/>
  <c r="T68" i="3"/>
  <c r="W98" i="3"/>
  <c r="Z58" i="3"/>
  <c r="V74" i="3"/>
  <c r="W60" i="3"/>
  <c r="Y44" i="3"/>
  <c r="Q12" i="3"/>
  <c r="W75" i="3"/>
  <c r="V24" i="3"/>
  <c r="P16" i="3"/>
  <c r="O94" i="3"/>
  <c r="S14" i="3"/>
  <c r="V51" i="3"/>
  <c r="T85" i="3"/>
  <c r="AA85" i="3"/>
  <c r="U63" i="3"/>
  <c r="W37" i="3"/>
  <c r="U40" i="3"/>
  <c r="R30" i="3"/>
  <c r="AB64" i="3"/>
  <c r="O98" i="3"/>
  <c r="T100" i="3"/>
  <c r="P87" i="3"/>
  <c r="Y68" i="3"/>
  <c r="W53" i="3"/>
  <c r="X93" i="3"/>
  <c r="V82" i="3"/>
  <c r="R35" i="3"/>
  <c r="Z95" i="3"/>
  <c r="Q29" i="3"/>
  <c r="X44" i="3"/>
  <c r="P50" i="3"/>
  <c r="P66" i="3"/>
  <c r="AB91" i="3"/>
  <c r="R69" i="3"/>
  <c r="T22" i="3"/>
  <c r="R93" i="3"/>
  <c r="Y77" i="3"/>
  <c r="V93" i="3"/>
  <c r="P85" i="3"/>
  <c r="Y99" i="3"/>
  <c r="S95" i="3"/>
  <c r="Q71" i="3"/>
  <c r="Z28" i="3"/>
  <c r="V67" i="3"/>
  <c r="Z9" i="3"/>
  <c r="Y48" i="3"/>
  <c r="O17" i="3"/>
  <c r="T40" i="3"/>
  <c r="Z62" i="3"/>
  <c r="S11" i="3"/>
  <c r="Q42" i="3"/>
  <c r="U36" i="3"/>
  <c r="X61" i="3"/>
  <c r="U64" i="3"/>
  <c r="AA84" i="3"/>
  <c r="Z99" i="3"/>
  <c r="T90" i="3"/>
  <c r="AB11" i="3"/>
  <c r="S67" i="3"/>
  <c r="T46" i="3"/>
  <c r="Q35" i="3"/>
  <c r="S17" i="3"/>
  <c r="O97" i="3"/>
  <c r="P21" i="3"/>
  <c r="Q40" i="3"/>
  <c r="V35" i="3"/>
  <c r="X85" i="3"/>
  <c r="AA69" i="3"/>
  <c r="Z45" i="3"/>
  <c r="X76" i="3"/>
  <c r="W45" i="3"/>
  <c r="R46" i="3"/>
  <c r="V55" i="3"/>
  <c r="U32" i="3"/>
  <c r="Y91" i="3"/>
  <c r="AB19" i="3"/>
  <c r="P92" i="3"/>
  <c r="T39" i="3"/>
  <c r="Z93" i="3"/>
  <c r="S93" i="3"/>
  <c r="Y29" i="3"/>
  <c r="X52" i="3"/>
  <c r="O77" i="3"/>
  <c r="Z53" i="3"/>
  <c r="R65" i="3"/>
  <c r="AA15" i="3"/>
  <c r="Z67" i="3"/>
  <c r="R90" i="3"/>
  <c r="AA23" i="3"/>
  <c r="Q72" i="3"/>
  <c r="Q31" i="3"/>
  <c r="S64" i="3"/>
  <c r="U74" i="3"/>
  <c r="T86" i="3"/>
  <c r="Y80" i="3"/>
  <c r="R83" i="3"/>
  <c r="T30" i="3"/>
  <c r="S43" i="3"/>
  <c r="S5" i="3"/>
  <c r="P72" i="3"/>
  <c r="O8" i="3"/>
  <c r="P46" i="3"/>
  <c r="U23" i="3"/>
  <c r="T48" i="3"/>
  <c r="W12" i="3"/>
  <c r="P96" i="3"/>
  <c r="R11" i="3"/>
  <c r="W58" i="3"/>
  <c r="AA5" i="3"/>
  <c r="Z66" i="3"/>
  <c r="R57" i="3"/>
  <c r="S41" i="3"/>
  <c r="AB69" i="3"/>
  <c r="Y87" i="3"/>
  <c r="Q49" i="3"/>
  <c r="B3" i="3"/>
  <c r="J45" i="3"/>
  <c r="L35" i="3"/>
  <c r="M19" i="3"/>
  <c r="F3" i="3"/>
  <c r="C52" i="3"/>
  <c r="H55" i="3"/>
  <c r="H48" i="3"/>
  <c r="I42" i="3"/>
  <c r="L24" i="3"/>
  <c r="C100" i="3"/>
  <c r="J19" i="3"/>
  <c r="C6" i="3"/>
  <c r="L54" i="3"/>
  <c r="M38" i="3"/>
  <c r="G22" i="3"/>
  <c r="C8" i="3"/>
  <c r="K76" i="3"/>
  <c r="L72" i="3"/>
  <c r="J69" i="3"/>
  <c r="M69" i="3"/>
  <c r="I48" i="3"/>
  <c r="F36" i="3"/>
  <c r="D25" i="3"/>
  <c r="E9" i="3"/>
  <c r="B58" i="3"/>
  <c r="G41" i="3"/>
  <c r="I38" i="3"/>
  <c r="G31" i="3"/>
  <c r="I25" i="3"/>
  <c r="F86" i="3"/>
  <c r="K90" i="3"/>
  <c r="J15" i="3"/>
  <c r="F58" i="3"/>
  <c r="E50" i="3"/>
  <c r="G34" i="3"/>
  <c r="L17" i="3"/>
  <c r="J65" i="3"/>
  <c r="K72" i="3"/>
  <c r="L68" i="3"/>
  <c r="C65" i="3"/>
  <c r="K61" i="3"/>
  <c r="M36" i="3"/>
  <c r="B59" i="3"/>
  <c r="D35" i="3"/>
  <c r="F66" i="3"/>
  <c r="H69" i="3"/>
  <c r="E63" i="3"/>
  <c r="D88" i="3"/>
  <c r="G78" i="3"/>
  <c r="J72" i="3"/>
  <c r="I70" i="3"/>
  <c r="G98" i="3"/>
  <c r="D20" i="3"/>
  <c r="B17" i="3"/>
  <c r="L51" i="3"/>
  <c r="F19" i="3"/>
  <c r="C74" i="3"/>
  <c r="B67" i="3"/>
  <c r="K40" i="3"/>
  <c r="G29" i="3"/>
  <c r="D4" i="3"/>
  <c r="M60" i="3"/>
  <c r="L47" i="3"/>
  <c r="H92" i="3"/>
  <c r="F50" i="3"/>
  <c r="E25" i="3"/>
  <c r="G57" i="3"/>
  <c r="M56" i="3"/>
  <c r="H38" i="3"/>
  <c r="G84" i="3"/>
  <c r="F73" i="3"/>
  <c r="J62" i="3"/>
  <c r="I31" i="3"/>
  <c r="C93" i="3"/>
  <c r="D99" i="3"/>
  <c r="D67" i="3"/>
  <c r="I85" i="3"/>
  <c r="J55" i="3"/>
  <c r="D26" i="3"/>
  <c r="H19" i="3"/>
  <c r="C79" i="3"/>
  <c r="M96" i="3"/>
  <c r="E67" i="3"/>
  <c r="K37" i="3"/>
  <c r="I78" i="3"/>
  <c r="J98" i="3"/>
  <c r="M44" i="3"/>
  <c r="G4" i="3"/>
  <c r="J73" i="3"/>
  <c r="H97" i="3"/>
  <c r="C44" i="3"/>
  <c r="D32" i="3"/>
  <c r="L23" i="3"/>
  <c r="E22" i="3"/>
  <c r="J89" i="3"/>
  <c r="H24" i="3"/>
  <c r="C70" i="3"/>
  <c r="E75" i="3"/>
  <c r="K52" i="3"/>
  <c r="D97" i="3"/>
  <c r="M91" i="3"/>
  <c r="D83" i="3"/>
  <c r="I45" i="3"/>
  <c r="D9" i="3"/>
  <c r="J16" i="3"/>
  <c r="D96" i="3"/>
  <c r="J99" i="3"/>
  <c r="L69" i="3"/>
  <c r="L97" i="3"/>
  <c r="L66" i="3"/>
  <c r="D50" i="3"/>
  <c r="C10" i="3"/>
  <c r="E26" i="3"/>
  <c r="H34" i="3"/>
  <c r="B16" i="3"/>
  <c r="H26" i="3"/>
  <c r="D100" i="3"/>
  <c r="F91" i="3"/>
  <c r="C75" i="3"/>
  <c r="G83" i="3"/>
  <c r="I50" i="3"/>
  <c r="G99" i="3"/>
  <c r="I67" i="3"/>
  <c r="K95" i="3"/>
  <c r="D43" i="3"/>
  <c r="G15" i="3"/>
  <c r="L91" i="3"/>
  <c r="K73" i="3"/>
  <c r="K59" i="3"/>
  <c r="I60" i="3"/>
  <c r="J33" i="3"/>
  <c r="I80" i="3"/>
  <c r="K8" i="3"/>
  <c r="H44" i="3"/>
  <c r="D5" i="3"/>
  <c r="C21" i="3"/>
  <c r="E49" i="3"/>
  <c r="D82" i="3"/>
  <c r="H65" i="3"/>
  <c r="G8" i="3"/>
  <c r="I52" i="3"/>
  <c r="H33" i="3"/>
  <c r="D11" i="3"/>
  <c r="K55" i="3"/>
  <c r="C61" i="3"/>
  <c r="G92" i="3"/>
  <c r="F8" i="3"/>
  <c r="B51" i="3"/>
  <c r="M41" i="3"/>
  <c r="B26" i="3"/>
  <c r="G9" i="3"/>
  <c r="D58" i="3"/>
  <c r="I64" i="3"/>
  <c r="E58" i="3"/>
  <c r="G52" i="3"/>
  <c r="I40" i="3"/>
  <c r="D15" i="3"/>
  <c r="B25" i="3"/>
  <c r="D12" i="3"/>
  <c r="K60" i="3"/>
  <c r="C45" i="3"/>
  <c r="H28" i="3"/>
  <c r="M17" i="3"/>
  <c r="I10" i="3"/>
  <c r="M4" i="3"/>
  <c r="B75" i="3"/>
  <c r="D78" i="3"/>
  <c r="F63" i="3"/>
  <c r="J41" i="3"/>
  <c r="E31" i="3"/>
  <c r="F15" i="3"/>
  <c r="H63" i="3"/>
  <c r="H47" i="3"/>
  <c r="G48" i="3"/>
  <c r="C41" i="3"/>
  <c r="G35" i="3"/>
  <c r="F13" i="3"/>
  <c r="C96" i="3"/>
  <c r="B21" i="3"/>
  <c r="I7" i="3"/>
  <c r="G56" i="3"/>
  <c r="H40" i="3"/>
  <c r="M23" i="3"/>
  <c r="H10" i="3"/>
  <c r="G3" i="3"/>
  <c r="D74" i="3"/>
  <c r="B71" i="3"/>
  <c r="B72" i="3"/>
  <c r="H52" i="3"/>
  <c r="H14" i="3"/>
  <c r="F47" i="3"/>
  <c r="H21" i="3"/>
  <c r="I8" i="3"/>
  <c r="H80" i="3"/>
  <c r="H93" i="3"/>
  <c r="H84" i="3"/>
  <c r="M83" i="3"/>
  <c r="K25" i="3"/>
  <c r="G45" i="3"/>
  <c r="H45" i="3"/>
  <c r="J27" i="3"/>
  <c r="G63" i="3"/>
  <c r="H31" i="3"/>
  <c r="I15" i="3"/>
  <c r="J77" i="3"/>
  <c r="M67" i="3"/>
  <c r="L44" i="3"/>
  <c r="E4" i="3"/>
  <c r="H86" i="3"/>
  <c r="I69" i="3"/>
  <c r="H64" i="3"/>
  <c r="I4" i="3"/>
  <c r="G37" i="3"/>
  <c r="K5" i="3"/>
  <c r="H71" i="3"/>
  <c r="L67" i="3"/>
  <c r="D90" i="3"/>
  <c r="J80" i="3"/>
  <c r="L77" i="3"/>
  <c r="K84" i="3"/>
  <c r="C5" i="3"/>
  <c r="M29" i="3"/>
  <c r="J96" i="3"/>
  <c r="H94" i="3"/>
  <c r="F21" i="3"/>
  <c r="C49" i="3"/>
  <c r="B50" i="3"/>
  <c r="G87" i="3"/>
  <c r="K17" i="3"/>
  <c r="I72" i="3"/>
  <c r="K56" i="3"/>
  <c r="L43" i="3"/>
  <c r="I92" i="3"/>
  <c r="G59" i="3"/>
  <c r="K33" i="3"/>
  <c r="L18" i="3"/>
  <c r="I19" i="3"/>
  <c r="B76" i="3"/>
  <c r="M65" i="3"/>
  <c r="K57" i="3"/>
  <c r="C97" i="3"/>
  <c r="B13" i="3"/>
  <c r="K42" i="3"/>
  <c r="F25" i="3"/>
  <c r="G97" i="3"/>
  <c r="G72" i="3"/>
  <c r="M47" i="3"/>
  <c r="G32" i="3"/>
  <c r="F95" i="3"/>
  <c r="G70" i="3"/>
  <c r="C35" i="3"/>
  <c r="K63" i="3"/>
  <c r="C31" i="3"/>
  <c r="K93" i="3"/>
  <c r="F92" i="3"/>
  <c r="C80" i="3"/>
  <c r="G38" i="3"/>
  <c r="G93" i="3"/>
  <c r="K47" i="3"/>
  <c r="G96" i="3"/>
  <c r="D24" i="3"/>
  <c r="H46" i="3"/>
  <c r="L74" i="3"/>
  <c r="C37" i="3"/>
  <c r="C50" i="3"/>
  <c r="H96" i="3"/>
  <c r="F22" i="3"/>
  <c r="B24" i="3"/>
  <c r="E73" i="3"/>
  <c r="C95" i="3"/>
  <c r="M75" i="3"/>
  <c r="C77" i="3"/>
  <c r="L27" i="3"/>
  <c r="I94" i="3"/>
  <c r="G88" i="3"/>
  <c r="G76" i="3"/>
  <c r="B78" i="3"/>
  <c r="E34" i="3"/>
  <c r="G23" i="3"/>
  <c r="M87" i="3"/>
  <c r="L5" i="3"/>
  <c r="M16" i="3"/>
  <c r="J86" i="3"/>
  <c r="M64" i="3"/>
  <c r="L78" i="3"/>
  <c r="D18" i="3"/>
  <c r="G25" i="3"/>
  <c r="L34" i="3"/>
  <c r="H4" i="3"/>
  <c r="K12" i="3"/>
  <c r="E94" i="3"/>
  <c r="L86" i="3"/>
  <c r="K74" i="3"/>
  <c r="B19" i="3"/>
  <c r="F5" i="3"/>
  <c r="C54" i="3"/>
  <c r="D38" i="3"/>
  <c r="I21" i="3"/>
  <c r="K6" i="3"/>
  <c r="C76" i="3"/>
  <c r="D72" i="3"/>
  <c r="B69" i="3"/>
  <c r="M68" i="3"/>
  <c r="J46" i="3"/>
  <c r="J35" i="3"/>
  <c r="G24" i="3"/>
  <c r="H8" i="3"/>
  <c r="E57" i="3"/>
  <c r="J40" i="3"/>
  <c r="E37" i="3"/>
  <c r="D30" i="3"/>
  <c r="E24" i="3"/>
  <c r="J85" i="3"/>
  <c r="C90" i="3"/>
  <c r="J9" i="3"/>
  <c r="F52" i="3"/>
  <c r="G43" i="3"/>
  <c r="H27" i="3"/>
  <c r="M10" i="3"/>
  <c r="J59" i="3"/>
  <c r="J66" i="3"/>
  <c r="H60" i="3"/>
  <c r="K54" i="3"/>
  <c r="G44" i="3"/>
  <c r="G19" i="3"/>
  <c r="J31" i="3"/>
  <c r="L19" i="3"/>
  <c r="M3" i="3"/>
  <c r="J52" i="3"/>
  <c r="C36" i="3"/>
  <c r="C30" i="3"/>
  <c r="K22" i="3"/>
  <c r="D17" i="3"/>
  <c r="J81" i="3"/>
  <c r="L85" i="3"/>
  <c r="J5" i="3"/>
  <c r="L38" i="3"/>
  <c r="G6" i="3"/>
  <c r="G60" i="3"/>
  <c r="I47" i="3"/>
  <c r="H7" i="3"/>
  <c r="I11" i="3"/>
  <c r="I95" i="3"/>
  <c r="E8" i="3"/>
  <c r="K18" i="3"/>
  <c r="H98" i="3"/>
  <c r="K80" i="3"/>
  <c r="B49" i="3"/>
  <c r="K23" i="3"/>
  <c r="M55" i="3"/>
  <c r="I54" i="3"/>
  <c r="J34" i="3"/>
  <c r="L82" i="3"/>
  <c r="E71" i="3"/>
  <c r="C57" i="3"/>
  <c r="C18" i="3"/>
  <c r="B91" i="3"/>
  <c r="I90" i="3"/>
  <c r="M28" i="3"/>
  <c r="H61" i="3"/>
  <c r="J44" i="3"/>
  <c r="K31" i="3"/>
  <c r="C94" i="3"/>
  <c r="L100" i="3"/>
  <c r="E92" i="3"/>
  <c r="B96" i="3"/>
  <c r="F100" i="3"/>
  <c r="L87" i="3"/>
  <c r="I73" i="3"/>
  <c r="G47" i="3"/>
  <c r="G28" i="3"/>
  <c r="J58" i="3"/>
  <c r="H32" i="3"/>
  <c r="E17" i="3"/>
  <c r="K15" i="3"/>
  <c r="M70" i="3"/>
  <c r="C63" i="3"/>
  <c r="I51" i="3"/>
  <c r="K91" i="3"/>
  <c r="B11" i="3"/>
  <c r="J36" i="3"/>
  <c r="D8" i="3"/>
  <c r="C88" i="3"/>
  <c r="C67" i="3"/>
  <c r="I29" i="3"/>
  <c r="H100" i="3"/>
  <c r="D91" i="3"/>
  <c r="E64" i="3"/>
  <c r="J49" i="3"/>
  <c r="K14" i="3"/>
  <c r="D76" i="3"/>
  <c r="E72" i="3"/>
  <c r="M92" i="3"/>
  <c r="B22" i="3"/>
  <c r="J84" i="3"/>
  <c r="C59" i="3"/>
  <c r="F93" i="3"/>
  <c r="E41" i="3"/>
  <c r="F72" i="3"/>
  <c r="B86" i="3"/>
  <c r="M77" i="3"/>
  <c r="G90" i="3"/>
  <c r="B39" i="3"/>
  <c r="D53" i="3"/>
  <c r="D85" i="3"/>
  <c r="L41" i="3"/>
  <c r="I26" i="3"/>
  <c r="B88" i="3"/>
  <c r="H43" i="3"/>
  <c r="F82" i="3"/>
  <c r="I89" i="3"/>
  <c r="J82" i="3"/>
  <c r="K24" i="3"/>
  <c r="L22" i="3"/>
  <c r="E36" i="3"/>
  <c r="L7" i="3"/>
  <c r="E40" i="3"/>
  <c r="L81" i="3"/>
  <c r="J6" i="3"/>
  <c r="D73" i="3"/>
  <c r="I57" i="3"/>
  <c r="D28" i="3"/>
  <c r="L9" i="3"/>
  <c r="H85" i="3"/>
  <c r="E32" i="3"/>
  <c r="L25" i="3"/>
  <c r="J12" i="3"/>
  <c r="H77" i="3"/>
  <c r="E89" i="3"/>
  <c r="F69" i="3"/>
  <c r="L29" i="3"/>
  <c r="F96" i="3"/>
  <c r="M94" i="3"/>
  <c r="L92" i="3"/>
  <c r="E21" i="3"/>
  <c r="D93" i="3"/>
  <c r="L48" i="3"/>
  <c r="J94" i="3"/>
  <c r="E99" i="3"/>
  <c r="I96" i="3"/>
  <c r="H17" i="3"/>
  <c r="G26" i="3"/>
  <c r="G13" i="3"/>
  <c r="H83" i="3"/>
  <c r="F46" i="3"/>
  <c r="J20" i="3"/>
  <c r="L52" i="3"/>
  <c r="K49" i="3"/>
  <c r="C27" i="3"/>
  <c r="F20" i="3"/>
  <c r="I55" i="3"/>
  <c r="D23" i="3"/>
  <c r="G77" i="3"/>
  <c r="F70" i="3"/>
  <c r="H50" i="3"/>
  <c r="B32" i="3"/>
  <c r="D64" i="3"/>
  <c r="G49" i="3"/>
  <c r="H36" i="3"/>
  <c r="K96" i="3"/>
  <c r="K62" i="3"/>
  <c r="F24" i="3"/>
  <c r="G11" i="3"/>
  <c r="C60" i="3"/>
  <c r="E44" i="3"/>
  <c r="K27" i="3"/>
  <c r="I16" i="3"/>
  <c r="H9" i="3"/>
  <c r="I3" i="3"/>
  <c r="F74" i="3"/>
  <c r="F77" i="3"/>
  <c r="M61" i="3"/>
  <c r="B41" i="3"/>
  <c r="H30" i="3"/>
  <c r="I14" i="3"/>
  <c r="L62" i="3"/>
  <c r="K46" i="3"/>
  <c r="C47" i="3"/>
  <c r="B40" i="3"/>
  <c r="C34" i="3"/>
  <c r="E11" i="3"/>
  <c r="G95" i="3"/>
  <c r="B15" i="3"/>
  <c r="J57" i="3"/>
  <c r="H49" i="3"/>
  <c r="I33" i="3"/>
  <c r="C17" i="3"/>
  <c r="B65" i="3"/>
  <c r="C72" i="3"/>
  <c r="D68" i="3"/>
  <c r="M63" i="3"/>
  <c r="M59" i="3"/>
  <c r="K34" i="3"/>
  <c r="B37" i="3"/>
  <c r="M25" i="3"/>
  <c r="B10" i="3"/>
  <c r="K58" i="3"/>
  <c r="D42" i="3"/>
  <c r="L39" i="3"/>
  <c r="I32" i="3"/>
  <c r="L26" i="3"/>
  <c r="B87" i="3"/>
  <c r="G91" i="3"/>
  <c r="F16" i="3"/>
  <c r="C51" i="3"/>
  <c r="I18" i="3"/>
  <c r="G73" i="3"/>
  <c r="B66" i="3"/>
  <c r="K38" i="3"/>
  <c r="E27" i="3"/>
  <c r="M100" i="3"/>
  <c r="C55" i="3"/>
  <c r="F45" i="3"/>
  <c r="F88" i="3"/>
  <c r="B90" i="3"/>
  <c r="C3" i="3"/>
  <c r="M35" i="3"/>
  <c r="E3" i="3"/>
  <c r="D70" i="3"/>
  <c r="D65" i="3"/>
  <c r="L88" i="3"/>
  <c r="D79" i="3"/>
  <c r="I74" i="3"/>
  <c r="L75" i="3"/>
  <c r="F99" i="3"/>
  <c r="J7" i="3"/>
  <c r="D41" i="3"/>
  <c r="J8" i="3"/>
  <c r="I63" i="3"/>
  <c r="E51" i="3"/>
  <c r="H13" i="3"/>
  <c r="G17" i="3"/>
  <c r="I97" i="3"/>
  <c r="H23" i="3"/>
  <c r="H29" i="3"/>
  <c r="G64" i="3"/>
  <c r="D84" i="3"/>
  <c r="E6" i="3"/>
  <c r="L93" i="3"/>
  <c r="L16" i="3"/>
  <c r="H62" i="3"/>
  <c r="B54" i="3"/>
  <c r="E39" i="3"/>
  <c r="K89" i="3"/>
  <c r="F85" i="3"/>
  <c r="M76" i="3"/>
  <c r="E30" i="3"/>
  <c r="J23" i="3"/>
  <c r="M54" i="3"/>
  <c r="K44" i="3"/>
  <c r="F23" i="3"/>
  <c r="M79" i="3"/>
  <c r="K81" i="3"/>
  <c r="M74" i="3"/>
  <c r="M8" i="3"/>
  <c r="H79" i="3"/>
  <c r="M9" i="3"/>
  <c r="I37" i="3"/>
  <c r="L37" i="3"/>
  <c r="I83" i="3"/>
  <c r="E100" i="3"/>
  <c r="M97" i="3"/>
  <c r="D87" i="3"/>
  <c r="J93" i="3"/>
  <c r="E62" i="3"/>
  <c r="D66" i="3"/>
  <c r="D48" i="3"/>
  <c r="I99" i="3"/>
  <c r="D16" i="3"/>
  <c r="C99" i="3"/>
  <c r="J10" i="3"/>
  <c r="C24" i="3"/>
  <c r="D98" i="3"/>
  <c r="K75" i="3"/>
  <c r="K71" i="3"/>
  <c r="E77" i="3"/>
  <c r="E13" i="3"/>
  <c r="E52" i="3"/>
  <c r="M13" i="3"/>
  <c r="F39" i="3"/>
  <c r="G62" i="3"/>
  <c r="D57" i="3"/>
  <c r="L76" i="3"/>
  <c r="J50" i="3"/>
  <c r="L83" i="3"/>
  <c r="K99" i="3"/>
  <c r="J21" i="3"/>
  <c r="D71" i="3"/>
  <c r="L31" i="3"/>
  <c r="C29" i="3"/>
  <c r="G81" i="3"/>
  <c r="H70" i="3"/>
  <c r="F43" i="3"/>
  <c r="G100" i="3"/>
  <c r="I84" i="3"/>
  <c r="I56" i="3"/>
  <c r="B45" i="3"/>
  <c r="D59" i="3"/>
  <c r="B61" i="3"/>
  <c r="D49" i="3"/>
  <c r="M95" i="3"/>
  <c r="M98" i="3"/>
  <c r="D80" i="3"/>
  <c r="J97" i="3"/>
  <c r="J67" i="3"/>
  <c r="L60" i="3"/>
  <c r="M81" i="3"/>
  <c r="M80" i="3"/>
  <c r="J29" i="3"/>
  <c r="G65" i="3"/>
  <c r="G50" i="3"/>
  <c r="L33" i="3"/>
  <c r="E19" i="3"/>
  <c r="J79" i="3"/>
  <c r="J3" i="3"/>
  <c r="I36" i="3"/>
  <c r="C4" i="3"/>
  <c r="L56" i="3"/>
  <c r="M43" i="3"/>
  <c r="K100" i="3"/>
  <c r="L6" i="3"/>
  <c r="K39" i="3"/>
  <c r="F9" i="3"/>
  <c r="H73" i="3"/>
  <c r="C71" i="3"/>
  <c r="F42" i="3"/>
  <c r="C16" i="3"/>
  <c r="E48" i="3"/>
  <c r="G42" i="3"/>
  <c r="C15" i="3"/>
  <c r="B27" i="3"/>
  <c r="J13" i="3"/>
  <c r="L13" i="3"/>
  <c r="D36" i="3"/>
  <c r="L61" i="3"/>
  <c r="F14" i="3"/>
  <c r="K26" i="3"/>
  <c r="I27" i="3"/>
  <c r="M62" i="3"/>
  <c r="J25" i="3"/>
  <c r="G21" i="3"/>
  <c r="K28" i="3"/>
  <c r="J75" i="3"/>
  <c r="F26" i="3"/>
  <c r="E28" i="3"/>
  <c r="E59" i="3"/>
  <c r="F76" i="3"/>
  <c r="F48" i="3"/>
  <c r="M40" i="3"/>
  <c r="C92" i="3"/>
  <c r="E90" i="3"/>
  <c r="H88" i="3"/>
  <c r="G68" i="3"/>
  <c r="H11" i="3"/>
  <c r="M34" i="3"/>
  <c r="H76" i="3"/>
  <c r="M31" i="3"/>
  <c r="I81" i="3"/>
  <c r="K16" i="3"/>
  <c r="C25" i="3"/>
  <c r="K82" i="3"/>
  <c r="K86" i="3"/>
  <c r="I59" i="3"/>
  <c r="E55" i="3"/>
  <c r="I6" i="3"/>
  <c r="B63" i="3"/>
  <c r="L96" i="3"/>
  <c r="C26" i="3"/>
  <c r="G10" i="3"/>
  <c r="I17" i="3"/>
  <c r="I66" i="3"/>
  <c r="J90" i="3"/>
  <c r="C78" i="3"/>
  <c r="B33" i="3"/>
  <c r="L55" i="3"/>
  <c r="M82" i="3"/>
  <c r="M89" i="3"/>
  <c r="E83" i="3"/>
  <c r="G30" i="3"/>
  <c r="M14" i="3"/>
  <c r="F12" i="3"/>
  <c r="E56" i="3"/>
  <c r="J91" i="3"/>
  <c r="E12" i="3"/>
  <c r="H74" i="3"/>
  <c r="M52" i="3"/>
  <c r="G69" i="3"/>
  <c r="J76" i="3"/>
  <c r="J95" i="3"/>
  <c r="G51" i="3"/>
  <c r="G74" i="3"/>
  <c r="I30" i="3"/>
  <c r="K85" i="3"/>
  <c r="H39" i="3"/>
  <c r="F54" i="3"/>
  <c r="L42" i="3"/>
  <c r="J83" i="3"/>
  <c r="B82" i="3"/>
  <c r="J61" i="3"/>
  <c r="F30" i="3"/>
  <c r="J26" i="3"/>
  <c r="E65" i="3"/>
  <c r="L21" i="3"/>
  <c r="K67" i="3"/>
  <c r="I98" i="3"/>
  <c r="K9" i="3"/>
  <c r="D94" i="3"/>
  <c r="M84" i="3"/>
  <c r="H51" i="3"/>
  <c r="F53" i="3"/>
  <c r="G75" i="3"/>
  <c r="I44" i="3"/>
  <c r="B12" i="3"/>
  <c r="M53" i="3"/>
  <c r="E93" i="3"/>
  <c r="B7" i="3"/>
  <c r="C7" i="3"/>
  <c r="E97" i="3"/>
  <c r="D61" i="3"/>
  <c r="H12" i="3"/>
  <c r="B60" i="3"/>
  <c r="C87" i="3"/>
  <c r="F49" i="3"/>
  <c r="K32" i="3"/>
  <c r="J60" i="3"/>
  <c r="J18" i="3"/>
  <c r="B95" i="3"/>
  <c r="H53" i="3"/>
  <c r="K88" i="3"/>
  <c r="F94" i="3"/>
  <c r="K45" i="3"/>
  <c r="E35" i="3"/>
  <c r="G94" i="3"/>
  <c r="D39" i="3"/>
  <c r="M50" i="3"/>
  <c r="F27" i="3"/>
  <c r="H58" i="3"/>
  <c r="H57" i="3"/>
  <c r="I20" i="3"/>
  <c r="L14" i="3"/>
  <c r="I62" i="3"/>
  <c r="B74" i="3"/>
  <c r="J4" i="3"/>
  <c r="H75" i="3"/>
  <c r="C28" i="3"/>
  <c r="F71" i="3"/>
  <c r="I91" i="3"/>
  <c r="K98" i="3"/>
  <c r="F40" i="3"/>
  <c r="H56" i="3"/>
  <c r="K70" i="3"/>
  <c r="C9" i="3"/>
  <c r="J51" i="3"/>
  <c r="D51" i="3"/>
  <c r="G71" i="3"/>
  <c r="H42" i="3"/>
  <c r="B47" i="3"/>
  <c r="M51" i="3"/>
  <c r="M11" i="3"/>
  <c r="J28" i="3"/>
  <c r="B53" i="3"/>
  <c r="I5" i="3"/>
  <c r="G46" i="3"/>
  <c r="K10" i="3"/>
  <c r="M33" i="3"/>
  <c r="F75" i="3"/>
  <c r="I28" i="3"/>
  <c r="E80" i="3"/>
  <c r="I24" i="3"/>
  <c r="D60" i="3"/>
  <c r="F29" i="3"/>
  <c r="H99" i="3"/>
  <c r="M93" i="3"/>
  <c r="C83" i="3"/>
  <c r="K64" i="3"/>
  <c r="B18" i="3"/>
  <c r="B70" i="3"/>
  <c r="L10" i="3"/>
  <c r="M72" i="3"/>
  <c r="H6" i="3"/>
  <c r="B23" i="3"/>
  <c r="I43" i="3"/>
  <c r="I71" i="3"/>
  <c r="H78" i="3"/>
  <c r="M26" i="3"/>
  <c r="L79" i="3"/>
  <c r="B80" i="3"/>
  <c r="E82" i="3"/>
  <c r="B83" i="3"/>
  <c r="L59" i="3"/>
  <c r="B36" i="3"/>
  <c r="E54" i="3"/>
  <c r="M6" i="3"/>
  <c r="E43" i="3"/>
  <c r="I88" i="3"/>
  <c r="F84" i="3"/>
  <c r="G18" i="3"/>
  <c r="F98" i="3"/>
  <c r="F32" i="3"/>
  <c r="C23" i="3"/>
  <c r="B64" i="3"/>
  <c r="K68" i="3"/>
  <c r="I22" i="3"/>
  <c r="K50" i="3"/>
  <c r="E79" i="3"/>
  <c r="E7" i="3"/>
  <c r="F41" i="3"/>
  <c r="B55" i="3"/>
  <c r="L94" i="3"/>
  <c r="B35" i="3"/>
  <c r="C32" i="3"/>
  <c r="M45" i="3"/>
  <c r="B85" i="3"/>
  <c r="L32" i="3"/>
  <c r="K65" i="3"/>
  <c r="F80" i="3"/>
  <c r="B31" i="3"/>
  <c r="L45" i="3"/>
  <c r="C58" i="3"/>
  <c r="B81" i="3"/>
  <c r="J47" i="3"/>
  <c r="I46" i="3"/>
  <c r="G67" i="3"/>
  <c r="L30" i="3"/>
  <c r="E14" i="3"/>
  <c r="C48" i="3"/>
  <c r="F65" i="3"/>
  <c r="G79" i="3"/>
  <c r="D13" i="3"/>
  <c r="I77" i="3"/>
  <c r="E47" i="3"/>
  <c r="J11" i="3"/>
  <c r="G82" i="3"/>
  <c r="D69" i="3"/>
  <c r="L12" i="3"/>
  <c r="L71" i="3"/>
  <c r="J88" i="3"/>
  <c r="G55" i="3"/>
  <c r="J71" i="3"/>
  <c r="F51" i="3"/>
  <c r="M73" i="3"/>
  <c r="K87" i="3"/>
  <c r="F61" i="3"/>
  <c r="B97" i="3"/>
  <c r="M86" i="3"/>
  <c r="M85" i="3"/>
  <c r="M15" i="3"/>
  <c r="B94" i="3"/>
  <c r="J54" i="3"/>
  <c r="F56" i="3"/>
  <c r="D62" i="3"/>
  <c r="L28" i="3"/>
  <c r="D56" i="3"/>
  <c r="B57" i="3"/>
  <c r="D10" i="3"/>
  <c r="G20" i="3"/>
  <c r="L57" i="3"/>
  <c r="M12" i="3"/>
  <c r="L4" i="3"/>
  <c r="K21" i="3"/>
  <c r="M78" i="3"/>
  <c r="K13" i="3"/>
  <c r="K11" i="3"/>
  <c r="D52" i="3"/>
  <c r="K79" i="3"/>
  <c r="M22" i="3"/>
  <c r="E53" i="3"/>
  <c r="C82" i="3"/>
  <c r="L53" i="3"/>
  <c r="L89" i="3"/>
  <c r="F6" i="3"/>
  <c r="D7" i="3"/>
  <c r="J48" i="3"/>
  <c r="I13" i="3"/>
  <c r="G12" i="3"/>
  <c r="I100" i="3"/>
  <c r="C13" i="3"/>
  <c r="H37" i="3"/>
  <c r="E78" i="3"/>
  <c r="B38" i="3"/>
  <c r="B84" i="3"/>
  <c r="C40" i="3"/>
  <c r="B43" i="3"/>
  <c r="L65" i="3"/>
  <c r="E88" i="3"/>
  <c r="M27" i="3"/>
  <c r="D89" i="3"/>
  <c r="L49" i="3"/>
  <c r="H89" i="3"/>
  <c r="K78" i="3"/>
  <c r="B56" i="3"/>
  <c r="G5" i="3"/>
  <c r="K36" i="3"/>
  <c r="H81" i="3"/>
  <c r="G66" i="3"/>
  <c r="F34" i="3"/>
  <c r="F81" i="3"/>
  <c r="I12" i="3"/>
  <c r="B42" i="3"/>
  <c r="H87" i="3"/>
  <c r="C14" i="3"/>
  <c r="H54" i="3"/>
  <c r="E66" i="3"/>
  <c r="E91" i="3"/>
  <c r="E74" i="3"/>
  <c r="E68" i="3"/>
  <c r="B14" i="3"/>
  <c r="K77" i="3"/>
  <c r="M49" i="3"/>
  <c r="I86" i="3"/>
  <c r="C64" i="3"/>
  <c r="D47" i="3"/>
  <c r="H91" i="3"/>
  <c r="K97" i="3"/>
  <c r="L8" i="3"/>
  <c r="D34" i="3"/>
  <c r="C73" i="3"/>
  <c r="M20" i="3"/>
  <c r="D37" i="3"/>
  <c r="L11" i="3"/>
  <c r="E86" i="3"/>
  <c r="D40" i="3"/>
  <c r="E38" i="3"/>
  <c r="J53" i="3"/>
  <c r="L90" i="3"/>
  <c r="C42" i="3"/>
  <c r="H41" i="3"/>
  <c r="D81" i="3"/>
  <c r="K83" i="3"/>
  <c r="E5" i="3"/>
  <c r="B62" i="3"/>
  <c r="F67" i="3"/>
  <c r="M21" i="3"/>
  <c r="L46" i="3"/>
  <c r="G85" i="3"/>
  <c r="B89" i="3"/>
  <c r="K29" i="3"/>
  <c r="K66" i="3"/>
  <c r="K94" i="3"/>
  <c r="J42" i="3"/>
  <c r="I34" i="3"/>
  <c r="H67" i="3"/>
  <c r="F17" i="3"/>
  <c r="F37" i="3"/>
  <c r="F35" i="3"/>
  <c r="B6" i="3"/>
  <c r="K3" i="3"/>
  <c r="D44" i="3"/>
  <c r="G54" i="3"/>
  <c r="F7" i="3"/>
  <c r="D21" i="3"/>
  <c r="K30" i="3"/>
  <c r="B77" i="3"/>
  <c r="C43" i="3"/>
  <c r="C84" i="3"/>
  <c r="C53" i="3"/>
  <c r="E15" i="3"/>
  <c r="J22" i="3"/>
  <c r="E81" i="3"/>
  <c r="E85" i="3"/>
  <c r="M37" i="3"/>
  <c r="F18" i="3"/>
  <c r="L20" i="3"/>
  <c r="E33" i="3"/>
  <c r="K69" i="3"/>
  <c r="B99" i="3"/>
  <c r="G33" i="3"/>
  <c r="F31" i="3"/>
  <c r="F87" i="3"/>
  <c r="B20" i="3"/>
  <c r="J43" i="3"/>
  <c r="L70" i="3"/>
  <c r="M88" i="3"/>
  <c r="F90" i="3"/>
  <c r="J56" i="3"/>
  <c r="K4" i="3"/>
  <c r="L36" i="3"/>
  <c r="H20" i="3"/>
  <c r="G14" i="3"/>
  <c r="C98" i="3"/>
  <c r="D19" i="3"/>
  <c r="M5" i="3"/>
  <c r="E87" i="3"/>
  <c r="I65" i="3"/>
  <c r="L73" i="3"/>
  <c r="M57" i="3"/>
  <c r="E10" i="3"/>
  <c r="B46" i="3"/>
  <c r="E23" i="3"/>
  <c r="K48" i="3"/>
  <c r="J14" i="3"/>
  <c r="G61" i="3"/>
  <c r="L15" i="3"/>
  <c r="C62" i="3"/>
  <c r="E46" i="3"/>
  <c r="M42" i="3"/>
  <c r="I58" i="3"/>
  <c r="B100" i="3"/>
  <c r="E42" i="3"/>
  <c r="M90" i="3"/>
  <c r="B29" i="3"/>
  <c r="B79" i="3"/>
  <c r="C91" i="3"/>
  <c r="L58" i="3"/>
  <c r="F79" i="3"/>
  <c r="L3" i="3"/>
  <c r="E98" i="3"/>
  <c r="L99" i="3"/>
  <c r="B4" i="3"/>
  <c r="J70" i="3"/>
  <c r="I82" i="3"/>
  <c r="C39" i="3"/>
  <c r="J17" i="3"/>
  <c r="L95" i="3"/>
  <c r="J68" i="3"/>
  <c r="D31" i="3"/>
  <c r="J74" i="3"/>
  <c r="G39" i="3"/>
  <c r="H72" i="3"/>
  <c r="F55" i="3"/>
  <c r="K7" i="3"/>
  <c r="M32" i="3"/>
  <c r="B9" i="3"/>
  <c r="C66" i="3"/>
  <c r="K53" i="3"/>
  <c r="D3" i="3"/>
  <c r="D45" i="3"/>
  <c r="D22" i="3"/>
  <c r="C56" i="3"/>
  <c r="D55" i="3"/>
  <c r="E70" i="3"/>
  <c r="D86" i="3"/>
  <c r="I9" i="3"/>
  <c r="J39" i="3"/>
  <c r="G7" i="3"/>
  <c r="I79" i="3"/>
  <c r="D75" i="3"/>
  <c r="G58" i="3"/>
  <c r="D46" i="3"/>
  <c r="F57" i="3"/>
  <c r="E69" i="3"/>
  <c r="H25" i="3"/>
  <c r="H16" i="3"/>
  <c r="K35" i="3"/>
  <c r="F44" i="3"/>
  <c r="C20" i="3"/>
  <c r="C46" i="3"/>
  <c r="J30" i="3"/>
  <c r="M24" i="3"/>
  <c r="I23" i="3"/>
  <c r="H15" i="3"/>
  <c r="J38" i="3"/>
  <c r="G89" i="3"/>
  <c r="E18" i="3"/>
  <c r="E16" i="3"/>
  <c r="F59" i="3"/>
  <c r="E84" i="3"/>
  <c r="C19" i="3"/>
  <c r="E29" i="3"/>
  <c r="L50" i="3"/>
  <c r="C85" i="3"/>
  <c r="C38" i="3"/>
  <c r="B30" i="3"/>
  <c r="I61" i="3"/>
  <c r="H5" i="3"/>
  <c r="H59" i="3"/>
  <c r="B28" i="3"/>
  <c r="L98" i="3"/>
  <c r="B93" i="3"/>
  <c r="G80" i="3"/>
  <c r="F38" i="3"/>
  <c r="K43" i="3"/>
  <c r="H3" i="3"/>
  <c r="E60" i="3"/>
  <c r="I68" i="3"/>
  <c r="H18" i="3"/>
  <c r="I49" i="3"/>
  <c r="C12" i="3"/>
  <c r="H95" i="3"/>
  <c r="I87" i="3"/>
  <c r="D63" i="3"/>
  <c r="C81" i="3"/>
  <c r="G40" i="3"/>
  <c r="B73" i="3"/>
  <c r="I41" i="3"/>
  <c r="G16" i="3"/>
  <c r="L84" i="3"/>
  <c r="C68" i="3"/>
  <c r="L40" i="3"/>
  <c r="G86" i="3"/>
  <c r="G36" i="3"/>
  <c r="L64" i="3"/>
  <c r="D29" i="3"/>
  <c r="E95" i="3"/>
  <c r="D6" i="3"/>
  <c r="B68" i="3"/>
  <c r="H68" i="3"/>
  <c r="F28" i="3"/>
  <c r="M39" i="3"/>
  <c r="F68" i="3"/>
  <c r="C89" i="3"/>
  <c r="M71" i="3"/>
  <c r="D92" i="3"/>
  <c r="C86" i="3"/>
  <c r="H35" i="3"/>
  <c r="J64" i="3"/>
  <c r="B98" i="3"/>
  <c r="D77" i="3"/>
  <c r="I76" i="3"/>
  <c r="E61" i="3"/>
  <c r="J24" i="3"/>
  <c r="F89" i="3"/>
  <c r="D95" i="3"/>
  <c r="B8" i="3"/>
  <c r="H22" i="3"/>
  <c r="B48" i="3"/>
  <c r="M30" i="3"/>
  <c r="M58" i="3"/>
  <c r="D33" i="3"/>
  <c r="I53" i="3"/>
  <c r="B5" i="3"/>
  <c r="F60" i="3"/>
  <c r="M66" i="3"/>
  <c r="J87" i="3"/>
  <c r="B34" i="3"/>
  <c r="G27" i="3"/>
  <c r="K92" i="3"/>
  <c r="J92" i="3"/>
  <c r="C33" i="3"/>
  <c r="M48" i="3"/>
  <c r="J78" i="3"/>
  <c r="D54" i="3"/>
  <c r="F11" i="3"/>
  <c r="J100" i="3"/>
  <c r="K20" i="3"/>
  <c r="M46" i="3"/>
  <c r="D14" i="3"/>
  <c r="K41" i="3"/>
  <c r="F62" i="3"/>
  <c r="H66" i="3"/>
  <c r="I35" i="3"/>
  <c r="C69" i="3"/>
  <c r="G53" i="3"/>
  <c r="I93" i="3"/>
  <c r="I75" i="3"/>
  <c r="L80" i="3"/>
  <c r="F97" i="3"/>
  <c r="K51" i="3"/>
  <c r="C11" i="3"/>
  <c r="D27" i="3"/>
  <c r="J63" i="3"/>
  <c r="F64" i="3"/>
  <c r="F4" i="3"/>
  <c r="M18" i="3"/>
  <c r="F10" i="3"/>
  <c r="E20" i="3"/>
  <c r="J37" i="3"/>
  <c r="J32" i="3"/>
  <c r="M99" i="3"/>
  <c r="I39" i="3"/>
  <c r="E96" i="3"/>
  <c r="E45" i="3"/>
  <c r="L63" i="3"/>
  <c r="B44" i="3"/>
  <c r="M7" i="3"/>
  <c r="F83" i="3"/>
  <c r="C22" i="3"/>
  <c r="K19" i="3"/>
  <c r="E76" i="3"/>
  <c r="B52" i="3"/>
  <c r="F78" i="3"/>
  <c r="F33" i="3"/>
  <c r="H82" i="3"/>
  <c r="B92" i="3"/>
  <c r="H90" i="3"/>
  <c r="O21" i="5"/>
  <c r="L21" i="5"/>
  <c r="C44" i="5"/>
  <c r="N15" i="5"/>
  <c r="L15" i="5" l="1"/>
  <c r="C45" i="5"/>
</calcChain>
</file>

<file path=xl/sharedStrings.xml><?xml version="1.0" encoding="utf-8"?>
<sst xmlns="http://schemas.openxmlformats.org/spreadsheetml/2006/main" count="349" uniqueCount="173">
  <si>
    <t>Yield</t>
  </si>
  <si>
    <t>BOND SPECIFICATION</t>
  </si>
  <si>
    <t>BondDescription</t>
  </si>
  <si>
    <t>BondType</t>
  </si>
  <si>
    <t>FIXED</t>
  </si>
  <si>
    <t>Currency</t>
  </si>
  <si>
    <t>ISIN</t>
  </si>
  <si>
    <t>YieldType</t>
  </si>
  <si>
    <t>YIELD-TO-MATURITY</t>
  </si>
  <si>
    <t>IsCleanPrice</t>
  </si>
  <si>
    <t>BondQuoteConvention</t>
  </si>
  <si>
    <t>QUOTE_IN_32NDS</t>
  </si>
  <si>
    <t>PayReceive</t>
  </si>
  <si>
    <t>RECEIVE</t>
  </si>
  <si>
    <t>NotionalExchange</t>
  </si>
  <si>
    <t>START_AND_END</t>
  </si>
  <si>
    <t>FaceValue</t>
  </si>
  <si>
    <t>FirstCouponDate</t>
  </si>
  <si>
    <t>LastCouponDate</t>
  </si>
  <si>
    <t>MaturityDate</t>
  </si>
  <si>
    <t>Coupon</t>
  </si>
  <si>
    <t>Frequency</t>
  </si>
  <si>
    <t>AccrualBusinessDayAdjustment</t>
  </si>
  <si>
    <t>NO_CHANGE</t>
  </si>
  <si>
    <t>AccrualCalendar</t>
  </si>
  <si>
    <t>PaymentBusinessDayAdjustment</t>
  </si>
  <si>
    <t>PaymentCalendar</t>
  </si>
  <si>
    <t>PaymentLag</t>
  </si>
  <si>
    <t>0D</t>
  </si>
  <si>
    <t>DayCount</t>
  </si>
  <si>
    <t>ACT/ACT</t>
  </si>
  <si>
    <t>Rollday</t>
  </si>
  <si>
    <t>CalculationType</t>
  </si>
  <si>
    <t>Bloomberg ID</t>
  </si>
  <si>
    <t>Side: Bid/Ask</t>
  </si>
  <si>
    <t>LegType</t>
  </si>
  <si>
    <t>Leg2:Float</t>
  </si>
  <si>
    <t>Notional</t>
  </si>
  <si>
    <t>PAY</t>
  </si>
  <si>
    <t>ForecastCurve</t>
  </si>
  <si>
    <t>DiscountCurve</t>
  </si>
  <si>
    <t>Leverage</t>
  </si>
  <si>
    <t>FixedRate</t>
  </si>
  <si>
    <t>FirstStubCurveIndex</t>
  </si>
  <si>
    <t>LastStubCurveIndex</t>
  </si>
  <si>
    <t>FirstFixing</t>
  </si>
  <si>
    <t>LastFixing</t>
  </si>
  <si>
    <t>FloatSpread</t>
  </si>
  <si>
    <t>EffectiveDate</t>
  </si>
  <si>
    <t>QUARTERLY</t>
  </si>
  <si>
    <t>Daycount</t>
  </si>
  <si>
    <t>FixingBusinessDayAdjustment</t>
  </si>
  <si>
    <t>MOD_FOLLOWING</t>
  </si>
  <si>
    <t>FixingCalendar</t>
  </si>
  <si>
    <t>FirstStubDate</t>
  </si>
  <si>
    <t>LastStubDate</t>
  </si>
  <si>
    <t>RollDay</t>
  </si>
  <si>
    <t>FixingLag</t>
  </si>
  <si>
    <t>2D</t>
  </si>
  <si>
    <t>FirstFixingLag</t>
  </si>
  <si>
    <t>StubType</t>
  </si>
  <si>
    <t>ASSET SWAP</t>
  </si>
  <si>
    <t>BOND LEG</t>
  </si>
  <si>
    <t>FUNDING LEG</t>
  </si>
  <si>
    <t>SHORTSTART</t>
  </si>
  <si>
    <t>SEMI-ANNUAL</t>
  </si>
  <si>
    <t>BOND</t>
  </si>
  <si>
    <t xml:space="preserve"> </t>
  </si>
  <si>
    <t>Create Asset Swap</t>
  </si>
  <si>
    <t>Create Bond</t>
  </si>
  <si>
    <t>Handle Name</t>
  </si>
  <si>
    <t>ASSET SWAP RESULTS</t>
  </si>
  <si>
    <t>BOND RESULTS</t>
  </si>
  <si>
    <t>SettlementDate</t>
  </si>
  <si>
    <t>1D</t>
  </si>
  <si>
    <t>SettlementLag</t>
  </si>
  <si>
    <t>Calendar</t>
  </si>
  <si>
    <t>ValuationDate</t>
  </si>
  <si>
    <t>BusDayAdjustment</t>
  </si>
  <si>
    <t>SETTLEMENT DATE</t>
  </si>
  <si>
    <t>Clean Price</t>
  </si>
  <si>
    <t>Dirty Price</t>
  </si>
  <si>
    <t>AccruedInterestDays</t>
  </si>
  <si>
    <t>AccruedInterest</t>
  </si>
  <si>
    <t>Type: Govt/Corp</t>
  </si>
  <si>
    <t>GOVT</t>
  </si>
  <si>
    <t>Quote Price</t>
  </si>
  <si>
    <t>DV01</t>
  </si>
  <si>
    <t>ModifiedDuration</t>
  </si>
  <si>
    <t>IssueDate</t>
  </si>
  <si>
    <t>AccrualStartDate</t>
  </si>
  <si>
    <t>CurveCollection</t>
  </si>
  <si>
    <t>PRICING PARAMETERS</t>
  </si>
  <si>
    <t>ResetRate</t>
  </si>
  <si>
    <t>RESET LOOKUP</t>
  </si>
  <si>
    <t>BOND CASHFLOWS</t>
  </si>
  <si>
    <t>ASW: BOND LEG CASHFLOWS</t>
  </si>
  <si>
    <t>ASW: FUNDING LEG CASHFLOWS</t>
  </si>
  <si>
    <t>Leg1:FixedBond</t>
  </si>
  <si>
    <t>ValuationLag</t>
  </si>
  <si>
    <t>ValuationCalendar</t>
  </si>
  <si>
    <t>ValuationBusinessDayAdjustment</t>
  </si>
  <si>
    <t>NATURAL</t>
  </si>
  <si>
    <t>Tenor</t>
  </si>
  <si>
    <t>CurveIndex</t>
  </si>
  <si>
    <t>1M</t>
  </si>
  <si>
    <t>2M</t>
  </si>
  <si>
    <t>3M</t>
  </si>
  <si>
    <t>6M</t>
  </si>
  <si>
    <t>12M</t>
  </si>
  <si>
    <t>UseCurveIndex</t>
  </si>
  <si>
    <t>FloatFrequency</t>
  </si>
  <si>
    <t>FloatDaycount</t>
  </si>
  <si>
    <t>FloatBusinessDayAdjustment</t>
  </si>
  <si>
    <t>FloatCalendar</t>
  </si>
  <si>
    <t>FloatRollDay</t>
  </si>
  <si>
    <t>FloatFixingLag</t>
  </si>
  <si>
    <t>FloatFirstStubDate</t>
  </si>
  <si>
    <t>FloatLastStubDate</t>
  </si>
  <si>
    <t>FloatStubType</t>
  </si>
  <si>
    <t>FIXING OVERRIDE</t>
  </si>
  <si>
    <t>STUB RATE</t>
  </si>
  <si>
    <t>STUB RATE TABLE</t>
  </si>
  <si>
    <t>STUB RATE FLOAT LEG LVB</t>
  </si>
  <si>
    <t>BOND Z-SPREAD</t>
  </si>
  <si>
    <t>BondName</t>
  </si>
  <si>
    <t>BondPrice</t>
  </si>
  <si>
    <t>Z-Spread</t>
  </si>
  <si>
    <t>AU000XCLWAR9 Govt</t>
  </si>
  <si>
    <t>AUDYC</t>
  </si>
  <si>
    <t>SYB</t>
  </si>
  <si>
    <t>AUD</t>
  </si>
  <si>
    <t>AUDOIS</t>
  </si>
  <si>
    <t>LNB:SYB</t>
  </si>
  <si>
    <t>AUD3ML</t>
  </si>
  <si>
    <t>AUD1ML</t>
  </si>
  <si>
    <t>AUD2ML</t>
  </si>
  <si>
    <t>AUD6ML</t>
  </si>
  <si>
    <t>AUD12ML</t>
  </si>
  <si>
    <t>ACT/365</t>
  </si>
  <si>
    <t>FromAssetSwapToBondCleanPrice</t>
  </si>
  <si>
    <t>PrevCouponDate</t>
  </si>
  <si>
    <t>NextCouponDate</t>
  </si>
  <si>
    <t>NONE</t>
  </si>
  <si>
    <t>Bloomberg Yield</t>
  </si>
  <si>
    <t>Yield Override</t>
  </si>
  <si>
    <t>RBACOR Index</t>
  </si>
  <si>
    <t>ADBB1M CMPN Curncy</t>
  </si>
  <si>
    <t>ADBB2M CMPN Curncy</t>
  </si>
  <si>
    <t>ADBB3M CMPN Curncy</t>
  </si>
  <si>
    <t>ADBB6M CMPN Curncy</t>
  </si>
  <si>
    <t>ADBB12M CMPN Curncy</t>
  </si>
  <si>
    <t>PX_LAST</t>
  </si>
  <si>
    <t>PX_ASK</t>
  </si>
  <si>
    <t>BloombergTicker</t>
  </si>
  <si>
    <t>Field</t>
  </si>
  <si>
    <t>STUB TICKERS</t>
  </si>
  <si>
    <t>BondYield</t>
  </si>
  <si>
    <t>Override ASW Spread (Bps)</t>
  </si>
  <si>
    <t>Asset Swap Spread (Bps)</t>
  </si>
  <si>
    <t>AUD_ASSET_SWAP</t>
  </si>
  <si>
    <t>BondFrequency</t>
  </si>
  <si>
    <t>BondDaycount</t>
  </si>
  <si>
    <t>BondQuoteCleanOrDirty</t>
  </si>
  <si>
    <t>CLEAN</t>
  </si>
  <si>
    <t>FundingAccrualFrequency</t>
  </si>
  <si>
    <t>FundingPaymentFrequency</t>
  </si>
  <si>
    <t>FundingIncludeAccrued</t>
  </si>
  <si>
    <t>AccrualFrequency</t>
  </si>
  <si>
    <t>PaymentFrequency</t>
  </si>
  <si>
    <t>… FIXING INFO</t>
  </si>
  <si>
    <t>RESET RATE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</si>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</sst>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#,##0.000"/>
    <numFmt numFmtId="165" formatCode="0.000000%"/>
    <numFmt numFmtId="166" formatCode="ddd\ d\-mmm\-yy"/>
    <numFmt numFmtId="167" formatCode="#,##0.0000"/>
    <numFmt numFmtId="168" formatCode="ddd\,\ d\-mmm\-yy"/>
    <numFmt numFmtId="169" formatCode="0.00000%"/>
    <numFmt numFmtId="170" formatCode="0.000%"/>
    <numFmt numFmtId="171" formatCode="0.0000%"/>
    <numFmt numFmtId="172" formatCode="#,##0.000000"/>
    <numFmt numFmtId="173" formatCode="_(&quot;$&quot;* #,##0.00_);_(&quot;$&quot;* \(#,##0.00\);_(&quot;$&quot;* &quot;-&quot;??_);_(@_)"/>
    <numFmt numFmtId="174" formatCode="0\ &quot; days&quot;"/>
    <numFmt numFmtId="175" formatCode="mmm\-yyyy"/>
    <numFmt numFmtId="176" formatCode="0.000"/>
    <numFmt numFmtId="177" formatCode="dd/m/yy"/>
    <numFmt numFmtId="178" formatCode="_(&quot;$&quot;* #,##0_);_(&quot;$&quot;* \(#,##0\);_(&quot;$&quot;* &quot;-&quot;_);_(@_)"/>
    <numFmt numFmtId="179" formatCode="0.00_)"/>
    <numFmt numFmtId="180" formatCode="dd\-mmm\-yy;dd\-mmm\-yy;"/>
    <numFmt numFmtId="181" formatCode="_ * #,##0_ ;_ * \-#,##0_ ;_ * &quot;-&quot;_ ;_ @_ "/>
    <numFmt numFmtId="182" formatCode="0.00000"/>
    <numFmt numFmtId="183" formatCode="#,##0.00000"/>
  </numFmts>
  <fonts count="10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8"/>
      <name val="Arial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b/>
      <sz val="11"/>
      <color indexed="9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9"/>
      <color indexed="12"/>
      <name val="Tahoma"/>
      <family val="2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sz val="10"/>
      <name val="Helv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i/>
      <sz val="6"/>
      <name val="Helv"/>
    </font>
    <font>
      <b/>
      <sz val="16"/>
      <color indexed="16"/>
      <name val="Helv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name val="MS Sans Serif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0"/>
      <name val="Helv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sz val="8"/>
      <color indexed="8"/>
      <name val="MS Sans Serif"/>
      <family val="2"/>
    </font>
    <font>
      <b/>
      <i/>
      <sz val="9"/>
      <color indexed="16"/>
      <name val="Verdana"/>
      <family val="2"/>
    </font>
    <font>
      <b/>
      <sz val="8"/>
      <color indexed="14"/>
      <name val="Arial"/>
      <family val="2"/>
    </font>
    <font>
      <b/>
      <sz val="8"/>
      <name val="Tahoma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sz val="10"/>
      <name val="Helv"/>
      <family val="2"/>
    </font>
    <font>
      <b/>
      <i/>
      <sz val="8"/>
      <name val="Helv"/>
    </font>
    <font>
      <sz val="8"/>
      <color indexed="10"/>
      <name val="Helv"/>
    </font>
    <font>
      <b/>
      <sz val="10"/>
      <color indexed="12"/>
      <name val="Tahoma"/>
      <family val="2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indexed="10"/>
      <name val="Calibri"/>
      <family val="2"/>
    </font>
    <font>
      <sz val="11"/>
      <color theme="1"/>
      <name val="Calibri"/>
      <family val="3"/>
      <charset val="128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C00000"/>
      <name val="Calibri"/>
      <family val="2"/>
      <scheme val="minor"/>
    </font>
  </fonts>
  <fills count="1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mediumGray">
        <fgColor indexed="17"/>
      </patternFill>
    </fill>
    <fill>
      <patternFill patternType="solid">
        <fgColor indexed="4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5"/>
      </patternFill>
    </fill>
    <fill>
      <patternFill patternType="solid">
        <fgColor indexed="56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1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5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8443">
    <xf numFmtId="0" fontId="0" fillId="0" borderId="0"/>
    <xf numFmtId="41" fontId="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1" fillId="0" borderId="0">
      <alignment vertical="center"/>
    </xf>
    <xf numFmtId="9" fontId="12" fillId="0" borderId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5" borderId="0" applyNumberFormat="0" applyBorder="0" applyAlignment="0" applyProtection="0"/>
    <xf numFmtId="0" fontId="13" fillId="13" borderId="0" applyNumberFormat="0" applyBorder="0" applyAlignment="0" applyProtection="0"/>
    <xf numFmtId="0" fontId="13" fillId="7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8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7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5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10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8" borderId="0" applyNumberFormat="0" applyBorder="0" applyAlignment="0" applyProtection="0"/>
    <xf numFmtId="0" fontId="14" fillId="29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3" borderId="0" applyNumberFormat="0" applyBorder="0" applyAlignment="0" applyProtection="0"/>
    <xf numFmtId="0" fontId="14" fillId="30" borderId="0" applyNumberFormat="0" applyBorder="0" applyAlignment="0" applyProtection="0"/>
    <xf numFmtId="0" fontId="14" fillId="19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27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1" borderId="0" applyNumberFormat="0" applyBorder="0" applyAlignment="0" applyProtection="0"/>
    <xf numFmtId="0" fontId="14" fillId="29" borderId="0" applyNumberFormat="0" applyBorder="0" applyAlignment="0" applyProtection="0"/>
    <xf numFmtId="0" fontId="14" fillId="37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8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5" fillId="0" borderId="10" applyNumberFormat="0" applyFill="0" applyAlignment="0" applyProtection="0">
      <alignment horizontal="left"/>
    </xf>
    <xf numFmtId="0" fontId="16" fillId="0" borderId="10">
      <protection hidden="1"/>
    </xf>
    <xf numFmtId="0" fontId="17" fillId="40" borderId="0" applyNumberFormat="0" applyFont="0" applyBorder="0" applyAlignment="0" applyProtection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8" fillId="41" borderId="0" applyNumberFormat="0" applyBorder="0" applyAlignment="0" applyProtection="0"/>
    <xf numFmtId="0" fontId="19" fillId="9" borderId="0" applyNumberFormat="0" applyBorder="0" applyAlignment="0" applyProtection="0"/>
    <xf numFmtId="0" fontId="20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21" fillId="42" borderId="0"/>
    <xf numFmtId="0" fontId="22" fillId="43" borderId="0" applyNumberFormat="0" applyFont="0" applyBorder="0" applyAlignment="0" applyProtection="0">
      <alignment horizontal="center"/>
    </xf>
    <xf numFmtId="0" fontId="23" fillId="0" borderId="0">
      <alignment horizontal="right"/>
    </xf>
    <xf numFmtId="170" fontId="24" fillId="44" borderId="0"/>
    <xf numFmtId="0" fontId="25" fillId="45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5" fillId="45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6" fillId="17" borderId="11" applyNumberFormat="0" applyAlignment="0" applyProtection="0"/>
    <xf numFmtId="0" fontId="21" fillId="35" borderId="12" applyNumberFormat="0" applyAlignment="0" applyProtection="0"/>
    <xf numFmtId="0" fontId="21" fillId="46" borderId="12" applyNumberFormat="0" applyAlignment="0" applyProtection="0"/>
    <xf numFmtId="0" fontId="21" fillId="46" borderId="12" applyNumberFormat="0" applyAlignment="0" applyProtection="0"/>
    <xf numFmtId="0" fontId="21" fillId="46" borderId="12" applyNumberFormat="0" applyAlignment="0" applyProtection="0"/>
    <xf numFmtId="0" fontId="27" fillId="0" borderId="10" applyNumberFormat="0" applyBorder="0" applyAlignment="0" applyProtection="0">
      <alignment horizontal="left"/>
    </xf>
    <xf numFmtId="38" fontId="2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0" fontId="29" fillId="0" borderId="0" applyFont="0" applyFill="0" applyBorder="0" applyAlignment="0" applyProtection="0">
      <alignment vertical="center"/>
    </xf>
    <xf numFmtId="40" fontId="29" fillId="0" borderId="0" applyFont="0" applyFill="0" applyBorder="0" applyAlignment="0" applyProtection="0">
      <alignment vertical="center"/>
    </xf>
    <xf numFmtId="40" fontId="29" fillId="0" borderId="0" applyFont="0" applyFill="0" applyBorder="0" applyAlignment="0" applyProtection="0">
      <alignment vertical="center"/>
    </xf>
    <xf numFmtId="40" fontId="29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0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173" fontId="7" fillId="0" borderId="0" applyFont="0" applyFill="0" applyBorder="0" applyAlignment="0" applyProtection="0"/>
    <xf numFmtId="0" fontId="31" fillId="0" borderId="0">
      <alignment horizontal="right"/>
    </xf>
    <xf numFmtId="0" fontId="12" fillId="47" borderId="13" applyNumberFormat="0" applyFont="0" applyBorder="0" applyAlignment="0" applyProtection="0">
      <alignment horizontal="centerContinuous"/>
    </xf>
    <xf numFmtId="0" fontId="32" fillId="48" borderId="0" applyNumberFormat="0" applyBorder="0" applyAlignment="0">
      <alignment horizontal="center"/>
    </xf>
    <xf numFmtId="0" fontId="33" fillId="49" borderId="14">
      <alignment horizontal="center"/>
      <protection locked="0"/>
    </xf>
    <xf numFmtId="15" fontId="34" fillId="50" borderId="15" applyFont="0" applyFill="0" applyBorder="0" applyAlignment="0" applyProtection="0">
      <alignment horizontal="left"/>
    </xf>
    <xf numFmtId="17" fontId="34" fillId="50" borderId="15" applyFont="0" applyFill="0" applyBorder="0" applyAlignment="0" applyProtection="0">
      <alignment horizontal="left"/>
    </xf>
    <xf numFmtId="0" fontId="34" fillId="50" borderId="0">
      <alignment vertical="center"/>
    </xf>
    <xf numFmtId="174" fontId="34" fillId="0" borderId="0" applyFont="0" applyFill="0" applyBorder="0" applyAlignment="0" applyProtection="0"/>
    <xf numFmtId="0" fontId="17" fillId="1" borderId="16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35" borderId="0"/>
    <xf numFmtId="175" fontId="37" fillId="51" borderId="17" applyBorder="0"/>
    <xf numFmtId="0" fontId="10" fillId="20" borderId="16"/>
    <xf numFmtId="0" fontId="10" fillId="20" borderId="16"/>
    <xf numFmtId="0" fontId="10" fillId="20" borderId="16"/>
    <xf numFmtId="0" fontId="10" fillId="20" borderId="16"/>
    <xf numFmtId="176" fontId="38" fillId="45" borderId="0"/>
    <xf numFmtId="0" fontId="39" fillId="52" borderId="16"/>
    <xf numFmtId="175" fontId="37" fillId="0" borderId="16"/>
    <xf numFmtId="175" fontId="37" fillId="53" borderId="16"/>
    <xf numFmtId="175" fontId="37" fillId="54" borderId="18" applyBorder="0"/>
    <xf numFmtId="175" fontId="37" fillId="55" borderId="16"/>
    <xf numFmtId="0" fontId="40" fillId="45" borderId="16"/>
    <xf numFmtId="0" fontId="36" fillId="56" borderId="16"/>
    <xf numFmtId="0" fontId="41" fillId="57" borderId="19" applyBorder="0">
      <alignment horizontal="right"/>
    </xf>
    <xf numFmtId="38" fontId="10" fillId="0" borderId="16"/>
    <xf numFmtId="0" fontId="10" fillId="0" borderId="16"/>
    <xf numFmtId="0" fontId="10" fillId="8" borderId="16"/>
    <xf numFmtId="0" fontId="10" fillId="8" borderId="16"/>
    <xf numFmtId="0" fontId="10" fillId="8" borderId="16"/>
    <xf numFmtId="0" fontId="10" fillId="8" borderId="16"/>
    <xf numFmtId="175" fontId="37" fillId="53" borderId="16"/>
    <xf numFmtId="0" fontId="42" fillId="51" borderId="20">
      <alignment horizontal="center"/>
    </xf>
    <xf numFmtId="175" fontId="37" fillId="45" borderId="16"/>
    <xf numFmtId="0" fontId="43" fillId="58" borderId="0"/>
    <xf numFmtId="0" fontId="44" fillId="0" borderId="0"/>
    <xf numFmtId="0" fontId="45" fillId="0" borderId="0" applyNumberFormat="0" applyFill="0" applyBorder="0" applyAlignment="0" applyProtection="0"/>
    <xf numFmtId="0" fontId="46" fillId="35" borderId="0">
      <alignment horizontal="center"/>
    </xf>
    <xf numFmtId="0" fontId="47" fillId="20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8" fillId="59" borderId="21" applyNumberFormat="0" applyFont="0" applyBorder="0" applyAlignment="0">
      <alignment horizontal="centerContinuous"/>
    </xf>
    <xf numFmtId="0" fontId="49" fillId="18" borderId="16" applyProtection="0">
      <alignment horizontal="center"/>
      <protection locked="0"/>
    </xf>
    <xf numFmtId="0" fontId="50" fillId="0" borderId="22" applyNumberFormat="0" applyFill="0" applyAlignment="0" applyProtection="0"/>
    <xf numFmtId="0" fontId="51" fillId="0" borderId="23" applyNumberFormat="0" applyFill="0" applyAlignment="0" applyProtection="0"/>
    <xf numFmtId="0" fontId="50" fillId="0" borderId="24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2" fillId="0" borderId="25" applyNumberFormat="0" applyFill="0" applyAlignment="0" applyProtection="0"/>
    <xf numFmtId="0" fontId="53" fillId="0" borderId="26" applyNumberFormat="0" applyFill="0" applyAlignment="0" applyProtection="0"/>
    <xf numFmtId="0" fontId="52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3" fillId="0" borderId="26" applyNumberFormat="0" applyFill="0" applyAlignment="0" applyProtection="0"/>
    <xf numFmtId="0" fontId="54" fillId="0" borderId="27" applyNumberFormat="0" applyFill="0" applyAlignment="0" applyProtection="0"/>
    <xf numFmtId="0" fontId="55" fillId="0" borderId="28" applyNumberFormat="0" applyFill="0" applyAlignment="0" applyProtection="0"/>
    <xf numFmtId="0" fontId="54" fillId="0" borderId="29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60" borderId="0" applyNumberFormat="0" applyFont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/>
    <xf numFmtId="0" fontId="59" fillId="23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23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0" fontId="59" fillId="10" borderId="11" applyNumberFormat="0" applyAlignment="0" applyProtection="0"/>
    <xf numFmtId="2" fontId="10" fillId="61" borderId="30" applyNumberFormat="0" applyBorder="0">
      <alignment horizontal="right" vertical="center"/>
    </xf>
    <xf numFmtId="2" fontId="60" fillId="62" borderId="31" applyBorder="0">
      <alignment horizontal="left" vertical="center"/>
    </xf>
    <xf numFmtId="10" fontId="61" fillId="45" borderId="0" applyBorder="0">
      <alignment horizontal="right"/>
      <protection locked="0"/>
    </xf>
    <xf numFmtId="15" fontId="61" fillId="45" borderId="16" applyBorder="0">
      <alignment horizontal="center"/>
      <protection locked="0"/>
    </xf>
    <xf numFmtId="15" fontId="61" fillId="45" borderId="0" applyBorder="0">
      <alignment horizontal="left"/>
      <protection locked="0"/>
    </xf>
    <xf numFmtId="0" fontId="62" fillId="63" borderId="0" applyFont="0" applyFill="0" applyBorder="0" applyAlignment="0" applyProtection="0">
      <alignment horizontal="right" vertical="center"/>
    </xf>
    <xf numFmtId="2" fontId="63" fillId="64" borderId="31" applyNumberFormat="0">
      <alignment horizontal="center" vertical="center"/>
    </xf>
    <xf numFmtId="0" fontId="64" fillId="0" borderId="10" applyNumberFormat="0" applyFill="0" applyBorder="0" applyAlignment="0" applyProtection="0"/>
    <xf numFmtId="177" fontId="65" fillId="18" borderId="21" applyBorder="0">
      <alignment horizontal="left"/>
      <protection locked="0"/>
    </xf>
    <xf numFmtId="177" fontId="65" fillId="18" borderId="32" applyBorder="0">
      <alignment horizontal="right"/>
      <protection locked="0"/>
    </xf>
    <xf numFmtId="0" fontId="66" fillId="0" borderId="33" applyNumberFormat="0" applyFill="0" applyAlignment="0" applyProtection="0"/>
    <xf numFmtId="0" fontId="67" fillId="0" borderId="33" applyNumberFormat="0" applyFill="0" applyAlignment="0" applyProtection="0"/>
    <xf numFmtId="0" fontId="67" fillId="0" borderId="33" applyNumberFormat="0" applyFill="0" applyAlignment="0" applyProtection="0"/>
    <xf numFmtId="0" fontId="67" fillId="0" borderId="33" applyNumberFormat="0" applyFill="0" applyAlignment="0" applyProtection="0"/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68" fillId="45" borderId="34" applyFont="0">
      <alignment horizontal="center" vertical="center"/>
    </xf>
    <xf numFmtId="0" fontId="41" fillId="0" borderId="20"/>
    <xf numFmtId="0" fontId="17" fillId="0" borderId="0"/>
    <xf numFmtId="0" fontId="69" fillId="0" borderId="10">
      <alignment horizontal="left"/>
      <protection locked="0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0" fontId="70" fillId="65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179" fontId="7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>
      <alignment vertical="center"/>
    </xf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8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8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10" fillId="12" borderId="34" applyNumberFormat="0" applyFont="0" applyAlignment="0" applyProtection="0"/>
    <xf numFmtId="0" fontId="73" fillId="0" borderId="10" applyNumberFormat="0" applyFill="0" applyBorder="0" applyAlignment="0" applyProtection="0">
      <alignment horizontal="left"/>
      <protection locked="0"/>
    </xf>
    <xf numFmtId="0" fontId="74" fillId="45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45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4" fillId="17" borderId="35" applyNumberFormat="0" applyAlignment="0" applyProtection="0"/>
    <xf numFmtId="0" fontId="75" fillId="66" borderId="0" applyNumberFormat="0" applyFont="0" applyBorder="0" applyAlignment="0" applyProtection="0"/>
    <xf numFmtId="0" fontId="75" fillId="67" borderId="0" applyNumberFormat="0" applyFont="0" applyBorder="0" applyAlignment="0" applyProtection="0"/>
    <xf numFmtId="0" fontId="75" fillId="68" borderId="0" applyNumberFormat="0" applyFont="0" applyBorder="0" applyAlignment="0" applyProtection="0">
      <alignment horizontal="center"/>
    </xf>
    <xf numFmtId="0" fontId="75" fillId="69" borderId="36" applyNumberFormat="0" applyFont="0" applyBorder="0" applyAlignment="0" applyProtection="0"/>
    <xf numFmtId="0" fontId="75" fillId="70" borderId="36" applyNumberFormat="0" applyFont="0" applyBorder="0" applyAlignment="0"/>
    <xf numFmtId="0" fontId="75" fillId="71" borderId="36" applyNumberFormat="0" applyFont="0" applyBorder="0" applyAlignment="0"/>
    <xf numFmtId="0" fontId="17" fillId="72" borderId="0" applyNumberFormat="0" applyFont="0" applyBorder="0" applyAlignment="0" applyProtection="0">
      <alignment horizontal="center"/>
      <protection hidden="1"/>
    </xf>
    <xf numFmtId="0" fontId="10" fillId="40" borderId="0" applyNumberFormat="0" applyFont="0" applyBorder="0" applyAlignment="0" applyProtection="0">
      <protection hidden="1"/>
    </xf>
    <xf numFmtId="0" fontId="10" fillId="73" borderId="0" applyNumberFormat="0" applyFont="0" applyBorder="0" applyAlignment="0" applyProtection="0">
      <protection hidden="1"/>
    </xf>
    <xf numFmtId="0" fontId="10" fillId="74" borderId="0" applyNumberFormat="0" applyFont="0" applyBorder="0" applyAlignment="0" applyProtection="0">
      <protection hidden="1"/>
    </xf>
    <xf numFmtId="0" fontId="10" fillId="75" borderId="0" applyNumberFormat="0" applyFont="0" applyBorder="0" applyAlignment="0" applyProtection="0">
      <protection hidden="1"/>
    </xf>
    <xf numFmtId="0" fontId="10" fillId="76" borderId="0" applyNumberFormat="0" applyFont="0" applyBorder="0" applyAlignment="0" applyProtection="0">
      <protection hidden="1"/>
    </xf>
    <xf numFmtId="0" fontId="10" fillId="77" borderId="0" applyNumberFormat="0" applyFont="0" applyBorder="0" applyAlignment="0" applyProtection="0">
      <protection hidden="1"/>
    </xf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4" fillId="50" borderId="15" applyFont="0" applyFill="0" applyBorder="0" applyAlignment="0" applyProtection="0">
      <alignment horizontal="left"/>
    </xf>
    <xf numFmtId="0" fontId="76" fillId="0" borderId="37" applyBorder="0"/>
    <xf numFmtId="0" fontId="34" fillId="78" borderId="0" applyFont="0" applyFill="0" applyBorder="0">
      <alignment horizontal="left"/>
    </xf>
    <xf numFmtId="0" fontId="77" fillId="0" borderId="0"/>
    <xf numFmtId="180" fontId="78" fillId="0" borderId="37" applyBorder="0">
      <alignment horizontal="center"/>
      <protection locked="0"/>
    </xf>
    <xf numFmtId="0" fontId="10" fillId="0" borderId="0">
      <alignment horizontal="left" wrapText="1"/>
    </xf>
    <xf numFmtId="0" fontId="10" fillId="0" borderId="0"/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79" fillId="45" borderId="34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 applyNumberFormat="0" applyFill="0" applyBorder="0" applyAlignment="0" applyProtection="0"/>
    <xf numFmtId="0" fontId="10" fillId="45" borderId="16" applyAlignment="0">
      <alignment horizontal="right"/>
    </xf>
    <xf numFmtId="0" fontId="10" fillId="45" borderId="16" applyAlignment="0">
      <alignment horizontal="right"/>
    </xf>
    <xf numFmtId="0" fontId="80" fillId="0" borderId="0"/>
    <xf numFmtId="0" fontId="81" fillId="0" borderId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5" fillId="0" borderId="0">
      <alignment horizontal="center"/>
    </xf>
    <xf numFmtId="0" fontId="86" fillId="17" borderId="10"/>
    <xf numFmtId="0" fontId="87" fillId="0" borderId="38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88" fillId="18" borderId="0" applyNumberFormat="0" applyFont="0" applyBorder="0" applyAlignment="0" applyProtection="0">
      <alignment horizontal="left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181" fontId="10" fillId="0" borderId="0" applyFont="0" applyFill="0" applyBorder="0" applyAlignment="0" applyProtection="0"/>
    <xf numFmtId="0" fontId="28" fillId="0" borderId="0">
      <alignment vertical="center"/>
    </xf>
    <xf numFmtId="0" fontId="90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1" fillId="0" borderId="0" applyNumberFormat="0" applyFill="0" applyBorder="0" applyAlignment="0" applyProtection="0"/>
    <xf numFmtId="0" fontId="92" fillId="0" borderId="46" applyNumberFormat="0" applyFill="0" applyAlignment="0" applyProtection="0"/>
    <xf numFmtId="0" fontId="93" fillId="0" borderId="47" applyNumberFormat="0" applyFill="0" applyAlignment="0" applyProtection="0"/>
    <xf numFmtId="0" fontId="94" fillId="0" borderId="48" applyNumberFormat="0" applyFill="0" applyAlignment="0" applyProtection="0"/>
    <xf numFmtId="0" fontId="94" fillId="0" borderId="0" applyNumberFormat="0" applyFill="0" applyBorder="0" applyAlignment="0" applyProtection="0"/>
    <xf numFmtId="0" fontId="95" fillId="80" borderId="0" applyNumberFormat="0" applyBorder="0" applyAlignment="0" applyProtection="0"/>
    <xf numFmtId="0" fontId="96" fillId="81" borderId="0" applyNumberFormat="0" applyBorder="0" applyAlignment="0" applyProtection="0"/>
    <xf numFmtId="0" fontId="97" fillId="82" borderId="0" applyNumberFormat="0" applyBorder="0" applyAlignment="0" applyProtection="0"/>
    <xf numFmtId="0" fontId="98" fillId="83" borderId="49" applyNumberFormat="0" applyAlignment="0" applyProtection="0"/>
    <xf numFmtId="0" fontId="99" fillId="84" borderId="50" applyNumberFormat="0" applyAlignment="0" applyProtection="0"/>
    <xf numFmtId="0" fontId="100" fillId="84" borderId="49" applyNumberFormat="0" applyAlignment="0" applyProtection="0"/>
    <xf numFmtId="0" fontId="101" fillId="0" borderId="51" applyNumberFormat="0" applyFill="0" applyAlignment="0" applyProtection="0"/>
    <xf numFmtId="0" fontId="1" fillId="85" borderId="52" applyNumberFormat="0" applyAlignment="0" applyProtection="0"/>
    <xf numFmtId="0" fontId="102" fillId="0" borderId="0" applyNumberFormat="0" applyFill="0" applyBorder="0" applyAlignment="0" applyProtection="0"/>
    <xf numFmtId="0" fontId="7" fillId="86" borderId="53" applyNumberFormat="0" applyFont="0" applyAlignment="0" applyProtection="0"/>
    <xf numFmtId="0" fontId="103" fillId="0" borderId="0" applyNumberFormat="0" applyFill="0" applyBorder="0" applyAlignment="0" applyProtection="0"/>
    <xf numFmtId="0" fontId="2" fillId="0" borderId="54" applyNumberFormat="0" applyFill="0" applyAlignment="0" applyProtection="0"/>
    <xf numFmtId="0" fontId="8" fillId="87" borderId="0" applyNumberFormat="0" applyBorder="0" applyAlignment="0" applyProtection="0"/>
    <xf numFmtId="0" fontId="7" fillId="88" borderId="0" applyNumberFormat="0" applyBorder="0" applyAlignment="0" applyProtection="0"/>
    <xf numFmtId="0" fontId="7" fillId="89" borderId="0" applyNumberFormat="0" applyBorder="0" applyAlignment="0" applyProtection="0"/>
    <xf numFmtId="0" fontId="8" fillId="90" borderId="0" applyNumberFormat="0" applyBorder="0" applyAlignment="0" applyProtection="0"/>
    <xf numFmtId="0" fontId="8" fillId="91" borderId="0" applyNumberFormat="0" applyBorder="0" applyAlignment="0" applyProtection="0"/>
    <xf numFmtId="0" fontId="7" fillId="92" borderId="0" applyNumberFormat="0" applyBorder="0" applyAlignment="0" applyProtection="0"/>
    <xf numFmtId="0" fontId="7" fillId="93" borderId="0" applyNumberFormat="0" applyBorder="0" applyAlignment="0" applyProtection="0"/>
    <xf numFmtId="0" fontId="8" fillId="94" borderId="0" applyNumberFormat="0" applyBorder="0" applyAlignment="0" applyProtection="0"/>
    <xf numFmtId="0" fontId="8" fillId="95" borderId="0" applyNumberFormat="0" applyBorder="0" applyAlignment="0" applyProtection="0"/>
    <xf numFmtId="0" fontId="7" fillId="96" borderId="0" applyNumberFormat="0" applyBorder="0" applyAlignment="0" applyProtection="0"/>
    <xf numFmtId="0" fontId="7" fillId="97" borderId="0" applyNumberFormat="0" applyBorder="0" applyAlignment="0" applyProtection="0"/>
    <xf numFmtId="0" fontId="8" fillId="98" borderId="0" applyNumberFormat="0" applyBorder="0" applyAlignment="0" applyProtection="0"/>
    <xf numFmtId="0" fontId="8" fillId="99" borderId="0" applyNumberFormat="0" applyBorder="0" applyAlignment="0" applyProtection="0"/>
    <xf numFmtId="0" fontId="7" fillId="100" borderId="0" applyNumberFormat="0" applyBorder="0" applyAlignment="0" applyProtection="0"/>
    <xf numFmtId="0" fontId="7" fillId="101" borderId="0" applyNumberFormat="0" applyBorder="0" applyAlignment="0" applyProtection="0"/>
    <xf numFmtId="0" fontId="8" fillId="102" borderId="0" applyNumberFormat="0" applyBorder="0" applyAlignment="0" applyProtection="0"/>
    <xf numFmtId="0" fontId="8" fillId="103" borderId="0" applyNumberFormat="0" applyBorder="0" applyAlignment="0" applyProtection="0"/>
    <xf numFmtId="0" fontId="7" fillId="104" borderId="0" applyNumberFormat="0" applyBorder="0" applyAlignment="0" applyProtection="0"/>
    <xf numFmtId="0" fontId="7" fillId="105" borderId="0" applyNumberFormat="0" applyBorder="0" applyAlignment="0" applyProtection="0"/>
    <xf numFmtId="0" fontId="8" fillId="106" borderId="0" applyNumberFormat="0" applyBorder="0" applyAlignment="0" applyProtection="0"/>
    <xf numFmtId="0" fontId="8" fillId="107" borderId="0" applyNumberFormat="0" applyBorder="0" applyAlignment="0" applyProtection="0"/>
    <xf numFmtId="0" fontId="7" fillId="108" borderId="0" applyNumberFormat="0" applyBorder="0" applyAlignment="0" applyProtection="0"/>
    <xf numFmtId="0" fontId="7" fillId="109" borderId="0" applyNumberFormat="0" applyBorder="0" applyAlignment="0" applyProtection="0"/>
    <xf numFmtId="0" fontId="8" fillId="110" borderId="0" applyNumberFormat="0" applyBorder="0" applyAlignment="0" applyProtection="0"/>
    <xf numFmtId="43" fontId="7" fillId="0" borderId="0" applyFont="0" applyFill="0" applyBorder="0" applyAlignment="0" applyProtection="0"/>
    <xf numFmtId="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0" applyFont="1"/>
    <xf numFmtId="164" fontId="3" fillId="0" borderId="0" xfId="0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NumberFormat="1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6" fillId="0" borderId="3" xfId="0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168" fontId="6" fillId="2" borderId="1" xfId="0" applyNumberFormat="1" applyFont="1" applyFill="1" applyBorder="1" applyAlignment="1">
      <alignment horizontal="center" vertical="center"/>
    </xf>
    <xf numFmtId="168" fontId="0" fillId="0" borderId="0" xfId="0" applyNumberFormat="1"/>
    <xf numFmtId="0" fontId="0" fillId="2" borderId="2" xfId="0" applyFont="1" applyFill="1" applyBorder="1" applyAlignment="1">
      <alignment horizontal="left" vertical="center"/>
    </xf>
    <xf numFmtId="167" fontId="6" fillId="0" borderId="1" xfId="0" applyNumberFormat="1" applyFont="1" applyFill="1" applyBorder="1" applyAlignment="1">
      <alignment horizontal="center"/>
    </xf>
    <xf numFmtId="3" fontId="6" fillId="0" borderId="3" xfId="0" applyNumberFormat="1" applyFont="1" applyFill="1" applyBorder="1" applyAlignment="1">
      <alignment horizontal="center" vertical="center"/>
    </xf>
    <xf numFmtId="167" fontId="6" fillId="0" borderId="1" xfId="0" applyNumberFormat="1" applyFont="1" applyFill="1" applyBorder="1" applyAlignment="1">
      <alignment horizontal="center" vertical="center"/>
    </xf>
    <xf numFmtId="167" fontId="0" fillId="3" borderId="2" xfId="0" applyNumberFormat="1" applyFont="1" applyFill="1" applyBorder="1" applyAlignment="1">
      <alignment horizontal="center" vertical="center"/>
    </xf>
    <xf numFmtId="168" fontId="6" fillId="0" borderId="3" xfId="0" applyNumberFormat="1" applyFont="1" applyFill="1" applyBorder="1" applyAlignment="1">
      <alignment horizontal="center" vertical="center"/>
    </xf>
    <xf numFmtId="4" fontId="0" fillId="0" borderId="0" xfId="0" applyNumberFormat="1"/>
    <xf numFmtId="167" fontId="6" fillId="0" borderId="3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68" fontId="2" fillId="0" borderId="0" xfId="0" applyNumberFormat="1" applyFont="1"/>
    <xf numFmtId="3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68" fontId="6" fillId="2" borderId="0" xfId="0" applyNumberFormat="1" applyFont="1" applyFill="1" applyAlignment="1">
      <alignment horizontal="center" vertical="center"/>
    </xf>
    <xf numFmtId="4" fontId="6" fillId="2" borderId="0" xfId="0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171" fontId="6" fillId="2" borderId="0" xfId="0" applyNumberFormat="1" applyFont="1" applyFill="1" applyAlignment="1">
      <alignment horizontal="center" vertical="center"/>
    </xf>
    <xf numFmtId="172" fontId="6" fillId="2" borderId="0" xfId="0" applyNumberFormat="1" applyFont="1" applyFill="1" applyAlignment="1">
      <alignment horizontal="center" vertical="center"/>
    </xf>
    <xf numFmtId="168" fontId="6" fillId="2" borderId="0" xfId="0" applyNumberFormat="1" applyFont="1" applyFill="1"/>
    <xf numFmtId="4" fontId="6" fillId="2" borderId="0" xfId="0" applyNumberFormat="1" applyFont="1" applyFill="1"/>
    <xf numFmtId="3" fontId="6" fillId="2" borderId="0" xfId="0" applyNumberFormat="1" applyFont="1" applyFill="1"/>
    <xf numFmtId="171" fontId="6" fillId="2" borderId="0" xfId="0" applyNumberFormat="1" applyFont="1" applyFill="1"/>
    <xf numFmtId="172" fontId="6" fillId="2" borderId="0" xfId="0" applyNumberFormat="1" applyFont="1" applyFill="1"/>
    <xf numFmtId="168" fontId="6" fillId="2" borderId="0" xfId="0" applyNumberFormat="1" applyFont="1" applyFill="1" applyAlignment="1">
      <alignment horizontal="left" vertical="center"/>
    </xf>
    <xf numFmtId="167" fontId="6" fillId="2" borderId="0" xfId="0" applyNumberFormat="1" applyFont="1" applyFill="1"/>
    <xf numFmtId="167" fontId="6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9" fontId="8" fillId="4" borderId="0" xfId="0" applyNumberFormat="1" applyFont="1" applyFill="1" applyAlignment="1">
      <alignment horizontal="center" vertical="center"/>
    </xf>
    <xf numFmtId="170" fontId="0" fillId="0" borderId="0" xfId="0" applyNumberFormat="1"/>
    <xf numFmtId="0" fontId="0" fillId="0" borderId="0" xfId="0" applyAlignment="1">
      <alignment horizontal="center" vertical="center"/>
    </xf>
    <xf numFmtId="168" fontId="6" fillId="2" borderId="2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69" fontId="0" fillId="0" borderId="0" xfId="0" applyNumberFormat="1"/>
    <xf numFmtId="169" fontId="6" fillId="2" borderId="0" xfId="0" applyNumberFormat="1" applyFont="1" applyFill="1" applyAlignment="1">
      <alignment horizontal="center" vertical="center"/>
    </xf>
    <xf numFmtId="169" fontId="6" fillId="2" borderId="0" xfId="0" applyNumberFormat="1" applyFont="1" applyFill="1"/>
    <xf numFmtId="167" fontId="6" fillId="0" borderId="2" xfId="0" applyNumberFormat="1" applyFont="1" applyBorder="1" applyAlignment="1">
      <alignment horizontal="center" vertical="center"/>
    </xf>
    <xf numFmtId="168" fontId="6" fillId="0" borderId="1" xfId="0" applyNumberFormat="1" applyFont="1" applyFill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0" fontId="6" fillId="2" borderId="0" xfId="0" applyFont="1" applyFill="1"/>
    <xf numFmtId="0" fontId="0" fillId="2" borderId="1" xfId="0" applyFill="1" applyBorder="1"/>
    <xf numFmtId="0" fontId="0" fillId="0" borderId="0" xfId="0"/>
    <xf numFmtId="168" fontId="4" fillId="111" borderId="1" xfId="0" applyNumberFormat="1" applyFont="1" applyFill="1" applyBorder="1" applyAlignment="1">
      <alignment horizontal="center" vertical="center"/>
    </xf>
    <xf numFmtId="168" fontId="4" fillId="0" borderId="1" xfId="0" applyNumberFormat="1" applyFont="1" applyFill="1" applyBorder="1" applyAlignment="1">
      <alignment horizontal="center" vertical="center"/>
    </xf>
    <xf numFmtId="167" fontId="0" fillId="0" borderId="1" xfId="0" applyNumberFormat="1" applyFont="1" applyFill="1" applyBorder="1" applyAlignment="1">
      <alignment horizontal="center" vertical="center"/>
    </xf>
    <xf numFmtId="164" fontId="4" fillId="111" borderId="2" xfId="0" applyNumberFormat="1" applyFont="1" applyFill="1" applyBorder="1" applyAlignment="1">
      <alignment horizontal="center" vertical="center"/>
    </xf>
    <xf numFmtId="166" fontId="4" fillId="111" borderId="1" xfId="0" applyNumberFormat="1" applyFont="1" applyFill="1" applyBorder="1" applyAlignment="1">
      <alignment horizontal="center" vertical="center"/>
    </xf>
    <xf numFmtId="0" fontId="3" fillId="111" borderId="1" xfId="0" applyFont="1" applyFill="1" applyBorder="1" applyAlignment="1">
      <alignment horizontal="center" vertical="center"/>
    </xf>
    <xf numFmtId="166" fontId="4" fillId="111" borderId="9" xfId="0" applyNumberFormat="1" applyFont="1" applyFill="1" applyBorder="1" applyAlignment="1">
      <alignment horizontal="center" vertical="center"/>
    </xf>
    <xf numFmtId="0" fontId="4" fillId="111" borderId="1" xfId="0" applyFont="1" applyFill="1" applyBorder="1" applyAlignment="1">
      <alignment horizontal="center" vertical="center"/>
    </xf>
    <xf numFmtId="167" fontId="4" fillId="111" borderId="1" xfId="0" applyNumberFormat="1" applyFont="1" applyFill="1" applyBorder="1" applyAlignment="1">
      <alignment horizontal="center" vertical="center"/>
    </xf>
    <xf numFmtId="3" fontId="4" fillId="111" borderId="1" xfId="0" applyNumberFormat="1" applyFont="1" applyFill="1" applyBorder="1" applyAlignment="1">
      <alignment horizontal="center" vertical="center"/>
    </xf>
    <xf numFmtId="0" fontId="4" fillId="111" borderId="1" xfId="0" quotePrefix="1" applyFont="1" applyFill="1" applyBorder="1" applyAlignment="1">
      <alignment horizontal="center" vertical="center"/>
    </xf>
    <xf numFmtId="0" fontId="3" fillId="111" borderId="1" xfId="0" applyFont="1" applyFill="1" applyBorder="1" applyAlignment="1">
      <alignment horizontal="center"/>
    </xf>
    <xf numFmtId="15" fontId="4" fillId="111" borderId="1" xfId="0" applyNumberFormat="1" applyFont="1" applyFill="1" applyBorder="1" applyAlignment="1">
      <alignment horizontal="center" vertical="center"/>
    </xf>
    <xf numFmtId="0" fontId="4" fillId="111" borderId="3" xfId="0" applyFont="1" applyFill="1" applyBorder="1" applyAlignment="1">
      <alignment horizontal="center" vertical="center"/>
    </xf>
    <xf numFmtId="168" fontId="6" fillId="111" borderId="1" xfId="0" applyNumberFormat="1" applyFont="1" applyFill="1" applyBorder="1" applyAlignment="1">
      <alignment horizontal="center" vertical="center"/>
    </xf>
    <xf numFmtId="166" fontId="6" fillId="111" borderId="1" xfId="0" applyNumberFormat="1" applyFont="1" applyFill="1" applyBorder="1" applyAlignment="1">
      <alignment horizontal="center" vertical="center"/>
    </xf>
    <xf numFmtId="0" fontId="0" fillId="111" borderId="2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 vertical="center"/>
    </xf>
    <xf numFmtId="169" fontId="3" fillId="0" borderId="1" xfId="0" applyNumberFormat="1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/>
    </xf>
    <xf numFmtId="0" fontId="5" fillId="111" borderId="1" xfId="0" applyFont="1" applyFill="1" applyBorder="1" applyAlignment="1">
      <alignment horizontal="center" vertical="center"/>
    </xf>
    <xf numFmtId="0" fontId="4" fillId="111" borderId="4" xfId="0" applyFont="1" applyFill="1" applyBorder="1" applyAlignment="1">
      <alignment horizontal="center" vertical="center"/>
    </xf>
    <xf numFmtId="15" fontId="6" fillId="111" borderId="1" xfId="0" applyNumberFormat="1" applyFont="1" applyFill="1" applyBorder="1" applyAlignment="1">
      <alignment horizontal="center" vertical="center"/>
    </xf>
    <xf numFmtId="0" fontId="6" fillId="111" borderId="1" xfId="0" applyFont="1" applyFill="1" applyBorder="1" applyAlignment="1">
      <alignment horizontal="center" vertical="center"/>
    </xf>
    <xf numFmtId="165" fontId="6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69" fontId="5" fillId="2" borderId="4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5" fontId="0" fillId="0" borderId="0" xfId="0" applyNumberFormat="1"/>
    <xf numFmtId="169" fontId="6" fillId="79" borderId="1" xfId="0" applyNumberFormat="1" applyFont="1" applyFill="1" applyBorder="1" applyAlignment="1">
      <alignment horizontal="center" vertical="center"/>
    </xf>
    <xf numFmtId="169" fontId="6" fillId="111" borderId="1" xfId="0" applyNumberFormat="1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171" fontId="5" fillId="2" borderId="8" xfId="0" applyNumberFormat="1" applyFont="1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71" fontId="5" fillId="2" borderId="44" xfId="0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171" fontId="5" fillId="2" borderId="6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70" fontId="6" fillId="111" borderId="1" xfId="0" applyNumberFormat="1" applyFont="1" applyFill="1" applyBorder="1" applyAlignment="1">
      <alignment horizontal="center" vertical="center"/>
    </xf>
    <xf numFmtId="168" fontId="6" fillId="3" borderId="2" xfId="0" applyNumberFormat="1" applyFont="1" applyFill="1" applyBorder="1" applyAlignment="1">
      <alignment horizontal="center" vertical="center"/>
    </xf>
    <xf numFmtId="0" fontId="2" fillId="112" borderId="1" xfId="0" applyFont="1" applyFill="1" applyBorder="1" applyAlignment="1">
      <alignment horizontal="center" vertical="center"/>
    </xf>
    <xf numFmtId="169" fontId="3" fillId="3" borderId="55" xfId="0" applyNumberFormat="1" applyFont="1" applyFill="1" applyBorder="1" applyAlignment="1">
      <alignment horizontal="center" vertical="center"/>
    </xf>
    <xf numFmtId="183" fontId="6" fillId="2" borderId="1" xfId="0" applyNumberFormat="1" applyFont="1" applyFill="1" applyBorder="1" applyAlignment="1">
      <alignment horizontal="center" vertical="center"/>
    </xf>
    <xf numFmtId="183" fontId="4" fillId="3" borderId="1" xfId="0" applyNumberFormat="1" applyFont="1" applyFill="1" applyBorder="1" applyAlignment="1">
      <alignment horizontal="center" vertical="center"/>
    </xf>
    <xf numFmtId="0" fontId="0" fillId="113" borderId="1" xfId="0" applyFont="1" applyFill="1" applyBorder="1" applyAlignment="1">
      <alignment horizontal="center" vertical="center"/>
    </xf>
    <xf numFmtId="168" fontId="2" fillId="112" borderId="3" xfId="0" applyNumberFormat="1" applyFont="1" applyFill="1" applyBorder="1" applyAlignment="1">
      <alignment horizontal="center" vertical="center"/>
    </xf>
    <xf numFmtId="167" fontId="3" fillId="112" borderId="1" xfId="0" applyNumberFormat="1" applyFont="1" applyFill="1" applyBorder="1" applyAlignment="1">
      <alignment horizontal="center" vertical="center"/>
    </xf>
    <xf numFmtId="169" fontId="6" fillId="0" borderId="3" xfId="0" applyNumberFormat="1" applyFont="1" applyBorder="1" applyAlignment="1">
      <alignment horizontal="center" vertical="center"/>
    </xf>
    <xf numFmtId="182" fontId="5" fillId="2" borderId="3" xfId="0" applyNumberFormat="1" applyFont="1" applyFill="1" applyBorder="1" applyAlignment="1">
      <alignment horizontal="center" vertical="center"/>
    </xf>
    <xf numFmtId="0" fontId="104" fillId="2" borderId="7" xfId="0" applyFont="1" applyFill="1" applyBorder="1"/>
    <xf numFmtId="0" fontId="104" fillId="2" borderId="8" xfId="0" applyFont="1" applyFill="1" applyBorder="1"/>
    <xf numFmtId="0" fontId="104" fillId="2" borderId="43" xfId="0" applyFont="1" applyFill="1" applyBorder="1"/>
    <xf numFmtId="0" fontId="104" fillId="2" borderId="44" xfId="0" applyFont="1" applyFill="1" applyBorder="1"/>
    <xf numFmtId="0" fontId="104" fillId="2" borderId="5" xfId="0" applyFont="1" applyFill="1" applyBorder="1"/>
    <xf numFmtId="0" fontId="104" fillId="2" borderId="6" xfId="0" applyFont="1" applyFill="1" applyBorder="1"/>
    <xf numFmtId="14" fontId="0" fillId="0" borderId="0" xfId="0" applyNumberFormat="1"/>
    <xf numFmtId="169" fontId="6" fillId="0" borderId="2" xfId="0" applyNumberFormat="1" applyFont="1" applyFill="1" applyBorder="1" applyAlignment="1">
      <alignment horizontal="center"/>
    </xf>
    <xf numFmtId="167" fontId="8" fillId="4" borderId="1" xfId="0" applyNumberFormat="1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5" fontId="4" fillId="111" borderId="1" xfId="0" quotePrefix="1" applyNumberFormat="1" applyFont="1" applyFill="1" applyBorder="1" applyAlignment="1">
      <alignment horizontal="center" vertical="center"/>
    </xf>
  </cellXfs>
  <cellStyles count="8443">
    <cellStyle name="_ADN" xfId="2"/>
    <cellStyle name="_Apollo" xfId="3"/>
    <cellStyle name="_Book2" xfId="4"/>
    <cellStyle name="_Book2_ValuationViewer" xfId="5"/>
    <cellStyle name="_btec" xfId="6"/>
    <cellStyle name="_Composite Page" xfId="7"/>
    <cellStyle name="_Composite Page_Composite Page" xfId="8"/>
    <cellStyle name="_Composite Page_Config" xfId="9"/>
    <cellStyle name="_Config" xfId="10"/>
    <cellStyle name="_Config_apollo_curves" xfId="11"/>
    <cellStyle name="_Config_Apollo_Spread" xfId="12"/>
    <cellStyle name="_config_db" xfId="13"/>
    <cellStyle name="_Cprty" xfId="14"/>
    <cellStyle name="_data" xfId="15"/>
    <cellStyle name="_DISPLAY" xfId="16"/>
    <cellStyle name="_DISPLAY 2" xfId="17"/>
    <cellStyle name="_DISPLAY_121Fut_View" xfId="18"/>
    <cellStyle name="_DISPLAY_121Fut_View 2" xfId="19"/>
    <cellStyle name="_DISPLAY_Apollo" xfId="20"/>
    <cellStyle name="_DISPLAY_AssetSwap" xfId="21"/>
    <cellStyle name="_DISPLAY_Closes" xfId="22"/>
    <cellStyle name="_DISPLAY_Composite Page" xfId="23"/>
    <cellStyle name="_DISPLAY_Config" xfId="24"/>
    <cellStyle name="_DISPLAY_Config_Composite Page" xfId="25"/>
    <cellStyle name="_DISPLAY_Convexity" xfId="26"/>
    <cellStyle name="_DISPLAY_Core" xfId="27"/>
    <cellStyle name="_DISPLAY_Core 2" xfId="28"/>
    <cellStyle name="_DISPLAY_Core_Composite Page" xfId="29"/>
    <cellStyle name="_DISPLAY_Core_Config" xfId="30"/>
    <cellStyle name="_DISPLAY_cp_Closes" xfId="31"/>
    <cellStyle name="_DISPLAY_DISPLAY" xfId="32"/>
    <cellStyle name="_DISPLAY_EOD_Closes" xfId="33"/>
    <cellStyle name="_DISPLAY_EOD_Closes_1" xfId="34"/>
    <cellStyle name="_DISPLAY_EOD_Curve" xfId="35"/>
    <cellStyle name="_DISPLAY_EOD_Curve 2" xfId="36"/>
    <cellStyle name="_DISPLAY_EOD_Curve 3" xfId="37"/>
    <cellStyle name="_DISPLAY_EOD_Curve_Composite Page" xfId="38"/>
    <cellStyle name="_DISPLAY_EOD_Curve_Core" xfId="39"/>
    <cellStyle name="_DISPLAY_EOD_Curve_Core 2" xfId="40"/>
    <cellStyle name="_DISPLAY_EOD_Curve_Futures" xfId="41"/>
    <cellStyle name="_DISPLAY_EOD_Curve_Swaps" xfId="42"/>
    <cellStyle name="_DISPLAY_Futures" xfId="43"/>
    <cellStyle name="_DISPLAY_Futures 2" xfId="44"/>
    <cellStyle name="_DISPLAY_Futures_Composite Page" xfId="45"/>
    <cellStyle name="_DISPLAY_Futures_Config" xfId="46"/>
    <cellStyle name="_DISPLAY_Gamma" xfId="47"/>
    <cellStyle name="_DISPLAY_Gamma_1" xfId="48"/>
    <cellStyle name="_DISPLAY_Gamma_Composite Page" xfId="49"/>
    <cellStyle name="_DISPLAY_Gamma_Core" xfId="50"/>
    <cellStyle name="_DISPLAY_Gamma_Futures" xfId="51"/>
    <cellStyle name="_DISPLAY_Gamma_Futures_1" xfId="52"/>
    <cellStyle name="_DISPLAY_Gamma_Swaps" xfId="53"/>
    <cellStyle name="_DISPLAY_Gamma_Treasuries" xfId="54"/>
    <cellStyle name="_DISPLAY_holidays" xfId="55"/>
    <cellStyle name="_DISPLAY_Real_Time" xfId="56"/>
    <cellStyle name="_DISPLAY_Real-Time" xfId="57"/>
    <cellStyle name="_DISPLAY_Real-Time 2" xfId="58"/>
    <cellStyle name="_DISPLAY_Real-Time_1" xfId="59"/>
    <cellStyle name="_DISPLAY_Real-Time_Composite Page" xfId="60"/>
    <cellStyle name="_DISPLAY_Real-Time_Core" xfId="61"/>
    <cellStyle name="_DISPLAY_Real-Time_Futures" xfId="62"/>
    <cellStyle name="_DISPLAY_Real-Time_Futures_1" xfId="63"/>
    <cellStyle name="_DISPLAY_Real-Time_Swaps" xfId="64"/>
    <cellStyle name="_DISPLAY_Real-Time_Treasuries" xfId="65"/>
    <cellStyle name="_DISPLAY_Sheet1" xfId="66"/>
    <cellStyle name="_DISPLAY_Swaps" xfId="67"/>
    <cellStyle name="_DISPLAY_Swaps 2" xfId="68"/>
    <cellStyle name="_DISPLAY_Swaps_Composite Page" xfId="69"/>
    <cellStyle name="_DISPLAY_Swaps_Config" xfId="70"/>
    <cellStyle name="_DISPLAY_T-Notes" xfId="71"/>
    <cellStyle name="_DISPLAY_T-Notes 2" xfId="72"/>
    <cellStyle name="_DISPLAY_T-Notes_Composite Page" xfId="73"/>
    <cellStyle name="_DISPLAY_T-Notes_Config" xfId="74"/>
    <cellStyle name="_DISPLAY_ToDo" xfId="75"/>
    <cellStyle name="_DISPLAY_ToDo 2" xfId="76"/>
    <cellStyle name="_DISPLAY_ToDoList" xfId="77"/>
    <cellStyle name="_DISPLAY_ToDoList 2" xfId="78"/>
    <cellStyle name="_DISPLAY_Treasuries" xfId="79"/>
    <cellStyle name="_DISPLAY_Treasuries 2" xfId="80"/>
    <cellStyle name="_DISPLAY_Treasuries_Composite Page" xfId="81"/>
    <cellStyle name="_DISPLAY_Treasuries_Config" xfId="82"/>
    <cellStyle name="_FRA_Map" xfId="83"/>
    <cellStyle name="_FRA_Map 2" xfId="84"/>
    <cellStyle name="_FRA_Map_121Fut_View" xfId="85"/>
    <cellStyle name="_FRA_Map_121Fut_View 2" xfId="86"/>
    <cellStyle name="_FRA_Map_Apollo" xfId="87"/>
    <cellStyle name="_FRA_Map_AssetSwap" xfId="88"/>
    <cellStyle name="_FRA_Map_Closes" xfId="89"/>
    <cellStyle name="_FRA_Map_Composite Page" xfId="90"/>
    <cellStyle name="_FRA_Map_Config" xfId="91"/>
    <cellStyle name="_FRA_Map_Config_Composite Page" xfId="92"/>
    <cellStyle name="_FRA_Map_Convexity" xfId="93"/>
    <cellStyle name="_FRA_Map_Core" xfId="94"/>
    <cellStyle name="_FRA_Map_Core 2" xfId="95"/>
    <cellStyle name="_FRA_Map_Core_Composite Page" xfId="96"/>
    <cellStyle name="_FRA_Map_Core_Config" xfId="97"/>
    <cellStyle name="_FRA_Map_cp_Closes" xfId="98"/>
    <cellStyle name="_FRA_Map_DISPLAY" xfId="99"/>
    <cellStyle name="_FRA_Map_EOD_Closes" xfId="100"/>
    <cellStyle name="_FRA_Map_EOD_Closes_1" xfId="101"/>
    <cellStyle name="_FRA_Map_EOD_Curve" xfId="102"/>
    <cellStyle name="_FRA_Map_EOD_Curve 2" xfId="103"/>
    <cellStyle name="_FRA_Map_EOD_Curve 3" xfId="104"/>
    <cellStyle name="_FRA_Map_EOD_Curve_Composite Page" xfId="105"/>
    <cellStyle name="_FRA_Map_EOD_Curve_Core" xfId="106"/>
    <cellStyle name="_FRA_Map_EOD_Curve_Core 2" xfId="107"/>
    <cellStyle name="_FRA_Map_EOD_Curve_Futures" xfId="108"/>
    <cellStyle name="_FRA_Map_EOD_Curve_Swaps" xfId="109"/>
    <cellStyle name="_FRA_Map_Futures" xfId="110"/>
    <cellStyle name="_FRA_Map_Futures 2" xfId="111"/>
    <cellStyle name="_FRA_Map_Futures_Composite Page" xfId="112"/>
    <cellStyle name="_FRA_Map_Futures_Config" xfId="113"/>
    <cellStyle name="_FRA_Map_Gamma" xfId="114"/>
    <cellStyle name="_FRA_Map_Gamma_1" xfId="115"/>
    <cellStyle name="_FRA_Map_Gamma_Composite Page" xfId="116"/>
    <cellStyle name="_FRA_Map_Gamma_Core" xfId="117"/>
    <cellStyle name="_FRA_Map_Gamma_Futures" xfId="118"/>
    <cellStyle name="_FRA_Map_Gamma_Futures_1" xfId="119"/>
    <cellStyle name="_FRA_Map_Gamma_Swaps" xfId="120"/>
    <cellStyle name="_FRA_Map_Gamma_Treasuries" xfId="121"/>
    <cellStyle name="_FRA_Map_holidays" xfId="122"/>
    <cellStyle name="_FRA_Map_Real_Time" xfId="123"/>
    <cellStyle name="_FRA_Map_Real-Time" xfId="124"/>
    <cellStyle name="_FRA_Map_Real-Time 2" xfId="125"/>
    <cellStyle name="_FRA_Map_Real-Time_1" xfId="126"/>
    <cellStyle name="_FRA_Map_Real-Time_Composite Page" xfId="127"/>
    <cellStyle name="_FRA_Map_Real-Time_Core" xfId="128"/>
    <cellStyle name="_FRA_Map_Real-Time_Futures" xfId="129"/>
    <cellStyle name="_FRA_Map_Real-Time_Futures_1" xfId="130"/>
    <cellStyle name="_FRA_Map_Real-Time_Swaps" xfId="131"/>
    <cellStyle name="_FRA_Map_Real-Time_Treasuries" xfId="132"/>
    <cellStyle name="_FRA_Map_Sheet1" xfId="133"/>
    <cellStyle name="_FRA_Map_Swaps" xfId="134"/>
    <cellStyle name="_FRA_Map_Swaps 2" xfId="135"/>
    <cellStyle name="_FRA_Map_Swaps_Composite Page" xfId="136"/>
    <cellStyle name="_FRA_Map_Swaps_Config" xfId="137"/>
    <cellStyle name="_FRA_Map_T-Notes" xfId="138"/>
    <cellStyle name="_FRA_Map_T-Notes 2" xfId="139"/>
    <cellStyle name="_FRA_Map_T-Notes_Composite Page" xfId="140"/>
    <cellStyle name="_FRA_Map_T-Notes_Config" xfId="141"/>
    <cellStyle name="_FRA_Map_ToDo" xfId="142"/>
    <cellStyle name="_FRA_Map_ToDo 2" xfId="143"/>
    <cellStyle name="_FRA_Map_ToDoList" xfId="144"/>
    <cellStyle name="_FRA_Map_ToDoList 2" xfId="145"/>
    <cellStyle name="_FRA_Map_Treasuries" xfId="146"/>
    <cellStyle name="_FRA_Map_Treasuries 2" xfId="147"/>
    <cellStyle name="_FRA_Map_Treasuries_Composite Page" xfId="148"/>
    <cellStyle name="_FRA_Map_Treasuries_Config" xfId="149"/>
    <cellStyle name="_Front" xfId="150"/>
    <cellStyle name="_Front_ADN" xfId="151"/>
    <cellStyle name="_Front_ImportBonds" xfId="152"/>
    <cellStyle name="_Front_Sheet1" xfId="153"/>
    <cellStyle name="_Front_Today" xfId="154"/>
    <cellStyle name="_Front_Yesterday" xfId="155"/>
    <cellStyle name="_Futures" xfId="156"/>
    <cellStyle name="_Gamma" xfId="157"/>
    <cellStyle name="_Gamma 2" xfId="158"/>
    <cellStyle name="_Gamma_Composite Page" xfId="159"/>
    <cellStyle name="_Gamma_Config" xfId="160"/>
    <cellStyle name="_Home" xfId="161"/>
    <cellStyle name="_Home 2" xfId="162"/>
    <cellStyle name="_Home_Composite Page" xfId="163"/>
    <cellStyle name="_Home_Config" xfId="164"/>
    <cellStyle name="_Hong Kong" xfId="165"/>
    <cellStyle name="_ImportBonds" xfId="166"/>
    <cellStyle name="_London" xfId="167"/>
    <cellStyle name="_London 2" xfId="168"/>
    <cellStyle name="_London_Composite Page" xfId="169"/>
    <cellStyle name="_London_Config" xfId="170"/>
    <cellStyle name="_LynxTrader" xfId="171"/>
    <cellStyle name="_LynxTrader_LynxTrader" xfId="172"/>
    <cellStyle name="_LynxTrader_Trade" xfId="173"/>
    <cellStyle name="_LynxTrader_Vector Editor" xfId="174"/>
    <cellStyle name="_Main" xfId="175"/>
    <cellStyle name="_manual" xfId="176"/>
    <cellStyle name="_manual_ADN" xfId="177"/>
    <cellStyle name="_manual_ImportBonds" xfId="178"/>
    <cellStyle name="_manual_Sheet1" xfId="179"/>
    <cellStyle name="_manual_Today" xfId="180"/>
    <cellStyle name="_manual_Yesterday" xfId="181"/>
    <cellStyle name="_New York" xfId="182"/>
    <cellStyle name="_NoteFuts" xfId="183"/>
    <cellStyle name="_Past 10 yr" xfId="184"/>
    <cellStyle name="_Past 10 yr 2" xfId="185"/>
    <cellStyle name="_Past 10 yr_Composite Page" xfId="186"/>
    <cellStyle name="_Past 10 yr_Config" xfId="187"/>
    <cellStyle name="_PnL" xfId="188"/>
    <cellStyle name="_PnL 2" xfId="189"/>
    <cellStyle name="_PnL Predictor" xfId="190"/>
    <cellStyle name="_PnL Predictor 2" xfId="191"/>
    <cellStyle name="_PnL Predictor_Composite Page" xfId="192"/>
    <cellStyle name="_PnL Predictor_Config" xfId="193"/>
    <cellStyle name="_PnL_Composite Page" xfId="194"/>
    <cellStyle name="_PnL_Config" xfId="195"/>
    <cellStyle name="_Positions" xfId="196"/>
    <cellStyle name="_Repo Blotter" xfId="197"/>
    <cellStyle name="_Repo Blotter_ADN" xfId="198"/>
    <cellStyle name="_Repo Blotter_ImportBonds" xfId="199"/>
    <cellStyle name="_Repo Blotter_Sheet1" xfId="200"/>
    <cellStyle name="_Repo Blotter_Today" xfId="201"/>
    <cellStyle name="_Repo Blotter_Yesterday" xfId="202"/>
    <cellStyle name="_Setup" xfId="203"/>
    <cellStyle name="_Setup_ADN" xfId="204"/>
    <cellStyle name="_Setup_ImportBonds" xfId="205"/>
    <cellStyle name="_Setup_Sheet1" xfId="206"/>
    <cellStyle name="_Setup_Today" xfId="207"/>
    <cellStyle name="_Setup_Yesterday" xfId="208"/>
    <cellStyle name="_Sheet1" xfId="209"/>
    <cellStyle name="_Strip_ZCurve" xfId="210"/>
    <cellStyle name="_Strip_ZCurve 2" xfId="211"/>
    <cellStyle name="_Strip_ZCurve_121Fut_View" xfId="212"/>
    <cellStyle name="_Strip_ZCurve_121Fut_View 2" xfId="213"/>
    <cellStyle name="_Strip_ZCurve_Apollo" xfId="214"/>
    <cellStyle name="_Strip_ZCurve_AssetSwap" xfId="215"/>
    <cellStyle name="_Strip_ZCurve_Closes" xfId="216"/>
    <cellStyle name="_Strip_ZCurve_Composite Page" xfId="217"/>
    <cellStyle name="_Strip_ZCurve_Config" xfId="218"/>
    <cellStyle name="_Strip_ZCurve_Config_Composite Page" xfId="219"/>
    <cellStyle name="_Strip_ZCurve_Convexity" xfId="220"/>
    <cellStyle name="_Strip_ZCurve_Core" xfId="221"/>
    <cellStyle name="_Strip_ZCurve_Core 2" xfId="222"/>
    <cellStyle name="_Strip_ZCurve_Core_Composite Page" xfId="223"/>
    <cellStyle name="_Strip_ZCurve_Core_Config" xfId="224"/>
    <cellStyle name="_Strip_ZCurve_cp_Closes" xfId="225"/>
    <cellStyle name="_Strip_ZCurve_DISPLAY" xfId="226"/>
    <cellStyle name="_Strip_ZCurve_EOD_Closes" xfId="227"/>
    <cellStyle name="_Strip_ZCurve_EOD_Closes_1" xfId="228"/>
    <cellStyle name="_Strip_ZCurve_EOD_Curve" xfId="229"/>
    <cellStyle name="_Strip_ZCurve_EOD_Curve 2" xfId="230"/>
    <cellStyle name="_Strip_ZCurve_EOD_Curve 3" xfId="231"/>
    <cellStyle name="_Strip_ZCurve_EOD_Curve_Composite Page" xfId="232"/>
    <cellStyle name="_Strip_ZCurve_EOD_Curve_Core" xfId="233"/>
    <cellStyle name="_Strip_ZCurve_EOD_Curve_Core 2" xfId="234"/>
    <cellStyle name="_Strip_ZCurve_EOD_Curve_Futures" xfId="235"/>
    <cellStyle name="_Strip_ZCurve_EOD_Curve_Swaps" xfId="236"/>
    <cellStyle name="_Strip_ZCurve_Futures" xfId="237"/>
    <cellStyle name="_Strip_ZCurve_Futures 2" xfId="238"/>
    <cellStyle name="_Strip_ZCurve_Futures_Composite Page" xfId="239"/>
    <cellStyle name="_Strip_ZCurve_Futures_Config" xfId="240"/>
    <cellStyle name="_Strip_ZCurve_Gamma" xfId="241"/>
    <cellStyle name="_Strip_ZCurve_Gamma_1" xfId="242"/>
    <cellStyle name="_Strip_ZCurve_Gamma_Composite Page" xfId="243"/>
    <cellStyle name="_Strip_ZCurve_Gamma_Core" xfId="244"/>
    <cellStyle name="_Strip_ZCurve_Gamma_Futures" xfId="245"/>
    <cellStyle name="_Strip_ZCurve_Gamma_Futures_1" xfId="246"/>
    <cellStyle name="_Strip_ZCurve_Gamma_Swaps" xfId="247"/>
    <cellStyle name="_Strip_ZCurve_Gamma_Treasuries" xfId="248"/>
    <cellStyle name="_Strip_ZCurve_holidays" xfId="249"/>
    <cellStyle name="_Strip_ZCurve_Real_Time" xfId="250"/>
    <cellStyle name="_Strip_ZCurve_Real-Time" xfId="251"/>
    <cellStyle name="_Strip_ZCurve_Real-Time 2" xfId="252"/>
    <cellStyle name="_Strip_ZCurve_Real-Time_1" xfId="253"/>
    <cellStyle name="_Strip_ZCurve_Real-Time_Composite Page" xfId="254"/>
    <cellStyle name="_Strip_ZCurve_Real-Time_Core" xfId="255"/>
    <cellStyle name="_Strip_ZCurve_Real-Time_Futures" xfId="256"/>
    <cellStyle name="_Strip_ZCurve_Real-Time_Futures_1" xfId="257"/>
    <cellStyle name="_Strip_ZCurve_Real-Time_Swaps" xfId="258"/>
    <cellStyle name="_Strip_ZCurve_Real-Time_Treasuries" xfId="259"/>
    <cellStyle name="_Strip_ZCurve_Sheet1" xfId="260"/>
    <cellStyle name="_Strip_ZCurve_Swaps" xfId="261"/>
    <cellStyle name="_Strip_ZCurve_Swaps 2" xfId="262"/>
    <cellStyle name="_Strip_ZCurve_Swaps_Composite Page" xfId="263"/>
    <cellStyle name="_Strip_ZCurve_Swaps_Config" xfId="264"/>
    <cellStyle name="_Strip_ZCurve_T-Notes" xfId="265"/>
    <cellStyle name="_Strip_ZCurve_T-Notes 2" xfId="266"/>
    <cellStyle name="_Strip_ZCurve_T-Notes_Composite Page" xfId="267"/>
    <cellStyle name="_Strip_ZCurve_T-Notes_Config" xfId="268"/>
    <cellStyle name="_Strip_ZCurve_ToDo" xfId="269"/>
    <cellStyle name="_Strip_ZCurve_ToDo 2" xfId="270"/>
    <cellStyle name="_Strip_ZCurve_ToDoList" xfId="271"/>
    <cellStyle name="_Strip_ZCurve_ToDoList 2" xfId="272"/>
    <cellStyle name="_Strip_ZCurve_Treasuries" xfId="273"/>
    <cellStyle name="_Strip_ZCurve_Treasuries 2" xfId="274"/>
    <cellStyle name="_Strip_ZCurve_Treasuries_Composite Page" xfId="275"/>
    <cellStyle name="_Strip_ZCurve_Treasuries_Config" xfId="276"/>
    <cellStyle name="_Summary" xfId="277"/>
    <cellStyle name="_Summary 2" xfId="278"/>
    <cellStyle name="_Summary_Composite Page" xfId="279"/>
    <cellStyle name="_Summary_Config" xfId="280"/>
    <cellStyle name="_Today" xfId="281"/>
    <cellStyle name="_Trade Blotter" xfId="282"/>
    <cellStyle name="_Treasuries" xfId="283"/>
    <cellStyle name="_Treasuries 2" xfId="284"/>
    <cellStyle name="_Treasuries_Composite Page" xfId="285"/>
    <cellStyle name="_Treasuries_Config" xfId="286"/>
    <cellStyle name="_Turn" xfId="287"/>
    <cellStyle name="_Turn 2" xfId="288"/>
    <cellStyle name="_Turn_121Fut_View" xfId="289"/>
    <cellStyle name="_Turn_121Fut_View 2" xfId="290"/>
    <cellStyle name="_Turn_Apollo" xfId="291"/>
    <cellStyle name="_Turn_apollo_curves" xfId="292"/>
    <cellStyle name="_Turn_Apollo_Spread" xfId="293"/>
    <cellStyle name="_Turn_AssetSwap" xfId="294"/>
    <cellStyle name="_Turn_Composite Page" xfId="295"/>
    <cellStyle name="_Turn_Config" xfId="296"/>
    <cellStyle name="_Turn_Config_Composite Page" xfId="297"/>
    <cellStyle name="_Turn_Convexity" xfId="298"/>
    <cellStyle name="_Turn_Core" xfId="299"/>
    <cellStyle name="_Turn_Core 2" xfId="300"/>
    <cellStyle name="_Turn_Core_Composite Page" xfId="301"/>
    <cellStyle name="_Turn_Core_Config" xfId="302"/>
    <cellStyle name="_Turn_cp_Closes" xfId="303"/>
    <cellStyle name="_Turn_DISPLAY" xfId="304"/>
    <cellStyle name="_Turn_EOD_Closes" xfId="305"/>
    <cellStyle name="_Turn_EOD_Curve" xfId="306"/>
    <cellStyle name="_Turn_EOD_Curve 2" xfId="307"/>
    <cellStyle name="_Turn_EOD_Curve 3" xfId="308"/>
    <cellStyle name="_Turn_EOD_Curve_Composite Page" xfId="309"/>
    <cellStyle name="_Turn_EOD_Curve_Core" xfId="310"/>
    <cellStyle name="_Turn_EOD_Curve_Core 2" xfId="311"/>
    <cellStyle name="_Turn_EOD_Curve_Futures" xfId="312"/>
    <cellStyle name="_Turn_EOD_Curve_Swaps" xfId="313"/>
    <cellStyle name="_Turn_Futures" xfId="314"/>
    <cellStyle name="_Turn_Futures 2" xfId="315"/>
    <cellStyle name="_Turn_Futures_Composite Page" xfId="316"/>
    <cellStyle name="_Turn_Futures_Config" xfId="317"/>
    <cellStyle name="_Turn_Gamma" xfId="318"/>
    <cellStyle name="_Turn_Gamma_1" xfId="319"/>
    <cellStyle name="_Turn_Gamma_Composite Page" xfId="320"/>
    <cellStyle name="_Turn_Gamma_Core" xfId="321"/>
    <cellStyle name="_Turn_Gamma_Futures" xfId="322"/>
    <cellStyle name="_Turn_Gamma_Futures_1" xfId="323"/>
    <cellStyle name="_Turn_Gamma_Swaps" xfId="324"/>
    <cellStyle name="_Turn_Gamma_Treasuries" xfId="325"/>
    <cellStyle name="_Turn_holidays" xfId="326"/>
    <cellStyle name="_Turn_Real_Time" xfId="327"/>
    <cellStyle name="_Turn_Real-Time" xfId="328"/>
    <cellStyle name="_Turn_Real-Time 2" xfId="329"/>
    <cellStyle name="_Turn_Real-Time_1" xfId="330"/>
    <cellStyle name="_Turn_Real-Time_Composite Page" xfId="331"/>
    <cellStyle name="_Turn_Real-Time_Core" xfId="332"/>
    <cellStyle name="_Turn_Real-Time_Futures" xfId="333"/>
    <cellStyle name="_Turn_Real-Time_Futures_1" xfId="334"/>
    <cellStyle name="_Turn_Real-Time_Swaps" xfId="335"/>
    <cellStyle name="_Turn_Real-Time_Treasuries" xfId="336"/>
    <cellStyle name="_Turn_Swaps" xfId="337"/>
    <cellStyle name="_Turn_Swaps 2" xfId="338"/>
    <cellStyle name="_Turn_Swaps_Composite Page" xfId="339"/>
    <cellStyle name="_Turn_Swaps_Config" xfId="340"/>
    <cellStyle name="_Turn_T-Notes" xfId="341"/>
    <cellStyle name="_Turn_T-Notes 2" xfId="342"/>
    <cellStyle name="_Turn_T-Notes_Composite Page" xfId="343"/>
    <cellStyle name="_Turn_T-Notes_Config" xfId="344"/>
    <cellStyle name="_Turn_ToDo" xfId="345"/>
    <cellStyle name="_Turn_ToDo 2" xfId="346"/>
    <cellStyle name="_Turn_ToDoList" xfId="347"/>
    <cellStyle name="_Turn_ToDoList 2" xfId="348"/>
    <cellStyle name="_Turn_Treasuries" xfId="349"/>
    <cellStyle name="_Turn_Treasuries 2" xfId="350"/>
    <cellStyle name="_Turn_Treasuries_Composite Page" xfId="351"/>
    <cellStyle name="_Turn_Treasuries_Config" xfId="352"/>
    <cellStyle name="_ValuationViewer" xfId="353"/>
    <cellStyle name="_ValuationViewer_ValuationViewer" xfId="354"/>
    <cellStyle name="_Yesterday" xfId="355"/>
    <cellStyle name="=C:\WINNT35\SYSTEM32\COMMAND.COM" xfId="356"/>
    <cellStyle name="0.0000%" xfId="357"/>
    <cellStyle name="20% - Accent1" xfId="7641" builtinId="30" customBuiltin="1"/>
    <cellStyle name="20% - Accent1 2" xfId="358"/>
    <cellStyle name="20% - Accent1 2 2" xfId="359"/>
    <cellStyle name="20% - Accent1 3" xfId="360"/>
    <cellStyle name="20% - Accent1 4" xfId="361"/>
    <cellStyle name="20% - Accent1 5" xfId="362"/>
    <cellStyle name="20% - Accent1 6" xfId="363"/>
    <cellStyle name="20% - Accent2" xfId="7645" builtinId="34" customBuiltin="1"/>
    <cellStyle name="20% - Accent2 2" xfId="364"/>
    <cellStyle name="20% - Accent2 2 2" xfId="365"/>
    <cellStyle name="20% - Accent2 3" xfId="366"/>
    <cellStyle name="20% - Accent2 4" xfId="367"/>
    <cellStyle name="20% - Accent2 5" xfId="368"/>
    <cellStyle name="20% - Accent2 6" xfId="369"/>
    <cellStyle name="20% - Accent3" xfId="7649" builtinId="38" customBuiltin="1"/>
    <cellStyle name="20% - Accent3 2" xfId="370"/>
    <cellStyle name="20% - Accent3 2 2" xfId="371"/>
    <cellStyle name="20% - Accent3 3" xfId="372"/>
    <cellStyle name="20% - Accent3 4" xfId="373"/>
    <cellStyle name="20% - Accent3 5" xfId="374"/>
    <cellStyle name="20% - Accent3 6" xfId="375"/>
    <cellStyle name="20% - Accent4" xfId="7653" builtinId="42" customBuiltin="1"/>
    <cellStyle name="20% - Accent4 2" xfId="376"/>
    <cellStyle name="20% - Accent4 2 2" xfId="377"/>
    <cellStyle name="20% - Accent4 3" xfId="378"/>
    <cellStyle name="20% - Accent4 4" xfId="379"/>
    <cellStyle name="20% - Accent4 5" xfId="380"/>
    <cellStyle name="20% - Accent4 6" xfId="381"/>
    <cellStyle name="20% - Accent5" xfId="7657" builtinId="46" customBuiltin="1"/>
    <cellStyle name="20% - Accent5 2" xfId="382"/>
    <cellStyle name="20% - Accent5 2 2" xfId="383"/>
    <cellStyle name="20% - Accent5 3" xfId="384"/>
    <cellStyle name="20% - Accent5 4" xfId="385"/>
    <cellStyle name="20% - Accent6" xfId="7661" builtinId="50" customBuiltin="1"/>
    <cellStyle name="20% - Accent6 2" xfId="386"/>
    <cellStyle name="20% - Accent6 2 2" xfId="387"/>
    <cellStyle name="20% - Accent6 3" xfId="388"/>
    <cellStyle name="20% - Accent6 4" xfId="389"/>
    <cellStyle name="40% - Accent1" xfId="7642" builtinId="31" customBuiltin="1"/>
    <cellStyle name="40% - Accent1 2" xfId="390"/>
    <cellStyle name="40% - Accent1 2 2" xfId="391"/>
    <cellStyle name="40% - Accent1 3" xfId="392"/>
    <cellStyle name="40% - Accent1 4" xfId="393"/>
    <cellStyle name="40% - Accent1 5" xfId="394"/>
    <cellStyle name="40% - Accent1 6" xfId="395"/>
    <cellStyle name="40% - Accent2" xfId="7646" builtinId="35" customBuiltin="1"/>
    <cellStyle name="40% - Accent2 2" xfId="396"/>
    <cellStyle name="40% - Accent2 2 2" xfId="397"/>
    <cellStyle name="40% - Accent2 3" xfId="398"/>
    <cellStyle name="40% - Accent2 4" xfId="399"/>
    <cellStyle name="40% - Accent3" xfId="7650" builtinId="39" customBuiltin="1"/>
    <cellStyle name="40% - Accent3 2" xfId="400"/>
    <cellStyle name="40% - Accent3 2 2" xfId="401"/>
    <cellStyle name="40% - Accent3 3" xfId="402"/>
    <cellStyle name="40% - Accent3 4" xfId="403"/>
    <cellStyle name="40% - Accent3 5" xfId="404"/>
    <cellStyle name="40% - Accent3 6" xfId="405"/>
    <cellStyle name="40% - Accent4" xfId="7654" builtinId="43" customBuiltin="1"/>
    <cellStyle name="40% - Accent4 2" xfId="406"/>
    <cellStyle name="40% - Accent4 2 2" xfId="407"/>
    <cellStyle name="40% - Accent4 3" xfId="408"/>
    <cellStyle name="40% - Accent4 4" xfId="409"/>
    <cellStyle name="40% - Accent4 5" xfId="410"/>
    <cellStyle name="40% - Accent4 6" xfId="411"/>
    <cellStyle name="40% - Accent5" xfId="7658" builtinId="47" customBuiltin="1"/>
    <cellStyle name="40% - Accent5 2" xfId="412"/>
    <cellStyle name="40% - Accent5 2 2" xfId="413"/>
    <cellStyle name="40% - Accent5 3" xfId="414"/>
    <cellStyle name="40% - Accent5 4" xfId="415"/>
    <cellStyle name="40% - Accent6" xfId="7662" builtinId="51" customBuiltin="1"/>
    <cellStyle name="40% - Accent6 2" xfId="416"/>
    <cellStyle name="40% - Accent6 2 2" xfId="417"/>
    <cellStyle name="40% - Accent6 3" xfId="418"/>
    <cellStyle name="40% - Accent6 4" xfId="419"/>
    <cellStyle name="40% - Accent6 5" xfId="420"/>
    <cellStyle name="40% - Accent6 6" xfId="421"/>
    <cellStyle name="60% - Accent1" xfId="7643" builtinId="32" customBuiltin="1"/>
    <cellStyle name="60% - Accent1 2" xfId="422"/>
    <cellStyle name="60% - Accent1 2 2" xfId="423"/>
    <cellStyle name="60% - Accent1 3" xfId="424"/>
    <cellStyle name="60% - Accent1 4" xfId="425"/>
    <cellStyle name="60% - Accent1 5" xfId="426"/>
    <cellStyle name="60% - Accent1 6" xfId="427"/>
    <cellStyle name="60% - Accent2" xfId="7647" builtinId="36" customBuiltin="1"/>
    <cellStyle name="60% - Accent2 2" xfId="428"/>
    <cellStyle name="60% - Accent2 2 2" xfId="429"/>
    <cellStyle name="60% - Accent2 3" xfId="430"/>
    <cellStyle name="60% - Accent2 4" xfId="431"/>
    <cellStyle name="60% - Accent3" xfId="7651" builtinId="40" customBuiltin="1"/>
    <cellStyle name="60% - Accent3 2" xfId="432"/>
    <cellStyle name="60% - Accent3 2 2" xfId="433"/>
    <cellStyle name="60% - Accent3 3" xfId="434"/>
    <cellStyle name="60% - Accent3 4" xfId="435"/>
    <cellStyle name="60% - Accent3 5" xfId="436"/>
    <cellStyle name="60% - Accent3 6" xfId="437"/>
    <cellStyle name="60% - Accent4" xfId="7655" builtinId="44" customBuiltin="1"/>
    <cellStyle name="60% - Accent4 2" xfId="438"/>
    <cellStyle name="60% - Accent4 2 2" xfId="439"/>
    <cellStyle name="60% - Accent4 3" xfId="440"/>
    <cellStyle name="60% - Accent4 4" xfId="441"/>
    <cellStyle name="60% - Accent4 5" xfId="442"/>
    <cellStyle name="60% - Accent4 6" xfId="443"/>
    <cellStyle name="60% - Accent5" xfId="7659" builtinId="48" customBuiltin="1"/>
    <cellStyle name="60% - Accent5 2" xfId="444"/>
    <cellStyle name="60% - Accent5 2 2" xfId="445"/>
    <cellStyle name="60% - Accent5 3" xfId="446"/>
    <cellStyle name="60% - Accent5 4" xfId="447"/>
    <cellStyle name="60% - Accent6" xfId="7663" builtinId="52" customBuiltin="1"/>
    <cellStyle name="60% - Accent6 2" xfId="448"/>
    <cellStyle name="60% - Accent6 2 2" xfId="449"/>
    <cellStyle name="60% - Accent6 3" xfId="450"/>
    <cellStyle name="60% - Accent6 4" xfId="451"/>
    <cellStyle name="60% - Accent6 5" xfId="452"/>
    <cellStyle name="60% - Accent6 6" xfId="453"/>
    <cellStyle name="Accent1" xfId="7640" builtinId="29" customBuiltin="1"/>
    <cellStyle name="Accent1 2" xfId="454"/>
    <cellStyle name="Accent1 2 2" xfId="455"/>
    <cellStyle name="Accent1 3" xfId="456"/>
    <cellStyle name="Accent1 4" xfId="457"/>
    <cellStyle name="Accent1 5" xfId="458"/>
    <cellStyle name="Accent1 6" xfId="459"/>
    <cellStyle name="Accent2" xfId="7644" builtinId="33" customBuiltin="1"/>
    <cellStyle name="Accent2 2" xfId="460"/>
    <cellStyle name="Accent2 2 2" xfId="461"/>
    <cellStyle name="Accent2 3" xfId="462"/>
    <cellStyle name="Accent2 4" xfId="463"/>
    <cellStyle name="Accent3" xfId="7648" builtinId="37" customBuiltin="1"/>
    <cellStyle name="Accent3 2" xfId="464"/>
    <cellStyle name="Accent3 2 2" xfId="465"/>
    <cellStyle name="Accent3 3" xfId="466"/>
    <cellStyle name="Accent3 4" xfId="467"/>
    <cellStyle name="Accent4" xfId="7652" builtinId="41" customBuiltin="1"/>
    <cellStyle name="Accent4 2" xfId="468"/>
    <cellStyle name="Accent4 2 2" xfId="469"/>
    <cellStyle name="Accent4 3" xfId="470"/>
    <cellStyle name="Accent4 4" xfId="471"/>
    <cellStyle name="Accent4 5" xfId="472"/>
    <cellStyle name="Accent4 6" xfId="473"/>
    <cellStyle name="Accent5" xfId="7656" builtinId="45" customBuiltin="1"/>
    <cellStyle name="Accent5 2" xfId="474"/>
    <cellStyle name="Accent5 2 2" xfId="475"/>
    <cellStyle name="Accent5 3" xfId="476"/>
    <cellStyle name="Accent5 4" xfId="477"/>
    <cellStyle name="Accent6" xfId="7660" builtinId="49" customBuiltin="1"/>
    <cellStyle name="Accent6 2" xfId="478"/>
    <cellStyle name="Accent6 2 2" xfId="479"/>
    <cellStyle name="Accent6 3" xfId="480"/>
    <cellStyle name="Accent6 4" xfId="481"/>
    <cellStyle name="AppSvrCode" xfId="482"/>
    <cellStyle name="Array" xfId="483"/>
    <cellStyle name="Background" xfId="484"/>
    <cellStyle name="BackGround 2" xfId="485"/>
    <cellStyle name="Background 3" xfId="486"/>
    <cellStyle name="Background 4" xfId="487"/>
    <cellStyle name="Background 5" xfId="488"/>
    <cellStyle name="Background 6" xfId="489"/>
    <cellStyle name="Background 7" xfId="490"/>
    <cellStyle name="Background_apollo_curves" xfId="491"/>
    <cellStyle name="Bad" xfId="7629" builtinId="27" customBuiltin="1"/>
    <cellStyle name="Bad 2" xfId="492"/>
    <cellStyle name="Bad 2 2" xfId="493"/>
    <cellStyle name="Bad 3" xfId="494"/>
    <cellStyle name="Bad 4" xfId="495"/>
    <cellStyle name="Bad 5" xfId="496"/>
    <cellStyle name="Bad 6" xfId="497"/>
    <cellStyle name="blp_column_header" xfId="498"/>
    <cellStyle name="Border" xfId="499"/>
    <cellStyle name="bullet" xfId="500"/>
    <cellStyle name="calc" xfId="501"/>
    <cellStyle name="Calculation" xfId="7633" builtinId="22" customBuiltin="1"/>
    <cellStyle name="Calculation 2" xfId="502"/>
    <cellStyle name="Calculation 2 2" xfId="503"/>
    <cellStyle name="Calculation 2 2 2" xfId="504"/>
    <cellStyle name="Calculation 2 2 2 2" xfId="505"/>
    <cellStyle name="Calculation 2 2 2 2 2" xfId="506"/>
    <cellStyle name="Calculation 2 2 2 2 2 2" xfId="507"/>
    <cellStyle name="Calculation 2 2 2 2 2 2 2" xfId="508"/>
    <cellStyle name="Calculation 2 2 2 2 2 2 2 2" xfId="509"/>
    <cellStyle name="Calculation 2 2 2 2 2 2 2 2 2" xfId="510"/>
    <cellStyle name="Calculation 2 2 2 2 2 2 2 3" xfId="511"/>
    <cellStyle name="Calculation 2 2 2 2 2 2 3" xfId="512"/>
    <cellStyle name="Calculation 2 2 2 2 2 2 3 2" xfId="513"/>
    <cellStyle name="Calculation 2 2 2 2 2 2 4" xfId="514"/>
    <cellStyle name="Calculation 2 2 2 2 2 3" xfId="515"/>
    <cellStyle name="Calculation 2 2 2 2 2 3 2" xfId="516"/>
    <cellStyle name="Calculation 2 2 2 2 2 3 2 2" xfId="517"/>
    <cellStyle name="Calculation 2 2 2 2 2 3 3" xfId="518"/>
    <cellStyle name="Calculation 2 2 2 2 2 3 4" xfId="519"/>
    <cellStyle name="Calculation 2 2 2 2 2 4" xfId="520"/>
    <cellStyle name="Calculation 2 2 2 2 2 4 2" xfId="521"/>
    <cellStyle name="Calculation 2 2 2 2 2 4 2 2" xfId="522"/>
    <cellStyle name="Calculation 2 2 2 2 2 4 3" xfId="523"/>
    <cellStyle name="Calculation 2 2 2 2 2 5" xfId="524"/>
    <cellStyle name="Calculation 2 2 2 2 2 5 2" xfId="525"/>
    <cellStyle name="Calculation 2 2 2 2 2 6" xfId="526"/>
    <cellStyle name="Calculation 2 2 2 2 3" xfId="527"/>
    <cellStyle name="Calculation 2 2 2 2 3 2" xfId="528"/>
    <cellStyle name="Calculation 2 2 2 2 3 2 2" xfId="529"/>
    <cellStyle name="Calculation 2 2 2 2 3 2 2 2" xfId="530"/>
    <cellStyle name="Calculation 2 2 2 2 3 2 2 2 2" xfId="531"/>
    <cellStyle name="Calculation 2 2 2 2 3 2 2 3" xfId="532"/>
    <cellStyle name="Calculation 2 2 2 2 3 2 3" xfId="533"/>
    <cellStyle name="Calculation 2 2 2 2 3 2 3 2" xfId="534"/>
    <cellStyle name="Calculation 2 2 2 2 3 2 4" xfId="535"/>
    <cellStyle name="Calculation 2 2 2 2 3 3" xfId="536"/>
    <cellStyle name="Calculation 2 2 2 2 3 3 2" xfId="537"/>
    <cellStyle name="Calculation 2 2 2 2 3 3 2 2" xfId="538"/>
    <cellStyle name="Calculation 2 2 2 2 3 3 3" xfId="539"/>
    <cellStyle name="Calculation 2 2 2 2 3 3 4" xfId="540"/>
    <cellStyle name="Calculation 2 2 2 2 3 4" xfId="541"/>
    <cellStyle name="Calculation 2 2 2 2 3 4 2" xfId="542"/>
    <cellStyle name="Calculation 2 2 2 2 3 4 2 2" xfId="543"/>
    <cellStyle name="Calculation 2 2 2 2 3 4 3" xfId="544"/>
    <cellStyle name="Calculation 2 2 2 2 3 5" xfId="545"/>
    <cellStyle name="Calculation 2 2 2 2 3 5 2" xfId="546"/>
    <cellStyle name="Calculation 2 2 2 2 3 6" xfId="547"/>
    <cellStyle name="Calculation 2 2 2 2 4" xfId="548"/>
    <cellStyle name="Calculation 2 2 2 2 4 2" xfId="549"/>
    <cellStyle name="Calculation 2 2 2 2 4 2 2" xfId="550"/>
    <cellStyle name="Calculation 2 2 2 2 4 2 2 2" xfId="551"/>
    <cellStyle name="Calculation 2 2 2 2 4 2 2 2 2" xfId="552"/>
    <cellStyle name="Calculation 2 2 2 2 4 2 2 3" xfId="553"/>
    <cellStyle name="Calculation 2 2 2 2 4 2 3" xfId="554"/>
    <cellStyle name="Calculation 2 2 2 2 4 2 3 2" xfId="555"/>
    <cellStyle name="Calculation 2 2 2 2 4 2 4" xfId="556"/>
    <cellStyle name="Calculation 2 2 2 2 4 3" xfId="557"/>
    <cellStyle name="Calculation 2 2 2 2 4 3 2" xfId="558"/>
    <cellStyle name="Calculation 2 2 2 2 4 3 2 2" xfId="559"/>
    <cellStyle name="Calculation 2 2 2 2 4 3 3" xfId="560"/>
    <cellStyle name="Calculation 2 2 2 2 4 3 4" xfId="561"/>
    <cellStyle name="Calculation 2 2 2 2 4 4" xfId="562"/>
    <cellStyle name="Calculation 2 2 2 2 4 4 2" xfId="563"/>
    <cellStyle name="Calculation 2 2 2 2 4 4 2 2" xfId="564"/>
    <cellStyle name="Calculation 2 2 2 2 4 4 3" xfId="565"/>
    <cellStyle name="Calculation 2 2 2 2 4 5" xfId="566"/>
    <cellStyle name="Calculation 2 2 2 2 4 5 2" xfId="567"/>
    <cellStyle name="Calculation 2 2 2 2 4 6" xfId="568"/>
    <cellStyle name="Calculation 2 2 2 2 5" xfId="569"/>
    <cellStyle name="Calculation 2 2 2 2 5 2" xfId="570"/>
    <cellStyle name="Calculation 2 2 2 3" xfId="571"/>
    <cellStyle name="Calculation 2 2 2 3 2" xfId="572"/>
    <cellStyle name="Calculation 2 2 2 3 2 2" xfId="573"/>
    <cellStyle name="Calculation 2 2 2 3 2 2 2" xfId="574"/>
    <cellStyle name="Calculation 2 2 2 3 2 2 2 2" xfId="575"/>
    <cellStyle name="Calculation 2 2 2 3 2 2 3" xfId="576"/>
    <cellStyle name="Calculation 2 2 2 3 2 3" xfId="577"/>
    <cellStyle name="Calculation 2 2 2 3 2 3 2" xfId="578"/>
    <cellStyle name="Calculation 2 2 2 3 2 4" xfId="579"/>
    <cellStyle name="Calculation 2 2 2 3 3" xfId="580"/>
    <cellStyle name="Calculation 2 2 2 3 3 2" xfId="581"/>
    <cellStyle name="Calculation 2 2 2 3 3 2 2" xfId="582"/>
    <cellStyle name="Calculation 2 2 2 3 3 3" xfId="583"/>
    <cellStyle name="Calculation 2 2 2 3 3 4" xfId="584"/>
    <cellStyle name="Calculation 2 2 2 3 4" xfId="585"/>
    <cellStyle name="Calculation 2 2 2 3 4 2" xfId="586"/>
    <cellStyle name="Calculation 2 2 2 3 4 2 2" xfId="587"/>
    <cellStyle name="Calculation 2 2 2 3 4 3" xfId="588"/>
    <cellStyle name="Calculation 2 2 2 3 5" xfId="589"/>
    <cellStyle name="Calculation 2 2 2 3 5 2" xfId="590"/>
    <cellStyle name="Calculation 2 2 2 3 6" xfId="591"/>
    <cellStyle name="Calculation 2 2 2 4" xfId="592"/>
    <cellStyle name="Calculation 2 2 2 4 2" xfId="593"/>
    <cellStyle name="Calculation 2 2 2 4 2 2" xfId="594"/>
    <cellStyle name="Calculation 2 2 2 4 2 2 2" xfId="595"/>
    <cellStyle name="Calculation 2 2 2 4 2 2 2 2" xfId="596"/>
    <cellStyle name="Calculation 2 2 2 4 2 2 3" xfId="597"/>
    <cellStyle name="Calculation 2 2 2 4 2 3" xfId="598"/>
    <cellStyle name="Calculation 2 2 2 4 2 3 2" xfId="599"/>
    <cellStyle name="Calculation 2 2 2 4 2 4" xfId="600"/>
    <cellStyle name="Calculation 2 2 2 4 3" xfId="601"/>
    <cellStyle name="Calculation 2 2 2 4 3 2" xfId="602"/>
    <cellStyle name="Calculation 2 2 2 4 3 2 2" xfId="603"/>
    <cellStyle name="Calculation 2 2 2 4 3 3" xfId="604"/>
    <cellStyle name="Calculation 2 2 2 4 3 4" xfId="605"/>
    <cellStyle name="Calculation 2 2 2 4 4" xfId="606"/>
    <cellStyle name="Calculation 2 2 2 4 4 2" xfId="607"/>
    <cellStyle name="Calculation 2 2 2 4 4 2 2" xfId="608"/>
    <cellStyle name="Calculation 2 2 2 4 4 3" xfId="609"/>
    <cellStyle name="Calculation 2 2 2 4 5" xfId="610"/>
    <cellStyle name="Calculation 2 2 2 4 5 2" xfId="611"/>
    <cellStyle name="Calculation 2 2 2 4 6" xfId="612"/>
    <cellStyle name="Calculation 2 2 2 5" xfId="613"/>
    <cellStyle name="Calculation 2 2 2 5 2" xfId="614"/>
    <cellStyle name="Calculation 2 2 2 5 2 2" xfId="615"/>
    <cellStyle name="Calculation 2 2 2 5 2 2 2" xfId="616"/>
    <cellStyle name="Calculation 2 2 2 5 2 2 2 2" xfId="617"/>
    <cellStyle name="Calculation 2 2 2 5 2 2 3" xfId="618"/>
    <cellStyle name="Calculation 2 2 2 5 2 3" xfId="619"/>
    <cellStyle name="Calculation 2 2 2 5 2 3 2" xfId="620"/>
    <cellStyle name="Calculation 2 2 2 5 2 4" xfId="621"/>
    <cellStyle name="Calculation 2 2 2 5 3" xfId="622"/>
    <cellStyle name="Calculation 2 2 2 5 3 2" xfId="623"/>
    <cellStyle name="Calculation 2 2 2 5 3 2 2" xfId="624"/>
    <cellStyle name="Calculation 2 2 2 5 3 3" xfId="625"/>
    <cellStyle name="Calculation 2 2 2 5 3 4" xfId="626"/>
    <cellStyle name="Calculation 2 2 2 5 4" xfId="627"/>
    <cellStyle name="Calculation 2 2 2 5 4 2" xfId="628"/>
    <cellStyle name="Calculation 2 2 2 5 4 2 2" xfId="629"/>
    <cellStyle name="Calculation 2 2 2 5 4 3" xfId="630"/>
    <cellStyle name="Calculation 2 2 2 5 5" xfId="631"/>
    <cellStyle name="Calculation 2 2 2 5 5 2" xfId="632"/>
    <cellStyle name="Calculation 2 2 2 5 6" xfId="633"/>
    <cellStyle name="Calculation 2 2 3" xfId="634"/>
    <cellStyle name="Calculation 2 2 3 2" xfId="635"/>
    <cellStyle name="Calculation 2 2 3 2 2" xfId="636"/>
    <cellStyle name="Calculation 2 2 3 2 2 2" xfId="637"/>
    <cellStyle name="Calculation 2 2 3 2 2 2 2" xfId="638"/>
    <cellStyle name="Calculation 2 2 3 2 2 2 2 2" xfId="639"/>
    <cellStyle name="Calculation 2 2 3 2 2 2 3" xfId="640"/>
    <cellStyle name="Calculation 2 2 3 2 2 3" xfId="641"/>
    <cellStyle name="Calculation 2 2 3 2 2 3 2" xfId="642"/>
    <cellStyle name="Calculation 2 2 3 2 2 4" xfId="643"/>
    <cellStyle name="Calculation 2 2 3 2 3" xfId="644"/>
    <cellStyle name="Calculation 2 2 3 2 3 2" xfId="645"/>
    <cellStyle name="Calculation 2 2 3 2 3 2 2" xfId="646"/>
    <cellStyle name="Calculation 2 2 3 2 3 3" xfId="647"/>
    <cellStyle name="Calculation 2 2 3 2 3 4" xfId="648"/>
    <cellStyle name="Calculation 2 2 3 2 4" xfId="649"/>
    <cellStyle name="Calculation 2 2 3 2 4 2" xfId="650"/>
    <cellStyle name="Calculation 2 2 3 2 4 2 2" xfId="651"/>
    <cellStyle name="Calculation 2 2 3 2 4 3" xfId="652"/>
    <cellStyle name="Calculation 2 2 3 2 5" xfId="653"/>
    <cellStyle name="Calculation 2 2 3 2 5 2" xfId="654"/>
    <cellStyle name="Calculation 2 2 3 2 6" xfId="655"/>
    <cellStyle name="Calculation 2 2 3 3" xfId="656"/>
    <cellStyle name="Calculation 2 2 3 3 2" xfId="657"/>
    <cellStyle name="Calculation 2 2 3 3 2 2" xfId="658"/>
    <cellStyle name="Calculation 2 2 3 3 2 2 2" xfId="659"/>
    <cellStyle name="Calculation 2 2 3 3 2 2 2 2" xfId="660"/>
    <cellStyle name="Calculation 2 2 3 3 2 2 3" xfId="661"/>
    <cellStyle name="Calculation 2 2 3 3 2 3" xfId="662"/>
    <cellStyle name="Calculation 2 2 3 3 2 3 2" xfId="663"/>
    <cellStyle name="Calculation 2 2 3 3 2 4" xfId="664"/>
    <cellStyle name="Calculation 2 2 3 3 3" xfId="665"/>
    <cellStyle name="Calculation 2 2 3 3 3 2" xfId="666"/>
    <cellStyle name="Calculation 2 2 3 3 3 2 2" xfId="667"/>
    <cellStyle name="Calculation 2 2 3 3 3 3" xfId="668"/>
    <cellStyle name="Calculation 2 2 3 3 3 4" xfId="669"/>
    <cellStyle name="Calculation 2 2 3 3 4" xfId="670"/>
    <cellStyle name="Calculation 2 2 3 3 4 2" xfId="671"/>
    <cellStyle name="Calculation 2 2 3 3 4 2 2" xfId="672"/>
    <cellStyle name="Calculation 2 2 3 3 4 3" xfId="673"/>
    <cellStyle name="Calculation 2 2 3 3 5" xfId="674"/>
    <cellStyle name="Calculation 2 2 3 3 5 2" xfId="675"/>
    <cellStyle name="Calculation 2 2 3 3 6" xfId="676"/>
    <cellStyle name="Calculation 2 2 3 4" xfId="677"/>
    <cellStyle name="Calculation 2 2 3 4 2" xfId="678"/>
    <cellStyle name="Calculation 2 2 3 4 2 2" xfId="679"/>
    <cellStyle name="Calculation 2 2 3 4 2 2 2" xfId="680"/>
    <cellStyle name="Calculation 2 2 3 4 2 2 2 2" xfId="681"/>
    <cellStyle name="Calculation 2 2 3 4 2 2 3" xfId="682"/>
    <cellStyle name="Calculation 2 2 3 4 2 3" xfId="683"/>
    <cellStyle name="Calculation 2 2 3 4 2 3 2" xfId="684"/>
    <cellStyle name="Calculation 2 2 3 4 2 4" xfId="685"/>
    <cellStyle name="Calculation 2 2 3 4 3" xfId="686"/>
    <cellStyle name="Calculation 2 2 3 4 3 2" xfId="687"/>
    <cellStyle name="Calculation 2 2 3 4 3 2 2" xfId="688"/>
    <cellStyle name="Calculation 2 2 3 4 3 3" xfId="689"/>
    <cellStyle name="Calculation 2 2 3 4 3 4" xfId="690"/>
    <cellStyle name="Calculation 2 2 3 4 4" xfId="691"/>
    <cellStyle name="Calculation 2 2 3 4 4 2" xfId="692"/>
    <cellStyle name="Calculation 2 2 3 4 4 2 2" xfId="693"/>
    <cellStyle name="Calculation 2 2 3 4 4 3" xfId="694"/>
    <cellStyle name="Calculation 2 2 3 4 5" xfId="695"/>
    <cellStyle name="Calculation 2 2 3 4 5 2" xfId="696"/>
    <cellStyle name="Calculation 2 2 3 4 6" xfId="697"/>
    <cellStyle name="Calculation 2 2 3 5" xfId="698"/>
    <cellStyle name="Calculation 2 2 3 5 2" xfId="699"/>
    <cellStyle name="Calculation 2 2 4" xfId="700"/>
    <cellStyle name="Calculation 2 2 4 2" xfId="701"/>
    <cellStyle name="Calculation 2 2 4 2 2" xfId="702"/>
    <cellStyle name="Calculation 2 2 4 2 2 2" xfId="703"/>
    <cellStyle name="Calculation 2 2 4 2 2 2 2" xfId="704"/>
    <cellStyle name="Calculation 2 2 4 2 2 2 2 2" xfId="705"/>
    <cellStyle name="Calculation 2 2 4 2 2 2 3" xfId="706"/>
    <cellStyle name="Calculation 2 2 4 2 2 3" xfId="707"/>
    <cellStyle name="Calculation 2 2 4 2 2 3 2" xfId="708"/>
    <cellStyle name="Calculation 2 2 4 2 2 4" xfId="709"/>
    <cellStyle name="Calculation 2 2 4 2 3" xfId="710"/>
    <cellStyle name="Calculation 2 2 4 2 3 2" xfId="711"/>
    <cellStyle name="Calculation 2 2 4 2 3 2 2" xfId="712"/>
    <cellStyle name="Calculation 2 2 4 2 3 3" xfId="713"/>
    <cellStyle name="Calculation 2 2 4 2 3 4" xfId="714"/>
    <cellStyle name="Calculation 2 2 4 2 4" xfId="715"/>
    <cellStyle name="Calculation 2 2 4 2 4 2" xfId="716"/>
    <cellStyle name="Calculation 2 2 4 2 4 2 2" xfId="717"/>
    <cellStyle name="Calculation 2 2 4 2 4 3" xfId="718"/>
    <cellStyle name="Calculation 2 2 4 2 5" xfId="719"/>
    <cellStyle name="Calculation 2 2 4 2 5 2" xfId="720"/>
    <cellStyle name="Calculation 2 2 4 2 6" xfId="721"/>
    <cellStyle name="Calculation 2 2 4 3" xfId="722"/>
    <cellStyle name="Calculation 2 2 4 3 2" xfId="723"/>
    <cellStyle name="Calculation 2 2 4 3 2 2" xfId="724"/>
    <cellStyle name="Calculation 2 2 4 3 2 2 2" xfId="725"/>
    <cellStyle name="Calculation 2 2 4 3 2 2 2 2" xfId="726"/>
    <cellStyle name="Calculation 2 2 4 3 2 2 3" xfId="727"/>
    <cellStyle name="Calculation 2 2 4 3 2 3" xfId="728"/>
    <cellStyle name="Calculation 2 2 4 3 2 3 2" xfId="729"/>
    <cellStyle name="Calculation 2 2 4 3 2 4" xfId="730"/>
    <cellStyle name="Calculation 2 2 4 3 3" xfId="731"/>
    <cellStyle name="Calculation 2 2 4 3 3 2" xfId="732"/>
    <cellStyle name="Calculation 2 2 4 3 3 2 2" xfId="733"/>
    <cellStyle name="Calculation 2 2 4 3 3 3" xfId="734"/>
    <cellStyle name="Calculation 2 2 4 3 3 4" xfId="735"/>
    <cellStyle name="Calculation 2 2 4 3 4" xfId="736"/>
    <cellStyle name="Calculation 2 2 4 3 4 2" xfId="737"/>
    <cellStyle name="Calculation 2 2 4 3 4 2 2" xfId="738"/>
    <cellStyle name="Calculation 2 2 4 3 4 3" xfId="739"/>
    <cellStyle name="Calculation 2 2 4 3 5" xfId="740"/>
    <cellStyle name="Calculation 2 2 4 3 5 2" xfId="741"/>
    <cellStyle name="Calculation 2 2 4 3 6" xfId="742"/>
    <cellStyle name="Calculation 2 2 4 4" xfId="743"/>
    <cellStyle name="Calculation 2 2 4 4 2" xfId="744"/>
    <cellStyle name="Calculation 2 2 4 4 2 2" xfId="745"/>
    <cellStyle name="Calculation 2 2 4 4 2 2 2" xfId="746"/>
    <cellStyle name="Calculation 2 2 4 4 2 3" xfId="747"/>
    <cellStyle name="Calculation 2 2 4 4 3" xfId="748"/>
    <cellStyle name="Calculation 2 2 4 4 3 2" xfId="749"/>
    <cellStyle name="Calculation 2 2 4 4 4" xfId="750"/>
    <cellStyle name="Calculation 2 2 4 5" xfId="751"/>
    <cellStyle name="Calculation 2 2 4 5 2" xfId="752"/>
    <cellStyle name="Calculation 2 2 4 5 2 2" xfId="753"/>
    <cellStyle name="Calculation 2 2 4 5 3" xfId="754"/>
    <cellStyle name="Calculation 2 2 4 5 4" xfId="755"/>
    <cellStyle name="Calculation 2 2 4 6" xfId="756"/>
    <cellStyle name="Calculation 2 2 4 6 2" xfId="757"/>
    <cellStyle name="Calculation 2 2 4 6 2 2" xfId="758"/>
    <cellStyle name="Calculation 2 2 4 6 3" xfId="759"/>
    <cellStyle name="Calculation 2 2 4 7" xfId="760"/>
    <cellStyle name="Calculation 2 2 4 7 2" xfId="761"/>
    <cellStyle name="Calculation 2 2 4 8" xfId="762"/>
    <cellStyle name="Calculation 2 2 5" xfId="763"/>
    <cellStyle name="Calculation 2 2 5 2" xfId="764"/>
    <cellStyle name="Calculation 2 2 5 2 2" xfId="765"/>
    <cellStyle name="Calculation 2 2 5 2 2 2" xfId="766"/>
    <cellStyle name="Calculation 2 2 5 2 2 2 2" xfId="767"/>
    <cellStyle name="Calculation 2 2 5 2 2 3" xfId="768"/>
    <cellStyle name="Calculation 2 2 5 2 3" xfId="769"/>
    <cellStyle name="Calculation 2 2 5 2 3 2" xfId="770"/>
    <cellStyle name="Calculation 2 2 5 2 4" xfId="771"/>
    <cellStyle name="Calculation 2 2 5 3" xfId="772"/>
    <cellStyle name="Calculation 2 2 5 3 2" xfId="773"/>
    <cellStyle name="Calculation 2 2 5 3 2 2" xfId="774"/>
    <cellStyle name="Calculation 2 2 5 3 3" xfId="775"/>
    <cellStyle name="Calculation 2 2 5 3 4" xfId="776"/>
    <cellStyle name="Calculation 2 2 5 4" xfId="777"/>
    <cellStyle name="Calculation 2 2 5 4 2" xfId="778"/>
    <cellStyle name="Calculation 2 2 5 4 2 2" xfId="779"/>
    <cellStyle name="Calculation 2 2 5 4 3" xfId="780"/>
    <cellStyle name="Calculation 2 2 5 5" xfId="781"/>
    <cellStyle name="Calculation 2 2 5 5 2" xfId="782"/>
    <cellStyle name="Calculation 2 2 5 6" xfId="783"/>
    <cellStyle name="Calculation 2 3" xfId="784"/>
    <cellStyle name="Calculation 2 3 2" xfId="785"/>
    <cellStyle name="Calculation 2 3 2 2" xfId="786"/>
    <cellStyle name="Calculation 2 3 2 2 2" xfId="787"/>
    <cellStyle name="Calculation 2 3 2 2 2 2" xfId="788"/>
    <cellStyle name="Calculation 2 3 2 2 2 2 2" xfId="789"/>
    <cellStyle name="Calculation 2 3 2 2 2 2 2 2" xfId="790"/>
    <cellStyle name="Calculation 2 3 2 2 2 2 3" xfId="791"/>
    <cellStyle name="Calculation 2 3 2 2 2 3" xfId="792"/>
    <cellStyle name="Calculation 2 3 2 2 2 3 2" xfId="793"/>
    <cellStyle name="Calculation 2 3 2 2 2 4" xfId="794"/>
    <cellStyle name="Calculation 2 3 2 2 3" xfId="795"/>
    <cellStyle name="Calculation 2 3 2 2 3 2" xfId="796"/>
    <cellStyle name="Calculation 2 3 2 2 3 2 2" xfId="797"/>
    <cellStyle name="Calculation 2 3 2 2 3 3" xfId="798"/>
    <cellStyle name="Calculation 2 3 2 2 3 4" xfId="799"/>
    <cellStyle name="Calculation 2 3 2 2 4" xfId="800"/>
    <cellStyle name="Calculation 2 3 2 2 4 2" xfId="801"/>
    <cellStyle name="Calculation 2 3 2 2 4 2 2" xfId="802"/>
    <cellStyle name="Calculation 2 3 2 2 4 3" xfId="803"/>
    <cellStyle name="Calculation 2 3 2 2 5" xfId="804"/>
    <cellStyle name="Calculation 2 3 2 2 5 2" xfId="805"/>
    <cellStyle name="Calculation 2 3 2 2 6" xfId="806"/>
    <cellStyle name="Calculation 2 3 2 3" xfId="807"/>
    <cellStyle name="Calculation 2 3 2 3 2" xfId="808"/>
    <cellStyle name="Calculation 2 3 2 3 2 2" xfId="809"/>
    <cellStyle name="Calculation 2 3 2 3 2 2 2" xfId="810"/>
    <cellStyle name="Calculation 2 3 2 3 2 2 2 2" xfId="811"/>
    <cellStyle name="Calculation 2 3 2 3 2 2 3" xfId="812"/>
    <cellStyle name="Calculation 2 3 2 3 2 3" xfId="813"/>
    <cellStyle name="Calculation 2 3 2 3 2 3 2" xfId="814"/>
    <cellStyle name="Calculation 2 3 2 3 2 4" xfId="815"/>
    <cellStyle name="Calculation 2 3 2 3 3" xfId="816"/>
    <cellStyle name="Calculation 2 3 2 3 3 2" xfId="817"/>
    <cellStyle name="Calculation 2 3 2 3 3 2 2" xfId="818"/>
    <cellStyle name="Calculation 2 3 2 3 3 3" xfId="819"/>
    <cellStyle name="Calculation 2 3 2 3 3 4" xfId="820"/>
    <cellStyle name="Calculation 2 3 2 3 4" xfId="821"/>
    <cellStyle name="Calculation 2 3 2 3 4 2" xfId="822"/>
    <cellStyle name="Calculation 2 3 2 3 4 2 2" xfId="823"/>
    <cellStyle name="Calculation 2 3 2 3 4 3" xfId="824"/>
    <cellStyle name="Calculation 2 3 2 3 5" xfId="825"/>
    <cellStyle name="Calculation 2 3 2 3 5 2" xfId="826"/>
    <cellStyle name="Calculation 2 3 2 3 6" xfId="827"/>
    <cellStyle name="Calculation 2 3 2 4" xfId="828"/>
    <cellStyle name="Calculation 2 3 2 4 2" xfId="829"/>
    <cellStyle name="Calculation 2 3 2 4 2 2" xfId="830"/>
    <cellStyle name="Calculation 2 3 2 4 2 2 2" xfId="831"/>
    <cellStyle name="Calculation 2 3 2 4 2 2 2 2" xfId="832"/>
    <cellStyle name="Calculation 2 3 2 4 2 2 3" xfId="833"/>
    <cellStyle name="Calculation 2 3 2 4 2 3" xfId="834"/>
    <cellStyle name="Calculation 2 3 2 4 2 3 2" xfId="835"/>
    <cellStyle name="Calculation 2 3 2 4 2 4" xfId="836"/>
    <cellStyle name="Calculation 2 3 2 4 3" xfId="837"/>
    <cellStyle name="Calculation 2 3 2 4 3 2" xfId="838"/>
    <cellStyle name="Calculation 2 3 2 4 3 2 2" xfId="839"/>
    <cellStyle name="Calculation 2 3 2 4 3 3" xfId="840"/>
    <cellStyle name="Calculation 2 3 2 4 3 4" xfId="841"/>
    <cellStyle name="Calculation 2 3 2 4 4" xfId="842"/>
    <cellStyle name="Calculation 2 3 2 4 4 2" xfId="843"/>
    <cellStyle name="Calculation 2 3 2 4 4 2 2" xfId="844"/>
    <cellStyle name="Calculation 2 3 2 4 4 3" xfId="845"/>
    <cellStyle name="Calculation 2 3 2 4 5" xfId="846"/>
    <cellStyle name="Calculation 2 3 2 4 5 2" xfId="847"/>
    <cellStyle name="Calculation 2 3 2 4 6" xfId="848"/>
    <cellStyle name="Calculation 2 3 2 5" xfId="849"/>
    <cellStyle name="Calculation 2 3 2 5 2" xfId="850"/>
    <cellStyle name="Calculation 2 3 3" xfId="851"/>
    <cellStyle name="Calculation 2 3 3 2" xfId="852"/>
    <cellStyle name="Calculation 2 3 3 2 2" xfId="853"/>
    <cellStyle name="Calculation 2 3 3 2 2 2" xfId="854"/>
    <cellStyle name="Calculation 2 3 3 2 2 2 2" xfId="855"/>
    <cellStyle name="Calculation 2 3 3 2 2 3" xfId="856"/>
    <cellStyle name="Calculation 2 3 3 2 3" xfId="857"/>
    <cellStyle name="Calculation 2 3 3 2 3 2" xfId="858"/>
    <cellStyle name="Calculation 2 3 3 2 4" xfId="859"/>
    <cellStyle name="Calculation 2 3 3 3" xfId="860"/>
    <cellStyle name="Calculation 2 3 3 3 2" xfId="861"/>
    <cellStyle name="Calculation 2 3 3 3 2 2" xfId="862"/>
    <cellStyle name="Calculation 2 3 3 3 3" xfId="863"/>
    <cellStyle name="Calculation 2 3 3 3 4" xfId="864"/>
    <cellStyle name="Calculation 2 3 3 4" xfId="865"/>
    <cellStyle name="Calculation 2 3 3 4 2" xfId="866"/>
    <cellStyle name="Calculation 2 3 3 4 2 2" xfId="867"/>
    <cellStyle name="Calculation 2 3 3 4 3" xfId="868"/>
    <cellStyle name="Calculation 2 3 3 5" xfId="869"/>
    <cellStyle name="Calculation 2 3 3 5 2" xfId="870"/>
    <cellStyle name="Calculation 2 3 3 6" xfId="871"/>
    <cellStyle name="Calculation 2 3 4" xfId="872"/>
    <cellStyle name="Calculation 2 3 4 2" xfId="873"/>
    <cellStyle name="Calculation 2 3 4 2 2" xfId="874"/>
    <cellStyle name="Calculation 2 3 4 2 2 2" xfId="875"/>
    <cellStyle name="Calculation 2 3 4 2 2 2 2" xfId="876"/>
    <cellStyle name="Calculation 2 3 4 2 2 3" xfId="877"/>
    <cellStyle name="Calculation 2 3 4 2 3" xfId="878"/>
    <cellStyle name="Calculation 2 3 4 2 3 2" xfId="879"/>
    <cellStyle name="Calculation 2 3 4 2 4" xfId="880"/>
    <cellStyle name="Calculation 2 3 4 3" xfId="881"/>
    <cellStyle name="Calculation 2 3 4 3 2" xfId="882"/>
    <cellStyle name="Calculation 2 3 4 3 2 2" xfId="883"/>
    <cellStyle name="Calculation 2 3 4 3 3" xfId="884"/>
    <cellStyle name="Calculation 2 3 4 3 4" xfId="885"/>
    <cellStyle name="Calculation 2 3 4 4" xfId="886"/>
    <cellStyle name="Calculation 2 3 4 4 2" xfId="887"/>
    <cellStyle name="Calculation 2 3 4 4 2 2" xfId="888"/>
    <cellStyle name="Calculation 2 3 4 4 3" xfId="889"/>
    <cellStyle name="Calculation 2 3 4 5" xfId="890"/>
    <cellStyle name="Calculation 2 3 4 5 2" xfId="891"/>
    <cellStyle name="Calculation 2 3 4 6" xfId="892"/>
    <cellStyle name="Calculation 2 3 5" xfId="893"/>
    <cellStyle name="Calculation 2 3 5 2" xfId="894"/>
    <cellStyle name="Calculation 2 3 5 2 2" xfId="895"/>
    <cellStyle name="Calculation 2 3 5 2 2 2" xfId="896"/>
    <cellStyle name="Calculation 2 3 5 2 2 2 2" xfId="897"/>
    <cellStyle name="Calculation 2 3 5 2 2 3" xfId="898"/>
    <cellStyle name="Calculation 2 3 5 2 3" xfId="899"/>
    <cellStyle name="Calculation 2 3 5 2 3 2" xfId="900"/>
    <cellStyle name="Calculation 2 3 5 2 4" xfId="901"/>
    <cellStyle name="Calculation 2 3 5 3" xfId="902"/>
    <cellStyle name="Calculation 2 3 5 3 2" xfId="903"/>
    <cellStyle name="Calculation 2 3 5 3 2 2" xfId="904"/>
    <cellStyle name="Calculation 2 3 5 3 3" xfId="905"/>
    <cellStyle name="Calculation 2 3 5 3 4" xfId="906"/>
    <cellStyle name="Calculation 2 3 5 4" xfId="907"/>
    <cellStyle name="Calculation 2 3 5 4 2" xfId="908"/>
    <cellStyle name="Calculation 2 3 5 4 2 2" xfId="909"/>
    <cellStyle name="Calculation 2 3 5 4 3" xfId="910"/>
    <cellStyle name="Calculation 2 3 5 5" xfId="911"/>
    <cellStyle name="Calculation 2 3 5 5 2" xfId="912"/>
    <cellStyle name="Calculation 2 3 5 6" xfId="913"/>
    <cellStyle name="Calculation 2 4" xfId="914"/>
    <cellStyle name="Calculation 2 4 2" xfId="915"/>
    <cellStyle name="Calculation 2 4 2 2" xfId="916"/>
    <cellStyle name="Calculation 2 4 2 2 2" xfId="917"/>
    <cellStyle name="Calculation 2 4 2 2 2 2" xfId="918"/>
    <cellStyle name="Calculation 2 4 2 2 2 2 2" xfId="919"/>
    <cellStyle name="Calculation 2 4 2 2 2 3" xfId="920"/>
    <cellStyle name="Calculation 2 4 2 2 3" xfId="921"/>
    <cellStyle name="Calculation 2 4 2 2 3 2" xfId="922"/>
    <cellStyle name="Calculation 2 4 2 2 4" xfId="923"/>
    <cellStyle name="Calculation 2 4 2 3" xfId="924"/>
    <cellStyle name="Calculation 2 4 2 3 2" xfId="925"/>
    <cellStyle name="Calculation 2 4 2 3 2 2" xfId="926"/>
    <cellStyle name="Calculation 2 4 2 3 3" xfId="927"/>
    <cellStyle name="Calculation 2 4 2 3 4" xfId="928"/>
    <cellStyle name="Calculation 2 4 2 4" xfId="929"/>
    <cellStyle name="Calculation 2 4 2 4 2" xfId="930"/>
    <cellStyle name="Calculation 2 4 2 4 2 2" xfId="931"/>
    <cellStyle name="Calculation 2 4 2 4 3" xfId="932"/>
    <cellStyle name="Calculation 2 4 2 5" xfId="933"/>
    <cellStyle name="Calculation 2 4 2 5 2" xfId="934"/>
    <cellStyle name="Calculation 2 4 2 6" xfId="935"/>
    <cellStyle name="Calculation 2 4 3" xfId="936"/>
    <cellStyle name="Calculation 2 4 3 2" xfId="937"/>
    <cellStyle name="Calculation 2 4 3 2 2" xfId="938"/>
    <cellStyle name="Calculation 2 4 3 2 2 2" xfId="939"/>
    <cellStyle name="Calculation 2 4 3 2 2 2 2" xfId="940"/>
    <cellStyle name="Calculation 2 4 3 2 2 3" xfId="941"/>
    <cellStyle name="Calculation 2 4 3 2 3" xfId="942"/>
    <cellStyle name="Calculation 2 4 3 2 3 2" xfId="943"/>
    <cellStyle name="Calculation 2 4 3 2 4" xfId="944"/>
    <cellStyle name="Calculation 2 4 3 3" xfId="945"/>
    <cellStyle name="Calculation 2 4 3 3 2" xfId="946"/>
    <cellStyle name="Calculation 2 4 3 3 2 2" xfId="947"/>
    <cellStyle name="Calculation 2 4 3 3 3" xfId="948"/>
    <cellStyle name="Calculation 2 4 3 3 4" xfId="949"/>
    <cellStyle name="Calculation 2 4 3 4" xfId="950"/>
    <cellStyle name="Calculation 2 4 3 4 2" xfId="951"/>
    <cellStyle name="Calculation 2 4 3 4 2 2" xfId="952"/>
    <cellStyle name="Calculation 2 4 3 4 3" xfId="953"/>
    <cellStyle name="Calculation 2 4 3 5" xfId="954"/>
    <cellStyle name="Calculation 2 4 3 5 2" xfId="955"/>
    <cellStyle name="Calculation 2 4 3 6" xfId="956"/>
    <cellStyle name="Calculation 2 4 4" xfId="957"/>
    <cellStyle name="Calculation 2 4 4 2" xfId="958"/>
    <cellStyle name="Calculation 2 4 4 2 2" xfId="959"/>
    <cellStyle name="Calculation 2 4 4 2 2 2" xfId="960"/>
    <cellStyle name="Calculation 2 4 4 2 2 2 2" xfId="961"/>
    <cellStyle name="Calculation 2 4 4 2 2 3" xfId="962"/>
    <cellStyle name="Calculation 2 4 4 2 3" xfId="963"/>
    <cellStyle name="Calculation 2 4 4 2 3 2" xfId="964"/>
    <cellStyle name="Calculation 2 4 4 2 4" xfId="965"/>
    <cellStyle name="Calculation 2 4 4 3" xfId="966"/>
    <cellStyle name="Calculation 2 4 4 3 2" xfId="967"/>
    <cellStyle name="Calculation 2 4 4 3 2 2" xfId="968"/>
    <cellStyle name="Calculation 2 4 4 3 3" xfId="969"/>
    <cellStyle name="Calculation 2 4 4 3 4" xfId="970"/>
    <cellStyle name="Calculation 2 4 4 4" xfId="971"/>
    <cellStyle name="Calculation 2 4 4 4 2" xfId="972"/>
    <cellStyle name="Calculation 2 4 4 4 2 2" xfId="973"/>
    <cellStyle name="Calculation 2 4 4 4 3" xfId="974"/>
    <cellStyle name="Calculation 2 4 4 5" xfId="975"/>
    <cellStyle name="Calculation 2 4 4 5 2" xfId="976"/>
    <cellStyle name="Calculation 2 4 4 6" xfId="977"/>
    <cellStyle name="Calculation 2 4 5" xfId="978"/>
    <cellStyle name="Calculation 2 4 5 2" xfId="979"/>
    <cellStyle name="Calculation 2 5" xfId="980"/>
    <cellStyle name="Calculation 2 5 2" xfId="981"/>
    <cellStyle name="Calculation 2 5 2 2" xfId="982"/>
    <cellStyle name="Calculation 2 5 2 2 2" xfId="983"/>
    <cellStyle name="Calculation 2 5 2 2 2 2" xfId="984"/>
    <cellStyle name="Calculation 2 5 2 2 2 2 2" xfId="985"/>
    <cellStyle name="Calculation 2 5 2 2 2 3" xfId="986"/>
    <cellStyle name="Calculation 2 5 2 2 3" xfId="987"/>
    <cellStyle name="Calculation 2 5 2 2 3 2" xfId="988"/>
    <cellStyle name="Calculation 2 5 2 2 4" xfId="989"/>
    <cellStyle name="Calculation 2 5 2 3" xfId="990"/>
    <cellStyle name="Calculation 2 5 2 3 2" xfId="991"/>
    <cellStyle name="Calculation 2 5 2 3 2 2" xfId="992"/>
    <cellStyle name="Calculation 2 5 2 3 3" xfId="993"/>
    <cellStyle name="Calculation 2 5 2 3 4" xfId="994"/>
    <cellStyle name="Calculation 2 5 2 4" xfId="995"/>
    <cellStyle name="Calculation 2 5 2 4 2" xfId="996"/>
    <cellStyle name="Calculation 2 5 2 4 2 2" xfId="997"/>
    <cellStyle name="Calculation 2 5 2 4 3" xfId="998"/>
    <cellStyle name="Calculation 2 5 2 5" xfId="999"/>
    <cellStyle name="Calculation 2 5 2 5 2" xfId="1000"/>
    <cellStyle name="Calculation 2 5 2 6" xfId="1001"/>
    <cellStyle name="Calculation 2 5 3" xfId="1002"/>
    <cellStyle name="Calculation 2 5 3 2" xfId="1003"/>
    <cellStyle name="Calculation 2 5 3 2 2" xfId="1004"/>
    <cellStyle name="Calculation 2 5 3 2 2 2" xfId="1005"/>
    <cellStyle name="Calculation 2 5 3 2 2 2 2" xfId="1006"/>
    <cellStyle name="Calculation 2 5 3 2 2 3" xfId="1007"/>
    <cellStyle name="Calculation 2 5 3 2 3" xfId="1008"/>
    <cellStyle name="Calculation 2 5 3 2 3 2" xfId="1009"/>
    <cellStyle name="Calculation 2 5 3 2 4" xfId="1010"/>
    <cellStyle name="Calculation 2 5 3 3" xfId="1011"/>
    <cellStyle name="Calculation 2 5 3 3 2" xfId="1012"/>
    <cellStyle name="Calculation 2 5 3 3 2 2" xfId="1013"/>
    <cellStyle name="Calculation 2 5 3 3 3" xfId="1014"/>
    <cellStyle name="Calculation 2 5 3 3 4" xfId="1015"/>
    <cellStyle name="Calculation 2 5 3 4" xfId="1016"/>
    <cellStyle name="Calculation 2 5 3 4 2" xfId="1017"/>
    <cellStyle name="Calculation 2 5 3 4 2 2" xfId="1018"/>
    <cellStyle name="Calculation 2 5 3 4 3" xfId="1019"/>
    <cellStyle name="Calculation 2 5 3 5" xfId="1020"/>
    <cellStyle name="Calculation 2 5 3 5 2" xfId="1021"/>
    <cellStyle name="Calculation 2 5 3 6" xfId="1022"/>
    <cellStyle name="Calculation 2 5 4" xfId="1023"/>
    <cellStyle name="Calculation 2 5 4 2" xfId="1024"/>
    <cellStyle name="Calculation 2 5 4 2 2" xfId="1025"/>
    <cellStyle name="Calculation 2 5 4 2 2 2" xfId="1026"/>
    <cellStyle name="Calculation 2 5 4 2 3" xfId="1027"/>
    <cellStyle name="Calculation 2 5 4 3" xfId="1028"/>
    <cellStyle name="Calculation 2 5 4 3 2" xfId="1029"/>
    <cellStyle name="Calculation 2 5 4 4" xfId="1030"/>
    <cellStyle name="Calculation 2 5 5" xfId="1031"/>
    <cellStyle name="Calculation 2 5 5 2" xfId="1032"/>
    <cellStyle name="Calculation 2 5 5 2 2" xfId="1033"/>
    <cellStyle name="Calculation 2 5 5 3" xfId="1034"/>
    <cellStyle name="Calculation 2 5 5 4" xfId="1035"/>
    <cellStyle name="Calculation 2 5 6" xfId="1036"/>
    <cellStyle name="Calculation 2 5 6 2" xfId="1037"/>
    <cellStyle name="Calculation 2 5 6 2 2" xfId="1038"/>
    <cellStyle name="Calculation 2 5 6 3" xfId="1039"/>
    <cellStyle name="Calculation 2 5 7" xfId="1040"/>
    <cellStyle name="Calculation 2 5 7 2" xfId="1041"/>
    <cellStyle name="Calculation 2 5 8" xfId="1042"/>
    <cellStyle name="Calculation 2 6" xfId="1043"/>
    <cellStyle name="Calculation 2 6 2" xfId="1044"/>
    <cellStyle name="Calculation 2 6 2 2" xfId="1045"/>
    <cellStyle name="Calculation 2 6 2 2 2" xfId="1046"/>
    <cellStyle name="Calculation 2 6 2 2 2 2" xfId="1047"/>
    <cellStyle name="Calculation 2 6 2 2 3" xfId="1048"/>
    <cellStyle name="Calculation 2 6 2 3" xfId="1049"/>
    <cellStyle name="Calculation 2 6 2 3 2" xfId="1050"/>
    <cellStyle name="Calculation 2 6 2 4" xfId="1051"/>
    <cellStyle name="Calculation 2 6 3" xfId="1052"/>
    <cellStyle name="Calculation 2 6 3 2" xfId="1053"/>
    <cellStyle name="Calculation 2 6 3 2 2" xfId="1054"/>
    <cellStyle name="Calculation 2 6 3 3" xfId="1055"/>
    <cellStyle name="Calculation 2 6 3 4" xfId="1056"/>
    <cellStyle name="Calculation 2 6 4" xfId="1057"/>
    <cellStyle name="Calculation 2 6 4 2" xfId="1058"/>
    <cellStyle name="Calculation 2 6 4 2 2" xfId="1059"/>
    <cellStyle name="Calculation 2 6 4 3" xfId="1060"/>
    <cellStyle name="Calculation 2 6 5" xfId="1061"/>
    <cellStyle name="Calculation 2 6 5 2" xfId="1062"/>
    <cellStyle name="Calculation 2 6 6" xfId="1063"/>
    <cellStyle name="Calculation 3" xfId="1064"/>
    <cellStyle name="Calculation 3 2" xfId="1065"/>
    <cellStyle name="Calculation 3 2 2" xfId="1066"/>
    <cellStyle name="Calculation 3 2 2 2" xfId="1067"/>
    <cellStyle name="Calculation 3 2 2 2 2" xfId="1068"/>
    <cellStyle name="Calculation 3 2 2 2 2 2" xfId="1069"/>
    <cellStyle name="Calculation 3 2 2 2 2 2 2" xfId="1070"/>
    <cellStyle name="Calculation 3 2 2 2 2 2 2 2" xfId="1071"/>
    <cellStyle name="Calculation 3 2 2 2 2 2 3" xfId="1072"/>
    <cellStyle name="Calculation 3 2 2 2 2 3" xfId="1073"/>
    <cellStyle name="Calculation 3 2 2 2 2 3 2" xfId="1074"/>
    <cellStyle name="Calculation 3 2 2 2 2 4" xfId="1075"/>
    <cellStyle name="Calculation 3 2 2 2 3" xfId="1076"/>
    <cellStyle name="Calculation 3 2 2 2 3 2" xfId="1077"/>
    <cellStyle name="Calculation 3 2 2 2 3 2 2" xfId="1078"/>
    <cellStyle name="Calculation 3 2 2 2 3 3" xfId="1079"/>
    <cellStyle name="Calculation 3 2 2 2 3 4" xfId="1080"/>
    <cellStyle name="Calculation 3 2 2 2 4" xfId="1081"/>
    <cellStyle name="Calculation 3 2 2 2 4 2" xfId="1082"/>
    <cellStyle name="Calculation 3 2 2 2 4 2 2" xfId="1083"/>
    <cellStyle name="Calculation 3 2 2 2 4 3" xfId="1084"/>
    <cellStyle name="Calculation 3 2 2 2 5" xfId="1085"/>
    <cellStyle name="Calculation 3 2 2 2 5 2" xfId="1086"/>
    <cellStyle name="Calculation 3 2 2 2 6" xfId="1087"/>
    <cellStyle name="Calculation 3 2 2 3" xfId="1088"/>
    <cellStyle name="Calculation 3 2 2 3 2" xfId="1089"/>
    <cellStyle name="Calculation 3 2 2 3 2 2" xfId="1090"/>
    <cellStyle name="Calculation 3 2 2 3 2 2 2" xfId="1091"/>
    <cellStyle name="Calculation 3 2 2 3 2 2 2 2" xfId="1092"/>
    <cellStyle name="Calculation 3 2 2 3 2 2 3" xfId="1093"/>
    <cellStyle name="Calculation 3 2 2 3 2 3" xfId="1094"/>
    <cellStyle name="Calculation 3 2 2 3 2 3 2" xfId="1095"/>
    <cellStyle name="Calculation 3 2 2 3 2 4" xfId="1096"/>
    <cellStyle name="Calculation 3 2 2 3 3" xfId="1097"/>
    <cellStyle name="Calculation 3 2 2 3 3 2" xfId="1098"/>
    <cellStyle name="Calculation 3 2 2 3 3 2 2" xfId="1099"/>
    <cellStyle name="Calculation 3 2 2 3 3 3" xfId="1100"/>
    <cellStyle name="Calculation 3 2 2 3 3 4" xfId="1101"/>
    <cellStyle name="Calculation 3 2 2 3 4" xfId="1102"/>
    <cellStyle name="Calculation 3 2 2 3 4 2" xfId="1103"/>
    <cellStyle name="Calculation 3 2 2 3 4 2 2" xfId="1104"/>
    <cellStyle name="Calculation 3 2 2 3 4 3" xfId="1105"/>
    <cellStyle name="Calculation 3 2 2 3 5" xfId="1106"/>
    <cellStyle name="Calculation 3 2 2 3 5 2" xfId="1107"/>
    <cellStyle name="Calculation 3 2 2 3 6" xfId="1108"/>
    <cellStyle name="Calculation 3 2 2 4" xfId="1109"/>
    <cellStyle name="Calculation 3 2 2 4 2" xfId="1110"/>
    <cellStyle name="Calculation 3 2 2 4 2 2" xfId="1111"/>
    <cellStyle name="Calculation 3 2 2 4 2 2 2" xfId="1112"/>
    <cellStyle name="Calculation 3 2 2 4 2 2 2 2" xfId="1113"/>
    <cellStyle name="Calculation 3 2 2 4 2 2 3" xfId="1114"/>
    <cellStyle name="Calculation 3 2 2 4 2 3" xfId="1115"/>
    <cellStyle name="Calculation 3 2 2 4 2 3 2" xfId="1116"/>
    <cellStyle name="Calculation 3 2 2 4 2 4" xfId="1117"/>
    <cellStyle name="Calculation 3 2 2 4 3" xfId="1118"/>
    <cellStyle name="Calculation 3 2 2 4 3 2" xfId="1119"/>
    <cellStyle name="Calculation 3 2 2 4 3 2 2" xfId="1120"/>
    <cellStyle name="Calculation 3 2 2 4 3 3" xfId="1121"/>
    <cellStyle name="Calculation 3 2 2 4 3 4" xfId="1122"/>
    <cellStyle name="Calculation 3 2 2 4 4" xfId="1123"/>
    <cellStyle name="Calculation 3 2 2 4 4 2" xfId="1124"/>
    <cellStyle name="Calculation 3 2 2 4 4 2 2" xfId="1125"/>
    <cellStyle name="Calculation 3 2 2 4 4 3" xfId="1126"/>
    <cellStyle name="Calculation 3 2 2 4 5" xfId="1127"/>
    <cellStyle name="Calculation 3 2 2 4 5 2" xfId="1128"/>
    <cellStyle name="Calculation 3 2 2 4 6" xfId="1129"/>
    <cellStyle name="Calculation 3 2 2 5" xfId="1130"/>
    <cellStyle name="Calculation 3 2 2 5 2" xfId="1131"/>
    <cellStyle name="Calculation 3 2 3" xfId="1132"/>
    <cellStyle name="Calculation 3 2 3 2" xfId="1133"/>
    <cellStyle name="Calculation 3 2 3 2 2" xfId="1134"/>
    <cellStyle name="Calculation 3 2 3 2 2 2" xfId="1135"/>
    <cellStyle name="Calculation 3 2 3 2 2 2 2" xfId="1136"/>
    <cellStyle name="Calculation 3 2 3 2 2 3" xfId="1137"/>
    <cellStyle name="Calculation 3 2 3 2 3" xfId="1138"/>
    <cellStyle name="Calculation 3 2 3 2 3 2" xfId="1139"/>
    <cellStyle name="Calculation 3 2 3 2 4" xfId="1140"/>
    <cellStyle name="Calculation 3 2 3 3" xfId="1141"/>
    <cellStyle name="Calculation 3 2 3 3 2" xfId="1142"/>
    <cellStyle name="Calculation 3 2 3 3 2 2" xfId="1143"/>
    <cellStyle name="Calculation 3 2 3 3 3" xfId="1144"/>
    <cellStyle name="Calculation 3 2 3 3 4" xfId="1145"/>
    <cellStyle name="Calculation 3 2 3 4" xfId="1146"/>
    <cellStyle name="Calculation 3 2 3 4 2" xfId="1147"/>
    <cellStyle name="Calculation 3 2 3 4 2 2" xfId="1148"/>
    <cellStyle name="Calculation 3 2 3 4 3" xfId="1149"/>
    <cellStyle name="Calculation 3 2 3 5" xfId="1150"/>
    <cellStyle name="Calculation 3 2 3 5 2" xfId="1151"/>
    <cellStyle name="Calculation 3 2 3 6" xfId="1152"/>
    <cellStyle name="Calculation 3 2 4" xfId="1153"/>
    <cellStyle name="Calculation 3 2 4 2" xfId="1154"/>
    <cellStyle name="Calculation 3 2 4 2 2" xfId="1155"/>
    <cellStyle name="Calculation 3 2 4 2 2 2" xfId="1156"/>
    <cellStyle name="Calculation 3 2 4 2 2 2 2" xfId="1157"/>
    <cellStyle name="Calculation 3 2 4 2 2 3" xfId="1158"/>
    <cellStyle name="Calculation 3 2 4 2 3" xfId="1159"/>
    <cellStyle name="Calculation 3 2 4 2 3 2" xfId="1160"/>
    <cellStyle name="Calculation 3 2 4 2 4" xfId="1161"/>
    <cellStyle name="Calculation 3 2 4 3" xfId="1162"/>
    <cellStyle name="Calculation 3 2 4 3 2" xfId="1163"/>
    <cellStyle name="Calculation 3 2 4 3 2 2" xfId="1164"/>
    <cellStyle name="Calculation 3 2 4 3 3" xfId="1165"/>
    <cellStyle name="Calculation 3 2 4 3 4" xfId="1166"/>
    <cellStyle name="Calculation 3 2 4 4" xfId="1167"/>
    <cellStyle name="Calculation 3 2 4 4 2" xfId="1168"/>
    <cellStyle name="Calculation 3 2 4 4 2 2" xfId="1169"/>
    <cellStyle name="Calculation 3 2 4 4 3" xfId="1170"/>
    <cellStyle name="Calculation 3 2 4 5" xfId="1171"/>
    <cellStyle name="Calculation 3 2 4 5 2" xfId="1172"/>
    <cellStyle name="Calculation 3 2 4 6" xfId="1173"/>
    <cellStyle name="Calculation 3 2 5" xfId="1174"/>
    <cellStyle name="Calculation 3 2 5 2" xfId="1175"/>
    <cellStyle name="Calculation 3 2 5 2 2" xfId="1176"/>
    <cellStyle name="Calculation 3 2 5 2 2 2" xfId="1177"/>
    <cellStyle name="Calculation 3 2 5 2 2 2 2" xfId="1178"/>
    <cellStyle name="Calculation 3 2 5 2 2 3" xfId="1179"/>
    <cellStyle name="Calculation 3 2 5 2 3" xfId="1180"/>
    <cellStyle name="Calculation 3 2 5 2 3 2" xfId="1181"/>
    <cellStyle name="Calculation 3 2 5 2 4" xfId="1182"/>
    <cellStyle name="Calculation 3 2 5 3" xfId="1183"/>
    <cellStyle name="Calculation 3 2 5 3 2" xfId="1184"/>
    <cellStyle name="Calculation 3 2 5 3 2 2" xfId="1185"/>
    <cellStyle name="Calculation 3 2 5 3 3" xfId="1186"/>
    <cellStyle name="Calculation 3 2 5 3 4" xfId="1187"/>
    <cellStyle name="Calculation 3 2 5 4" xfId="1188"/>
    <cellStyle name="Calculation 3 2 5 4 2" xfId="1189"/>
    <cellStyle name="Calculation 3 2 5 4 2 2" xfId="1190"/>
    <cellStyle name="Calculation 3 2 5 4 3" xfId="1191"/>
    <cellStyle name="Calculation 3 2 5 5" xfId="1192"/>
    <cellStyle name="Calculation 3 2 5 5 2" xfId="1193"/>
    <cellStyle name="Calculation 3 2 5 6" xfId="1194"/>
    <cellStyle name="Calculation 3 3" xfId="1195"/>
    <cellStyle name="Calculation 3 3 2" xfId="1196"/>
    <cellStyle name="Calculation 3 3 2 2" xfId="1197"/>
    <cellStyle name="Calculation 3 3 2 2 2" xfId="1198"/>
    <cellStyle name="Calculation 3 3 2 2 2 2" xfId="1199"/>
    <cellStyle name="Calculation 3 3 2 2 2 2 2" xfId="1200"/>
    <cellStyle name="Calculation 3 3 2 2 2 3" xfId="1201"/>
    <cellStyle name="Calculation 3 3 2 2 3" xfId="1202"/>
    <cellStyle name="Calculation 3 3 2 2 3 2" xfId="1203"/>
    <cellStyle name="Calculation 3 3 2 2 4" xfId="1204"/>
    <cellStyle name="Calculation 3 3 2 3" xfId="1205"/>
    <cellStyle name="Calculation 3 3 2 3 2" xfId="1206"/>
    <cellStyle name="Calculation 3 3 2 3 2 2" xfId="1207"/>
    <cellStyle name="Calculation 3 3 2 3 3" xfId="1208"/>
    <cellStyle name="Calculation 3 3 2 3 4" xfId="1209"/>
    <cellStyle name="Calculation 3 3 2 4" xfId="1210"/>
    <cellStyle name="Calculation 3 3 2 4 2" xfId="1211"/>
    <cellStyle name="Calculation 3 3 2 4 2 2" xfId="1212"/>
    <cellStyle name="Calculation 3 3 2 4 3" xfId="1213"/>
    <cellStyle name="Calculation 3 3 2 5" xfId="1214"/>
    <cellStyle name="Calculation 3 3 2 5 2" xfId="1215"/>
    <cellStyle name="Calculation 3 3 2 6" xfId="1216"/>
    <cellStyle name="Calculation 3 3 3" xfId="1217"/>
    <cellStyle name="Calculation 3 3 3 2" xfId="1218"/>
    <cellStyle name="Calculation 3 3 3 2 2" xfId="1219"/>
    <cellStyle name="Calculation 3 3 3 2 2 2" xfId="1220"/>
    <cellStyle name="Calculation 3 3 3 2 2 2 2" xfId="1221"/>
    <cellStyle name="Calculation 3 3 3 2 2 3" xfId="1222"/>
    <cellStyle name="Calculation 3 3 3 2 3" xfId="1223"/>
    <cellStyle name="Calculation 3 3 3 2 3 2" xfId="1224"/>
    <cellStyle name="Calculation 3 3 3 2 4" xfId="1225"/>
    <cellStyle name="Calculation 3 3 3 3" xfId="1226"/>
    <cellStyle name="Calculation 3 3 3 3 2" xfId="1227"/>
    <cellStyle name="Calculation 3 3 3 3 2 2" xfId="1228"/>
    <cellStyle name="Calculation 3 3 3 3 3" xfId="1229"/>
    <cellStyle name="Calculation 3 3 3 3 4" xfId="1230"/>
    <cellStyle name="Calculation 3 3 3 4" xfId="1231"/>
    <cellStyle name="Calculation 3 3 3 4 2" xfId="1232"/>
    <cellStyle name="Calculation 3 3 3 4 2 2" xfId="1233"/>
    <cellStyle name="Calculation 3 3 3 4 3" xfId="1234"/>
    <cellStyle name="Calculation 3 3 3 5" xfId="1235"/>
    <cellStyle name="Calculation 3 3 3 5 2" xfId="1236"/>
    <cellStyle name="Calculation 3 3 3 6" xfId="1237"/>
    <cellStyle name="Calculation 3 3 4" xfId="1238"/>
    <cellStyle name="Calculation 3 3 4 2" xfId="1239"/>
    <cellStyle name="Calculation 3 3 4 2 2" xfId="1240"/>
    <cellStyle name="Calculation 3 3 4 2 2 2" xfId="1241"/>
    <cellStyle name="Calculation 3 3 4 2 2 2 2" xfId="1242"/>
    <cellStyle name="Calculation 3 3 4 2 2 3" xfId="1243"/>
    <cellStyle name="Calculation 3 3 4 2 3" xfId="1244"/>
    <cellStyle name="Calculation 3 3 4 2 3 2" xfId="1245"/>
    <cellStyle name="Calculation 3 3 4 2 4" xfId="1246"/>
    <cellStyle name="Calculation 3 3 4 3" xfId="1247"/>
    <cellStyle name="Calculation 3 3 4 3 2" xfId="1248"/>
    <cellStyle name="Calculation 3 3 4 3 2 2" xfId="1249"/>
    <cellStyle name="Calculation 3 3 4 3 3" xfId="1250"/>
    <cellStyle name="Calculation 3 3 4 3 4" xfId="1251"/>
    <cellStyle name="Calculation 3 3 4 4" xfId="1252"/>
    <cellStyle name="Calculation 3 3 4 4 2" xfId="1253"/>
    <cellStyle name="Calculation 3 3 4 4 2 2" xfId="1254"/>
    <cellStyle name="Calculation 3 3 4 4 3" xfId="1255"/>
    <cellStyle name="Calculation 3 3 4 5" xfId="1256"/>
    <cellStyle name="Calculation 3 3 4 5 2" xfId="1257"/>
    <cellStyle name="Calculation 3 3 4 6" xfId="1258"/>
    <cellStyle name="Calculation 3 3 5" xfId="1259"/>
    <cellStyle name="Calculation 3 3 5 2" xfId="1260"/>
    <cellStyle name="Calculation 3 4" xfId="1261"/>
    <cellStyle name="Calculation 3 4 2" xfId="1262"/>
    <cellStyle name="Calculation 3 4 2 2" xfId="1263"/>
    <cellStyle name="Calculation 3 4 2 2 2" xfId="1264"/>
    <cellStyle name="Calculation 3 4 2 2 2 2" xfId="1265"/>
    <cellStyle name="Calculation 3 4 2 2 2 2 2" xfId="1266"/>
    <cellStyle name="Calculation 3 4 2 2 2 3" xfId="1267"/>
    <cellStyle name="Calculation 3 4 2 2 3" xfId="1268"/>
    <cellStyle name="Calculation 3 4 2 2 3 2" xfId="1269"/>
    <cellStyle name="Calculation 3 4 2 2 4" xfId="1270"/>
    <cellStyle name="Calculation 3 4 2 3" xfId="1271"/>
    <cellStyle name="Calculation 3 4 2 3 2" xfId="1272"/>
    <cellStyle name="Calculation 3 4 2 3 2 2" xfId="1273"/>
    <cellStyle name="Calculation 3 4 2 3 3" xfId="1274"/>
    <cellStyle name="Calculation 3 4 2 3 4" xfId="1275"/>
    <cellStyle name="Calculation 3 4 2 4" xfId="1276"/>
    <cellStyle name="Calculation 3 4 2 4 2" xfId="1277"/>
    <cellStyle name="Calculation 3 4 2 4 2 2" xfId="1278"/>
    <cellStyle name="Calculation 3 4 2 4 3" xfId="1279"/>
    <cellStyle name="Calculation 3 4 2 5" xfId="1280"/>
    <cellStyle name="Calculation 3 4 2 5 2" xfId="1281"/>
    <cellStyle name="Calculation 3 4 2 6" xfId="1282"/>
    <cellStyle name="Calculation 3 4 3" xfId="1283"/>
    <cellStyle name="Calculation 3 4 3 2" xfId="1284"/>
    <cellStyle name="Calculation 3 4 3 2 2" xfId="1285"/>
    <cellStyle name="Calculation 3 4 3 2 2 2" xfId="1286"/>
    <cellStyle name="Calculation 3 4 3 2 2 2 2" xfId="1287"/>
    <cellStyle name="Calculation 3 4 3 2 2 3" xfId="1288"/>
    <cellStyle name="Calculation 3 4 3 2 3" xfId="1289"/>
    <cellStyle name="Calculation 3 4 3 2 3 2" xfId="1290"/>
    <cellStyle name="Calculation 3 4 3 2 4" xfId="1291"/>
    <cellStyle name="Calculation 3 4 3 3" xfId="1292"/>
    <cellStyle name="Calculation 3 4 3 3 2" xfId="1293"/>
    <cellStyle name="Calculation 3 4 3 3 2 2" xfId="1294"/>
    <cellStyle name="Calculation 3 4 3 3 3" xfId="1295"/>
    <cellStyle name="Calculation 3 4 3 3 4" xfId="1296"/>
    <cellStyle name="Calculation 3 4 3 4" xfId="1297"/>
    <cellStyle name="Calculation 3 4 3 4 2" xfId="1298"/>
    <cellStyle name="Calculation 3 4 3 4 2 2" xfId="1299"/>
    <cellStyle name="Calculation 3 4 3 4 3" xfId="1300"/>
    <cellStyle name="Calculation 3 4 3 5" xfId="1301"/>
    <cellStyle name="Calculation 3 4 3 5 2" xfId="1302"/>
    <cellStyle name="Calculation 3 4 3 6" xfId="1303"/>
    <cellStyle name="Calculation 3 4 4" xfId="1304"/>
    <cellStyle name="Calculation 3 4 4 2" xfId="1305"/>
    <cellStyle name="Calculation 3 4 4 2 2" xfId="1306"/>
    <cellStyle name="Calculation 3 4 4 2 2 2" xfId="1307"/>
    <cellStyle name="Calculation 3 4 4 2 3" xfId="1308"/>
    <cellStyle name="Calculation 3 4 4 3" xfId="1309"/>
    <cellStyle name="Calculation 3 4 4 3 2" xfId="1310"/>
    <cellStyle name="Calculation 3 4 4 4" xfId="1311"/>
    <cellStyle name="Calculation 3 4 5" xfId="1312"/>
    <cellStyle name="Calculation 3 4 5 2" xfId="1313"/>
    <cellStyle name="Calculation 3 4 5 2 2" xfId="1314"/>
    <cellStyle name="Calculation 3 4 5 3" xfId="1315"/>
    <cellStyle name="Calculation 3 4 5 4" xfId="1316"/>
    <cellStyle name="Calculation 3 4 6" xfId="1317"/>
    <cellStyle name="Calculation 3 4 6 2" xfId="1318"/>
    <cellStyle name="Calculation 3 4 6 2 2" xfId="1319"/>
    <cellStyle name="Calculation 3 4 6 3" xfId="1320"/>
    <cellStyle name="Calculation 3 4 7" xfId="1321"/>
    <cellStyle name="Calculation 3 4 7 2" xfId="1322"/>
    <cellStyle name="Calculation 3 4 8" xfId="1323"/>
    <cellStyle name="Calculation 3 5" xfId="1324"/>
    <cellStyle name="Calculation 3 5 2" xfId="1325"/>
    <cellStyle name="Calculation 3 5 2 2" xfId="1326"/>
    <cellStyle name="Calculation 3 5 2 2 2" xfId="1327"/>
    <cellStyle name="Calculation 3 5 2 2 2 2" xfId="1328"/>
    <cellStyle name="Calculation 3 5 2 2 3" xfId="1329"/>
    <cellStyle name="Calculation 3 5 2 3" xfId="1330"/>
    <cellStyle name="Calculation 3 5 2 3 2" xfId="1331"/>
    <cellStyle name="Calculation 3 5 2 4" xfId="1332"/>
    <cellStyle name="Calculation 3 5 3" xfId="1333"/>
    <cellStyle name="Calculation 3 5 3 2" xfId="1334"/>
    <cellStyle name="Calculation 3 5 3 2 2" xfId="1335"/>
    <cellStyle name="Calculation 3 5 3 3" xfId="1336"/>
    <cellStyle name="Calculation 3 5 3 4" xfId="1337"/>
    <cellStyle name="Calculation 3 5 4" xfId="1338"/>
    <cellStyle name="Calculation 3 5 4 2" xfId="1339"/>
    <cellStyle name="Calculation 3 5 4 2 2" xfId="1340"/>
    <cellStyle name="Calculation 3 5 4 3" xfId="1341"/>
    <cellStyle name="Calculation 3 5 5" xfId="1342"/>
    <cellStyle name="Calculation 3 5 5 2" xfId="1343"/>
    <cellStyle name="Calculation 3 5 6" xfId="1344"/>
    <cellStyle name="Calculation 4" xfId="1345"/>
    <cellStyle name="Calculation 4 2" xfId="1346"/>
    <cellStyle name="Calculation 4 2 2" xfId="1347"/>
    <cellStyle name="Calculation 4 2 2 2" xfId="1348"/>
    <cellStyle name="Calculation 4 2 2 2 2" xfId="1349"/>
    <cellStyle name="Calculation 4 2 2 2 2 2" xfId="1350"/>
    <cellStyle name="Calculation 4 2 2 2 2 2 2" xfId="1351"/>
    <cellStyle name="Calculation 4 2 2 2 2 3" xfId="1352"/>
    <cellStyle name="Calculation 4 2 2 2 3" xfId="1353"/>
    <cellStyle name="Calculation 4 2 2 2 3 2" xfId="1354"/>
    <cellStyle name="Calculation 4 2 2 2 4" xfId="1355"/>
    <cellStyle name="Calculation 4 2 2 3" xfId="1356"/>
    <cellStyle name="Calculation 4 2 2 3 2" xfId="1357"/>
    <cellStyle name="Calculation 4 2 2 3 2 2" xfId="1358"/>
    <cellStyle name="Calculation 4 2 2 3 3" xfId="1359"/>
    <cellStyle name="Calculation 4 2 2 3 4" xfId="1360"/>
    <cellStyle name="Calculation 4 2 2 4" xfId="1361"/>
    <cellStyle name="Calculation 4 2 2 4 2" xfId="1362"/>
    <cellStyle name="Calculation 4 2 2 4 2 2" xfId="1363"/>
    <cellStyle name="Calculation 4 2 2 4 3" xfId="1364"/>
    <cellStyle name="Calculation 4 2 2 5" xfId="1365"/>
    <cellStyle name="Calculation 4 2 2 5 2" xfId="1366"/>
    <cellStyle name="Calculation 4 2 2 6" xfId="1367"/>
    <cellStyle name="Calculation 4 2 3" xfId="1368"/>
    <cellStyle name="Calculation 4 2 3 2" xfId="1369"/>
    <cellStyle name="Calculation 4 2 3 2 2" xfId="1370"/>
    <cellStyle name="Calculation 4 2 3 2 2 2" xfId="1371"/>
    <cellStyle name="Calculation 4 2 3 2 2 2 2" xfId="1372"/>
    <cellStyle name="Calculation 4 2 3 2 2 3" xfId="1373"/>
    <cellStyle name="Calculation 4 2 3 2 3" xfId="1374"/>
    <cellStyle name="Calculation 4 2 3 2 3 2" xfId="1375"/>
    <cellStyle name="Calculation 4 2 3 2 4" xfId="1376"/>
    <cellStyle name="Calculation 4 2 3 3" xfId="1377"/>
    <cellStyle name="Calculation 4 2 3 3 2" xfId="1378"/>
    <cellStyle name="Calculation 4 2 3 3 2 2" xfId="1379"/>
    <cellStyle name="Calculation 4 2 3 3 3" xfId="1380"/>
    <cellStyle name="Calculation 4 2 3 3 4" xfId="1381"/>
    <cellStyle name="Calculation 4 2 3 4" xfId="1382"/>
    <cellStyle name="Calculation 4 2 3 4 2" xfId="1383"/>
    <cellStyle name="Calculation 4 2 3 4 2 2" xfId="1384"/>
    <cellStyle name="Calculation 4 2 3 4 3" xfId="1385"/>
    <cellStyle name="Calculation 4 2 3 5" xfId="1386"/>
    <cellStyle name="Calculation 4 2 3 5 2" xfId="1387"/>
    <cellStyle name="Calculation 4 2 3 6" xfId="1388"/>
    <cellStyle name="Calculation 4 2 4" xfId="1389"/>
    <cellStyle name="Calculation 4 2 4 2" xfId="1390"/>
    <cellStyle name="Calculation 4 2 4 2 2" xfId="1391"/>
    <cellStyle name="Calculation 4 2 4 2 2 2" xfId="1392"/>
    <cellStyle name="Calculation 4 2 4 2 2 2 2" xfId="1393"/>
    <cellStyle name="Calculation 4 2 4 2 2 3" xfId="1394"/>
    <cellStyle name="Calculation 4 2 4 2 3" xfId="1395"/>
    <cellStyle name="Calculation 4 2 4 2 3 2" xfId="1396"/>
    <cellStyle name="Calculation 4 2 4 2 4" xfId="1397"/>
    <cellStyle name="Calculation 4 2 4 3" xfId="1398"/>
    <cellStyle name="Calculation 4 2 4 3 2" xfId="1399"/>
    <cellStyle name="Calculation 4 2 4 3 2 2" xfId="1400"/>
    <cellStyle name="Calculation 4 2 4 3 3" xfId="1401"/>
    <cellStyle name="Calculation 4 2 4 3 4" xfId="1402"/>
    <cellStyle name="Calculation 4 2 4 4" xfId="1403"/>
    <cellStyle name="Calculation 4 2 4 4 2" xfId="1404"/>
    <cellStyle name="Calculation 4 2 4 4 2 2" xfId="1405"/>
    <cellStyle name="Calculation 4 2 4 4 3" xfId="1406"/>
    <cellStyle name="Calculation 4 2 4 5" xfId="1407"/>
    <cellStyle name="Calculation 4 2 4 5 2" xfId="1408"/>
    <cellStyle name="Calculation 4 2 4 6" xfId="1409"/>
    <cellStyle name="Calculation 4 2 5" xfId="1410"/>
    <cellStyle name="Calculation 4 2 5 2" xfId="1411"/>
    <cellStyle name="Calculation 4 3" xfId="1412"/>
    <cellStyle name="Calculation 4 3 2" xfId="1413"/>
    <cellStyle name="Calculation 4 3 2 2" xfId="1414"/>
    <cellStyle name="Calculation 4 3 2 2 2" xfId="1415"/>
    <cellStyle name="Calculation 4 3 2 2 2 2" xfId="1416"/>
    <cellStyle name="Calculation 4 3 2 2 2 2 2" xfId="1417"/>
    <cellStyle name="Calculation 4 3 2 2 2 3" xfId="1418"/>
    <cellStyle name="Calculation 4 3 2 2 3" xfId="1419"/>
    <cellStyle name="Calculation 4 3 2 2 3 2" xfId="1420"/>
    <cellStyle name="Calculation 4 3 2 2 4" xfId="1421"/>
    <cellStyle name="Calculation 4 3 2 3" xfId="1422"/>
    <cellStyle name="Calculation 4 3 2 3 2" xfId="1423"/>
    <cellStyle name="Calculation 4 3 2 3 2 2" xfId="1424"/>
    <cellStyle name="Calculation 4 3 2 3 3" xfId="1425"/>
    <cellStyle name="Calculation 4 3 2 3 4" xfId="1426"/>
    <cellStyle name="Calculation 4 3 2 4" xfId="1427"/>
    <cellStyle name="Calculation 4 3 2 4 2" xfId="1428"/>
    <cellStyle name="Calculation 4 3 2 4 2 2" xfId="1429"/>
    <cellStyle name="Calculation 4 3 2 4 3" xfId="1430"/>
    <cellStyle name="Calculation 4 3 2 5" xfId="1431"/>
    <cellStyle name="Calculation 4 3 2 5 2" xfId="1432"/>
    <cellStyle name="Calculation 4 3 2 6" xfId="1433"/>
    <cellStyle name="Calculation 4 3 3" xfId="1434"/>
    <cellStyle name="Calculation 4 3 3 2" xfId="1435"/>
    <cellStyle name="Calculation 4 3 3 2 2" xfId="1436"/>
    <cellStyle name="Calculation 4 3 3 2 2 2" xfId="1437"/>
    <cellStyle name="Calculation 4 3 3 2 2 2 2" xfId="1438"/>
    <cellStyle name="Calculation 4 3 3 2 2 3" xfId="1439"/>
    <cellStyle name="Calculation 4 3 3 2 3" xfId="1440"/>
    <cellStyle name="Calculation 4 3 3 2 3 2" xfId="1441"/>
    <cellStyle name="Calculation 4 3 3 2 4" xfId="1442"/>
    <cellStyle name="Calculation 4 3 3 3" xfId="1443"/>
    <cellStyle name="Calculation 4 3 3 3 2" xfId="1444"/>
    <cellStyle name="Calculation 4 3 3 3 2 2" xfId="1445"/>
    <cellStyle name="Calculation 4 3 3 3 3" xfId="1446"/>
    <cellStyle name="Calculation 4 3 3 3 4" xfId="1447"/>
    <cellStyle name="Calculation 4 3 3 4" xfId="1448"/>
    <cellStyle name="Calculation 4 3 3 4 2" xfId="1449"/>
    <cellStyle name="Calculation 4 3 3 4 2 2" xfId="1450"/>
    <cellStyle name="Calculation 4 3 3 4 3" xfId="1451"/>
    <cellStyle name="Calculation 4 3 3 5" xfId="1452"/>
    <cellStyle name="Calculation 4 3 3 5 2" xfId="1453"/>
    <cellStyle name="Calculation 4 3 3 6" xfId="1454"/>
    <cellStyle name="Calculation 4 3 4" xfId="1455"/>
    <cellStyle name="Calculation 4 3 4 2" xfId="1456"/>
    <cellStyle name="Calculation 4 3 4 2 2" xfId="1457"/>
    <cellStyle name="Calculation 4 3 4 2 2 2" xfId="1458"/>
    <cellStyle name="Calculation 4 3 4 2 3" xfId="1459"/>
    <cellStyle name="Calculation 4 3 4 3" xfId="1460"/>
    <cellStyle name="Calculation 4 3 4 3 2" xfId="1461"/>
    <cellStyle name="Calculation 4 3 4 4" xfId="1462"/>
    <cellStyle name="Calculation 4 3 5" xfId="1463"/>
    <cellStyle name="Calculation 4 3 5 2" xfId="1464"/>
    <cellStyle name="Calculation 4 3 5 2 2" xfId="1465"/>
    <cellStyle name="Calculation 4 3 5 3" xfId="1466"/>
    <cellStyle name="Calculation 4 3 5 4" xfId="1467"/>
    <cellStyle name="Calculation 4 3 6" xfId="1468"/>
    <cellStyle name="Calculation 4 3 6 2" xfId="1469"/>
    <cellStyle name="Calculation 4 3 6 2 2" xfId="1470"/>
    <cellStyle name="Calculation 4 3 6 3" xfId="1471"/>
    <cellStyle name="Calculation 4 3 7" xfId="1472"/>
    <cellStyle name="Calculation 4 3 7 2" xfId="1473"/>
    <cellStyle name="Calculation 4 3 8" xfId="1474"/>
    <cellStyle name="Calculation 4 4" xfId="1475"/>
    <cellStyle name="Calculation 4 4 2" xfId="1476"/>
    <cellStyle name="Calculation 4 4 2 2" xfId="1477"/>
    <cellStyle name="Calculation 4 4 2 2 2" xfId="1478"/>
    <cellStyle name="Calculation 4 4 2 2 2 2" xfId="1479"/>
    <cellStyle name="Calculation 4 4 2 2 3" xfId="1480"/>
    <cellStyle name="Calculation 4 4 2 3" xfId="1481"/>
    <cellStyle name="Calculation 4 4 2 3 2" xfId="1482"/>
    <cellStyle name="Calculation 4 4 2 4" xfId="1483"/>
    <cellStyle name="Calculation 4 4 3" xfId="1484"/>
    <cellStyle name="Calculation 4 4 3 2" xfId="1485"/>
    <cellStyle name="Calculation 4 4 3 2 2" xfId="1486"/>
    <cellStyle name="Calculation 4 4 3 3" xfId="1487"/>
    <cellStyle name="Calculation 4 4 3 4" xfId="1488"/>
    <cellStyle name="Calculation 4 4 4" xfId="1489"/>
    <cellStyle name="Calculation 4 4 4 2" xfId="1490"/>
    <cellStyle name="Calculation 4 4 4 2 2" xfId="1491"/>
    <cellStyle name="Calculation 4 4 4 3" xfId="1492"/>
    <cellStyle name="Calculation 4 4 5" xfId="1493"/>
    <cellStyle name="Calculation 4 4 5 2" xfId="1494"/>
    <cellStyle name="Calculation 4 4 6" xfId="1495"/>
    <cellStyle name="Calculation 5" xfId="1496"/>
    <cellStyle name="Calculation 5 2" xfId="1497"/>
    <cellStyle name="Calculation 5 2 2" xfId="1498"/>
    <cellStyle name="Calculation 5 2 2 2" xfId="1499"/>
    <cellStyle name="Calculation 5 2 2 2 2" xfId="1500"/>
    <cellStyle name="Calculation 5 2 2 2 2 2" xfId="1501"/>
    <cellStyle name="Calculation 5 2 2 2 2 2 2" xfId="1502"/>
    <cellStyle name="Calculation 5 2 2 2 2 3" xfId="1503"/>
    <cellStyle name="Calculation 5 2 2 2 3" xfId="1504"/>
    <cellStyle name="Calculation 5 2 2 2 3 2" xfId="1505"/>
    <cellStyle name="Calculation 5 2 2 2 4" xfId="1506"/>
    <cellStyle name="Calculation 5 2 2 3" xfId="1507"/>
    <cellStyle name="Calculation 5 2 2 3 2" xfId="1508"/>
    <cellStyle name="Calculation 5 2 2 3 2 2" xfId="1509"/>
    <cellStyle name="Calculation 5 2 2 3 3" xfId="1510"/>
    <cellStyle name="Calculation 5 2 2 3 4" xfId="1511"/>
    <cellStyle name="Calculation 5 2 2 4" xfId="1512"/>
    <cellStyle name="Calculation 5 2 2 4 2" xfId="1513"/>
    <cellStyle name="Calculation 5 2 2 4 2 2" xfId="1514"/>
    <cellStyle name="Calculation 5 2 2 4 3" xfId="1515"/>
    <cellStyle name="Calculation 5 2 2 5" xfId="1516"/>
    <cellStyle name="Calculation 5 2 2 5 2" xfId="1517"/>
    <cellStyle name="Calculation 5 2 2 6" xfId="1518"/>
    <cellStyle name="Calculation 5 2 3" xfId="1519"/>
    <cellStyle name="Calculation 5 2 3 2" xfId="1520"/>
    <cellStyle name="Calculation 5 2 3 2 2" xfId="1521"/>
    <cellStyle name="Calculation 5 2 3 2 2 2" xfId="1522"/>
    <cellStyle name="Calculation 5 2 3 2 2 2 2" xfId="1523"/>
    <cellStyle name="Calculation 5 2 3 2 2 3" xfId="1524"/>
    <cellStyle name="Calculation 5 2 3 2 3" xfId="1525"/>
    <cellStyle name="Calculation 5 2 3 2 3 2" xfId="1526"/>
    <cellStyle name="Calculation 5 2 3 2 4" xfId="1527"/>
    <cellStyle name="Calculation 5 2 3 3" xfId="1528"/>
    <cellStyle name="Calculation 5 2 3 3 2" xfId="1529"/>
    <cellStyle name="Calculation 5 2 3 3 2 2" xfId="1530"/>
    <cellStyle name="Calculation 5 2 3 3 3" xfId="1531"/>
    <cellStyle name="Calculation 5 2 3 3 4" xfId="1532"/>
    <cellStyle name="Calculation 5 2 3 4" xfId="1533"/>
    <cellStyle name="Calculation 5 2 3 4 2" xfId="1534"/>
    <cellStyle name="Calculation 5 2 3 4 2 2" xfId="1535"/>
    <cellStyle name="Calculation 5 2 3 4 3" xfId="1536"/>
    <cellStyle name="Calculation 5 2 3 5" xfId="1537"/>
    <cellStyle name="Calculation 5 2 3 5 2" xfId="1538"/>
    <cellStyle name="Calculation 5 2 3 6" xfId="1539"/>
    <cellStyle name="Calculation 5 2 4" xfId="1540"/>
    <cellStyle name="Calculation 5 2 4 2" xfId="1541"/>
    <cellStyle name="Calculation 5 2 4 2 2" xfId="1542"/>
    <cellStyle name="Calculation 5 2 4 2 2 2" xfId="1543"/>
    <cellStyle name="Calculation 5 2 4 2 2 2 2" xfId="1544"/>
    <cellStyle name="Calculation 5 2 4 2 2 3" xfId="1545"/>
    <cellStyle name="Calculation 5 2 4 2 3" xfId="1546"/>
    <cellStyle name="Calculation 5 2 4 2 3 2" xfId="1547"/>
    <cellStyle name="Calculation 5 2 4 2 4" xfId="1548"/>
    <cellStyle name="Calculation 5 2 4 3" xfId="1549"/>
    <cellStyle name="Calculation 5 2 4 3 2" xfId="1550"/>
    <cellStyle name="Calculation 5 2 4 3 2 2" xfId="1551"/>
    <cellStyle name="Calculation 5 2 4 3 3" xfId="1552"/>
    <cellStyle name="Calculation 5 2 4 3 4" xfId="1553"/>
    <cellStyle name="Calculation 5 2 4 4" xfId="1554"/>
    <cellStyle name="Calculation 5 2 4 4 2" xfId="1555"/>
    <cellStyle name="Calculation 5 2 4 4 2 2" xfId="1556"/>
    <cellStyle name="Calculation 5 2 4 4 3" xfId="1557"/>
    <cellStyle name="Calculation 5 2 4 5" xfId="1558"/>
    <cellStyle name="Calculation 5 2 4 5 2" xfId="1559"/>
    <cellStyle name="Calculation 5 2 4 6" xfId="1560"/>
    <cellStyle name="Calculation 5 2 5" xfId="1561"/>
    <cellStyle name="Calculation 5 2 5 2" xfId="1562"/>
    <cellStyle name="Calculation 5 3" xfId="1563"/>
    <cellStyle name="Calculation 5 3 2" xfId="1564"/>
    <cellStyle name="Calculation 5 3 2 2" xfId="1565"/>
    <cellStyle name="Calculation 5 3 2 2 2" xfId="1566"/>
    <cellStyle name="Calculation 5 3 2 2 2 2" xfId="1567"/>
    <cellStyle name="Calculation 5 3 2 2 2 2 2" xfId="1568"/>
    <cellStyle name="Calculation 5 3 2 2 2 3" xfId="1569"/>
    <cellStyle name="Calculation 5 3 2 2 3" xfId="1570"/>
    <cellStyle name="Calculation 5 3 2 2 3 2" xfId="1571"/>
    <cellStyle name="Calculation 5 3 2 2 4" xfId="1572"/>
    <cellStyle name="Calculation 5 3 2 3" xfId="1573"/>
    <cellStyle name="Calculation 5 3 2 3 2" xfId="1574"/>
    <cellStyle name="Calculation 5 3 2 3 2 2" xfId="1575"/>
    <cellStyle name="Calculation 5 3 2 3 3" xfId="1576"/>
    <cellStyle name="Calculation 5 3 2 3 4" xfId="1577"/>
    <cellStyle name="Calculation 5 3 2 4" xfId="1578"/>
    <cellStyle name="Calculation 5 3 2 4 2" xfId="1579"/>
    <cellStyle name="Calculation 5 3 2 4 2 2" xfId="1580"/>
    <cellStyle name="Calculation 5 3 2 4 3" xfId="1581"/>
    <cellStyle name="Calculation 5 3 2 5" xfId="1582"/>
    <cellStyle name="Calculation 5 3 2 5 2" xfId="1583"/>
    <cellStyle name="Calculation 5 3 2 6" xfId="1584"/>
    <cellStyle name="Calculation 5 3 3" xfId="1585"/>
    <cellStyle name="Calculation 5 3 3 2" xfId="1586"/>
    <cellStyle name="Calculation 5 3 3 2 2" xfId="1587"/>
    <cellStyle name="Calculation 5 3 3 2 2 2" xfId="1588"/>
    <cellStyle name="Calculation 5 3 3 2 2 2 2" xfId="1589"/>
    <cellStyle name="Calculation 5 3 3 2 2 3" xfId="1590"/>
    <cellStyle name="Calculation 5 3 3 2 3" xfId="1591"/>
    <cellStyle name="Calculation 5 3 3 2 3 2" xfId="1592"/>
    <cellStyle name="Calculation 5 3 3 2 4" xfId="1593"/>
    <cellStyle name="Calculation 5 3 3 3" xfId="1594"/>
    <cellStyle name="Calculation 5 3 3 3 2" xfId="1595"/>
    <cellStyle name="Calculation 5 3 3 3 2 2" xfId="1596"/>
    <cellStyle name="Calculation 5 3 3 3 3" xfId="1597"/>
    <cellStyle name="Calculation 5 3 3 3 4" xfId="1598"/>
    <cellStyle name="Calculation 5 3 3 4" xfId="1599"/>
    <cellStyle name="Calculation 5 3 3 4 2" xfId="1600"/>
    <cellStyle name="Calculation 5 3 3 4 2 2" xfId="1601"/>
    <cellStyle name="Calculation 5 3 3 4 3" xfId="1602"/>
    <cellStyle name="Calculation 5 3 3 5" xfId="1603"/>
    <cellStyle name="Calculation 5 3 3 5 2" xfId="1604"/>
    <cellStyle name="Calculation 5 3 3 6" xfId="1605"/>
    <cellStyle name="Calculation 5 3 4" xfId="1606"/>
    <cellStyle name="Calculation 5 3 4 2" xfId="1607"/>
    <cellStyle name="Calculation 5 3 4 2 2" xfId="1608"/>
    <cellStyle name="Calculation 5 3 4 2 2 2" xfId="1609"/>
    <cellStyle name="Calculation 5 3 4 2 3" xfId="1610"/>
    <cellStyle name="Calculation 5 3 4 3" xfId="1611"/>
    <cellStyle name="Calculation 5 3 4 3 2" xfId="1612"/>
    <cellStyle name="Calculation 5 3 4 4" xfId="1613"/>
    <cellStyle name="Calculation 5 3 5" xfId="1614"/>
    <cellStyle name="Calculation 5 3 5 2" xfId="1615"/>
    <cellStyle name="Calculation 5 3 5 2 2" xfId="1616"/>
    <cellStyle name="Calculation 5 3 5 3" xfId="1617"/>
    <cellStyle name="Calculation 5 3 5 4" xfId="1618"/>
    <cellStyle name="Calculation 5 3 6" xfId="1619"/>
    <cellStyle name="Calculation 5 3 6 2" xfId="1620"/>
    <cellStyle name="Calculation 5 3 6 2 2" xfId="1621"/>
    <cellStyle name="Calculation 5 3 6 3" xfId="1622"/>
    <cellStyle name="Calculation 5 3 7" xfId="1623"/>
    <cellStyle name="Calculation 5 3 7 2" xfId="1624"/>
    <cellStyle name="Calculation 5 3 8" xfId="1625"/>
    <cellStyle name="Calculation 5 4" xfId="1626"/>
    <cellStyle name="Calculation 5 4 2" xfId="1627"/>
    <cellStyle name="Calculation 5 4 2 2" xfId="1628"/>
    <cellStyle name="Calculation 5 4 2 2 2" xfId="1629"/>
    <cellStyle name="Calculation 5 4 2 2 2 2" xfId="1630"/>
    <cellStyle name="Calculation 5 4 2 2 3" xfId="1631"/>
    <cellStyle name="Calculation 5 4 2 3" xfId="1632"/>
    <cellStyle name="Calculation 5 4 2 3 2" xfId="1633"/>
    <cellStyle name="Calculation 5 4 2 4" xfId="1634"/>
    <cellStyle name="Calculation 5 4 3" xfId="1635"/>
    <cellStyle name="Calculation 5 4 3 2" xfId="1636"/>
    <cellStyle name="Calculation 5 4 3 2 2" xfId="1637"/>
    <cellStyle name="Calculation 5 4 3 3" xfId="1638"/>
    <cellStyle name="Calculation 5 4 3 4" xfId="1639"/>
    <cellStyle name="Calculation 5 4 4" xfId="1640"/>
    <cellStyle name="Calculation 5 4 4 2" xfId="1641"/>
    <cellStyle name="Calculation 5 4 4 2 2" xfId="1642"/>
    <cellStyle name="Calculation 5 4 4 3" xfId="1643"/>
    <cellStyle name="Calculation 5 4 5" xfId="1644"/>
    <cellStyle name="Calculation 5 4 5 2" xfId="1645"/>
    <cellStyle name="Calculation 5 4 6" xfId="1646"/>
    <cellStyle name="Calculation 6" xfId="1647"/>
    <cellStyle name="Calculation 6 2" xfId="1648"/>
    <cellStyle name="Calculation 6 2 2" xfId="1649"/>
    <cellStyle name="Calculation 6 2 2 2" xfId="1650"/>
    <cellStyle name="Calculation 6 2 2 2 2" xfId="1651"/>
    <cellStyle name="Calculation 6 2 2 2 2 2" xfId="1652"/>
    <cellStyle name="Calculation 6 2 2 2 2 2 2" xfId="1653"/>
    <cellStyle name="Calculation 6 2 2 2 2 3" xfId="1654"/>
    <cellStyle name="Calculation 6 2 2 2 3" xfId="1655"/>
    <cellStyle name="Calculation 6 2 2 2 3 2" xfId="1656"/>
    <cellStyle name="Calculation 6 2 2 2 4" xfId="1657"/>
    <cellStyle name="Calculation 6 2 2 3" xfId="1658"/>
    <cellStyle name="Calculation 6 2 2 3 2" xfId="1659"/>
    <cellStyle name="Calculation 6 2 2 3 2 2" xfId="1660"/>
    <cellStyle name="Calculation 6 2 2 3 3" xfId="1661"/>
    <cellStyle name="Calculation 6 2 2 3 4" xfId="1662"/>
    <cellStyle name="Calculation 6 2 2 4" xfId="1663"/>
    <cellStyle name="Calculation 6 2 2 4 2" xfId="1664"/>
    <cellStyle name="Calculation 6 2 2 4 2 2" xfId="1665"/>
    <cellStyle name="Calculation 6 2 2 4 3" xfId="1666"/>
    <cellStyle name="Calculation 6 2 2 5" xfId="1667"/>
    <cellStyle name="Calculation 6 2 2 5 2" xfId="1668"/>
    <cellStyle name="Calculation 6 2 2 6" xfId="1669"/>
    <cellStyle name="Calculation 6 2 3" xfId="1670"/>
    <cellStyle name="Calculation 6 2 3 2" xfId="1671"/>
    <cellStyle name="Calculation 6 2 3 2 2" xfId="1672"/>
    <cellStyle name="Calculation 6 2 3 2 2 2" xfId="1673"/>
    <cellStyle name="Calculation 6 2 3 2 2 2 2" xfId="1674"/>
    <cellStyle name="Calculation 6 2 3 2 2 3" xfId="1675"/>
    <cellStyle name="Calculation 6 2 3 2 3" xfId="1676"/>
    <cellStyle name="Calculation 6 2 3 2 3 2" xfId="1677"/>
    <cellStyle name="Calculation 6 2 3 2 4" xfId="1678"/>
    <cellStyle name="Calculation 6 2 3 3" xfId="1679"/>
    <cellStyle name="Calculation 6 2 3 3 2" xfId="1680"/>
    <cellStyle name="Calculation 6 2 3 3 2 2" xfId="1681"/>
    <cellStyle name="Calculation 6 2 3 3 3" xfId="1682"/>
    <cellStyle name="Calculation 6 2 3 3 4" xfId="1683"/>
    <cellStyle name="Calculation 6 2 3 4" xfId="1684"/>
    <cellStyle name="Calculation 6 2 3 4 2" xfId="1685"/>
    <cellStyle name="Calculation 6 2 3 4 2 2" xfId="1686"/>
    <cellStyle name="Calculation 6 2 3 4 3" xfId="1687"/>
    <cellStyle name="Calculation 6 2 3 5" xfId="1688"/>
    <cellStyle name="Calculation 6 2 3 5 2" xfId="1689"/>
    <cellStyle name="Calculation 6 2 3 6" xfId="1690"/>
    <cellStyle name="Calculation 6 2 4" xfId="1691"/>
    <cellStyle name="Calculation 6 2 4 2" xfId="1692"/>
    <cellStyle name="Calculation 6 2 4 2 2" xfId="1693"/>
    <cellStyle name="Calculation 6 2 4 2 2 2" xfId="1694"/>
    <cellStyle name="Calculation 6 2 4 2 3" xfId="1695"/>
    <cellStyle name="Calculation 6 2 4 3" xfId="1696"/>
    <cellStyle name="Calculation 6 2 4 3 2" xfId="1697"/>
    <cellStyle name="Calculation 6 2 4 4" xfId="1698"/>
    <cellStyle name="Calculation 6 2 5" xfId="1699"/>
    <cellStyle name="Calculation 6 2 5 2" xfId="1700"/>
    <cellStyle name="Calculation 6 2 5 2 2" xfId="1701"/>
    <cellStyle name="Calculation 6 2 5 3" xfId="1702"/>
    <cellStyle name="Calculation 6 2 5 4" xfId="1703"/>
    <cellStyle name="Calculation 6 2 6" xfId="1704"/>
    <cellStyle name="Calculation 6 2 6 2" xfId="1705"/>
    <cellStyle name="Calculation 6 2 6 2 2" xfId="1706"/>
    <cellStyle name="Calculation 6 2 6 3" xfId="1707"/>
    <cellStyle name="Calculation 6 2 7" xfId="1708"/>
    <cellStyle name="Calculation 6 2 7 2" xfId="1709"/>
    <cellStyle name="Calculation 6 2 8" xfId="1710"/>
    <cellStyle name="Calculation 6 3" xfId="1711"/>
    <cellStyle name="Calculation 6 3 2" xfId="1712"/>
    <cellStyle name="Calculation 6 3 2 2" xfId="1713"/>
    <cellStyle name="Calculation 6 3 2 2 2" xfId="1714"/>
    <cellStyle name="Calculation 6 3 2 2 2 2" xfId="1715"/>
    <cellStyle name="Calculation 6 3 2 2 3" xfId="1716"/>
    <cellStyle name="Calculation 6 3 2 3" xfId="1717"/>
    <cellStyle name="Calculation 6 3 2 3 2" xfId="1718"/>
    <cellStyle name="Calculation 6 3 2 4" xfId="1719"/>
    <cellStyle name="Calculation 6 3 3" xfId="1720"/>
    <cellStyle name="Calculation 6 3 3 2" xfId="1721"/>
    <cellStyle name="Calculation 6 3 3 2 2" xfId="1722"/>
    <cellStyle name="Calculation 6 3 3 3" xfId="1723"/>
    <cellStyle name="Calculation 6 3 3 4" xfId="1724"/>
    <cellStyle name="Calculation 6 3 4" xfId="1725"/>
    <cellStyle name="Calculation 6 3 4 2" xfId="1726"/>
    <cellStyle name="Calculation 6 3 4 2 2" xfId="1727"/>
    <cellStyle name="Calculation 6 3 4 3" xfId="1728"/>
    <cellStyle name="Calculation 6 3 5" xfId="1729"/>
    <cellStyle name="Calculation 6 3 5 2" xfId="1730"/>
    <cellStyle name="Calculation 6 3 6" xfId="1731"/>
    <cellStyle name="Calculation 6 4" xfId="1732"/>
    <cellStyle name="Calculation 6 4 2" xfId="1733"/>
    <cellStyle name="Calculation 7" xfId="1734"/>
    <cellStyle name="Calculation 7 2" xfId="1735"/>
    <cellStyle name="Calculation 7 2 2" xfId="1736"/>
    <cellStyle name="Calculation 7 2 2 2" xfId="1737"/>
    <cellStyle name="Calculation 7 2 2 2 2" xfId="1738"/>
    <cellStyle name="Calculation 7 2 2 2 2 2" xfId="1739"/>
    <cellStyle name="Calculation 7 2 2 2 3" xfId="1740"/>
    <cellStyle name="Calculation 7 2 2 3" xfId="1741"/>
    <cellStyle name="Calculation 7 2 2 3 2" xfId="1742"/>
    <cellStyle name="Calculation 7 2 2 4" xfId="1743"/>
    <cellStyle name="Calculation 7 2 3" xfId="1744"/>
    <cellStyle name="Calculation 7 2 3 2" xfId="1745"/>
    <cellStyle name="Calculation 7 2 3 2 2" xfId="1746"/>
    <cellStyle name="Calculation 7 2 3 3" xfId="1747"/>
    <cellStyle name="Calculation 7 2 3 4" xfId="1748"/>
    <cellStyle name="Calculation 7 2 4" xfId="1749"/>
    <cellStyle name="Calculation 7 2 4 2" xfId="1750"/>
    <cellStyle name="Calculation 7 2 4 2 2" xfId="1751"/>
    <cellStyle name="Calculation 7 2 4 3" xfId="1752"/>
    <cellStyle name="Calculation 7 2 5" xfId="1753"/>
    <cellStyle name="Calculation 7 2 5 2" xfId="1754"/>
    <cellStyle name="Calculation 7 2 6" xfId="1755"/>
    <cellStyle name="Calculation 7 3" xfId="1756"/>
    <cellStyle name="Calculation 7 3 2" xfId="1757"/>
    <cellStyle name="Calculation 7 3 2 2" xfId="1758"/>
    <cellStyle name="Calculation 7 3 2 2 2" xfId="1759"/>
    <cellStyle name="Calculation 7 3 2 2 2 2" xfId="1760"/>
    <cellStyle name="Calculation 7 3 2 2 3" xfId="1761"/>
    <cellStyle name="Calculation 7 3 2 3" xfId="1762"/>
    <cellStyle name="Calculation 7 3 2 3 2" xfId="1763"/>
    <cellStyle name="Calculation 7 3 2 4" xfId="1764"/>
    <cellStyle name="Calculation 7 3 3" xfId="1765"/>
    <cellStyle name="Calculation 7 3 3 2" xfId="1766"/>
    <cellStyle name="Calculation 7 3 3 2 2" xfId="1767"/>
    <cellStyle name="Calculation 7 3 3 3" xfId="1768"/>
    <cellStyle name="Calculation 7 3 3 4" xfId="1769"/>
    <cellStyle name="Calculation 7 3 4" xfId="1770"/>
    <cellStyle name="Calculation 7 3 4 2" xfId="1771"/>
    <cellStyle name="Calculation 7 3 4 2 2" xfId="1772"/>
    <cellStyle name="Calculation 7 3 4 3" xfId="1773"/>
    <cellStyle name="Calculation 7 3 5" xfId="1774"/>
    <cellStyle name="Calculation 7 3 5 2" xfId="1775"/>
    <cellStyle name="Calculation 7 3 6" xfId="1776"/>
    <cellStyle name="Calculation 7 4" xfId="1777"/>
    <cellStyle name="Calculation 7 4 2" xfId="1778"/>
    <cellStyle name="Calculation 7 4 2 2" xfId="1779"/>
    <cellStyle name="Calculation 7 4 2 2 2" xfId="1780"/>
    <cellStyle name="Calculation 7 4 2 3" xfId="1781"/>
    <cellStyle name="Calculation 7 4 3" xfId="1782"/>
    <cellStyle name="Calculation 7 4 3 2" xfId="1783"/>
    <cellStyle name="Calculation 7 4 4" xfId="1784"/>
    <cellStyle name="Calculation 7 5" xfId="1785"/>
    <cellStyle name="Calculation 7 5 2" xfId="1786"/>
    <cellStyle name="Calculation 7 5 2 2" xfId="1787"/>
    <cellStyle name="Calculation 7 5 3" xfId="1788"/>
    <cellStyle name="Calculation 7 5 4" xfId="1789"/>
    <cellStyle name="Calculation 7 6" xfId="1790"/>
    <cellStyle name="Calculation 7 6 2" xfId="1791"/>
    <cellStyle name="Calculation 7 6 2 2" xfId="1792"/>
    <cellStyle name="Calculation 7 6 3" xfId="1793"/>
    <cellStyle name="Calculation 7 7" xfId="1794"/>
    <cellStyle name="Calculation 7 7 2" xfId="1795"/>
    <cellStyle name="Calculation 7 8" xfId="1796"/>
    <cellStyle name="Check Cell" xfId="7635" builtinId="23" customBuiltin="1"/>
    <cellStyle name="Check Cell 2" xfId="1797"/>
    <cellStyle name="Check Cell 2 2" xfId="1798"/>
    <cellStyle name="Check Cell 3" xfId="1799"/>
    <cellStyle name="Check Cell 4" xfId="1800"/>
    <cellStyle name="code" xfId="1801"/>
    <cellStyle name="Comma [0] 2" xfId="1802"/>
    <cellStyle name="Comma [0] 2 2" xfId="1803"/>
    <cellStyle name="Comma [0] 2 2 2" xfId="1804"/>
    <cellStyle name="Comma [0] 2 2 2 2" xfId="7361"/>
    <cellStyle name="Comma [0] 2 2 2 2 2" xfId="7666"/>
    <cellStyle name="Comma [0] 2 2 2 3" xfId="7667"/>
    <cellStyle name="Comma [0] 2 2 2 4" xfId="7668"/>
    <cellStyle name="Comma [0] 2 2 3" xfId="7360"/>
    <cellStyle name="Comma [0] 2 2 3 2" xfId="7669"/>
    <cellStyle name="Comma [0] 2 2 4" xfId="7670"/>
    <cellStyle name="Comma [0] 2 2 5" xfId="7671"/>
    <cellStyle name="Comma [0] 3" xfId="1805"/>
    <cellStyle name="Comma [0] 3 2" xfId="1806"/>
    <cellStyle name="Comma [0] 3 2 2" xfId="1807"/>
    <cellStyle name="Comma [0] 3 2 2 2" xfId="7363"/>
    <cellStyle name="Comma [0] 3 2 2 2 2" xfId="7672"/>
    <cellStyle name="Comma [0] 3 2 2 3" xfId="7673"/>
    <cellStyle name="Comma [0] 3 2 2 4" xfId="7674"/>
    <cellStyle name="Comma [0] 3 2 3" xfId="7362"/>
    <cellStyle name="Comma [0] 3 2 3 2" xfId="7675"/>
    <cellStyle name="Comma [0] 3 2 4" xfId="7676"/>
    <cellStyle name="Comma [0] 3 2 5" xfId="7677"/>
    <cellStyle name="Comma [0] 4" xfId="1808"/>
    <cellStyle name="Comma [0] 4 2" xfId="1809"/>
    <cellStyle name="Comma [0] 4 2 2" xfId="7365"/>
    <cellStyle name="Comma [0] 4 2 2 2" xfId="7678"/>
    <cellStyle name="Comma [0] 4 2 3" xfId="7679"/>
    <cellStyle name="Comma [0] 4 2 4" xfId="7680"/>
    <cellStyle name="Comma [0] 4 3" xfId="7364"/>
    <cellStyle name="Comma [0] 4 3 2" xfId="7681"/>
    <cellStyle name="Comma [0] 4 4" xfId="7682"/>
    <cellStyle name="Comma [0] 4 5" xfId="7683"/>
    <cellStyle name="Comma [0] 5" xfId="1"/>
    <cellStyle name="Comma [0] 5 2" xfId="7366"/>
    <cellStyle name="Comma [0] 5 2 2" xfId="7684"/>
    <cellStyle name="Comma [0] 5 3" xfId="7685"/>
    <cellStyle name="Comma [0] 5 4" xfId="7686"/>
    <cellStyle name="Comma 10" xfId="1810"/>
    <cellStyle name="Comma 10 2" xfId="1811"/>
    <cellStyle name="Comma 10 2 2" xfId="1812"/>
    <cellStyle name="Comma 10 2 2 2" xfId="1813"/>
    <cellStyle name="Comma 10 2 2 2 2" xfId="1814"/>
    <cellStyle name="Comma 10 2 2 2 2 2" xfId="7371"/>
    <cellStyle name="Comma 10 2 2 2 2 2 2" xfId="7687"/>
    <cellStyle name="Comma 10 2 2 2 2 3" xfId="7688"/>
    <cellStyle name="Comma 10 2 2 2 2 4" xfId="7689"/>
    <cellStyle name="Comma 10 2 2 2 3" xfId="7370"/>
    <cellStyle name="Comma 10 2 2 2 3 2" xfId="7690"/>
    <cellStyle name="Comma 10 2 2 2 4" xfId="7691"/>
    <cellStyle name="Comma 10 2 2 2 5" xfId="7692"/>
    <cellStyle name="Comma 10 2 2 3" xfId="1815"/>
    <cellStyle name="Comma 10 2 2 3 2" xfId="7372"/>
    <cellStyle name="Comma 10 2 2 3 2 2" xfId="7693"/>
    <cellStyle name="Comma 10 2 2 3 3" xfId="7694"/>
    <cellStyle name="Comma 10 2 2 3 4" xfId="7695"/>
    <cellStyle name="Comma 10 2 2 4" xfId="7369"/>
    <cellStyle name="Comma 10 2 2 4 2" xfId="7696"/>
    <cellStyle name="Comma 10 2 2 5" xfId="7697"/>
    <cellStyle name="Comma 10 2 2 6" xfId="7698"/>
    <cellStyle name="Comma 10 2 3" xfId="1816"/>
    <cellStyle name="Comma 10 2 3 2" xfId="1817"/>
    <cellStyle name="Comma 10 2 3 2 2" xfId="7374"/>
    <cellStyle name="Comma 10 2 3 2 2 2" xfId="7699"/>
    <cellStyle name="Comma 10 2 3 2 3" xfId="7700"/>
    <cellStyle name="Comma 10 2 3 2 4" xfId="7701"/>
    <cellStyle name="Comma 10 2 3 3" xfId="7373"/>
    <cellStyle name="Comma 10 2 3 3 2" xfId="7702"/>
    <cellStyle name="Comma 10 2 3 4" xfId="7703"/>
    <cellStyle name="Comma 10 2 3 5" xfId="7704"/>
    <cellStyle name="Comma 10 2 4" xfId="1818"/>
    <cellStyle name="Comma 10 2 4 2" xfId="7375"/>
    <cellStyle name="Comma 10 2 4 2 2" xfId="7705"/>
    <cellStyle name="Comma 10 2 4 3" xfId="7706"/>
    <cellStyle name="Comma 10 2 4 4" xfId="7707"/>
    <cellStyle name="Comma 10 2 5" xfId="7368"/>
    <cellStyle name="Comma 10 2 5 2" xfId="7708"/>
    <cellStyle name="Comma 10 2 6" xfId="7709"/>
    <cellStyle name="Comma 10 2 7" xfId="7710"/>
    <cellStyle name="Comma 10 3" xfId="1819"/>
    <cellStyle name="Comma 10 3 2" xfId="1820"/>
    <cellStyle name="Comma 10 3 2 2" xfId="1821"/>
    <cellStyle name="Comma 10 3 2 2 2" xfId="7378"/>
    <cellStyle name="Comma 10 3 2 2 2 2" xfId="7711"/>
    <cellStyle name="Comma 10 3 2 2 3" xfId="7712"/>
    <cellStyle name="Comma 10 3 2 2 4" xfId="7713"/>
    <cellStyle name="Comma 10 3 2 3" xfId="7377"/>
    <cellStyle name="Comma 10 3 2 3 2" xfId="7714"/>
    <cellStyle name="Comma 10 3 2 4" xfId="7715"/>
    <cellStyle name="Comma 10 3 2 5" xfId="7716"/>
    <cellStyle name="Comma 10 3 3" xfId="1822"/>
    <cellStyle name="Comma 10 3 3 2" xfId="7379"/>
    <cellStyle name="Comma 10 3 3 2 2" xfId="7717"/>
    <cellStyle name="Comma 10 3 3 3" xfId="7718"/>
    <cellStyle name="Comma 10 3 3 4" xfId="7719"/>
    <cellStyle name="Comma 10 3 4" xfId="7376"/>
    <cellStyle name="Comma 10 3 4 2" xfId="7720"/>
    <cellStyle name="Comma 10 3 5" xfId="7721"/>
    <cellStyle name="Comma 10 3 6" xfId="7722"/>
    <cellStyle name="Comma 10 4" xfId="1823"/>
    <cellStyle name="Comma 10 4 2" xfId="1824"/>
    <cellStyle name="Comma 10 4 2 2" xfId="7381"/>
    <cellStyle name="Comma 10 4 2 2 2" xfId="7723"/>
    <cellStyle name="Comma 10 4 2 3" xfId="7724"/>
    <cellStyle name="Comma 10 4 2 4" xfId="7725"/>
    <cellStyle name="Comma 10 4 3" xfId="7380"/>
    <cellStyle name="Comma 10 4 3 2" xfId="7726"/>
    <cellStyle name="Comma 10 4 4" xfId="7727"/>
    <cellStyle name="Comma 10 4 5" xfId="7728"/>
    <cellStyle name="Comma 10 5" xfId="1825"/>
    <cellStyle name="Comma 10 5 2" xfId="1826"/>
    <cellStyle name="Comma 10 5 2 2" xfId="7383"/>
    <cellStyle name="Comma 10 5 2 2 2" xfId="7729"/>
    <cellStyle name="Comma 10 5 2 3" xfId="7730"/>
    <cellStyle name="Comma 10 5 2 4" xfId="7731"/>
    <cellStyle name="Comma 10 5 3" xfId="7382"/>
    <cellStyle name="Comma 10 5 3 2" xfId="7732"/>
    <cellStyle name="Comma 10 5 4" xfId="7733"/>
    <cellStyle name="Comma 10 5 5" xfId="7734"/>
    <cellStyle name="Comma 10 6" xfId="1827"/>
    <cellStyle name="Comma 10 6 2" xfId="7384"/>
    <cellStyle name="Comma 10 6 2 2" xfId="7735"/>
    <cellStyle name="Comma 10 6 3" xfId="7736"/>
    <cellStyle name="Comma 10 6 4" xfId="7737"/>
    <cellStyle name="Comma 10 7" xfId="7367"/>
    <cellStyle name="Comma 10 7 2" xfId="7738"/>
    <cellStyle name="Comma 10 8" xfId="7739"/>
    <cellStyle name="Comma 10 9" xfId="7740"/>
    <cellStyle name="Comma 100" xfId="1828"/>
    <cellStyle name="Comma 100 2" xfId="7385"/>
    <cellStyle name="Comma 100 2 2" xfId="7741"/>
    <cellStyle name="Comma 100 3" xfId="7742"/>
    <cellStyle name="Comma 100 4" xfId="7743"/>
    <cellStyle name="Comma 101" xfId="1829"/>
    <cellStyle name="Comma 101 2" xfId="7386"/>
    <cellStyle name="Comma 101 2 2" xfId="7744"/>
    <cellStyle name="Comma 101 3" xfId="7745"/>
    <cellStyle name="Comma 101 4" xfId="7746"/>
    <cellStyle name="Comma 102" xfId="1830"/>
    <cellStyle name="Comma 102 2" xfId="7387"/>
    <cellStyle name="Comma 102 2 2" xfId="7747"/>
    <cellStyle name="Comma 102 3" xfId="7748"/>
    <cellStyle name="Comma 102 4" xfId="7749"/>
    <cellStyle name="Comma 103" xfId="1831"/>
    <cellStyle name="Comma 103 2" xfId="7388"/>
    <cellStyle name="Comma 103 2 2" xfId="7750"/>
    <cellStyle name="Comma 103 3" xfId="7751"/>
    <cellStyle name="Comma 103 4" xfId="7752"/>
    <cellStyle name="Comma 104" xfId="1832"/>
    <cellStyle name="Comma 104 2" xfId="7389"/>
    <cellStyle name="Comma 104 2 2" xfId="7753"/>
    <cellStyle name="Comma 104 3" xfId="7754"/>
    <cellStyle name="Comma 104 4" xfId="7755"/>
    <cellStyle name="Comma 105" xfId="1833"/>
    <cellStyle name="Comma 105 2" xfId="7390"/>
    <cellStyle name="Comma 105 2 2" xfId="7756"/>
    <cellStyle name="Comma 105 3" xfId="7757"/>
    <cellStyle name="Comma 105 4" xfId="7758"/>
    <cellStyle name="Comma 106" xfId="1834"/>
    <cellStyle name="Comma 106 2" xfId="7391"/>
    <cellStyle name="Comma 106 2 2" xfId="7759"/>
    <cellStyle name="Comma 106 3" xfId="7760"/>
    <cellStyle name="Comma 106 4" xfId="7761"/>
    <cellStyle name="Comma 107" xfId="1835"/>
    <cellStyle name="Comma 107 2" xfId="7392"/>
    <cellStyle name="Comma 107 2 2" xfId="7762"/>
    <cellStyle name="Comma 107 3" xfId="7763"/>
    <cellStyle name="Comma 107 4" xfId="7764"/>
    <cellStyle name="Comma 108" xfId="1836"/>
    <cellStyle name="Comma 108 2" xfId="7393"/>
    <cellStyle name="Comma 108 2 2" xfId="7765"/>
    <cellStyle name="Comma 108 3" xfId="7766"/>
    <cellStyle name="Comma 108 4" xfId="7767"/>
    <cellStyle name="Comma 109" xfId="1837"/>
    <cellStyle name="Comma 109 2" xfId="7394"/>
    <cellStyle name="Comma 109 2 2" xfId="7768"/>
    <cellStyle name="Comma 109 3" xfId="7769"/>
    <cellStyle name="Comma 109 4" xfId="7770"/>
    <cellStyle name="Comma 11" xfId="1838"/>
    <cellStyle name="Comma 11 2" xfId="1839"/>
    <cellStyle name="Comma 11 2 2" xfId="1840"/>
    <cellStyle name="Comma 11 2 2 2" xfId="1841"/>
    <cellStyle name="Comma 11 2 2 2 2" xfId="7398"/>
    <cellStyle name="Comma 11 2 2 2 2 2" xfId="7771"/>
    <cellStyle name="Comma 11 2 2 2 3" xfId="7772"/>
    <cellStyle name="Comma 11 2 2 2 4" xfId="7773"/>
    <cellStyle name="Comma 11 2 2 3" xfId="7397"/>
    <cellStyle name="Comma 11 2 2 3 2" xfId="7774"/>
    <cellStyle name="Comma 11 2 2 4" xfId="7775"/>
    <cellStyle name="Comma 11 2 2 5" xfId="7776"/>
    <cellStyle name="Comma 11 2 3" xfId="1842"/>
    <cellStyle name="Comma 11 2 3 2" xfId="7399"/>
    <cellStyle name="Comma 11 2 3 2 2" xfId="7777"/>
    <cellStyle name="Comma 11 2 3 3" xfId="7778"/>
    <cellStyle name="Comma 11 2 3 4" xfId="7779"/>
    <cellStyle name="Comma 11 2 4" xfId="7396"/>
    <cellStyle name="Comma 11 2 4 2" xfId="7780"/>
    <cellStyle name="Comma 11 2 5" xfId="7781"/>
    <cellStyle name="Comma 11 2 6" xfId="7782"/>
    <cellStyle name="Comma 11 3" xfId="1843"/>
    <cellStyle name="Comma 11 3 2" xfId="1844"/>
    <cellStyle name="Comma 11 3 2 2" xfId="7401"/>
    <cellStyle name="Comma 11 3 2 2 2" xfId="7783"/>
    <cellStyle name="Comma 11 3 2 3" xfId="7784"/>
    <cellStyle name="Comma 11 3 2 4" xfId="7785"/>
    <cellStyle name="Comma 11 3 3" xfId="7400"/>
    <cellStyle name="Comma 11 3 3 2" xfId="7786"/>
    <cellStyle name="Comma 11 3 4" xfId="7787"/>
    <cellStyle name="Comma 11 3 5" xfId="7788"/>
    <cellStyle name="Comma 11 4" xfId="1845"/>
    <cellStyle name="Comma 11 4 2" xfId="1846"/>
    <cellStyle name="Comma 11 4 2 2" xfId="7403"/>
    <cellStyle name="Comma 11 4 2 2 2" xfId="7789"/>
    <cellStyle name="Comma 11 4 2 3" xfId="7790"/>
    <cellStyle name="Comma 11 4 2 4" xfId="7791"/>
    <cellStyle name="Comma 11 4 3" xfId="7402"/>
    <cellStyle name="Comma 11 4 3 2" xfId="7792"/>
    <cellStyle name="Comma 11 4 4" xfId="7793"/>
    <cellStyle name="Comma 11 4 5" xfId="7794"/>
    <cellStyle name="Comma 11 5" xfId="1847"/>
    <cellStyle name="Comma 11 5 2" xfId="7404"/>
    <cellStyle name="Comma 11 5 2 2" xfId="7795"/>
    <cellStyle name="Comma 11 5 3" xfId="7796"/>
    <cellStyle name="Comma 11 5 4" xfId="7797"/>
    <cellStyle name="Comma 11 6" xfId="7395"/>
    <cellStyle name="Comma 11 6 2" xfId="7798"/>
    <cellStyle name="Comma 11 7" xfId="7799"/>
    <cellStyle name="Comma 11 8" xfId="7800"/>
    <cellStyle name="Comma 110" xfId="1848"/>
    <cellStyle name="Comma 110 2" xfId="7405"/>
    <cellStyle name="Comma 110 2 2" xfId="7801"/>
    <cellStyle name="Comma 110 3" xfId="7802"/>
    <cellStyle name="Comma 110 4" xfId="7803"/>
    <cellStyle name="Comma 111" xfId="1849"/>
    <cellStyle name="Comma 111 2" xfId="7406"/>
    <cellStyle name="Comma 111 2 2" xfId="7804"/>
    <cellStyle name="Comma 111 3" xfId="7805"/>
    <cellStyle name="Comma 111 4" xfId="7806"/>
    <cellStyle name="Comma 112" xfId="1850"/>
    <cellStyle name="Comma 112 2" xfId="7407"/>
    <cellStyle name="Comma 112 2 2" xfId="7807"/>
    <cellStyle name="Comma 112 3" xfId="7808"/>
    <cellStyle name="Comma 112 4" xfId="7809"/>
    <cellStyle name="Comma 113" xfId="1851"/>
    <cellStyle name="Comma 113 2" xfId="7408"/>
    <cellStyle name="Comma 113 2 2" xfId="7810"/>
    <cellStyle name="Comma 113 3" xfId="7811"/>
    <cellStyle name="Comma 113 4" xfId="7812"/>
    <cellStyle name="Comma 114" xfId="1852"/>
    <cellStyle name="Comma 114 2" xfId="7409"/>
    <cellStyle name="Comma 114 2 2" xfId="7813"/>
    <cellStyle name="Comma 114 3" xfId="7814"/>
    <cellStyle name="Comma 114 4" xfId="7815"/>
    <cellStyle name="Comma 115" xfId="1853"/>
    <cellStyle name="Comma 115 2" xfId="7410"/>
    <cellStyle name="Comma 115 2 2" xfId="7816"/>
    <cellStyle name="Comma 115 3" xfId="7817"/>
    <cellStyle name="Comma 115 4" xfId="7818"/>
    <cellStyle name="Comma 116" xfId="1854"/>
    <cellStyle name="Comma 116 2" xfId="7411"/>
    <cellStyle name="Comma 116 2 2" xfId="7819"/>
    <cellStyle name="Comma 116 3" xfId="7820"/>
    <cellStyle name="Comma 116 4" xfId="7821"/>
    <cellStyle name="Comma 117" xfId="1855"/>
    <cellStyle name="Comma 117 2" xfId="7412"/>
    <cellStyle name="Comma 117 2 2" xfId="7822"/>
    <cellStyle name="Comma 117 3" xfId="7823"/>
    <cellStyle name="Comma 117 4" xfId="7824"/>
    <cellStyle name="Comma 118" xfId="1856"/>
    <cellStyle name="Comma 118 2" xfId="7413"/>
    <cellStyle name="Comma 118 2 2" xfId="7825"/>
    <cellStyle name="Comma 118 3" xfId="7826"/>
    <cellStyle name="Comma 118 4" xfId="7827"/>
    <cellStyle name="Comma 119" xfId="1857"/>
    <cellStyle name="Comma 119 2" xfId="7414"/>
    <cellStyle name="Comma 119 2 2" xfId="7828"/>
    <cellStyle name="Comma 119 3" xfId="7829"/>
    <cellStyle name="Comma 119 4" xfId="7830"/>
    <cellStyle name="Comma 12" xfId="1858"/>
    <cellStyle name="Comma 12 2" xfId="1859"/>
    <cellStyle name="Comma 12 2 2" xfId="1860"/>
    <cellStyle name="Comma 12 2 2 2" xfId="1861"/>
    <cellStyle name="Comma 12 2 2 2 2" xfId="7418"/>
    <cellStyle name="Comma 12 2 2 2 2 2" xfId="7831"/>
    <cellStyle name="Comma 12 2 2 2 3" xfId="7832"/>
    <cellStyle name="Comma 12 2 2 2 4" xfId="7833"/>
    <cellStyle name="Comma 12 2 2 3" xfId="7417"/>
    <cellStyle name="Comma 12 2 2 3 2" xfId="7834"/>
    <cellStyle name="Comma 12 2 2 4" xfId="7835"/>
    <cellStyle name="Comma 12 2 2 5" xfId="7836"/>
    <cellStyle name="Comma 12 2 3" xfId="1862"/>
    <cellStyle name="Comma 12 2 3 2" xfId="7419"/>
    <cellStyle name="Comma 12 2 3 2 2" xfId="7837"/>
    <cellStyle name="Comma 12 2 3 3" xfId="7838"/>
    <cellStyle name="Comma 12 2 3 4" xfId="7839"/>
    <cellStyle name="Comma 12 2 4" xfId="7416"/>
    <cellStyle name="Comma 12 2 4 2" xfId="7840"/>
    <cellStyle name="Comma 12 2 5" xfId="7841"/>
    <cellStyle name="Comma 12 2 6" xfId="7842"/>
    <cellStyle name="Comma 12 3" xfId="1863"/>
    <cellStyle name="Comma 12 3 2" xfId="1864"/>
    <cellStyle name="Comma 12 3 2 2" xfId="7421"/>
    <cellStyle name="Comma 12 3 2 2 2" xfId="7843"/>
    <cellStyle name="Comma 12 3 2 3" xfId="7844"/>
    <cellStyle name="Comma 12 3 2 4" xfId="7845"/>
    <cellStyle name="Comma 12 3 3" xfId="7420"/>
    <cellStyle name="Comma 12 3 3 2" xfId="7846"/>
    <cellStyle name="Comma 12 3 4" xfId="7847"/>
    <cellStyle name="Comma 12 3 5" xfId="7848"/>
    <cellStyle name="Comma 12 4" xfId="1865"/>
    <cellStyle name="Comma 12 4 2" xfId="1866"/>
    <cellStyle name="Comma 12 4 2 2" xfId="7423"/>
    <cellStyle name="Comma 12 4 2 2 2" xfId="7849"/>
    <cellStyle name="Comma 12 4 2 3" xfId="7850"/>
    <cellStyle name="Comma 12 4 2 4" xfId="7851"/>
    <cellStyle name="Comma 12 4 3" xfId="7422"/>
    <cellStyle name="Comma 12 4 3 2" xfId="7852"/>
    <cellStyle name="Comma 12 4 4" xfId="7853"/>
    <cellStyle name="Comma 12 4 5" xfId="7854"/>
    <cellStyle name="Comma 12 5" xfId="1867"/>
    <cellStyle name="Comma 12 5 2" xfId="7424"/>
    <cellStyle name="Comma 12 5 2 2" xfId="7855"/>
    <cellStyle name="Comma 12 5 3" xfId="7856"/>
    <cellStyle name="Comma 12 5 4" xfId="7857"/>
    <cellStyle name="Comma 12 6" xfId="7415"/>
    <cellStyle name="Comma 12 6 2" xfId="7858"/>
    <cellStyle name="Comma 12 7" xfId="7859"/>
    <cellStyle name="Comma 12 8" xfId="7860"/>
    <cellStyle name="Comma 120" xfId="1868"/>
    <cellStyle name="Comma 120 2" xfId="7425"/>
    <cellStyle name="Comma 120 2 2" xfId="7861"/>
    <cellStyle name="Comma 120 3" xfId="7862"/>
    <cellStyle name="Comma 120 4" xfId="7863"/>
    <cellStyle name="Comma 121" xfId="1869"/>
    <cellStyle name="Comma 121 2" xfId="7426"/>
    <cellStyle name="Comma 121 2 2" xfId="7864"/>
    <cellStyle name="Comma 121 3" xfId="7865"/>
    <cellStyle name="Comma 121 4" xfId="7866"/>
    <cellStyle name="Comma 122" xfId="1870"/>
    <cellStyle name="Comma 122 2" xfId="7427"/>
    <cellStyle name="Comma 122 2 2" xfId="7867"/>
    <cellStyle name="Comma 122 3" xfId="7868"/>
    <cellStyle name="Comma 122 4" xfId="7869"/>
    <cellStyle name="Comma 123" xfId="1871"/>
    <cellStyle name="Comma 123 2" xfId="7428"/>
    <cellStyle name="Comma 123 2 2" xfId="7870"/>
    <cellStyle name="Comma 123 3" xfId="7871"/>
    <cellStyle name="Comma 123 4" xfId="7872"/>
    <cellStyle name="Comma 124" xfId="1872"/>
    <cellStyle name="Comma 124 2" xfId="7429"/>
    <cellStyle name="Comma 124 2 2" xfId="7873"/>
    <cellStyle name="Comma 124 3" xfId="7874"/>
    <cellStyle name="Comma 124 4" xfId="7875"/>
    <cellStyle name="Comma 125" xfId="1873"/>
    <cellStyle name="Comma 125 2" xfId="7430"/>
    <cellStyle name="Comma 125 2 2" xfId="7876"/>
    <cellStyle name="Comma 125 3" xfId="7877"/>
    <cellStyle name="Comma 125 4" xfId="7878"/>
    <cellStyle name="Comma 126" xfId="1874"/>
    <cellStyle name="Comma 126 2" xfId="7431"/>
    <cellStyle name="Comma 126 2 2" xfId="7879"/>
    <cellStyle name="Comma 126 3" xfId="7880"/>
    <cellStyle name="Comma 126 4" xfId="7881"/>
    <cellStyle name="Comma 127" xfId="1875"/>
    <cellStyle name="Comma 127 2" xfId="7432"/>
    <cellStyle name="Comma 127 2 2" xfId="7882"/>
    <cellStyle name="Comma 127 3" xfId="7883"/>
    <cellStyle name="Comma 127 4" xfId="7884"/>
    <cellStyle name="Comma 128" xfId="1876"/>
    <cellStyle name="Comma 128 2" xfId="7433"/>
    <cellStyle name="Comma 128 2 2" xfId="7885"/>
    <cellStyle name="Comma 128 3" xfId="7886"/>
    <cellStyle name="Comma 128 4" xfId="7887"/>
    <cellStyle name="Comma 129" xfId="7617"/>
    <cellStyle name="Comma 129 2" xfId="7888"/>
    <cellStyle name="Comma 13" xfId="1877"/>
    <cellStyle name="Comma 13 2" xfId="1878"/>
    <cellStyle name="Comma 13 2 2" xfId="7435"/>
    <cellStyle name="Comma 13 2 2 2" xfId="7889"/>
    <cellStyle name="Comma 13 2 3" xfId="7890"/>
    <cellStyle name="Comma 13 2 4" xfId="7891"/>
    <cellStyle name="Comma 13 3" xfId="7434"/>
    <cellStyle name="Comma 13 3 2" xfId="7892"/>
    <cellStyle name="Comma 13 4" xfId="7893"/>
    <cellStyle name="Comma 13 5" xfId="7894"/>
    <cellStyle name="Comma 130" xfId="7618"/>
    <cellStyle name="Comma 130 2" xfId="7895"/>
    <cellStyle name="Comma 131" xfId="7619"/>
    <cellStyle name="Comma 131 2" xfId="7896"/>
    <cellStyle name="Comma 132" xfId="7620"/>
    <cellStyle name="Comma 132 2" xfId="7897"/>
    <cellStyle name="Comma 133" xfId="7621"/>
    <cellStyle name="Comma 133 2" xfId="7898"/>
    <cellStyle name="Comma 14" xfId="1879"/>
    <cellStyle name="Comma 14 2" xfId="1880"/>
    <cellStyle name="Comma 14 2 2" xfId="7437"/>
    <cellStyle name="Comma 14 2 2 2" xfId="7899"/>
    <cellStyle name="Comma 14 2 3" xfId="7900"/>
    <cellStyle name="Comma 14 2 4" xfId="7901"/>
    <cellStyle name="Comma 14 3" xfId="7436"/>
    <cellStyle name="Comma 14 3 2" xfId="7902"/>
    <cellStyle name="Comma 14 4" xfId="7903"/>
    <cellStyle name="Comma 14 5" xfId="7904"/>
    <cellStyle name="Comma 15" xfId="1881"/>
    <cellStyle name="Comma 15 2" xfId="1882"/>
    <cellStyle name="Comma 15 2 2" xfId="7439"/>
    <cellStyle name="Comma 15 2 2 2" xfId="7905"/>
    <cellStyle name="Comma 15 2 3" xfId="7906"/>
    <cellStyle name="Comma 15 2 4" xfId="7907"/>
    <cellStyle name="Comma 15 3" xfId="7438"/>
    <cellStyle name="Comma 15 3 2" xfId="7908"/>
    <cellStyle name="Comma 15 4" xfId="7909"/>
    <cellStyle name="Comma 15 5" xfId="7910"/>
    <cellStyle name="Comma 16" xfId="1883"/>
    <cellStyle name="Comma 16 2" xfId="1884"/>
    <cellStyle name="Comma 16 2 2" xfId="7441"/>
    <cellStyle name="Comma 16 2 2 2" xfId="7911"/>
    <cellStyle name="Comma 16 2 3" xfId="7912"/>
    <cellStyle name="Comma 16 2 4" xfId="7913"/>
    <cellStyle name="Comma 16 3" xfId="7440"/>
    <cellStyle name="Comma 16 3 2" xfId="7914"/>
    <cellStyle name="Comma 16 4" xfId="7915"/>
    <cellStyle name="Comma 16 5" xfId="7916"/>
    <cellStyle name="Comma 17" xfId="1885"/>
    <cellStyle name="Comma 17 2" xfId="1886"/>
    <cellStyle name="Comma 17 2 2" xfId="7443"/>
    <cellStyle name="Comma 17 2 2 2" xfId="7917"/>
    <cellStyle name="Comma 17 2 3" xfId="7918"/>
    <cellStyle name="Comma 17 2 4" xfId="7919"/>
    <cellStyle name="Comma 17 3" xfId="7442"/>
    <cellStyle name="Comma 17 3 2" xfId="7920"/>
    <cellStyle name="Comma 17 4" xfId="7921"/>
    <cellStyle name="Comma 17 5" xfId="7922"/>
    <cellStyle name="Comma 18" xfId="1887"/>
    <cellStyle name="Comma 18 2" xfId="1888"/>
    <cellStyle name="Comma 18 2 2" xfId="7445"/>
    <cellStyle name="Comma 18 2 2 2" xfId="7923"/>
    <cellStyle name="Comma 18 2 3" xfId="7924"/>
    <cellStyle name="Comma 18 2 4" xfId="7925"/>
    <cellStyle name="Comma 18 3" xfId="7444"/>
    <cellStyle name="Comma 18 3 2" xfId="7926"/>
    <cellStyle name="Comma 18 4" xfId="7927"/>
    <cellStyle name="Comma 18 5" xfId="7928"/>
    <cellStyle name="Comma 19" xfId="1889"/>
    <cellStyle name="Comma 19 2" xfId="1890"/>
    <cellStyle name="Comma 19 2 2" xfId="7447"/>
    <cellStyle name="Comma 19 2 2 2" xfId="7929"/>
    <cellStyle name="Comma 19 2 3" xfId="7930"/>
    <cellStyle name="Comma 19 2 4" xfId="7931"/>
    <cellStyle name="Comma 19 3" xfId="7446"/>
    <cellStyle name="Comma 19 3 2" xfId="7932"/>
    <cellStyle name="Comma 19 4" xfId="7933"/>
    <cellStyle name="Comma 19 5" xfId="7934"/>
    <cellStyle name="Comma 2" xfId="1891"/>
    <cellStyle name="Comma 2 2" xfId="1892"/>
    <cellStyle name="Comma 2 2 2" xfId="1893"/>
    <cellStyle name="Comma 2 2 2 2" xfId="7450"/>
    <cellStyle name="Comma 2 2 2 2 2" xfId="7935"/>
    <cellStyle name="Comma 2 2 2 3" xfId="7936"/>
    <cellStyle name="Comma 2 2 2 4" xfId="7937"/>
    <cellStyle name="Comma 2 2 3" xfId="7449"/>
    <cellStyle name="Comma 2 2 3 2" xfId="7938"/>
    <cellStyle name="Comma 2 2 4" xfId="7939"/>
    <cellStyle name="Comma 2 2 5" xfId="7940"/>
    <cellStyle name="Comma 2 3" xfId="1894"/>
    <cellStyle name="Comma 2 3 2" xfId="7451"/>
    <cellStyle name="Comma 2 3 2 2" xfId="7941"/>
    <cellStyle name="Comma 2 3 3" xfId="7942"/>
    <cellStyle name="Comma 2 3 4" xfId="7943"/>
    <cellStyle name="Comma 2 4" xfId="7448"/>
    <cellStyle name="Comma 2 4 2" xfId="7944"/>
    <cellStyle name="Comma 2 5" xfId="7945"/>
    <cellStyle name="Comma 2 6" xfId="7946"/>
    <cellStyle name="Comma 20" xfId="1895"/>
    <cellStyle name="Comma 20 2" xfId="1896"/>
    <cellStyle name="Comma 20 2 2" xfId="7453"/>
    <cellStyle name="Comma 20 2 2 2" xfId="7947"/>
    <cellStyle name="Comma 20 2 3" xfId="7948"/>
    <cellStyle name="Comma 20 2 4" xfId="7949"/>
    <cellStyle name="Comma 20 3" xfId="7452"/>
    <cellStyle name="Comma 20 3 2" xfId="7950"/>
    <cellStyle name="Comma 20 4" xfId="7951"/>
    <cellStyle name="Comma 20 5" xfId="7952"/>
    <cellStyle name="Comma 21" xfId="1897"/>
    <cellStyle name="Comma 21 2" xfId="1898"/>
    <cellStyle name="Comma 21 2 2" xfId="7455"/>
    <cellStyle name="Comma 21 2 2 2" xfId="7953"/>
    <cellStyle name="Comma 21 2 3" xfId="7954"/>
    <cellStyle name="Comma 21 2 4" xfId="7955"/>
    <cellStyle name="Comma 21 3" xfId="7454"/>
    <cellStyle name="Comma 21 3 2" xfId="7956"/>
    <cellStyle name="Comma 21 4" xfId="7957"/>
    <cellStyle name="Comma 21 5" xfId="7958"/>
    <cellStyle name="Comma 22" xfId="1899"/>
    <cellStyle name="Comma 23" xfId="1900"/>
    <cellStyle name="Comma 24" xfId="1901"/>
    <cellStyle name="Comma 25" xfId="1902"/>
    <cellStyle name="Comma 26" xfId="1903"/>
    <cellStyle name="Comma 26 2" xfId="1904"/>
    <cellStyle name="Comma 26 2 2" xfId="7457"/>
    <cellStyle name="Comma 26 2 2 2" xfId="7959"/>
    <cellStyle name="Comma 26 2 3" xfId="7960"/>
    <cellStyle name="Comma 26 2 4" xfId="7961"/>
    <cellStyle name="Comma 26 3" xfId="7456"/>
    <cellStyle name="Comma 26 3 2" xfId="7962"/>
    <cellStyle name="Comma 26 4" xfId="7963"/>
    <cellStyle name="Comma 26 5" xfId="7964"/>
    <cellStyle name="Comma 27" xfId="1905"/>
    <cellStyle name="Comma 27 2" xfId="1906"/>
    <cellStyle name="Comma 27 2 2" xfId="7459"/>
    <cellStyle name="Comma 27 2 2 2" xfId="7965"/>
    <cellStyle name="Comma 27 2 3" xfId="7966"/>
    <cellStyle name="Comma 27 2 4" xfId="7967"/>
    <cellStyle name="Comma 27 3" xfId="7458"/>
    <cellStyle name="Comma 27 3 2" xfId="7968"/>
    <cellStyle name="Comma 27 4" xfId="7969"/>
    <cellStyle name="Comma 27 5" xfId="7970"/>
    <cellStyle name="Comma 28" xfId="1907"/>
    <cellStyle name="Comma 28 2" xfId="1908"/>
    <cellStyle name="Comma 28 2 2" xfId="7461"/>
    <cellStyle name="Comma 28 2 2 2" xfId="7971"/>
    <cellStyle name="Comma 28 2 3" xfId="7972"/>
    <cellStyle name="Comma 28 2 4" xfId="7973"/>
    <cellStyle name="Comma 28 3" xfId="7460"/>
    <cellStyle name="Comma 28 3 2" xfId="7974"/>
    <cellStyle name="Comma 28 4" xfId="7975"/>
    <cellStyle name="Comma 28 5" xfId="7976"/>
    <cellStyle name="Comma 29" xfId="1909"/>
    <cellStyle name="Comma 29 2" xfId="1910"/>
    <cellStyle name="Comma 29 2 2" xfId="7463"/>
    <cellStyle name="Comma 29 2 2 2" xfId="7977"/>
    <cellStyle name="Comma 29 2 3" xfId="7978"/>
    <cellStyle name="Comma 29 2 4" xfId="7979"/>
    <cellStyle name="Comma 29 3" xfId="7462"/>
    <cellStyle name="Comma 29 3 2" xfId="7980"/>
    <cellStyle name="Comma 29 4" xfId="7981"/>
    <cellStyle name="Comma 29 5" xfId="7982"/>
    <cellStyle name="Comma 3" xfId="1911"/>
    <cellStyle name="Comma 3 2" xfId="1912"/>
    <cellStyle name="Comma 3 2 2" xfId="7465"/>
    <cellStyle name="Comma 3 2 2 2" xfId="7983"/>
    <cellStyle name="Comma 3 2 3" xfId="7984"/>
    <cellStyle name="Comma 3 2 4" xfId="7985"/>
    <cellStyle name="Comma 3 3" xfId="7464"/>
    <cellStyle name="Comma 3 3 2" xfId="7986"/>
    <cellStyle name="Comma 3 4" xfId="7664"/>
    <cellStyle name="Comma 3 4 2" xfId="7987"/>
    <cellStyle name="Comma 3 5" xfId="7988"/>
    <cellStyle name="Comma 3 6" xfId="7989"/>
    <cellStyle name="Comma 30" xfId="1913"/>
    <cellStyle name="Comma 30 2" xfId="1914"/>
    <cellStyle name="Comma 30 2 2" xfId="7467"/>
    <cellStyle name="Comma 30 2 2 2" xfId="7990"/>
    <cellStyle name="Comma 30 2 3" xfId="7991"/>
    <cellStyle name="Comma 30 2 4" xfId="7992"/>
    <cellStyle name="Comma 30 3" xfId="7466"/>
    <cellStyle name="Comma 30 3 2" xfId="7993"/>
    <cellStyle name="Comma 30 4" xfId="7994"/>
    <cellStyle name="Comma 30 5" xfId="7995"/>
    <cellStyle name="Comma 31" xfId="1915"/>
    <cellStyle name="Comma 31 2" xfId="1916"/>
    <cellStyle name="Comma 31 2 2" xfId="7469"/>
    <cellStyle name="Comma 31 2 2 2" xfId="7996"/>
    <cellStyle name="Comma 31 2 3" xfId="7997"/>
    <cellStyle name="Comma 31 2 4" xfId="7998"/>
    <cellStyle name="Comma 31 3" xfId="7468"/>
    <cellStyle name="Comma 31 3 2" xfId="7999"/>
    <cellStyle name="Comma 31 4" xfId="8000"/>
    <cellStyle name="Comma 31 5" xfId="8001"/>
    <cellStyle name="Comma 32" xfId="1917"/>
    <cellStyle name="Comma 32 2" xfId="1918"/>
    <cellStyle name="Comma 32 2 2" xfId="7471"/>
    <cellStyle name="Comma 32 2 2 2" xfId="8002"/>
    <cellStyle name="Comma 32 2 3" xfId="8003"/>
    <cellStyle name="Comma 32 2 4" xfId="8004"/>
    <cellStyle name="Comma 32 3" xfId="7470"/>
    <cellStyle name="Comma 32 3 2" xfId="8005"/>
    <cellStyle name="Comma 32 4" xfId="8006"/>
    <cellStyle name="Comma 32 5" xfId="8007"/>
    <cellStyle name="Comma 33" xfId="1919"/>
    <cellStyle name="Comma 33 2" xfId="1920"/>
    <cellStyle name="Comma 33 2 2" xfId="7473"/>
    <cellStyle name="Comma 33 2 2 2" xfId="8008"/>
    <cellStyle name="Comma 33 2 3" xfId="8009"/>
    <cellStyle name="Comma 33 2 4" xfId="8010"/>
    <cellStyle name="Comma 33 3" xfId="7472"/>
    <cellStyle name="Comma 33 3 2" xfId="8011"/>
    <cellStyle name="Comma 33 4" xfId="8012"/>
    <cellStyle name="Comma 33 5" xfId="8013"/>
    <cellStyle name="Comma 34" xfId="1921"/>
    <cellStyle name="Comma 34 2" xfId="1922"/>
    <cellStyle name="Comma 34 2 2" xfId="7475"/>
    <cellStyle name="Comma 34 2 2 2" xfId="8014"/>
    <cellStyle name="Comma 34 2 3" xfId="8015"/>
    <cellStyle name="Comma 34 2 4" xfId="8016"/>
    <cellStyle name="Comma 34 3" xfId="7474"/>
    <cellStyle name="Comma 34 3 2" xfId="8017"/>
    <cellStyle name="Comma 34 4" xfId="8018"/>
    <cellStyle name="Comma 34 5" xfId="8019"/>
    <cellStyle name="Comma 35" xfId="1923"/>
    <cellStyle name="Comma 35 2" xfId="1924"/>
    <cellStyle name="Comma 35 2 2" xfId="7477"/>
    <cellStyle name="Comma 35 2 2 2" xfId="8020"/>
    <cellStyle name="Comma 35 2 3" xfId="8021"/>
    <cellStyle name="Comma 35 2 4" xfId="8022"/>
    <cellStyle name="Comma 35 3" xfId="7476"/>
    <cellStyle name="Comma 35 3 2" xfId="8023"/>
    <cellStyle name="Comma 35 4" xfId="8024"/>
    <cellStyle name="Comma 35 5" xfId="8025"/>
    <cellStyle name="Comma 36" xfId="1925"/>
    <cellStyle name="Comma 36 2" xfId="1926"/>
    <cellStyle name="Comma 36 2 2" xfId="7479"/>
    <cellStyle name="Comma 36 2 2 2" xfId="8026"/>
    <cellStyle name="Comma 36 2 3" xfId="8027"/>
    <cellStyle name="Comma 36 2 4" xfId="8028"/>
    <cellStyle name="Comma 36 3" xfId="7478"/>
    <cellStyle name="Comma 36 3 2" xfId="8029"/>
    <cellStyle name="Comma 36 4" xfId="8030"/>
    <cellStyle name="Comma 36 5" xfId="8031"/>
    <cellStyle name="Comma 37" xfId="1927"/>
    <cellStyle name="Comma 37 2" xfId="1928"/>
    <cellStyle name="Comma 37 2 2" xfId="7481"/>
    <cellStyle name="Comma 37 2 2 2" xfId="8032"/>
    <cellStyle name="Comma 37 2 3" xfId="8033"/>
    <cellStyle name="Comma 37 2 4" xfId="8034"/>
    <cellStyle name="Comma 37 3" xfId="7480"/>
    <cellStyle name="Comma 37 3 2" xfId="8035"/>
    <cellStyle name="Comma 37 4" xfId="8036"/>
    <cellStyle name="Comma 37 5" xfId="8037"/>
    <cellStyle name="Comma 38" xfId="1929"/>
    <cellStyle name="Comma 38 2" xfId="1930"/>
    <cellStyle name="Comma 38 2 2" xfId="7483"/>
    <cellStyle name="Comma 38 2 2 2" xfId="8038"/>
    <cellStyle name="Comma 38 2 3" xfId="8039"/>
    <cellStyle name="Comma 38 2 4" xfId="8040"/>
    <cellStyle name="Comma 38 3" xfId="7482"/>
    <cellStyle name="Comma 38 3 2" xfId="8041"/>
    <cellStyle name="Comma 38 4" xfId="8042"/>
    <cellStyle name="Comma 38 5" xfId="8043"/>
    <cellStyle name="Comma 39" xfId="1931"/>
    <cellStyle name="Comma 39 2" xfId="1932"/>
    <cellStyle name="Comma 39 2 2" xfId="7485"/>
    <cellStyle name="Comma 39 2 2 2" xfId="8044"/>
    <cellStyle name="Comma 39 2 3" xfId="8045"/>
    <cellStyle name="Comma 39 2 4" xfId="8046"/>
    <cellStyle name="Comma 39 3" xfId="7484"/>
    <cellStyle name="Comma 39 3 2" xfId="8047"/>
    <cellStyle name="Comma 39 4" xfId="8048"/>
    <cellStyle name="Comma 39 5" xfId="8049"/>
    <cellStyle name="Comma 4" xfId="1933"/>
    <cellStyle name="Comma 4 2" xfId="1934"/>
    <cellStyle name="Comma 4 2 2" xfId="7487"/>
    <cellStyle name="Comma 4 2 2 2" xfId="8050"/>
    <cellStyle name="Comma 4 2 3" xfId="8051"/>
    <cellStyle name="Comma 4 2 4" xfId="8052"/>
    <cellStyle name="Comma 4 3" xfId="7486"/>
    <cellStyle name="Comma 4 3 2" xfId="8053"/>
    <cellStyle name="Comma 4 4" xfId="8054"/>
    <cellStyle name="Comma 4 5" xfId="8055"/>
    <cellStyle name="Comma 40" xfId="1935"/>
    <cellStyle name="Comma 40 2" xfId="1936"/>
    <cellStyle name="Comma 40 2 2" xfId="7489"/>
    <cellStyle name="Comma 40 2 2 2" xfId="8056"/>
    <cellStyle name="Comma 40 2 3" xfId="8057"/>
    <cellStyle name="Comma 40 2 4" xfId="8058"/>
    <cellStyle name="Comma 40 3" xfId="7488"/>
    <cellStyle name="Comma 40 3 2" xfId="8059"/>
    <cellStyle name="Comma 40 4" xfId="8060"/>
    <cellStyle name="Comma 40 5" xfId="8061"/>
    <cellStyle name="Comma 41" xfId="1937"/>
    <cellStyle name="Comma 41 2" xfId="1938"/>
    <cellStyle name="Comma 41 2 2" xfId="7491"/>
    <cellStyle name="Comma 41 2 2 2" xfId="8062"/>
    <cellStyle name="Comma 41 2 3" xfId="8063"/>
    <cellStyle name="Comma 41 2 4" xfId="8064"/>
    <cellStyle name="Comma 41 3" xfId="7490"/>
    <cellStyle name="Comma 41 3 2" xfId="8065"/>
    <cellStyle name="Comma 41 4" xfId="8066"/>
    <cellStyle name="Comma 41 5" xfId="8067"/>
    <cellStyle name="Comma 42" xfId="1939"/>
    <cellStyle name="Comma 42 2" xfId="1940"/>
    <cellStyle name="Comma 42 2 2" xfId="7493"/>
    <cellStyle name="Comma 42 2 2 2" xfId="8068"/>
    <cellStyle name="Comma 42 2 3" xfId="8069"/>
    <cellStyle name="Comma 42 2 4" xfId="8070"/>
    <cellStyle name="Comma 42 3" xfId="7492"/>
    <cellStyle name="Comma 42 3 2" xfId="8071"/>
    <cellStyle name="Comma 42 4" xfId="8072"/>
    <cellStyle name="Comma 42 5" xfId="8073"/>
    <cellStyle name="Comma 43" xfId="1941"/>
    <cellStyle name="Comma 43 2" xfId="1942"/>
    <cellStyle name="Comma 43 2 2" xfId="7495"/>
    <cellStyle name="Comma 43 2 2 2" xfId="8074"/>
    <cellStyle name="Comma 43 2 3" xfId="8075"/>
    <cellStyle name="Comma 43 2 4" xfId="8076"/>
    <cellStyle name="Comma 43 3" xfId="7494"/>
    <cellStyle name="Comma 43 3 2" xfId="8077"/>
    <cellStyle name="Comma 43 4" xfId="8078"/>
    <cellStyle name="Comma 43 5" xfId="8079"/>
    <cellStyle name="Comma 44" xfId="1943"/>
    <cellStyle name="Comma 44 2" xfId="1944"/>
    <cellStyle name="Comma 44 2 2" xfId="7497"/>
    <cellStyle name="Comma 44 2 2 2" xfId="8080"/>
    <cellStyle name="Comma 44 2 3" xfId="8081"/>
    <cellStyle name="Comma 44 2 4" xfId="8082"/>
    <cellStyle name="Comma 44 3" xfId="7496"/>
    <cellStyle name="Comma 44 3 2" xfId="8083"/>
    <cellStyle name="Comma 44 4" xfId="8084"/>
    <cellStyle name="Comma 44 5" xfId="8085"/>
    <cellStyle name="Comma 45" xfId="1945"/>
    <cellStyle name="Comma 45 2" xfId="1946"/>
    <cellStyle name="Comma 45 2 2" xfId="7499"/>
    <cellStyle name="Comma 45 2 2 2" xfId="8086"/>
    <cellStyle name="Comma 45 2 3" xfId="8087"/>
    <cellStyle name="Comma 45 2 4" xfId="8088"/>
    <cellStyle name="Comma 45 3" xfId="7498"/>
    <cellStyle name="Comma 45 3 2" xfId="8089"/>
    <cellStyle name="Comma 45 4" xfId="8090"/>
    <cellStyle name="Comma 45 5" xfId="8091"/>
    <cellStyle name="Comma 46" xfId="1947"/>
    <cellStyle name="Comma 46 2" xfId="1948"/>
    <cellStyle name="Comma 46 2 2" xfId="7501"/>
    <cellStyle name="Comma 46 2 2 2" xfId="8092"/>
    <cellStyle name="Comma 46 2 3" xfId="8093"/>
    <cellStyle name="Comma 46 2 4" xfId="8094"/>
    <cellStyle name="Comma 46 3" xfId="7500"/>
    <cellStyle name="Comma 46 3 2" xfId="8095"/>
    <cellStyle name="Comma 46 4" xfId="8096"/>
    <cellStyle name="Comma 46 5" xfId="8097"/>
    <cellStyle name="Comma 47" xfId="1949"/>
    <cellStyle name="Comma 47 2" xfId="1950"/>
    <cellStyle name="Comma 47 2 2" xfId="7503"/>
    <cellStyle name="Comma 47 2 2 2" xfId="8098"/>
    <cellStyle name="Comma 47 2 3" xfId="8099"/>
    <cellStyle name="Comma 47 2 4" xfId="8100"/>
    <cellStyle name="Comma 47 3" xfId="7502"/>
    <cellStyle name="Comma 47 3 2" xfId="8101"/>
    <cellStyle name="Comma 47 4" xfId="8102"/>
    <cellStyle name="Comma 47 5" xfId="8103"/>
    <cellStyle name="Comma 48" xfId="1951"/>
    <cellStyle name="Comma 48 2" xfId="1952"/>
    <cellStyle name="Comma 48 2 2" xfId="7505"/>
    <cellStyle name="Comma 48 2 2 2" xfId="8104"/>
    <cellStyle name="Comma 48 2 3" xfId="8105"/>
    <cellStyle name="Comma 48 2 4" xfId="8106"/>
    <cellStyle name="Comma 48 3" xfId="7504"/>
    <cellStyle name="Comma 48 3 2" xfId="8107"/>
    <cellStyle name="Comma 48 4" xfId="8108"/>
    <cellStyle name="Comma 48 5" xfId="8109"/>
    <cellStyle name="Comma 49" xfId="1953"/>
    <cellStyle name="Comma 49 2" xfId="1954"/>
    <cellStyle name="Comma 49 2 2" xfId="7507"/>
    <cellStyle name="Comma 49 2 2 2" xfId="8110"/>
    <cellStyle name="Comma 49 2 3" xfId="8111"/>
    <cellStyle name="Comma 49 2 4" xfId="8112"/>
    <cellStyle name="Comma 49 3" xfId="7506"/>
    <cellStyle name="Comma 49 3 2" xfId="8113"/>
    <cellStyle name="Comma 49 4" xfId="8114"/>
    <cellStyle name="Comma 49 5" xfId="8115"/>
    <cellStyle name="Comma 5" xfId="1955"/>
    <cellStyle name="Comma 5 2" xfId="1956"/>
    <cellStyle name="Comma 5 2 2" xfId="1957"/>
    <cellStyle name="Comma 5 2 2 2" xfId="7510"/>
    <cellStyle name="Comma 5 2 2 2 2" xfId="8116"/>
    <cellStyle name="Comma 5 2 2 3" xfId="8117"/>
    <cellStyle name="Comma 5 2 2 4" xfId="8118"/>
    <cellStyle name="Comma 5 2 3" xfId="7509"/>
    <cellStyle name="Comma 5 2 3 2" xfId="8119"/>
    <cellStyle name="Comma 5 2 4" xfId="8120"/>
    <cellStyle name="Comma 5 2 5" xfId="8121"/>
    <cellStyle name="Comma 5 3" xfId="1958"/>
    <cellStyle name="Comma 5 3 2" xfId="7511"/>
    <cellStyle name="Comma 5 3 2 2" xfId="8122"/>
    <cellStyle name="Comma 5 3 3" xfId="8123"/>
    <cellStyle name="Comma 5 3 4" xfId="8124"/>
    <cellStyle name="Comma 5 4" xfId="7508"/>
    <cellStyle name="Comma 5 4 2" xfId="8125"/>
    <cellStyle name="Comma 5 5" xfId="8126"/>
    <cellStyle name="Comma 5 6" xfId="8127"/>
    <cellStyle name="Comma 50" xfId="1959"/>
    <cellStyle name="Comma 50 2" xfId="1960"/>
    <cellStyle name="Comma 50 2 2" xfId="7513"/>
    <cellStyle name="Comma 50 2 2 2" xfId="8128"/>
    <cellStyle name="Comma 50 2 3" xfId="8129"/>
    <cellStyle name="Comma 50 2 4" xfId="8130"/>
    <cellStyle name="Comma 50 3" xfId="7512"/>
    <cellStyle name="Comma 50 3 2" xfId="8131"/>
    <cellStyle name="Comma 50 4" xfId="8132"/>
    <cellStyle name="Comma 50 5" xfId="8133"/>
    <cellStyle name="Comma 51" xfId="1961"/>
    <cellStyle name="Comma 51 2" xfId="1962"/>
    <cellStyle name="Comma 51 2 2" xfId="7515"/>
    <cellStyle name="Comma 51 2 2 2" xfId="8134"/>
    <cellStyle name="Comma 51 2 3" xfId="8135"/>
    <cellStyle name="Comma 51 2 4" xfId="8136"/>
    <cellStyle name="Comma 51 3" xfId="7514"/>
    <cellStyle name="Comma 51 3 2" xfId="8137"/>
    <cellStyle name="Comma 51 4" xfId="8138"/>
    <cellStyle name="Comma 51 5" xfId="8139"/>
    <cellStyle name="Comma 52" xfId="1963"/>
    <cellStyle name="Comma 52 2" xfId="1964"/>
    <cellStyle name="Comma 52 2 2" xfId="7517"/>
    <cellStyle name="Comma 52 2 2 2" xfId="8140"/>
    <cellStyle name="Comma 52 2 3" xfId="8141"/>
    <cellStyle name="Comma 52 2 4" xfId="8142"/>
    <cellStyle name="Comma 52 3" xfId="7516"/>
    <cellStyle name="Comma 52 3 2" xfId="8143"/>
    <cellStyle name="Comma 52 4" xfId="8144"/>
    <cellStyle name="Comma 52 5" xfId="8145"/>
    <cellStyle name="Comma 53" xfId="1965"/>
    <cellStyle name="Comma 53 2" xfId="1966"/>
    <cellStyle name="Comma 53 2 2" xfId="7519"/>
    <cellStyle name="Comma 53 2 2 2" xfId="8146"/>
    <cellStyle name="Comma 53 2 3" xfId="8147"/>
    <cellStyle name="Comma 53 2 4" xfId="8148"/>
    <cellStyle name="Comma 53 3" xfId="7518"/>
    <cellStyle name="Comma 53 3 2" xfId="8149"/>
    <cellStyle name="Comma 53 4" xfId="8150"/>
    <cellStyle name="Comma 53 5" xfId="8151"/>
    <cellStyle name="Comma 54" xfId="1967"/>
    <cellStyle name="Comma 54 2" xfId="1968"/>
    <cellStyle name="Comma 54 2 2" xfId="7521"/>
    <cellStyle name="Comma 54 2 2 2" xfId="8152"/>
    <cellStyle name="Comma 54 2 3" xfId="8153"/>
    <cellStyle name="Comma 54 2 4" xfId="8154"/>
    <cellStyle name="Comma 54 3" xfId="7520"/>
    <cellStyle name="Comma 54 3 2" xfId="8155"/>
    <cellStyle name="Comma 54 4" xfId="8156"/>
    <cellStyle name="Comma 54 5" xfId="8157"/>
    <cellStyle name="Comma 55" xfId="1969"/>
    <cellStyle name="Comma 55 2" xfId="1970"/>
    <cellStyle name="Comma 55 2 2" xfId="7523"/>
    <cellStyle name="Comma 55 2 2 2" xfId="8158"/>
    <cellStyle name="Comma 55 2 3" xfId="8159"/>
    <cellStyle name="Comma 55 2 4" xfId="8160"/>
    <cellStyle name="Comma 55 3" xfId="7522"/>
    <cellStyle name="Comma 55 3 2" xfId="8161"/>
    <cellStyle name="Comma 55 4" xfId="8162"/>
    <cellStyle name="Comma 55 5" xfId="8163"/>
    <cellStyle name="Comma 56" xfId="1971"/>
    <cellStyle name="Comma 56 2" xfId="1972"/>
    <cellStyle name="Comma 56 2 2" xfId="7525"/>
    <cellStyle name="Comma 56 2 2 2" xfId="8164"/>
    <cellStyle name="Comma 56 2 3" xfId="8165"/>
    <cellStyle name="Comma 56 2 4" xfId="8166"/>
    <cellStyle name="Comma 56 3" xfId="7524"/>
    <cellStyle name="Comma 56 3 2" xfId="8167"/>
    <cellStyle name="Comma 56 4" xfId="8168"/>
    <cellStyle name="Comma 56 5" xfId="8169"/>
    <cellStyle name="Comma 57" xfId="1973"/>
    <cellStyle name="Comma 57 2" xfId="1974"/>
    <cellStyle name="Comma 57 2 2" xfId="7527"/>
    <cellStyle name="Comma 57 2 2 2" xfId="8170"/>
    <cellStyle name="Comma 57 2 3" xfId="8171"/>
    <cellStyle name="Comma 57 2 4" xfId="8172"/>
    <cellStyle name="Comma 57 3" xfId="7526"/>
    <cellStyle name="Comma 57 3 2" xfId="8173"/>
    <cellStyle name="Comma 57 4" xfId="8174"/>
    <cellStyle name="Comma 57 5" xfId="8175"/>
    <cellStyle name="Comma 58" xfId="1975"/>
    <cellStyle name="Comma 58 2" xfId="1976"/>
    <cellStyle name="Comma 58 2 2" xfId="7529"/>
    <cellStyle name="Comma 58 2 2 2" xfId="8176"/>
    <cellStyle name="Comma 58 2 3" xfId="8177"/>
    <cellStyle name="Comma 58 2 4" xfId="8178"/>
    <cellStyle name="Comma 58 3" xfId="7528"/>
    <cellStyle name="Comma 58 3 2" xfId="8179"/>
    <cellStyle name="Comma 58 4" xfId="8180"/>
    <cellStyle name="Comma 58 5" xfId="8181"/>
    <cellStyle name="Comma 59" xfId="1977"/>
    <cellStyle name="Comma 59 2" xfId="1978"/>
    <cellStyle name="Comma 59 2 2" xfId="7531"/>
    <cellStyle name="Comma 59 2 2 2" xfId="8182"/>
    <cellStyle name="Comma 59 2 3" xfId="8183"/>
    <cellStyle name="Comma 59 2 4" xfId="8184"/>
    <cellStyle name="Comma 59 3" xfId="7530"/>
    <cellStyle name="Comma 59 3 2" xfId="8185"/>
    <cellStyle name="Comma 59 4" xfId="8186"/>
    <cellStyle name="Comma 59 5" xfId="8187"/>
    <cellStyle name="Comma 6" xfId="1979"/>
    <cellStyle name="Comma 6 2" xfId="1980"/>
    <cellStyle name="Comma 6 2 2" xfId="1981"/>
    <cellStyle name="Comma 6 2 2 2" xfId="7534"/>
    <cellStyle name="Comma 6 2 2 2 2" xfId="8188"/>
    <cellStyle name="Comma 6 2 2 3" xfId="8189"/>
    <cellStyle name="Comma 6 2 2 4" xfId="8190"/>
    <cellStyle name="Comma 6 2 3" xfId="7533"/>
    <cellStyle name="Comma 6 2 3 2" xfId="8191"/>
    <cellStyle name="Comma 6 2 4" xfId="8192"/>
    <cellStyle name="Comma 6 2 5" xfId="8193"/>
    <cellStyle name="Comma 6 3" xfId="1982"/>
    <cellStyle name="Comma 6 3 2" xfId="7535"/>
    <cellStyle name="Comma 6 3 2 2" xfId="8194"/>
    <cellStyle name="Comma 6 3 3" xfId="8195"/>
    <cellStyle name="Comma 6 3 4" xfId="8196"/>
    <cellStyle name="Comma 6 4" xfId="7532"/>
    <cellStyle name="Comma 6 4 2" xfId="8197"/>
    <cellStyle name="Comma 6 5" xfId="8198"/>
    <cellStyle name="Comma 6 6" xfId="8199"/>
    <cellStyle name="Comma 60" xfId="1983"/>
    <cellStyle name="Comma 60 2" xfId="1984"/>
    <cellStyle name="Comma 60 2 2" xfId="7537"/>
    <cellStyle name="Comma 60 2 2 2" xfId="8200"/>
    <cellStyle name="Comma 60 2 3" xfId="8201"/>
    <cellStyle name="Comma 60 2 4" xfId="8202"/>
    <cellStyle name="Comma 60 3" xfId="7536"/>
    <cellStyle name="Comma 60 3 2" xfId="8203"/>
    <cellStyle name="Comma 60 4" xfId="8204"/>
    <cellStyle name="Comma 60 5" xfId="8205"/>
    <cellStyle name="Comma 61" xfId="1985"/>
    <cellStyle name="Comma 61 2" xfId="7538"/>
    <cellStyle name="Comma 61 2 2" xfId="8206"/>
    <cellStyle name="Comma 61 3" xfId="8207"/>
    <cellStyle name="Comma 61 4" xfId="8208"/>
    <cellStyle name="Comma 62" xfId="1986"/>
    <cellStyle name="Comma 62 2" xfId="7539"/>
    <cellStyle name="Comma 62 2 2" xfId="8209"/>
    <cellStyle name="Comma 62 3" xfId="8210"/>
    <cellStyle name="Comma 62 4" xfId="8211"/>
    <cellStyle name="Comma 63" xfId="1987"/>
    <cellStyle name="Comma 63 2" xfId="7540"/>
    <cellStyle name="Comma 63 2 2" xfId="8212"/>
    <cellStyle name="Comma 63 3" xfId="8213"/>
    <cellStyle name="Comma 63 4" xfId="8214"/>
    <cellStyle name="Comma 64" xfId="1988"/>
    <cellStyle name="Comma 64 2" xfId="7541"/>
    <cellStyle name="Comma 64 2 2" xfId="8215"/>
    <cellStyle name="Comma 64 3" xfId="8216"/>
    <cellStyle name="Comma 64 4" xfId="8217"/>
    <cellStyle name="Comma 65" xfId="1989"/>
    <cellStyle name="Comma 65 2" xfId="7542"/>
    <cellStyle name="Comma 65 2 2" xfId="8218"/>
    <cellStyle name="Comma 65 3" xfId="8219"/>
    <cellStyle name="Comma 65 4" xfId="8220"/>
    <cellStyle name="Comma 66" xfId="1990"/>
    <cellStyle name="Comma 66 2" xfId="7543"/>
    <cellStyle name="Comma 66 2 2" xfId="8221"/>
    <cellStyle name="Comma 66 3" xfId="8222"/>
    <cellStyle name="Comma 66 4" xfId="8223"/>
    <cellStyle name="Comma 67" xfId="1991"/>
    <cellStyle name="Comma 67 2" xfId="7544"/>
    <cellStyle name="Comma 67 2 2" xfId="8224"/>
    <cellStyle name="Comma 67 3" xfId="8225"/>
    <cellStyle name="Comma 67 4" xfId="8226"/>
    <cellStyle name="Comma 68" xfId="1992"/>
    <cellStyle name="Comma 68 2" xfId="7545"/>
    <cellStyle name="Comma 68 2 2" xfId="8227"/>
    <cellStyle name="Comma 68 3" xfId="8228"/>
    <cellStyle name="Comma 68 4" xfId="8229"/>
    <cellStyle name="Comma 69" xfId="1993"/>
    <cellStyle name="Comma 69 2" xfId="7546"/>
    <cellStyle name="Comma 69 2 2" xfId="8230"/>
    <cellStyle name="Comma 69 3" xfId="8231"/>
    <cellStyle name="Comma 69 4" xfId="8232"/>
    <cellStyle name="Comma 7" xfId="1994"/>
    <cellStyle name="Comma 7 2" xfId="1995"/>
    <cellStyle name="Comma 7 2 2" xfId="1996"/>
    <cellStyle name="Comma 7 2 2 2" xfId="1997"/>
    <cellStyle name="Comma 7 2 2 2 2" xfId="7550"/>
    <cellStyle name="Comma 7 2 2 2 2 2" xfId="8233"/>
    <cellStyle name="Comma 7 2 2 2 3" xfId="8234"/>
    <cellStyle name="Comma 7 2 2 2 4" xfId="8235"/>
    <cellStyle name="Comma 7 2 2 3" xfId="7549"/>
    <cellStyle name="Comma 7 2 2 3 2" xfId="8236"/>
    <cellStyle name="Comma 7 2 2 4" xfId="8237"/>
    <cellStyle name="Comma 7 2 2 5" xfId="8238"/>
    <cellStyle name="Comma 7 2 3" xfId="1998"/>
    <cellStyle name="Comma 7 2 3 2" xfId="7551"/>
    <cellStyle name="Comma 7 2 3 2 2" xfId="8239"/>
    <cellStyle name="Comma 7 2 3 3" xfId="8240"/>
    <cellStyle name="Comma 7 2 3 4" xfId="8241"/>
    <cellStyle name="Comma 7 2 4" xfId="7548"/>
    <cellStyle name="Comma 7 2 4 2" xfId="8242"/>
    <cellStyle name="Comma 7 2 5" xfId="8243"/>
    <cellStyle name="Comma 7 2 6" xfId="8244"/>
    <cellStyle name="Comma 7 3" xfId="1999"/>
    <cellStyle name="Comma 7 3 2" xfId="2000"/>
    <cellStyle name="Comma 7 3 2 2" xfId="7553"/>
    <cellStyle name="Comma 7 3 2 2 2" xfId="8245"/>
    <cellStyle name="Comma 7 3 2 3" xfId="8246"/>
    <cellStyle name="Comma 7 3 2 4" xfId="8247"/>
    <cellStyle name="Comma 7 3 3" xfId="7552"/>
    <cellStyle name="Comma 7 3 3 2" xfId="8248"/>
    <cellStyle name="Comma 7 3 4" xfId="8249"/>
    <cellStyle name="Comma 7 3 5" xfId="8250"/>
    <cellStyle name="Comma 7 4" xfId="2001"/>
    <cellStyle name="Comma 7 4 2" xfId="2002"/>
    <cellStyle name="Comma 7 4 2 2" xfId="7555"/>
    <cellStyle name="Comma 7 4 2 2 2" xfId="8251"/>
    <cellStyle name="Comma 7 4 2 3" xfId="8252"/>
    <cellStyle name="Comma 7 4 2 4" xfId="8253"/>
    <cellStyle name="Comma 7 4 3" xfId="7554"/>
    <cellStyle name="Comma 7 4 3 2" xfId="8254"/>
    <cellStyle name="Comma 7 4 4" xfId="8255"/>
    <cellStyle name="Comma 7 4 5" xfId="8256"/>
    <cellStyle name="Comma 7 5" xfId="2003"/>
    <cellStyle name="Comma 7 5 2" xfId="7556"/>
    <cellStyle name="Comma 7 5 2 2" xfId="8257"/>
    <cellStyle name="Comma 7 5 3" xfId="8258"/>
    <cellStyle name="Comma 7 5 4" xfId="8259"/>
    <cellStyle name="Comma 7 6" xfId="7547"/>
    <cellStyle name="Comma 7 6 2" xfId="8260"/>
    <cellStyle name="Comma 7 7" xfId="8261"/>
    <cellStyle name="Comma 7 8" xfId="8262"/>
    <cellStyle name="Comma 70" xfId="2004"/>
    <cellStyle name="Comma 70 2" xfId="7557"/>
    <cellStyle name="Comma 70 2 2" xfId="8263"/>
    <cellStyle name="Comma 70 3" xfId="8264"/>
    <cellStyle name="Comma 70 4" xfId="8265"/>
    <cellStyle name="Comma 71" xfId="2005"/>
    <cellStyle name="Comma 71 2" xfId="7558"/>
    <cellStyle name="Comma 71 2 2" xfId="8266"/>
    <cellStyle name="Comma 71 3" xfId="8267"/>
    <cellStyle name="Comma 71 4" xfId="8268"/>
    <cellStyle name="Comma 72" xfId="2006"/>
    <cellStyle name="Comma 72 2" xfId="7559"/>
    <cellStyle name="Comma 72 2 2" xfId="8269"/>
    <cellStyle name="Comma 72 3" xfId="8270"/>
    <cellStyle name="Comma 72 4" xfId="8271"/>
    <cellStyle name="Comma 73" xfId="2007"/>
    <cellStyle name="Comma 73 2" xfId="7560"/>
    <cellStyle name="Comma 73 2 2" xfId="8272"/>
    <cellStyle name="Comma 73 3" xfId="8273"/>
    <cellStyle name="Comma 73 4" xfId="8274"/>
    <cellStyle name="Comma 74" xfId="2008"/>
    <cellStyle name="Comma 74 2" xfId="7561"/>
    <cellStyle name="Comma 74 2 2" xfId="8275"/>
    <cellStyle name="Comma 74 3" xfId="8276"/>
    <cellStyle name="Comma 74 4" xfId="8277"/>
    <cellStyle name="Comma 75" xfId="2009"/>
    <cellStyle name="Comma 75 2" xfId="7562"/>
    <cellStyle name="Comma 75 2 2" xfId="8278"/>
    <cellStyle name="Comma 75 3" xfId="8279"/>
    <cellStyle name="Comma 75 4" xfId="8280"/>
    <cellStyle name="Comma 76" xfId="2010"/>
    <cellStyle name="Comma 76 2" xfId="7563"/>
    <cellStyle name="Comma 76 2 2" xfId="8281"/>
    <cellStyle name="Comma 76 3" xfId="8282"/>
    <cellStyle name="Comma 76 4" xfId="8283"/>
    <cellStyle name="Comma 77" xfId="2011"/>
    <cellStyle name="Comma 77 2" xfId="7564"/>
    <cellStyle name="Comma 77 2 2" xfId="8284"/>
    <cellStyle name="Comma 77 3" xfId="8285"/>
    <cellStyle name="Comma 77 4" xfId="8286"/>
    <cellStyle name="Comma 78" xfId="2012"/>
    <cellStyle name="Comma 78 2" xfId="7565"/>
    <cellStyle name="Comma 78 2 2" xfId="8287"/>
    <cellStyle name="Comma 78 3" xfId="8288"/>
    <cellStyle name="Comma 78 4" xfId="8289"/>
    <cellStyle name="Comma 79" xfId="2013"/>
    <cellStyle name="Comma 79 2" xfId="7566"/>
    <cellStyle name="Comma 79 2 2" xfId="8290"/>
    <cellStyle name="Comma 79 3" xfId="8291"/>
    <cellStyle name="Comma 79 4" xfId="8292"/>
    <cellStyle name="Comma 8" xfId="2014"/>
    <cellStyle name="Comma 8 2" xfId="2015"/>
    <cellStyle name="Comma 8 2 2" xfId="2016"/>
    <cellStyle name="Comma 8 2 2 2" xfId="2017"/>
    <cellStyle name="Comma 8 2 2 2 2" xfId="7570"/>
    <cellStyle name="Comma 8 2 2 2 2 2" xfId="8293"/>
    <cellStyle name="Comma 8 2 2 2 3" xfId="8294"/>
    <cellStyle name="Comma 8 2 2 2 4" xfId="8295"/>
    <cellStyle name="Comma 8 2 2 3" xfId="7569"/>
    <cellStyle name="Comma 8 2 2 3 2" xfId="8296"/>
    <cellStyle name="Comma 8 2 2 4" xfId="8297"/>
    <cellStyle name="Comma 8 2 2 5" xfId="8298"/>
    <cellStyle name="Comma 8 2 3" xfId="2018"/>
    <cellStyle name="Comma 8 2 3 2" xfId="7571"/>
    <cellStyle name="Comma 8 2 3 2 2" xfId="8299"/>
    <cellStyle name="Comma 8 2 3 3" xfId="8300"/>
    <cellStyle name="Comma 8 2 3 4" xfId="8301"/>
    <cellStyle name="Comma 8 2 4" xfId="7568"/>
    <cellStyle name="Comma 8 2 4 2" xfId="8302"/>
    <cellStyle name="Comma 8 2 5" xfId="8303"/>
    <cellStyle name="Comma 8 2 6" xfId="8304"/>
    <cellStyle name="Comma 8 3" xfId="2019"/>
    <cellStyle name="Comma 8 3 2" xfId="2020"/>
    <cellStyle name="Comma 8 3 2 2" xfId="7573"/>
    <cellStyle name="Comma 8 3 2 2 2" xfId="8305"/>
    <cellStyle name="Comma 8 3 2 3" xfId="8306"/>
    <cellStyle name="Comma 8 3 2 4" xfId="8307"/>
    <cellStyle name="Comma 8 3 3" xfId="7572"/>
    <cellStyle name="Comma 8 3 3 2" xfId="8308"/>
    <cellStyle name="Comma 8 3 4" xfId="8309"/>
    <cellStyle name="Comma 8 3 5" xfId="8310"/>
    <cellStyle name="Comma 8 4" xfId="2021"/>
    <cellStyle name="Comma 8 4 2" xfId="2022"/>
    <cellStyle name="Comma 8 4 2 2" xfId="7575"/>
    <cellStyle name="Comma 8 4 2 2 2" xfId="8311"/>
    <cellStyle name="Comma 8 4 2 3" xfId="8312"/>
    <cellStyle name="Comma 8 4 2 4" xfId="8313"/>
    <cellStyle name="Comma 8 4 3" xfId="7574"/>
    <cellStyle name="Comma 8 4 3 2" xfId="8314"/>
    <cellStyle name="Comma 8 4 4" xfId="8315"/>
    <cellStyle name="Comma 8 4 5" xfId="8316"/>
    <cellStyle name="Comma 8 5" xfId="2023"/>
    <cellStyle name="Comma 8 5 2" xfId="7576"/>
    <cellStyle name="Comma 8 5 2 2" xfId="8317"/>
    <cellStyle name="Comma 8 5 3" xfId="8318"/>
    <cellStyle name="Comma 8 5 4" xfId="8319"/>
    <cellStyle name="Comma 8 6" xfId="7567"/>
    <cellStyle name="Comma 8 6 2" xfId="8320"/>
    <cellStyle name="Comma 8 7" xfId="8321"/>
    <cellStyle name="Comma 8 8" xfId="8322"/>
    <cellStyle name="Comma 80" xfId="2024"/>
    <cellStyle name="Comma 80 2" xfId="7577"/>
    <cellStyle name="Comma 80 2 2" xfId="8323"/>
    <cellStyle name="Comma 80 3" xfId="8324"/>
    <cellStyle name="Comma 80 4" xfId="8325"/>
    <cellStyle name="Comma 81" xfId="2025"/>
    <cellStyle name="Comma 81 2" xfId="7578"/>
    <cellStyle name="Comma 81 2 2" xfId="8326"/>
    <cellStyle name="Comma 81 3" xfId="8327"/>
    <cellStyle name="Comma 81 4" xfId="8328"/>
    <cellStyle name="Comma 82" xfId="2026"/>
    <cellStyle name="Comma 82 2" xfId="7579"/>
    <cellStyle name="Comma 82 2 2" xfId="8329"/>
    <cellStyle name="Comma 82 3" xfId="8330"/>
    <cellStyle name="Comma 82 4" xfId="8331"/>
    <cellStyle name="Comma 83" xfId="2027"/>
    <cellStyle name="Comma 83 2" xfId="7580"/>
    <cellStyle name="Comma 83 2 2" xfId="8332"/>
    <cellStyle name="Comma 83 3" xfId="8333"/>
    <cellStyle name="Comma 83 4" xfId="8334"/>
    <cellStyle name="Comma 84" xfId="2028"/>
    <cellStyle name="Comma 84 2" xfId="7581"/>
    <cellStyle name="Comma 84 2 2" xfId="8335"/>
    <cellStyle name="Comma 84 3" xfId="8336"/>
    <cellStyle name="Comma 84 4" xfId="8337"/>
    <cellStyle name="Comma 85" xfId="2029"/>
    <cellStyle name="Comma 85 2" xfId="7582"/>
    <cellStyle name="Comma 85 2 2" xfId="8338"/>
    <cellStyle name="Comma 85 3" xfId="8339"/>
    <cellStyle name="Comma 85 4" xfId="8340"/>
    <cellStyle name="Comma 86" xfId="2030"/>
    <cellStyle name="Comma 86 2" xfId="7583"/>
    <cellStyle name="Comma 86 2 2" xfId="8341"/>
    <cellStyle name="Comma 86 3" xfId="8342"/>
    <cellStyle name="Comma 86 4" xfId="8343"/>
    <cellStyle name="Comma 87" xfId="2031"/>
    <cellStyle name="Comma 87 2" xfId="7584"/>
    <cellStyle name="Comma 87 2 2" xfId="8344"/>
    <cellStyle name="Comma 87 3" xfId="8345"/>
    <cellStyle name="Comma 87 4" xfId="8346"/>
    <cellStyle name="Comma 88" xfId="2032"/>
    <cellStyle name="Comma 88 2" xfId="7585"/>
    <cellStyle name="Comma 88 2 2" xfId="8347"/>
    <cellStyle name="Comma 88 3" xfId="8348"/>
    <cellStyle name="Comma 88 4" xfId="8349"/>
    <cellStyle name="Comma 89" xfId="2033"/>
    <cellStyle name="Comma 89 2" xfId="7586"/>
    <cellStyle name="Comma 89 2 2" xfId="8350"/>
    <cellStyle name="Comma 89 3" xfId="8351"/>
    <cellStyle name="Comma 89 4" xfId="8352"/>
    <cellStyle name="Comma 9" xfId="2034"/>
    <cellStyle name="Comma 9 2" xfId="2035"/>
    <cellStyle name="Comma 9 2 2" xfId="2036"/>
    <cellStyle name="Comma 9 2 2 2" xfId="2037"/>
    <cellStyle name="Comma 9 2 2 2 2" xfId="7590"/>
    <cellStyle name="Comma 9 2 2 2 2 2" xfId="8353"/>
    <cellStyle name="Comma 9 2 2 2 3" xfId="8354"/>
    <cellStyle name="Comma 9 2 2 2 4" xfId="8355"/>
    <cellStyle name="Comma 9 2 2 3" xfId="7589"/>
    <cellStyle name="Comma 9 2 2 3 2" xfId="8356"/>
    <cellStyle name="Comma 9 2 2 4" xfId="8357"/>
    <cellStyle name="Comma 9 2 2 5" xfId="8358"/>
    <cellStyle name="Comma 9 2 3" xfId="2038"/>
    <cellStyle name="Comma 9 2 3 2" xfId="7591"/>
    <cellStyle name="Comma 9 2 3 2 2" xfId="8359"/>
    <cellStyle name="Comma 9 2 3 3" xfId="8360"/>
    <cellStyle name="Comma 9 2 3 4" xfId="8361"/>
    <cellStyle name="Comma 9 2 4" xfId="7588"/>
    <cellStyle name="Comma 9 2 4 2" xfId="8362"/>
    <cellStyle name="Comma 9 2 5" xfId="8363"/>
    <cellStyle name="Comma 9 2 6" xfId="8364"/>
    <cellStyle name="Comma 9 3" xfId="2039"/>
    <cellStyle name="Comma 9 3 2" xfId="2040"/>
    <cellStyle name="Comma 9 3 2 2" xfId="7593"/>
    <cellStyle name="Comma 9 3 2 2 2" xfId="8365"/>
    <cellStyle name="Comma 9 3 2 3" xfId="8366"/>
    <cellStyle name="Comma 9 3 2 4" xfId="8367"/>
    <cellStyle name="Comma 9 3 3" xfId="7592"/>
    <cellStyle name="Comma 9 3 3 2" xfId="8368"/>
    <cellStyle name="Comma 9 3 4" xfId="8369"/>
    <cellStyle name="Comma 9 3 5" xfId="8370"/>
    <cellStyle name="Comma 9 4" xfId="2041"/>
    <cellStyle name="Comma 9 4 2" xfId="2042"/>
    <cellStyle name="Comma 9 4 2 2" xfId="7595"/>
    <cellStyle name="Comma 9 4 2 2 2" xfId="8371"/>
    <cellStyle name="Comma 9 4 2 3" xfId="8372"/>
    <cellStyle name="Comma 9 4 2 4" xfId="8373"/>
    <cellStyle name="Comma 9 4 3" xfId="7594"/>
    <cellStyle name="Comma 9 4 3 2" xfId="8374"/>
    <cellStyle name="Comma 9 4 4" xfId="8375"/>
    <cellStyle name="Comma 9 4 5" xfId="8376"/>
    <cellStyle name="Comma 9 5" xfId="2043"/>
    <cellStyle name="Comma 9 5 2" xfId="7596"/>
    <cellStyle name="Comma 9 5 2 2" xfId="8377"/>
    <cellStyle name="Comma 9 5 3" xfId="8378"/>
    <cellStyle name="Comma 9 5 4" xfId="8379"/>
    <cellStyle name="Comma 9 6" xfId="7587"/>
    <cellStyle name="Comma 9 6 2" xfId="8380"/>
    <cellStyle name="Comma 9 7" xfId="8381"/>
    <cellStyle name="Comma 9 8" xfId="8382"/>
    <cellStyle name="Comma 90" xfId="2044"/>
    <cellStyle name="Comma 90 2" xfId="7597"/>
    <cellStyle name="Comma 90 2 2" xfId="8383"/>
    <cellStyle name="Comma 90 3" xfId="8384"/>
    <cellStyle name="Comma 90 4" xfId="8385"/>
    <cellStyle name="Comma 91" xfId="2045"/>
    <cellStyle name="Comma 91 2" xfId="7598"/>
    <cellStyle name="Comma 91 2 2" xfId="8386"/>
    <cellStyle name="Comma 91 3" xfId="8387"/>
    <cellStyle name="Comma 91 4" xfId="8388"/>
    <cellStyle name="Comma 92" xfId="2046"/>
    <cellStyle name="Comma 92 2" xfId="7599"/>
    <cellStyle name="Comma 92 2 2" xfId="8389"/>
    <cellStyle name="Comma 92 3" xfId="8390"/>
    <cellStyle name="Comma 92 4" xfId="8391"/>
    <cellStyle name="Comma 93" xfId="2047"/>
    <cellStyle name="Comma 93 2" xfId="7600"/>
    <cellStyle name="Comma 93 2 2" xfId="8392"/>
    <cellStyle name="Comma 93 3" xfId="8393"/>
    <cellStyle name="Comma 93 4" xfId="8394"/>
    <cellStyle name="Comma 94" xfId="2048"/>
    <cellStyle name="Comma 94 2" xfId="7601"/>
    <cellStyle name="Comma 94 2 2" xfId="8395"/>
    <cellStyle name="Comma 94 3" xfId="8396"/>
    <cellStyle name="Comma 94 4" xfId="8397"/>
    <cellStyle name="Comma 95" xfId="2049"/>
    <cellStyle name="Comma 95 2" xfId="7602"/>
    <cellStyle name="Comma 95 2 2" xfId="8398"/>
    <cellStyle name="Comma 95 3" xfId="8399"/>
    <cellStyle name="Comma 95 4" xfId="8400"/>
    <cellStyle name="Comma 96" xfId="2050"/>
    <cellStyle name="Comma 96 2" xfId="7603"/>
    <cellStyle name="Comma 96 2 2" xfId="8401"/>
    <cellStyle name="Comma 96 3" xfId="8402"/>
    <cellStyle name="Comma 96 4" xfId="8403"/>
    <cellStyle name="Comma 97" xfId="2051"/>
    <cellStyle name="Comma 97 2" xfId="7604"/>
    <cellStyle name="Comma 97 2 2" xfId="8404"/>
    <cellStyle name="Comma 97 3" xfId="8405"/>
    <cellStyle name="Comma 97 4" xfId="8406"/>
    <cellStyle name="Comma 98" xfId="2052"/>
    <cellStyle name="Comma 98 2" xfId="7605"/>
    <cellStyle name="Comma 98 2 2" xfId="8407"/>
    <cellStyle name="Comma 98 3" xfId="8408"/>
    <cellStyle name="Comma 98 4" xfId="8409"/>
    <cellStyle name="Comma 99" xfId="2053"/>
    <cellStyle name="Comma 99 2" xfId="7606"/>
    <cellStyle name="Comma 99 2 2" xfId="8410"/>
    <cellStyle name="Comma 99 3" xfId="8411"/>
    <cellStyle name="Comma 99 4" xfId="8412"/>
    <cellStyle name="COMMENTS" xfId="2054"/>
    <cellStyle name="Currency 2" xfId="2055"/>
    <cellStyle name="Currency 2 2" xfId="2056"/>
    <cellStyle name="Currency 2 2 2" xfId="7608"/>
    <cellStyle name="Currency 2 2 2 2" xfId="8413"/>
    <cellStyle name="Currency 2 2 3" xfId="8414"/>
    <cellStyle name="Currency 2 2 4" xfId="8415"/>
    <cellStyle name="Currency 2 3" xfId="7607"/>
    <cellStyle name="Currency 2 3 2" xfId="8416"/>
    <cellStyle name="Currency 2 4" xfId="8417"/>
    <cellStyle name="Currency 2 5" xfId="8418"/>
    <cellStyle name="Currency 3" xfId="2057"/>
    <cellStyle name="Currency 3 2" xfId="2058"/>
    <cellStyle name="Currency 3 2 2" xfId="7610"/>
    <cellStyle name="Currency 3 2 2 2" xfId="8419"/>
    <cellStyle name="Currency 3 2 3" xfId="8420"/>
    <cellStyle name="Currency 3 2 4" xfId="8421"/>
    <cellStyle name="Currency 3 3" xfId="7609"/>
    <cellStyle name="Currency 3 3 2" xfId="8422"/>
    <cellStyle name="Currency 3 4" xfId="8423"/>
    <cellStyle name="Currency 3 5" xfId="8424"/>
    <cellStyle name="Currency 4" xfId="2059"/>
    <cellStyle name="Currency 4 2" xfId="2060"/>
    <cellStyle name="Currency 4 2 2" xfId="7612"/>
    <cellStyle name="Currency 4 2 2 2" xfId="8425"/>
    <cellStyle name="Currency 4 2 3" xfId="8426"/>
    <cellStyle name="Currency 4 2 4" xfId="8427"/>
    <cellStyle name="Currency 4 3" xfId="7611"/>
    <cellStyle name="Currency 4 3 2" xfId="8428"/>
    <cellStyle name="Currency 4 4" xfId="8429"/>
    <cellStyle name="Currency 4 5" xfId="8430"/>
    <cellStyle name="Currency 5" xfId="2061"/>
    <cellStyle name="Currency 5 2" xfId="2062"/>
    <cellStyle name="Currency 5 2 2" xfId="7614"/>
    <cellStyle name="Currency 5 2 2 2" xfId="8431"/>
    <cellStyle name="Currency 5 2 3" xfId="8432"/>
    <cellStyle name="Currency 5 2 4" xfId="8433"/>
    <cellStyle name="Currency 5 3" xfId="7613"/>
    <cellStyle name="Currency 5 3 2" xfId="8434"/>
    <cellStyle name="Currency 5 4" xfId="8435"/>
    <cellStyle name="Currency 5 5" xfId="8436"/>
    <cellStyle name="Currency 6" xfId="2063"/>
    <cellStyle name="Currency 6 2" xfId="2064"/>
    <cellStyle name="Currency 6 2 2" xfId="7616"/>
    <cellStyle name="Currency 6 2 2 2" xfId="8437"/>
    <cellStyle name="Currency 6 2 3" xfId="8438"/>
    <cellStyle name="Currency 6 2 4" xfId="8439"/>
    <cellStyle name="Currency 6 3" xfId="7615"/>
    <cellStyle name="Currency 6 3 2" xfId="8440"/>
    <cellStyle name="Currency 6 4" xfId="8441"/>
    <cellStyle name="Currency 6 5" xfId="8442"/>
    <cellStyle name="Currency 7" xfId="2065"/>
    <cellStyle name="dash" xfId="2066"/>
    <cellStyle name="Data" xfId="2067"/>
    <cellStyle name="Data2" xfId="2068"/>
    <cellStyle name="Data5" xfId="2069"/>
    <cellStyle name="date" xfId="2070"/>
    <cellStyle name="date 2" xfId="2071"/>
    <cellStyle name="Daymethod" xfId="2072"/>
    <cellStyle name="days" xfId="2073"/>
    <cellStyle name="Dialog" xfId="2074"/>
    <cellStyle name="Explanatory Text" xfId="7638" builtinId="53" customBuiltin="1"/>
    <cellStyle name="Explanatory Text 2" xfId="2075"/>
    <cellStyle name="Explanatory Text 3" xfId="2076"/>
    <cellStyle name="FcBackground" xfId="2077"/>
    <cellStyle name="FcBluesFuts" xfId="2078"/>
    <cellStyle name="FcCalculated" xfId="2079"/>
    <cellStyle name="FcCalculated 2" xfId="2080"/>
    <cellStyle name="FcCalculated 3" xfId="2081"/>
    <cellStyle name="FcCalculated_apollo_curves" xfId="2082"/>
    <cellStyle name="FcCalculated2" xfId="2083"/>
    <cellStyle name="FcExtData" xfId="2084"/>
    <cellStyle name="FcFrontFut" xfId="2085"/>
    <cellStyle name="FcFrontRed" xfId="2086"/>
    <cellStyle name="FcGoldFuts" xfId="2087"/>
    <cellStyle name="FcGreenFuts" xfId="2088"/>
    <cellStyle name="FcInput" xfId="2089"/>
    <cellStyle name="FcLabel1" xfId="2090"/>
    <cellStyle name="FcLabel2" xfId="2091"/>
    <cellStyle name="FcNumeric" xfId="2092"/>
    <cellStyle name="FcNumeric 2" xfId="2093"/>
    <cellStyle name="FcRealTime" xfId="2094"/>
    <cellStyle name="FcRealTime 2" xfId="2095"/>
    <cellStyle name="FcRealTime 3" xfId="2096"/>
    <cellStyle name="FcRealTime_apollo_curves" xfId="2097"/>
    <cellStyle name="FcRedFuts" xfId="2098"/>
    <cellStyle name="FcSubHeading" xfId="2099"/>
    <cellStyle name="FcTechHackers" xfId="2100"/>
    <cellStyle name="FcTopLine" xfId="2101"/>
    <cellStyle name="footnote" xfId="2102"/>
    <cellStyle name="footnote2" xfId="2103"/>
    <cellStyle name="GeneralText" xfId="2104"/>
    <cellStyle name="Good" xfId="7628" builtinId="26" customBuiltin="1"/>
    <cellStyle name="Good 2" xfId="2105"/>
    <cellStyle name="Good 2 2" xfId="2106"/>
    <cellStyle name="Good 3" xfId="2107"/>
    <cellStyle name="Good 4" xfId="2108"/>
    <cellStyle name="Header" xfId="2109"/>
    <cellStyle name="Header 2" xfId="2110"/>
    <cellStyle name="Heading 1" xfId="7624" builtinId="16" customBuiltin="1"/>
    <cellStyle name="Heading 1 2" xfId="2111"/>
    <cellStyle name="Heading 1 2 2" xfId="2112"/>
    <cellStyle name="Heading 1 3" xfId="2113"/>
    <cellStyle name="Heading 1 3 2" xfId="2114"/>
    <cellStyle name="Heading 1 4" xfId="2115"/>
    <cellStyle name="Heading 1 5" xfId="2116"/>
    <cellStyle name="Heading 1 6" xfId="2117"/>
    <cellStyle name="Heading 2" xfId="7625" builtinId="17" customBuiltin="1"/>
    <cellStyle name="Heading 2 2" xfId="2118"/>
    <cellStyle name="Heading 2 2 2" xfId="2119"/>
    <cellStyle name="Heading 2 3" xfId="2120"/>
    <cellStyle name="Heading 2 4" xfId="2121"/>
    <cellStyle name="Heading 2 5" xfId="2122"/>
    <cellStyle name="Heading 2 6" xfId="2123"/>
    <cellStyle name="Heading 3" xfId="7626" builtinId="18" customBuiltin="1"/>
    <cellStyle name="Heading 3 2" xfId="2124"/>
    <cellStyle name="Heading 3 2 2" xfId="2125"/>
    <cellStyle name="Heading 3 3" xfId="2126"/>
    <cellStyle name="Heading 3 3 2" xfId="2127"/>
    <cellStyle name="Heading 3 4" xfId="2128"/>
    <cellStyle name="Heading 3 5" xfId="2129"/>
    <cellStyle name="Heading 3 6" xfId="2130"/>
    <cellStyle name="Heading 4" xfId="7627" builtinId="19" customBuiltin="1"/>
    <cellStyle name="Heading 4 2" xfId="2131"/>
    <cellStyle name="Heading 4 2 2" xfId="2132"/>
    <cellStyle name="Heading 4 3" xfId="2133"/>
    <cellStyle name="Heading 4 4" xfId="2134"/>
    <cellStyle name="Heading 4 5" xfId="2135"/>
    <cellStyle name="Hidden" xfId="2136"/>
    <cellStyle name="Hyperlink 2" xfId="2137"/>
    <cellStyle name="Hyperlink 2 2" xfId="2138"/>
    <cellStyle name="Hyperlink 2_Instructions and Positions" xfId="2139"/>
    <cellStyle name="implemented" xfId="2140"/>
    <cellStyle name="Input" xfId="7631" builtinId="20" customBuiltin="1"/>
    <cellStyle name="Input 2" xfId="2141"/>
    <cellStyle name="Input 2 2" xfId="2142"/>
    <cellStyle name="Input 2 2 2" xfId="2143"/>
    <cellStyle name="Input 2 2 2 2" xfId="2144"/>
    <cellStyle name="Input 2 2 2 2 2" xfId="2145"/>
    <cellStyle name="Input 2 2 2 2 2 2" xfId="2146"/>
    <cellStyle name="Input 2 2 2 2 2 2 2" xfId="2147"/>
    <cellStyle name="Input 2 2 2 2 2 2 2 2" xfId="2148"/>
    <cellStyle name="Input 2 2 2 2 2 2 2 2 2" xfId="2149"/>
    <cellStyle name="Input 2 2 2 2 2 2 2 3" xfId="2150"/>
    <cellStyle name="Input 2 2 2 2 2 2 3" xfId="2151"/>
    <cellStyle name="Input 2 2 2 2 2 2 3 2" xfId="2152"/>
    <cellStyle name="Input 2 2 2 2 2 2 4" xfId="2153"/>
    <cellStyle name="Input 2 2 2 2 2 3" xfId="2154"/>
    <cellStyle name="Input 2 2 2 2 2 3 2" xfId="2155"/>
    <cellStyle name="Input 2 2 2 2 2 3 2 2" xfId="2156"/>
    <cellStyle name="Input 2 2 2 2 2 3 3" xfId="2157"/>
    <cellStyle name="Input 2 2 2 2 2 3 4" xfId="2158"/>
    <cellStyle name="Input 2 2 2 2 2 4" xfId="2159"/>
    <cellStyle name="Input 2 2 2 2 2 4 2" xfId="2160"/>
    <cellStyle name="Input 2 2 2 2 2 4 2 2" xfId="2161"/>
    <cellStyle name="Input 2 2 2 2 2 4 3" xfId="2162"/>
    <cellStyle name="Input 2 2 2 2 2 5" xfId="2163"/>
    <cellStyle name="Input 2 2 2 2 2 5 2" xfId="2164"/>
    <cellStyle name="Input 2 2 2 2 2 6" xfId="2165"/>
    <cellStyle name="Input 2 2 2 2 3" xfId="2166"/>
    <cellStyle name="Input 2 2 2 2 3 2" xfId="2167"/>
    <cellStyle name="Input 2 2 2 2 3 2 2" xfId="2168"/>
    <cellStyle name="Input 2 2 2 2 3 2 2 2" xfId="2169"/>
    <cellStyle name="Input 2 2 2 2 3 2 2 2 2" xfId="2170"/>
    <cellStyle name="Input 2 2 2 2 3 2 2 3" xfId="2171"/>
    <cellStyle name="Input 2 2 2 2 3 2 3" xfId="2172"/>
    <cellStyle name="Input 2 2 2 2 3 2 3 2" xfId="2173"/>
    <cellStyle name="Input 2 2 2 2 3 2 4" xfId="2174"/>
    <cellStyle name="Input 2 2 2 2 3 3" xfId="2175"/>
    <cellStyle name="Input 2 2 2 2 3 3 2" xfId="2176"/>
    <cellStyle name="Input 2 2 2 2 3 3 2 2" xfId="2177"/>
    <cellStyle name="Input 2 2 2 2 3 3 3" xfId="2178"/>
    <cellStyle name="Input 2 2 2 2 3 3 4" xfId="2179"/>
    <cellStyle name="Input 2 2 2 2 3 4" xfId="2180"/>
    <cellStyle name="Input 2 2 2 2 3 4 2" xfId="2181"/>
    <cellStyle name="Input 2 2 2 2 3 4 2 2" xfId="2182"/>
    <cellStyle name="Input 2 2 2 2 3 4 3" xfId="2183"/>
    <cellStyle name="Input 2 2 2 2 3 5" xfId="2184"/>
    <cellStyle name="Input 2 2 2 2 3 5 2" xfId="2185"/>
    <cellStyle name="Input 2 2 2 2 3 6" xfId="2186"/>
    <cellStyle name="Input 2 2 2 2 4" xfId="2187"/>
    <cellStyle name="Input 2 2 2 2 4 2" xfId="2188"/>
    <cellStyle name="Input 2 2 2 2 4 2 2" xfId="2189"/>
    <cellStyle name="Input 2 2 2 2 4 2 2 2" xfId="2190"/>
    <cellStyle name="Input 2 2 2 2 4 2 2 2 2" xfId="2191"/>
    <cellStyle name="Input 2 2 2 2 4 2 2 3" xfId="2192"/>
    <cellStyle name="Input 2 2 2 2 4 2 3" xfId="2193"/>
    <cellStyle name="Input 2 2 2 2 4 2 3 2" xfId="2194"/>
    <cellStyle name="Input 2 2 2 2 4 2 4" xfId="2195"/>
    <cellStyle name="Input 2 2 2 2 4 3" xfId="2196"/>
    <cellStyle name="Input 2 2 2 2 4 3 2" xfId="2197"/>
    <cellStyle name="Input 2 2 2 2 4 3 2 2" xfId="2198"/>
    <cellStyle name="Input 2 2 2 2 4 3 3" xfId="2199"/>
    <cellStyle name="Input 2 2 2 2 4 3 4" xfId="2200"/>
    <cellStyle name="Input 2 2 2 2 4 4" xfId="2201"/>
    <cellStyle name="Input 2 2 2 2 4 4 2" xfId="2202"/>
    <cellStyle name="Input 2 2 2 2 4 4 2 2" xfId="2203"/>
    <cellStyle name="Input 2 2 2 2 4 4 3" xfId="2204"/>
    <cellStyle name="Input 2 2 2 2 4 5" xfId="2205"/>
    <cellStyle name="Input 2 2 2 2 4 5 2" xfId="2206"/>
    <cellStyle name="Input 2 2 2 2 4 6" xfId="2207"/>
    <cellStyle name="Input 2 2 2 2 5" xfId="2208"/>
    <cellStyle name="Input 2 2 2 2 5 2" xfId="2209"/>
    <cellStyle name="Input 2 2 2 3" xfId="2210"/>
    <cellStyle name="Input 2 2 2 3 2" xfId="2211"/>
    <cellStyle name="Input 2 2 2 3 2 2" xfId="2212"/>
    <cellStyle name="Input 2 2 2 3 2 2 2" xfId="2213"/>
    <cellStyle name="Input 2 2 2 3 2 2 2 2" xfId="2214"/>
    <cellStyle name="Input 2 2 2 3 2 2 3" xfId="2215"/>
    <cellStyle name="Input 2 2 2 3 2 3" xfId="2216"/>
    <cellStyle name="Input 2 2 2 3 2 3 2" xfId="2217"/>
    <cellStyle name="Input 2 2 2 3 2 4" xfId="2218"/>
    <cellStyle name="Input 2 2 2 3 3" xfId="2219"/>
    <cellStyle name="Input 2 2 2 3 3 2" xfId="2220"/>
    <cellStyle name="Input 2 2 2 3 3 2 2" xfId="2221"/>
    <cellStyle name="Input 2 2 2 3 3 3" xfId="2222"/>
    <cellStyle name="Input 2 2 2 3 3 4" xfId="2223"/>
    <cellStyle name="Input 2 2 2 3 4" xfId="2224"/>
    <cellStyle name="Input 2 2 2 3 4 2" xfId="2225"/>
    <cellStyle name="Input 2 2 2 3 4 2 2" xfId="2226"/>
    <cellStyle name="Input 2 2 2 3 4 3" xfId="2227"/>
    <cellStyle name="Input 2 2 2 3 5" xfId="2228"/>
    <cellStyle name="Input 2 2 2 3 5 2" xfId="2229"/>
    <cellStyle name="Input 2 2 2 3 6" xfId="2230"/>
    <cellStyle name="Input 2 2 2 4" xfId="2231"/>
    <cellStyle name="Input 2 2 2 4 2" xfId="2232"/>
    <cellStyle name="Input 2 2 2 4 2 2" xfId="2233"/>
    <cellStyle name="Input 2 2 2 4 2 2 2" xfId="2234"/>
    <cellStyle name="Input 2 2 2 4 2 2 2 2" xfId="2235"/>
    <cellStyle name="Input 2 2 2 4 2 2 3" xfId="2236"/>
    <cellStyle name="Input 2 2 2 4 2 3" xfId="2237"/>
    <cellStyle name="Input 2 2 2 4 2 3 2" xfId="2238"/>
    <cellStyle name="Input 2 2 2 4 2 4" xfId="2239"/>
    <cellStyle name="Input 2 2 2 4 3" xfId="2240"/>
    <cellStyle name="Input 2 2 2 4 3 2" xfId="2241"/>
    <cellStyle name="Input 2 2 2 4 3 2 2" xfId="2242"/>
    <cellStyle name="Input 2 2 2 4 3 3" xfId="2243"/>
    <cellStyle name="Input 2 2 2 4 3 4" xfId="2244"/>
    <cellStyle name="Input 2 2 2 4 4" xfId="2245"/>
    <cellStyle name="Input 2 2 2 4 4 2" xfId="2246"/>
    <cellStyle name="Input 2 2 2 4 4 2 2" xfId="2247"/>
    <cellStyle name="Input 2 2 2 4 4 3" xfId="2248"/>
    <cellStyle name="Input 2 2 2 4 5" xfId="2249"/>
    <cellStyle name="Input 2 2 2 4 5 2" xfId="2250"/>
    <cellStyle name="Input 2 2 2 4 6" xfId="2251"/>
    <cellStyle name="Input 2 2 2 5" xfId="2252"/>
    <cellStyle name="Input 2 2 2 5 2" xfId="2253"/>
    <cellStyle name="Input 2 2 2 5 2 2" xfId="2254"/>
    <cellStyle name="Input 2 2 2 5 2 2 2" xfId="2255"/>
    <cellStyle name="Input 2 2 2 5 2 2 2 2" xfId="2256"/>
    <cellStyle name="Input 2 2 2 5 2 2 3" xfId="2257"/>
    <cellStyle name="Input 2 2 2 5 2 3" xfId="2258"/>
    <cellStyle name="Input 2 2 2 5 2 3 2" xfId="2259"/>
    <cellStyle name="Input 2 2 2 5 2 4" xfId="2260"/>
    <cellStyle name="Input 2 2 2 5 3" xfId="2261"/>
    <cellStyle name="Input 2 2 2 5 3 2" xfId="2262"/>
    <cellStyle name="Input 2 2 2 5 3 2 2" xfId="2263"/>
    <cellStyle name="Input 2 2 2 5 3 3" xfId="2264"/>
    <cellStyle name="Input 2 2 2 5 3 4" xfId="2265"/>
    <cellStyle name="Input 2 2 2 5 4" xfId="2266"/>
    <cellStyle name="Input 2 2 2 5 4 2" xfId="2267"/>
    <cellStyle name="Input 2 2 2 5 4 2 2" xfId="2268"/>
    <cellStyle name="Input 2 2 2 5 4 3" xfId="2269"/>
    <cellStyle name="Input 2 2 2 5 5" xfId="2270"/>
    <cellStyle name="Input 2 2 2 5 5 2" xfId="2271"/>
    <cellStyle name="Input 2 2 2 5 6" xfId="2272"/>
    <cellStyle name="Input 2 2 3" xfId="2273"/>
    <cellStyle name="Input 2 2 3 2" xfId="2274"/>
    <cellStyle name="Input 2 2 3 2 2" xfId="2275"/>
    <cellStyle name="Input 2 2 3 2 2 2" xfId="2276"/>
    <cellStyle name="Input 2 2 3 2 2 2 2" xfId="2277"/>
    <cellStyle name="Input 2 2 3 2 2 2 2 2" xfId="2278"/>
    <cellStyle name="Input 2 2 3 2 2 2 3" xfId="2279"/>
    <cellStyle name="Input 2 2 3 2 2 3" xfId="2280"/>
    <cellStyle name="Input 2 2 3 2 2 3 2" xfId="2281"/>
    <cellStyle name="Input 2 2 3 2 2 4" xfId="2282"/>
    <cellStyle name="Input 2 2 3 2 3" xfId="2283"/>
    <cellStyle name="Input 2 2 3 2 3 2" xfId="2284"/>
    <cellStyle name="Input 2 2 3 2 3 2 2" xfId="2285"/>
    <cellStyle name="Input 2 2 3 2 3 3" xfId="2286"/>
    <cellStyle name="Input 2 2 3 2 3 4" xfId="2287"/>
    <cellStyle name="Input 2 2 3 2 4" xfId="2288"/>
    <cellStyle name="Input 2 2 3 2 4 2" xfId="2289"/>
    <cellStyle name="Input 2 2 3 2 4 2 2" xfId="2290"/>
    <cellStyle name="Input 2 2 3 2 4 3" xfId="2291"/>
    <cellStyle name="Input 2 2 3 2 5" xfId="2292"/>
    <cellStyle name="Input 2 2 3 2 5 2" xfId="2293"/>
    <cellStyle name="Input 2 2 3 2 6" xfId="2294"/>
    <cellStyle name="Input 2 2 3 3" xfId="2295"/>
    <cellStyle name="Input 2 2 3 3 2" xfId="2296"/>
    <cellStyle name="Input 2 2 3 3 2 2" xfId="2297"/>
    <cellStyle name="Input 2 2 3 3 2 2 2" xfId="2298"/>
    <cellStyle name="Input 2 2 3 3 2 2 2 2" xfId="2299"/>
    <cellStyle name="Input 2 2 3 3 2 2 3" xfId="2300"/>
    <cellStyle name="Input 2 2 3 3 2 3" xfId="2301"/>
    <cellStyle name="Input 2 2 3 3 2 3 2" xfId="2302"/>
    <cellStyle name="Input 2 2 3 3 2 4" xfId="2303"/>
    <cellStyle name="Input 2 2 3 3 3" xfId="2304"/>
    <cellStyle name="Input 2 2 3 3 3 2" xfId="2305"/>
    <cellStyle name="Input 2 2 3 3 3 2 2" xfId="2306"/>
    <cellStyle name="Input 2 2 3 3 3 3" xfId="2307"/>
    <cellStyle name="Input 2 2 3 3 3 4" xfId="2308"/>
    <cellStyle name="Input 2 2 3 3 4" xfId="2309"/>
    <cellStyle name="Input 2 2 3 3 4 2" xfId="2310"/>
    <cellStyle name="Input 2 2 3 3 4 2 2" xfId="2311"/>
    <cellStyle name="Input 2 2 3 3 4 3" xfId="2312"/>
    <cellStyle name="Input 2 2 3 3 5" xfId="2313"/>
    <cellStyle name="Input 2 2 3 3 5 2" xfId="2314"/>
    <cellStyle name="Input 2 2 3 3 6" xfId="2315"/>
    <cellStyle name="Input 2 2 3 4" xfId="2316"/>
    <cellStyle name="Input 2 2 3 4 2" xfId="2317"/>
    <cellStyle name="Input 2 2 3 4 2 2" xfId="2318"/>
    <cellStyle name="Input 2 2 3 4 2 2 2" xfId="2319"/>
    <cellStyle name="Input 2 2 3 4 2 2 2 2" xfId="2320"/>
    <cellStyle name="Input 2 2 3 4 2 2 3" xfId="2321"/>
    <cellStyle name="Input 2 2 3 4 2 3" xfId="2322"/>
    <cellStyle name="Input 2 2 3 4 2 3 2" xfId="2323"/>
    <cellStyle name="Input 2 2 3 4 2 4" xfId="2324"/>
    <cellStyle name="Input 2 2 3 4 3" xfId="2325"/>
    <cellStyle name="Input 2 2 3 4 3 2" xfId="2326"/>
    <cellStyle name="Input 2 2 3 4 3 2 2" xfId="2327"/>
    <cellStyle name="Input 2 2 3 4 3 3" xfId="2328"/>
    <cellStyle name="Input 2 2 3 4 3 4" xfId="2329"/>
    <cellStyle name="Input 2 2 3 4 4" xfId="2330"/>
    <cellStyle name="Input 2 2 3 4 4 2" xfId="2331"/>
    <cellStyle name="Input 2 2 3 4 4 2 2" xfId="2332"/>
    <cellStyle name="Input 2 2 3 4 4 3" xfId="2333"/>
    <cellStyle name="Input 2 2 3 4 5" xfId="2334"/>
    <cellStyle name="Input 2 2 3 4 5 2" xfId="2335"/>
    <cellStyle name="Input 2 2 3 4 6" xfId="2336"/>
    <cellStyle name="Input 2 2 3 5" xfId="2337"/>
    <cellStyle name="Input 2 2 3 5 2" xfId="2338"/>
    <cellStyle name="Input 2 2 4" xfId="2339"/>
    <cellStyle name="Input 2 2 4 2" xfId="2340"/>
    <cellStyle name="Input 2 2 4 2 2" xfId="2341"/>
    <cellStyle name="Input 2 2 4 2 2 2" xfId="2342"/>
    <cellStyle name="Input 2 2 4 2 2 2 2" xfId="2343"/>
    <cellStyle name="Input 2 2 4 2 2 2 2 2" xfId="2344"/>
    <cellStyle name="Input 2 2 4 2 2 2 3" xfId="2345"/>
    <cellStyle name="Input 2 2 4 2 2 3" xfId="2346"/>
    <cellStyle name="Input 2 2 4 2 2 3 2" xfId="2347"/>
    <cellStyle name="Input 2 2 4 2 2 4" xfId="2348"/>
    <cellStyle name="Input 2 2 4 2 3" xfId="2349"/>
    <cellStyle name="Input 2 2 4 2 3 2" xfId="2350"/>
    <cellStyle name="Input 2 2 4 2 3 2 2" xfId="2351"/>
    <cellStyle name="Input 2 2 4 2 3 3" xfId="2352"/>
    <cellStyle name="Input 2 2 4 2 3 4" xfId="2353"/>
    <cellStyle name="Input 2 2 4 2 4" xfId="2354"/>
    <cellStyle name="Input 2 2 4 2 4 2" xfId="2355"/>
    <cellStyle name="Input 2 2 4 2 4 2 2" xfId="2356"/>
    <cellStyle name="Input 2 2 4 2 4 3" xfId="2357"/>
    <cellStyle name="Input 2 2 4 2 5" xfId="2358"/>
    <cellStyle name="Input 2 2 4 2 5 2" xfId="2359"/>
    <cellStyle name="Input 2 2 4 2 6" xfId="2360"/>
    <cellStyle name="Input 2 2 4 3" xfId="2361"/>
    <cellStyle name="Input 2 2 4 3 2" xfId="2362"/>
    <cellStyle name="Input 2 2 4 3 2 2" xfId="2363"/>
    <cellStyle name="Input 2 2 4 3 2 2 2" xfId="2364"/>
    <cellStyle name="Input 2 2 4 3 2 2 2 2" xfId="2365"/>
    <cellStyle name="Input 2 2 4 3 2 2 3" xfId="2366"/>
    <cellStyle name="Input 2 2 4 3 2 3" xfId="2367"/>
    <cellStyle name="Input 2 2 4 3 2 3 2" xfId="2368"/>
    <cellStyle name="Input 2 2 4 3 2 4" xfId="2369"/>
    <cellStyle name="Input 2 2 4 3 3" xfId="2370"/>
    <cellStyle name="Input 2 2 4 3 3 2" xfId="2371"/>
    <cellStyle name="Input 2 2 4 3 3 2 2" xfId="2372"/>
    <cellStyle name="Input 2 2 4 3 3 3" xfId="2373"/>
    <cellStyle name="Input 2 2 4 3 3 4" xfId="2374"/>
    <cellStyle name="Input 2 2 4 3 4" xfId="2375"/>
    <cellStyle name="Input 2 2 4 3 4 2" xfId="2376"/>
    <cellStyle name="Input 2 2 4 3 4 2 2" xfId="2377"/>
    <cellStyle name="Input 2 2 4 3 4 3" xfId="2378"/>
    <cellStyle name="Input 2 2 4 3 5" xfId="2379"/>
    <cellStyle name="Input 2 2 4 3 5 2" xfId="2380"/>
    <cellStyle name="Input 2 2 4 3 6" xfId="2381"/>
    <cellStyle name="Input 2 2 4 4" xfId="2382"/>
    <cellStyle name="Input 2 2 4 4 2" xfId="2383"/>
    <cellStyle name="Input 2 2 4 4 2 2" xfId="2384"/>
    <cellStyle name="Input 2 2 4 4 2 2 2" xfId="2385"/>
    <cellStyle name="Input 2 2 4 4 2 3" xfId="2386"/>
    <cellStyle name="Input 2 2 4 4 3" xfId="2387"/>
    <cellStyle name="Input 2 2 4 4 3 2" xfId="2388"/>
    <cellStyle name="Input 2 2 4 4 4" xfId="2389"/>
    <cellStyle name="Input 2 2 4 5" xfId="2390"/>
    <cellStyle name="Input 2 2 4 5 2" xfId="2391"/>
    <cellStyle name="Input 2 2 4 5 2 2" xfId="2392"/>
    <cellStyle name="Input 2 2 4 5 3" xfId="2393"/>
    <cellStyle name="Input 2 2 4 5 4" xfId="2394"/>
    <cellStyle name="Input 2 2 4 6" xfId="2395"/>
    <cellStyle name="Input 2 2 4 6 2" xfId="2396"/>
    <cellStyle name="Input 2 2 4 6 2 2" xfId="2397"/>
    <cellStyle name="Input 2 2 4 6 3" xfId="2398"/>
    <cellStyle name="Input 2 2 4 7" xfId="2399"/>
    <cellStyle name="Input 2 2 4 7 2" xfId="2400"/>
    <cellStyle name="Input 2 2 4 8" xfId="2401"/>
    <cellStyle name="Input 2 2 5" xfId="2402"/>
    <cellStyle name="Input 2 2 5 2" xfId="2403"/>
    <cellStyle name="Input 2 2 5 2 2" xfId="2404"/>
    <cellStyle name="Input 2 2 5 2 2 2" xfId="2405"/>
    <cellStyle name="Input 2 2 5 2 2 2 2" xfId="2406"/>
    <cellStyle name="Input 2 2 5 2 2 3" xfId="2407"/>
    <cellStyle name="Input 2 2 5 2 3" xfId="2408"/>
    <cellStyle name="Input 2 2 5 2 3 2" xfId="2409"/>
    <cellStyle name="Input 2 2 5 2 4" xfId="2410"/>
    <cellStyle name="Input 2 2 5 3" xfId="2411"/>
    <cellStyle name="Input 2 2 5 3 2" xfId="2412"/>
    <cellStyle name="Input 2 2 5 3 2 2" xfId="2413"/>
    <cellStyle name="Input 2 2 5 3 3" xfId="2414"/>
    <cellStyle name="Input 2 2 5 3 4" xfId="2415"/>
    <cellStyle name="Input 2 2 5 4" xfId="2416"/>
    <cellStyle name="Input 2 2 5 4 2" xfId="2417"/>
    <cellStyle name="Input 2 2 5 4 2 2" xfId="2418"/>
    <cellStyle name="Input 2 2 5 4 3" xfId="2419"/>
    <cellStyle name="Input 2 2 5 5" xfId="2420"/>
    <cellStyle name="Input 2 2 5 5 2" xfId="2421"/>
    <cellStyle name="Input 2 2 5 6" xfId="2422"/>
    <cellStyle name="Input 2 3" xfId="2423"/>
    <cellStyle name="Input 2 3 2" xfId="2424"/>
    <cellStyle name="Input 2 3 2 2" xfId="2425"/>
    <cellStyle name="Input 2 3 2 2 2" xfId="2426"/>
    <cellStyle name="Input 2 3 2 2 2 2" xfId="2427"/>
    <cellStyle name="Input 2 3 2 2 2 2 2" xfId="2428"/>
    <cellStyle name="Input 2 3 2 2 2 2 2 2" xfId="2429"/>
    <cellStyle name="Input 2 3 2 2 2 2 3" xfId="2430"/>
    <cellStyle name="Input 2 3 2 2 2 3" xfId="2431"/>
    <cellStyle name="Input 2 3 2 2 2 3 2" xfId="2432"/>
    <cellStyle name="Input 2 3 2 2 2 4" xfId="2433"/>
    <cellStyle name="Input 2 3 2 2 3" xfId="2434"/>
    <cellStyle name="Input 2 3 2 2 3 2" xfId="2435"/>
    <cellStyle name="Input 2 3 2 2 3 2 2" xfId="2436"/>
    <cellStyle name="Input 2 3 2 2 3 3" xfId="2437"/>
    <cellStyle name="Input 2 3 2 2 3 4" xfId="2438"/>
    <cellStyle name="Input 2 3 2 2 4" xfId="2439"/>
    <cellStyle name="Input 2 3 2 2 4 2" xfId="2440"/>
    <cellStyle name="Input 2 3 2 2 4 2 2" xfId="2441"/>
    <cellStyle name="Input 2 3 2 2 4 3" xfId="2442"/>
    <cellStyle name="Input 2 3 2 2 5" xfId="2443"/>
    <cellStyle name="Input 2 3 2 2 5 2" xfId="2444"/>
    <cellStyle name="Input 2 3 2 2 6" xfId="2445"/>
    <cellStyle name="Input 2 3 2 3" xfId="2446"/>
    <cellStyle name="Input 2 3 2 3 2" xfId="2447"/>
    <cellStyle name="Input 2 3 2 3 2 2" xfId="2448"/>
    <cellStyle name="Input 2 3 2 3 2 2 2" xfId="2449"/>
    <cellStyle name="Input 2 3 2 3 2 2 2 2" xfId="2450"/>
    <cellStyle name="Input 2 3 2 3 2 2 3" xfId="2451"/>
    <cellStyle name="Input 2 3 2 3 2 3" xfId="2452"/>
    <cellStyle name="Input 2 3 2 3 2 3 2" xfId="2453"/>
    <cellStyle name="Input 2 3 2 3 2 4" xfId="2454"/>
    <cellStyle name="Input 2 3 2 3 3" xfId="2455"/>
    <cellStyle name="Input 2 3 2 3 3 2" xfId="2456"/>
    <cellStyle name="Input 2 3 2 3 3 2 2" xfId="2457"/>
    <cellStyle name="Input 2 3 2 3 3 3" xfId="2458"/>
    <cellStyle name="Input 2 3 2 3 3 4" xfId="2459"/>
    <cellStyle name="Input 2 3 2 3 4" xfId="2460"/>
    <cellStyle name="Input 2 3 2 3 4 2" xfId="2461"/>
    <cellStyle name="Input 2 3 2 3 4 2 2" xfId="2462"/>
    <cellStyle name="Input 2 3 2 3 4 3" xfId="2463"/>
    <cellStyle name="Input 2 3 2 3 5" xfId="2464"/>
    <cellStyle name="Input 2 3 2 3 5 2" xfId="2465"/>
    <cellStyle name="Input 2 3 2 3 6" xfId="2466"/>
    <cellStyle name="Input 2 3 2 4" xfId="2467"/>
    <cellStyle name="Input 2 3 2 4 2" xfId="2468"/>
    <cellStyle name="Input 2 3 2 4 2 2" xfId="2469"/>
    <cellStyle name="Input 2 3 2 4 2 2 2" xfId="2470"/>
    <cellStyle name="Input 2 3 2 4 2 2 2 2" xfId="2471"/>
    <cellStyle name="Input 2 3 2 4 2 2 3" xfId="2472"/>
    <cellStyle name="Input 2 3 2 4 2 3" xfId="2473"/>
    <cellStyle name="Input 2 3 2 4 2 3 2" xfId="2474"/>
    <cellStyle name="Input 2 3 2 4 2 4" xfId="2475"/>
    <cellStyle name="Input 2 3 2 4 3" xfId="2476"/>
    <cellStyle name="Input 2 3 2 4 3 2" xfId="2477"/>
    <cellStyle name="Input 2 3 2 4 3 2 2" xfId="2478"/>
    <cellStyle name="Input 2 3 2 4 3 3" xfId="2479"/>
    <cellStyle name="Input 2 3 2 4 3 4" xfId="2480"/>
    <cellStyle name="Input 2 3 2 4 4" xfId="2481"/>
    <cellStyle name="Input 2 3 2 4 4 2" xfId="2482"/>
    <cellStyle name="Input 2 3 2 4 4 2 2" xfId="2483"/>
    <cellStyle name="Input 2 3 2 4 4 3" xfId="2484"/>
    <cellStyle name="Input 2 3 2 4 5" xfId="2485"/>
    <cellStyle name="Input 2 3 2 4 5 2" xfId="2486"/>
    <cellStyle name="Input 2 3 2 4 6" xfId="2487"/>
    <cellStyle name="Input 2 3 2 5" xfId="2488"/>
    <cellStyle name="Input 2 3 2 5 2" xfId="2489"/>
    <cellStyle name="Input 2 3 3" xfId="2490"/>
    <cellStyle name="Input 2 3 3 2" xfId="2491"/>
    <cellStyle name="Input 2 3 3 2 2" xfId="2492"/>
    <cellStyle name="Input 2 3 3 2 2 2" xfId="2493"/>
    <cellStyle name="Input 2 3 3 2 2 2 2" xfId="2494"/>
    <cellStyle name="Input 2 3 3 2 2 3" xfId="2495"/>
    <cellStyle name="Input 2 3 3 2 3" xfId="2496"/>
    <cellStyle name="Input 2 3 3 2 3 2" xfId="2497"/>
    <cellStyle name="Input 2 3 3 2 4" xfId="2498"/>
    <cellStyle name="Input 2 3 3 3" xfId="2499"/>
    <cellStyle name="Input 2 3 3 3 2" xfId="2500"/>
    <cellStyle name="Input 2 3 3 3 2 2" xfId="2501"/>
    <cellStyle name="Input 2 3 3 3 3" xfId="2502"/>
    <cellStyle name="Input 2 3 3 3 4" xfId="2503"/>
    <cellStyle name="Input 2 3 3 4" xfId="2504"/>
    <cellStyle name="Input 2 3 3 4 2" xfId="2505"/>
    <cellStyle name="Input 2 3 3 4 2 2" xfId="2506"/>
    <cellStyle name="Input 2 3 3 4 3" xfId="2507"/>
    <cellStyle name="Input 2 3 3 5" xfId="2508"/>
    <cellStyle name="Input 2 3 3 5 2" xfId="2509"/>
    <cellStyle name="Input 2 3 3 6" xfId="2510"/>
    <cellStyle name="Input 2 3 4" xfId="2511"/>
    <cellStyle name="Input 2 3 4 2" xfId="2512"/>
    <cellStyle name="Input 2 3 4 2 2" xfId="2513"/>
    <cellStyle name="Input 2 3 4 2 2 2" xfId="2514"/>
    <cellStyle name="Input 2 3 4 2 2 2 2" xfId="2515"/>
    <cellStyle name="Input 2 3 4 2 2 3" xfId="2516"/>
    <cellStyle name="Input 2 3 4 2 3" xfId="2517"/>
    <cellStyle name="Input 2 3 4 2 3 2" xfId="2518"/>
    <cellStyle name="Input 2 3 4 2 4" xfId="2519"/>
    <cellStyle name="Input 2 3 4 3" xfId="2520"/>
    <cellStyle name="Input 2 3 4 3 2" xfId="2521"/>
    <cellStyle name="Input 2 3 4 3 2 2" xfId="2522"/>
    <cellStyle name="Input 2 3 4 3 3" xfId="2523"/>
    <cellStyle name="Input 2 3 4 3 4" xfId="2524"/>
    <cellStyle name="Input 2 3 4 4" xfId="2525"/>
    <cellStyle name="Input 2 3 4 4 2" xfId="2526"/>
    <cellStyle name="Input 2 3 4 4 2 2" xfId="2527"/>
    <cellStyle name="Input 2 3 4 4 3" xfId="2528"/>
    <cellStyle name="Input 2 3 4 5" xfId="2529"/>
    <cellStyle name="Input 2 3 4 5 2" xfId="2530"/>
    <cellStyle name="Input 2 3 4 6" xfId="2531"/>
    <cellStyle name="Input 2 3 5" xfId="2532"/>
    <cellStyle name="Input 2 3 5 2" xfId="2533"/>
    <cellStyle name="Input 2 3 5 2 2" xfId="2534"/>
    <cellStyle name="Input 2 3 5 2 2 2" xfId="2535"/>
    <cellStyle name="Input 2 3 5 2 2 2 2" xfId="2536"/>
    <cellStyle name="Input 2 3 5 2 2 3" xfId="2537"/>
    <cellStyle name="Input 2 3 5 2 3" xfId="2538"/>
    <cellStyle name="Input 2 3 5 2 3 2" xfId="2539"/>
    <cellStyle name="Input 2 3 5 2 4" xfId="2540"/>
    <cellStyle name="Input 2 3 5 3" xfId="2541"/>
    <cellStyle name="Input 2 3 5 3 2" xfId="2542"/>
    <cellStyle name="Input 2 3 5 3 2 2" xfId="2543"/>
    <cellStyle name="Input 2 3 5 3 3" xfId="2544"/>
    <cellStyle name="Input 2 3 5 3 4" xfId="2545"/>
    <cellStyle name="Input 2 3 5 4" xfId="2546"/>
    <cellStyle name="Input 2 3 5 4 2" xfId="2547"/>
    <cellStyle name="Input 2 3 5 4 2 2" xfId="2548"/>
    <cellStyle name="Input 2 3 5 4 3" xfId="2549"/>
    <cellStyle name="Input 2 3 5 5" xfId="2550"/>
    <cellStyle name="Input 2 3 5 5 2" xfId="2551"/>
    <cellStyle name="Input 2 3 5 6" xfId="2552"/>
    <cellStyle name="Input 2 4" xfId="2553"/>
    <cellStyle name="Input 2 4 2" xfId="2554"/>
    <cellStyle name="Input 2 4 2 2" xfId="2555"/>
    <cellStyle name="Input 2 4 2 2 2" xfId="2556"/>
    <cellStyle name="Input 2 4 2 2 2 2" xfId="2557"/>
    <cellStyle name="Input 2 4 2 2 2 2 2" xfId="2558"/>
    <cellStyle name="Input 2 4 2 2 2 3" xfId="2559"/>
    <cellStyle name="Input 2 4 2 2 3" xfId="2560"/>
    <cellStyle name="Input 2 4 2 2 3 2" xfId="2561"/>
    <cellStyle name="Input 2 4 2 2 4" xfId="2562"/>
    <cellStyle name="Input 2 4 2 3" xfId="2563"/>
    <cellStyle name="Input 2 4 2 3 2" xfId="2564"/>
    <cellStyle name="Input 2 4 2 3 2 2" xfId="2565"/>
    <cellStyle name="Input 2 4 2 3 3" xfId="2566"/>
    <cellStyle name="Input 2 4 2 3 4" xfId="2567"/>
    <cellStyle name="Input 2 4 2 4" xfId="2568"/>
    <cellStyle name="Input 2 4 2 4 2" xfId="2569"/>
    <cellStyle name="Input 2 4 2 4 2 2" xfId="2570"/>
    <cellStyle name="Input 2 4 2 4 3" xfId="2571"/>
    <cellStyle name="Input 2 4 2 5" xfId="2572"/>
    <cellStyle name="Input 2 4 2 5 2" xfId="2573"/>
    <cellStyle name="Input 2 4 2 6" xfId="2574"/>
    <cellStyle name="Input 2 4 3" xfId="2575"/>
    <cellStyle name="Input 2 4 3 2" xfId="2576"/>
    <cellStyle name="Input 2 4 3 2 2" xfId="2577"/>
    <cellStyle name="Input 2 4 3 2 2 2" xfId="2578"/>
    <cellStyle name="Input 2 4 3 2 2 2 2" xfId="2579"/>
    <cellStyle name="Input 2 4 3 2 2 3" xfId="2580"/>
    <cellStyle name="Input 2 4 3 2 3" xfId="2581"/>
    <cellStyle name="Input 2 4 3 2 3 2" xfId="2582"/>
    <cellStyle name="Input 2 4 3 2 4" xfId="2583"/>
    <cellStyle name="Input 2 4 3 3" xfId="2584"/>
    <cellStyle name="Input 2 4 3 3 2" xfId="2585"/>
    <cellStyle name="Input 2 4 3 3 2 2" xfId="2586"/>
    <cellStyle name="Input 2 4 3 3 3" xfId="2587"/>
    <cellStyle name="Input 2 4 3 3 4" xfId="2588"/>
    <cellStyle name="Input 2 4 3 4" xfId="2589"/>
    <cellStyle name="Input 2 4 3 4 2" xfId="2590"/>
    <cellStyle name="Input 2 4 3 4 2 2" xfId="2591"/>
    <cellStyle name="Input 2 4 3 4 3" xfId="2592"/>
    <cellStyle name="Input 2 4 3 5" xfId="2593"/>
    <cellStyle name="Input 2 4 3 5 2" xfId="2594"/>
    <cellStyle name="Input 2 4 3 6" xfId="2595"/>
    <cellStyle name="Input 2 4 4" xfId="2596"/>
    <cellStyle name="Input 2 4 4 2" xfId="2597"/>
    <cellStyle name="Input 2 4 4 2 2" xfId="2598"/>
    <cellStyle name="Input 2 4 4 2 2 2" xfId="2599"/>
    <cellStyle name="Input 2 4 4 2 2 2 2" xfId="2600"/>
    <cellStyle name="Input 2 4 4 2 2 3" xfId="2601"/>
    <cellStyle name="Input 2 4 4 2 3" xfId="2602"/>
    <cellStyle name="Input 2 4 4 2 3 2" xfId="2603"/>
    <cellStyle name="Input 2 4 4 2 4" xfId="2604"/>
    <cellStyle name="Input 2 4 4 3" xfId="2605"/>
    <cellStyle name="Input 2 4 4 3 2" xfId="2606"/>
    <cellStyle name="Input 2 4 4 3 2 2" xfId="2607"/>
    <cellStyle name="Input 2 4 4 3 3" xfId="2608"/>
    <cellStyle name="Input 2 4 4 3 4" xfId="2609"/>
    <cellStyle name="Input 2 4 4 4" xfId="2610"/>
    <cellStyle name="Input 2 4 4 4 2" xfId="2611"/>
    <cellStyle name="Input 2 4 4 4 2 2" xfId="2612"/>
    <cellStyle name="Input 2 4 4 4 3" xfId="2613"/>
    <cellStyle name="Input 2 4 4 5" xfId="2614"/>
    <cellStyle name="Input 2 4 4 5 2" xfId="2615"/>
    <cellStyle name="Input 2 4 4 6" xfId="2616"/>
    <cellStyle name="Input 2 4 5" xfId="2617"/>
    <cellStyle name="Input 2 4 5 2" xfId="2618"/>
    <cellStyle name="Input 2 5" xfId="2619"/>
    <cellStyle name="Input 2 5 2" xfId="2620"/>
    <cellStyle name="Input 2 5 2 2" xfId="2621"/>
    <cellStyle name="Input 2 5 2 2 2" xfId="2622"/>
    <cellStyle name="Input 2 5 2 2 2 2" xfId="2623"/>
    <cellStyle name="Input 2 5 2 2 2 2 2" xfId="2624"/>
    <cellStyle name="Input 2 5 2 2 2 3" xfId="2625"/>
    <cellStyle name="Input 2 5 2 2 3" xfId="2626"/>
    <cellStyle name="Input 2 5 2 2 3 2" xfId="2627"/>
    <cellStyle name="Input 2 5 2 2 4" xfId="2628"/>
    <cellStyle name="Input 2 5 2 3" xfId="2629"/>
    <cellStyle name="Input 2 5 2 3 2" xfId="2630"/>
    <cellStyle name="Input 2 5 2 3 2 2" xfId="2631"/>
    <cellStyle name="Input 2 5 2 3 3" xfId="2632"/>
    <cellStyle name="Input 2 5 2 3 4" xfId="2633"/>
    <cellStyle name="Input 2 5 2 4" xfId="2634"/>
    <cellStyle name="Input 2 5 2 4 2" xfId="2635"/>
    <cellStyle name="Input 2 5 2 4 2 2" xfId="2636"/>
    <cellStyle name="Input 2 5 2 4 3" xfId="2637"/>
    <cellStyle name="Input 2 5 2 5" xfId="2638"/>
    <cellStyle name="Input 2 5 2 5 2" xfId="2639"/>
    <cellStyle name="Input 2 5 2 6" xfId="2640"/>
    <cellStyle name="Input 2 5 3" xfId="2641"/>
    <cellStyle name="Input 2 5 3 2" xfId="2642"/>
    <cellStyle name="Input 2 5 3 2 2" xfId="2643"/>
    <cellStyle name="Input 2 5 3 2 2 2" xfId="2644"/>
    <cellStyle name="Input 2 5 3 2 2 2 2" xfId="2645"/>
    <cellStyle name="Input 2 5 3 2 2 3" xfId="2646"/>
    <cellStyle name="Input 2 5 3 2 3" xfId="2647"/>
    <cellStyle name="Input 2 5 3 2 3 2" xfId="2648"/>
    <cellStyle name="Input 2 5 3 2 4" xfId="2649"/>
    <cellStyle name="Input 2 5 3 3" xfId="2650"/>
    <cellStyle name="Input 2 5 3 3 2" xfId="2651"/>
    <cellStyle name="Input 2 5 3 3 2 2" xfId="2652"/>
    <cellStyle name="Input 2 5 3 3 3" xfId="2653"/>
    <cellStyle name="Input 2 5 3 3 4" xfId="2654"/>
    <cellStyle name="Input 2 5 3 4" xfId="2655"/>
    <cellStyle name="Input 2 5 3 4 2" xfId="2656"/>
    <cellStyle name="Input 2 5 3 4 2 2" xfId="2657"/>
    <cellStyle name="Input 2 5 3 4 3" xfId="2658"/>
    <cellStyle name="Input 2 5 3 5" xfId="2659"/>
    <cellStyle name="Input 2 5 3 5 2" xfId="2660"/>
    <cellStyle name="Input 2 5 3 6" xfId="2661"/>
    <cellStyle name="Input 2 5 4" xfId="2662"/>
    <cellStyle name="Input 2 5 4 2" xfId="2663"/>
    <cellStyle name="Input 2 5 4 2 2" xfId="2664"/>
    <cellStyle name="Input 2 5 4 2 2 2" xfId="2665"/>
    <cellStyle name="Input 2 5 4 2 3" xfId="2666"/>
    <cellStyle name="Input 2 5 4 3" xfId="2667"/>
    <cellStyle name="Input 2 5 4 3 2" xfId="2668"/>
    <cellStyle name="Input 2 5 4 4" xfId="2669"/>
    <cellStyle name="Input 2 5 5" xfId="2670"/>
    <cellStyle name="Input 2 5 5 2" xfId="2671"/>
    <cellStyle name="Input 2 5 5 2 2" xfId="2672"/>
    <cellStyle name="Input 2 5 5 3" xfId="2673"/>
    <cellStyle name="Input 2 5 5 4" xfId="2674"/>
    <cellStyle name="Input 2 5 6" xfId="2675"/>
    <cellStyle name="Input 2 5 6 2" xfId="2676"/>
    <cellStyle name="Input 2 5 6 2 2" xfId="2677"/>
    <cellStyle name="Input 2 5 6 3" xfId="2678"/>
    <cellStyle name="Input 2 5 7" xfId="2679"/>
    <cellStyle name="Input 2 5 7 2" xfId="2680"/>
    <cellStyle name="Input 2 5 8" xfId="2681"/>
    <cellStyle name="Input 2 6" xfId="2682"/>
    <cellStyle name="Input 2 6 2" xfId="2683"/>
    <cellStyle name="Input 2 6 2 2" xfId="2684"/>
    <cellStyle name="Input 2 6 2 2 2" xfId="2685"/>
    <cellStyle name="Input 2 6 2 2 2 2" xfId="2686"/>
    <cellStyle name="Input 2 6 2 2 3" xfId="2687"/>
    <cellStyle name="Input 2 6 2 3" xfId="2688"/>
    <cellStyle name="Input 2 6 2 3 2" xfId="2689"/>
    <cellStyle name="Input 2 6 2 4" xfId="2690"/>
    <cellStyle name="Input 2 6 3" xfId="2691"/>
    <cellStyle name="Input 2 6 3 2" xfId="2692"/>
    <cellStyle name="Input 2 6 3 2 2" xfId="2693"/>
    <cellStyle name="Input 2 6 3 3" xfId="2694"/>
    <cellStyle name="Input 2 6 3 4" xfId="2695"/>
    <cellStyle name="Input 2 6 4" xfId="2696"/>
    <cellStyle name="Input 2 6 4 2" xfId="2697"/>
    <cellStyle name="Input 2 6 4 2 2" xfId="2698"/>
    <cellStyle name="Input 2 6 4 3" xfId="2699"/>
    <cellStyle name="Input 2 6 5" xfId="2700"/>
    <cellStyle name="Input 2 6 5 2" xfId="2701"/>
    <cellStyle name="Input 2 6 6" xfId="2702"/>
    <cellStyle name="Input 3" xfId="2703"/>
    <cellStyle name="Input 3 2" xfId="2704"/>
    <cellStyle name="Input 3 2 2" xfId="2705"/>
    <cellStyle name="Input 3 2 2 2" xfId="2706"/>
    <cellStyle name="Input 3 2 2 2 2" xfId="2707"/>
    <cellStyle name="Input 3 2 2 2 2 2" xfId="2708"/>
    <cellStyle name="Input 3 2 2 2 2 2 2" xfId="2709"/>
    <cellStyle name="Input 3 2 2 2 2 3" xfId="2710"/>
    <cellStyle name="Input 3 2 2 2 3" xfId="2711"/>
    <cellStyle name="Input 3 2 2 2 3 2" xfId="2712"/>
    <cellStyle name="Input 3 2 2 2 4" xfId="2713"/>
    <cellStyle name="Input 3 2 2 3" xfId="2714"/>
    <cellStyle name="Input 3 2 2 3 2" xfId="2715"/>
    <cellStyle name="Input 3 2 2 3 2 2" xfId="2716"/>
    <cellStyle name="Input 3 2 2 3 3" xfId="2717"/>
    <cellStyle name="Input 3 2 2 3 4" xfId="2718"/>
    <cellStyle name="Input 3 2 2 4" xfId="2719"/>
    <cellStyle name="Input 3 2 2 4 2" xfId="2720"/>
    <cellStyle name="Input 3 2 2 4 2 2" xfId="2721"/>
    <cellStyle name="Input 3 2 2 4 3" xfId="2722"/>
    <cellStyle name="Input 3 2 2 5" xfId="2723"/>
    <cellStyle name="Input 3 2 2 5 2" xfId="2724"/>
    <cellStyle name="Input 3 2 2 6" xfId="2725"/>
    <cellStyle name="Input 3 2 3" xfId="2726"/>
    <cellStyle name="Input 3 2 3 2" xfId="2727"/>
    <cellStyle name="Input 3 2 3 2 2" xfId="2728"/>
    <cellStyle name="Input 3 2 3 2 2 2" xfId="2729"/>
    <cellStyle name="Input 3 2 3 2 2 2 2" xfId="2730"/>
    <cellStyle name="Input 3 2 3 2 2 3" xfId="2731"/>
    <cellStyle name="Input 3 2 3 2 3" xfId="2732"/>
    <cellStyle name="Input 3 2 3 2 3 2" xfId="2733"/>
    <cellStyle name="Input 3 2 3 2 4" xfId="2734"/>
    <cellStyle name="Input 3 2 3 3" xfId="2735"/>
    <cellStyle name="Input 3 2 3 3 2" xfId="2736"/>
    <cellStyle name="Input 3 2 3 3 2 2" xfId="2737"/>
    <cellStyle name="Input 3 2 3 3 3" xfId="2738"/>
    <cellStyle name="Input 3 2 3 3 4" xfId="2739"/>
    <cellStyle name="Input 3 2 3 4" xfId="2740"/>
    <cellStyle name="Input 3 2 3 4 2" xfId="2741"/>
    <cellStyle name="Input 3 2 3 4 2 2" xfId="2742"/>
    <cellStyle name="Input 3 2 3 4 3" xfId="2743"/>
    <cellStyle name="Input 3 2 3 5" xfId="2744"/>
    <cellStyle name="Input 3 2 3 5 2" xfId="2745"/>
    <cellStyle name="Input 3 2 3 6" xfId="2746"/>
    <cellStyle name="Input 3 2 4" xfId="2747"/>
    <cellStyle name="Input 3 2 4 2" xfId="2748"/>
    <cellStyle name="Input 3 2 4 2 2" xfId="2749"/>
    <cellStyle name="Input 3 2 4 2 2 2" xfId="2750"/>
    <cellStyle name="Input 3 2 4 2 2 2 2" xfId="2751"/>
    <cellStyle name="Input 3 2 4 2 2 3" xfId="2752"/>
    <cellStyle name="Input 3 2 4 2 3" xfId="2753"/>
    <cellStyle name="Input 3 2 4 2 3 2" xfId="2754"/>
    <cellStyle name="Input 3 2 4 2 4" xfId="2755"/>
    <cellStyle name="Input 3 2 4 3" xfId="2756"/>
    <cellStyle name="Input 3 2 4 3 2" xfId="2757"/>
    <cellStyle name="Input 3 2 4 3 2 2" xfId="2758"/>
    <cellStyle name="Input 3 2 4 3 3" xfId="2759"/>
    <cellStyle name="Input 3 2 4 3 4" xfId="2760"/>
    <cellStyle name="Input 3 2 4 4" xfId="2761"/>
    <cellStyle name="Input 3 2 4 4 2" xfId="2762"/>
    <cellStyle name="Input 3 2 4 4 2 2" xfId="2763"/>
    <cellStyle name="Input 3 2 4 4 3" xfId="2764"/>
    <cellStyle name="Input 3 2 4 5" xfId="2765"/>
    <cellStyle name="Input 3 2 4 5 2" xfId="2766"/>
    <cellStyle name="Input 3 2 4 6" xfId="2767"/>
    <cellStyle name="Input 3 2 5" xfId="2768"/>
    <cellStyle name="Input 3 2 5 2" xfId="2769"/>
    <cellStyle name="Input 3 3" xfId="2770"/>
    <cellStyle name="Input 3 3 2" xfId="2771"/>
    <cellStyle name="Input 3 3 2 2" xfId="2772"/>
    <cellStyle name="Input 3 3 2 2 2" xfId="2773"/>
    <cellStyle name="Input 3 3 2 2 2 2" xfId="2774"/>
    <cellStyle name="Input 3 3 2 2 2 2 2" xfId="2775"/>
    <cellStyle name="Input 3 3 2 2 2 3" xfId="2776"/>
    <cellStyle name="Input 3 3 2 2 3" xfId="2777"/>
    <cellStyle name="Input 3 3 2 2 3 2" xfId="2778"/>
    <cellStyle name="Input 3 3 2 2 4" xfId="2779"/>
    <cellStyle name="Input 3 3 2 3" xfId="2780"/>
    <cellStyle name="Input 3 3 2 3 2" xfId="2781"/>
    <cellStyle name="Input 3 3 2 3 2 2" xfId="2782"/>
    <cellStyle name="Input 3 3 2 3 3" xfId="2783"/>
    <cellStyle name="Input 3 3 2 3 4" xfId="2784"/>
    <cellStyle name="Input 3 3 2 4" xfId="2785"/>
    <cellStyle name="Input 3 3 2 4 2" xfId="2786"/>
    <cellStyle name="Input 3 3 2 4 2 2" xfId="2787"/>
    <cellStyle name="Input 3 3 2 4 3" xfId="2788"/>
    <cellStyle name="Input 3 3 2 5" xfId="2789"/>
    <cellStyle name="Input 3 3 2 5 2" xfId="2790"/>
    <cellStyle name="Input 3 3 2 6" xfId="2791"/>
    <cellStyle name="Input 3 3 3" xfId="2792"/>
    <cellStyle name="Input 3 3 3 2" xfId="2793"/>
    <cellStyle name="Input 3 3 3 2 2" xfId="2794"/>
    <cellStyle name="Input 3 3 3 2 2 2" xfId="2795"/>
    <cellStyle name="Input 3 3 3 2 2 2 2" xfId="2796"/>
    <cellStyle name="Input 3 3 3 2 2 3" xfId="2797"/>
    <cellStyle name="Input 3 3 3 2 3" xfId="2798"/>
    <cellStyle name="Input 3 3 3 2 3 2" xfId="2799"/>
    <cellStyle name="Input 3 3 3 2 4" xfId="2800"/>
    <cellStyle name="Input 3 3 3 3" xfId="2801"/>
    <cellStyle name="Input 3 3 3 3 2" xfId="2802"/>
    <cellStyle name="Input 3 3 3 3 2 2" xfId="2803"/>
    <cellStyle name="Input 3 3 3 3 3" xfId="2804"/>
    <cellStyle name="Input 3 3 3 3 4" xfId="2805"/>
    <cellStyle name="Input 3 3 3 4" xfId="2806"/>
    <cellStyle name="Input 3 3 3 4 2" xfId="2807"/>
    <cellStyle name="Input 3 3 3 4 2 2" xfId="2808"/>
    <cellStyle name="Input 3 3 3 4 3" xfId="2809"/>
    <cellStyle name="Input 3 3 3 5" xfId="2810"/>
    <cellStyle name="Input 3 3 3 5 2" xfId="2811"/>
    <cellStyle name="Input 3 3 3 6" xfId="2812"/>
    <cellStyle name="Input 3 3 4" xfId="2813"/>
    <cellStyle name="Input 3 3 4 2" xfId="2814"/>
    <cellStyle name="Input 3 3 4 2 2" xfId="2815"/>
    <cellStyle name="Input 3 3 4 2 2 2" xfId="2816"/>
    <cellStyle name="Input 3 3 4 2 3" xfId="2817"/>
    <cellStyle name="Input 3 3 4 3" xfId="2818"/>
    <cellStyle name="Input 3 3 4 3 2" xfId="2819"/>
    <cellStyle name="Input 3 3 4 4" xfId="2820"/>
    <cellStyle name="Input 3 3 5" xfId="2821"/>
    <cellStyle name="Input 3 3 5 2" xfId="2822"/>
    <cellStyle name="Input 3 3 5 2 2" xfId="2823"/>
    <cellStyle name="Input 3 3 5 3" xfId="2824"/>
    <cellStyle name="Input 3 3 5 4" xfId="2825"/>
    <cellStyle name="Input 3 3 6" xfId="2826"/>
    <cellStyle name="Input 3 3 6 2" xfId="2827"/>
    <cellStyle name="Input 3 3 6 2 2" xfId="2828"/>
    <cellStyle name="Input 3 3 6 3" xfId="2829"/>
    <cellStyle name="Input 3 3 7" xfId="2830"/>
    <cellStyle name="Input 3 3 7 2" xfId="2831"/>
    <cellStyle name="Input 3 3 8" xfId="2832"/>
    <cellStyle name="Input 3 4" xfId="2833"/>
    <cellStyle name="Input 3 4 2" xfId="2834"/>
    <cellStyle name="Input 3 4 2 2" xfId="2835"/>
    <cellStyle name="Input 3 4 2 2 2" xfId="2836"/>
    <cellStyle name="Input 3 4 2 2 2 2" xfId="2837"/>
    <cellStyle name="Input 3 4 2 2 3" xfId="2838"/>
    <cellStyle name="Input 3 4 2 3" xfId="2839"/>
    <cellStyle name="Input 3 4 2 3 2" xfId="2840"/>
    <cellStyle name="Input 3 4 2 4" xfId="2841"/>
    <cellStyle name="Input 3 4 3" xfId="2842"/>
    <cellStyle name="Input 3 4 3 2" xfId="2843"/>
    <cellStyle name="Input 3 4 3 2 2" xfId="2844"/>
    <cellStyle name="Input 3 4 3 3" xfId="2845"/>
    <cellStyle name="Input 3 4 3 4" xfId="2846"/>
    <cellStyle name="Input 3 4 4" xfId="2847"/>
    <cellStyle name="Input 3 4 4 2" xfId="2848"/>
    <cellStyle name="Input 3 4 4 2 2" xfId="2849"/>
    <cellStyle name="Input 3 4 4 3" xfId="2850"/>
    <cellStyle name="Input 3 4 5" xfId="2851"/>
    <cellStyle name="Input 3 4 5 2" xfId="2852"/>
    <cellStyle name="Input 3 4 6" xfId="2853"/>
    <cellStyle name="Input 4" xfId="2854"/>
    <cellStyle name="Input 4 2" xfId="2855"/>
    <cellStyle name="Input 4 2 2" xfId="2856"/>
    <cellStyle name="Input 4 2 2 2" xfId="2857"/>
    <cellStyle name="Input 4 2 2 2 2" xfId="2858"/>
    <cellStyle name="Input 4 2 2 2 2 2" xfId="2859"/>
    <cellStyle name="Input 4 2 2 2 2 2 2" xfId="2860"/>
    <cellStyle name="Input 4 2 2 2 2 3" xfId="2861"/>
    <cellStyle name="Input 4 2 2 2 3" xfId="2862"/>
    <cellStyle name="Input 4 2 2 2 3 2" xfId="2863"/>
    <cellStyle name="Input 4 2 2 2 4" xfId="2864"/>
    <cellStyle name="Input 4 2 2 3" xfId="2865"/>
    <cellStyle name="Input 4 2 2 3 2" xfId="2866"/>
    <cellStyle name="Input 4 2 2 3 2 2" xfId="2867"/>
    <cellStyle name="Input 4 2 2 3 3" xfId="2868"/>
    <cellStyle name="Input 4 2 2 3 4" xfId="2869"/>
    <cellStyle name="Input 4 2 2 4" xfId="2870"/>
    <cellStyle name="Input 4 2 2 4 2" xfId="2871"/>
    <cellStyle name="Input 4 2 2 4 2 2" xfId="2872"/>
    <cellStyle name="Input 4 2 2 4 3" xfId="2873"/>
    <cellStyle name="Input 4 2 2 5" xfId="2874"/>
    <cellStyle name="Input 4 2 2 5 2" xfId="2875"/>
    <cellStyle name="Input 4 2 2 6" xfId="2876"/>
    <cellStyle name="Input 4 2 3" xfId="2877"/>
    <cellStyle name="Input 4 2 3 2" xfId="2878"/>
    <cellStyle name="Input 4 2 3 2 2" xfId="2879"/>
    <cellStyle name="Input 4 2 3 2 2 2" xfId="2880"/>
    <cellStyle name="Input 4 2 3 2 2 2 2" xfId="2881"/>
    <cellStyle name="Input 4 2 3 2 2 3" xfId="2882"/>
    <cellStyle name="Input 4 2 3 2 3" xfId="2883"/>
    <cellStyle name="Input 4 2 3 2 3 2" xfId="2884"/>
    <cellStyle name="Input 4 2 3 2 4" xfId="2885"/>
    <cellStyle name="Input 4 2 3 3" xfId="2886"/>
    <cellStyle name="Input 4 2 3 3 2" xfId="2887"/>
    <cellStyle name="Input 4 2 3 3 2 2" xfId="2888"/>
    <cellStyle name="Input 4 2 3 3 3" xfId="2889"/>
    <cellStyle name="Input 4 2 3 3 4" xfId="2890"/>
    <cellStyle name="Input 4 2 3 4" xfId="2891"/>
    <cellStyle name="Input 4 2 3 4 2" xfId="2892"/>
    <cellStyle name="Input 4 2 3 4 2 2" xfId="2893"/>
    <cellStyle name="Input 4 2 3 4 3" xfId="2894"/>
    <cellStyle name="Input 4 2 3 5" xfId="2895"/>
    <cellStyle name="Input 4 2 3 5 2" xfId="2896"/>
    <cellStyle name="Input 4 2 3 6" xfId="2897"/>
    <cellStyle name="Input 4 2 4" xfId="2898"/>
    <cellStyle name="Input 4 2 4 2" xfId="2899"/>
    <cellStyle name="Input 4 2 4 2 2" xfId="2900"/>
    <cellStyle name="Input 4 2 4 2 2 2" xfId="2901"/>
    <cellStyle name="Input 4 2 4 2 2 2 2" xfId="2902"/>
    <cellStyle name="Input 4 2 4 2 2 3" xfId="2903"/>
    <cellStyle name="Input 4 2 4 2 3" xfId="2904"/>
    <cellStyle name="Input 4 2 4 2 3 2" xfId="2905"/>
    <cellStyle name="Input 4 2 4 2 4" xfId="2906"/>
    <cellStyle name="Input 4 2 4 3" xfId="2907"/>
    <cellStyle name="Input 4 2 4 3 2" xfId="2908"/>
    <cellStyle name="Input 4 2 4 3 2 2" xfId="2909"/>
    <cellStyle name="Input 4 2 4 3 3" xfId="2910"/>
    <cellStyle name="Input 4 2 4 3 4" xfId="2911"/>
    <cellStyle name="Input 4 2 4 4" xfId="2912"/>
    <cellStyle name="Input 4 2 4 4 2" xfId="2913"/>
    <cellStyle name="Input 4 2 4 4 2 2" xfId="2914"/>
    <cellStyle name="Input 4 2 4 4 3" xfId="2915"/>
    <cellStyle name="Input 4 2 4 5" xfId="2916"/>
    <cellStyle name="Input 4 2 4 5 2" xfId="2917"/>
    <cellStyle name="Input 4 2 4 6" xfId="2918"/>
    <cellStyle name="Input 4 2 5" xfId="2919"/>
    <cellStyle name="Input 4 2 5 2" xfId="2920"/>
    <cellStyle name="Input 4 3" xfId="2921"/>
    <cellStyle name="Input 4 3 2" xfId="2922"/>
    <cellStyle name="Input 4 3 2 2" xfId="2923"/>
    <cellStyle name="Input 4 3 2 2 2" xfId="2924"/>
    <cellStyle name="Input 4 3 2 2 2 2" xfId="2925"/>
    <cellStyle name="Input 4 3 2 2 2 2 2" xfId="2926"/>
    <cellStyle name="Input 4 3 2 2 2 3" xfId="2927"/>
    <cellStyle name="Input 4 3 2 2 3" xfId="2928"/>
    <cellStyle name="Input 4 3 2 2 3 2" xfId="2929"/>
    <cellStyle name="Input 4 3 2 2 4" xfId="2930"/>
    <cellStyle name="Input 4 3 2 3" xfId="2931"/>
    <cellStyle name="Input 4 3 2 3 2" xfId="2932"/>
    <cellStyle name="Input 4 3 2 3 2 2" xfId="2933"/>
    <cellStyle name="Input 4 3 2 3 3" xfId="2934"/>
    <cellStyle name="Input 4 3 2 3 4" xfId="2935"/>
    <cellStyle name="Input 4 3 2 4" xfId="2936"/>
    <cellStyle name="Input 4 3 2 4 2" xfId="2937"/>
    <cellStyle name="Input 4 3 2 4 2 2" xfId="2938"/>
    <cellStyle name="Input 4 3 2 4 3" xfId="2939"/>
    <cellStyle name="Input 4 3 2 5" xfId="2940"/>
    <cellStyle name="Input 4 3 2 5 2" xfId="2941"/>
    <cellStyle name="Input 4 3 2 6" xfId="2942"/>
    <cellStyle name="Input 4 3 3" xfId="2943"/>
    <cellStyle name="Input 4 3 3 2" xfId="2944"/>
    <cellStyle name="Input 4 3 3 2 2" xfId="2945"/>
    <cellStyle name="Input 4 3 3 2 2 2" xfId="2946"/>
    <cellStyle name="Input 4 3 3 2 2 2 2" xfId="2947"/>
    <cellStyle name="Input 4 3 3 2 2 3" xfId="2948"/>
    <cellStyle name="Input 4 3 3 2 3" xfId="2949"/>
    <cellStyle name="Input 4 3 3 2 3 2" xfId="2950"/>
    <cellStyle name="Input 4 3 3 2 4" xfId="2951"/>
    <cellStyle name="Input 4 3 3 3" xfId="2952"/>
    <cellStyle name="Input 4 3 3 3 2" xfId="2953"/>
    <cellStyle name="Input 4 3 3 3 2 2" xfId="2954"/>
    <cellStyle name="Input 4 3 3 3 3" xfId="2955"/>
    <cellStyle name="Input 4 3 3 3 4" xfId="2956"/>
    <cellStyle name="Input 4 3 3 4" xfId="2957"/>
    <cellStyle name="Input 4 3 3 4 2" xfId="2958"/>
    <cellStyle name="Input 4 3 3 4 2 2" xfId="2959"/>
    <cellStyle name="Input 4 3 3 4 3" xfId="2960"/>
    <cellStyle name="Input 4 3 3 5" xfId="2961"/>
    <cellStyle name="Input 4 3 3 5 2" xfId="2962"/>
    <cellStyle name="Input 4 3 3 6" xfId="2963"/>
    <cellStyle name="Input 4 3 4" xfId="2964"/>
    <cellStyle name="Input 4 3 4 2" xfId="2965"/>
    <cellStyle name="Input 4 3 4 2 2" xfId="2966"/>
    <cellStyle name="Input 4 3 4 2 2 2" xfId="2967"/>
    <cellStyle name="Input 4 3 4 2 3" xfId="2968"/>
    <cellStyle name="Input 4 3 4 3" xfId="2969"/>
    <cellStyle name="Input 4 3 4 3 2" xfId="2970"/>
    <cellStyle name="Input 4 3 4 4" xfId="2971"/>
    <cellStyle name="Input 4 3 5" xfId="2972"/>
    <cellStyle name="Input 4 3 5 2" xfId="2973"/>
    <cellStyle name="Input 4 3 5 2 2" xfId="2974"/>
    <cellStyle name="Input 4 3 5 3" xfId="2975"/>
    <cellStyle name="Input 4 3 5 4" xfId="2976"/>
    <cellStyle name="Input 4 3 6" xfId="2977"/>
    <cellStyle name="Input 4 3 6 2" xfId="2978"/>
    <cellStyle name="Input 4 3 6 2 2" xfId="2979"/>
    <cellStyle name="Input 4 3 6 3" xfId="2980"/>
    <cellStyle name="Input 4 3 7" xfId="2981"/>
    <cellStyle name="Input 4 3 7 2" xfId="2982"/>
    <cellStyle name="Input 4 3 8" xfId="2983"/>
    <cellStyle name="Input 4 4" xfId="2984"/>
    <cellStyle name="Input 4 4 2" xfId="2985"/>
    <cellStyle name="Input 4 4 2 2" xfId="2986"/>
    <cellStyle name="Input 4 4 2 2 2" xfId="2987"/>
    <cellStyle name="Input 4 4 2 2 2 2" xfId="2988"/>
    <cellStyle name="Input 4 4 2 2 3" xfId="2989"/>
    <cellStyle name="Input 4 4 2 3" xfId="2990"/>
    <cellStyle name="Input 4 4 2 3 2" xfId="2991"/>
    <cellStyle name="Input 4 4 2 4" xfId="2992"/>
    <cellStyle name="Input 4 4 3" xfId="2993"/>
    <cellStyle name="Input 4 4 3 2" xfId="2994"/>
    <cellStyle name="Input 4 4 3 2 2" xfId="2995"/>
    <cellStyle name="Input 4 4 3 3" xfId="2996"/>
    <cellStyle name="Input 4 4 3 4" xfId="2997"/>
    <cellStyle name="Input 4 4 4" xfId="2998"/>
    <cellStyle name="Input 4 4 4 2" xfId="2999"/>
    <cellStyle name="Input 4 4 4 2 2" xfId="3000"/>
    <cellStyle name="Input 4 4 4 3" xfId="3001"/>
    <cellStyle name="Input 4 4 5" xfId="3002"/>
    <cellStyle name="Input 4 4 5 2" xfId="3003"/>
    <cellStyle name="Input 4 4 6" xfId="3004"/>
    <cellStyle name="Input 5" xfId="3005"/>
    <cellStyle name="Input 5 2" xfId="3006"/>
    <cellStyle name="Input 5 2 2" xfId="3007"/>
    <cellStyle name="Input 5 2 2 2" xfId="3008"/>
    <cellStyle name="Input 5 2 2 2 2" xfId="3009"/>
    <cellStyle name="Input 5 2 2 2 2 2" xfId="3010"/>
    <cellStyle name="Input 5 2 2 2 3" xfId="3011"/>
    <cellStyle name="Input 5 2 2 3" xfId="3012"/>
    <cellStyle name="Input 5 2 2 3 2" xfId="3013"/>
    <cellStyle name="Input 5 2 2 4" xfId="3014"/>
    <cellStyle name="Input 5 2 3" xfId="3015"/>
    <cellStyle name="Input 5 2 3 2" xfId="3016"/>
    <cellStyle name="Input 5 2 3 2 2" xfId="3017"/>
    <cellStyle name="Input 5 2 3 3" xfId="3018"/>
    <cellStyle name="Input 5 2 3 4" xfId="3019"/>
    <cellStyle name="Input 5 2 4" xfId="3020"/>
    <cellStyle name="Input 5 2 4 2" xfId="3021"/>
    <cellStyle name="Input 5 2 4 2 2" xfId="3022"/>
    <cellStyle name="Input 5 2 4 3" xfId="3023"/>
    <cellStyle name="Input 5 2 5" xfId="3024"/>
    <cellStyle name="Input 5 2 5 2" xfId="3025"/>
    <cellStyle name="Input 5 2 6" xfId="3026"/>
    <cellStyle name="Input 5 3" xfId="3027"/>
    <cellStyle name="Input 5 3 2" xfId="3028"/>
    <cellStyle name="Input 5 3 2 2" xfId="3029"/>
    <cellStyle name="Input 5 3 2 2 2" xfId="3030"/>
    <cellStyle name="Input 5 3 2 2 2 2" xfId="3031"/>
    <cellStyle name="Input 5 3 2 2 3" xfId="3032"/>
    <cellStyle name="Input 5 3 2 3" xfId="3033"/>
    <cellStyle name="Input 5 3 2 3 2" xfId="3034"/>
    <cellStyle name="Input 5 3 2 4" xfId="3035"/>
    <cellStyle name="Input 5 3 3" xfId="3036"/>
    <cellStyle name="Input 5 3 3 2" xfId="3037"/>
    <cellStyle name="Input 5 3 3 2 2" xfId="3038"/>
    <cellStyle name="Input 5 3 3 3" xfId="3039"/>
    <cellStyle name="Input 5 3 3 4" xfId="3040"/>
    <cellStyle name="Input 5 3 4" xfId="3041"/>
    <cellStyle name="Input 5 3 4 2" xfId="3042"/>
    <cellStyle name="Input 5 3 4 2 2" xfId="3043"/>
    <cellStyle name="Input 5 3 4 3" xfId="3044"/>
    <cellStyle name="Input 5 3 5" xfId="3045"/>
    <cellStyle name="Input 5 3 5 2" xfId="3046"/>
    <cellStyle name="Input 5 3 6" xfId="3047"/>
    <cellStyle name="Input 5 4" xfId="3048"/>
    <cellStyle name="Input 5 4 2" xfId="3049"/>
    <cellStyle name="Input 5 4 2 2" xfId="3050"/>
    <cellStyle name="Input 5 4 2 2 2" xfId="3051"/>
    <cellStyle name="Input 5 4 2 2 2 2" xfId="3052"/>
    <cellStyle name="Input 5 4 2 2 3" xfId="3053"/>
    <cellStyle name="Input 5 4 2 3" xfId="3054"/>
    <cellStyle name="Input 5 4 2 3 2" xfId="3055"/>
    <cellStyle name="Input 5 4 2 4" xfId="3056"/>
    <cellStyle name="Input 5 4 3" xfId="3057"/>
    <cellStyle name="Input 5 4 3 2" xfId="3058"/>
    <cellStyle name="Input 5 4 3 2 2" xfId="3059"/>
    <cellStyle name="Input 5 4 3 3" xfId="3060"/>
    <cellStyle name="Input 5 4 3 4" xfId="3061"/>
    <cellStyle name="Input 5 4 4" xfId="3062"/>
    <cellStyle name="Input 5 4 4 2" xfId="3063"/>
    <cellStyle name="Input 5 4 4 2 2" xfId="3064"/>
    <cellStyle name="Input 5 4 4 3" xfId="3065"/>
    <cellStyle name="Input 5 4 5" xfId="3066"/>
    <cellStyle name="Input 5 4 5 2" xfId="3067"/>
    <cellStyle name="Input 5 4 6" xfId="3068"/>
    <cellStyle name="Input 5 5" xfId="3069"/>
    <cellStyle name="Input 5 5 2" xfId="3070"/>
    <cellStyle name="Input 6" xfId="3071"/>
    <cellStyle name="Input 6 2" xfId="3072"/>
    <cellStyle name="Input 6 2 2" xfId="3073"/>
    <cellStyle name="Input 6 2 2 2" xfId="3074"/>
    <cellStyle name="Input 6 2 2 2 2" xfId="3075"/>
    <cellStyle name="Input 6 2 2 2 2 2" xfId="3076"/>
    <cellStyle name="Input 6 2 2 2 3" xfId="3077"/>
    <cellStyle name="Input 6 2 2 3" xfId="3078"/>
    <cellStyle name="Input 6 2 2 3 2" xfId="3079"/>
    <cellStyle name="Input 6 2 2 4" xfId="3080"/>
    <cellStyle name="Input 6 2 3" xfId="3081"/>
    <cellStyle name="Input 6 2 3 2" xfId="3082"/>
    <cellStyle name="Input 6 2 3 2 2" xfId="3083"/>
    <cellStyle name="Input 6 2 3 3" xfId="3084"/>
    <cellStyle name="Input 6 2 3 4" xfId="3085"/>
    <cellStyle name="Input 6 2 4" xfId="3086"/>
    <cellStyle name="Input 6 2 4 2" xfId="3087"/>
    <cellStyle name="Input 6 2 4 2 2" xfId="3088"/>
    <cellStyle name="Input 6 2 4 3" xfId="3089"/>
    <cellStyle name="Input 6 2 5" xfId="3090"/>
    <cellStyle name="Input 6 2 5 2" xfId="3091"/>
    <cellStyle name="Input 6 2 6" xfId="3092"/>
    <cellStyle name="Input 6 3" xfId="3093"/>
    <cellStyle name="Input 6 3 2" xfId="3094"/>
    <cellStyle name="Input 6 3 2 2" xfId="3095"/>
    <cellStyle name="Input 6 3 2 2 2" xfId="3096"/>
    <cellStyle name="Input 6 3 2 2 2 2" xfId="3097"/>
    <cellStyle name="Input 6 3 2 2 3" xfId="3098"/>
    <cellStyle name="Input 6 3 2 3" xfId="3099"/>
    <cellStyle name="Input 6 3 2 3 2" xfId="3100"/>
    <cellStyle name="Input 6 3 2 4" xfId="3101"/>
    <cellStyle name="Input 6 3 3" xfId="3102"/>
    <cellStyle name="Input 6 3 3 2" xfId="3103"/>
    <cellStyle name="Input 6 3 3 2 2" xfId="3104"/>
    <cellStyle name="Input 6 3 3 3" xfId="3105"/>
    <cellStyle name="Input 6 3 3 4" xfId="3106"/>
    <cellStyle name="Input 6 3 4" xfId="3107"/>
    <cellStyle name="Input 6 3 4 2" xfId="3108"/>
    <cellStyle name="Input 6 3 4 2 2" xfId="3109"/>
    <cellStyle name="Input 6 3 4 3" xfId="3110"/>
    <cellStyle name="Input 6 3 5" xfId="3111"/>
    <cellStyle name="Input 6 3 5 2" xfId="3112"/>
    <cellStyle name="Input 6 3 6" xfId="3113"/>
    <cellStyle name="Input 6 4" xfId="3114"/>
    <cellStyle name="Input 6 4 2" xfId="3115"/>
    <cellStyle name="Input 6 4 2 2" xfId="3116"/>
    <cellStyle name="Input 6 4 2 2 2" xfId="3117"/>
    <cellStyle name="Input 6 4 2 3" xfId="3118"/>
    <cellStyle name="Input 6 4 3" xfId="3119"/>
    <cellStyle name="Input 6 4 3 2" xfId="3120"/>
    <cellStyle name="Input 6 4 4" xfId="3121"/>
    <cellStyle name="Input 6 5" xfId="3122"/>
    <cellStyle name="Input 6 5 2" xfId="3123"/>
    <cellStyle name="Input 6 5 2 2" xfId="3124"/>
    <cellStyle name="Input 6 5 3" xfId="3125"/>
    <cellStyle name="Input 6 5 4" xfId="3126"/>
    <cellStyle name="Input 6 6" xfId="3127"/>
    <cellStyle name="Input 6 6 2" xfId="3128"/>
    <cellStyle name="Input 6 6 2 2" xfId="3129"/>
    <cellStyle name="Input 6 6 3" xfId="3130"/>
    <cellStyle name="Input 6 7" xfId="3131"/>
    <cellStyle name="Input 6 7 2" xfId="3132"/>
    <cellStyle name="Input 6 8" xfId="3133"/>
    <cellStyle name="InputDataRow" xfId="3134"/>
    <cellStyle name="InputLabelRow" xfId="3135"/>
    <cellStyle name="InputPc2Right" xfId="3136"/>
    <cellStyle name="InputShortText" xfId="3137"/>
    <cellStyle name="InputTextLeft" xfId="3138"/>
    <cellStyle name="Int.conven" xfId="3139"/>
    <cellStyle name="IntermediateLabelColumn" xfId="3140"/>
    <cellStyle name="JG" xfId="3141"/>
    <cellStyle name="LabelLeft" xfId="3142"/>
    <cellStyle name="LabelRight" xfId="3143"/>
    <cellStyle name="Linked Cell" xfId="7634" builtinId="24" customBuiltin="1"/>
    <cellStyle name="Linked Cell 2" xfId="3144"/>
    <cellStyle name="Linked Cell 2 2" xfId="3145"/>
    <cellStyle name="Linked Cell 3" xfId="3146"/>
    <cellStyle name="Linked Cell 4" xfId="3147"/>
    <cellStyle name="LocalFormat" xfId="3148"/>
    <cellStyle name="LocalFormat 2" xfId="3149"/>
    <cellStyle name="LocalFormat 2 2" xfId="3150"/>
    <cellStyle name="LocalFormat 2 2 2" xfId="3151"/>
    <cellStyle name="LocalFormat 2 2 2 2" xfId="3152"/>
    <cellStyle name="LocalFormat 2 2 2 2 2" xfId="3153"/>
    <cellStyle name="LocalFormat 2 2 2 2 2 2" xfId="3154"/>
    <cellStyle name="LocalFormat 2 2 2 2 2 2 2" xfId="3155"/>
    <cellStyle name="LocalFormat 2 2 2 2 2 3" xfId="3156"/>
    <cellStyle name="LocalFormat 2 2 2 2 3" xfId="3157"/>
    <cellStyle name="LocalFormat 2 2 2 2 3 2" xfId="3158"/>
    <cellStyle name="LocalFormat 2 2 2 2 4" xfId="3159"/>
    <cellStyle name="LocalFormat 2 2 2 3" xfId="3160"/>
    <cellStyle name="LocalFormat 2 2 2 3 2" xfId="3161"/>
    <cellStyle name="LocalFormat 2 2 2 3 2 2" xfId="3162"/>
    <cellStyle name="LocalFormat 2 2 2 3 3" xfId="3163"/>
    <cellStyle name="LocalFormat 2 2 2 3 4" xfId="3164"/>
    <cellStyle name="LocalFormat 2 2 2 4" xfId="3165"/>
    <cellStyle name="LocalFormat 2 2 2 4 2" xfId="3166"/>
    <cellStyle name="LocalFormat 2 2 2 4 2 2" xfId="3167"/>
    <cellStyle name="LocalFormat 2 2 2 4 3" xfId="3168"/>
    <cellStyle name="LocalFormat 2 2 2 5" xfId="3169"/>
    <cellStyle name="LocalFormat 2 2 3" xfId="3170"/>
    <cellStyle name="LocalFormat 2 2 3 2" xfId="3171"/>
    <cellStyle name="LocalFormat 2 2 3 2 2" xfId="3172"/>
    <cellStyle name="LocalFormat 2 2 3 2 2 2" xfId="3173"/>
    <cellStyle name="LocalFormat 2 2 3 2 2 2 2" xfId="3174"/>
    <cellStyle name="LocalFormat 2 2 3 2 2 3" xfId="3175"/>
    <cellStyle name="LocalFormat 2 2 3 2 3" xfId="3176"/>
    <cellStyle name="LocalFormat 2 2 3 2 3 2" xfId="3177"/>
    <cellStyle name="LocalFormat 2 2 3 2 4" xfId="3178"/>
    <cellStyle name="LocalFormat 2 2 3 3" xfId="3179"/>
    <cellStyle name="LocalFormat 2 2 3 3 2" xfId="3180"/>
    <cellStyle name="LocalFormat 2 2 3 3 2 2" xfId="3181"/>
    <cellStyle name="LocalFormat 2 2 3 3 3" xfId="3182"/>
    <cellStyle name="LocalFormat 2 2 3 3 4" xfId="3183"/>
    <cellStyle name="LocalFormat 2 2 3 4" xfId="3184"/>
    <cellStyle name="LocalFormat 2 2 3 4 2" xfId="3185"/>
    <cellStyle name="LocalFormat 2 2 3 4 2 2" xfId="3186"/>
    <cellStyle name="LocalFormat 2 2 3 4 3" xfId="3187"/>
    <cellStyle name="LocalFormat 2 2 3 5" xfId="3188"/>
    <cellStyle name="LocalFormat 2 2 3 5 2" xfId="3189"/>
    <cellStyle name="LocalFormat 2 2 3 6" xfId="3190"/>
    <cellStyle name="LocalFormat 2 2 4" xfId="3191"/>
    <cellStyle name="LocalFormat 2 2 4 2" xfId="3192"/>
    <cellStyle name="LocalFormat 2 2 4 2 2" xfId="3193"/>
    <cellStyle name="LocalFormat 2 2 4 2 2 2" xfId="3194"/>
    <cellStyle name="LocalFormat 2 2 4 2 2 2 2" xfId="3195"/>
    <cellStyle name="LocalFormat 2 2 4 2 2 3" xfId="3196"/>
    <cellStyle name="LocalFormat 2 2 4 2 3" xfId="3197"/>
    <cellStyle name="LocalFormat 2 2 4 2 3 2" xfId="3198"/>
    <cellStyle name="LocalFormat 2 2 4 2 4" xfId="3199"/>
    <cellStyle name="LocalFormat 2 2 4 3" xfId="3200"/>
    <cellStyle name="LocalFormat 2 2 4 3 2" xfId="3201"/>
    <cellStyle name="LocalFormat 2 2 4 3 2 2" xfId="3202"/>
    <cellStyle name="LocalFormat 2 2 4 3 3" xfId="3203"/>
    <cellStyle name="LocalFormat 2 2 4 3 4" xfId="3204"/>
    <cellStyle name="LocalFormat 2 2 4 4" xfId="3205"/>
    <cellStyle name="LocalFormat 2 2 4 4 2" xfId="3206"/>
    <cellStyle name="LocalFormat 2 2 4 4 2 2" xfId="3207"/>
    <cellStyle name="LocalFormat 2 2 4 4 3" xfId="3208"/>
    <cellStyle name="LocalFormat 2 2 4 5" xfId="3209"/>
    <cellStyle name="LocalFormat 2 2 4 5 2" xfId="3210"/>
    <cellStyle name="LocalFormat 2 2 4 6" xfId="3211"/>
    <cellStyle name="LocalFormat 2 2 5" xfId="3212"/>
    <cellStyle name="LocalFormat 2 2 5 2" xfId="3213"/>
    <cellStyle name="LocalFormat 2 3" xfId="3214"/>
    <cellStyle name="LocalFormat 2 3 2" xfId="3215"/>
    <cellStyle name="LocalFormat 2 3 2 2" xfId="3216"/>
    <cellStyle name="LocalFormat 2 3 2 2 2" xfId="3217"/>
    <cellStyle name="LocalFormat 2 3 2 2 2 2" xfId="3218"/>
    <cellStyle name="LocalFormat 2 3 2 2 3" xfId="3219"/>
    <cellStyle name="LocalFormat 2 3 2 3" xfId="3220"/>
    <cellStyle name="LocalFormat 2 3 2 3 2" xfId="3221"/>
    <cellStyle name="LocalFormat 2 3 2 4" xfId="3222"/>
    <cellStyle name="LocalFormat 2 3 3" xfId="3223"/>
    <cellStyle name="LocalFormat 2 3 3 2" xfId="3224"/>
    <cellStyle name="LocalFormat 2 3 3 2 2" xfId="3225"/>
    <cellStyle name="LocalFormat 2 3 3 3" xfId="3226"/>
    <cellStyle name="LocalFormat 2 3 3 4" xfId="3227"/>
    <cellStyle name="LocalFormat 2 3 4" xfId="3228"/>
    <cellStyle name="LocalFormat 2 3 4 2" xfId="3229"/>
    <cellStyle name="LocalFormat 2 3 4 2 2" xfId="3230"/>
    <cellStyle name="LocalFormat 2 3 4 3" xfId="3231"/>
    <cellStyle name="LocalFormat 2 3 5" xfId="3232"/>
    <cellStyle name="LocalFormat 2 4" xfId="3233"/>
    <cellStyle name="LocalFormat 2 4 2" xfId="3234"/>
    <cellStyle name="LocalFormat 2 4 2 2" xfId="3235"/>
    <cellStyle name="LocalFormat 2 4 2 2 2" xfId="3236"/>
    <cellStyle name="LocalFormat 2 4 2 2 2 2" xfId="3237"/>
    <cellStyle name="LocalFormat 2 4 2 2 3" xfId="3238"/>
    <cellStyle name="LocalFormat 2 4 2 3" xfId="3239"/>
    <cellStyle name="LocalFormat 2 4 2 3 2" xfId="3240"/>
    <cellStyle name="LocalFormat 2 4 2 4" xfId="3241"/>
    <cellStyle name="LocalFormat 2 4 3" xfId="3242"/>
    <cellStyle name="LocalFormat 2 4 3 2" xfId="3243"/>
    <cellStyle name="LocalFormat 2 4 3 2 2" xfId="3244"/>
    <cellStyle name="LocalFormat 2 4 3 3" xfId="3245"/>
    <cellStyle name="LocalFormat 2 4 3 4" xfId="3246"/>
    <cellStyle name="LocalFormat 2 4 4" xfId="3247"/>
    <cellStyle name="LocalFormat 2 4 4 2" xfId="3248"/>
    <cellStyle name="LocalFormat 2 4 4 2 2" xfId="3249"/>
    <cellStyle name="LocalFormat 2 4 4 3" xfId="3250"/>
    <cellStyle name="LocalFormat 2 4 5" xfId="3251"/>
    <cellStyle name="LocalFormat 2 4 5 2" xfId="3252"/>
    <cellStyle name="LocalFormat 2 4 6" xfId="3253"/>
    <cellStyle name="LocalFormat 2 5" xfId="3254"/>
    <cellStyle name="LocalFormat 2 5 2" xfId="3255"/>
    <cellStyle name="LocalFormat 2 5 2 2" xfId="3256"/>
    <cellStyle name="LocalFormat 2 5 2 2 2" xfId="3257"/>
    <cellStyle name="LocalFormat 2 5 2 2 2 2" xfId="3258"/>
    <cellStyle name="LocalFormat 2 5 2 2 3" xfId="3259"/>
    <cellStyle name="LocalFormat 2 5 2 3" xfId="3260"/>
    <cellStyle name="LocalFormat 2 5 2 3 2" xfId="3261"/>
    <cellStyle name="LocalFormat 2 5 2 4" xfId="3262"/>
    <cellStyle name="LocalFormat 2 5 3" xfId="3263"/>
    <cellStyle name="LocalFormat 2 5 3 2" xfId="3264"/>
    <cellStyle name="LocalFormat 2 5 3 2 2" xfId="3265"/>
    <cellStyle name="LocalFormat 2 5 3 3" xfId="3266"/>
    <cellStyle name="LocalFormat 2 5 3 4" xfId="3267"/>
    <cellStyle name="LocalFormat 2 5 4" xfId="3268"/>
    <cellStyle name="LocalFormat 2 5 4 2" xfId="3269"/>
    <cellStyle name="LocalFormat 2 5 4 2 2" xfId="3270"/>
    <cellStyle name="LocalFormat 2 5 4 3" xfId="3271"/>
    <cellStyle name="LocalFormat 2 5 5" xfId="3272"/>
    <cellStyle name="LocalFormat 2 5 5 2" xfId="3273"/>
    <cellStyle name="LocalFormat 2 5 6" xfId="3274"/>
    <cellStyle name="LocalFormat 3" xfId="3275"/>
    <cellStyle name="LocalFormat 3 2" xfId="3276"/>
    <cellStyle name="LocalFormat 3 2 2" xfId="3277"/>
    <cellStyle name="LocalFormat 3 2 2 2" xfId="3278"/>
    <cellStyle name="LocalFormat 3 2 2 2 2" xfId="3279"/>
    <cellStyle name="LocalFormat 3 2 2 2 2 2" xfId="3280"/>
    <cellStyle name="LocalFormat 3 2 2 2 3" xfId="3281"/>
    <cellStyle name="LocalFormat 3 2 2 3" xfId="3282"/>
    <cellStyle name="LocalFormat 3 2 2 3 2" xfId="3283"/>
    <cellStyle name="LocalFormat 3 2 2 4" xfId="3284"/>
    <cellStyle name="LocalFormat 3 2 3" xfId="3285"/>
    <cellStyle name="LocalFormat 3 2 3 2" xfId="3286"/>
    <cellStyle name="LocalFormat 3 2 3 2 2" xfId="3287"/>
    <cellStyle name="LocalFormat 3 2 3 3" xfId="3288"/>
    <cellStyle name="LocalFormat 3 2 3 4" xfId="3289"/>
    <cellStyle name="LocalFormat 3 2 4" xfId="3290"/>
    <cellStyle name="LocalFormat 3 2 4 2" xfId="3291"/>
    <cellStyle name="LocalFormat 3 2 4 2 2" xfId="3292"/>
    <cellStyle name="LocalFormat 3 2 4 3" xfId="3293"/>
    <cellStyle name="LocalFormat 3 2 5" xfId="3294"/>
    <cellStyle name="LocalFormat 3 3" xfId="3295"/>
    <cellStyle name="LocalFormat 3 3 2" xfId="3296"/>
    <cellStyle name="LocalFormat 3 3 2 2" xfId="3297"/>
    <cellStyle name="LocalFormat 3 3 2 2 2" xfId="3298"/>
    <cellStyle name="LocalFormat 3 3 2 2 2 2" xfId="3299"/>
    <cellStyle name="LocalFormat 3 3 2 2 3" xfId="3300"/>
    <cellStyle name="LocalFormat 3 3 2 3" xfId="3301"/>
    <cellStyle name="LocalFormat 3 3 2 3 2" xfId="3302"/>
    <cellStyle name="LocalFormat 3 3 2 4" xfId="3303"/>
    <cellStyle name="LocalFormat 3 3 3" xfId="3304"/>
    <cellStyle name="LocalFormat 3 3 3 2" xfId="3305"/>
    <cellStyle name="LocalFormat 3 3 3 2 2" xfId="3306"/>
    <cellStyle name="LocalFormat 3 3 3 3" xfId="3307"/>
    <cellStyle name="LocalFormat 3 3 3 4" xfId="3308"/>
    <cellStyle name="LocalFormat 3 3 4" xfId="3309"/>
    <cellStyle name="LocalFormat 3 3 4 2" xfId="3310"/>
    <cellStyle name="LocalFormat 3 3 4 2 2" xfId="3311"/>
    <cellStyle name="LocalFormat 3 3 4 3" xfId="3312"/>
    <cellStyle name="LocalFormat 3 3 5" xfId="3313"/>
    <cellStyle name="LocalFormat 3 3 5 2" xfId="3314"/>
    <cellStyle name="LocalFormat 3 3 6" xfId="3315"/>
    <cellStyle name="LocalFormat 3 4" xfId="3316"/>
    <cellStyle name="LocalFormat 3 4 2" xfId="3317"/>
    <cellStyle name="LocalFormat 3 4 2 2" xfId="3318"/>
    <cellStyle name="LocalFormat 3 4 2 2 2" xfId="3319"/>
    <cellStyle name="LocalFormat 3 4 2 2 2 2" xfId="3320"/>
    <cellStyle name="LocalFormat 3 4 2 2 3" xfId="3321"/>
    <cellStyle name="LocalFormat 3 4 2 3" xfId="3322"/>
    <cellStyle name="LocalFormat 3 4 2 3 2" xfId="3323"/>
    <cellStyle name="LocalFormat 3 4 2 4" xfId="3324"/>
    <cellStyle name="LocalFormat 3 4 3" xfId="3325"/>
    <cellStyle name="LocalFormat 3 4 3 2" xfId="3326"/>
    <cellStyle name="LocalFormat 3 4 3 2 2" xfId="3327"/>
    <cellStyle name="LocalFormat 3 4 3 3" xfId="3328"/>
    <cellStyle name="LocalFormat 3 4 3 4" xfId="3329"/>
    <cellStyle name="LocalFormat 3 4 4" xfId="3330"/>
    <cellStyle name="LocalFormat 3 4 4 2" xfId="3331"/>
    <cellStyle name="LocalFormat 3 4 4 2 2" xfId="3332"/>
    <cellStyle name="LocalFormat 3 4 4 3" xfId="3333"/>
    <cellStyle name="LocalFormat 3 4 5" xfId="3334"/>
    <cellStyle name="LocalFormat 3 4 5 2" xfId="3335"/>
    <cellStyle name="LocalFormat 3 4 6" xfId="3336"/>
    <cellStyle name="LocalFormat 3 5" xfId="3337"/>
    <cellStyle name="LocalFormat 3 5 2" xfId="3338"/>
    <cellStyle name="LocalFormat 4" xfId="3339"/>
    <cellStyle name="LocalFormat 4 2" xfId="3340"/>
    <cellStyle name="LocalFormat 4 2 2" xfId="3341"/>
    <cellStyle name="LocalFormat 4 2 2 2" xfId="3342"/>
    <cellStyle name="LocalFormat 4 2 2 2 2" xfId="3343"/>
    <cellStyle name="LocalFormat 4 2 2 2 2 2" xfId="3344"/>
    <cellStyle name="LocalFormat 4 2 2 2 3" xfId="3345"/>
    <cellStyle name="LocalFormat 4 2 2 3" xfId="3346"/>
    <cellStyle name="LocalFormat 4 2 2 3 2" xfId="3347"/>
    <cellStyle name="LocalFormat 4 2 2 4" xfId="3348"/>
    <cellStyle name="LocalFormat 4 2 3" xfId="3349"/>
    <cellStyle name="LocalFormat 4 2 3 2" xfId="3350"/>
    <cellStyle name="LocalFormat 4 2 3 2 2" xfId="3351"/>
    <cellStyle name="LocalFormat 4 2 3 3" xfId="3352"/>
    <cellStyle name="LocalFormat 4 2 3 4" xfId="3353"/>
    <cellStyle name="LocalFormat 4 2 4" xfId="3354"/>
    <cellStyle name="LocalFormat 4 2 4 2" xfId="3355"/>
    <cellStyle name="LocalFormat 4 2 4 2 2" xfId="3356"/>
    <cellStyle name="LocalFormat 4 2 4 3" xfId="3357"/>
    <cellStyle name="LocalFormat 4 2 5" xfId="3358"/>
    <cellStyle name="LocalFormat 4 2 5 2" xfId="3359"/>
    <cellStyle name="LocalFormat 4 2 6" xfId="3360"/>
    <cellStyle name="LocalFormat 4 3" xfId="3361"/>
    <cellStyle name="LocalFormat 4 3 2" xfId="3362"/>
    <cellStyle name="LocalFormat 4 3 2 2" xfId="3363"/>
    <cellStyle name="LocalFormat 4 3 2 2 2" xfId="3364"/>
    <cellStyle name="LocalFormat 4 3 2 2 2 2" xfId="3365"/>
    <cellStyle name="LocalFormat 4 3 2 2 3" xfId="3366"/>
    <cellStyle name="LocalFormat 4 3 2 3" xfId="3367"/>
    <cellStyle name="LocalFormat 4 3 2 3 2" xfId="3368"/>
    <cellStyle name="LocalFormat 4 3 2 4" xfId="3369"/>
    <cellStyle name="LocalFormat 4 3 3" xfId="3370"/>
    <cellStyle name="LocalFormat 4 3 3 2" xfId="3371"/>
    <cellStyle name="LocalFormat 4 3 3 2 2" xfId="3372"/>
    <cellStyle name="LocalFormat 4 3 3 3" xfId="3373"/>
    <cellStyle name="LocalFormat 4 3 3 4" xfId="3374"/>
    <cellStyle name="LocalFormat 4 3 4" xfId="3375"/>
    <cellStyle name="LocalFormat 4 3 4 2" xfId="3376"/>
    <cellStyle name="LocalFormat 4 3 4 2 2" xfId="3377"/>
    <cellStyle name="LocalFormat 4 3 4 3" xfId="3378"/>
    <cellStyle name="LocalFormat 4 3 5" xfId="3379"/>
    <cellStyle name="LocalFormat 4 3 5 2" xfId="3380"/>
    <cellStyle name="LocalFormat 4 3 6" xfId="3381"/>
    <cellStyle name="LocalFormat 4 4" xfId="3382"/>
    <cellStyle name="LocalFormat 4 4 2" xfId="3383"/>
    <cellStyle name="LocalFormat 4 4 2 2" xfId="3384"/>
    <cellStyle name="LocalFormat 4 4 2 2 2" xfId="3385"/>
    <cellStyle name="LocalFormat 4 4 2 3" xfId="3386"/>
    <cellStyle name="LocalFormat 4 4 3" xfId="3387"/>
    <cellStyle name="LocalFormat 4 4 3 2" xfId="3388"/>
    <cellStyle name="LocalFormat 4 4 4" xfId="3389"/>
    <cellStyle name="LocalFormat 4 5" xfId="3390"/>
    <cellStyle name="LocalFormat 4 5 2" xfId="3391"/>
    <cellStyle name="LocalFormat 4 5 2 2" xfId="3392"/>
    <cellStyle name="LocalFormat 4 5 3" xfId="3393"/>
    <cellStyle name="LocalFormat 4 5 4" xfId="3394"/>
    <cellStyle name="LocalFormat 4 6" xfId="3395"/>
    <cellStyle name="LocalFormat 4 6 2" xfId="3396"/>
    <cellStyle name="LocalFormat 4 6 2 2" xfId="3397"/>
    <cellStyle name="LocalFormat 4 6 3" xfId="3398"/>
    <cellStyle name="LocalFormat 4 7" xfId="3399"/>
    <cellStyle name="LocalFormat 5" xfId="3400"/>
    <cellStyle name="LocalFormat 5 2" xfId="3401"/>
    <cellStyle name="LocalFormat 5 2 2" xfId="3402"/>
    <cellStyle name="LocalFormat 5 2 2 2" xfId="3403"/>
    <cellStyle name="LocalFormat 5 2 2 2 2" xfId="3404"/>
    <cellStyle name="LocalFormat 5 2 2 3" xfId="3405"/>
    <cellStyle name="LocalFormat 5 2 3" xfId="3406"/>
    <cellStyle name="LocalFormat 5 2 3 2" xfId="3407"/>
    <cellStyle name="LocalFormat 5 2 4" xfId="3408"/>
    <cellStyle name="LocalFormat 5 3" xfId="3409"/>
    <cellStyle name="LocalFormat 5 3 2" xfId="3410"/>
    <cellStyle name="LocalFormat 5 3 2 2" xfId="3411"/>
    <cellStyle name="LocalFormat 5 3 3" xfId="3412"/>
    <cellStyle name="LocalFormat 5 3 4" xfId="3413"/>
    <cellStyle name="LocalFormat 5 4" xfId="3414"/>
    <cellStyle name="LocalFormat 5 4 2" xfId="3415"/>
    <cellStyle name="LocalFormat 5 4 2 2" xfId="3416"/>
    <cellStyle name="LocalFormat 5 4 3" xfId="3417"/>
    <cellStyle name="LocalFormat 5 5" xfId="3418"/>
    <cellStyle name="Macro Header" xfId="3419"/>
    <cellStyle name="Macro Text" xfId="3420"/>
    <cellStyle name="MacroCode" xfId="3421"/>
    <cellStyle name="Millares [0]_2AV_M_M " xfId="3422"/>
    <cellStyle name="Millares_2AV_M_M " xfId="3423"/>
    <cellStyle name="Milliers [0]_Open&amp;Close" xfId="3424"/>
    <cellStyle name="Milliers_Open&amp;Close" xfId="3425"/>
    <cellStyle name="Mon?taire [0]_Open&amp;Close" xfId="3426"/>
    <cellStyle name="Mon?taire_Open&amp;Close" xfId="3427"/>
    <cellStyle name="Moneda [0]_2AV_M_M " xfId="3428"/>
    <cellStyle name="Moneda_2AV_M_M " xfId="3429"/>
    <cellStyle name="Monétaire [0]_Open&amp;Close" xfId="3430"/>
    <cellStyle name="Monétaire_Open&amp;Close" xfId="3431"/>
    <cellStyle name="Neutral" xfId="7630" builtinId="28" customBuiltin="1"/>
    <cellStyle name="Neutral 2" xfId="3432"/>
    <cellStyle name="Neutral 2 2" xfId="3433"/>
    <cellStyle name="Neutral 3" xfId="3434"/>
    <cellStyle name="Neutral 4" xfId="3435"/>
    <cellStyle name="Normal" xfId="0" builtinId="0"/>
    <cellStyle name="Normal - Style1" xfId="3436"/>
    <cellStyle name="Normal 10" xfId="3437"/>
    <cellStyle name="Normal 10 2" xfId="3438"/>
    <cellStyle name="Normal 10 2 2" xfId="3439"/>
    <cellStyle name="Normal 10 2 2 2" xfId="3440"/>
    <cellStyle name="Normal 10 2 2 2 2" xfId="3441"/>
    <cellStyle name="Normal 10 2 2 3" xfId="3442"/>
    <cellStyle name="Normal 10 2 3" xfId="3443"/>
    <cellStyle name="Normal 10 2 3 2" xfId="3444"/>
    <cellStyle name="Normal 10 2 4" xfId="3445"/>
    <cellStyle name="Normal 10 3" xfId="3446"/>
    <cellStyle name="Normal 10 3 2" xfId="3447"/>
    <cellStyle name="Normal 10 3 2 2" xfId="3448"/>
    <cellStyle name="Normal 10 3 2 2 2" xfId="3449"/>
    <cellStyle name="Normal 10 3 2 3" xfId="3450"/>
    <cellStyle name="Normal 10 3 3" xfId="3451"/>
    <cellStyle name="Normal 10 3 3 2" xfId="3452"/>
    <cellStyle name="Normal 10 3 4" xfId="3453"/>
    <cellStyle name="Normal 10 4" xfId="3454"/>
    <cellStyle name="Normal 10 4 2" xfId="3455"/>
    <cellStyle name="Normal 10 4 2 2" xfId="3456"/>
    <cellStyle name="Normal 10 4 3" xfId="3457"/>
    <cellStyle name="Normal 10 5" xfId="3458"/>
    <cellStyle name="Normal 10 5 2" xfId="3459"/>
    <cellStyle name="Normal 10 6" xfId="3460"/>
    <cellStyle name="Normal 11" xfId="3461"/>
    <cellStyle name="Normal 11 2" xfId="3462"/>
    <cellStyle name="Normal 11 2 2" xfId="3463"/>
    <cellStyle name="Normal 12" xfId="3464"/>
    <cellStyle name="Normal 12 2" xfId="3465"/>
    <cellStyle name="Normal 12 2 2" xfId="3466"/>
    <cellStyle name="Normal 13" xfId="3467"/>
    <cellStyle name="Normal 13 2" xfId="3468"/>
    <cellStyle name="Normal 13 2 2" xfId="3469"/>
    <cellStyle name="Normal 13 3" xfId="3470"/>
    <cellStyle name="Normal 13 4" xfId="3471"/>
    <cellStyle name="Normal 14" xfId="3472"/>
    <cellStyle name="Normal 14 2" xfId="3473"/>
    <cellStyle name="Normal 14 2 2" xfId="3474"/>
    <cellStyle name="Normal 14 3" xfId="3475"/>
    <cellStyle name="Normal 14 4" xfId="3476"/>
    <cellStyle name="Normal 15" xfId="3477"/>
    <cellStyle name="Normal 15 2" xfId="3478"/>
    <cellStyle name="Normal 15 2 2" xfId="3479"/>
    <cellStyle name="Normal 15 3" xfId="3480"/>
    <cellStyle name="Normal 15 4" xfId="3481"/>
    <cellStyle name="Normal 16" xfId="3482"/>
    <cellStyle name="Normal 16 2" xfId="3483"/>
    <cellStyle name="Normal 17" xfId="3484"/>
    <cellStyle name="Normal 17 2" xfId="3485"/>
    <cellStyle name="Normal 18" xfId="3486"/>
    <cellStyle name="Normal 18 2" xfId="3487"/>
    <cellStyle name="Normal 19" xfId="3488"/>
    <cellStyle name="Normal 19 2" xfId="3489"/>
    <cellStyle name="Normal 2" xfId="3490"/>
    <cellStyle name="Normal 2 2" xfId="3491"/>
    <cellStyle name="Normal 2 3" xfId="3492"/>
    <cellStyle name="Normal 20" xfId="3493"/>
    <cellStyle name="Normal 20 2" xfId="3494"/>
    <cellStyle name="Normal 21" xfId="3495"/>
    <cellStyle name="Normal 21 2" xfId="3496"/>
    <cellStyle name="Normal 22" xfId="3497"/>
    <cellStyle name="Normal 22 2" xfId="3498"/>
    <cellStyle name="Normal 22 2 2" xfId="3499"/>
    <cellStyle name="Normal 22 3" xfId="3500"/>
    <cellStyle name="Normal 22 4" xfId="3501"/>
    <cellStyle name="Normal 23" xfId="3502"/>
    <cellStyle name="Normal 23 2" xfId="3503"/>
    <cellStyle name="Normal 24" xfId="3504"/>
    <cellStyle name="Normal 24 2" xfId="3505"/>
    <cellStyle name="Normal 25" xfId="3506"/>
    <cellStyle name="Normal 25 2" xfId="3507"/>
    <cellStyle name="Normal 25 2 2" xfId="3508"/>
    <cellStyle name="Normal 25 3" xfId="3509"/>
    <cellStyle name="Normal 26" xfId="3510"/>
    <cellStyle name="Normal 26 2" xfId="3511"/>
    <cellStyle name="Normal 26 2 2" xfId="3512"/>
    <cellStyle name="Normal 26 3" xfId="3513"/>
    <cellStyle name="Normal 27" xfId="3514"/>
    <cellStyle name="Normal 27 2" xfId="3515"/>
    <cellStyle name="Normal 28" xfId="3516"/>
    <cellStyle name="Normal 28 2" xfId="3517"/>
    <cellStyle name="Normal 29" xfId="3518"/>
    <cellStyle name="Normal 29 2" xfId="3519"/>
    <cellStyle name="Normal 3" xfId="3520"/>
    <cellStyle name="Normal 3 2" xfId="3521"/>
    <cellStyle name="Normal 3 3" xfId="3522"/>
    <cellStyle name="Normal 3 3 2" xfId="3523"/>
    <cellStyle name="Normal 3 3 2 2" xfId="3524"/>
    <cellStyle name="Normal 3 3 2 2 2" xfId="3525"/>
    <cellStyle name="Normal 3 3 2 2 2 2" xfId="3526"/>
    <cellStyle name="Normal 3 3 2 2 3" xfId="3527"/>
    <cellStyle name="Normal 3 3 2 3" xfId="3528"/>
    <cellStyle name="Normal 3 3 2 3 2" xfId="3529"/>
    <cellStyle name="Normal 3 3 2 4" xfId="3530"/>
    <cellStyle name="Normal 3 3 3" xfId="3531"/>
    <cellStyle name="Normal 3 3 3 2" xfId="3532"/>
    <cellStyle name="Normal 3 3 3 2 2" xfId="3533"/>
    <cellStyle name="Normal 3 3 3 2 2 2" xfId="3534"/>
    <cellStyle name="Normal 3 3 3 2 3" xfId="3535"/>
    <cellStyle name="Normal 3 3 3 3" xfId="3536"/>
    <cellStyle name="Normal 3 3 3 3 2" xfId="3537"/>
    <cellStyle name="Normal 3 3 3 4" xfId="3538"/>
    <cellStyle name="Normal 3 3 4" xfId="3539"/>
    <cellStyle name="Normal 3 3 4 2" xfId="3540"/>
    <cellStyle name="Normal 3 3 4 2 2" xfId="3541"/>
    <cellStyle name="Normal 3 3 4 3" xfId="3542"/>
    <cellStyle name="Normal 3 3 5" xfId="3543"/>
    <cellStyle name="Normal 3 3 5 2" xfId="3544"/>
    <cellStyle name="Normal 3 3 6" xfId="3545"/>
    <cellStyle name="Normal 3 4" xfId="3546"/>
    <cellStyle name="Normal 3 4 2" xfId="3547"/>
    <cellStyle name="Normal 3 4 2 2" xfId="3548"/>
    <cellStyle name="Normal 3 4 2 2 2" xfId="3549"/>
    <cellStyle name="Normal 3 4 2 2 2 2" xfId="3550"/>
    <cellStyle name="Normal 3 4 2 2 3" xfId="3551"/>
    <cellStyle name="Normal 3 4 2 3" xfId="3552"/>
    <cellStyle name="Normal 3 4 2 3 2" xfId="3553"/>
    <cellStyle name="Normal 3 4 2 4" xfId="3554"/>
    <cellStyle name="Normal 3 4 3" xfId="3555"/>
    <cellStyle name="Normal 3 4 3 2" xfId="3556"/>
    <cellStyle name="Normal 3 4 3 2 2" xfId="3557"/>
    <cellStyle name="Normal 3 4 3 2 2 2" xfId="3558"/>
    <cellStyle name="Normal 3 4 3 2 3" xfId="3559"/>
    <cellStyle name="Normal 3 4 3 3" xfId="3560"/>
    <cellStyle name="Normal 3 4 3 3 2" xfId="3561"/>
    <cellStyle name="Normal 3 4 3 4" xfId="3562"/>
    <cellStyle name="Normal 3 4 4" xfId="3563"/>
    <cellStyle name="Normal 3 4 4 2" xfId="3564"/>
    <cellStyle name="Normal 3 4 4 2 2" xfId="3565"/>
    <cellStyle name="Normal 3 4 4 3" xfId="3566"/>
    <cellStyle name="Normal 3 4 5" xfId="3567"/>
    <cellStyle name="Normal 3 4 5 2" xfId="3568"/>
    <cellStyle name="Normal 3 4 6" xfId="3569"/>
    <cellStyle name="Normal 3 5" xfId="3570"/>
    <cellStyle name="Normal 30" xfId="3571"/>
    <cellStyle name="Normal 30 2" xfId="3572"/>
    <cellStyle name="Normal 30 2 2" xfId="3573"/>
    <cellStyle name="Normal 30 3" xfId="3574"/>
    <cellStyle name="Normal 31" xfId="3575"/>
    <cellStyle name="Normal 31 2" xfId="3576"/>
    <cellStyle name="Normal 32" xfId="3577"/>
    <cellStyle name="Normal 32 2" xfId="3578"/>
    <cellStyle name="Normal 33" xfId="3579"/>
    <cellStyle name="Normal 33 2" xfId="3580"/>
    <cellStyle name="Normal 34" xfId="3581"/>
    <cellStyle name="Normal 34 2" xfId="3582"/>
    <cellStyle name="Normal 35" xfId="3583"/>
    <cellStyle name="Normal 35 2" xfId="3584"/>
    <cellStyle name="Normal 36" xfId="3585"/>
    <cellStyle name="Normal 36 2" xfId="3586"/>
    <cellStyle name="Normal 37" xfId="3587"/>
    <cellStyle name="Normal 37 2" xfId="3588"/>
    <cellStyle name="Normal 38" xfId="3589"/>
    <cellStyle name="Normal 38 2" xfId="3590"/>
    <cellStyle name="Normal 39" xfId="3591"/>
    <cellStyle name="Normal 39 2" xfId="3592"/>
    <cellStyle name="Normal 4" xfId="3593"/>
    <cellStyle name="Normal 4 2" xfId="3594"/>
    <cellStyle name="Normal 4 3" xfId="3595"/>
    <cellStyle name="Normal 40" xfId="3596"/>
    <cellStyle name="Normal 40 2" xfId="3597"/>
    <cellStyle name="Normal 41" xfId="3598"/>
    <cellStyle name="Normal 41 2" xfId="3599"/>
    <cellStyle name="Normal 41 2 2" xfId="3600"/>
    <cellStyle name="Normal 41 3" xfId="3601"/>
    <cellStyle name="Normal 42" xfId="3602"/>
    <cellStyle name="Normal 42 2" xfId="3603"/>
    <cellStyle name="Normal 42 2 2" xfId="3604"/>
    <cellStyle name="Normal 42 3" xfId="3605"/>
    <cellStyle name="Normal 43" xfId="3606"/>
    <cellStyle name="Normal 43 2" xfId="3607"/>
    <cellStyle name="Normal 44" xfId="3608"/>
    <cellStyle name="Normal 44 2" xfId="3609"/>
    <cellStyle name="Normal 45" xfId="3610"/>
    <cellStyle name="Normal 45 2" xfId="3611"/>
    <cellStyle name="Normal 46" xfId="3612"/>
    <cellStyle name="Normal 47" xfId="3613"/>
    <cellStyle name="Normal 48" xfId="3614"/>
    <cellStyle name="Normal 49" xfId="3615"/>
    <cellStyle name="Normal 49 2" xfId="3616"/>
    <cellStyle name="Normal 5" xfId="3617"/>
    <cellStyle name="Normal 5 2" xfId="3618"/>
    <cellStyle name="Normal 5 3" xfId="3619"/>
    <cellStyle name="Normal 50" xfId="3620"/>
    <cellStyle name="Normal 50 2" xfId="3621"/>
    <cellStyle name="Normal 51" xfId="3622"/>
    <cellStyle name="Normal 51 2" xfId="3623"/>
    <cellStyle name="Normal 52" xfId="3624"/>
    <cellStyle name="Normal 52 2" xfId="3625"/>
    <cellStyle name="Normal 53" xfId="3626"/>
    <cellStyle name="Normal 53 2" xfId="3627"/>
    <cellStyle name="Normal 54" xfId="3628"/>
    <cellStyle name="Normal 54 2" xfId="3629"/>
    <cellStyle name="Normal 55" xfId="3630"/>
    <cellStyle name="Normal 55 2" xfId="3631"/>
    <cellStyle name="Normal 56" xfId="3632"/>
    <cellStyle name="Normal 56 2" xfId="3633"/>
    <cellStyle name="Normal 57" xfId="3634"/>
    <cellStyle name="Normal 57 2" xfId="3635"/>
    <cellStyle name="Normal 58" xfId="3636"/>
    <cellStyle name="Normal 59" xfId="3637"/>
    <cellStyle name="Normal 6" xfId="3638"/>
    <cellStyle name="Normal 60" xfId="3639"/>
    <cellStyle name="Normal 61" xfId="3640"/>
    <cellStyle name="Normal 62" xfId="3641"/>
    <cellStyle name="Normal 63" xfId="3642"/>
    <cellStyle name="Normal 64" xfId="3643"/>
    <cellStyle name="Normal 65" xfId="3644"/>
    <cellStyle name="Normal 66" xfId="3645"/>
    <cellStyle name="Normal 67" xfId="3646"/>
    <cellStyle name="Normal 68" xfId="3647"/>
    <cellStyle name="Normal 7" xfId="3648"/>
    <cellStyle name="Normal 8" xfId="3649"/>
    <cellStyle name="Normal 9" xfId="3650"/>
    <cellStyle name="Normal 9 2" xfId="3651"/>
    <cellStyle name="Normal 9 2 2" xfId="3652"/>
    <cellStyle name="Normal 9 2 2 2" xfId="3653"/>
    <cellStyle name="Normal 9 2 2 2 2" xfId="3654"/>
    <cellStyle name="Normal 9 2 2 3" xfId="3655"/>
    <cellStyle name="Normal 9 2 3" xfId="3656"/>
    <cellStyle name="Normal 9 2 3 2" xfId="3657"/>
    <cellStyle name="Normal 9 2 4" xfId="3658"/>
    <cellStyle name="Normal 9 3" xfId="3659"/>
    <cellStyle name="Normal 9 3 2" xfId="3660"/>
    <cellStyle name="Normal 9 3 2 2" xfId="3661"/>
    <cellStyle name="Normal 9 3 2 2 2" xfId="3662"/>
    <cellStyle name="Normal 9 3 2 3" xfId="3663"/>
    <cellStyle name="Normal 9 3 3" xfId="3664"/>
    <cellStyle name="Normal 9 3 3 2" xfId="3665"/>
    <cellStyle name="Normal 9 3 4" xfId="3666"/>
    <cellStyle name="Normal 9 4" xfId="3667"/>
    <cellStyle name="Normal 9 4 2" xfId="3668"/>
    <cellStyle name="Normal 9 4 2 2" xfId="3669"/>
    <cellStyle name="Normal 9 4 3" xfId="3670"/>
    <cellStyle name="Normal 9 5" xfId="3671"/>
    <cellStyle name="Normal 9 5 2" xfId="3672"/>
    <cellStyle name="Normal 9 6" xfId="3673"/>
    <cellStyle name="Note" xfId="7637" builtinId="10" customBuiltin="1"/>
    <cellStyle name="Note 2" xfId="3674"/>
    <cellStyle name="Note 2 2" xfId="3675"/>
    <cellStyle name="Note 2 2 2" xfId="3676"/>
    <cellStyle name="Note 2 2 2 2" xfId="3677"/>
    <cellStyle name="Note 2 2 2 2 2" xfId="3678"/>
    <cellStyle name="Note 2 2 2 2 2 2" xfId="3679"/>
    <cellStyle name="Note 2 2 2 2 2 2 2" xfId="3680"/>
    <cellStyle name="Note 2 2 2 2 2 2 2 2" xfId="3681"/>
    <cellStyle name="Note 2 2 2 2 2 2 2 2 2" xfId="3682"/>
    <cellStyle name="Note 2 2 2 2 2 2 2 3" xfId="3683"/>
    <cellStyle name="Note 2 2 2 2 2 2 3" xfId="3684"/>
    <cellStyle name="Note 2 2 2 2 2 2 3 2" xfId="3685"/>
    <cellStyle name="Note 2 2 2 2 2 2 4" xfId="3686"/>
    <cellStyle name="Note 2 2 2 2 2 3" xfId="3687"/>
    <cellStyle name="Note 2 2 2 2 2 3 2" xfId="3688"/>
    <cellStyle name="Note 2 2 2 2 2 3 2 2" xfId="3689"/>
    <cellStyle name="Note 2 2 2 2 2 3 3" xfId="3690"/>
    <cellStyle name="Note 2 2 2 2 2 3 4" xfId="3691"/>
    <cellStyle name="Note 2 2 2 2 2 4" xfId="3692"/>
    <cellStyle name="Note 2 2 2 2 2 4 2" xfId="3693"/>
    <cellStyle name="Note 2 2 2 2 2 4 2 2" xfId="3694"/>
    <cellStyle name="Note 2 2 2 2 2 4 3" xfId="3695"/>
    <cellStyle name="Note 2 2 2 2 2 5" xfId="3696"/>
    <cellStyle name="Note 2 2 2 2 3" xfId="3697"/>
    <cellStyle name="Note 2 2 2 2 3 2" xfId="3698"/>
    <cellStyle name="Note 2 2 2 2 3 2 2" xfId="3699"/>
    <cellStyle name="Note 2 2 2 2 3 2 2 2" xfId="3700"/>
    <cellStyle name="Note 2 2 2 2 3 2 2 2 2" xfId="3701"/>
    <cellStyle name="Note 2 2 2 2 3 2 2 3" xfId="3702"/>
    <cellStyle name="Note 2 2 2 2 3 2 3" xfId="3703"/>
    <cellStyle name="Note 2 2 2 2 3 2 3 2" xfId="3704"/>
    <cellStyle name="Note 2 2 2 2 3 2 4" xfId="3705"/>
    <cellStyle name="Note 2 2 2 2 3 3" xfId="3706"/>
    <cellStyle name="Note 2 2 2 2 3 3 2" xfId="3707"/>
    <cellStyle name="Note 2 2 2 2 3 3 2 2" xfId="3708"/>
    <cellStyle name="Note 2 2 2 2 3 3 3" xfId="3709"/>
    <cellStyle name="Note 2 2 2 2 3 3 4" xfId="3710"/>
    <cellStyle name="Note 2 2 2 2 3 4" xfId="3711"/>
    <cellStyle name="Note 2 2 2 2 3 4 2" xfId="3712"/>
    <cellStyle name="Note 2 2 2 2 3 4 2 2" xfId="3713"/>
    <cellStyle name="Note 2 2 2 2 3 4 3" xfId="3714"/>
    <cellStyle name="Note 2 2 2 2 3 5" xfId="3715"/>
    <cellStyle name="Note 2 2 2 2 3 5 2" xfId="3716"/>
    <cellStyle name="Note 2 2 2 2 3 6" xfId="3717"/>
    <cellStyle name="Note 2 2 2 2 4" xfId="3718"/>
    <cellStyle name="Note 2 2 2 2 4 2" xfId="3719"/>
    <cellStyle name="Note 2 2 2 2 4 2 2" xfId="3720"/>
    <cellStyle name="Note 2 2 2 2 4 2 2 2" xfId="3721"/>
    <cellStyle name="Note 2 2 2 2 4 2 2 2 2" xfId="3722"/>
    <cellStyle name="Note 2 2 2 2 4 2 2 3" xfId="3723"/>
    <cellStyle name="Note 2 2 2 2 4 2 3" xfId="3724"/>
    <cellStyle name="Note 2 2 2 2 4 2 3 2" xfId="3725"/>
    <cellStyle name="Note 2 2 2 2 4 2 4" xfId="3726"/>
    <cellStyle name="Note 2 2 2 2 4 3" xfId="3727"/>
    <cellStyle name="Note 2 2 2 2 4 3 2" xfId="3728"/>
    <cellStyle name="Note 2 2 2 2 4 3 2 2" xfId="3729"/>
    <cellStyle name="Note 2 2 2 2 4 3 3" xfId="3730"/>
    <cellStyle name="Note 2 2 2 2 4 3 4" xfId="3731"/>
    <cellStyle name="Note 2 2 2 2 4 4" xfId="3732"/>
    <cellStyle name="Note 2 2 2 2 4 4 2" xfId="3733"/>
    <cellStyle name="Note 2 2 2 2 4 4 2 2" xfId="3734"/>
    <cellStyle name="Note 2 2 2 2 4 4 3" xfId="3735"/>
    <cellStyle name="Note 2 2 2 2 4 5" xfId="3736"/>
    <cellStyle name="Note 2 2 2 2 4 5 2" xfId="3737"/>
    <cellStyle name="Note 2 2 2 2 4 6" xfId="3738"/>
    <cellStyle name="Note 2 2 2 2 5" xfId="3739"/>
    <cellStyle name="Note 2 2 2 2 5 2" xfId="3740"/>
    <cellStyle name="Note 2 2 2 3" xfId="3741"/>
    <cellStyle name="Note 2 2 2 3 2" xfId="3742"/>
    <cellStyle name="Note 2 2 2 3 2 2" xfId="3743"/>
    <cellStyle name="Note 2 2 2 3 2 2 2" xfId="3744"/>
    <cellStyle name="Note 2 2 2 3 2 2 2 2" xfId="3745"/>
    <cellStyle name="Note 2 2 2 3 2 2 3" xfId="3746"/>
    <cellStyle name="Note 2 2 2 3 2 3" xfId="3747"/>
    <cellStyle name="Note 2 2 2 3 2 3 2" xfId="3748"/>
    <cellStyle name="Note 2 2 2 3 2 4" xfId="3749"/>
    <cellStyle name="Note 2 2 2 3 3" xfId="3750"/>
    <cellStyle name="Note 2 2 2 3 3 2" xfId="3751"/>
    <cellStyle name="Note 2 2 2 3 3 2 2" xfId="3752"/>
    <cellStyle name="Note 2 2 2 3 3 3" xfId="3753"/>
    <cellStyle name="Note 2 2 2 3 3 4" xfId="3754"/>
    <cellStyle name="Note 2 2 2 3 4" xfId="3755"/>
    <cellStyle name="Note 2 2 2 3 4 2" xfId="3756"/>
    <cellStyle name="Note 2 2 2 3 4 2 2" xfId="3757"/>
    <cellStyle name="Note 2 2 2 3 4 3" xfId="3758"/>
    <cellStyle name="Note 2 2 2 3 5" xfId="3759"/>
    <cellStyle name="Note 2 2 2 4" xfId="3760"/>
    <cellStyle name="Note 2 2 2 4 2" xfId="3761"/>
    <cellStyle name="Note 2 2 2 4 2 2" xfId="3762"/>
    <cellStyle name="Note 2 2 2 4 2 2 2" xfId="3763"/>
    <cellStyle name="Note 2 2 2 4 2 2 2 2" xfId="3764"/>
    <cellStyle name="Note 2 2 2 4 2 2 3" xfId="3765"/>
    <cellStyle name="Note 2 2 2 4 2 3" xfId="3766"/>
    <cellStyle name="Note 2 2 2 4 2 3 2" xfId="3767"/>
    <cellStyle name="Note 2 2 2 4 2 4" xfId="3768"/>
    <cellStyle name="Note 2 2 2 4 3" xfId="3769"/>
    <cellStyle name="Note 2 2 2 4 3 2" xfId="3770"/>
    <cellStyle name="Note 2 2 2 4 3 2 2" xfId="3771"/>
    <cellStyle name="Note 2 2 2 4 3 3" xfId="3772"/>
    <cellStyle name="Note 2 2 2 4 3 4" xfId="3773"/>
    <cellStyle name="Note 2 2 2 4 4" xfId="3774"/>
    <cellStyle name="Note 2 2 2 4 4 2" xfId="3775"/>
    <cellStyle name="Note 2 2 2 4 4 2 2" xfId="3776"/>
    <cellStyle name="Note 2 2 2 4 4 3" xfId="3777"/>
    <cellStyle name="Note 2 2 2 4 5" xfId="3778"/>
    <cellStyle name="Note 2 2 2 4 5 2" xfId="3779"/>
    <cellStyle name="Note 2 2 2 4 6" xfId="3780"/>
    <cellStyle name="Note 2 2 2 5" xfId="3781"/>
    <cellStyle name="Note 2 2 2 5 2" xfId="3782"/>
    <cellStyle name="Note 2 2 2 5 2 2" xfId="3783"/>
    <cellStyle name="Note 2 2 2 5 2 2 2" xfId="3784"/>
    <cellStyle name="Note 2 2 2 5 2 2 2 2" xfId="3785"/>
    <cellStyle name="Note 2 2 2 5 2 2 3" xfId="3786"/>
    <cellStyle name="Note 2 2 2 5 2 3" xfId="3787"/>
    <cellStyle name="Note 2 2 2 5 2 3 2" xfId="3788"/>
    <cellStyle name="Note 2 2 2 5 2 4" xfId="3789"/>
    <cellStyle name="Note 2 2 2 5 3" xfId="3790"/>
    <cellStyle name="Note 2 2 2 5 3 2" xfId="3791"/>
    <cellStyle name="Note 2 2 2 5 3 2 2" xfId="3792"/>
    <cellStyle name="Note 2 2 2 5 3 3" xfId="3793"/>
    <cellStyle name="Note 2 2 2 5 3 4" xfId="3794"/>
    <cellStyle name="Note 2 2 2 5 4" xfId="3795"/>
    <cellStyle name="Note 2 2 2 5 4 2" xfId="3796"/>
    <cellStyle name="Note 2 2 2 5 4 2 2" xfId="3797"/>
    <cellStyle name="Note 2 2 2 5 4 3" xfId="3798"/>
    <cellStyle name="Note 2 2 2 5 5" xfId="3799"/>
    <cellStyle name="Note 2 2 2 5 5 2" xfId="3800"/>
    <cellStyle name="Note 2 2 2 5 6" xfId="3801"/>
    <cellStyle name="Note 2 2 3" xfId="3802"/>
    <cellStyle name="Note 2 2 3 2" xfId="3803"/>
    <cellStyle name="Note 2 2 3 2 2" xfId="3804"/>
    <cellStyle name="Note 2 2 3 2 2 2" xfId="3805"/>
    <cellStyle name="Note 2 2 3 2 2 2 2" xfId="3806"/>
    <cellStyle name="Note 2 2 3 2 2 2 2 2" xfId="3807"/>
    <cellStyle name="Note 2 2 3 2 2 2 3" xfId="3808"/>
    <cellStyle name="Note 2 2 3 2 2 3" xfId="3809"/>
    <cellStyle name="Note 2 2 3 2 2 3 2" xfId="3810"/>
    <cellStyle name="Note 2 2 3 2 2 4" xfId="3811"/>
    <cellStyle name="Note 2 2 3 2 3" xfId="3812"/>
    <cellStyle name="Note 2 2 3 2 3 2" xfId="3813"/>
    <cellStyle name="Note 2 2 3 2 3 2 2" xfId="3814"/>
    <cellStyle name="Note 2 2 3 2 3 3" xfId="3815"/>
    <cellStyle name="Note 2 2 3 2 3 4" xfId="3816"/>
    <cellStyle name="Note 2 2 3 2 4" xfId="3817"/>
    <cellStyle name="Note 2 2 3 2 4 2" xfId="3818"/>
    <cellStyle name="Note 2 2 3 2 4 2 2" xfId="3819"/>
    <cellStyle name="Note 2 2 3 2 4 3" xfId="3820"/>
    <cellStyle name="Note 2 2 3 2 5" xfId="3821"/>
    <cellStyle name="Note 2 2 3 3" xfId="3822"/>
    <cellStyle name="Note 2 2 3 3 2" xfId="3823"/>
    <cellStyle name="Note 2 2 3 3 2 2" xfId="3824"/>
    <cellStyle name="Note 2 2 3 3 2 2 2" xfId="3825"/>
    <cellStyle name="Note 2 2 3 3 2 2 2 2" xfId="3826"/>
    <cellStyle name="Note 2 2 3 3 2 2 3" xfId="3827"/>
    <cellStyle name="Note 2 2 3 3 2 3" xfId="3828"/>
    <cellStyle name="Note 2 2 3 3 2 3 2" xfId="3829"/>
    <cellStyle name="Note 2 2 3 3 2 4" xfId="3830"/>
    <cellStyle name="Note 2 2 3 3 3" xfId="3831"/>
    <cellStyle name="Note 2 2 3 3 3 2" xfId="3832"/>
    <cellStyle name="Note 2 2 3 3 3 2 2" xfId="3833"/>
    <cellStyle name="Note 2 2 3 3 3 3" xfId="3834"/>
    <cellStyle name="Note 2 2 3 3 3 4" xfId="3835"/>
    <cellStyle name="Note 2 2 3 3 4" xfId="3836"/>
    <cellStyle name="Note 2 2 3 3 4 2" xfId="3837"/>
    <cellStyle name="Note 2 2 3 3 4 2 2" xfId="3838"/>
    <cellStyle name="Note 2 2 3 3 4 3" xfId="3839"/>
    <cellStyle name="Note 2 2 3 3 5" xfId="3840"/>
    <cellStyle name="Note 2 2 3 3 5 2" xfId="3841"/>
    <cellStyle name="Note 2 2 3 3 6" xfId="3842"/>
    <cellStyle name="Note 2 2 3 4" xfId="3843"/>
    <cellStyle name="Note 2 2 3 4 2" xfId="3844"/>
    <cellStyle name="Note 2 2 3 4 2 2" xfId="3845"/>
    <cellStyle name="Note 2 2 3 4 2 2 2" xfId="3846"/>
    <cellStyle name="Note 2 2 3 4 2 2 2 2" xfId="3847"/>
    <cellStyle name="Note 2 2 3 4 2 2 3" xfId="3848"/>
    <cellStyle name="Note 2 2 3 4 2 3" xfId="3849"/>
    <cellStyle name="Note 2 2 3 4 2 3 2" xfId="3850"/>
    <cellStyle name="Note 2 2 3 4 2 4" xfId="3851"/>
    <cellStyle name="Note 2 2 3 4 3" xfId="3852"/>
    <cellStyle name="Note 2 2 3 4 3 2" xfId="3853"/>
    <cellStyle name="Note 2 2 3 4 3 2 2" xfId="3854"/>
    <cellStyle name="Note 2 2 3 4 3 3" xfId="3855"/>
    <cellStyle name="Note 2 2 3 4 3 4" xfId="3856"/>
    <cellStyle name="Note 2 2 3 4 4" xfId="3857"/>
    <cellStyle name="Note 2 2 3 4 4 2" xfId="3858"/>
    <cellStyle name="Note 2 2 3 4 4 2 2" xfId="3859"/>
    <cellStyle name="Note 2 2 3 4 4 3" xfId="3860"/>
    <cellStyle name="Note 2 2 3 4 5" xfId="3861"/>
    <cellStyle name="Note 2 2 3 4 5 2" xfId="3862"/>
    <cellStyle name="Note 2 2 3 4 6" xfId="3863"/>
    <cellStyle name="Note 2 2 3 5" xfId="3864"/>
    <cellStyle name="Note 2 2 3 5 2" xfId="3865"/>
    <cellStyle name="Note 2 2 4" xfId="3866"/>
    <cellStyle name="Note 2 2 4 2" xfId="3867"/>
    <cellStyle name="Note 2 2 4 2 2" xfId="3868"/>
    <cellStyle name="Note 2 2 4 2 2 2" xfId="3869"/>
    <cellStyle name="Note 2 2 4 2 2 2 2" xfId="3870"/>
    <cellStyle name="Note 2 2 4 2 2 2 2 2" xfId="3871"/>
    <cellStyle name="Note 2 2 4 2 2 2 3" xfId="3872"/>
    <cellStyle name="Note 2 2 4 2 2 3" xfId="3873"/>
    <cellStyle name="Note 2 2 4 2 2 3 2" xfId="3874"/>
    <cellStyle name="Note 2 2 4 2 2 4" xfId="3875"/>
    <cellStyle name="Note 2 2 4 2 3" xfId="3876"/>
    <cellStyle name="Note 2 2 4 2 3 2" xfId="3877"/>
    <cellStyle name="Note 2 2 4 2 3 2 2" xfId="3878"/>
    <cellStyle name="Note 2 2 4 2 3 3" xfId="3879"/>
    <cellStyle name="Note 2 2 4 2 3 4" xfId="3880"/>
    <cellStyle name="Note 2 2 4 2 4" xfId="3881"/>
    <cellStyle name="Note 2 2 4 2 4 2" xfId="3882"/>
    <cellStyle name="Note 2 2 4 2 4 2 2" xfId="3883"/>
    <cellStyle name="Note 2 2 4 2 4 3" xfId="3884"/>
    <cellStyle name="Note 2 2 4 2 5" xfId="3885"/>
    <cellStyle name="Note 2 2 4 2 5 2" xfId="3886"/>
    <cellStyle name="Note 2 2 4 2 6" xfId="3887"/>
    <cellStyle name="Note 2 2 4 3" xfId="3888"/>
    <cellStyle name="Note 2 2 4 3 2" xfId="3889"/>
    <cellStyle name="Note 2 2 4 3 2 2" xfId="3890"/>
    <cellStyle name="Note 2 2 4 3 2 2 2" xfId="3891"/>
    <cellStyle name="Note 2 2 4 3 2 2 2 2" xfId="3892"/>
    <cellStyle name="Note 2 2 4 3 2 2 3" xfId="3893"/>
    <cellStyle name="Note 2 2 4 3 2 3" xfId="3894"/>
    <cellStyle name="Note 2 2 4 3 2 3 2" xfId="3895"/>
    <cellStyle name="Note 2 2 4 3 2 4" xfId="3896"/>
    <cellStyle name="Note 2 2 4 3 3" xfId="3897"/>
    <cellStyle name="Note 2 2 4 3 3 2" xfId="3898"/>
    <cellStyle name="Note 2 2 4 3 3 2 2" xfId="3899"/>
    <cellStyle name="Note 2 2 4 3 3 3" xfId="3900"/>
    <cellStyle name="Note 2 2 4 3 3 4" xfId="3901"/>
    <cellStyle name="Note 2 2 4 3 4" xfId="3902"/>
    <cellStyle name="Note 2 2 4 3 4 2" xfId="3903"/>
    <cellStyle name="Note 2 2 4 3 4 2 2" xfId="3904"/>
    <cellStyle name="Note 2 2 4 3 4 3" xfId="3905"/>
    <cellStyle name="Note 2 2 4 3 5" xfId="3906"/>
    <cellStyle name="Note 2 2 4 3 5 2" xfId="3907"/>
    <cellStyle name="Note 2 2 4 3 6" xfId="3908"/>
    <cellStyle name="Note 2 2 4 4" xfId="3909"/>
    <cellStyle name="Note 2 2 4 4 2" xfId="3910"/>
    <cellStyle name="Note 2 2 4 4 2 2" xfId="3911"/>
    <cellStyle name="Note 2 2 4 4 2 2 2" xfId="3912"/>
    <cellStyle name="Note 2 2 4 4 2 3" xfId="3913"/>
    <cellStyle name="Note 2 2 4 4 3" xfId="3914"/>
    <cellStyle name="Note 2 2 4 4 3 2" xfId="3915"/>
    <cellStyle name="Note 2 2 4 4 4" xfId="3916"/>
    <cellStyle name="Note 2 2 4 5" xfId="3917"/>
    <cellStyle name="Note 2 2 4 5 2" xfId="3918"/>
    <cellStyle name="Note 2 2 4 5 2 2" xfId="3919"/>
    <cellStyle name="Note 2 2 4 5 3" xfId="3920"/>
    <cellStyle name="Note 2 2 4 5 4" xfId="3921"/>
    <cellStyle name="Note 2 2 4 6" xfId="3922"/>
    <cellStyle name="Note 2 2 4 6 2" xfId="3923"/>
    <cellStyle name="Note 2 2 4 6 2 2" xfId="3924"/>
    <cellStyle name="Note 2 2 4 6 3" xfId="3925"/>
    <cellStyle name="Note 2 2 4 7" xfId="3926"/>
    <cellStyle name="Note 2 2 5" xfId="3927"/>
    <cellStyle name="Note 2 2 5 2" xfId="3928"/>
    <cellStyle name="Note 2 2 5 2 2" xfId="3929"/>
    <cellStyle name="Note 2 2 5 2 2 2" xfId="3930"/>
    <cellStyle name="Note 2 2 5 2 2 2 2" xfId="3931"/>
    <cellStyle name="Note 2 2 5 2 2 3" xfId="3932"/>
    <cellStyle name="Note 2 2 5 2 3" xfId="3933"/>
    <cellStyle name="Note 2 2 5 2 3 2" xfId="3934"/>
    <cellStyle name="Note 2 2 5 2 4" xfId="3935"/>
    <cellStyle name="Note 2 2 5 3" xfId="3936"/>
    <cellStyle name="Note 2 2 5 3 2" xfId="3937"/>
    <cellStyle name="Note 2 2 5 3 2 2" xfId="3938"/>
    <cellStyle name="Note 2 2 5 3 3" xfId="3939"/>
    <cellStyle name="Note 2 2 5 3 4" xfId="3940"/>
    <cellStyle name="Note 2 2 5 4" xfId="3941"/>
    <cellStyle name="Note 2 2 5 4 2" xfId="3942"/>
    <cellStyle name="Note 2 2 5 4 2 2" xfId="3943"/>
    <cellStyle name="Note 2 2 5 4 3" xfId="3944"/>
    <cellStyle name="Note 2 2 5 5" xfId="3945"/>
    <cellStyle name="Note 2 3" xfId="3946"/>
    <cellStyle name="Note 2 3 2" xfId="3947"/>
    <cellStyle name="Note 2 3 2 2" xfId="3948"/>
    <cellStyle name="Note 2 3 2 2 2" xfId="3949"/>
    <cellStyle name="Note 2 3 2 2 2 2" xfId="3950"/>
    <cellStyle name="Note 2 3 2 2 2 2 2" xfId="3951"/>
    <cellStyle name="Note 2 3 2 2 2 2 2 2" xfId="3952"/>
    <cellStyle name="Note 2 3 2 2 2 2 3" xfId="3953"/>
    <cellStyle name="Note 2 3 2 2 2 3" xfId="3954"/>
    <cellStyle name="Note 2 3 2 2 2 3 2" xfId="3955"/>
    <cellStyle name="Note 2 3 2 2 2 4" xfId="3956"/>
    <cellStyle name="Note 2 3 2 2 3" xfId="3957"/>
    <cellStyle name="Note 2 3 2 2 3 2" xfId="3958"/>
    <cellStyle name="Note 2 3 2 2 3 2 2" xfId="3959"/>
    <cellStyle name="Note 2 3 2 2 3 3" xfId="3960"/>
    <cellStyle name="Note 2 3 2 2 3 4" xfId="3961"/>
    <cellStyle name="Note 2 3 2 2 4" xfId="3962"/>
    <cellStyle name="Note 2 3 2 2 4 2" xfId="3963"/>
    <cellStyle name="Note 2 3 2 2 4 2 2" xfId="3964"/>
    <cellStyle name="Note 2 3 2 2 4 3" xfId="3965"/>
    <cellStyle name="Note 2 3 2 2 5" xfId="3966"/>
    <cellStyle name="Note 2 3 2 3" xfId="3967"/>
    <cellStyle name="Note 2 3 2 3 2" xfId="3968"/>
    <cellStyle name="Note 2 3 2 3 2 2" xfId="3969"/>
    <cellStyle name="Note 2 3 2 3 2 2 2" xfId="3970"/>
    <cellStyle name="Note 2 3 2 3 2 2 2 2" xfId="3971"/>
    <cellStyle name="Note 2 3 2 3 2 2 3" xfId="3972"/>
    <cellStyle name="Note 2 3 2 3 2 3" xfId="3973"/>
    <cellStyle name="Note 2 3 2 3 2 3 2" xfId="3974"/>
    <cellStyle name="Note 2 3 2 3 2 4" xfId="3975"/>
    <cellStyle name="Note 2 3 2 3 3" xfId="3976"/>
    <cellStyle name="Note 2 3 2 3 3 2" xfId="3977"/>
    <cellStyle name="Note 2 3 2 3 3 2 2" xfId="3978"/>
    <cellStyle name="Note 2 3 2 3 3 3" xfId="3979"/>
    <cellStyle name="Note 2 3 2 3 3 4" xfId="3980"/>
    <cellStyle name="Note 2 3 2 3 4" xfId="3981"/>
    <cellStyle name="Note 2 3 2 3 4 2" xfId="3982"/>
    <cellStyle name="Note 2 3 2 3 4 2 2" xfId="3983"/>
    <cellStyle name="Note 2 3 2 3 4 3" xfId="3984"/>
    <cellStyle name="Note 2 3 2 3 5" xfId="3985"/>
    <cellStyle name="Note 2 3 2 3 5 2" xfId="3986"/>
    <cellStyle name="Note 2 3 2 3 6" xfId="3987"/>
    <cellStyle name="Note 2 3 2 4" xfId="3988"/>
    <cellStyle name="Note 2 3 2 4 2" xfId="3989"/>
    <cellStyle name="Note 2 3 2 4 2 2" xfId="3990"/>
    <cellStyle name="Note 2 3 2 4 2 2 2" xfId="3991"/>
    <cellStyle name="Note 2 3 2 4 2 2 2 2" xfId="3992"/>
    <cellStyle name="Note 2 3 2 4 2 2 3" xfId="3993"/>
    <cellStyle name="Note 2 3 2 4 2 3" xfId="3994"/>
    <cellStyle name="Note 2 3 2 4 2 3 2" xfId="3995"/>
    <cellStyle name="Note 2 3 2 4 2 4" xfId="3996"/>
    <cellStyle name="Note 2 3 2 4 3" xfId="3997"/>
    <cellStyle name="Note 2 3 2 4 3 2" xfId="3998"/>
    <cellStyle name="Note 2 3 2 4 3 2 2" xfId="3999"/>
    <cellStyle name="Note 2 3 2 4 3 3" xfId="4000"/>
    <cellStyle name="Note 2 3 2 4 3 4" xfId="4001"/>
    <cellStyle name="Note 2 3 2 4 4" xfId="4002"/>
    <cellStyle name="Note 2 3 2 4 4 2" xfId="4003"/>
    <cellStyle name="Note 2 3 2 4 4 2 2" xfId="4004"/>
    <cellStyle name="Note 2 3 2 4 4 3" xfId="4005"/>
    <cellStyle name="Note 2 3 2 4 5" xfId="4006"/>
    <cellStyle name="Note 2 3 2 4 5 2" xfId="4007"/>
    <cellStyle name="Note 2 3 2 4 6" xfId="4008"/>
    <cellStyle name="Note 2 3 2 5" xfId="4009"/>
    <cellStyle name="Note 2 3 2 5 2" xfId="4010"/>
    <cellStyle name="Note 2 3 3" xfId="4011"/>
    <cellStyle name="Note 2 3 3 2" xfId="4012"/>
    <cellStyle name="Note 2 3 3 2 2" xfId="4013"/>
    <cellStyle name="Note 2 3 3 2 2 2" xfId="4014"/>
    <cellStyle name="Note 2 3 3 2 2 2 2" xfId="4015"/>
    <cellStyle name="Note 2 3 3 2 2 3" xfId="4016"/>
    <cellStyle name="Note 2 3 3 2 3" xfId="4017"/>
    <cellStyle name="Note 2 3 3 2 3 2" xfId="4018"/>
    <cellStyle name="Note 2 3 3 2 4" xfId="4019"/>
    <cellStyle name="Note 2 3 3 3" xfId="4020"/>
    <cellStyle name="Note 2 3 3 3 2" xfId="4021"/>
    <cellStyle name="Note 2 3 3 3 2 2" xfId="4022"/>
    <cellStyle name="Note 2 3 3 3 3" xfId="4023"/>
    <cellStyle name="Note 2 3 3 3 4" xfId="4024"/>
    <cellStyle name="Note 2 3 3 4" xfId="4025"/>
    <cellStyle name="Note 2 3 3 4 2" xfId="4026"/>
    <cellStyle name="Note 2 3 3 4 2 2" xfId="4027"/>
    <cellStyle name="Note 2 3 3 4 3" xfId="4028"/>
    <cellStyle name="Note 2 3 3 5" xfId="4029"/>
    <cellStyle name="Note 2 3 4" xfId="4030"/>
    <cellStyle name="Note 2 3 4 2" xfId="4031"/>
    <cellStyle name="Note 2 3 4 2 2" xfId="4032"/>
    <cellStyle name="Note 2 3 4 2 2 2" xfId="4033"/>
    <cellStyle name="Note 2 3 4 2 2 2 2" xfId="4034"/>
    <cellStyle name="Note 2 3 4 2 2 3" xfId="4035"/>
    <cellStyle name="Note 2 3 4 2 3" xfId="4036"/>
    <cellStyle name="Note 2 3 4 2 3 2" xfId="4037"/>
    <cellStyle name="Note 2 3 4 2 4" xfId="4038"/>
    <cellStyle name="Note 2 3 4 3" xfId="4039"/>
    <cellStyle name="Note 2 3 4 3 2" xfId="4040"/>
    <cellStyle name="Note 2 3 4 3 2 2" xfId="4041"/>
    <cellStyle name="Note 2 3 4 3 3" xfId="4042"/>
    <cellStyle name="Note 2 3 4 3 4" xfId="4043"/>
    <cellStyle name="Note 2 3 4 4" xfId="4044"/>
    <cellStyle name="Note 2 3 4 4 2" xfId="4045"/>
    <cellStyle name="Note 2 3 4 4 2 2" xfId="4046"/>
    <cellStyle name="Note 2 3 4 4 3" xfId="4047"/>
    <cellStyle name="Note 2 3 4 5" xfId="4048"/>
    <cellStyle name="Note 2 3 4 5 2" xfId="4049"/>
    <cellStyle name="Note 2 3 4 6" xfId="4050"/>
    <cellStyle name="Note 2 3 5" xfId="4051"/>
    <cellStyle name="Note 2 3 5 2" xfId="4052"/>
    <cellStyle name="Note 2 3 5 2 2" xfId="4053"/>
    <cellStyle name="Note 2 3 5 2 2 2" xfId="4054"/>
    <cellStyle name="Note 2 3 5 2 2 2 2" xfId="4055"/>
    <cellStyle name="Note 2 3 5 2 2 3" xfId="4056"/>
    <cellStyle name="Note 2 3 5 2 3" xfId="4057"/>
    <cellStyle name="Note 2 3 5 2 3 2" xfId="4058"/>
    <cellStyle name="Note 2 3 5 2 4" xfId="4059"/>
    <cellStyle name="Note 2 3 5 3" xfId="4060"/>
    <cellStyle name="Note 2 3 5 3 2" xfId="4061"/>
    <cellStyle name="Note 2 3 5 3 2 2" xfId="4062"/>
    <cellStyle name="Note 2 3 5 3 3" xfId="4063"/>
    <cellStyle name="Note 2 3 5 3 4" xfId="4064"/>
    <cellStyle name="Note 2 3 5 4" xfId="4065"/>
    <cellStyle name="Note 2 3 5 4 2" xfId="4066"/>
    <cellStyle name="Note 2 3 5 4 2 2" xfId="4067"/>
    <cellStyle name="Note 2 3 5 4 3" xfId="4068"/>
    <cellStyle name="Note 2 3 5 5" xfId="4069"/>
    <cellStyle name="Note 2 3 5 5 2" xfId="4070"/>
    <cellStyle name="Note 2 3 5 6" xfId="4071"/>
    <cellStyle name="Note 2 4" xfId="4072"/>
    <cellStyle name="Note 2 4 2" xfId="4073"/>
    <cellStyle name="Note 2 4 2 2" xfId="4074"/>
    <cellStyle name="Note 2 4 2 2 2" xfId="4075"/>
    <cellStyle name="Note 2 4 2 2 2 2" xfId="4076"/>
    <cellStyle name="Note 2 4 2 2 2 2 2" xfId="4077"/>
    <cellStyle name="Note 2 4 2 2 2 3" xfId="4078"/>
    <cellStyle name="Note 2 4 2 2 3" xfId="4079"/>
    <cellStyle name="Note 2 4 2 2 3 2" xfId="4080"/>
    <cellStyle name="Note 2 4 2 2 4" xfId="4081"/>
    <cellStyle name="Note 2 4 2 3" xfId="4082"/>
    <cellStyle name="Note 2 4 2 3 2" xfId="4083"/>
    <cellStyle name="Note 2 4 2 3 2 2" xfId="4084"/>
    <cellStyle name="Note 2 4 2 3 3" xfId="4085"/>
    <cellStyle name="Note 2 4 2 3 4" xfId="4086"/>
    <cellStyle name="Note 2 4 2 4" xfId="4087"/>
    <cellStyle name="Note 2 4 2 4 2" xfId="4088"/>
    <cellStyle name="Note 2 4 2 4 2 2" xfId="4089"/>
    <cellStyle name="Note 2 4 2 4 3" xfId="4090"/>
    <cellStyle name="Note 2 4 2 5" xfId="4091"/>
    <cellStyle name="Note 2 4 3" xfId="4092"/>
    <cellStyle name="Note 2 4 3 2" xfId="4093"/>
    <cellStyle name="Note 2 4 3 2 2" xfId="4094"/>
    <cellStyle name="Note 2 4 3 2 2 2" xfId="4095"/>
    <cellStyle name="Note 2 4 3 2 2 2 2" xfId="4096"/>
    <cellStyle name="Note 2 4 3 2 2 3" xfId="4097"/>
    <cellStyle name="Note 2 4 3 2 3" xfId="4098"/>
    <cellStyle name="Note 2 4 3 2 3 2" xfId="4099"/>
    <cellStyle name="Note 2 4 3 2 4" xfId="4100"/>
    <cellStyle name="Note 2 4 3 3" xfId="4101"/>
    <cellStyle name="Note 2 4 3 3 2" xfId="4102"/>
    <cellStyle name="Note 2 4 3 3 2 2" xfId="4103"/>
    <cellStyle name="Note 2 4 3 3 3" xfId="4104"/>
    <cellStyle name="Note 2 4 3 3 4" xfId="4105"/>
    <cellStyle name="Note 2 4 3 4" xfId="4106"/>
    <cellStyle name="Note 2 4 3 4 2" xfId="4107"/>
    <cellStyle name="Note 2 4 3 4 2 2" xfId="4108"/>
    <cellStyle name="Note 2 4 3 4 3" xfId="4109"/>
    <cellStyle name="Note 2 4 3 5" xfId="4110"/>
    <cellStyle name="Note 2 4 3 5 2" xfId="4111"/>
    <cellStyle name="Note 2 4 3 6" xfId="4112"/>
    <cellStyle name="Note 2 4 4" xfId="4113"/>
    <cellStyle name="Note 2 4 4 2" xfId="4114"/>
    <cellStyle name="Note 2 4 4 2 2" xfId="4115"/>
    <cellStyle name="Note 2 4 4 2 2 2" xfId="4116"/>
    <cellStyle name="Note 2 4 4 2 2 2 2" xfId="4117"/>
    <cellStyle name="Note 2 4 4 2 2 3" xfId="4118"/>
    <cellStyle name="Note 2 4 4 2 3" xfId="4119"/>
    <cellStyle name="Note 2 4 4 2 3 2" xfId="4120"/>
    <cellStyle name="Note 2 4 4 2 4" xfId="4121"/>
    <cellStyle name="Note 2 4 4 3" xfId="4122"/>
    <cellStyle name="Note 2 4 4 3 2" xfId="4123"/>
    <cellStyle name="Note 2 4 4 3 2 2" xfId="4124"/>
    <cellStyle name="Note 2 4 4 3 3" xfId="4125"/>
    <cellStyle name="Note 2 4 4 3 4" xfId="4126"/>
    <cellStyle name="Note 2 4 4 4" xfId="4127"/>
    <cellStyle name="Note 2 4 4 4 2" xfId="4128"/>
    <cellStyle name="Note 2 4 4 4 2 2" xfId="4129"/>
    <cellStyle name="Note 2 4 4 4 3" xfId="4130"/>
    <cellStyle name="Note 2 4 4 5" xfId="4131"/>
    <cellStyle name="Note 2 4 4 5 2" xfId="4132"/>
    <cellStyle name="Note 2 4 4 6" xfId="4133"/>
    <cellStyle name="Note 2 4 5" xfId="4134"/>
    <cellStyle name="Note 2 4 5 2" xfId="4135"/>
    <cellStyle name="Note 2 5" xfId="4136"/>
    <cellStyle name="Note 2 5 2" xfId="4137"/>
    <cellStyle name="Note 2 5 2 2" xfId="4138"/>
    <cellStyle name="Note 2 5 2 2 2" xfId="4139"/>
    <cellStyle name="Note 2 5 2 2 2 2" xfId="4140"/>
    <cellStyle name="Note 2 5 2 2 2 2 2" xfId="4141"/>
    <cellStyle name="Note 2 5 2 2 2 3" xfId="4142"/>
    <cellStyle name="Note 2 5 2 2 3" xfId="4143"/>
    <cellStyle name="Note 2 5 2 2 3 2" xfId="4144"/>
    <cellStyle name="Note 2 5 2 2 4" xfId="4145"/>
    <cellStyle name="Note 2 5 2 3" xfId="4146"/>
    <cellStyle name="Note 2 5 2 3 2" xfId="4147"/>
    <cellStyle name="Note 2 5 2 3 2 2" xfId="4148"/>
    <cellStyle name="Note 2 5 2 3 3" xfId="4149"/>
    <cellStyle name="Note 2 5 2 3 4" xfId="4150"/>
    <cellStyle name="Note 2 5 2 4" xfId="4151"/>
    <cellStyle name="Note 2 5 2 4 2" xfId="4152"/>
    <cellStyle name="Note 2 5 2 4 2 2" xfId="4153"/>
    <cellStyle name="Note 2 5 2 4 3" xfId="4154"/>
    <cellStyle name="Note 2 5 2 5" xfId="4155"/>
    <cellStyle name="Note 2 5 2 5 2" xfId="4156"/>
    <cellStyle name="Note 2 5 2 6" xfId="4157"/>
    <cellStyle name="Note 2 5 3" xfId="4158"/>
    <cellStyle name="Note 2 5 3 2" xfId="4159"/>
    <cellStyle name="Note 2 5 3 2 2" xfId="4160"/>
    <cellStyle name="Note 2 5 3 2 2 2" xfId="4161"/>
    <cellStyle name="Note 2 5 3 2 2 2 2" xfId="4162"/>
    <cellStyle name="Note 2 5 3 2 2 3" xfId="4163"/>
    <cellStyle name="Note 2 5 3 2 3" xfId="4164"/>
    <cellStyle name="Note 2 5 3 2 3 2" xfId="4165"/>
    <cellStyle name="Note 2 5 3 2 4" xfId="4166"/>
    <cellStyle name="Note 2 5 3 3" xfId="4167"/>
    <cellStyle name="Note 2 5 3 3 2" xfId="4168"/>
    <cellStyle name="Note 2 5 3 3 2 2" xfId="4169"/>
    <cellStyle name="Note 2 5 3 3 3" xfId="4170"/>
    <cellStyle name="Note 2 5 3 3 4" xfId="4171"/>
    <cellStyle name="Note 2 5 3 4" xfId="4172"/>
    <cellStyle name="Note 2 5 3 4 2" xfId="4173"/>
    <cellStyle name="Note 2 5 3 4 2 2" xfId="4174"/>
    <cellStyle name="Note 2 5 3 4 3" xfId="4175"/>
    <cellStyle name="Note 2 5 3 5" xfId="4176"/>
    <cellStyle name="Note 2 5 3 5 2" xfId="4177"/>
    <cellStyle name="Note 2 5 3 6" xfId="4178"/>
    <cellStyle name="Note 2 5 4" xfId="4179"/>
    <cellStyle name="Note 2 5 4 2" xfId="4180"/>
    <cellStyle name="Note 2 5 4 2 2" xfId="4181"/>
    <cellStyle name="Note 2 5 4 2 2 2" xfId="4182"/>
    <cellStyle name="Note 2 5 4 2 3" xfId="4183"/>
    <cellStyle name="Note 2 5 4 3" xfId="4184"/>
    <cellStyle name="Note 2 5 4 3 2" xfId="4185"/>
    <cellStyle name="Note 2 5 4 4" xfId="4186"/>
    <cellStyle name="Note 2 5 5" xfId="4187"/>
    <cellStyle name="Note 2 5 5 2" xfId="4188"/>
    <cellStyle name="Note 2 5 5 2 2" xfId="4189"/>
    <cellStyle name="Note 2 5 5 3" xfId="4190"/>
    <cellStyle name="Note 2 5 5 4" xfId="4191"/>
    <cellStyle name="Note 2 5 6" xfId="4192"/>
    <cellStyle name="Note 2 5 6 2" xfId="4193"/>
    <cellStyle name="Note 2 5 6 2 2" xfId="4194"/>
    <cellStyle name="Note 2 5 6 3" xfId="4195"/>
    <cellStyle name="Note 2 5 7" xfId="4196"/>
    <cellStyle name="Note 2 6" xfId="4197"/>
    <cellStyle name="Note 2 6 2" xfId="4198"/>
    <cellStyle name="Note 2 6 2 2" xfId="4199"/>
    <cellStyle name="Note 2 6 2 2 2" xfId="4200"/>
    <cellStyle name="Note 2 6 2 2 2 2" xfId="4201"/>
    <cellStyle name="Note 2 6 2 2 3" xfId="4202"/>
    <cellStyle name="Note 2 6 2 3" xfId="4203"/>
    <cellStyle name="Note 2 6 2 3 2" xfId="4204"/>
    <cellStyle name="Note 2 6 2 4" xfId="4205"/>
    <cellStyle name="Note 2 6 3" xfId="4206"/>
    <cellStyle name="Note 2 6 3 2" xfId="4207"/>
    <cellStyle name="Note 2 6 3 2 2" xfId="4208"/>
    <cellStyle name="Note 2 6 3 3" xfId="4209"/>
    <cellStyle name="Note 2 6 3 4" xfId="4210"/>
    <cellStyle name="Note 2 6 4" xfId="4211"/>
    <cellStyle name="Note 2 6 4 2" xfId="4212"/>
    <cellStyle name="Note 2 6 4 2 2" xfId="4213"/>
    <cellStyle name="Note 2 6 4 3" xfId="4214"/>
    <cellStyle name="Note 2 6 5" xfId="4215"/>
    <cellStyle name="Note 3" xfId="4216"/>
    <cellStyle name="Note 3 2" xfId="4217"/>
    <cellStyle name="Note 3 2 2" xfId="4218"/>
    <cellStyle name="Note 3 2 2 2" xfId="4219"/>
    <cellStyle name="Note 3 2 2 2 2" xfId="4220"/>
    <cellStyle name="Note 3 2 2 2 2 2" xfId="4221"/>
    <cellStyle name="Note 3 2 2 2 2 2 2" xfId="4222"/>
    <cellStyle name="Note 3 2 2 2 2 3" xfId="4223"/>
    <cellStyle name="Note 3 2 2 2 3" xfId="4224"/>
    <cellStyle name="Note 3 2 2 2 3 2" xfId="4225"/>
    <cellStyle name="Note 3 2 2 2 4" xfId="4226"/>
    <cellStyle name="Note 3 2 2 3" xfId="4227"/>
    <cellStyle name="Note 3 2 2 3 2" xfId="4228"/>
    <cellStyle name="Note 3 2 2 3 2 2" xfId="4229"/>
    <cellStyle name="Note 3 2 2 3 3" xfId="4230"/>
    <cellStyle name="Note 3 2 2 3 4" xfId="4231"/>
    <cellStyle name="Note 3 2 2 4" xfId="4232"/>
    <cellStyle name="Note 3 2 2 4 2" xfId="4233"/>
    <cellStyle name="Note 3 2 2 4 2 2" xfId="4234"/>
    <cellStyle name="Note 3 2 2 4 3" xfId="4235"/>
    <cellStyle name="Note 3 2 2 5" xfId="4236"/>
    <cellStyle name="Note 3 2 3" xfId="4237"/>
    <cellStyle name="Note 3 2 3 2" xfId="4238"/>
    <cellStyle name="Note 3 2 3 2 2" xfId="4239"/>
    <cellStyle name="Note 3 2 3 2 2 2" xfId="4240"/>
    <cellStyle name="Note 3 2 3 2 2 2 2" xfId="4241"/>
    <cellStyle name="Note 3 2 3 2 2 3" xfId="4242"/>
    <cellStyle name="Note 3 2 3 2 3" xfId="4243"/>
    <cellStyle name="Note 3 2 3 2 3 2" xfId="4244"/>
    <cellStyle name="Note 3 2 3 2 4" xfId="4245"/>
    <cellStyle name="Note 3 2 3 3" xfId="4246"/>
    <cellStyle name="Note 3 2 3 3 2" xfId="4247"/>
    <cellStyle name="Note 3 2 3 3 2 2" xfId="4248"/>
    <cellStyle name="Note 3 2 3 3 3" xfId="4249"/>
    <cellStyle name="Note 3 2 3 3 4" xfId="4250"/>
    <cellStyle name="Note 3 2 3 4" xfId="4251"/>
    <cellStyle name="Note 3 2 3 4 2" xfId="4252"/>
    <cellStyle name="Note 3 2 3 4 2 2" xfId="4253"/>
    <cellStyle name="Note 3 2 3 4 3" xfId="4254"/>
    <cellStyle name="Note 3 2 3 5" xfId="4255"/>
    <cellStyle name="Note 3 2 3 5 2" xfId="4256"/>
    <cellStyle name="Note 3 2 3 6" xfId="4257"/>
    <cellStyle name="Note 3 2 4" xfId="4258"/>
    <cellStyle name="Note 3 2 4 2" xfId="4259"/>
    <cellStyle name="Note 3 2 4 2 2" xfId="4260"/>
    <cellStyle name="Note 3 2 4 2 2 2" xfId="4261"/>
    <cellStyle name="Note 3 2 4 2 2 2 2" xfId="4262"/>
    <cellStyle name="Note 3 2 4 2 2 3" xfId="4263"/>
    <cellStyle name="Note 3 2 4 2 3" xfId="4264"/>
    <cellStyle name="Note 3 2 4 2 3 2" xfId="4265"/>
    <cellStyle name="Note 3 2 4 2 4" xfId="4266"/>
    <cellStyle name="Note 3 2 4 3" xfId="4267"/>
    <cellStyle name="Note 3 2 4 3 2" xfId="4268"/>
    <cellStyle name="Note 3 2 4 3 2 2" xfId="4269"/>
    <cellStyle name="Note 3 2 4 3 3" xfId="4270"/>
    <cellStyle name="Note 3 2 4 3 4" xfId="4271"/>
    <cellStyle name="Note 3 2 4 4" xfId="4272"/>
    <cellStyle name="Note 3 2 4 4 2" xfId="4273"/>
    <cellStyle name="Note 3 2 4 4 2 2" xfId="4274"/>
    <cellStyle name="Note 3 2 4 4 3" xfId="4275"/>
    <cellStyle name="Note 3 2 4 5" xfId="4276"/>
    <cellStyle name="Note 3 2 4 5 2" xfId="4277"/>
    <cellStyle name="Note 3 2 4 6" xfId="4278"/>
    <cellStyle name="Note 3 2 5" xfId="4279"/>
    <cellStyle name="Note 3 2 5 2" xfId="4280"/>
    <cellStyle name="Note 3 3" xfId="4281"/>
    <cellStyle name="Note 3 3 2" xfId="4282"/>
    <cellStyle name="Note 3 3 2 2" xfId="4283"/>
    <cellStyle name="Note 3 3 2 2 2" xfId="4284"/>
    <cellStyle name="Note 3 3 2 2 2 2" xfId="4285"/>
    <cellStyle name="Note 3 3 2 2 2 2 2" xfId="4286"/>
    <cellStyle name="Note 3 3 2 2 2 3" xfId="4287"/>
    <cellStyle name="Note 3 3 2 2 3" xfId="4288"/>
    <cellStyle name="Note 3 3 2 2 3 2" xfId="4289"/>
    <cellStyle name="Note 3 3 2 2 4" xfId="4290"/>
    <cellStyle name="Note 3 3 2 3" xfId="4291"/>
    <cellStyle name="Note 3 3 2 3 2" xfId="4292"/>
    <cellStyle name="Note 3 3 2 3 2 2" xfId="4293"/>
    <cellStyle name="Note 3 3 2 3 3" xfId="4294"/>
    <cellStyle name="Note 3 3 2 3 4" xfId="4295"/>
    <cellStyle name="Note 3 3 2 4" xfId="4296"/>
    <cellStyle name="Note 3 3 2 4 2" xfId="4297"/>
    <cellStyle name="Note 3 3 2 4 2 2" xfId="4298"/>
    <cellStyle name="Note 3 3 2 4 3" xfId="4299"/>
    <cellStyle name="Note 3 3 2 5" xfId="4300"/>
    <cellStyle name="Note 3 3 2 5 2" xfId="4301"/>
    <cellStyle name="Note 3 3 2 6" xfId="4302"/>
    <cellStyle name="Note 3 3 3" xfId="4303"/>
    <cellStyle name="Note 3 3 3 2" xfId="4304"/>
    <cellStyle name="Note 3 3 3 2 2" xfId="4305"/>
    <cellStyle name="Note 3 3 3 2 2 2" xfId="4306"/>
    <cellStyle name="Note 3 3 3 2 2 2 2" xfId="4307"/>
    <cellStyle name="Note 3 3 3 2 2 3" xfId="4308"/>
    <cellStyle name="Note 3 3 3 2 3" xfId="4309"/>
    <cellStyle name="Note 3 3 3 2 3 2" xfId="4310"/>
    <cellStyle name="Note 3 3 3 2 4" xfId="4311"/>
    <cellStyle name="Note 3 3 3 3" xfId="4312"/>
    <cellStyle name="Note 3 3 3 3 2" xfId="4313"/>
    <cellStyle name="Note 3 3 3 3 2 2" xfId="4314"/>
    <cellStyle name="Note 3 3 3 3 3" xfId="4315"/>
    <cellStyle name="Note 3 3 3 3 4" xfId="4316"/>
    <cellStyle name="Note 3 3 3 4" xfId="4317"/>
    <cellStyle name="Note 3 3 3 4 2" xfId="4318"/>
    <cellStyle name="Note 3 3 3 4 2 2" xfId="4319"/>
    <cellStyle name="Note 3 3 3 4 3" xfId="4320"/>
    <cellStyle name="Note 3 3 3 5" xfId="4321"/>
    <cellStyle name="Note 3 3 3 5 2" xfId="4322"/>
    <cellStyle name="Note 3 3 3 6" xfId="4323"/>
    <cellStyle name="Note 3 3 4" xfId="4324"/>
    <cellStyle name="Note 3 3 4 2" xfId="4325"/>
    <cellStyle name="Note 3 3 4 2 2" xfId="4326"/>
    <cellStyle name="Note 3 3 4 2 2 2" xfId="4327"/>
    <cellStyle name="Note 3 3 4 2 3" xfId="4328"/>
    <cellStyle name="Note 3 3 4 3" xfId="4329"/>
    <cellStyle name="Note 3 3 4 3 2" xfId="4330"/>
    <cellStyle name="Note 3 3 4 4" xfId="4331"/>
    <cellStyle name="Note 3 3 5" xfId="4332"/>
    <cellStyle name="Note 3 3 5 2" xfId="4333"/>
    <cellStyle name="Note 3 3 5 2 2" xfId="4334"/>
    <cellStyle name="Note 3 3 5 3" xfId="4335"/>
    <cellStyle name="Note 3 3 5 4" xfId="4336"/>
    <cellStyle name="Note 3 3 6" xfId="4337"/>
    <cellStyle name="Note 3 3 6 2" xfId="4338"/>
    <cellStyle name="Note 3 3 6 2 2" xfId="4339"/>
    <cellStyle name="Note 3 3 6 3" xfId="4340"/>
    <cellStyle name="Note 3 3 7" xfId="4341"/>
    <cellStyle name="Note 3 4" xfId="4342"/>
    <cellStyle name="Note 3 4 2" xfId="4343"/>
    <cellStyle name="Note 3 4 2 2" xfId="4344"/>
    <cellStyle name="Note 3 4 2 2 2" xfId="4345"/>
    <cellStyle name="Note 3 4 2 2 2 2" xfId="4346"/>
    <cellStyle name="Note 3 4 2 2 3" xfId="4347"/>
    <cellStyle name="Note 3 4 2 3" xfId="4348"/>
    <cellStyle name="Note 3 4 2 3 2" xfId="4349"/>
    <cellStyle name="Note 3 4 2 4" xfId="4350"/>
    <cellStyle name="Note 3 4 3" xfId="4351"/>
    <cellStyle name="Note 3 4 3 2" xfId="4352"/>
    <cellStyle name="Note 3 4 3 2 2" xfId="4353"/>
    <cellStyle name="Note 3 4 3 3" xfId="4354"/>
    <cellStyle name="Note 3 4 3 4" xfId="4355"/>
    <cellStyle name="Note 3 4 4" xfId="4356"/>
    <cellStyle name="Note 3 4 4 2" xfId="4357"/>
    <cellStyle name="Note 3 4 4 2 2" xfId="4358"/>
    <cellStyle name="Note 3 4 4 3" xfId="4359"/>
    <cellStyle name="Note 3 4 5" xfId="4360"/>
    <cellStyle name="Note 4" xfId="4361"/>
    <cellStyle name="Note 4 2" xfId="4362"/>
    <cellStyle name="Note 4 2 2" xfId="4363"/>
    <cellStyle name="Note 4 2 2 2" xfId="4364"/>
    <cellStyle name="Note 4 2 2 2 2" xfId="4365"/>
    <cellStyle name="Note 4 2 2 2 2 2" xfId="4366"/>
    <cellStyle name="Note 4 2 2 2 2 2 2" xfId="4367"/>
    <cellStyle name="Note 4 2 2 2 2 3" xfId="4368"/>
    <cellStyle name="Note 4 2 2 2 3" xfId="4369"/>
    <cellStyle name="Note 4 2 2 2 3 2" xfId="4370"/>
    <cellStyle name="Note 4 2 2 2 4" xfId="4371"/>
    <cellStyle name="Note 4 2 2 3" xfId="4372"/>
    <cellStyle name="Note 4 2 2 3 2" xfId="4373"/>
    <cellStyle name="Note 4 2 2 3 2 2" xfId="4374"/>
    <cellStyle name="Note 4 2 2 3 3" xfId="4375"/>
    <cellStyle name="Note 4 2 2 3 4" xfId="4376"/>
    <cellStyle name="Note 4 2 2 4" xfId="4377"/>
    <cellStyle name="Note 4 2 2 4 2" xfId="4378"/>
    <cellStyle name="Note 4 2 2 4 2 2" xfId="4379"/>
    <cellStyle name="Note 4 2 2 4 3" xfId="4380"/>
    <cellStyle name="Note 4 2 2 5" xfId="4381"/>
    <cellStyle name="Note 4 2 3" xfId="4382"/>
    <cellStyle name="Note 4 2 3 2" xfId="4383"/>
    <cellStyle name="Note 4 2 3 2 2" xfId="4384"/>
    <cellStyle name="Note 4 2 3 2 2 2" xfId="4385"/>
    <cellStyle name="Note 4 2 3 2 2 2 2" xfId="4386"/>
    <cellStyle name="Note 4 2 3 2 2 3" xfId="4387"/>
    <cellStyle name="Note 4 2 3 2 3" xfId="4388"/>
    <cellStyle name="Note 4 2 3 2 3 2" xfId="4389"/>
    <cellStyle name="Note 4 2 3 2 4" xfId="4390"/>
    <cellStyle name="Note 4 2 3 3" xfId="4391"/>
    <cellStyle name="Note 4 2 3 3 2" xfId="4392"/>
    <cellStyle name="Note 4 2 3 3 2 2" xfId="4393"/>
    <cellStyle name="Note 4 2 3 3 3" xfId="4394"/>
    <cellStyle name="Note 4 2 3 3 4" xfId="4395"/>
    <cellStyle name="Note 4 2 3 4" xfId="4396"/>
    <cellStyle name="Note 4 2 3 4 2" xfId="4397"/>
    <cellStyle name="Note 4 2 3 4 2 2" xfId="4398"/>
    <cellStyle name="Note 4 2 3 4 3" xfId="4399"/>
    <cellStyle name="Note 4 2 3 5" xfId="4400"/>
    <cellStyle name="Note 4 2 3 5 2" xfId="4401"/>
    <cellStyle name="Note 4 2 3 6" xfId="4402"/>
    <cellStyle name="Note 4 2 4" xfId="4403"/>
    <cellStyle name="Note 4 2 4 2" xfId="4404"/>
    <cellStyle name="Note 4 2 4 2 2" xfId="4405"/>
    <cellStyle name="Note 4 2 4 2 2 2" xfId="4406"/>
    <cellStyle name="Note 4 2 4 2 2 2 2" xfId="4407"/>
    <cellStyle name="Note 4 2 4 2 2 3" xfId="4408"/>
    <cellStyle name="Note 4 2 4 2 3" xfId="4409"/>
    <cellStyle name="Note 4 2 4 2 3 2" xfId="4410"/>
    <cellStyle name="Note 4 2 4 2 4" xfId="4411"/>
    <cellStyle name="Note 4 2 4 3" xfId="4412"/>
    <cellStyle name="Note 4 2 4 3 2" xfId="4413"/>
    <cellStyle name="Note 4 2 4 3 2 2" xfId="4414"/>
    <cellStyle name="Note 4 2 4 3 3" xfId="4415"/>
    <cellStyle name="Note 4 2 4 3 4" xfId="4416"/>
    <cellStyle name="Note 4 2 4 4" xfId="4417"/>
    <cellStyle name="Note 4 2 4 4 2" xfId="4418"/>
    <cellStyle name="Note 4 2 4 4 2 2" xfId="4419"/>
    <cellStyle name="Note 4 2 4 4 3" xfId="4420"/>
    <cellStyle name="Note 4 2 4 5" xfId="4421"/>
    <cellStyle name="Note 4 2 4 5 2" xfId="4422"/>
    <cellStyle name="Note 4 2 4 6" xfId="4423"/>
    <cellStyle name="Note 4 2 5" xfId="4424"/>
    <cellStyle name="Note 4 2 5 2" xfId="4425"/>
    <cellStyle name="Note 4 3" xfId="4426"/>
    <cellStyle name="Note 4 3 2" xfId="4427"/>
    <cellStyle name="Note 4 3 2 2" xfId="4428"/>
    <cellStyle name="Note 4 3 2 2 2" xfId="4429"/>
    <cellStyle name="Note 4 3 2 2 2 2" xfId="4430"/>
    <cellStyle name="Note 4 3 2 2 2 2 2" xfId="4431"/>
    <cellStyle name="Note 4 3 2 2 2 3" xfId="4432"/>
    <cellStyle name="Note 4 3 2 2 3" xfId="4433"/>
    <cellStyle name="Note 4 3 2 2 3 2" xfId="4434"/>
    <cellStyle name="Note 4 3 2 2 4" xfId="4435"/>
    <cellStyle name="Note 4 3 2 3" xfId="4436"/>
    <cellStyle name="Note 4 3 2 3 2" xfId="4437"/>
    <cellStyle name="Note 4 3 2 3 2 2" xfId="4438"/>
    <cellStyle name="Note 4 3 2 3 3" xfId="4439"/>
    <cellStyle name="Note 4 3 2 3 4" xfId="4440"/>
    <cellStyle name="Note 4 3 2 4" xfId="4441"/>
    <cellStyle name="Note 4 3 2 4 2" xfId="4442"/>
    <cellStyle name="Note 4 3 2 4 2 2" xfId="4443"/>
    <cellStyle name="Note 4 3 2 4 3" xfId="4444"/>
    <cellStyle name="Note 4 3 2 5" xfId="4445"/>
    <cellStyle name="Note 4 3 2 5 2" xfId="4446"/>
    <cellStyle name="Note 4 3 2 6" xfId="4447"/>
    <cellStyle name="Note 4 3 3" xfId="4448"/>
    <cellStyle name="Note 4 3 3 2" xfId="4449"/>
    <cellStyle name="Note 4 3 3 2 2" xfId="4450"/>
    <cellStyle name="Note 4 3 3 2 2 2" xfId="4451"/>
    <cellStyle name="Note 4 3 3 2 2 2 2" xfId="4452"/>
    <cellStyle name="Note 4 3 3 2 2 3" xfId="4453"/>
    <cellStyle name="Note 4 3 3 2 3" xfId="4454"/>
    <cellStyle name="Note 4 3 3 2 3 2" xfId="4455"/>
    <cellStyle name="Note 4 3 3 2 4" xfId="4456"/>
    <cellStyle name="Note 4 3 3 3" xfId="4457"/>
    <cellStyle name="Note 4 3 3 3 2" xfId="4458"/>
    <cellStyle name="Note 4 3 3 3 2 2" xfId="4459"/>
    <cellStyle name="Note 4 3 3 3 3" xfId="4460"/>
    <cellStyle name="Note 4 3 3 3 4" xfId="4461"/>
    <cellStyle name="Note 4 3 3 4" xfId="4462"/>
    <cellStyle name="Note 4 3 3 4 2" xfId="4463"/>
    <cellStyle name="Note 4 3 3 4 2 2" xfId="4464"/>
    <cellStyle name="Note 4 3 3 4 3" xfId="4465"/>
    <cellStyle name="Note 4 3 3 5" xfId="4466"/>
    <cellStyle name="Note 4 3 3 5 2" xfId="4467"/>
    <cellStyle name="Note 4 3 3 6" xfId="4468"/>
    <cellStyle name="Note 4 3 4" xfId="4469"/>
    <cellStyle name="Note 4 3 4 2" xfId="4470"/>
    <cellStyle name="Note 4 3 4 2 2" xfId="4471"/>
    <cellStyle name="Note 4 3 4 2 2 2" xfId="4472"/>
    <cellStyle name="Note 4 3 4 2 3" xfId="4473"/>
    <cellStyle name="Note 4 3 4 3" xfId="4474"/>
    <cellStyle name="Note 4 3 4 3 2" xfId="4475"/>
    <cellStyle name="Note 4 3 4 4" xfId="4476"/>
    <cellStyle name="Note 4 3 5" xfId="4477"/>
    <cellStyle name="Note 4 3 5 2" xfId="4478"/>
    <cellStyle name="Note 4 3 5 2 2" xfId="4479"/>
    <cellStyle name="Note 4 3 5 3" xfId="4480"/>
    <cellStyle name="Note 4 3 5 4" xfId="4481"/>
    <cellStyle name="Note 4 3 6" xfId="4482"/>
    <cellStyle name="Note 4 3 6 2" xfId="4483"/>
    <cellStyle name="Note 4 3 6 2 2" xfId="4484"/>
    <cellStyle name="Note 4 3 6 3" xfId="4485"/>
    <cellStyle name="Note 4 3 7" xfId="4486"/>
    <cellStyle name="Note 4 4" xfId="4487"/>
    <cellStyle name="Note 4 4 2" xfId="4488"/>
    <cellStyle name="Note 4 4 2 2" xfId="4489"/>
    <cellStyle name="Note 4 4 2 2 2" xfId="4490"/>
    <cellStyle name="Note 4 4 2 2 2 2" xfId="4491"/>
    <cellStyle name="Note 4 4 2 2 3" xfId="4492"/>
    <cellStyle name="Note 4 4 2 3" xfId="4493"/>
    <cellStyle name="Note 4 4 2 3 2" xfId="4494"/>
    <cellStyle name="Note 4 4 2 4" xfId="4495"/>
    <cellStyle name="Note 4 4 3" xfId="4496"/>
    <cellStyle name="Note 4 4 3 2" xfId="4497"/>
    <cellStyle name="Note 4 4 3 2 2" xfId="4498"/>
    <cellStyle name="Note 4 4 3 3" xfId="4499"/>
    <cellStyle name="Note 4 4 3 4" xfId="4500"/>
    <cellStyle name="Note 4 4 4" xfId="4501"/>
    <cellStyle name="Note 4 4 4 2" xfId="4502"/>
    <cellStyle name="Note 4 4 4 2 2" xfId="4503"/>
    <cellStyle name="Note 4 4 4 3" xfId="4504"/>
    <cellStyle name="Note 4 4 5" xfId="4505"/>
    <cellStyle name="Note 5" xfId="4506"/>
    <cellStyle name="Note 5 2" xfId="4507"/>
    <cellStyle name="Note 5 2 2" xfId="4508"/>
    <cellStyle name="Note 5 2 2 2" xfId="4509"/>
    <cellStyle name="Note 5 2 2 2 2" xfId="4510"/>
    <cellStyle name="Note 5 2 2 2 2 2" xfId="4511"/>
    <cellStyle name="Note 5 2 2 2 3" xfId="4512"/>
    <cellStyle name="Note 5 2 2 3" xfId="4513"/>
    <cellStyle name="Note 5 2 2 3 2" xfId="4514"/>
    <cellStyle name="Note 5 2 2 4" xfId="4515"/>
    <cellStyle name="Note 5 2 3" xfId="4516"/>
    <cellStyle name="Note 5 2 3 2" xfId="4517"/>
    <cellStyle name="Note 5 2 3 2 2" xfId="4518"/>
    <cellStyle name="Note 5 2 3 3" xfId="4519"/>
    <cellStyle name="Note 5 2 3 4" xfId="4520"/>
    <cellStyle name="Note 5 2 4" xfId="4521"/>
    <cellStyle name="Note 5 2 4 2" xfId="4522"/>
    <cellStyle name="Note 5 2 4 2 2" xfId="4523"/>
    <cellStyle name="Note 5 2 4 3" xfId="4524"/>
    <cellStyle name="Note 5 2 5" xfId="4525"/>
    <cellStyle name="Note 5 3" xfId="4526"/>
    <cellStyle name="Note 5 3 2" xfId="4527"/>
    <cellStyle name="Note 5 3 2 2" xfId="4528"/>
    <cellStyle name="Note 5 3 2 2 2" xfId="4529"/>
    <cellStyle name="Note 5 3 2 2 2 2" xfId="4530"/>
    <cellStyle name="Note 5 3 2 2 3" xfId="4531"/>
    <cellStyle name="Note 5 3 2 3" xfId="4532"/>
    <cellStyle name="Note 5 3 2 3 2" xfId="4533"/>
    <cellStyle name="Note 5 3 2 4" xfId="4534"/>
    <cellStyle name="Note 5 3 3" xfId="4535"/>
    <cellStyle name="Note 5 3 3 2" xfId="4536"/>
    <cellStyle name="Note 5 3 3 2 2" xfId="4537"/>
    <cellStyle name="Note 5 3 3 3" xfId="4538"/>
    <cellStyle name="Note 5 3 3 4" xfId="4539"/>
    <cellStyle name="Note 5 3 4" xfId="4540"/>
    <cellStyle name="Note 5 3 4 2" xfId="4541"/>
    <cellStyle name="Note 5 3 4 2 2" xfId="4542"/>
    <cellStyle name="Note 5 3 4 3" xfId="4543"/>
    <cellStyle name="Note 5 3 5" xfId="4544"/>
    <cellStyle name="Note 5 3 5 2" xfId="4545"/>
    <cellStyle name="Note 5 3 6" xfId="4546"/>
    <cellStyle name="Note 5 4" xfId="4547"/>
    <cellStyle name="Note 5 4 2" xfId="4548"/>
    <cellStyle name="Note 5 4 2 2" xfId="4549"/>
    <cellStyle name="Note 5 4 2 2 2" xfId="4550"/>
    <cellStyle name="Note 5 4 2 2 2 2" xfId="4551"/>
    <cellStyle name="Note 5 4 2 2 3" xfId="4552"/>
    <cellStyle name="Note 5 4 2 3" xfId="4553"/>
    <cellStyle name="Note 5 4 2 3 2" xfId="4554"/>
    <cellStyle name="Note 5 4 2 4" xfId="4555"/>
    <cellStyle name="Note 5 4 3" xfId="4556"/>
    <cellStyle name="Note 5 4 3 2" xfId="4557"/>
    <cellStyle name="Note 5 4 3 2 2" xfId="4558"/>
    <cellStyle name="Note 5 4 3 3" xfId="4559"/>
    <cellStyle name="Note 5 4 3 4" xfId="4560"/>
    <cellStyle name="Note 5 4 4" xfId="4561"/>
    <cellStyle name="Note 5 4 4 2" xfId="4562"/>
    <cellStyle name="Note 5 4 4 2 2" xfId="4563"/>
    <cellStyle name="Note 5 4 4 3" xfId="4564"/>
    <cellStyle name="Note 5 4 5" xfId="4565"/>
    <cellStyle name="Note 5 4 5 2" xfId="4566"/>
    <cellStyle name="Note 5 4 6" xfId="4567"/>
    <cellStyle name="Note 5 5" xfId="4568"/>
    <cellStyle name="Note 5 5 2" xfId="4569"/>
    <cellStyle name="Note 6" xfId="4570"/>
    <cellStyle name="Note 6 2" xfId="4571"/>
    <cellStyle name="Note 6 2 2" xfId="4572"/>
    <cellStyle name="Note 6 2 2 2" xfId="4573"/>
    <cellStyle name="Note 6 2 2 2 2" xfId="4574"/>
    <cellStyle name="Note 6 2 2 2 2 2" xfId="4575"/>
    <cellStyle name="Note 6 2 2 2 3" xfId="4576"/>
    <cellStyle name="Note 6 2 2 3" xfId="4577"/>
    <cellStyle name="Note 6 2 2 3 2" xfId="4578"/>
    <cellStyle name="Note 6 2 2 4" xfId="4579"/>
    <cellStyle name="Note 6 2 3" xfId="4580"/>
    <cellStyle name="Note 6 2 3 2" xfId="4581"/>
    <cellStyle name="Note 6 2 3 2 2" xfId="4582"/>
    <cellStyle name="Note 6 2 3 3" xfId="4583"/>
    <cellStyle name="Note 6 2 3 4" xfId="4584"/>
    <cellStyle name="Note 6 2 4" xfId="4585"/>
    <cellStyle name="Note 6 2 4 2" xfId="4586"/>
    <cellStyle name="Note 6 2 4 2 2" xfId="4587"/>
    <cellStyle name="Note 6 2 4 3" xfId="4588"/>
    <cellStyle name="Note 6 2 5" xfId="4589"/>
    <cellStyle name="Note 6 2 5 2" xfId="4590"/>
    <cellStyle name="Note 6 2 6" xfId="4591"/>
    <cellStyle name="Note 6 3" xfId="4592"/>
    <cellStyle name="Note 6 3 2" xfId="4593"/>
    <cellStyle name="Note 6 3 2 2" xfId="4594"/>
    <cellStyle name="Note 6 3 2 2 2" xfId="4595"/>
    <cellStyle name="Note 6 3 2 2 2 2" xfId="4596"/>
    <cellStyle name="Note 6 3 2 2 3" xfId="4597"/>
    <cellStyle name="Note 6 3 2 3" xfId="4598"/>
    <cellStyle name="Note 6 3 2 3 2" xfId="4599"/>
    <cellStyle name="Note 6 3 2 4" xfId="4600"/>
    <cellStyle name="Note 6 3 3" xfId="4601"/>
    <cellStyle name="Note 6 3 3 2" xfId="4602"/>
    <cellStyle name="Note 6 3 3 2 2" xfId="4603"/>
    <cellStyle name="Note 6 3 3 3" xfId="4604"/>
    <cellStyle name="Note 6 3 3 4" xfId="4605"/>
    <cellStyle name="Note 6 3 4" xfId="4606"/>
    <cellStyle name="Note 6 3 4 2" xfId="4607"/>
    <cellStyle name="Note 6 3 4 2 2" xfId="4608"/>
    <cellStyle name="Note 6 3 4 3" xfId="4609"/>
    <cellStyle name="Note 6 3 5" xfId="4610"/>
    <cellStyle name="Note 6 3 5 2" xfId="4611"/>
    <cellStyle name="Note 6 3 6" xfId="4612"/>
    <cellStyle name="Note 6 4" xfId="4613"/>
    <cellStyle name="Note 6 4 2" xfId="4614"/>
    <cellStyle name="Note 6 4 2 2" xfId="4615"/>
    <cellStyle name="Note 6 4 2 2 2" xfId="4616"/>
    <cellStyle name="Note 6 4 2 3" xfId="4617"/>
    <cellStyle name="Note 6 4 3" xfId="4618"/>
    <cellStyle name="Note 6 4 3 2" xfId="4619"/>
    <cellStyle name="Note 6 4 4" xfId="4620"/>
    <cellStyle name="Note 6 5" xfId="4621"/>
    <cellStyle name="Note 6 5 2" xfId="4622"/>
    <cellStyle name="Note 6 5 2 2" xfId="4623"/>
    <cellStyle name="Note 6 5 3" xfId="4624"/>
    <cellStyle name="Note 6 5 4" xfId="4625"/>
    <cellStyle name="Note 6 6" xfId="4626"/>
    <cellStyle name="Note 6 6 2" xfId="4627"/>
    <cellStyle name="Note 6 6 2 2" xfId="4628"/>
    <cellStyle name="Note 6 6 3" xfId="4629"/>
    <cellStyle name="Note 6 7" xfId="4630"/>
    <cellStyle name="Notes" xfId="4631"/>
    <cellStyle name="Output" xfId="7632" builtinId="21" customBuiltin="1"/>
    <cellStyle name="Output 2" xfId="4632"/>
    <cellStyle name="Output 2 2" xfId="4633"/>
    <cellStyle name="Output 2 2 2" xfId="4634"/>
    <cellStyle name="Output 2 2 2 2" xfId="4635"/>
    <cellStyle name="Output 2 2 2 2 2" xfId="4636"/>
    <cellStyle name="Output 2 2 2 2 2 2" xfId="4637"/>
    <cellStyle name="Output 2 2 2 2 2 2 2" xfId="4638"/>
    <cellStyle name="Output 2 2 2 2 2 2 2 2" xfId="4639"/>
    <cellStyle name="Output 2 2 2 2 2 2 2 2 2" xfId="4640"/>
    <cellStyle name="Output 2 2 2 2 2 2 2 3" xfId="4641"/>
    <cellStyle name="Output 2 2 2 2 2 2 3" xfId="4642"/>
    <cellStyle name="Output 2 2 2 2 2 2 3 2" xfId="4643"/>
    <cellStyle name="Output 2 2 2 2 2 2 4" xfId="4644"/>
    <cellStyle name="Output 2 2 2 2 2 3" xfId="4645"/>
    <cellStyle name="Output 2 2 2 2 2 3 2" xfId="4646"/>
    <cellStyle name="Output 2 2 2 2 2 3 2 2" xfId="4647"/>
    <cellStyle name="Output 2 2 2 2 2 3 3" xfId="4648"/>
    <cellStyle name="Output 2 2 2 2 2 3 4" xfId="4649"/>
    <cellStyle name="Output 2 2 2 2 2 4" xfId="4650"/>
    <cellStyle name="Output 2 2 2 2 2 4 2" xfId="4651"/>
    <cellStyle name="Output 2 2 2 2 2 4 2 2" xfId="4652"/>
    <cellStyle name="Output 2 2 2 2 2 4 3" xfId="4653"/>
    <cellStyle name="Output 2 2 2 2 2 5" xfId="4654"/>
    <cellStyle name="Output 2 2 2 2 2 5 2" xfId="4655"/>
    <cellStyle name="Output 2 2 2 2 2 6" xfId="4656"/>
    <cellStyle name="Output 2 2 2 2 3" xfId="4657"/>
    <cellStyle name="Output 2 2 2 2 3 2" xfId="4658"/>
    <cellStyle name="Output 2 2 2 2 3 2 2" xfId="4659"/>
    <cellStyle name="Output 2 2 2 2 3 2 2 2" xfId="4660"/>
    <cellStyle name="Output 2 2 2 2 3 2 2 2 2" xfId="4661"/>
    <cellStyle name="Output 2 2 2 2 3 2 2 3" xfId="4662"/>
    <cellStyle name="Output 2 2 2 2 3 2 3" xfId="4663"/>
    <cellStyle name="Output 2 2 2 2 3 2 3 2" xfId="4664"/>
    <cellStyle name="Output 2 2 2 2 3 2 4" xfId="4665"/>
    <cellStyle name="Output 2 2 2 2 3 3" xfId="4666"/>
    <cellStyle name="Output 2 2 2 2 3 3 2" xfId="4667"/>
    <cellStyle name="Output 2 2 2 2 3 3 2 2" xfId="4668"/>
    <cellStyle name="Output 2 2 2 2 3 3 3" xfId="4669"/>
    <cellStyle name="Output 2 2 2 2 3 3 4" xfId="4670"/>
    <cellStyle name="Output 2 2 2 2 3 4" xfId="4671"/>
    <cellStyle name="Output 2 2 2 2 3 4 2" xfId="4672"/>
    <cellStyle name="Output 2 2 2 2 3 4 2 2" xfId="4673"/>
    <cellStyle name="Output 2 2 2 2 3 4 3" xfId="4674"/>
    <cellStyle name="Output 2 2 2 2 3 5" xfId="4675"/>
    <cellStyle name="Output 2 2 2 2 3 5 2" xfId="4676"/>
    <cellStyle name="Output 2 2 2 2 3 6" xfId="4677"/>
    <cellStyle name="Output 2 2 2 2 4" xfId="4678"/>
    <cellStyle name="Output 2 2 2 2 4 2" xfId="4679"/>
    <cellStyle name="Output 2 2 2 3" xfId="4680"/>
    <cellStyle name="Output 2 2 2 3 2" xfId="4681"/>
    <cellStyle name="Output 2 2 2 3 2 2" xfId="4682"/>
    <cellStyle name="Output 2 2 2 3 2 2 2" xfId="4683"/>
    <cellStyle name="Output 2 2 2 3 2 2 2 2" xfId="4684"/>
    <cellStyle name="Output 2 2 2 3 2 2 3" xfId="4685"/>
    <cellStyle name="Output 2 2 2 3 2 3" xfId="4686"/>
    <cellStyle name="Output 2 2 2 3 2 3 2" xfId="4687"/>
    <cellStyle name="Output 2 2 2 3 2 4" xfId="4688"/>
    <cellStyle name="Output 2 2 2 3 3" xfId="4689"/>
    <cellStyle name="Output 2 2 2 3 3 2" xfId="4690"/>
    <cellStyle name="Output 2 2 2 3 3 2 2" xfId="4691"/>
    <cellStyle name="Output 2 2 2 3 3 3" xfId="4692"/>
    <cellStyle name="Output 2 2 2 3 3 4" xfId="4693"/>
    <cellStyle name="Output 2 2 2 3 4" xfId="4694"/>
    <cellStyle name="Output 2 2 2 3 4 2" xfId="4695"/>
    <cellStyle name="Output 2 2 2 3 4 2 2" xfId="4696"/>
    <cellStyle name="Output 2 2 2 3 4 3" xfId="4697"/>
    <cellStyle name="Output 2 2 2 3 5" xfId="4698"/>
    <cellStyle name="Output 2 2 2 3 5 2" xfId="4699"/>
    <cellStyle name="Output 2 2 2 3 6" xfId="4700"/>
    <cellStyle name="Output 2 2 2 4" xfId="4701"/>
    <cellStyle name="Output 2 2 2 4 2" xfId="4702"/>
    <cellStyle name="Output 2 2 2 4 2 2" xfId="4703"/>
    <cellStyle name="Output 2 2 2 4 2 2 2" xfId="4704"/>
    <cellStyle name="Output 2 2 2 4 2 2 2 2" xfId="4705"/>
    <cellStyle name="Output 2 2 2 4 2 2 3" xfId="4706"/>
    <cellStyle name="Output 2 2 2 4 2 3" xfId="4707"/>
    <cellStyle name="Output 2 2 2 4 2 3 2" xfId="4708"/>
    <cellStyle name="Output 2 2 2 4 2 4" xfId="4709"/>
    <cellStyle name="Output 2 2 2 4 3" xfId="4710"/>
    <cellStyle name="Output 2 2 2 4 3 2" xfId="4711"/>
    <cellStyle name="Output 2 2 2 4 3 2 2" xfId="4712"/>
    <cellStyle name="Output 2 2 2 4 3 3" xfId="4713"/>
    <cellStyle name="Output 2 2 2 4 3 4" xfId="4714"/>
    <cellStyle name="Output 2 2 2 4 4" xfId="4715"/>
    <cellStyle name="Output 2 2 2 4 4 2" xfId="4716"/>
    <cellStyle name="Output 2 2 2 4 4 2 2" xfId="4717"/>
    <cellStyle name="Output 2 2 2 4 4 3" xfId="4718"/>
    <cellStyle name="Output 2 2 2 4 5" xfId="4719"/>
    <cellStyle name="Output 2 2 2 4 5 2" xfId="4720"/>
    <cellStyle name="Output 2 2 2 4 6" xfId="4721"/>
    <cellStyle name="Output 2 2 2 5" xfId="4722"/>
    <cellStyle name="Output 2 2 2 5 2" xfId="4723"/>
    <cellStyle name="Output 2 2 3" xfId="4724"/>
    <cellStyle name="Output 2 2 3 2" xfId="4725"/>
    <cellStyle name="Output 2 2 3 2 2" xfId="4726"/>
    <cellStyle name="Output 2 2 3 2 2 2" xfId="4727"/>
    <cellStyle name="Output 2 2 3 2 2 2 2" xfId="4728"/>
    <cellStyle name="Output 2 2 3 2 2 2 2 2" xfId="4729"/>
    <cellStyle name="Output 2 2 3 2 2 2 3" xfId="4730"/>
    <cellStyle name="Output 2 2 3 2 2 3" xfId="4731"/>
    <cellStyle name="Output 2 2 3 2 2 3 2" xfId="4732"/>
    <cellStyle name="Output 2 2 3 2 2 4" xfId="4733"/>
    <cellStyle name="Output 2 2 3 2 3" xfId="4734"/>
    <cellStyle name="Output 2 2 3 2 3 2" xfId="4735"/>
    <cellStyle name="Output 2 2 3 2 3 2 2" xfId="4736"/>
    <cellStyle name="Output 2 2 3 2 3 3" xfId="4737"/>
    <cellStyle name="Output 2 2 3 2 3 4" xfId="4738"/>
    <cellStyle name="Output 2 2 3 2 4" xfId="4739"/>
    <cellStyle name="Output 2 2 3 2 4 2" xfId="4740"/>
    <cellStyle name="Output 2 2 3 2 4 2 2" xfId="4741"/>
    <cellStyle name="Output 2 2 3 2 4 3" xfId="4742"/>
    <cellStyle name="Output 2 2 3 2 5" xfId="4743"/>
    <cellStyle name="Output 2 2 3 2 5 2" xfId="4744"/>
    <cellStyle name="Output 2 2 3 2 6" xfId="4745"/>
    <cellStyle name="Output 2 2 3 3" xfId="4746"/>
    <cellStyle name="Output 2 2 3 3 2" xfId="4747"/>
    <cellStyle name="Output 2 2 3 3 2 2" xfId="4748"/>
    <cellStyle name="Output 2 2 3 3 2 2 2" xfId="4749"/>
    <cellStyle name="Output 2 2 3 3 2 2 2 2" xfId="4750"/>
    <cellStyle name="Output 2 2 3 3 2 2 3" xfId="4751"/>
    <cellStyle name="Output 2 2 3 3 2 3" xfId="4752"/>
    <cellStyle name="Output 2 2 3 3 2 3 2" xfId="4753"/>
    <cellStyle name="Output 2 2 3 3 2 4" xfId="4754"/>
    <cellStyle name="Output 2 2 3 3 3" xfId="4755"/>
    <cellStyle name="Output 2 2 3 3 3 2" xfId="4756"/>
    <cellStyle name="Output 2 2 3 3 3 2 2" xfId="4757"/>
    <cellStyle name="Output 2 2 3 3 3 3" xfId="4758"/>
    <cellStyle name="Output 2 2 3 3 3 4" xfId="4759"/>
    <cellStyle name="Output 2 2 3 3 4" xfId="4760"/>
    <cellStyle name="Output 2 2 3 3 4 2" xfId="4761"/>
    <cellStyle name="Output 2 2 3 3 4 2 2" xfId="4762"/>
    <cellStyle name="Output 2 2 3 3 4 3" xfId="4763"/>
    <cellStyle name="Output 2 2 3 3 5" xfId="4764"/>
    <cellStyle name="Output 2 2 3 3 5 2" xfId="4765"/>
    <cellStyle name="Output 2 2 3 3 6" xfId="4766"/>
    <cellStyle name="Output 2 2 3 4" xfId="4767"/>
    <cellStyle name="Output 2 2 3 4 2" xfId="4768"/>
    <cellStyle name="Output 2 2 4" xfId="4769"/>
    <cellStyle name="Output 2 2 4 2" xfId="4770"/>
    <cellStyle name="Output 2 2 4 2 2" xfId="4771"/>
    <cellStyle name="Output 2 2 4 2 2 2" xfId="4772"/>
    <cellStyle name="Output 2 2 4 2 2 2 2" xfId="4773"/>
    <cellStyle name="Output 2 2 4 2 2 2 2 2" xfId="4774"/>
    <cellStyle name="Output 2 2 4 2 2 2 3" xfId="4775"/>
    <cellStyle name="Output 2 2 4 2 2 3" xfId="4776"/>
    <cellStyle name="Output 2 2 4 2 2 3 2" xfId="4777"/>
    <cellStyle name="Output 2 2 4 2 2 4" xfId="4778"/>
    <cellStyle name="Output 2 2 4 2 3" xfId="4779"/>
    <cellStyle name="Output 2 2 4 2 3 2" xfId="4780"/>
    <cellStyle name="Output 2 2 4 2 3 2 2" xfId="4781"/>
    <cellStyle name="Output 2 2 4 2 3 3" xfId="4782"/>
    <cellStyle name="Output 2 2 4 2 3 4" xfId="4783"/>
    <cellStyle name="Output 2 2 4 2 4" xfId="4784"/>
    <cellStyle name="Output 2 2 4 2 4 2" xfId="4785"/>
    <cellStyle name="Output 2 2 4 2 4 2 2" xfId="4786"/>
    <cellStyle name="Output 2 2 4 2 4 3" xfId="4787"/>
    <cellStyle name="Output 2 2 4 2 5" xfId="4788"/>
    <cellStyle name="Output 2 2 4 2 5 2" xfId="4789"/>
    <cellStyle name="Output 2 2 4 2 6" xfId="4790"/>
    <cellStyle name="Output 2 2 4 3" xfId="4791"/>
    <cellStyle name="Output 2 2 4 3 2" xfId="4792"/>
    <cellStyle name="Output 2 2 4 3 2 2" xfId="4793"/>
    <cellStyle name="Output 2 2 4 3 3" xfId="4794"/>
    <cellStyle name="Output 2 2 4 4" xfId="4795"/>
    <cellStyle name="Output 2 2 4 4 2" xfId="4796"/>
    <cellStyle name="Output 2 2 4 4 2 2" xfId="4797"/>
    <cellStyle name="Output 2 2 4 4 2 2 2" xfId="4798"/>
    <cellStyle name="Output 2 2 4 4 2 2 2 2" xfId="4799"/>
    <cellStyle name="Output 2 2 4 4 2 2 3" xfId="4800"/>
    <cellStyle name="Output 2 2 4 4 2 3" xfId="4801"/>
    <cellStyle name="Output 2 2 4 4 2 3 2" xfId="4802"/>
    <cellStyle name="Output 2 2 4 4 2 4" xfId="4803"/>
    <cellStyle name="Output 2 2 4 4 3" xfId="4804"/>
    <cellStyle name="Output 2 2 4 4 3 2" xfId="4805"/>
    <cellStyle name="Output 2 2 4 4 3 2 2" xfId="4806"/>
    <cellStyle name="Output 2 2 4 4 3 3" xfId="4807"/>
    <cellStyle name="Output 2 2 4 4 3 4" xfId="4808"/>
    <cellStyle name="Output 2 2 4 4 4" xfId="4809"/>
    <cellStyle name="Output 2 2 4 4 4 2" xfId="4810"/>
    <cellStyle name="Output 2 2 4 4 4 2 2" xfId="4811"/>
    <cellStyle name="Output 2 2 4 4 4 3" xfId="4812"/>
    <cellStyle name="Output 2 2 4 4 5" xfId="4813"/>
    <cellStyle name="Output 2 2 4 4 5 2" xfId="4814"/>
    <cellStyle name="Output 2 2 4 4 6" xfId="4815"/>
    <cellStyle name="Output 2 2 4 5" xfId="4816"/>
    <cellStyle name="Output 2 2 4 5 2" xfId="4817"/>
    <cellStyle name="Output 2 2 4 5 2 2" xfId="4818"/>
    <cellStyle name="Output 2 2 4 5 2 2 2" xfId="4819"/>
    <cellStyle name="Output 2 2 4 5 2 3" xfId="4820"/>
    <cellStyle name="Output 2 2 4 5 3" xfId="4821"/>
    <cellStyle name="Output 2 2 4 5 3 2" xfId="4822"/>
    <cellStyle name="Output 2 2 4 5 4" xfId="4823"/>
    <cellStyle name="Output 2 2 4 6" xfId="4824"/>
    <cellStyle name="Output 2 2 4 6 2" xfId="4825"/>
    <cellStyle name="Output 2 2 4 6 2 2" xfId="4826"/>
    <cellStyle name="Output 2 2 4 6 3" xfId="4827"/>
    <cellStyle name="Output 2 2 4 6 4" xfId="4828"/>
    <cellStyle name="Output 2 2 4 7" xfId="4829"/>
    <cellStyle name="Output 2 2 4 7 2" xfId="4830"/>
    <cellStyle name="Output 2 2 4 7 2 2" xfId="4831"/>
    <cellStyle name="Output 2 2 4 7 3" xfId="4832"/>
    <cellStyle name="Output 2 2 4 8" xfId="4833"/>
    <cellStyle name="Output 2 2 4 8 2" xfId="4834"/>
    <cellStyle name="Output 2 2 4 9" xfId="4835"/>
    <cellStyle name="Output 2 2 5" xfId="4836"/>
    <cellStyle name="Output 2 2 5 2" xfId="4837"/>
    <cellStyle name="Output 2 2 5 2 2" xfId="4838"/>
    <cellStyle name="Output 2 2 5 2 2 2" xfId="4839"/>
    <cellStyle name="Output 2 2 5 2 2 2 2" xfId="4840"/>
    <cellStyle name="Output 2 2 5 2 2 3" xfId="4841"/>
    <cellStyle name="Output 2 2 5 2 3" xfId="4842"/>
    <cellStyle name="Output 2 2 5 2 3 2" xfId="4843"/>
    <cellStyle name="Output 2 2 5 2 4" xfId="4844"/>
    <cellStyle name="Output 2 2 5 3" xfId="4845"/>
    <cellStyle name="Output 2 2 5 3 2" xfId="4846"/>
    <cellStyle name="Output 2 2 5 3 2 2" xfId="4847"/>
    <cellStyle name="Output 2 2 5 3 3" xfId="4848"/>
    <cellStyle name="Output 2 2 5 3 4" xfId="4849"/>
    <cellStyle name="Output 2 2 5 4" xfId="4850"/>
    <cellStyle name="Output 2 2 5 4 2" xfId="4851"/>
    <cellStyle name="Output 2 2 5 4 2 2" xfId="4852"/>
    <cellStyle name="Output 2 2 5 4 3" xfId="4853"/>
    <cellStyle name="Output 2 2 5 5" xfId="4854"/>
    <cellStyle name="Output 2 2 5 5 2" xfId="4855"/>
    <cellStyle name="Output 2 2 5 6" xfId="4856"/>
    <cellStyle name="Output 2 3" xfId="4857"/>
    <cellStyle name="Output 2 3 2" xfId="4858"/>
    <cellStyle name="Output 2 3 2 2" xfId="4859"/>
    <cellStyle name="Output 2 3 2 2 2" xfId="4860"/>
    <cellStyle name="Output 2 3 2 2 2 2" xfId="4861"/>
    <cellStyle name="Output 2 3 2 2 2 2 2" xfId="4862"/>
    <cellStyle name="Output 2 3 2 2 2 2 2 2" xfId="4863"/>
    <cellStyle name="Output 2 3 2 2 2 2 3" xfId="4864"/>
    <cellStyle name="Output 2 3 2 2 2 3" xfId="4865"/>
    <cellStyle name="Output 2 3 2 2 2 3 2" xfId="4866"/>
    <cellStyle name="Output 2 3 2 2 2 4" xfId="4867"/>
    <cellStyle name="Output 2 3 2 2 3" xfId="4868"/>
    <cellStyle name="Output 2 3 2 2 3 2" xfId="4869"/>
    <cellStyle name="Output 2 3 2 2 3 2 2" xfId="4870"/>
    <cellStyle name="Output 2 3 2 2 3 3" xfId="4871"/>
    <cellStyle name="Output 2 3 2 2 3 4" xfId="4872"/>
    <cellStyle name="Output 2 3 2 2 4" xfId="4873"/>
    <cellStyle name="Output 2 3 2 2 4 2" xfId="4874"/>
    <cellStyle name="Output 2 3 2 2 4 2 2" xfId="4875"/>
    <cellStyle name="Output 2 3 2 2 4 3" xfId="4876"/>
    <cellStyle name="Output 2 3 2 2 5" xfId="4877"/>
    <cellStyle name="Output 2 3 2 2 5 2" xfId="4878"/>
    <cellStyle name="Output 2 3 2 2 6" xfId="4879"/>
    <cellStyle name="Output 2 3 2 3" xfId="4880"/>
    <cellStyle name="Output 2 3 2 3 2" xfId="4881"/>
    <cellStyle name="Output 2 3 2 3 2 2" xfId="4882"/>
    <cellStyle name="Output 2 3 2 3 2 2 2" xfId="4883"/>
    <cellStyle name="Output 2 3 2 3 2 2 2 2" xfId="4884"/>
    <cellStyle name="Output 2 3 2 3 2 2 3" xfId="4885"/>
    <cellStyle name="Output 2 3 2 3 2 3" xfId="4886"/>
    <cellStyle name="Output 2 3 2 3 2 3 2" xfId="4887"/>
    <cellStyle name="Output 2 3 2 3 2 4" xfId="4888"/>
    <cellStyle name="Output 2 3 2 3 3" xfId="4889"/>
    <cellStyle name="Output 2 3 2 3 3 2" xfId="4890"/>
    <cellStyle name="Output 2 3 2 3 3 2 2" xfId="4891"/>
    <cellStyle name="Output 2 3 2 3 3 3" xfId="4892"/>
    <cellStyle name="Output 2 3 2 3 3 4" xfId="4893"/>
    <cellStyle name="Output 2 3 2 3 4" xfId="4894"/>
    <cellStyle name="Output 2 3 2 3 4 2" xfId="4895"/>
    <cellStyle name="Output 2 3 2 3 4 2 2" xfId="4896"/>
    <cellStyle name="Output 2 3 2 3 4 3" xfId="4897"/>
    <cellStyle name="Output 2 3 2 3 5" xfId="4898"/>
    <cellStyle name="Output 2 3 2 3 5 2" xfId="4899"/>
    <cellStyle name="Output 2 3 2 3 6" xfId="4900"/>
    <cellStyle name="Output 2 3 2 4" xfId="4901"/>
    <cellStyle name="Output 2 3 2 4 2" xfId="4902"/>
    <cellStyle name="Output 2 3 3" xfId="4903"/>
    <cellStyle name="Output 2 3 3 2" xfId="4904"/>
    <cellStyle name="Output 2 3 3 2 2" xfId="4905"/>
    <cellStyle name="Output 2 3 3 2 2 2" xfId="4906"/>
    <cellStyle name="Output 2 3 3 2 2 2 2" xfId="4907"/>
    <cellStyle name="Output 2 3 3 2 2 3" xfId="4908"/>
    <cellStyle name="Output 2 3 3 2 3" xfId="4909"/>
    <cellStyle name="Output 2 3 3 2 3 2" xfId="4910"/>
    <cellStyle name="Output 2 3 3 2 4" xfId="4911"/>
    <cellStyle name="Output 2 3 3 3" xfId="4912"/>
    <cellStyle name="Output 2 3 3 3 2" xfId="4913"/>
    <cellStyle name="Output 2 3 3 3 2 2" xfId="4914"/>
    <cellStyle name="Output 2 3 3 3 3" xfId="4915"/>
    <cellStyle name="Output 2 3 3 3 4" xfId="4916"/>
    <cellStyle name="Output 2 3 3 4" xfId="4917"/>
    <cellStyle name="Output 2 3 3 4 2" xfId="4918"/>
    <cellStyle name="Output 2 3 3 4 2 2" xfId="4919"/>
    <cellStyle name="Output 2 3 3 4 3" xfId="4920"/>
    <cellStyle name="Output 2 3 3 5" xfId="4921"/>
    <cellStyle name="Output 2 3 3 5 2" xfId="4922"/>
    <cellStyle name="Output 2 3 3 6" xfId="4923"/>
    <cellStyle name="Output 2 3 4" xfId="4924"/>
    <cellStyle name="Output 2 3 4 2" xfId="4925"/>
    <cellStyle name="Output 2 3 4 2 2" xfId="4926"/>
    <cellStyle name="Output 2 3 4 2 2 2" xfId="4927"/>
    <cellStyle name="Output 2 3 4 2 2 2 2" xfId="4928"/>
    <cellStyle name="Output 2 3 4 2 2 3" xfId="4929"/>
    <cellStyle name="Output 2 3 4 2 3" xfId="4930"/>
    <cellStyle name="Output 2 3 4 2 3 2" xfId="4931"/>
    <cellStyle name="Output 2 3 4 2 4" xfId="4932"/>
    <cellStyle name="Output 2 3 4 3" xfId="4933"/>
    <cellStyle name="Output 2 3 4 3 2" xfId="4934"/>
    <cellStyle name="Output 2 3 4 3 2 2" xfId="4935"/>
    <cellStyle name="Output 2 3 4 3 3" xfId="4936"/>
    <cellStyle name="Output 2 3 4 3 4" xfId="4937"/>
    <cellStyle name="Output 2 3 4 4" xfId="4938"/>
    <cellStyle name="Output 2 3 4 4 2" xfId="4939"/>
    <cellStyle name="Output 2 3 4 4 2 2" xfId="4940"/>
    <cellStyle name="Output 2 3 4 4 3" xfId="4941"/>
    <cellStyle name="Output 2 3 4 5" xfId="4942"/>
    <cellStyle name="Output 2 3 4 5 2" xfId="4943"/>
    <cellStyle name="Output 2 3 4 6" xfId="4944"/>
    <cellStyle name="Output 2 3 5" xfId="4945"/>
    <cellStyle name="Output 2 3 5 2" xfId="4946"/>
    <cellStyle name="Output 2 4" xfId="4947"/>
    <cellStyle name="Output 2 4 2" xfId="4948"/>
    <cellStyle name="Output 2 4 2 2" xfId="4949"/>
    <cellStyle name="Output 2 4 2 2 2" xfId="4950"/>
    <cellStyle name="Output 2 4 2 2 2 2" xfId="4951"/>
    <cellStyle name="Output 2 4 2 2 2 2 2" xfId="4952"/>
    <cellStyle name="Output 2 4 2 2 2 3" xfId="4953"/>
    <cellStyle name="Output 2 4 2 2 3" xfId="4954"/>
    <cellStyle name="Output 2 4 2 2 3 2" xfId="4955"/>
    <cellStyle name="Output 2 4 2 2 4" xfId="4956"/>
    <cellStyle name="Output 2 4 2 3" xfId="4957"/>
    <cellStyle name="Output 2 4 2 3 2" xfId="4958"/>
    <cellStyle name="Output 2 4 2 3 2 2" xfId="4959"/>
    <cellStyle name="Output 2 4 2 3 3" xfId="4960"/>
    <cellStyle name="Output 2 4 2 3 4" xfId="4961"/>
    <cellStyle name="Output 2 4 2 4" xfId="4962"/>
    <cellStyle name="Output 2 4 2 4 2" xfId="4963"/>
    <cellStyle name="Output 2 4 2 4 2 2" xfId="4964"/>
    <cellStyle name="Output 2 4 2 4 3" xfId="4965"/>
    <cellStyle name="Output 2 4 2 5" xfId="4966"/>
    <cellStyle name="Output 2 4 2 5 2" xfId="4967"/>
    <cellStyle name="Output 2 4 2 6" xfId="4968"/>
    <cellStyle name="Output 2 4 3" xfId="4969"/>
    <cellStyle name="Output 2 4 3 2" xfId="4970"/>
    <cellStyle name="Output 2 4 3 2 2" xfId="4971"/>
    <cellStyle name="Output 2 4 3 2 2 2" xfId="4972"/>
    <cellStyle name="Output 2 4 3 2 2 2 2" xfId="4973"/>
    <cellStyle name="Output 2 4 3 2 2 3" xfId="4974"/>
    <cellStyle name="Output 2 4 3 2 3" xfId="4975"/>
    <cellStyle name="Output 2 4 3 2 3 2" xfId="4976"/>
    <cellStyle name="Output 2 4 3 2 4" xfId="4977"/>
    <cellStyle name="Output 2 4 3 3" xfId="4978"/>
    <cellStyle name="Output 2 4 3 3 2" xfId="4979"/>
    <cellStyle name="Output 2 4 3 3 2 2" xfId="4980"/>
    <cellStyle name="Output 2 4 3 3 3" xfId="4981"/>
    <cellStyle name="Output 2 4 3 3 4" xfId="4982"/>
    <cellStyle name="Output 2 4 3 4" xfId="4983"/>
    <cellStyle name="Output 2 4 3 4 2" xfId="4984"/>
    <cellStyle name="Output 2 4 3 4 2 2" xfId="4985"/>
    <cellStyle name="Output 2 4 3 4 3" xfId="4986"/>
    <cellStyle name="Output 2 4 3 5" xfId="4987"/>
    <cellStyle name="Output 2 4 3 5 2" xfId="4988"/>
    <cellStyle name="Output 2 4 3 6" xfId="4989"/>
    <cellStyle name="Output 2 4 4" xfId="4990"/>
    <cellStyle name="Output 2 4 4 2" xfId="4991"/>
    <cellStyle name="Output 2 5" xfId="4992"/>
    <cellStyle name="Output 2 5 2" xfId="4993"/>
    <cellStyle name="Output 2 5 2 2" xfId="4994"/>
    <cellStyle name="Output 2 5 2 2 2" xfId="4995"/>
    <cellStyle name="Output 2 5 2 2 2 2" xfId="4996"/>
    <cellStyle name="Output 2 5 2 2 2 2 2" xfId="4997"/>
    <cellStyle name="Output 2 5 2 2 2 3" xfId="4998"/>
    <cellStyle name="Output 2 5 2 2 3" xfId="4999"/>
    <cellStyle name="Output 2 5 2 2 3 2" xfId="5000"/>
    <cellStyle name="Output 2 5 2 2 4" xfId="5001"/>
    <cellStyle name="Output 2 5 2 3" xfId="5002"/>
    <cellStyle name="Output 2 5 2 3 2" xfId="5003"/>
    <cellStyle name="Output 2 5 2 3 2 2" xfId="5004"/>
    <cellStyle name="Output 2 5 2 3 3" xfId="5005"/>
    <cellStyle name="Output 2 5 2 3 4" xfId="5006"/>
    <cellStyle name="Output 2 5 2 4" xfId="5007"/>
    <cellStyle name="Output 2 5 2 4 2" xfId="5008"/>
    <cellStyle name="Output 2 5 2 4 2 2" xfId="5009"/>
    <cellStyle name="Output 2 5 2 4 3" xfId="5010"/>
    <cellStyle name="Output 2 5 2 5" xfId="5011"/>
    <cellStyle name="Output 2 5 2 5 2" xfId="5012"/>
    <cellStyle name="Output 2 5 2 6" xfId="5013"/>
    <cellStyle name="Output 2 5 3" xfId="5014"/>
    <cellStyle name="Output 2 5 3 2" xfId="5015"/>
    <cellStyle name="Output 2 5 3 2 2" xfId="5016"/>
    <cellStyle name="Output 2 5 3 3" xfId="5017"/>
    <cellStyle name="Output 2 5 4" xfId="5018"/>
    <cellStyle name="Output 2 5 4 2" xfId="5019"/>
    <cellStyle name="Output 2 5 4 2 2" xfId="5020"/>
    <cellStyle name="Output 2 5 4 2 2 2" xfId="5021"/>
    <cellStyle name="Output 2 5 4 2 2 2 2" xfId="5022"/>
    <cellStyle name="Output 2 5 4 2 2 3" xfId="5023"/>
    <cellStyle name="Output 2 5 4 2 3" xfId="5024"/>
    <cellStyle name="Output 2 5 4 2 3 2" xfId="5025"/>
    <cellStyle name="Output 2 5 4 2 4" xfId="5026"/>
    <cellStyle name="Output 2 5 4 3" xfId="5027"/>
    <cellStyle name="Output 2 5 4 3 2" xfId="5028"/>
    <cellStyle name="Output 2 5 4 3 2 2" xfId="5029"/>
    <cellStyle name="Output 2 5 4 3 3" xfId="5030"/>
    <cellStyle name="Output 2 5 4 3 4" xfId="5031"/>
    <cellStyle name="Output 2 5 4 4" xfId="5032"/>
    <cellStyle name="Output 2 5 4 4 2" xfId="5033"/>
    <cellStyle name="Output 2 5 4 4 2 2" xfId="5034"/>
    <cellStyle name="Output 2 5 4 4 3" xfId="5035"/>
    <cellStyle name="Output 2 5 4 5" xfId="5036"/>
    <cellStyle name="Output 2 5 4 5 2" xfId="5037"/>
    <cellStyle name="Output 2 5 4 6" xfId="5038"/>
    <cellStyle name="Output 2 5 5" xfId="5039"/>
    <cellStyle name="Output 2 5 5 2" xfId="5040"/>
    <cellStyle name="Output 2 5 5 2 2" xfId="5041"/>
    <cellStyle name="Output 2 5 5 2 2 2" xfId="5042"/>
    <cellStyle name="Output 2 5 5 2 3" xfId="5043"/>
    <cellStyle name="Output 2 5 5 3" xfId="5044"/>
    <cellStyle name="Output 2 5 5 3 2" xfId="5045"/>
    <cellStyle name="Output 2 5 5 4" xfId="5046"/>
    <cellStyle name="Output 2 5 6" xfId="5047"/>
    <cellStyle name="Output 2 5 6 2" xfId="5048"/>
    <cellStyle name="Output 2 5 6 2 2" xfId="5049"/>
    <cellStyle name="Output 2 5 6 3" xfId="5050"/>
    <cellStyle name="Output 2 5 6 4" xfId="5051"/>
    <cellStyle name="Output 2 5 7" xfId="5052"/>
    <cellStyle name="Output 2 5 7 2" xfId="5053"/>
    <cellStyle name="Output 2 5 7 2 2" xfId="5054"/>
    <cellStyle name="Output 2 5 7 3" xfId="5055"/>
    <cellStyle name="Output 2 5 8" xfId="5056"/>
    <cellStyle name="Output 2 5 8 2" xfId="5057"/>
    <cellStyle name="Output 2 5 9" xfId="5058"/>
    <cellStyle name="Output 2 6" xfId="5059"/>
    <cellStyle name="Output 2 6 2" xfId="5060"/>
    <cellStyle name="Output 2 6 2 2" xfId="5061"/>
    <cellStyle name="Output 2 6 2 2 2" xfId="5062"/>
    <cellStyle name="Output 2 6 2 2 2 2" xfId="5063"/>
    <cellStyle name="Output 2 6 2 2 3" xfId="5064"/>
    <cellStyle name="Output 2 6 2 3" xfId="5065"/>
    <cellStyle name="Output 2 6 2 3 2" xfId="5066"/>
    <cellStyle name="Output 2 6 2 4" xfId="5067"/>
    <cellStyle name="Output 2 6 3" xfId="5068"/>
    <cellStyle name="Output 2 6 3 2" xfId="5069"/>
    <cellStyle name="Output 2 6 3 2 2" xfId="5070"/>
    <cellStyle name="Output 2 6 3 3" xfId="5071"/>
    <cellStyle name="Output 2 6 3 4" xfId="5072"/>
    <cellStyle name="Output 2 6 4" xfId="5073"/>
    <cellStyle name="Output 2 6 4 2" xfId="5074"/>
    <cellStyle name="Output 2 6 4 2 2" xfId="5075"/>
    <cellStyle name="Output 2 6 4 3" xfId="5076"/>
    <cellStyle name="Output 2 6 5" xfId="5077"/>
    <cellStyle name="Output 2 6 5 2" xfId="5078"/>
    <cellStyle name="Output 2 6 6" xfId="5079"/>
    <cellStyle name="Output 3" xfId="5080"/>
    <cellStyle name="Output 3 2" xfId="5081"/>
    <cellStyle name="Output 3 2 2" xfId="5082"/>
    <cellStyle name="Output 3 2 2 2" xfId="5083"/>
    <cellStyle name="Output 3 2 2 2 2" xfId="5084"/>
    <cellStyle name="Output 3 2 2 2 2 2" xfId="5085"/>
    <cellStyle name="Output 3 2 2 2 2 2 2" xfId="5086"/>
    <cellStyle name="Output 3 2 2 2 2 2 2 2" xfId="5087"/>
    <cellStyle name="Output 3 2 2 2 2 2 3" xfId="5088"/>
    <cellStyle name="Output 3 2 2 2 2 3" xfId="5089"/>
    <cellStyle name="Output 3 2 2 2 2 3 2" xfId="5090"/>
    <cellStyle name="Output 3 2 2 2 2 4" xfId="5091"/>
    <cellStyle name="Output 3 2 2 2 3" xfId="5092"/>
    <cellStyle name="Output 3 2 2 2 3 2" xfId="5093"/>
    <cellStyle name="Output 3 2 2 2 3 2 2" xfId="5094"/>
    <cellStyle name="Output 3 2 2 2 3 3" xfId="5095"/>
    <cellStyle name="Output 3 2 2 2 3 4" xfId="5096"/>
    <cellStyle name="Output 3 2 2 2 4" xfId="5097"/>
    <cellStyle name="Output 3 2 2 2 4 2" xfId="5098"/>
    <cellStyle name="Output 3 2 2 2 4 2 2" xfId="5099"/>
    <cellStyle name="Output 3 2 2 2 4 3" xfId="5100"/>
    <cellStyle name="Output 3 2 2 2 5" xfId="5101"/>
    <cellStyle name="Output 3 2 2 2 5 2" xfId="5102"/>
    <cellStyle name="Output 3 2 2 2 6" xfId="5103"/>
    <cellStyle name="Output 3 2 2 3" xfId="5104"/>
    <cellStyle name="Output 3 2 2 3 2" xfId="5105"/>
    <cellStyle name="Output 3 2 2 3 2 2" xfId="5106"/>
    <cellStyle name="Output 3 2 2 3 2 2 2" xfId="5107"/>
    <cellStyle name="Output 3 2 2 3 2 2 2 2" xfId="5108"/>
    <cellStyle name="Output 3 2 2 3 2 2 3" xfId="5109"/>
    <cellStyle name="Output 3 2 2 3 2 3" xfId="5110"/>
    <cellStyle name="Output 3 2 2 3 2 3 2" xfId="5111"/>
    <cellStyle name="Output 3 2 2 3 2 4" xfId="5112"/>
    <cellStyle name="Output 3 2 2 3 3" xfId="5113"/>
    <cellStyle name="Output 3 2 2 3 3 2" xfId="5114"/>
    <cellStyle name="Output 3 2 2 3 3 2 2" xfId="5115"/>
    <cellStyle name="Output 3 2 2 3 3 3" xfId="5116"/>
    <cellStyle name="Output 3 2 2 3 3 4" xfId="5117"/>
    <cellStyle name="Output 3 2 2 3 4" xfId="5118"/>
    <cellStyle name="Output 3 2 2 3 4 2" xfId="5119"/>
    <cellStyle name="Output 3 2 2 3 4 2 2" xfId="5120"/>
    <cellStyle name="Output 3 2 2 3 4 3" xfId="5121"/>
    <cellStyle name="Output 3 2 2 3 5" xfId="5122"/>
    <cellStyle name="Output 3 2 2 3 5 2" xfId="5123"/>
    <cellStyle name="Output 3 2 2 3 6" xfId="5124"/>
    <cellStyle name="Output 3 2 2 4" xfId="5125"/>
    <cellStyle name="Output 3 2 2 4 2" xfId="5126"/>
    <cellStyle name="Output 3 2 3" xfId="5127"/>
    <cellStyle name="Output 3 2 3 2" xfId="5128"/>
    <cellStyle name="Output 3 2 3 2 2" xfId="5129"/>
    <cellStyle name="Output 3 2 3 2 2 2" xfId="5130"/>
    <cellStyle name="Output 3 2 3 2 2 2 2" xfId="5131"/>
    <cellStyle name="Output 3 2 3 2 2 3" xfId="5132"/>
    <cellStyle name="Output 3 2 3 2 3" xfId="5133"/>
    <cellStyle name="Output 3 2 3 2 3 2" xfId="5134"/>
    <cellStyle name="Output 3 2 3 2 4" xfId="5135"/>
    <cellStyle name="Output 3 2 3 3" xfId="5136"/>
    <cellStyle name="Output 3 2 3 3 2" xfId="5137"/>
    <cellStyle name="Output 3 2 3 3 2 2" xfId="5138"/>
    <cellStyle name="Output 3 2 3 3 3" xfId="5139"/>
    <cellStyle name="Output 3 2 3 3 4" xfId="5140"/>
    <cellStyle name="Output 3 2 3 4" xfId="5141"/>
    <cellStyle name="Output 3 2 3 4 2" xfId="5142"/>
    <cellStyle name="Output 3 2 3 4 2 2" xfId="5143"/>
    <cellStyle name="Output 3 2 3 4 3" xfId="5144"/>
    <cellStyle name="Output 3 2 3 5" xfId="5145"/>
    <cellStyle name="Output 3 2 3 5 2" xfId="5146"/>
    <cellStyle name="Output 3 2 3 6" xfId="5147"/>
    <cellStyle name="Output 3 2 4" xfId="5148"/>
    <cellStyle name="Output 3 2 4 2" xfId="5149"/>
    <cellStyle name="Output 3 2 4 2 2" xfId="5150"/>
    <cellStyle name="Output 3 2 4 2 2 2" xfId="5151"/>
    <cellStyle name="Output 3 2 4 2 2 2 2" xfId="5152"/>
    <cellStyle name="Output 3 2 4 2 2 3" xfId="5153"/>
    <cellStyle name="Output 3 2 4 2 3" xfId="5154"/>
    <cellStyle name="Output 3 2 4 2 3 2" xfId="5155"/>
    <cellStyle name="Output 3 2 4 2 4" xfId="5156"/>
    <cellStyle name="Output 3 2 4 3" xfId="5157"/>
    <cellStyle name="Output 3 2 4 3 2" xfId="5158"/>
    <cellStyle name="Output 3 2 4 3 2 2" xfId="5159"/>
    <cellStyle name="Output 3 2 4 3 3" xfId="5160"/>
    <cellStyle name="Output 3 2 4 3 4" xfId="5161"/>
    <cellStyle name="Output 3 2 4 4" xfId="5162"/>
    <cellStyle name="Output 3 2 4 4 2" xfId="5163"/>
    <cellStyle name="Output 3 2 4 4 2 2" xfId="5164"/>
    <cellStyle name="Output 3 2 4 4 3" xfId="5165"/>
    <cellStyle name="Output 3 2 4 5" xfId="5166"/>
    <cellStyle name="Output 3 2 4 5 2" xfId="5167"/>
    <cellStyle name="Output 3 2 4 6" xfId="5168"/>
    <cellStyle name="Output 3 2 5" xfId="5169"/>
    <cellStyle name="Output 3 2 5 2" xfId="5170"/>
    <cellStyle name="Output 3 3" xfId="5171"/>
    <cellStyle name="Output 3 3 2" xfId="5172"/>
    <cellStyle name="Output 3 3 2 2" xfId="5173"/>
    <cellStyle name="Output 3 3 2 2 2" xfId="5174"/>
    <cellStyle name="Output 3 3 2 2 2 2" xfId="5175"/>
    <cellStyle name="Output 3 3 2 2 2 2 2" xfId="5176"/>
    <cellStyle name="Output 3 3 2 2 2 3" xfId="5177"/>
    <cellStyle name="Output 3 3 2 2 3" xfId="5178"/>
    <cellStyle name="Output 3 3 2 2 3 2" xfId="5179"/>
    <cellStyle name="Output 3 3 2 2 4" xfId="5180"/>
    <cellStyle name="Output 3 3 2 3" xfId="5181"/>
    <cellStyle name="Output 3 3 2 3 2" xfId="5182"/>
    <cellStyle name="Output 3 3 2 3 2 2" xfId="5183"/>
    <cellStyle name="Output 3 3 2 3 3" xfId="5184"/>
    <cellStyle name="Output 3 3 2 3 4" xfId="5185"/>
    <cellStyle name="Output 3 3 2 4" xfId="5186"/>
    <cellStyle name="Output 3 3 2 4 2" xfId="5187"/>
    <cellStyle name="Output 3 3 2 4 2 2" xfId="5188"/>
    <cellStyle name="Output 3 3 2 4 3" xfId="5189"/>
    <cellStyle name="Output 3 3 2 5" xfId="5190"/>
    <cellStyle name="Output 3 3 2 5 2" xfId="5191"/>
    <cellStyle name="Output 3 3 2 6" xfId="5192"/>
    <cellStyle name="Output 3 3 3" xfId="5193"/>
    <cellStyle name="Output 3 3 3 2" xfId="5194"/>
    <cellStyle name="Output 3 3 3 2 2" xfId="5195"/>
    <cellStyle name="Output 3 3 3 2 2 2" xfId="5196"/>
    <cellStyle name="Output 3 3 3 2 2 2 2" xfId="5197"/>
    <cellStyle name="Output 3 3 3 2 2 3" xfId="5198"/>
    <cellStyle name="Output 3 3 3 2 3" xfId="5199"/>
    <cellStyle name="Output 3 3 3 2 3 2" xfId="5200"/>
    <cellStyle name="Output 3 3 3 2 4" xfId="5201"/>
    <cellStyle name="Output 3 3 3 3" xfId="5202"/>
    <cellStyle name="Output 3 3 3 3 2" xfId="5203"/>
    <cellStyle name="Output 3 3 3 3 2 2" xfId="5204"/>
    <cellStyle name="Output 3 3 3 3 3" xfId="5205"/>
    <cellStyle name="Output 3 3 3 3 4" xfId="5206"/>
    <cellStyle name="Output 3 3 3 4" xfId="5207"/>
    <cellStyle name="Output 3 3 3 4 2" xfId="5208"/>
    <cellStyle name="Output 3 3 3 4 2 2" xfId="5209"/>
    <cellStyle name="Output 3 3 3 4 3" xfId="5210"/>
    <cellStyle name="Output 3 3 3 5" xfId="5211"/>
    <cellStyle name="Output 3 3 3 5 2" xfId="5212"/>
    <cellStyle name="Output 3 3 3 6" xfId="5213"/>
    <cellStyle name="Output 3 3 4" xfId="5214"/>
    <cellStyle name="Output 3 3 4 2" xfId="5215"/>
    <cellStyle name="Output 3 4" xfId="5216"/>
    <cellStyle name="Output 3 4 2" xfId="5217"/>
    <cellStyle name="Output 3 4 2 2" xfId="5218"/>
    <cellStyle name="Output 3 4 2 2 2" xfId="5219"/>
    <cellStyle name="Output 3 4 2 2 2 2" xfId="5220"/>
    <cellStyle name="Output 3 4 2 2 2 2 2" xfId="5221"/>
    <cellStyle name="Output 3 4 2 2 2 3" xfId="5222"/>
    <cellStyle name="Output 3 4 2 2 3" xfId="5223"/>
    <cellStyle name="Output 3 4 2 2 3 2" xfId="5224"/>
    <cellStyle name="Output 3 4 2 2 4" xfId="5225"/>
    <cellStyle name="Output 3 4 2 3" xfId="5226"/>
    <cellStyle name="Output 3 4 2 3 2" xfId="5227"/>
    <cellStyle name="Output 3 4 2 3 2 2" xfId="5228"/>
    <cellStyle name="Output 3 4 2 3 3" xfId="5229"/>
    <cellStyle name="Output 3 4 2 3 4" xfId="5230"/>
    <cellStyle name="Output 3 4 2 4" xfId="5231"/>
    <cellStyle name="Output 3 4 2 4 2" xfId="5232"/>
    <cellStyle name="Output 3 4 2 4 2 2" xfId="5233"/>
    <cellStyle name="Output 3 4 2 4 3" xfId="5234"/>
    <cellStyle name="Output 3 4 2 5" xfId="5235"/>
    <cellStyle name="Output 3 4 2 5 2" xfId="5236"/>
    <cellStyle name="Output 3 4 2 6" xfId="5237"/>
    <cellStyle name="Output 3 4 3" xfId="5238"/>
    <cellStyle name="Output 3 4 3 2" xfId="5239"/>
    <cellStyle name="Output 3 4 3 2 2" xfId="5240"/>
    <cellStyle name="Output 3 4 3 3" xfId="5241"/>
    <cellStyle name="Output 3 4 4" xfId="5242"/>
    <cellStyle name="Output 3 4 4 2" xfId="5243"/>
    <cellStyle name="Output 3 4 4 2 2" xfId="5244"/>
    <cellStyle name="Output 3 4 4 2 2 2" xfId="5245"/>
    <cellStyle name="Output 3 4 4 2 2 2 2" xfId="5246"/>
    <cellStyle name="Output 3 4 4 2 2 3" xfId="5247"/>
    <cellStyle name="Output 3 4 4 2 3" xfId="5248"/>
    <cellStyle name="Output 3 4 4 2 3 2" xfId="5249"/>
    <cellStyle name="Output 3 4 4 2 4" xfId="5250"/>
    <cellStyle name="Output 3 4 4 3" xfId="5251"/>
    <cellStyle name="Output 3 4 4 3 2" xfId="5252"/>
    <cellStyle name="Output 3 4 4 3 2 2" xfId="5253"/>
    <cellStyle name="Output 3 4 4 3 3" xfId="5254"/>
    <cellStyle name="Output 3 4 4 3 4" xfId="5255"/>
    <cellStyle name="Output 3 4 4 4" xfId="5256"/>
    <cellStyle name="Output 3 4 4 4 2" xfId="5257"/>
    <cellStyle name="Output 3 4 4 4 2 2" xfId="5258"/>
    <cellStyle name="Output 3 4 4 4 3" xfId="5259"/>
    <cellStyle name="Output 3 4 4 5" xfId="5260"/>
    <cellStyle name="Output 3 4 4 5 2" xfId="5261"/>
    <cellStyle name="Output 3 4 4 6" xfId="5262"/>
    <cellStyle name="Output 3 4 5" xfId="5263"/>
    <cellStyle name="Output 3 4 5 2" xfId="5264"/>
    <cellStyle name="Output 3 4 5 2 2" xfId="5265"/>
    <cellStyle name="Output 3 4 5 2 2 2" xfId="5266"/>
    <cellStyle name="Output 3 4 5 2 3" xfId="5267"/>
    <cellStyle name="Output 3 4 5 3" xfId="5268"/>
    <cellStyle name="Output 3 4 5 3 2" xfId="5269"/>
    <cellStyle name="Output 3 4 5 4" xfId="5270"/>
    <cellStyle name="Output 3 4 6" xfId="5271"/>
    <cellStyle name="Output 3 4 6 2" xfId="5272"/>
    <cellStyle name="Output 3 4 6 2 2" xfId="5273"/>
    <cellStyle name="Output 3 4 6 3" xfId="5274"/>
    <cellStyle name="Output 3 4 6 4" xfId="5275"/>
    <cellStyle name="Output 3 4 7" xfId="5276"/>
    <cellStyle name="Output 3 4 7 2" xfId="5277"/>
    <cellStyle name="Output 3 4 7 2 2" xfId="5278"/>
    <cellStyle name="Output 3 4 7 3" xfId="5279"/>
    <cellStyle name="Output 3 4 8" xfId="5280"/>
    <cellStyle name="Output 3 4 8 2" xfId="5281"/>
    <cellStyle name="Output 3 4 9" xfId="5282"/>
    <cellStyle name="Output 3 5" xfId="5283"/>
    <cellStyle name="Output 3 5 2" xfId="5284"/>
    <cellStyle name="Output 3 5 2 2" xfId="5285"/>
    <cellStyle name="Output 3 5 2 2 2" xfId="5286"/>
    <cellStyle name="Output 3 5 2 2 2 2" xfId="5287"/>
    <cellStyle name="Output 3 5 2 2 3" xfId="5288"/>
    <cellStyle name="Output 3 5 2 3" xfId="5289"/>
    <cellStyle name="Output 3 5 2 3 2" xfId="5290"/>
    <cellStyle name="Output 3 5 2 4" xfId="5291"/>
    <cellStyle name="Output 3 5 3" xfId="5292"/>
    <cellStyle name="Output 3 5 3 2" xfId="5293"/>
    <cellStyle name="Output 3 5 3 2 2" xfId="5294"/>
    <cellStyle name="Output 3 5 3 3" xfId="5295"/>
    <cellStyle name="Output 3 5 3 4" xfId="5296"/>
    <cellStyle name="Output 3 5 4" xfId="5297"/>
    <cellStyle name="Output 3 5 4 2" xfId="5298"/>
    <cellStyle name="Output 3 5 4 2 2" xfId="5299"/>
    <cellStyle name="Output 3 5 4 3" xfId="5300"/>
    <cellStyle name="Output 3 5 5" xfId="5301"/>
    <cellStyle name="Output 3 5 5 2" xfId="5302"/>
    <cellStyle name="Output 3 5 6" xfId="5303"/>
    <cellStyle name="Output 4" xfId="5304"/>
    <cellStyle name="Output 4 2" xfId="5305"/>
    <cellStyle name="Output 4 2 2" xfId="5306"/>
    <cellStyle name="Output 4 2 2 2" xfId="5307"/>
    <cellStyle name="Output 4 2 2 2 2" xfId="5308"/>
    <cellStyle name="Output 4 2 2 2 2 2" xfId="5309"/>
    <cellStyle name="Output 4 2 2 2 2 2 2" xfId="5310"/>
    <cellStyle name="Output 4 2 2 2 2 3" xfId="5311"/>
    <cellStyle name="Output 4 2 2 2 3" xfId="5312"/>
    <cellStyle name="Output 4 2 2 2 3 2" xfId="5313"/>
    <cellStyle name="Output 4 2 2 2 4" xfId="5314"/>
    <cellStyle name="Output 4 2 2 3" xfId="5315"/>
    <cellStyle name="Output 4 2 2 3 2" xfId="5316"/>
    <cellStyle name="Output 4 2 2 3 2 2" xfId="5317"/>
    <cellStyle name="Output 4 2 2 3 3" xfId="5318"/>
    <cellStyle name="Output 4 2 2 3 4" xfId="5319"/>
    <cellStyle name="Output 4 2 2 4" xfId="5320"/>
    <cellStyle name="Output 4 2 2 4 2" xfId="5321"/>
    <cellStyle name="Output 4 2 2 4 2 2" xfId="5322"/>
    <cellStyle name="Output 4 2 2 4 3" xfId="5323"/>
    <cellStyle name="Output 4 2 2 5" xfId="5324"/>
    <cellStyle name="Output 4 2 2 5 2" xfId="5325"/>
    <cellStyle name="Output 4 2 2 6" xfId="5326"/>
    <cellStyle name="Output 4 2 3" xfId="5327"/>
    <cellStyle name="Output 4 2 3 2" xfId="5328"/>
    <cellStyle name="Output 4 2 3 2 2" xfId="5329"/>
    <cellStyle name="Output 4 2 3 2 2 2" xfId="5330"/>
    <cellStyle name="Output 4 2 3 2 2 2 2" xfId="5331"/>
    <cellStyle name="Output 4 2 3 2 2 3" xfId="5332"/>
    <cellStyle name="Output 4 2 3 2 3" xfId="5333"/>
    <cellStyle name="Output 4 2 3 2 3 2" xfId="5334"/>
    <cellStyle name="Output 4 2 3 2 4" xfId="5335"/>
    <cellStyle name="Output 4 2 3 3" xfId="5336"/>
    <cellStyle name="Output 4 2 3 3 2" xfId="5337"/>
    <cellStyle name="Output 4 2 3 3 2 2" xfId="5338"/>
    <cellStyle name="Output 4 2 3 3 3" xfId="5339"/>
    <cellStyle name="Output 4 2 3 3 4" xfId="5340"/>
    <cellStyle name="Output 4 2 3 4" xfId="5341"/>
    <cellStyle name="Output 4 2 3 4 2" xfId="5342"/>
    <cellStyle name="Output 4 2 3 4 2 2" xfId="5343"/>
    <cellStyle name="Output 4 2 3 4 3" xfId="5344"/>
    <cellStyle name="Output 4 2 3 5" xfId="5345"/>
    <cellStyle name="Output 4 2 3 5 2" xfId="5346"/>
    <cellStyle name="Output 4 2 3 6" xfId="5347"/>
    <cellStyle name="Output 4 2 4" xfId="5348"/>
    <cellStyle name="Output 4 2 4 2" xfId="5349"/>
    <cellStyle name="Output 4 3" xfId="5350"/>
    <cellStyle name="Output 4 3 2" xfId="5351"/>
    <cellStyle name="Output 4 3 2 2" xfId="5352"/>
    <cellStyle name="Output 4 3 2 2 2" xfId="5353"/>
    <cellStyle name="Output 4 3 2 2 2 2" xfId="5354"/>
    <cellStyle name="Output 4 3 2 2 2 2 2" xfId="5355"/>
    <cellStyle name="Output 4 3 2 2 2 3" xfId="5356"/>
    <cellStyle name="Output 4 3 2 2 3" xfId="5357"/>
    <cellStyle name="Output 4 3 2 2 3 2" xfId="5358"/>
    <cellStyle name="Output 4 3 2 2 4" xfId="5359"/>
    <cellStyle name="Output 4 3 2 3" xfId="5360"/>
    <cellStyle name="Output 4 3 2 3 2" xfId="5361"/>
    <cellStyle name="Output 4 3 2 3 2 2" xfId="5362"/>
    <cellStyle name="Output 4 3 2 3 3" xfId="5363"/>
    <cellStyle name="Output 4 3 2 3 4" xfId="5364"/>
    <cellStyle name="Output 4 3 2 4" xfId="5365"/>
    <cellStyle name="Output 4 3 2 4 2" xfId="5366"/>
    <cellStyle name="Output 4 3 2 4 2 2" xfId="5367"/>
    <cellStyle name="Output 4 3 2 4 3" xfId="5368"/>
    <cellStyle name="Output 4 3 2 5" xfId="5369"/>
    <cellStyle name="Output 4 3 2 5 2" xfId="5370"/>
    <cellStyle name="Output 4 3 2 6" xfId="5371"/>
    <cellStyle name="Output 4 3 3" xfId="5372"/>
    <cellStyle name="Output 4 3 3 2" xfId="5373"/>
    <cellStyle name="Output 4 3 3 2 2" xfId="5374"/>
    <cellStyle name="Output 4 3 3 3" xfId="5375"/>
    <cellStyle name="Output 4 3 4" xfId="5376"/>
    <cellStyle name="Output 4 3 4 2" xfId="5377"/>
    <cellStyle name="Output 4 3 4 2 2" xfId="5378"/>
    <cellStyle name="Output 4 3 4 2 2 2" xfId="5379"/>
    <cellStyle name="Output 4 3 4 2 2 2 2" xfId="5380"/>
    <cellStyle name="Output 4 3 4 2 2 3" xfId="5381"/>
    <cellStyle name="Output 4 3 4 2 3" xfId="5382"/>
    <cellStyle name="Output 4 3 4 2 3 2" xfId="5383"/>
    <cellStyle name="Output 4 3 4 2 4" xfId="5384"/>
    <cellStyle name="Output 4 3 4 3" xfId="5385"/>
    <cellStyle name="Output 4 3 4 3 2" xfId="5386"/>
    <cellStyle name="Output 4 3 4 3 2 2" xfId="5387"/>
    <cellStyle name="Output 4 3 4 3 3" xfId="5388"/>
    <cellStyle name="Output 4 3 4 3 4" xfId="5389"/>
    <cellStyle name="Output 4 3 4 4" xfId="5390"/>
    <cellStyle name="Output 4 3 4 4 2" xfId="5391"/>
    <cellStyle name="Output 4 3 4 4 2 2" xfId="5392"/>
    <cellStyle name="Output 4 3 4 4 3" xfId="5393"/>
    <cellStyle name="Output 4 3 4 5" xfId="5394"/>
    <cellStyle name="Output 4 3 4 5 2" xfId="5395"/>
    <cellStyle name="Output 4 3 4 6" xfId="5396"/>
    <cellStyle name="Output 4 3 5" xfId="5397"/>
    <cellStyle name="Output 4 3 5 2" xfId="5398"/>
    <cellStyle name="Output 4 3 5 2 2" xfId="5399"/>
    <cellStyle name="Output 4 3 5 2 2 2" xfId="5400"/>
    <cellStyle name="Output 4 3 5 2 3" xfId="5401"/>
    <cellStyle name="Output 4 3 5 3" xfId="5402"/>
    <cellStyle name="Output 4 3 5 3 2" xfId="5403"/>
    <cellStyle name="Output 4 3 5 4" xfId="5404"/>
    <cellStyle name="Output 4 3 6" xfId="5405"/>
    <cellStyle name="Output 4 3 6 2" xfId="5406"/>
    <cellStyle name="Output 4 3 6 2 2" xfId="5407"/>
    <cellStyle name="Output 4 3 6 3" xfId="5408"/>
    <cellStyle name="Output 4 3 6 4" xfId="5409"/>
    <cellStyle name="Output 4 3 7" xfId="5410"/>
    <cellStyle name="Output 4 3 7 2" xfId="5411"/>
    <cellStyle name="Output 4 3 7 2 2" xfId="5412"/>
    <cellStyle name="Output 4 3 7 3" xfId="5413"/>
    <cellStyle name="Output 4 3 8" xfId="5414"/>
    <cellStyle name="Output 4 3 8 2" xfId="5415"/>
    <cellStyle name="Output 4 3 9" xfId="5416"/>
    <cellStyle name="Output 4 4" xfId="5417"/>
    <cellStyle name="Output 4 4 2" xfId="5418"/>
    <cellStyle name="Output 4 4 2 2" xfId="5419"/>
    <cellStyle name="Output 4 4 2 2 2" xfId="5420"/>
    <cellStyle name="Output 4 4 2 2 2 2" xfId="5421"/>
    <cellStyle name="Output 4 4 2 2 3" xfId="5422"/>
    <cellStyle name="Output 4 4 2 3" xfId="5423"/>
    <cellStyle name="Output 4 4 2 3 2" xfId="5424"/>
    <cellStyle name="Output 4 4 2 4" xfId="5425"/>
    <cellStyle name="Output 4 4 3" xfId="5426"/>
    <cellStyle name="Output 4 4 3 2" xfId="5427"/>
    <cellStyle name="Output 4 4 3 2 2" xfId="5428"/>
    <cellStyle name="Output 4 4 3 3" xfId="5429"/>
    <cellStyle name="Output 4 4 3 4" xfId="5430"/>
    <cellStyle name="Output 4 4 4" xfId="5431"/>
    <cellStyle name="Output 4 4 4 2" xfId="5432"/>
    <cellStyle name="Output 4 4 4 2 2" xfId="5433"/>
    <cellStyle name="Output 4 4 4 3" xfId="5434"/>
    <cellStyle name="Output 4 4 5" xfId="5435"/>
    <cellStyle name="Output 4 4 5 2" xfId="5436"/>
    <cellStyle name="Output 4 4 6" xfId="5437"/>
    <cellStyle name="Output 5" xfId="5438"/>
    <cellStyle name="Output 5 2" xfId="5439"/>
    <cellStyle name="Output 5 2 2" xfId="5440"/>
    <cellStyle name="Output 5 2 2 2" xfId="5441"/>
    <cellStyle name="Output 5 2 2 2 2" xfId="5442"/>
    <cellStyle name="Output 5 2 2 2 2 2" xfId="5443"/>
    <cellStyle name="Output 5 2 2 2 2 2 2" xfId="5444"/>
    <cellStyle name="Output 5 2 2 2 2 3" xfId="5445"/>
    <cellStyle name="Output 5 2 2 2 3" xfId="5446"/>
    <cellStyle name="Output 5 2 2 2 3 2" xfId="5447"/>
    <cellStyle name="Output 5 2 2 2 4" xfId="5448"/>
    <cellStyle name="Output 5 2 2 3" xfId="5449"/>
    <cellStyle name="Output 5 2 2 3 2" xfId="5450"/>
    <cellStyle name="Output 5 2 2 3 2 2" xfId="5451"/>
    <cellStyle name="Output 5 2 2 3 3" xfId="5452"/>
    <cellStyle name="Output 5 2 2 3 4" xfId="5453"/>
    <cellStyle name="Output 5 2 2 4" xfId="5454"/>
    <cellStyle name="Output 5 2 2 4 2" xfId="5455"/>
    <cellStyle name="Output 5 2 2 4 2 2" xfId="5456"/>
    <cellStyle name="Output 5 2 2 4 3" xfId="5457"/>
    <cellStyle name="Output 5 2 2 5" xfId="5458"/>
    <cellStyle name="Output 5 2 2 5 2" xfId="5459"/>
    <cellStyle name="Output 5 2 2 6" xfId="5460"/>
    <cellStyle name="Output 5 2 3" xfId="5461"/>
    <cellStyle name="Output 5 2 3 2" xfId="5462"/>
    <cellStyle name="Output 5 2 3 2 2" xfId="5463"/>
    <cellStyle name="Output 5 2 3 2 2 2" xfId="5464"/>
    <cellStyle name="Output 5 2 3 2 2 2 2" xfId="5465"/>
    <cellStyle name="Output 5 2 3 2 2 3" xfId="5466"/>
    <cellStyle name="Output 5 2 3 2 3" xfId="5467"/>
    <cellStyle name="Output 5 2 3 2 3 2" xfId="5468"/>
    <cellStyle name="Output 5 2 3 2 4" xfId="5469"/>
    <cellStyle name="Output 5 2 3 3" xfId="5470"/>
    <cellStyle name="Output 5 2 3 3 2" xfId="5471"/>
    <cellStyle name="Output 5 2 3 3 2 2" xfId="5472"/>
    <cellStyle name="Output 5 2 3 3 3" xfId="5473"/>
    <cellStyle name="Output 5 2 3 3 4" xfId="5474"/>
    <cellStyle name="Output 5 2 3 4" xfId="5475"/>
    <cellStyle name="Output 5 2 3 4 2" xfId="5476"/>
    <cellStyle name="Output 5 2 3 4 2 2" xfId="5477"/>
    <cellStyle name="Output 5 2 3 4 3" xfId="5478"/>
    <cellStyle name="Output 5 2 3 5" xfId="5479"/>
    <cellStyle name="Output 5 2 3 5 2" xfId="5480"/>
    <cellStyle name="Output 5 2 3 6" xfId="5481"/>
    <cellStyle name="Output 5 2 4" xfId="5482"/>
    <cellStyle name="Output 5 2 4 2" xfId="5483"/>
    <cellStyle name="Output 5 3" xfId="5484"/>
    <cellStyle name="Output 5 3 2" xfId="5485"/>
    <cellStyle name="Output 5 3 2 2" xfId="5486"/>
    <cellStyle name="Output 5 3 2 2 2" xfId="5487"/>
    <cellStyle name="Output 5 3 2 2 2 2" xfId="5488"/>
    <cellStyle name="Output 5 3 2 2 2 2 2" xfId="5489"/>
    <cellStyle name="Output 5 3 2 2 2 3" xfId="5490"/>
    <cellStyle name="Output 5 3 2 2 3" xfId="5491"/>
    <cellStyle name="Output 5 3 2 2 3 2" xfId="5492"/>
    <cellStyle name="Output 5 3 2 2 4" xfId="5493"/>
    <cellStyle name="Output 5 3 2 3" xfId="5494"/>
    <cellStyle name="Output 5 3 2 3 2" xfId="5495"/>
    <cellStyle name="Output 5 3 2 3 2 2" xfId="5496"/>
    <cellStyle name="Output 5 3 2 3 3" xfId="5497"/>
    <cellStyle name="Output 5 3 2 3 4" xfId="5498"/>
    <cellStyle name="Output 5 3 2 4" xfId="5499"/>
    <cellStyle name="Output 5 3 2 4 2" xfId="5500"/>
    <cellStyle name="Output 5 3 2 4 2 2" xfId="5501"/>
    <cellStyle name="Output 5 3 2 4 3" xfId="5502"/>
    <cellStyle name="Output 5 3 2 5" xfId="5503"/>
    <cellStyle name="Output 5 3 2 5 2" xfId="5504"/>
    <cellStyle name="Output 5 3 2 6" xfId="5505"/>
    <cellStyle name="Output 5 3 3" xfId="5506"/>
    <cellStyle name="Output 5 3 3 2" xfId="5507"/>
    <cellStyle name="Output 5 3 3 2 2" xfId="5508"/>
    <cellStyle name="Output 5 3 3 3" xfId="5509"/>
    <cellStyle name="Output 5 3 4" xfId="5510"/>
    <cellStyle name="Output 5 3 4 2" xfId="5511"/>
    <cellStyle name="Output 5 3 4 2 2" xfId="5512"/>
    <cellStyle name="Output 5 3 4 2 2 2" xfId="5513"/>
    <cellStyle name="Output 5 3 4 2 2 2 2" xfId="5514"/>
    <cellStyle name="Output 5 3 4 2 2 3" xfId="5515"/>
    <cellStyle name="Output 5 3 4 2 3" xfId="5516"/>
    <cellStyle name="Output 5 3 4 2 3 2" xfId="5517"/>
    <cellStyle name="Output 5 3 4 2 4" xfId="5518"/>
    <cellStyle name="Output 5 3 4 3" xfId="5519"/>
    <cellStyle name="Output 5 3 4 3 2" xfId="5520"/>
    <cellStyle name="Output 5 3 4 3 2 2" xfId="5521"/>
    <cellStyle name="Output 5 3 4 3 3" xfId="5522"/>
    <cellStyle name="Output 5 3 4 3 4" xfId="5523"/>
    <cellStyle name="Output 5 3 4 4" xfId="5524"/>
    <cellStyle name="Output 5 3 4 4 2" xfId="5525"/>
    <cellStyle name="Output 5 3 4 4 2 2" xfId="5526"/>
    <cellStyle name="Output 5 3 4 4 3" xfId="5527"/>
    <cellStyle name="Output 5 3 4 5" xfId="5528"/>
    <cellStyle name="Output 5 3 4 5 2" xfId="5529"/>
    <cellStyle name="Output 5 3 4 6" xfId="5530"/>
    <cellStyle name="Output 5 3 5" xfId="5531"/>
    <cellStyle name="Output 5 3 5 2" xfId="5532"/>
    <cellStyle name="Output 5 3 5 2 2" xfId="5533"/>
    <cellStyle name="Output 5 3 5 2 2 2" xfId="5534"/>
    <cellStyle name="Output 5 3 5 2 3" xfId="5535"/>
    <cellStyle name="Output 5 3 5 3" xfId="5536"/>
    <cellStyle name="Output 5 3 5 3 2" xfId="5537"/>
    <cellStyle name="Output 5 3 5 4" xfId="5538"/>
    <cellStyle name="Output 5 3 6" xfId="5539"/>
    <cellStyle name="Output 5 3 6 2" xfId="5540"/>
    <cellStyle name="Output 5 3 6 2 2" xfId="5541"/>
    <cellStyle name="Output 5 3 6 3" xfId="5542"/>
    <cellStyle name="Output 5 3 6 4" xfId="5543"/>
    <cellStyle name="Output 5 3 7" xfId="5544"/>
    <cellStyle name="Output 5 3 7 2" xfId="5545"/>
    <cellStyle name="Output 5 3 7 2 2" xfId="5546"/>
    <cellStyle name="Output 5 3 7 3" xfId="5547"/>
    <cellStyle name="Output 5 3 8" xfId="5548"/>
    <cellStyle name="Output 5 3 8 2" xfId="5549"/>
    <cellStyle name="Output 5 3 9" xfId="5550"/>
    <cellStyle name="Output 5 4" xfId="5551"/>
    <cellStyle name="Output 5 4 2" xfId="5552"/>
    <cellStyle name="Output 5 4 2 2" xfId="5553"/>
    <cellStyle name="Output 5 4 2 2 2" xfId="5554"/>
    <cellStyle name="Output 5 4 2 2 2 2" xfId="5555"/>
    <cellStyle name="Output 5 4 2 2 3" xfId="5556"/>
    <cellStyle name="Output 5 4 2 3" xfId="5557"/>
    <cellStyle name="Output 5 4 2 3 2" xfId="5558"/>
    <cellStyle name="Output 5 4 2 4" xfId="5559"/>
    <cellStyle name="Output 5 4 3" xfId="5560"/>
    <cellStyle name="Output 5 4 3 2" xfId="5561"/>
    <cellStyle name="Output 5 4 3 2 2" xfId="5562"/>
    <cellStyle name="Output 5 4 3 3" xfId="5563"/>
    <cellStyle name="Output 5 4 3 4" xfId="5564"/>
    <cellStyle name="Output 5 4 4" xfId="5565"/>
    <cellStyle name="Output 5 4 4 2" xfId="5566"/>
    <cellStyle name="Output 5 4 4 2 2" xfId="5567"/>
    <cellStyle name="Output 5 4 4 3" xfId="5568"/>
    <cellStyle name="Output 5 4 5" xfId="5569"/>
    <cellStyle name="Output 5 4 5 2" xfId="5570"/>
    <cellStyle name="Output 5 4 6" xfId="5571"/>
    <cellStyle name="Output 5 5" xfId="5572"/>
    <cellStyle name="Output 5 5 2" xfId="5573"/>
    <cellStyle name="Output 6" xfId="5574"/>
    <cellStyle name="Output 6 2" xfId="5575"/>
    <cellStyle name="Output 6 2 2" xfId="5576"/>
    <cellStyle name="Output 6 2 2 2" xfId="5577"/>
    <cellStyle name="Output 6 2 2 2 2" xfId="5578"/>
    <cellStyle name="Output 6 2 2 2 2 2" xfId="5579"/>
    <cellStyle name="Output 6 2 2 2 2 2 2" xfId="5580"/>
    <cellStyle name="Output 6 2 2 2 2 3" xfId="5581"/>
    <cellStyle name="Output 6 2 2 2 3" xfId="5582"/>
    <cellStyle name="Output 6 2 2 2 3 2" xfId="5583"/>
    <cellStyle name="Output 6 2 2 2 4" xfId="5584"/>
    <cellStyle name="Output 6 2 2 3" xfId="5585"/>
    <cellStyle name="Output 6 2 2 3 2" xfId="5586"/>
    <cellStyle name="Output 6 2 2 3 2 2" xfId="5587"/>
    <cellStyle name="Output 6 2 2 3 3" xfId="5588"/>
    <cellStyle name="Output 6 2 2 3 4" xfId="5589"/>
    <cellStyle name="Output 6 2 2 4" xfId="5590"/>
    <cellStyle name="Output 6 2 2 4 2" xfId="5591"/>
    <cellStyle name="Output 6 2 2 4 2 2" xfId="5592"/>
    <cellStyle name="Output 6 2 2 4 3" xfId="5593"/>
    <cellStyle name="Output 6 2 2 5" xfId="5594"/>
    <cellStyle name="Output 6 2 2 5 2" xfId="5595"/>
    <cellStyle name="Output 6 2 2 6" xfId="5596"/>
    <cellStyle name="Output 6 2 3" xfId="5597"/>
    <cellStyle name="Output 6 2 3 2" xfId="5598"/>
    <cellStyle name="Output 6 2 3 2 2" xfId="5599"/>
    <cellStyle name="Output 6 2 3 3" xfId="5600"/>
    <cellStyle name="Output 6 2 4" xfId="5601"/>
    <cellStyle name="Output 6 2 4 2" xfId="5602"/>
    <cellStyle name="Output 6 2 4 2 2" xfId="5603"/>
    <cellStyle name="Output 6 2 4 2 2 2" xfId="5604"/>
    <cellStyle name="Output 6 2 4 2 2 2 2" xfId="5605"/>
    <cellStyle name="Output 6 2 4 2 2 3" xfId="5606"/>
    <cellStyle name="Output 6 2 4 2 3" xfId="5607"/>
    <cellStyle name="Output 6 2 4 2 3 2" xfId="5608"/>
    <cellStyle name="Output 6 2 4 2 4" xfId="5609"/>
    <cellStyle name="Output 6 2 4 3" xfId="5610"/>
    <cellStyle name="Output 6 2 4 3 2" xfId="5611"/>
    <cellStyle name="Output 6 2 4 3 2 2" xfId="5612"/>
    <cellStyle name="Output 6 2 4 3 3" xfId="5613"/>
    <cellStyle name="Output 6 2 4 3 4" xfId="5614"/>
    <cellStyle name="Output 6 2 4 4" xfId="5615"/>
    <cellStyle name="Output 6 2 4 4 2" xfId="5616"/>
    <cellStyle name="Output 6 2 4 4 2 2" xfId="5617"/>
    <cellStyle name="Output 6 2 4 4 3" xfId="5618"/>
    <cellStyle name="Output 6 2 4 5" xfId="5619"/>
    <cellStyle name="Output 6 2 4 5 2" xfId="5620"/>
    <cellStyle name="Output 6 2 4 6" xfId="5621"/>
    <cellStyle name="Output 6 2 5" xfId="5622"/>
    <cellStyle name="Output 6 2 5 2" xfId="5623"/>
    <cellStyle name="Output 6 2 5 2 2" xfId="5624"/>
    <cellStyle name="Output 6 2 5 2 2 2" xfId="5625"/>
    <cellStyle name="Output 6 2 5 2 3" xfId="5626"/>
    <cellStyle name="Output 6 2 5 3" xfId="5627"/>
    <cellStyle name="Output 6 2 5 3 2" xfId="5628"/>
    <cellStyle name="Output 6 2 5 4" xfId="5629"/>
    <cellStyle name="Output 6 2 6" xfId="5630"/>
    <cellStyle name="Output 6 2 6 2" xfId="5631"/>
    <cellStyle name="Output 6 2 6 2 2" xfId="5632"/>
    <cellStyle name="Output 6 2 6 3" xfId="5633"/>
    <cellStyle name="Output 6 2 6 4" xfId="5634"/>
    <cellStyle name="Output 6 2 7" xfId="5635"/>
    <cellStyle name="Output 6 2 7 2" xfId="5636"/>
    <cellStyle name="Output 6 2 7 2 2" xfId="5637"/>
    <cellStyle name="Output 6 2 7 3" xfId="5638"/>
    <cellStyle name="Output 6 2 8" xfId="5639"/>
    <cellStyle name="Output 6 2 8 2" xfId="5640"/>
    <cellStyle name="Output 6 2 9" xfId="5641"/>
    <cellStyle name="Output 6 3" xfId="5642"/>
    <cellStyle name="Output 6 3 2" xfId="5643"/>
    <cellStyle name="Output 6 3 2 2" xfId="5644"/>
    <cellStyle name="Output 6 3 2 2 2" xfId="5645"/>
    <cellStyle name="Output 6 3 2 2 2 2" xfId="5646"/>
    <cellStyle name="Output 6 3 2 2 3" xfId="5647"/>
    <cellStyle name="Output 6 3 2 3" xfId="5648"/>
    <cellStyle name="Output 6 3 2 3 2" xfId="5649"/>
    <cellStyle name="Output 6 3 2 4" xfId="5650"/>
    <cellStyle name="Output 6 3 3" xfId="5651"/>
    <cellStyle name="Output 6 3 3 2" xfId="5652"/>
    <cellStyle name="Output 6 3 3 2 2" xfId="5653"/>
    <cellStyle name="Output 6 3 3 3" xfId="5654"/>
    <cellStyle name="Output 6 3 3 4" xfId="5655"/>
    <cellStyle name="Output 6 3 4" xfId="5656"/>
    <cellStyle name="Output 6 3 4 2" xfId="5657"/>
    <cellStyle name="Output 6 3 4 2 2" xfId="5658"/>
    <cellStyle name="Output 6 3 4 3" xfId="5659"/>
    <cellStyle name="Output 6 3 5" xfId="5660"/>
    <cellStyle name="Output 6 3 5 2" xfId="5661"/>
    <cellStyle name="Output 6 3 6" xfId="5662"/>
    <cellStyle name="Output 6 4" xfId="5663"/>
    <cellStyle name="Output 6 4 2" xfId="5664"/>
    <cellStyle name="Output 7" xfId="5665"/>
    <cellStyle name="Output 7 2" xfId="5666"/>
    <cellStyle name="Output 7 2 2" xfId="5667"/>
    <cellStyle name="Output 7 2 2 2" xfId="5668"/>
    <cellStyle name="Output 7 2 2 2 2" xfId="5669"/>
    <cellStyle name="Output 7 2 2 2 2 2" xfId="5670"/>
    <cellStyle name="Output 7 2 2 2 3" xfId="5671"/>
    <cellStyle name="Output 7 2 2 3" xfId="5672"/>
    <cellStyle name="Output 7 2 2 3 2" xfId="5673"/>
    <cellStyle name="Output 7 2 2 4" xfId="5674"/>
    <cellStyle name="Output 7 2 3" xfId="5675"/>
    <cellStyle name="Output 7 2 3 2" xfId="5676"/>
    <cellStyle name="Output 7 2 3 2 2" xfId="5677"/>
    <cellStyle name="Output 7 2 3 3" xfId="5678"/>
    <cellStyle name="Output 7 2 3 4" xfId="5679"/>
    <cellStyle name="Output 7 2 4" xfId="5680"/>
    <cellStyle name="Output 7 2 4 2" xfId="5681"/>
    <cellStyle name="Output 7 2 4 2 2" xfId="5682"/>
    <cellStyle name="Output 7 2 4 3" xfId="5683"/>
    <cellStyle name="Output 7 2 5" xfId="5684"/>
    <cellStyle name="Output 7 2 5 2" xfId="5685"/>
    <cellStyle name="Output 7 2 6" xfId="5686"/>
    <cellStyle name="Output 7 3" xfId="5687"/>
    <cellStyle name="Output 7 3 2" xfId="5688"/>
    <cellStyle name="Output 7 3 2 2" xfId="5689"/>
    <cellStyle name="Output 7 3 3" xfId="5690"/>
    <cellStyle name="Output 7 4" xfId="5691"/>
    <cellStyle name="Output 7 4 2" xfId="5692"/>
    <cellStyle name="Output 7 4 2 2" xfId="5693"/>
    <cellStyle name="Output 7 4 2 2 2" xfId="5694"/>
    <cellStyle name="Output 7 4 2 2 2 2" xfId="5695"/>
    <cellStyle name="Output 7 4 2 2 3" xfId="5696"/>
    <cellStyle name="Output 7 4 2 3" xfId="5697"/>
    <cellStyle name="Output 7 4 2 3 2" xfId="5698"/>
    <cellStyle name="Output 7 4 2 4" xfId="5699"/>
    <cellStyle name="Output 7 4 3" xfId="5700"/>
    <cellStyle name="Output 7 4 3 2" xfId="5701"/>
    <cellStyle name="Output 7 4 3 2 2" xfId="5702"/>
    <cellStyle name="Output 7 4 3 3" xfId="5703"/>
    <cellStyle name="Output 7 4 3 4" xfId="5704"/>
    <cellStyle name="Output 7 4 4" xfId="5705"/>
    <cellStyle name="Output 7 4 4 2" xfId="5706"/>
    <cellStyle name="Output 7 4 4 2 2" xfId="5707"/>
    <cellStyle name="Output 7 4 4 3" xfId="5708"/>
    <cellStyle name="Output 7 4 5" xfId="5709"/>
    <cellStyle name="Output 7 4 5 2" xfId="5710"/>
    <cellStyle name="Output 7 4 6" xfId="5711"/>
    <cellStyle name="Output 7 5" xfId="5712"/>
    <cellStyle name="Output 7 5 2" xfId="5713"/>
    <cellStyle name="Output 7 5 2 2" xfId="5714"/>
    <cellStyle name="Output 7 5 2 2 2" xfId="5715"/>
    <cellStyle name="Output 7 5 2 3" xfId="5716"/>
    <cellStyle name="Output 7 5 3" xfId="5717"/>
    <cellStyle name="Output 7 5 3 2" xfId="5718"/>
    <cellStyle name="Output 7 5 4" xfId="5719"/>
    <cellStyle name="Output 7 6" xfId="5720"/>
    <cellStyle name="Output 7 6 2" xfId="5721"/>
    <cellStyle name="Output 7 6 2 2" xfId="5722"/>
    <cellStyle name="Output 7 6 3" xfId="5723"/>
    <cellStyle name="Output 7 6 4" xfId="5724"/>
    <cellStyle name="Output 7 7" xfId="5725"/>
    <cellStyle name="Output 7 7 2" xfId="5726"/>
    <cellStyle name="Output 7 7 2 2" xfId="5727"/>
    <cellStyle name="Output 7 7 3" xfId="5728"/>
    <cellStyle name="Output 7 8" xfId="5729"/>
    <cellStyle name="Output 7 8 2" xfId="5730"/>
    <cellStyle name="Output 7 9" xfId="5731"/>
    <cellStyle name="Page 1" xfId="5732"/>
    <cellStyle name="Page 2" xfId="5733"/>
    <cellStyle name="Page 3" xfId="5734"/>
    <cellStyle name="Page 4" xfId="5735"/>
    <cellStyle name="Page 5" xfId="5736"/>
    <cellStyle name="Page 6" xfId="5737"/>
    <cellStyle name="Page 7" xfId="5738"/>
    <cellStyle name="Page1" xfId="5739"/>
    <cellStyle name="Page2" xfId="5740"/>
    <cellStyle name="Page3" xfId="5741"/>
    <cellStyle name="Page4" xfId="5742"/>
    <cellStyle name="Page5" xfId="5743"/>
    <cellStyle name="Page6" xfId="5744"/>
    <cellStyle name="Percent 2" xfId="5745"/>
    <cellStyle name="Percent 3" xfId="5746"/>
    <cellStyle name="Percent 3 2" xfId="5747"/>
    <cellStyle name="Percent 4" xfId="5748"/>
    <cellStyle name="Percent 4 2" xfId="5749"/>
    <cellStyle name="Percent 5" xfId="5750"/>
    <cellStyle name="Percent 5 2" xfId="7622"/>
    <cellStyle name="Percent 5 2 2" xfId="7665"/>
    <cellStyle name="Percent 6" xfId="5751"/>
    <cellStyle name="Percentage" xfId="5752"/>
    <cellStyle name="RangeName" xfId="5753"/>
    <cellStyle name="RateConven" xfId="5754"/>
    <cellStyle name="red" xfId="5755"/>
    <cellStyle name="ResultDateCenter" xfId="5756"/>
    <cellStyle name="Style 1" xfId="5757"/>
    <cellStyle name="Style 1 2" xfId="5758"/>
    <cellStyle name="Style 1 3" xfId="5759"/>
    <cellStyle name="Style 1 3 2" xfId="5760"/>
    <cellStyle name="Style 1 3 2 2" xfId="5761"/>
    <cellStyle name="Style 1 3 2 2 2" xfId="5762"/>
    <cellStyle name="Style 1 3 2 2 2 2" xfId="5763"/>
    <cellStyle name="Style 1 3 2 2 2 2 2" xfId="5764"/>
    <cellStyle name="Style 1 3 2 2 2 2 2 2" xfId="5765"/>
    <cellStyle name="Style 1 3 2 2 2 2 2 2 2" xfId="5766"/>
    <cellStyle name="Style 1 3 2 2 2 2 2 3" xfId="5767"/>
    <cellStyle name="Style 1 3 2 2 2 2 3" xfId="5768"/>
    <cellStyle name="Style 1 3 2 2 2 2 3 2" xfId="5769"/>
    <cellStyle name="Style 1 3 2 2 2 2 4" xfId="5770"/>
    <cellStyle name="Style 1 3 2 2 2 3" xfId="5771"/>
    <cellStyle name="Style 1 3 2 2 2 3 2" xfId="5772"/>
    <cellStyle name="Style 1 3 2 2 2 3 2 2" xfId="5773"/>
    <cellStyle name="Style 1 3 2 2 2 3 3" xfId="5774"/>
    <cellStyle name="Style 1 3 2 2 2 3 4" xfId="5775"/>
    <cellStyle name="Style 1 3 2 2 2 4" xfId="5776"/>
    <cellStyle name="Style 1 3 2 2 2 4 2" xfId="5777"/>
    <cellStyle name="Style 1 3 2 2 2 4 2 2" xfId="5778"/>
    <cellStyle name="Style 1 3 2 2 2 4 3" xfId="5779"/>
    <cellStyle name="Style 1 3 2 2 2 5" xfId="5780"/>
    <cellStyle name="Style 1 3 2 2 3" xfId="5781"/>
    <cellStyle name="Style 1 3 2 2 3 2" xfId="5782"/>
    <cellStyle name="Style 1 3 2 2 3 2 2" xfId="5783"/>
    <cellStyle name="Style 1 3 2 2 3 2 2 2" xfId="5784"/>
    <cellStyle name="Style 1 3 2 2 3 2 2 2 2" xfId="5785"/>
    <cellStyle name="Style 1 3 2 2 3 2 2 3" xfId="5786"/>
    <cellStyle name="Style 1 3 2 2 3 2 3" xfId="5787"/>
    <cellStyle name="Style 1 3 2 2 3 2 3 2" xfId="5788"/>
    <cellStyle name="Style 1 3 2 2 3 2 4" xfId="5789"/>
    <cellStyle name="Style 1 3 2 2 3 3" xfId="5790"/>
    <cellStyle name="Style 1 3 2 2 3 3 2" xfId="5791"/>
    <cellStyle name="Style 1 3 2 2 3 3 2 2" xfId="5792"/>
    <cellStyle name="Style 1 3 2 2 3 3 3" xfId="5793"/>
    <cellStyle name="Style 1 3 2 2 3 3 4" xfId="5794"/>
    <cellStyle name="Style 1 3 2 2 3 4" xfId="5795"/>
    <cellStyle name="Style 1 3 2 2 3 4 2" xfId="5796"/>
    <cellStyle name="Style 1 3 2 2 3 4 2 2" xfId="5797"/>
    <cellStyle name="Style 1 3 2 2 3 4 3" xfId="5798"/>
    <cellStyle name="Style 1 3 2 2 3 5" xfId="5799"/>
    <cellStyle name="Style 1 3 2 2 3 5 2" xfId="5800"/>
    <cellStyle name="Style 1 3 2 2 3 6" xfId="5801"/>
    <cellStyle name="Style 1 3 2 2 4" xfId="5802"/>
    <cellStyle name="Style 1 3 2 2 4 2" xfId="5803"/>
    <cellStyle name="Style 1 3 2 2 4 2 2" xfId="5804"/>
    <cellStyle name="Style 1 3 2 2 4 2 2 2" xfId="5805"/>
    <cellStyle name="Style 1 3 2 2 4 2 2 2 2" xfId="5806"/>
    <cellStyle name="Style 1 3 2 2 4 2 2 3" xfId="5807"/>
    <cellStyle name="Style 1 3 2 2 4 2 3" xfId="5808"/>
    <cellStyle name="Style 1 3 2 2 4 2 3 2" xfId="5809"/>
    <cellStyle name="Style 1 3 2 2 4 2 4" xfId="5810"/>
    <cellStyle name="Style 1 3 2 2 4 3" xfId="5811"/>
    <cellStyle name="Style 1 3 2 2 4 3 2" xfId="5812"/>
    <cellStyle name="Style 1 3 2 2 4 3 2 2" xfId="5813"/>
    <cellStyle name="Style 1 3 2 2 4 3 3" xfId="5814"/>
    <cellStyle name="Style 1 3 2 2 4 3 4" xfId="5815"/>
    <cellStyle name="Style 1 3 2 2 4 4" xfId="5816"/>
    <cellStyle name="Style 1 3 2 2 4 4 2" xfId="5817"/>
    <cellStyle name="Style 1 3 2 2 4 4 2 2" xfId="5818"/>
    <cellStyle name="Style 1 3 2 2 4 4 3" xfId="5819"/>
    <cellStyle name="Style 1 3 2 2 4 5" xfId="5820"/>
    <cellStyle name="Style 1 3 2 2 4 5 2" xfId="5821"/>
    <cellStyle name="Style 1 3 2 2 4 6" xfId="5822"/>
    <cellStyle name="Style 1 3 2 2 5" xfId="5823"/>
    <cellStyle name="Style 1 3 2 2 5 2" xfId="5824"/>
    <cellStyle name="Style 1 3 2 3" xfId="5825"/>
    <cellStyle name="Style 1 3 2 3 2" xfId="5826"/>
    <cellStyle name="Style 1 3 2 3 2 2" xfId="5827"/>
    <cellStyle name="Style 1 3 2 3 2 2 2" xfId="5828"/>
    <cellStyle name="Style 1 3 2 3 2 2 2 2" xfId="5829"/>
    <cellStyle name="Style 1 3 2 3 2 2 3" xfId="5830"/>
    <cellStyle name="Style 1 3 2 3 2 3" xfId="5831"/>
    <cellStyle name="Style 1 3 2 3 2 3 2" xfId="5832"/>
    <cellStyle name="Style 1 3 2 3 2 4" xfId="5833"/>
    <cellStyle name="Style 1 3 2 3 3" xfId="5834"/>
    <cellStyle name="Style 1 3 2 3 3 2" xfId="5835"/>
    <cellStyle name="Style 1 3 2 3 3 2 2" xfId="5836"/>
    <cellStyle name="Style 1 3 2 3 3 3" xfId="5837"/>
    <cellStyle name="Style 1 3 2 3 3 4" xfId="5838"/>
    <cellStyle name="Style 1 3 2 3 4" xfId="5839"/>
    <cellStyle name="Style 1 3 2 3 4 2" xfId="5840"/>
    <cellStyle name="Style 1 3 2 3 4 2 2" xfId="5841"/>
    <cellStyle name="Style 1 3 2 3 4 3" xfId="5842"/>
    <cellStyle name="Style 1 3 2 3 5" xfId="5843"/>
    <cellStyle name="Style 1 3 2 4" xfId="5844"/>
    <cellStyle name="Style 1 3 2 4 2" xfId="5845"/>
    <cellStyle name="Style 1 3 2 4 2 2" xfId="5846"/>
    <cellStyle name="Style 1 3 2 4 2 2 2" xfId="5847"/>
    <cellStyle name="Style 1 3 2 4 2 2 2 2" xfId="5848"/>
    <cellStyle name="Style 1 3 2 4 2 2 3" xfId="5849"/>
    <cellStyle name="Style 1 3 2 4 2 3" xfId="5850"/>
    <cellStyle name="Style 1 3 2 4 2 3 2" xfId="5851"/>
    <cellStyle name="Style 1 3 2 4 2 4" xfId="5852"/>
    <cellStyle name="Style 1 3 2 4 3" xfId="5853"/>
    <cellStyle name="Style 1 3 2 4 3 2" xfId="5854"/>
    <cellStyle name="Style 1 3 2 4 3 2 2" xfId="5855"/>
    <cellStyle name="Style 1 3 2 4 3 3" xfId="5856"/>
    <cellStyle name="Style 1 3 2 4 3 4" xfId="5857"/>
    <cellStyle name="Style 1 3 2 4 4" xfId="5858"/>
    <cellStyle name="Style 1 3 2 4 4 2" xfId="5859"/>
    <cellStyle name="Style 1 3 2 4 4 2 2" xfId="5860"/>
    <cellStyle name="Style 1 3 2 4 4 3" xfId="5861"/>
    <cellStyle name="Style 1 3 2 4 5" xfId="5862"/>
    <cellStyle name="Style 1 3 2 4 5 2" xfId="5863"/>
    <cellStyle name="Style 1 3 2 4 6" xfId="5864"/>
    <cellStyle name="Style 1 3 2 5" xfId="5865"/>
    <cellStyle name="Style 1 3 2 5 2" xfId="5866"/>
    <cellStyle name="Style 1 3 2 5 2 2" xfId="5867"/>
    <cellStyle name="Style 1 3 2 5 2 2 2" xfId="5868"/>
    <cellStyle name="Style 1 3 2 5 2 2 2 2" xfId="5869"/>
    <cellStyle name="Style 1 3 2 5 2 2 3" xfId="5870"/>
    <cellStyle name="Style 1 3 2 5 2 3" xfId="5871"/>
    <cellStyle name="Style 1 3 2 5 2 3 2" xfId="5872"/>
    <cellStyle name="Style 1 3 2 5 2 4" xfId="5873"/>
    <cellStyle name="Style 1 3 2 5 3" xfId="5874"/>
    <cellStyle name="Style 1 3 2 5 3 2" xfId="5875"/>
    <cellStyle name="Style 1 3 2 5 3 2 2" xfId="5876"/>
    <cellStyle name="Style 1 3 2 5 3 3" xfId="5877"/>
    <cellStyle name="Style 1 3 2 5 3 4" xfId="5878"/>
    <cellStyle name="Style 1 3 2 5 4" xfId="5879"/>
    <cellStyle name="Style 1 3 2 5 4 2" xfId="5880"/>
    <cellStyle name="Style 1 3 2 5 4 2 2" xfId="5881"/>
    <cellStyle name="Style 1 3 2 5 4 3" xfId="5882"/>
    <cellStyle name="Style 1 3 2 5 5" xfId="5883"/>
    <cellStyle name="Style 1 3 2 5 5 2" xfId="5884"/>
    <cellStyle name="Style 1 3 2 5 6" xfId="5885"/>
    <cellStyle name="Style 1 3 3" xfId="5886"/>
    <cellStyle name="Style 1 3 3 2" xfId="5887"/>
    <cellStyle name="Style 1 3 3 2 2" xfId="5888"/>
    <cellStyle name="Style 1 3 3 2 2 2" xfId="5889"/>
    <cellStyle name="Style 1 3 3 2 2 2 2" xfId="5890"/>
    <cellStyle name="Style 1 3 3 2 2 2 2 2" xfId="5891"/>
    <cellStyle name="Style 1 3 3 2 2 2 3" xfId="5892"/>
    <cellStyle name="Style 1 3 3 2 2 3" xfId="5893"/>
    <cellStyle name="Style 1 3 3 2 2 3 2" xfId="5894"/>
    <cellStyle name="Style 1 3 3 2 2 4" xfId="5895"/>
    <cellStyle name="Style 1 3 3 2 3" xfId="5896"/>
    <cellStyle name="Style 1 3 3 2 3 2" xfId="5897"/>
    <cellStyle name="Style 1 3 3 2 3 2 2" xfId="5898"/>
    <cellStyle name="Style 1 3 3 2 3 3" xfId="5899"/>
    <cellStyle name="Style 1 3 3 2 3 4" xfId="5900"/>
    <cellStyle name="Style 1 3 3 2 4" xfId="5901"/>
    <cellStyle name="Style 1 3 3 2 4 2" xfId="5902"/>
    <cellStyle name="Style 1 3 3 2 4 2 2" xfId="5903"/>
    <cellStyle name="Style 1 3 3 2 4 3" xfId="5904"/>
    <cellStyle name="Style 1 3 3 2 5" xfId="5905"/>
    <cellStyle name="Style 1 3 3 3" xfId="5906"/>
    <cellStyle name="Style 1 3 3 3 2" xfId="5907"/>
    <cellStyle name="Style 1 3 3 3 2 2" xfId="5908"/>
    <cellStyle name="Style 1 3 3 3 2 2 2" xfId="5909"/>
    <cellStyle name="Style 1 3 3 3 2 2 2 2" xfId="5910"/>
    <cellStyle name="Style 1 3 3 3 2 2 3" xfId="5911"/>
    <cellStyle name="Style 1 3 3 3 2 3" xfId="5912"/>
    <cellStyle name="Style 1 3 3 3 2 3 2" xfId="5913"/>
    <cellStyle name="Style 1 3 3 3 2 4" xfId="5914"/>
    <cellStyle name="Style 1 3 3 3 3" xfId="5915"/>
    <cellStyle name="Style 1 3 3 3 3 2" xfId="5916"/>
    <cellStyle name="Style 1 3 3 3 3 2 2" xfId="5917"/>
    <cellStyle name="Style 1 3 3 3 3 3" xfId="5918"/>
    <cellStyle name="Style 1 3 3 3 3 4" xfId="5919"/>
    <cellStyle name="Style 1 3 3 3 4" xfId="5920"/>
    <cellStyle name="Style 1 3 3 3 4 2" xfId="5921"/>
    <cellStyle name="Style 1 3 3 3 4 2 2" xfId="5922"/>
    <cellStyle name="Style 1 3 3 3 4 3" xfId="5923"/>
    <cellStyle name="Style 1 3 3 3 5" xfId="5924"/>
    <cellStyle name="Style 1 3 3 3 5 2" xfId="5925"/>
    <cellStyle name="Style 1 3 3 3 6" xfId="5926"/>
    <cellStyle name="Style 1 3 3 4" xfId="5927"/>
    <cellStyle name="Style 1 3 3 4 2" xfId="5928"/>
    <cellStyle name="Style 1 3 3 4 2 2" xfId="5929"/>
    <cellStyle name="Style 1 3 3 4 2 2 2" xfId="5930"/>
    <cellStyle name="Style 1 3 3 4 2 2 2 2" xfId="5931"/>
    <cellStyle name="Style 1 3 3 4 2 2 3" xfId="5932"/>
    <cellStyle name="Style 1 3 3 4 2 3" xfId="5933"/>
    <cellStyle name="Style 1 3 3 4 2 3 2" xfId="5934"/>
    <cellStyle name="Style 1 3 3 4 2 4" xfId="5935"/>
    <cellStyle name="Style 1 3 3 4 3" xfId="5936"/>
    <cellStyle name="Style 1 3 3 4 3 2" xfId="5937"/>
    <cellStyle name="Style 1 3 3 4 3 2 2" xfId="5938"/>
    <cellStyle name="Style 1 3 3 4 3 3" xfId="5939"/>
    <cellStyle name="Style 1 3 3 4 3 4" xfId="5940"/>
    <cellStyle name="Style 1 3 3 4 4" xfId="5941"/>
    <cellStyle name="Style 1 3 3 4 4 2" xfId="5942"/>
    <cellStyle name="Style 1 3 3 4 4 2 2" xfId="5943"/>
    <cellStyle name="Style 1 3 3 4 4 3" xfId="5944"/>
    <cellStyle name="Style 1 3 3 4 5" xfId="5945"/>
    <cellStyle name="Style 1 3 3 4 5 2" xfId="5946"/>
    <cellStyle name="Style 1 3 3 4 6" xfId="5947"/>
    <cellStyle name="Style 1 3 3 5" xfId="5948"/>
    <cellStyle name="Style 1 3 3 5 2" xfId="5949"/>
    <cellStyle name="Style 1 3 4" xfId="5950"/>
    <cellStyle name="Style 1 3 4 2" xfId="5951"/>
    <cellStyle name="Style 1 3 4 2 2" xfId="5952"/>
    <cellStyle name="Style 1 3 4 2 2 2" xfId="5953"/>
    <cellStyle name="Style 1 3 4 2 2 2 2" xfId="5954"/>
    <cellStyle name="Style 1 3 4 2 2 2 2 2" xfId="5955"/>
    <cellStyle name="Style 1 3 4 2 2 2 3" xfId="5956"/>
    <cellStyle name="Style 1 3 4 2 2 3" xfId="5957"/>
    <cellStyle name="Style 1 3 4 2 2 3 2" xfId="5958"/>
    <cellStyle name="Style 1 3 4 2 2 4" xfId="5959"/>
    <cellStyle name="Style 1 3 4 2 3" xfId="5960"/>
    <cellStyle name="Style 1 3 4 2 3 2" xfId="5961"/>
    <cellStyle name="Style 1 3 4 2 3 2 2" xfId="5962"/>
    <cellStyle name="Style 1 3 4 2 3 3" xfId="5963"/>
    <cellStyle name="Style 1 3 4 2 3 4" xfId="5964"/>
    <cellStyle name="Style 1 3 4 2 4" xfId="5965"/>
    <cellStyle name="Style 1 3 4 2 4 2" xfId="5966"/>
    <cellStyle name="Style 1 3 4 2 4 2 2" xfId="5967"/>
    <cellStyle name="Style 1 3 4 2 4 3" xfId="5968"/>
    <cellStyle name="Style 1 3 4 2 5" xfId="5969"/>
    <cellStyle name="Style 1 3 4 2 5 2" xfId="5970"/>
    <cellStyle name="Style 1 3 4 2 6" xfId="5971"/>
    <cellStyle name="Style 1 3 4 3" xfId="5972"/>
    <cellStyle name="Style 1 3 4 3 2" xfId="5973"/>
    <cellStyle name="Style 1 3 4 3 2 2" xfId="5974"/>
    <cellStyle name="Style 1 3 4 3 2 2 2" xfId="5975"/>
    <cellStyle name="Style 1 3 4 3 2 2 2 2" xfId="5976"/>
    <cellStyle name="Style 1 3 4 3 2 2 3" xfId="5977"/>
    <cellStyle name="Style 1 3 4 3 2 3" xfId="5978"/>
    <cellStyle name="Style 1 3 4 3 2 3 2" xfId="5979"/>
    <cellStyle name="Style 1 3 4 3 2 4" xfId="5980"/>
    <cellStyle name="Style 1 3 4 3 3" xfId="5981"/>
    <cellStyle name="Style 1 3 4 3 3 2" xfId="5982"/>
    <cellStyle name="Style 1 3 4 3 3 2 2" xfId="5983"/>
    <cellStyle name="Style 1 3 4 3 3 3" xfId="5984"/>
    <cellStyle name="Style 1 3 4 3 3 4" xfId="5985"/>
    <cellStyle name="Style 1 3 4 3 4" xfId="5986"/>
    <cellStyle name="Style 1 3 4 3 4 2" xfId="5987"/>
    <cellStyle name="Style 1 3 4 3 4 2 2" xfId="5988"/>
    <cellStyle name="Style 1 3 4 3 4 3" xfId="5989"/>
    <cellStyle name="Style 1 3 4 3 5" xfId="5990"/>
    <cellStyle name="Style 1 3 4 3 5 2" xfId="5991"/>
    <cellStyle name="Style 1 3 4 3 6" xfId="5992"/>
    <cellStyle name="Style 1 3 4 4" xfId="5993"/>
    <cellStyle name="Style 1 3 4 4 2" xfId="5994"/>
    <cellStyle name="Style 1 3 4 4 2 2" xfId="5995"/>
    <cellStyle name="Style 1 3 4 4 2 2 2" xfId="5996"/>
    <cellStyle name="Style 1 3 4 4 2 3" xfId="5997"/>
    <cellStyle name="Style 1 3 4 4 3" xfId="5998"/>
    <cellStyle name="Style 1 3 4 4 3 2" xfId="5999"/>
    <cellStyle name="Style 1 3 4 4 4" xfId="6000"/>
    <cellStyle name="Style 1 3 4 5" xfId="6001"/>
    <cellStyle name="Style 1 3 4 5 2" xfId="6002"/>
    <cellStyle name="Style 1 3 4 5 2 2" xfId="6003"/>
    <cellStyle name="Style 1 3 4 5 3" xfId="6004"/>
    <cellStyle name="Style 1 3 4 5 4" xfId="6005"/>
    <cellStyle name="Style 1 3 4 6" xfId="6006"/>
    <cellStyle name="Style 1 3 4 6 2" xfId="6007"/>
    <cellStyle name="Style 1 3 4 6 2 2" xfId="6008"/>
    <cellStyle name="Style 1 3 4 6 3" xfId="6009"/>
    <cellStyle name="Style 1 3 4 7" xfId="6010"/>
    <cellStyle name="Style 1 3 5" xfId="6011"/>
    <cellStyle name="Style 1 3 5 2" xfId="6012"/>
    <cellStyle name="Style 1 3 5 2 2" xfId="6013"/>
    <cellStyle name="Style 1 3 5 2 2 2" xfId="6014"/>
    <cellStyle name="Style 1 3 5 2 2 2 2" xfId="6015"/>
    <cellStyle name="Style 1 3 5 2 2 3" xfId="6016"/>
    <cellStyle name="Style 1 3 5 2 3" xfId="6017"/>
    <cellStyle name="Style 1 3 5 2 3 2" xfId="6018"/>
    <cellStyle name="Style 1 3 5 2 4" xfId="6019"/>
    <cellStyle name="Style 1 3 5 3" xfId="6020"/>
    <cellStyle name="Style 1 3 5 3 2" xfId="6021"/>
    <cellStyle name="Style 1 3 5 3 2 2" xfId="6022"/>
    <cellStyle name="Style 1 3 5 3 3" xfId="6023"/>
    <cellStyle name="Style 1 3 5 3 4" xfId="6024"/>
    <cellStyle name="Style 1 3 5 4" xfId="6025"/>
    <cellStyle name="Style 1 3 5 4 2" xfId="6026"/>
    <cellStyle name="Style 1 3 5 4 2 2" xfId="6027"/>
    <cellStyle name="Style 1 3 5 4 3" xfId="6028"/>
    <cellStyle name="Style 1 3 5 5" xfId="6029"/>
    <cellStyle name="Style 1 4" xfId="6030"/>
    <cellStyle name="Style 1 5" xfId="6031"/>
    <cellStyle name="Style 1 6" xfId="6032"/>
    <cellStyle name="Style 1_apollo_curves" xfId="6033"/>
    <cellStyle name="Style 2" xfId="6034"/>
    <cellStyle name="TableF" xfId="6035"/>
    <cellStyle name="TableF 2" xfId="6036"/>
    <cellStyle name="text" xfId="6037"/>
    <cellStyle name="text2" xfId="6038"/>
    <cellStyle name="Title" xfId="7623" builtinId="15" customBuiltin="1"/>
    <cellStyle name="Title 2" xfId="6039"/>
    <cellStyle name="Title 2 2" xfId="6040"/>
    <cellStyle name="Title 3" xfId="6041"/>
    <cellStyle name="Title 4" xfId="6042"/>
    <cellStyle name="Title 5" xfId="6043"/>
    <cellStyle name="Title 6" xfId="6044"/>
    <cellStyle name="title2" xfId="6045"/>
    <cellStyle name="TopGrey" xfId="6046"/>
    <cellStyle name="Total" xfId="7639" builtinId="25" customBuiltin="1"/>
    <cellStyle name="Total 2" xfId="6047"/>
    <cellStyle name="Total 2 2" xfId="6048"/>
    <cellStyle name="Total 2 2 2" xfId="6049"/>
    <cellStyle name="Total 2 2 2 2" xfId="6050"/>
    <cellStyle name="Total 2 2 2 2 2" xfId="6051"/>
    <cellStyle name="Total 2 2 2 2 2 2" xfId="6052"/>
    <cellStyle name="Total 2 2 2 2 2 2 2" xfId="6053"/>
    <cellStyle name="Total 2 2 2 2 2 2 2 2" xfId="6054"/>
    <cellStyle name="Total 2 2 2 2 2 2 2 2 2" xfId="6055"/>
    <cellStyle name="Total 2 2 2 2 2 2 2 3" xfId="6056"/>
    <cellStyle name="Total 2 2 2 2 2 2 3" xfId="6057"/>
    <cellStyle name="Total 2 2 2 2 2 2 3 2" xfId="6058"/>
    <cellStyle name="Total 2 2 2 2 2 2 4" xfId="6059"/>
    <cellStyle name="Total 2 2 2 2 2 3" xfId="6060"/>
    <cellStyle name="Total 2 2 2 2 2 3 2" xfId="6061"/>
    <cellStyle name="Total 2 2 2 2 2 3 2 2" xfId="6062"/>
    <cellStyle name="Total 2 2 2 2 2 3 3" xfId="6063"/>
    <cellStyle name="Total 2 2 2 2 2 3 4" xfId="6064"/>
    <cellStyle name="Total 2 2 2 2 2 4" xfId="6065"/>
    <cellStyle name="Total 2 2 2 2 2 4 2" xfId="6066"/>
    <cellStyle name="Total 2 2 2 2 2 4 2 2" xfId="6067"/>
    <cellStyle name="Total 2 2 2 2 2 4 3" xfId="6068"/>
    <cellStyle name="Total 2 2 2 2 2 5" xfId="6069"/>
    <cellStyle name="Total 2 2 2 2 2 5 2" xfId="6070"/>
    <cellStyle name="Total 2 2 2 2 2 6" xfId="6071"/>
    <cellStyle name="Total 2 2 2 2 3" xfId="6072"/>
    <cellStyle name="Total 2 2 2 2 3 2" xfId="6073"/>
    <cellStyle name="Total 2 2 2 2 3 2 2" xfId="6074"/>
    <cellStyle name="Total 2 2 2 2 3 2 2 2" xfId="6075"/>
    <cellStyle name="Total 2 2 2 2 3 2 2 2 2" xfId="6076"/>
    <cellStyle name="Total 2 2 2 2 3 2 2 3" xfId="6077"/>
    <cellStyle name="Total 2 2 2 2 3 2 3" xfId="6078"/>
    <cellStyle name="Total 2 2 2 2 3 2 3 2" xfId="6079"/>
    <cellStyle name="Total 2 2 2 2 3 2 4" xfId="6080"/>
    <cellStyle name="Total 2 2 2 2 3 3" xfId="6081"/>
    <cellStyle name="Total 2 2 2 2 3 3 2" xfId="6082"/>
    <cellStyle name="Total 2 2 2 2 3 3 2 2" xfId="6083"/>
    <cellStyle name="Total 2 2 2 2 3 3 3" xfId="6084"/>
    <cellStyle name="Total 2 2 2 2 3 3 4" xfId="6085"/>
    <cellStyle name="Total 2 2 2 2 3 4" xfId="6086"/>
    <cellStyle name="Total 2 2 2 2 3 4 2" xfId="6087"/>
    <cellStyle name="Total 2 2 2 2 3 4 2 2" xfId="6088"/>
    <cellStyle name="Total 2 2 2 2 3 4 3" xfId="6089"/>
    <cellStyle name="Total 2 2 2 2 3 5" xfId="6090"/>
    <cellStyle name="Total 2 2 2 2 3 5 2" xfId="6091"/>
    <cellStyle name="Total 2 2 2 2 3 6" xfId="6092"/>
    <cellStyle name="Total 2 2 2 2 4" xfId="6093"/>
    <cellStyle name="Total 2 2 2 2 4 2" xfId="6094"/>
    <cellStyle name="Total 2 2 2 2 4 2 2" xfId="6095"/>
    <cellStyle name="Total 2 2 2 2 4 2 2 2" xfId="6096"/>
    <cellStyle name="Total 2 2 2 2 4 2 2 2 2" xfId="6097"/>
    <cellStyle name="Total 2 2 2 2 4 2 2 3" xfId="6098"/>
    <cellStyle name="Total 2 2 2 2 4 2 3" xfId="6099"/>
    <cellStyle name="Total 2 2 2 2 4 2 3 2" xfId="6100"/>
    <cellStyle name="Total 2 2 2 2 4 2 4" xfId="6101"/>
    <cellStyle name="Total 2 2 2 2 4 3" xfId="6102"/>
    <cellStyle name="Total 2 2 2 2 4 3 2" xfId="6103"/>
    <cellStyle name="Total 2 2 2 2 4 3 2 2" xfId="6104"/>
    <cellStyle name="Total 2 2 2 2 4 3 3" xfId="6105"/>
    <cellStyle name="Total 2 2 2 2 4 3 4" xfId="6106"/>
    <cellStyle name="Total 2 2 2 2 4 4" xfId="6107"/>
    <cellStyle name="Total 2 2 2 2 4 4 2" xfId="6108"/>
    <cellStyle name="Total 2 2 2 2 4 4 2 2" xfId="6109"/>
    <cellStyle name="Total 2 2 2 2 4 4 3" xfId="6110"/>
    <cellStyle name="Total 2 2 2 2 4 5" xfId="6111"/>
    <cellStyle name="Total 2 2 2 2 4 5 2" xfId="6112"/>
    <cellStyle name="Total 2 2 2 2 4 6" xfId="6113"/>
    <cellStyle name="Total 2 2 2 2 5" xfId="6114"/>
    <cellStyle name="Total 2 2 2 2 5 2" xfId="6115"/>
    <cellStyle name="Total 2 2 2 3" xfId="6116"/>
    <cellStyle name="Total 2 2 2 3 2" xfId="6117"/>
    <cellStyle name="Total 2 2 2 3 2 2" xfId="6118"/>
    <cellStyle name="Total 2 2 2 3 2 2 2" xfId="6119"/>
    <cellStyle name="Total 2 2 2 3 2 2 2 2" xfId="6120"/>
    <cellStyle name="Total 2 2 2 3 2 2 3" xfId="6121"/>
    <cellStyle name="Total 2 2 2 3 2 3" xfId="6122"/>
    <cellStyle name="Total 2 2 2 3 2 3 2" xfId="6123"/>
    <cellStyle name="Total 2 2 2 3 2 4" xfId="6124"/>
    <cellStyle name="Total 2 2 2 3 3" xfId="6125"/>
    <cellStyle name="Total 2 2 2 3 3 2" xfId="6126"/>
    <cellStyle name="Total 2 2 2 3 3 2 2" xfId="6127"/>
    <cellStyle name="Total 2 2 2 3 3 3" xfId="6128"/>
    <cellStyle name="Total 2 2 2 3 3 4" xfId="6129"/>
    <cellStyle name="Total 2 2 2 3 4" xfId="6130"/>
    <cellStyle name="Total 2 2 2 3 4 2" xfId="6131"/>
    <cellStyle name="Total 2 2 2 3 4 2 2" xfId="6132"/>
    <cellStyle name="Total 2 2 2 3 4 3" xfId="6133"/>
    <cellStyle name="Total 2 2 2 3 5" xfId="6134"/>
    <cellStyle name="Total 2 2 2 3 5 2" xfId="6135"/>
    <cellStyle name="Total 2 2 2 3 6" xfId="6136"/>
    <cellStyle name="Total 2 2 2 4" xfId="6137"/>
    <cellStyle name="Total 2 2 2 4 2" xfId="6138"/>
    <cellStyle name="Total 2 2 2 4 2 2" xfId="6139"/>
    <cellStyle name="Total 2 2 2 4 2 2 2" xfId="6140"/>
    <cellStyle name="Total 2 2 2 4 2 2 2 2" xfId="6141"/>
    <cellStyle name="Total 2 2 2 4 2 2 3" xfId="6142"/>
    <cellStyle name="Total 2 2 2 4 2 3" xfId="6143"/>
    <cellStyle name="Total 2 2 2 4 2 3 2" xfId="6144"/>
    <cellStyle name="Total 2 2 2 4 2 4" xfId="6145"/>
    <cellStyle name="Total 2 2 2 4 3" xfId="6146"/>
    <cellStyle name="Total 2 2 2 4 3 2" xfId="6147"/>
    <cellStyle name="Total 2 2 2 4 3 2 2" xfId="6148"/>
    <cellStyle name="Total 2 2 2 4 3 3" xfId="6149"/>
    <cellStyle name="Total 2 2 2 4 3 4" xfId="6150"/>
    <cellStyle name="Total 2 2 2 4 4" xfId="6151"/>
    <cellStyle name="Total 2 2 2 4 4 2" xfId="6152"/>
    <cellStyle name="Total 2 2 2 4 4 2 2" xfId="6153"/>
    <cellStyle name="Total 2 2 2 4 4 3" xfId="6154"/>
    <cellStyle name="Total 2 2 2 4 5" xfId="6155"/>
    <cellStyle name="Total 2 2 2 4 5 2" xfId="6156"/>
    <cellStyle name="Total 2 2 2 4 6" xfId="6157"/>
    <cellStyle name="Total 2 2 2 5" xfId="6158"/>
    <cellStyle name="Total 2 2 2 5 2" xfId="6159"/>
    <cellStyle name="Total 2 2 2 5 2 2" xfId="6160"/>
    <cellStyle name="Total 2 2 2 5 2 2 2" xfId="6161"/>
    <cellStyle name="Total 2 2 2 5 2 2 2 2" xfId="6162"/>
    <cellStyle name="Total 2 2 2 5 2 2 3" xfId="6163"/>
    <cellStyle name="Total 2 2 2 5 2 3" xfId="6164"/>
    <cellStyle name="Total 2 2 2 5 2 3 2" xfId="6165"/>
    <cellStyle name="Total 2 2 2 5 2 4" xfId="6166"/>
    <cellStyle name="Total 2 2 2 5 3" xfId="6167"/>
    <cellStyle name="Total 2 2 2 5 3 2" xfId="6168"/>
    <cellStyle name="Total 2 2 2 5 3 2 2" xfId="6169"/>
    <cellStyle name="Total 2 2 2 5 3 3" xfId="6170"/>
    <cellStyle name="Total 2 2 2 5 3 4" xfId="6171"/>
    <cellStyle name="Total 2 2 2 5 4" xfId="6172"/>
    <cellStyle name="Total 2 2 2 5 4 2" xfId="6173"/>
    <cellStyle name="Total 2 2 2 5 4 2 2" xfId="6174"/>
    <cellStyle name="Total 2 2 2 5 4 3" xfId="6175"/>
    <cellStyle name="Total 2 2 2 5 5" xfId="6176"/>
    <cellStyle name="Total 2 2 2 5 5 2" xfId="6177"/>
    <cellStyle name="Total 2 2 2 5 6" xfId="6178"/>
    <cellStyle name="Total 2 2 2 6" xfId="6179"/>
    <cellStyle name="Total 2 2 2 6 2" xfId="6180"/>
    <cellStyle name="Total 2 2 3" xfId="6181"/>
    <cellStyle name="Total 2 2 3 2" xfId="6182"/>
    <cellStyle name="Total 2 2 3 2 2" xfId="6183"/>
    <cellStyle name="Total 2 2 3 2 2 2" xfId="6184"/>
    <cellStyle name="Total 2 2 3 2 2 2 2" xfId="6185"/>
    <cellStyle name="Total 2 2 3 2 2 2 2 2" xfId="6186"/>
    <cellStyle name="Total 2 2 3 2 2 2 3" xfId="6187"/>
    <cellStyle name="Total 2 2 3 2 2 3" xfId="6188"/>
    <cellStyle name="Total 2 2 3 2 2 3 2" xfId="6189"/>
    <cellStyle name="Total 2 2 3 2 2 4" xfId="6190"/>
    <cellStyle name="Total 2 2 3 2 3" xfId="6191"/>
    <cellStyle name="Total 2 2 3 2 3 2" xfId="6192"/>
    <cellStyle name="Total 2 2 3 2 3 2 2" xfId="6193"/>
    <cellStyle name="Total 2 2 3 2 3 3" xfId="6194"/>
    <cellStyle name="Total 2 2 3 2 3 4" xfId="6195"/>
    <cellStyle name="Total 2 2 3 2 4" xfId="6196"/>
    <cellStyle name="Total 2 2 3 2 4 2" xfId="6197"/>
    <cellStyle name="Total 2 2 3 2 4 2 2" xfId="6198"/>
    <cellStyle name="Total 2 2 3 2 4 3" xfId="6199"/>
    <cellStyle name="Total 2 2 3 2 5" xfId="6200"/>
    <cellStyle name="Total 2 2 3 2 5 2" xfId="6201"/>
    <cellStyle name="Total 2 2 3 2 6" xfId="6202"/>
    <cellStyle name="Total 2 2 3 3" xfId="6203"/>
    <cellStyle name="Total 2 2 3 3 2" xfId="6204"/>
    <cellStyle name="Total 2 2 3 3 2 2" xfId="6205"/>
    <cellStyle name="Total 2 2 3 3 2 2 2" xfId="6206"/>
    <cellStyle name="Total 2 2 3 3 2 2 2 2" xfId="6207"/>
    <cellStyle name="Total 2 2 3 3 2 2 3" xfId="6208"/>
    <cellStyle name="Total 2 2 3 3 2 3" xfId="6209"/>
    <cellStyle name="Total 2 2 3 3 2 3 2" xfId="6210"/>
    <cellStyle name="Total 2 2 3 3 2 4" xfId="6211"/>
    <cellStyle name="Total 2 2 3 3 3" xfId="6212"/>
    <cellStyle name="Total 2 2 3 3 3 2" xfId="6213"/>
    <cellStyle name="Total 2 2 3 3 3 2 2" xfId="6214"/>
    <cellStyle name="Total 2 2 3 3 3 3" xfId="6215"/>
    <cellStyle name="Total 2 2 3 3 3 4" xfId="6216"/>
    <cellStyle name="Total 2 2 3 3 4" xfId="6217"/>
    <cellStyle name="Total 2 2 3 3 4 2" xfId="6218"/>
    <cellStyle name="Total 2 2 3 3 4 2 2" xfId="6219"/>
    <cellStyle name="Total 2 2 3 3 4 3" xfId="6220"/>
    <cellStyle name="Total 2 2 3 3 5" xfId="6221"/>
    <cellStyle name="Total 2 2 3 3 5 2" xfId="6222"/>
    <cellStyle name="Total 2 2 3 3 6" xfId="6223"/>
    <cellStyle name="Total 2 2 3 4" xfId="6224"/>
    <cellStyle name="Total 2 2 3 4 2" xfId="6225"/>
    <cellStyle name="Total 2 2 3 4 2 2" xfId="6226"/>
    <cellStyle name="Total 2 2 3 4 2 2 2" xfId="6227"/>
    <cellStyle name="Total 2 2 3 4 2 2 2 2" xfId="6228"/>
    <cellStyle name="Total 2 2 3 4 2 2 3" xfId="6229"/>
    <cellStyle name="Total 2 2 3 4 2 3" xfId="6230"/>
    <cellStyle name="Total 2 2 3 4 2 3 2" xfId="6231"/>
    <cellStyle name="Total 2 2 3 4 2 4" xfId="6232"/>
    <cellStyle name="Total 2 2 3 4 3" xfId="6233"/>
    <cellStyle name="Total 2 2 3 4 3 2" xfId="6234"/>
    <cellStyle name="Total 2 2 3 4 3 2 2" xfId="6235"/>
    <cellStyle name="Total 2 2 3 4 3 3" xfId="6236"/>
    <cellStyle name="Total 2 2 3 4 3 4" xfId="6237"/>
    <cellStyle name="Total 2 2 3 4 4" xfId="6238"/>
    <cellStyle name="Total 2 2 3 4 4 2" xfId="6239"/>
    <cellStyle name="Total 2 2 3 4 4 2 2" xfId="6240"/>
    <cellStyle name="Total 2 2 3 4 4 3" xfId="6241"/>
    <cellStyle name="Total 2 2 3 4 5" xfId="6242"/>
    <cellStyle name="Total 2 2 3 4 5 2" xfId="6243"/>
    <cellStyle name="Total 2 2 3 4 6" xfId="6244"/>
    <cellStyle name="Total 2 2 3 5" xfId="6245"/>
    <cellStyle name="Total 2 2 3 5 2" xfId="6246"/>
    <cellStyle name="Total 2 2 4" xfId="6247"/>
    <cellStyle name="Total 2 2 4 2" xfId="6248"/>
    <cellStyle name="Total 2 2 4 2 2" xfId="6249"/>
    <cellStyle name="Total 2 2 4 2 2 2" xfId="6250"/>
    <cellStyle name="Total 2 2 4 2 2 2 2" xfId="6251"/>
    <cellStyle name="Total 2 2 4 2 2 2 2 2" xfId="6252"/>
    <cellStyle name="Total 2 2 4 2 2 2 3" xfId="6253"/>
    <cellStyle name="Total 2 2 4 2 2 3" xfId="6254"/>
    <cellStyle name="Total 2 2 4 2 2 3 2" xfId="6255"/>
    <cellStyle name="Total 2 2 4 2 2 4" xfId="6256"/>
    <cellStyle name="Total 2 2 4 2 3" xfId="6257"/>
    <cellStyle name="Total 2 2 4 2 3 2" xfId="6258"/>
    <cellStyle name="Total 2 2 4 2 3 2 2" xfId="6259"/>
    <cellStyle name="Total 2 2 4 2 3 3" xfId="6260"/>
    <cellStyle name="Total 2 2 4 2 3 4" xfId="6261"/>
    <cellStyle name="Total 2 2 4 2 4" xfId="6262"/>
    <cellStyle name="Total 2 2 4 2 4 2" xfId="6263"/>
    <cellStyle name="Total 2 2 4 2 4 2 2" xfId="6264"/>
    <cellStyle name="Total 2 2 4 2 4 3" xfId="6265"/>
    <cellStyle name="Total 2 2 4 2 5" xfId="6266"/>
    <cellStyle name="Total 2 2 4 2 5 2" xfId="6267"/>
    <cellStyle name="Total 2 2 4 2 6" xfId="6268"/>
    <cellStyle name="Total 2 2 4 3" xfId="6269"/>
    <cellStyle name="Total 2 2 4 3 2" xfId="6270"/>
    <cellStyle name="Total 2 2 4 3 2 2" xfId="6271"/>
    <cellStyle name="Total 2 2 4 3 2 2 2" xfId="6272"/>
    <cellStyle name="Total 2 2 4 3 2 2 2 2" xfId="6273"/>
    <cellStyle name="Total 2 2 4 3 2 2 3" xfId="6274"/>
    <cellStyle name="Total 2 2 4 3 2 3" xfId="6275"/>
    <cellStyle name="Total 2 2 4 3 2 3 2" xfId="6276"/>
    <cellStyle name="Total 2 2 4 3 2 4" xfId="6277"/>
    <cellStyle name="Total 2 2 4 3 3" xfId="6278"/>
    <cellStyle name="Total 2 2 4 3 3 2" xfId="6279"/>
    <cellStyle name="Total 2 2 4 3 3 2 2" xfId="6280"/>
    <cellStyle name="Total 2 2 4 3 3 3" xfId="6281"/>
    <cellStyle name="Total 2 2 4 3 3 4" xfId="6282"/>
    <cellStyle name="Total 2 2 4 3 4" xfId="6283"/>
    <cellStyle name="Total 2 2 4 3 4 2" xfId="6284"/>
    <cellStyle name="Total 2 2 4 3 4 2 2" xfId="6285"/>
    <cellStyle name="Total 2 2 4 3 4 3" xfId="6286"/>
    <cellStyle name="Total 2 2 4 3 5" xfId="6287"/>
    <cellStyle name="Total 2 2 4 3 5 2" xfId="6288"/>
    <cellStyle name="Total 2 2 4 3 6" xfId="6289"/>
    <cellStyle name="Total 2 2 4 4" xfId="6290"/>
    <cellStyle name="Total 2 2 4 4 2" xfId="6291"/>
    <cellStyle name="Total 2 2 4 4 2 2" xfId="6292"/>
    <cellStyle name="Total 2 2 4 4 2 2 2" xfId="6293"/>
    <cellStyle name="Total 2 2 4 4 2 3" xfId="6294"/>
    <cellStyle name="Total 2 2 4 4 3" xfId="6295"/>
    <cellStyle name="Total 2 2 4 4 3 2" xfId="6296"/>
    <cellStyle name="Total 2 2 4 4 4" xfId="6297"/>
    <cellStyle name="Total 2 2 4 5" xfId="6298"/>
    <cellStyle name="Total 2 2 4 5 2" xfId="6299"/>
    <cellStyle name="Total 2 2 4 5 2 2" xfId="6300"/>
    <cellStyle name="Total 2 2 4 5 3" xfId="6301"/>
    <cellStyle name="Total 2 2 4 5 4" xfId="6302"/>
    <cellStyle name="Total 2 2 4 6" xfId="6303"/>
    <cellStyle name="Total 2 2 4 6 2" xfId="6304"/>
    <cellStyle name="Total 2 2 4 6 2 2" xfId="6305"/>
    <cellStyle name="Total 2 2 4 6 3" xfId="6306"/>
    <cellStyle name="Total 2 2 4 7" xfId="6307"/>
    <cellStyle name="Total 2 2 4 7 2" xfId="6308"/>
    <cellStyle name="Total 2 2 4 8" xfId="6309"/>
    <cellStyle name="Total 2 2 5" xfId="6310"/>
    <cellStyle name="Total 2 2 5 2" xfId="6311"/>
    <cellStyle name="Total 2 2 5 2 2" xfId="6312"/>
    <cellStyle name="Total 2 2 5 2 2 2" xfId="6313"/>
    <cellStyle name="Total 2 2 5 2 2 2 2" xfId="6314"/>
    <cellStyle name="Total 2 2 5 2 2 3" xfId="6315"/>
    <cellStyle name="Total 2 2 5 2 3" xfId="6316"/>
    <cellStyle name="Total 2 2 5 2 3 2" xfId="6317"/>
    <cellStyle name="Total 2 2 5 2 4" xfId="6318"/>
    <cellStyle name="Total 2 2 5 3" xfId="6319"/>
    <cellStyle name="Total 2 2 5 3 2" xfId="6320"/>
    <cellStyle name="Total 2 2 5 3 2 2" xfId="6321"/>
    <cellStyle name="Total 2 2 5 3 3" xfId="6322"/>
    <cellStyle name="Total 2 2 5 3 4" xfId="6323"/>
    <cellStyle name="Total 2 2 5 4" xfId="6324"/>
    <cellStyle name="Total 2 2 5 4 2" xfId="6325"/>
    <cellStyle name="Total 2 2 5 4 2 2" xfId="6326"/>
    <cellStyle name="Total 2 2 5 4 3" xfId="6327"/>
    <cellStyle name="Total 2 2 5 5" xfId="6328"/>
    <cellStyle name="Total 2 2 5 5 2" xfId="6329"/>
    <cellStyle name="Total 2 2 5 6" xfId="6330"/>
    <cellStyle name="Total 2 3" xfId="6331"/>
    <cellStyle name="Total 2 3 2" xfId="6332"/>
    <cellStyle name="Total 2 3 2 2" xfId="6333"/>
    <cellStyle name="Total 2 3 2 2 2" xfId="6334"/>
    <cellStyle name="Total 2 3 2 2 2 2" xfId="6335"/>
    <cellStyle name="Total 2 3 2 2 2 2 2" xfId="6336"/>
    <cellStyle name="Total 2 3 2 2 2 2 2 2" xfId="6337"/>
    <cellStyle name="Total 2 3 2 2 2 2 3" xfId="6338"/>
    <cellStyle name="Total 2 3 2 2 2 3" xfId="6339"/>
    <cellStyle name="Total 2 3 2 2 2 3 2" xfId="6340"/>
    <cellStyle name="Total 2 3 2 2 2 4" xfId="6341"/>
    <cellStyle name="Total 2 3 2 2 3" xfId="6342"/>
    <cellStyle name="Total 2 3 2 2 3 2" xfId="6343"/>
    <cellStyle name="Total 2 3 2 2 3 2 2" xfId="6344"/>
    <cellStyle name="Total 2 3 2 2 3 3" xfId="6345"/>
    <cellStyle name="Total 2 3 2 2 3 4" xfId="6346"/>
    <cellStyle name="Total 2 3 2 2 4" xfId="6347"/>
    <cellStyle name="Total 2 3 2 2 4 2" xfId="6348"/>
    <cellStyle name="Total 2 3 2 2 4 2 2" xfId="6349"/>
    <cellStyle name="Total 2 3 2 2 4 3" xfId="6350"/>
    <cellStyle name="Total 2 3 2 2 5" xfId="6351"/>
    <cellStyle name="Total 2 3 2 2 5 2" xfId="6352"/>
    <cellStyle name="Total 2 3 2 2 6" xfId="6353"/>
    <cellStyle name="Total 2 3 2 3" xfId="6354"/>
    <cellStyle name="Total 2 3 2 3 2" xfId="6355"/>
    <cellStyle name="Total 2 3 2 3 2 2" xfId="6356"/>
    <cellStyle name="Total 2 3 2 3 2 2 2" xfId="6357"/>
    <cellStyle name="Total 2 3 2 3 2 2 2 2" xfId="6358"/>
    <cellStyle name="Total 2 3 2 3 2 2 3" xfId="6359"/>
    <cellStyle name="Total 2 3 2 3 2 3" xfId="6360"/>
    <cellStyle name="Total 2 3 2 3 2 3 2" xfId="6361"/>
    <cellStyle name="Total 2 3 2 3 2 4" xfId="6362"/>
    <cellStyle name="Total 2 3 2 3 3" xfId="6363"/>
    <cellStyle name="Total 2 3 2 3 3 2" xfId="6364"/>
    <cellStyle name="Total 2 3 2 3 3 2 2" xfId="6365"/>
    <cellStyle name="Total 2 3 2 3 3 3" xfId="6366"/>
    <cellStyle name="Total 2 3 2 3 3 4" xfId="6367"/>
    <cellStyle name="Total 2 3 2 3 4" xfId="6368"/>
    <cellStyle name="Total 2 3 2 3 4 2" xfId="6369"/>
    <cellStyle name="Total 2 3 2 3 4 2 2" xfId="6370"/>
    <cellStyle name="Total 2 3 2 3 4 3" xfId="6371"/>
    <cellStyle name="Total 2 3 2 3 5" xfId="6372"/>
    <cellStyle name="Total 2 3 2 3 5 2" xfId="6373"/>
    <cellStyle name="Total 2 3 2 3 6" xfId="6374"/>
    <cellStyle name="Total 2 3 2 4" xfId="6375"/>
    <cellStyle name="Total 2 3 2 4 2" xfId="6376"/>
    <cellStyle name="Total 2 3 2 4 2 2" xfId="6377"/>
    <cellStyle name="Total 2 3 2 4 2 2 2" xfId="6378"/>
    <cellStyle name="Total 2 3 2 4 2 2 2 2" xfId="6379"/>
    <cellStyle name="Total 2 3 2 4 2 2 3" xfId="6380"/>
    <cellStyle name="Total 2 3 2 4 2 3" xfId="6381"/>
    <cellStyle name="Total 2 3 2 4 2 3 2" xfId="6382"/>
    <cellStyle name="Total 2 3 2 4 2 4" xfId="6383"/>
    <cellStyle name="Total 2 3 2 4 3" xfId="6384"/>
    <cellStyle name="Total 2 3 2 4 3 2" xfId="6385"/>
    <cellStyle name="Total 2 3 2 4 3 2 2" xfId="6386"/>
    <cellStyle name="Total 2 3 2 4 3 3" xfId="6387"/>
    <cellStyle name="Total 2 3 2 4 3 4" xfId="6388"/>
    <cellStyle name="Total 2 3 2 4 4" xfId="6389"/>
    <cellStyle name="Total 2 3 2 4 4 2" xfId="6390"/>
    <cellStyle name="Total 2 3 2 4 4 2 2" xfId="6391"/>
    <cellStyle name="Total 2 3 2 4 4 3" xfId="6392"/>
    <cellStyle name="Total 2 3 2 4 5" xfId="6393"/>
    <cellStyle name="Total 2 3 2 4 5 2" xfId="6394"/>
    <cellStyle name="Total 2 3 2 4 6" xfId="6395"/>
    <cellStyle name="Total 2 3 2 5" xfId="6396"/>
    <cellStyle name="Total 2 3 2 5 2" xfId="6397"/>
    <cellStyle name="Total 2 3 3" xfId="6398"/>
    <cellStyle name="Total 2 3 3 2" xfId="6399"/>
    <cellStyle name="Total 2 3 3 2 2" xfId="6400"/>
    <cellStyle name="Total 2 3 3 2 2 2" xfId="6401"/>
    <cellStyle name="Total 2 3 3 2 2 2 2" xfId="6402"/>
    <cellStyle name="Total 2 3 3 2 2 3" xfId="6403"/>
    <cellStyle name="Total 2 3 3 2 3" xfId="6404"/>
    <cellStyle name="Total 2 3 3 2 3 2" xfId="6405"/>
    <cellStyle name="Total 2 3 3 2 4" xfId="6406"/>
    <cellStyle name="Total 2 3 3 3" xfId="6407"/>
    <cellStyle name="Total 2 3 3 3 2" xfId="6408"/>
    <cellStyle name="Total 2 3 3 3 2 2" xfId="6409"/>
    <cellStyle name="Total 2 3 3 3 3" xfId="6410"/>
    <cellStyle name="Total 2 3 3 3 4" xfId="6411"/>
    <cellStyle name="Total 2 3 3 4" xfId="6412"/>
    <cellStyle name="Total 2 3 3 4 2" xfId="6413"/>
    <cellStyle name="Total 2 3 3 4 2 2" xfId="6414"/>
    <cellStyle name="Total 2 3 3 4 3" xfId="6415"/>
    <cellStyle name="Total 2 3 3 5" xfId="6416"/>
    <cellStyle name="Total 2 3 3 5 2" xfId="6417"/>
    <cellStyle name="Total 2 3 3 6" xfId="6418"/>
    <cellStyle name="Total 2 3 4" xfId="6419"/>
    <cellStyle name="Total 2 3 4 2" xfId="6420"/>
    <cellStyle name="Total 2 3 4 2 2" xfId="6421"/>
    <cellStyle name="Total 2 3 4 2 2 2" xfId="6422"/>
    <cellStyle name="Total 2 3 4 2 2 2 2" xfId="6423"/>
    <cellStyle name="Total 2 3 4 2 2 3" xfId="6424"/>
    <cellStyle name="Total 2 3 4 2 3" xfId="6425"/>
    <cellStyle name="Total 2 3 4 2 3 2" xfId="6426"/>
    <cellStyle name="Total 2 3 4 2 4" xfId="6427"/>
    <cellStyle name="Total 2 3 4 3" xfId="6428"/>
    <cellStyle name="Total 2 3 4 3 2" xfId="6429"/>
    <cellStyle name="Total 2 3 4 3 2 2" xfId="6430"/>
    <cellStyle name="Total 2 3 4 3 3" xfId="6431"/>
    <cellStyle name="Total 2 3 4 3 4" xfId="6432"/>
    <cellStyle name="Total 2 3 4 4" xfId="6433"/>
    <cellStyle name="Total 2 3 4 4 2" xfId="6434"/>
    <cellStyle name="Total 2 3 4 4 2 2" xfId="6435"/>
    <cellStyle name="Total 2 3 4 4 3" xfId="6436"/>
    <cellStyle name="Total 2 3 4 5" xfId="6437"/>
    <cellStyle name="Total 2 3 4 5 2" xfId="6438"/>
    <cellStyle name="Total 2 3 4 6" xfId="6439"/>
    <cellStyle name="Total 2 3 5" xfId="6440"/>
    <cellStyle name="Total 2 3 5 2" xfId="6441"/>
    <cellStyle name="Total 2 3 5 2 2" xfId="6442"/>
    <cellStyle name="Total 2 3 5 2 2 2" xfId="6443"/>
    <cellStyle name="Total 2 3 5 2 2 2 2" xfId="6444"/>
    <cellStyle name="Total 2 3 5 2 2 3" xfId="6445"/>
    <cellStyle name="Total 2 3 5 2 3" xfId="6446"/>
    <cellStyle name="Total 2 3 5 2 3 2" xfId="6447"/>
    <cellStyle name="Total 2 3 5 2 4" xfId="6448"/>
    <cellStyle name="Total 2 3 5 3" xfId="6449"/>
    <cellStyle name="Total 2 3 5 3 2" xfId="6450"/>
    <cellStyle name="Total 2 3 5 3 2 2" xfId="6451"/>
    <cellStyle name="Total 2 3 5 3 3" xfId="6452"/>
    <cellStyle name="Total 2 3 5 3 4" xfId="6453"/>
    <cellStyle name="Total 2 3 5 4" xfId="6454"/>
    <cellStyle name="Total 2 3 5 4 2" xfId="6455"/>
    <cellStyle name="Total 2 3 5 4 2 2" xfId="6456"/>
    <cellStyle name="Total 2 3 5 4 3" xfId="6457"/>
    <cellStyle name="Total 2 3 5 5" xfId="6458"/>
    <cellStyle name="Total 2 3 5 5 2" xfId="6459"/>
    <cellStyle name="Total 2 3 5 6" xfId="6460"/>
    <cellStyle name="Total 2 3 6" xfId="6461"/>
    <cellStyle name="Total 2 3 6 2" xfId="6462"/>
    <cellStyle name="Total 2 4" xfId="6463"/>
    <cellStyle name="Total 2 4 2" xfId="6464"/>
    <cellStyle name="Total 2 4 2 2" xfId="6465"/>
    <cellStyle name="Total 2 4 2 2 2" xfId="6466"/>
    <cellStyle name="Total 2 4 2 2 2 2" xfId="6467"/>
    <cellStyle name="Total 2 4 2 2 2 2 2" xfId="6468"/>
    <cellStyle name="Total 2 4 2 2 2 3" xfId="6469"/>
    <cellStyle name="Total 2 4 2 2 3" xfId="6470"/>
    <cellStyle name="Total 2 4 2 2 3 2" xfId="6471"/>
    <cellStyle name="Total 2 4 2 2 4" xfId="6472"/>
    <cellStyle name="Total 2 4 2 3" xfId="6473"/>
    <cellStyle name="Total 2 4 2 3 2" xfId="6474"/>
    <cellStyle name="Total 2 4 2 3 2 2" xfId="6475"/>
    <cellStyle name="Total 2 4 2 3 3" xfId="6476"/>
    <cellStyle name="Total 2 4 2 3 4" xfId="6477"/>
    <cellStyle name="Total 2 4 2 4" xfId="6478"/>
    <cellStyle name="Total 2 4 2 4 2" xfId="6479"/>
    <cellStyle name="Total 2 4 2 4 2 2" xfId="6480"/>
    <cellStyle name="Total 2 4 2 4 3" xfId="6481"/>
    <cellStyle name="Total 2 4 2 5" xfId="6482"/>
    <cellStyle name="Total 2 4 2 5 2" xfId="6483"/>
    <cellStyle name="Total 2 4 2 6" xfId="6484"/>
    <cellStyle name="Total 2 4 3" xfId="6485"/>
    <cellStyle name="Total 2 4 3 2" xfId="6486"/>
    <cellStyle name="Total 2 4 3 2 2" xfId="6487"/>
    <cellStyle name="Total 2 4 3 2 2 2" xfId="6488"/>
    <cellStyle name="Total 2 4 3 2 2 2 2" xfId="6489"/>
    <cellStyle name="Total 2 4 3 2 2 3" xfId="6490"/>
    <cellStyle name="Total 2 4 3 2 3" xfId="6491"/>
    <cellStyle name="Total 2 4 3 2 3 2" xfId="6492"/>
    <cellStyle name="Total 2 4 3 2 4" xfId="6493"/>
    <cellStyle name="Total 2 4 3 3" xfId="6494"/>
    <cellStyle name="Total 2 4 3 3 2" xfId="6495"/>
    <cellStyle name="Total 2 4 3 3 2 2" xfId="6496"/>
    <cellStyle name="Total 2 4 3 3 3" xfId="6497"/>
    <cellStyle name="Total 2 4 3 3 4" xfId="6498"/>
    <cellStyle name="Total 2 4 3 4" xfId="6499"/>
    <cellStyle name="Total 2 4 3 4 2" xfId="6500"/>
    <cellStyle name="Total 2 4 3 4 2 2" xfId="6501"/>
    <cellStyle name="Total 2 4 3 4 3" xfId="6502"/>
    <cellStyle name="Total 2 4 3 5" xfId="6503"/>
    <cellStyle name="Total 2 4 3 5 2" xfId="6504"/>
    <cellStyle name="Total 2 4 3 6" xfId="6505"/>
    <cellStyle name="Total 2 4 4" xfId="6506"/>
    <cellStyle name="Total 2 4 4 2" xfId="6507"/>
    <cellStyle name="Total 2 4 4 2 2" xfId="6508"/>
    <cellStyle name="Total 2 4 4 2 2 2" xfId="6509"/>
    <cellStyle name="Total 2 4 4 2 2 2 2" xfId="6510"/>
    <cellStyle name="Total 2 4 4 2 2 3" xfId="6511"/>
    <cellStyle name="Total 2 4 4 2 3" xfId="6512"/>
    <cellStyle name="Total 2 4 4 2 3 2" xfId="6513"/>
    <cellStyle name="Total 2 4 4 2 4" xfId="6514"/>
    <cellStyle name="Total 2 4 4 3" xfId="6515"/>
    <cellStyle name="Total 2 4 4 3 2" xfId="6516"/>
    <cellStyle name="Total 2 4 4 3 2 2" xfId="6517"/>
    <cellStyle name="Total 2 4 4 3 3" xfId="6518"/>
    <cellStyle name="Total 2 4 4 3 4" xfId="6519"/>
    <cellStyle name="Total 2 4 4 4" xfId="6520"/>
    <cellStyle name="Total 2 4 4 4 2" xfId="6521"/>
    <cellStyle name="Total 2 4 4 4 2 2" xfId="6522"/>
    <cellStyle name="Total 2 4 4 4 3" xfId="6523"/>
    <cellStyle name="Total 2 4 4 5" xfId="6524"/>
    <cellStyle name="Total 2 4 4 5 2" xfId="6525"/>
    <cellStyle name="Total 2 4 4 6" xfId="6526"/>
    <cellStyle name="Total 2 4 5" xfId="6527"/>
    <cellStyle name="Total 2 4 5 2" xfId="6528"/>
    <cellStyle name="Total 2 5" xfId="6529"/>
    <cellStyle name="Total 2 5 2" xfId="6530"/>
    <cellStyle name="Total 2 5 2 2" xfId="6531"/>
    <cellStyle name="Total 2 5 2 2 2" xfId="6532"/>
    <cellStyle name="Total 2 5 2 2 2 2" xfId="6533"/>
    <cellStyle name="Total 2 5 2 2 2 2 2" xfId="6534"/>
    <cellStyle name="Total 2 5 2 2 2 3" xfId="6535"/>
    <cellStyle name="Total 2 5 2 2 3" xfId="6536"/>
    <cellStyle name="Total 2 5 2 2 3 2" xfId="6537"/>
    <cellStyle name="Total 2 5 2 2 4" xfId="6538"/>
    <cellStyle name="Total 2 5 2 3" xfId="6539"/>
    <cellStyle name="Total 2 5 2 3 2" xfId="6540"/>
    <cellStyle name="Total 2 5 2 3 2 2" xfId="6541"/>
    <cellStyle name="Total 2 5 2 3 3" xfId="6542"/>
    <cellStyle name="Total 2 5 2 3 4" xfId="6543"/>
    <cellStyle name="Total 2 5 2 4" xfId="6544"/>
    <cellStyle name="Total 2 5 2 4 2" xfId="6545"/>
    <cellStyle name="Total 2 5 2 4 2 2" xfId="6546"/>
    <cellStyle name="Total 2 5 2 4 3" xfId="6547"/>
    <cellStyle name="Total 2 5 2 5" xfId="6548"/>
    <cellStyle name="Total 2 5 2 5 2" xfId="6549"/>
    <cellStyle name="Total 2 5 2 6" xfId="6550"/>
    <cellStyle name="Total 2 5 3" xfId="6551"/>
    <cellStyle name="Total 2 5 3 2" xfId="6552"/>
    <cellStyle name="Total 2 5 3 2 2" xfId="6553"/>
    <cellStyle name="Total 2 5 3 2 2 2" xfId="6554"/>
    <cellStyle name="Total 2 5 3 2 2 2 2" xfId="6555"/>
    <cellStyle name="Total 2 5 3 2 2 3" xfId="6556"/>
    <cellStyle name="Total 2 5 3 2 3" xfId="6557"/>
    <cellStyle name="Total 2 5 3 2 3 2" xfId="6558"/>
    <cellStyle name="Total 2 5 3 2 4" xfId="6559"/>
    <cellStyle name="Total 2 5 3 3" xfId="6560"/>
    <cellStyle name="Total 2 5 3 3 2" xfId="6561"/>
    <cellStyle name="Total 2 5 3 3 2 2" xfId="6562"/>
    <cellStyle name="Total 2 5 3 3 3" xfId="6563"/>
    <cellStyle name="Total 2 5 3 3 4" xfId="6564"/>
    <cellStyle name="Total 2 5 3 4" xfId="6565"/>
    <cellStyle name="Total 2 5 3 4 2" xfId="6566"/>
    <cellStyle name="Total 2 5 3 4 2 2" xfId="6567"/>
    <cellStyle name="Total 2 5 3 4 3" xfId="6568"/>
    <cellStyle name="Total 2 5 3 5" xfId="6569"/>
    <cellStyle name="Total 2 5 3 5 2" xfId="6570"/>
    <cellStyle name="Total 2 5 3 6" xfId="6571"/>
    <cellStyle name="Total 2 5 4" xfId="6572"/>
    <cellStyle name="Total 2 5 4 2" xfId="6573"/>
    <cellStyle name="Total 2 5 4 2 2" xfId="6574"/>
    <cellStyle name="Total 2 5 4 2 2 2" xfId="6575"/>
    <cellStyle name="Total 2 5 4 2 3" xfId="6576"/>
    <cellStyle name="Total 2 5 4 3" xfId="6577"/>
    <cellStyle name="Total 2 5 4 3 2" xfId="6578"/>
    <cellStyle name="Total 2 5 4 4" xfId="6579"/>
    <cellStyle name="Total 2 5 5" xfId="6580"/>
    <cellStyle name="Total 2 5 5 2" xfId="6581"/>
    <cellStyle name="Total 2 5 5 2 2" xfId="6582"/>
    <cellStyle name="Total 2 5 5 3" xfId="6583"/>
    <cellStyle name="Total 2 5 5 4" xfId="6584"/>
    <cellStyle name="Total 2 5 6" xfId="6585"/>
    <cellStyle name="Total 2 5 6 2" xfId="6586"/>
    <cellStyle name="Total 2 5 6 2 2" xfId="6587"/>
    <cellStyle name="Total 2 5 6 3" xfId="6588"/>
    <cellStyle name="Total 2 5 7" xfId="6589"/>
    <cellStyle name="Total 2 5 7 2" xfId="6590"/>
    <cellStyle name="Total 2 5 8" xfId="6591"/>
    <cellStyle name="Total 2 6" xfId="6592"/>
    <cellStyle name="Total 2 6 2" xfId="6593"/>
    <cellStyle name="Total 2 6 2 2" xfId="6594"/>
    <cellStyle name="Total 2 6 2 2 2" xfId="6595"/>
    <cellStyle name="Total 2 6 2 2 2 2" xfId="6596"/>
    <cellStyle name="Total 2 6 2 2 3" xfId="6597"/>
    <cellStyle name="Total 2 6 2 3" xfId="6598"/>
    <cellStyle name="Total 2 6 2 3 2" xfId="6599"/>
    <cellStyle name="Total 2 6 2 4" xfId="6600"/>
    <cellStyle name="Total 2 6 3" xfId="6601"/>
    <cellStyle name="Total 2 6 3 2" xfId="6602"/>
    <cellStyle name="Total 2 6 3 2 2" xfId="6603"/>
    <cellStyle name="Total 2 6 3 3" xfId="6604"/>
    <cellStyle name="Total 2 6 3 4" xfId="6605"/>
    <cellStyle name="Total 2 6 4" xfId="6606"/>
    <cellStyle name="Total 2 6 4 2" xfId="6607"/>
    <cellStyle name="Total 2 6 4 2 2" xfId="6608"/>
    <cellStyle name="Total 2 6 4 3" xfId="6609"/>
    <cellStyle name="Total 2 6 5" xfId="6610"/>
    <cellStyle name="Total 2 6 5 2" xfId="6611"/>
    <cellStyle name="Total 2 6 6" xfId="6612"/>
    <cellStyle name="Total 3" xfId="6613"/>
    <cellStyle name="Total 3 2" xfId="6614"/>
    <cellStyle name="Total 3 2 2" xfId="6615"/>
    <cellStyle name="Total 3 2 2 2" xfId="6616"/>
    <cellStyle name="Total 3 2 2 2 2" xfId="6617"/>
    <cellStyle name="Total 3 2 2 2 2 2" xfId="6618"/>
    <cellStyle name="Total 3 2 2 2 2 2 2" xfId="6619"/>
    <cellStyle name="Total 3 2 2 2 2 2 2 2" xfId="6620"/>
    <cellStyle name="Total 3 2 2 2 2 2 3" xfId="6621"/>
    <cellStyle name="Total 3 2 2 2 2 3" xfId="6622"/>
    <cellStyle name="Total 3 2 2 2 2 3 2" xfId="6623"/>
    <cellStyle name="Total 3 2 2 2 2 4" xfId="6624"/>
    <cellStyle name="Total 3 2 2 2 3" xfId="6625"/>
    <cellStyle name="Total 3 2 2 2 3 2" xfId="6626"/>
    <cellStyle name="Total 3 2 2 2 3 2 2" xfId="6627"/>
    <cellStyle name="Total 3 2 2 2 3 3" xfId="6628"/>
    <cellStyle name="Total 3 2 2 2 3 4" xfId="6629"/>
    <cellStyle name="Total 3 2 2 2 4" xfId="6630"/>
    <cellStyle name="Total 3 2 2 2 4 2" xfId="6631"/>
    <cellStyle name="Total 3 2 2 2 4 2 2" xfId="6632"/>
    <cellStyle name="Total 3 2 2 2 4 3" xfId="6633"/>
    <cellStyle name="Total 3 2 2 2 5" xfId="6634"/>
    <cellStyle name="Total 3 2 2 2 5 2" xfId="6635"/>
    <cellStyle name="Total 3 2 2 2 6" xfId="6636"/>
    <cellStyle name="Total 3 2 2 3" xfId="6637"/>
    <cellStyle name="Total 3 2 2 3 2" xfId="6638"/>
    <cellStyle name="Total 3 2 2 3 2 2" xfId="6639"/>
    <cellStyle name="Total 3 2 2 3 2 2 2" xfId="6640"/>
    <cellStyle name="Total 3 2 2 3 2 2 2 2" xfId="6641"/>
    <cellStyle name="Total 3 2 2 3 2 2 3" xfId="6642"/>
    <cellStyle name="Total 3 2 2 3 2 3" xfId="6643"/>
    <cellStyle name="Total 3 2 2 3 2 3 2" xfId="6644"/>
    <cellStyle name="Total 3 2 2 3 2 4" xfId="6645"/>
    <cellStyle name="Total 3 2 2 3 3" xfId="6646"/>
    <cellStyle name="Total 3 2 2 3 3 2" xfId="6647"/>
    <cellStyle name="Total 3 2 2 3 3 2 2" xfId="6648"/>
    <cellStyle name="Total 3 2 2 3 3 3" xfId="6649"/>
    <cellStyle name="Total 3 2 2 3 3 4" xfId="6650"/>
    <cellStyle name="Total 3 2 2 3 4" xfId="6651"/>
    <cellStyle name="Total 3 2 2 3 4 2" xfId="6652"/>
    <cellStyle name="Total 3 2 2 3 4 2 2" xfId="6653"/>
    <cellStyle name="Total 3 2 2 3 4 3" xfId="6654"/>
    <cellStyle name="Total 3 2 2 3 5" xfId="6655"/>
    <cellStyle name="Total 3 2 2 3 5 2" xfId="6656"/>
    <cellStyle name="Total 3 2 2 3 6" xfId="6657"/>
    <cellStyle name="Total 3 2 2 4" xfId="6658"/>
    <cellStyle name="Total 3 2 2 4 2" xfId="6659"/>
    <cellStyle name="Total 3 2 2 4 2 2" xfId="6660"/>
    <cellStyle name="Total 3 2 2 4 2 2 2" xfId="6661"/>
    <cellStyle name="Total 3 2 2 4 2 2 2 2" xfId="6662"/>
    <cellStyle name="Total 3 2 2 4 2 2 3" xfId="6663"/>
    <cellStyle name="Total 3 2 2 4 2 3" xfId="6664"/>
    <cellStyle name="Total 3 2 2 4 2 3 2" xfId="6665"/>
    <cellStyle name="Total 3 2 2 4 2 4" xfId="6666"/>
    <cellStyle name="Total 3 2 2 4 3" xfId="6667"/>
    <cellStyle name="Total 3 2 2 4 3 2" xfId="6668"/>
    <cellStyle name="Total 3 2 2 4 3 2 2" xfId="6669"/>
    <cellStyle name="Total 3 2 2 4 3 3" xfId="6670"/>
    <cellStyle name="Total 3 2 2 4 3 4" xfId="6671"/>
    <cellStyle name="Total 3 2 2 4 4" xfId="6672"/>
    <cellStyle name="Total 3 2 2 4 4 2" xfId="6673"/>
    <cellStyle name="Total 3 2 2 4 4 2 2" xfId="6674"/>
    <cellStyle name="Total 3 2 2 4 4 3" xfId="6675"/>
    <cellStyle name="Total 3 2 2 4 5" xfId="6676"/>
    <cellStyle name="Total 3 2 2 4 5 2" xfId="6677"/>
    <cellStyle name="Total 3 2 2 4 6" xfId="6678"/>
    <cellStyle name="Total 3 2 2 5" xfId="6679"/>
    <cellStyle name="Total 3 2 2 5 2" xfId="6680"/>
    <cellStyle name="Total 3 2 3" xfId="6681"/>
    <cellStyle name="Total 3 2 3 2" xfId="6682"/>
    <cellStyle name="Total 3 2 3 2 2" xfId="6683"/>
    <cellStyle name="Total 3 2 3 2 2 2" xfId="6684"/>
    <cellStyle name="Total 3 2 3 2 2 2 2" xfId="6685"/>
    <cellStyle name="Total 3 2 3 2 2 3" xfId="6686"/>
    <cellStyle name="Total 3 2 3 2 3" xfId="6687"/>
    <cellStyle name="Total 3 2 3 2 3 2" xfId="6688"/>
    <cellStyle name="Total 3 2 3 2 4" xfId="6689"/>
    <cellStyle name="Total 3 2 3 3" xfId="6690"/>
    <cellStyle name="Total 3 2 3 3 2" xfId="6691"/>
    <cellStyle name="Total 3 2 3 3 2 2" xfId="6692"/>
    <cellStyle name="Total 3 2 3 3 3" xfId="6693"/>
    <cellStyle name="Total 3 2 3 3 4" xfId="6694"/>
    <cellStyle name="Total 3 2 3 4" xfId="6695"/>
    <cellStyle name="Total 3 2 3 4 2" xfId="6696"/>
    <cellStyle name="Total 3 2 3 4 2 2" xfId="6697"/>
    <cellStyle name="Total 3 2 3 4 3" xfId="6698"/>
    <cellStyle name="Total 3 2 3 5" xfId="6699"/>
    <cellStyle name="Total 3 2 3 5 2" xfId="6700"/>
    <cellStyle name="Total 3 2 3 6" xfId="6701"/>
    <cellStyle name="Total 3 2 4" xfId="6702"/>
    <cellStyle name="Total 3 2 4 2" xfId="6703"/>
    <cellStyle name="Total 3 2 4 2 2" xfId="6704"/>
    <cellStyle name="Total 3 2 4 2 2 2" xfId="6705"/>
    <cellStyle name="Total 3 2 4 2 2 2 2" xfId="6706"/>
    <cellStyle name="Total 3 2 4 2 2 3" xfId="6707"/>
    <cellStyle name="Total 3 2 4 2 3" xfId="6708"/>
    <cellStyle name="Total 3 2 4 2 3 2" xfId="6709"/>
    <cellStyle name="Total 3 2 4 2 4" xfId="6710"/>
    <cellStyle name="Total 3 2 4 3" xfId="6711"/>
    <cellStyle name="Total 3 2 4 3 2" xfId="6712"/>
    <cellStyle name="Total 3 2 4 3 2 2" xfId="6713"/>
    <cellStyle name="Total 3 2 4 3 3" xfId="6714"/>
    <cellStyle name="Total 3 2 4 3 4" xfId="6715"/>
    <cellStyle name="Total 3 2 4 4" xfId="6716"/>
    <cellStyle name="Total 3 2 4 4 2" xfId="6717"/>
    <cellStyle name="Total 3 2 4 4 2 2" xfId="6718"/>
    <cellStyle name="Total 3 2 4 4 3" xfId="6719"/>
    <cellStyle name="Total 3 2 4 5" xfId="6720"/>
    <cellStyle name="Total 3 2 4 5 2" xfId="6721"/>
    <cellStyle name="Total 3 2 4 6" xfId="6722"/>
    <cellStyle name="Total 3 2 5" xfId="6723"/>
    <cellStyle name="Total 3 2 5 2" xfId="6724"/>
    <cellStyle name="Total 3 2 5 2 2" xfId="6725"/>
    <cellStyle name="Total 3 2 5 2 2 2" xfId="6726"/>
    <cellStyle name="Total 3 2 5 2 2 2 2" xfId="6727"/>
    <cellStyle name="Total 3 2 5 2 2 3" xfId="6728"/>
    <cellStyle name="Total 3 2 5 2 3" xfId="6729"/>
    <cellStyle name="Total 3 2 5 2 3 2" xfId="6730"/>
    <cellStyle name="Total 3 2 5 2 4" xfId="6731"/>
    <cellStyle name="Total 3 2 5 3" xfId="6732"/>
    <cellStyle name="Total 3 2 5 3 2" xfId="6733"/>
    <cellStyle name="Total 3 2 5 3 2 2" xfId="6734"/>
    <cellStyle name="Total 3 2 5 3 3" xfId="6735"/>
    <cellStyle name="Total 3 2 5 3 4" xfId="6736"/>
    <cellStyle name="Total 3 2 5 4" xfId="6737"/>
    <cellStyle name="Total 3 2 5 4 2" xfId="6738"/>
    <cellStyle name="Total 3 2 5 4 2 2" xfId="6739"/>
    <cellStyle name="Total 3 2 5 4 3" xfId="6740"/>
    <cellStyle name="Total 3 2 5 5" xfId="6741"/>
    <cellStyle name="Total 3 2 5 5 2" xfId="6742"/>
    <cellStyle name="Total 3 2 5 6" xfId="6743"/>
    <cellStyle name="Total 3 2 6" xfId="6744"/>
    <cellStyle name="Total 3 2 6 2" xfId="6745"/>
    <cellStyle name="Total 3 3" xfId="6746"/>
    <cellStyle name="Total 3 3 2" xfId="6747"/>
    <cellStyle name="Total 3 3 2 2" xfId="6748"/>
    <cellStyle name="Total 3 3 2 2 2" xfId="6749"/>
    <cellStyle name="Total 3 3 2 2 2 2" xfId="6750"/>
    <cellStyle name="Total 3 3 2 2 2 2 2" xfId="6751"/>
    <cellStyle name="Total 3 3 2 2 2 3" xfId="6752"/>
    <cellStyle name="Total 3 3 2 2 3" xfId="6753"/>
    <cellStyle name="Total 3 3 2 2 3 2" xfId="6754"/>
    <cellStyle name="Total 3 3 2 2 4" xfId="6755"/>
    <cellStyle name="Total 3 3 2 3" xfId="6756"/>
    <cellStyle name="Total 3 3 2 3 2" xfId="6757"/>
    <cellStyle name="Total 3 3 2 3 2 2" xfId="6758"/>
    <cellStyle name="Total 3 3 2 3 3" xfId="6759"/>
    <cellStyle name="Total 3 3 2 3 4" xfId="6760"/>
    <cellStyle name="Total 3 3 2 4" xfId="6761"/>
    <cellStyle name="Total 3 3 2 4 2" xfId="6762"/>
    <cellStyle name="Total 3 3 2 4 2 2" xfId="6763"/>
    <cellStyle name="Total 3 3 2 4 3" xfId="6764"/>
    <cellStyle name="Total 3 3 2 5" xfId="6765"/>
    <cellStyle name="Total 3 3 2 5 2" xfId="6766"/>
    <cellStyle name="Total 3 3 2 6" xfId="6767"/>
    <cellStyle name="Total 3 3 3" xfId="6768"/>
    <cellStyle name="Total 3 3 3 2" xfId="6769"/>
    <cellStyle name="Total 3 3 3 2 2" xfId="6770"/>
    <cellStyle name="Total 3 3 3 2 2 2" xfId="6771"/>
    <cellStyle name="Total 3 3 3 2 2 2 2" xfId="6772"/>
    <cellStyle name="Total 3 3 3 2 2 3" xfId="6773"/>
    <cellStyle name="Total 3 3 3 2 3" xfId="6774"/>
    <cellStyle name="Total 3 3 3 2 3 2" xfId="6775"/>
    <cellStyle name="Total 3 3 3 2 4" xfId="6776"/>
    <cellStyle name="Total 3 3 3 3" xfId="6777"/>
    <cellStyle name="Total 3 3 3 3 2" xfId="6778"/>
    <cellStyle name="Total 3 3 3 3 2 2" xfId="6779"/>
    <cellStyle name="Total 3 3 3 3 3" xfId="6780"/>
    <cellStyle name="Total 3 3 3 3 4" xfId="6781"/>
    <cellStyle name="Total 3 3 3 4" xfId="6782"/>
    <cellStyle name="Total 3 3 3 4 2" xfId="6783"/>
    <cellStyle name="Total 3 3 3 4 2 2" xfId="6784"/>
    <cellStyle name="Total 3 3 3 4 3" xfId="6785"/>
    <cellStyle name="Total 3 3 3 5" xfId="6786"/>
    <cellStyle name="Total 3 3 3 5 2" xfId="6787"/>
    <cellStyle name="Total 3 3 3 6" xfId="6788"/>
    <cellStyle name="Total 3 3 4" xfId="6789"/>
    <cellStyle name="Total 3 3 4 2" xfId="6790"/>
    <cellStyle name="Total 3 3 4 2 2" xfId="6791"/>
    <cellStyle name="Total 3 3 4 2 2 2" xfId="6792"/>
    <cellStyle name="Total 3 3 4 2 2 2 2" xfId="6793"/>
    <cellStyle name="Total 3 3 4 2 2 3" xfId="6794"/>
    <cellStyle name="Total 3 3 4 2 3" xfId="6795"/>
    <cellStyle name="Total 3 3 4 2 3 2" xfId="6796"/>
    <cellStyle name="Total 3 3 4 2 4" xfId="6797"/>
    <cellStyle name="Total 3 3 4 3" xfId="6798"/>
    <cellStyle name="Total 3 3 4 3 2" xfId="6799"/>
    <cellStyle name="Total 3 3 4 3 2 2" xfId="6800"/>
    <cellStyle name="Total 3 3 4 3 3" xfId="6801"/>
    <cellStyle name="Total 3 3 4 3 4" xfId="6802"/>
    <cellStyle name="Total 3 3 4 4" xfId="6803"/>
    <cellStyle name="Total 3 3 4 4 2" xfId="6804"/>
    <cellStyle name="Total 3 3 4 4 2 2" xfId="6805"/>
    <cellStyle name="Total 3 3 4 4 3" xfId="6806"/>
    <cellStyle name="Total 3 3 4 5" xfId="6807"/>
    <cellStyle name="Total 3 3 4 5 2" xfId="6808"/>
    <cellStyle name="Total 3 3 4 6" xfId="6809"/>
    <cellStyle name="Total 3 3 5" xfId="6810"/>
    <cellStyle name="Total 3 3 5 2" xfId="6811"/>
    <cellStyle name="Total 3 4" xfId="6812"/>
    <cellStyle name="Total 3 4 2" xfId="6813"/>
    <cellStyle name="Total 3 4 2 2" xfId="6814"/>
    <cellStyle name="Total 3 4 2 2 2" xfId="6815"/>
    <cellStyle name="Total 3 4 2 2 2 2" xfId="6816"/>
    <cellStyle name="Total 3 4 2 2 2 2 2" xfId="6817"/>
    <cellStyle name="Total 3 4 2 2 2 3" xfId="6818"/>
    <cellStyle name="Total 3 4 2 2 3" xfId="6819"/>
    <cellStyle name="Total 3 4 2 2 3 2" xfId="6820"/>
    <cellStyle name="Total 3 4 2 2 4" xfId="6821"/>
    <cellStyle name="Total 3 4 2 3" xfId="6822"/>
    <cellStyle name="Total 3 4 2 3 2" xfId="6823"/>
    <cellStyle name="Total 3 4 2 3 2 2" xfId="6824"/>
    <cellStyle name="Total 3 4 2 3 3" xfId="6825"/>
    <cellStyle name="Total 3 4 2 3 4" xfId="6826"/>
    <cellStyle name="Total 3 4 2 4" xfId="6827"/>
    <cellStyle name="Total 3 4 2 4 2" xfId="6828"/>
    <cellStyle name="Total 3 4 2 4 2 2" xfId="6829"/>
    <cellStyle name="Total 3 4 2 4 3" xfId="6830"/>
    <cellStyle name="Total 3 4 2 5" xfId="6831"/>
    <cellStyle name="Total 3 4 2 5 2" xfId="6832"/>
    <cellStyle name="Total 3 4 2 6" xfId="6833"/>
    <cellStyle name="Total 3 4 3" xfId="6834"/>
    <cellStyle name="Total 3 4 3 2" xfId="6835"/>
    <cellStyle name="Total 3 4 3 2 2" xfId="6836"/>
    <cellStyle name="Total 3 4 3 2 2 2" xfId="6837"/>
    <cellStyle name="Total 3 4 3 2 2 2 2" xfId="6838"/>
    <cellStyle name="Total 3 4 3 2 2 3" xfId="6839"/>
    <cellStyle name="Total 3 4 3 2 3" xfId="6840"/>
    <cellStyle name="Total 3 4 3 2 3 2" xfId="6841"/>
    <cellStyle name="Total 3 4 3 2 4" xfId="6842"/>
    <cellStyle name="Total 3 4 3 3" xfId="6843"/>
    <cellStyle name="Total 3 4 3 3 2" xfId="6844"/>
    <cellStyle name="Total 3 4 3 3 2 2" xfId="6845"/>
    <cellStyle name="Total 3 4 3 3 3" xfId="6846"/>
    <cellStyle name="Total 3 4 3 3 4" xfId="6847"/>
    <cellStyle name="Total 3 4 3 4" xfId="6848"/>
    <cellStyle name="Total 3 4 3 4 2" xfId="6849"/>
    <cellStyle name="Total 3 4 3 4 2 2" xfId="6850"/>
    <cellStyle name="Total 3 4 3 4 3" xfId="6851"/>
    <cellStyle name="Total 3 4 3 5" xfId="6852"/>
    <cellStyle name="Total 3 4 3 5 2" xfId="6853"/>
    <cellStyle name="Total 3 4 3 6" xfId="6854"/>
    <cellStyle name="Total 3 4 4" xfId="6855"/>
    <cellStyle name="Total 3 4 4 2" xfId="6856"/>
    <cellStyle name="Total 3 4 4 2 2" xfId="6857"/>
    <cellStyle name="Total 3 4 4 2 2 2" xfId="6858"/>
    <cellStyle name="Total 3 4 4 2 3" xfId="6859"/>
    <cellStyle name="Total 3 4 4 3" xfId="6860"/>
    <cellStyle name="Total 3 4 4 3 2" xfId="6861"/>
    <cellStyle name="Total 3 4 4 4" xfId="6862"/>
    <cellStyle name="Total 3 4 5" xfId="6863"/>
    <cellStyle name="Total 3 4 5 2" xfId="6864"/>
    <cellStyle name="Total 3 4 5 2 2" xfId="6865"/>
    <cellStyle name="Total 3 4 5 3" xfId="6866"/>
    <cellStyle name="Total 3 4 5 4" xfId="6867"/>
    <cellStyle name="Total 3 4 6" xfId="6868"/>
    <cellStyle name="Total 3 4 6 2" xfId="6869"/>
    <cellStyle name="Total 3 4 6 2 2" xfId="6870"/>
    <cellStyle name="Total 3 4 6 3" xfId="6871"/>
    <cellStyle name="Total 3 4 7" xfId="6872"/>
    <cellStyle name="Total 3 4 7 2" xfId="6873"/>
    <cellStyle name="Total 3 4 8" xfId="6874"/>
    <cellStyle name="Total 3 5" xfId="6875"/>
    <cellStyle name="Total 3 5 2" xfId="6876"/>
    <cellStyle name="Total 3 5 2 2" xfId="6877"/>
    <cellStyle name="Total 3 5 2 2 2" xfId="6878"/>
    <cellStyle name="Total 3 5 2 2 2 2" xfId="6879"/>
    <cellStyle name="Total 3 5 2 2 3" xfId="6880"/>
    <cellStyle name="Total 3 5 2 3" xfId="6881"/>
    <cellStyle name="Total 3 5 2 3 2" xfId="6882"/>
    <cellStyle name="Total 3 5 2 4" xfId="6883"/>
    <cellStyle name="Total 3 5 3" xfId="6884"/>
    <cellStyle name="Total 3 5 3 2" xfId="6885"/>
    <cellStyle name="Total 3 5 3 2 2" xfId="6886"/>
    <cellStyle name="Total 3 5 3 3" xfId="6887"/>
    <cellStyle name="Total 3 5 3 4" xfId="6888"/>
    <cellStyle name="Total 3 5 4" xfId="6889"/>
    <cellStyle name="Total 3 5 4 2" xfId="6890"/>
    <cellStyle name="Total 3 5 4 2 2" xfId="6891"/>
    <cellStyle name="Total 3 5 4 3" xfId="6892"/>
    <cellStyle name="Total 3 5 5" xfId="6893"/>
    <cellStyle name="Total 3 5 5 2" xfId="6894"/>
    <cellStyle name="Total 3 5 6" xfId="6895"/>
    <cellStyle name="Total 4" xfId="6896"/>
    <cellStyle name="Total 4 2" xfId="6897"/>
    <cellStyle name="Total 4 2 2" xfId="6898"/>
    <cellStyle name="Total 4 2 2 2" xfId="6899"/>
    <cellStyle name="Total 4 2 2 2 2" xfId="6900"/>
    <cellStyle name="Total 4 2 2 2 2 2" xfId="6901"/>
    <cellStyle name="Total 4 2 2 2 2 2 2" xfId="6902"/>
    <cellStyle name="Total 4 2 2 2 2 3" xfId="6903"/>
    <cellStyle name="Total 4 2 2 2 3" xfId="6904"/>
    <cellStyle name="Total 4 2 2 2 3 2" xfId="6905"/>
    <cellStyle name="Total 4 2 2 2 4" xfId="6906"/>
    <cellStyle name="Total 4 2 2 3" xfId="6907"/>
    <cellStyle name="Total 4 2 2 3 2" xfId="6908"/>
    <cellStyle name="Total 4 2 2 3 2 2" xfId="6909"/>
    <cellStyle name="Total 4 2 2 3 3" xfId="6910"/>
    <cellStyle name="Total 4 2 2 3 4" xfId="6911"/>
    <cellStyle name="Total 4 2 2 4" xfId="6912"/>
    <cellStyle name="Total 4 2 2 4 2" xfId="6913"/>
    <cellStyle name="Total 4 2 2 4 2 2" xfId="6914"/>
    <cellStyle name="Total 4 2 2 4 3" xfId="6915"/>
    <cellStyle name="Total 4 2 2 5" xfId="6916"/>
    <cellStyle name="Total 4 2 2 5 2" xfId="6917"/>
    <cellStyle name="Total 4 2 2 6" xfId="6918"/>
    <cellStyle name="Total 4 2 3" xfId="6919"/>
    <cellStyle name="Total 4 2 3 2" xfId="6920"/>
    <cellStyle name="Total 4 2 3 2 2" xfId="6921"/>
    <cellStyle name="Total 4 2 3 2 2 2" xfId="6922"/>
    <cellStyle name="Total 4 2 3 2 2 2 2" xfId="6923"/>
    <cellStyle name="Total 4 2 3 2 2 3" xfId="6924"/>
    <cellStyle name="Total 4 2 3 2 3" xfId="6925"/>
    <cellStyle name="Total 4 2 3 2 3 2" xfId="6926"/>
    <cellStyle name="Total 4 2 3 2 4" xfId="6927"/>
    <cellStyle name="Total 4 2 3 3" xfId="6928"/>
    <cellStyle name="Total 4 2 3 3 2" xfId="6929"/>
    <cellStyle name="Total 4 2 3 3 2 2" xfId="6930"/>
    <cellStyle name="Total 4 2 3 3 3" xfId="6931"/>
    <cellStyle name="Total 4 2 3 3 4" xfId="6932"/>
    <cellStyle name="Total 4 2 3 4" xfId="6933"/>
    <cellStyle name="Total 4 2 3 4 2" xfId="6934"/>
    <cellStyle name="Total 4 2 3 4 2 2" xfId="6935"/>
    <cellStyle name="Total 4 2 3 4 3" xfId="6936"/>
    <cellStyle name="Total 4 2 3 5" xfId="6937"/>
    <cellStyle name="Total 4 2 3 5 2" xfId="6938"/>
    <cellStyle name="Total 4 2 3 6" xfId="6939"/>
    <cellStyle name="Total 4 2 4" xfId="6940"/>
    <cellStyle name="Total 4 2 4 2" xfId="6941"/>
    <cellStyle name="Total 4 2 4 2 2" xfId="6942"/>
    <cellStyle name="Total 4 2 4 2 2 2" xfId="6943"/>
    <cellStyle name="Total 4 2 4 2 2 2 2" xfId="6944"/>
    <cellStyle name="Total 4 2 4 2 2 3" xfId="6945"/>
    <cellStyle name="Total 4 2 4 2 3" xfId="6946"/>
    <cellStyle name="Total 4 2 4 2 3 2" xfId="6947"/>
    <cellStyle name="Total 4 2 4 2 4" xfId="6948"/>
    <cellStyle name="Total 4 2 4 3" xfId="6949"/>
    <cellStyle name="Total 4 2 4 3 2" xfId="6950"/>
    <cellStyle name="Total 4 2 4 3 2 2" xfId="6951"/>
    <cellStyle name="Total 4 2 4 3 3" xfId="6952"/>
    <cellStyle name="Total 4 2 4 3 4" xfId="6953"/>
    <cellStyle name="Total 4 2 4 4" xfId="6954"/>
    <cellStyle name="Total 4 2 4 4 2" xfId="6955"/>
    <cellStyle name="Total 4 2 4 4 2 2" xfId="6956"/>
    <cellStyle name="Total 4 2 4 4 3" xfId="6957"/>
    <cellStyle name="Total 4 2 4 5" xfId="6958"/>
    <cellStyle name="Total 4 2 4 5 2" xfId="6959"/>
    <cellStyle name="Total 4 2 4 6" xfId="6960"/>
    <cellStyle name="Total 4 2 5" xfId="6961"/>
    <cellStyle name="Total 4 2 5 2" xfId="6962"/>
    <cellStyle name="Total 4 3" xfId="6963"/>
    <cellStyle name="Total 4 3 2" xfId="6964"/>
    <cellStyle name="Total 4 3 2 2" xfId="6965"/>
    <cellStyle name="Total 4 3 2 2 2" xfId="6966"/>
    <cellStyle name="Total 4 3 2 2 2 2" xfId="6967"/>
    <cellStyle name="Total 4 3 2 2 2 2 2" xfId="6968"/>
    <cellStyle name="Total 4 3 2 2 2 3" xfId="6969"/>
    <cellStyle name="Total 4 3 2 2 3" xfId="6970"/>
    <cellStyle name="Total 4 3 2 2 3 2" xfId="6971"/>
    <cellStyle name="Total 4 3 2 2 4" xfId="6972"/>
    <cellStyle name="Total 4 3 2 3" xfId="6973"/>
    <cellStyle name="Total 4 3 2 3 2" xfId="6974"/>
    <cellStyle name="Total 4 3 2 3 2 2" xfId="6975"/>
    <cellStyle name="Total 4 3 2 3 3" xfId="6976"/>
    <cellStyle name="Total 4 3 2 3 4" xfId="6977"/>
    <cellStyle name="Total 4 3 2 4" xfId="6978"/>
    <cellStyle name="Total 4 3 2 4 2" xfId="6979"/>
    <cellStyle name="Total 4 3 2 4 2 2" xfId="6980"/>
    <cellStyle name="Total 4 3 2 4 3" xfId="6981"/>
    <cellStyle name="Total 4 3 2 5" xfId="6982"/>
    <cellStyle name="Total 4 3 2 5 2" xfId="6983"/>
    <cellStyle name="Total 4 3 2 6" xfId="6984"/>
    <cellStyle name="Total 4 3 3" xfId="6985"/>
    <cellStyle name="Total 4 3 3 2" xfId="6986"/>
    <cellStyle name="Total 4 3 3 2 2" xfId="6987"/>
    <cellStyle name="Total 4 3 3 2 2 2" xfId="6988"/>
    <cellStyle name="Total 4 3 3 2 2 2 2" xfId="6989"/>
    <cellStyle name="Total 4 3 3 2 2 3" xfId="6990"/>
    <cellStyle name="Total 4 3 3 2 3" xfId="6991"/>
    <cellStyle name="Total 4 3 3 2 3 2" xfId="6992"/>
    <cellStyle name="Total 4 3 3 2 4" xfId="6993"/>
    <cellStyle name="Total 4 3 3 3" xfId="6994"/>
    <cellStyle name="Total 4 3 3 3 2" xfId="6995"/>
    <cellStyle name="Total 4 3 3 3 2 2" xfId="6996"/>
    <cellStyle name="Total 4 3 3 3 3" xfId="6997"/>
    <cellStyle name="Total 4 3 3 3 4" xfId="6998"/>
    <cellStyle name="Total 4 3 3 4" xfId="6999"/>
    <cellStyle name="Total 4 3 3 4 2" xfId="7000"/>
    <cellStyle name="Total 4 3 3 4 2 2" xfId="7001"/>
    <cellStyle name="Total 4 3 3 4 3" xfId="7002"/>
    <cellStyle name="Total 4 3 3 5" xfId="7003"/>
    <cellStyle name="Total 4 3 3 5 2" xfId="7004"/>
    <cellStyle name="Total 4 3 3 6" xfId="7005"/>
    <cellStyle name="Total 4 3 4" xfId="7006"/>
    <cellStyle name="Total 4 3 4 2" xfId="7007"/>
    <cellStyle name="Total 4 3 4 2 2" xfId="7008"/>
    <cellStyle name="Total 4 3 4 2 2 2" xfId="7009"/>
    <cellStyle name="Total 4 3 4 2 3" xfId="7010"/>
    <cellStyle name="Total 4 3 4 3" xfId="7011"/>
    <cellStyle name="Total 4 3 4 3 2" xfId="7012"/>
    <cellStyle name="Total 4 3 4 4" xfId="7013"/>
    <cellStyle name="Total 4 3 5" xfId="7014"/>
    <cellStyle name="Total 4 3 5 2" xfId="7015"/>
    <cellStyle name="Total 4 3 5 2 2" xfId="7016"/>
    <cellStyle name="Total 4 3 5 3" xfId="7017"/>
    <cellStyle name="Total 4 3 5 4" xfId="7018"/>
    <cellStyle name="Total 4 3 6" xfId="7019"/>
    <cellStyle name="Total 4 3 6 2" xfId="7020"/>
    <cellStyle name="Total 4 3 6 2 2" xfId="7021"/>
    <cellStyle name="Total 4 3 6 3" xfId="7022"/>
    <cellStyle name="Total 4 3 7" xfId="7023"/>
    <cellStyle name="Total 4 3 7 2" xfId="7024"/>
    <cellStyle name="Total 4 3 8" xfId="7025"/>
    <cellStyle name="Total 4 4" xfId="7026"/>
    <cellStyle name="Total 4 4 2" xfId="7027"/>
    <cellStyle name="Total 4 4 2 2" xfId="7028"/>
    <cellStyle name="Total 4 4 2 2 2" xfId="7029"/>
    <cellStyle name="Total 4 4 2 2 2 2" xfId="7030"/>
    <cellStyle name="Total 4 4 2 2 3" xfId="7031"/>
    <cellStyle name="Total 4 4 2 3" xfId="7032"/>
    <cellStyle name="Total 4 4 2 3 2" xfId="7033"/>
    <cellStyle name="Total 4 4 2 4" xfId="7034"/>
    <cellStyle name="Total 4 4 3" xfId="7035"/>
    <cellStyle name="Total 4 4 3 2" xfId="7036"/>
    <cellStyle name="Total 4 4 3 2 2" xfId="7037"/>
    <cellStyle name="Total 4 4 3 3" xfId="7038"/>
    <cellStyle name="Total 4 4 3 4" xfId="7039"/>
    <cellStyle name="Total 4 4 4" xfId="7040"/>
    <cellStyle name="Total 4 4 4 2" xfId="7041"/>
    <cellStyle name="Total 4 4 4 2 2" xfId="7042"/>
    <cellStyle name="Total 4 4 4 3" xfId="7043"/>
    <cellStyle name="Total 4 4 5" xfId="7044"/>
    <cellStyle name="Total 4 4 5 2" xfId="7045"/>
    <cellStyle name="Total 4 4 6" xfId="7046"/>
    <cellStyle name="Total 5" xfId="7047"/>
    <cellStyle name="Total 5 2" xfId="7048"/>
    <cellStyle name="Total 5 2 2" xfId="7049"/>
    <cellStyle name="Total 5 2 2 2" xfId="7050"/>
    <cellStyle name="Total 5 2 2 2 2" xfId="7051"/>
    <cellStyle name="Total 5 2 2 2 2 2" xfId="7052"/>
    <cellStyle name="Total 5 2 2 2 2 2 2" xfId="7053"/>
    <cellStyle name="Total 5 2 2 2 2 3" xfId="7054"/>
    <cellStyle name="Total 5 2 2 2 3" xfId="7055"/>
    <cellStyle name="Total 5 2 2 2 3 2" xfId="7056"/>
    <cellStyle name="Total 5 2 2 2 4" xfId="7057"/>
    <cellStyle name="Total 5 2 2 3" xfId="7058"/>
    <cellStyle name="Total 5 2 2 3 2" xfId="7059"/>
    <cellStyle name="Total 5 2 2 3 2 2" xfId="7060"/>
    <cellStyle name="Total 5 2 2 3 3" xfId="7061"/>
    <cellStyle name="Total 5 2 2 3 4" xfId="7062"/>
    <cellStyle name="Total 5 2 2 4" xfId="7063"/>
    <cellStyle name="Total 5 2 2 4 2" xfId="7064"/>
    <cellStyle name="Total 5 2 2 4 2 2" xfId="7065"/>
    <cellStyle name="Total 5 2 2 4 3" xfId="7066"/>
    <cellStyle name="Total 5 2 2 5" xfId="7067"/>
    <cellStyle name="Total 5 2 2 5 2" xfId="7068"/>
    <cellStyle name="Total 5 2 2 6" xfId="7069"/>
    <cellStyle name="Total 5 2 3" xfId="7070"/>
    <cellStyle name="Total 5 2 3 2" xfId="7071"/>
    <cellStyle name="Total 5 2 3 2 2" xfId="7072"/>
    <cellStyle name="Total 5 2 3 2 2 2" xfId="7073"/>
    <cellStyle name="Total 5 2 3 2 2 2 2" xfId="7074"/>
    <cellStyle name="Total 5 2 3 2 2 3" xfId="7075"/>
    <cellStyle name="Total 5 2 3 2 3" xfId="7076"/>
    <cellStyle name="Total 5 2 3 2 3 2" xfId="7077"/>
    <cellStyle name="Total 5 2 3 2 4" xfId="7078"/>
    <cellStyle name="Total 5 2 3 3" xfId="7079"/>
    <cellStyle name="Total 5 2 3 3 2" xfId="7080"/>
    <cellStyle name="Total 5 2 3 3 2 2" xfId="7081"/>
    <cellStyle name="Total 5 2 3 3 3" xfId="7082"/>
    <cellStyle name="Total 5 2 3 3 4" xfId="7083"/>
    <cellStyle name="Total 5 2 3 4" xfId="7084"/>
    <cellStyle name="Total 5 2 3 4 2" xfId="7085"/>
    <cellStyle name="Total 5 2 3 4 2 2" xfId="7086"/>
    <cellStyle name="Total 5 2 3 4 3" xfId="7087"/>
    <cellStyle name="Total 5 2 3 5" xfId="7088"/>
    <cellStyle name="Total 5 2 3 5 2" xfId="7089"/>
    <cellStyle name="Total 5 2 3 6" xfId="7090"/>
    <cellStyle name="Total 5 2 4" xfId="7091"/>
    <cellStyle name="Total 5 2 4 2" xfId="7092"/>
    <cellStyle name="Total 5 2 4 2 2" xfId="7093"/>
    <cellStyle name="Total 5 2 4 2 2 2" xfId="7094"/>
    <cellStyle name="Total 5 2 4 2 2 2 2" xfId="7095"/>
    <cellStyle name="Total 5 2 4 2 2 3" xfId="7096"/>
    <cellStyle name="Total 5 2 4 2 3" xfId="7097"/>
    <cellStyle name="Total 5 2 4 2 3 2" xfId="7098"/>
    <cellStyle name="Total 5 2 4 2 4" xfId="7099"/>
    <cellStyle name="Total 5 2 4 3" xfId="7100"/>
    <cellStyle name="Total 5 2 4 3 2" xfId="7101"/>
    <cellStyle name="Total 5 2 4 3 2 2" xfId="7102"/>
    <cellStyle name="Total 5 2 4 3 3" xfId="7103"/>
    <cellStyle name="Total 5 2 4 3 4" xfId="7104"/>
    <cellStyle name="Total 5 2 4 4" xfId="7105"/>
    <cellStyle name="Total 5 2 4 4 2" xfId="7106"/>
    <cellStyle name="Total 5 2 4 4 2 2" xfId="7107"/>
    <cellStyle name="Total 5 2 4 4 3" xfId="7108"/>
    <cellStyle name="Total 5 2 4 5" xfId="7109"/>
    <cellStyle name="Total 5 2 4 5 2" xfId="7110"/>
    <cellStyle name="Total 5 2 4 6" xfId="7111"/>
    <cellStyle name="Total 5 2 5" xfId="7112"/>
    <cellStyle name="Total 5 2 5 2" xfId="7113"/>
    <cellStyle name="Total 5 3" xfId="7114"/>
    <cellStyle name="Total 5 3 2" xfId="7115"/>
    <cellStyle name="Total 5 3 2 2" xfId="7116"/>
    <cellStyle name="Total 5 3 2 2 2" xfId="7117"/>
    <cellStyle name="Total 5 3 2 2 2 2" xfId="7118"/>
    <cellStyle name="Total 5 3 2 2 2 2 2" xfId="7119"/>
    <cellStyle name="Total 5 3 2 2 2 3" xfId="7120"/>
    <cellStyle name="Total 5 3 2 2 3" xfId="7121"/>
    <cellStyle name="Total 5 3 2 2 3 2" xfId="7122"/>
    <cellStyle name="Total 5 3 2 2 4" xfId="7123"/>
    <cellStyle name="Total 5 3 2 3" xfId="7124"/>
    <cellStyle name="Total 5 3 2 3 2" xfId="7125"/>
    <cellStyle name="Total 5 3 2 3 2 2" xfId="7126"/>
    <cellStyle name="Total 5 3 2 3 3" xfId="7127"/>
    <cellStyle name="Total 5 3 2 3 4" xfId="7128"/>
    <cellStyle name="Total 5 3 2 4" xfId="7129"/>
    <cellStyle name="Total 5 3 2 4 2" xfId="7130"/>
    <cellStyle name="Total 5 3 2 4 2 2" xfId="7131"/>
    <cellStyle name="Total 5 3 2 4 3" xfId="7132"/>
    <cellStyle name="Total 5 3 2 5" xfId="7133"/>
    <cellStyle name="Total 5 3 2 5 2" xfId="7134"/>
    <cellStyle name="Total 5 3 2 6" xfId="7135"/>
    <cellStyle name="Total 5 3 3" xfId="7136"/>
    <cellStyle name="Total 5 3 3 2" xfId="7137"/>
    <cellStyle name="Total 5 3 3 2 2" xfId="7138"/>
    <cellStyle name="Total 5 3 3 2 2 2" xfId="7139"/>
    <cellStyle name="Total 5 3 3 2 2 2 2" xfId="7140"/>
    <cellStyle name="Total 5 3 3 2 2 3" xfId="7141"/>
    <cellStyle name="Total 5 3 3 2 3" xfId="7142"/>
    <cellStyle name="Total 5 3 3 2 3 2" xfId="7143"/>
    <cellStyle name="Total 5 3 3 2 4" xfId="7144"/>
    <cellStyle name="Total 5 3 3 3" xfId="7145"/>
    <cellStyle name="Total 5 3 3 3 2" xfId="7146"/>
    <cellStyle name="Total 5 3 3 3 2 2" xfId="7147"/>
    <cellStyle name="Total 5 3 3 3 3" xfId="7148"/>
    <cellStyle name="Total 5 3 3 3 4" xfId="7149"/>
    <cellStyle name="Total 5 3 3 4" xfId="7150"/>
    <cellStyle name="Total 5 3 3 4 2" xfId="7151"/>
    <cellStyle name="Total 5 3 3 4 2 2" xfId="7152"/>
    <cellStyle name="Total 5 3 3 4 3" xfId="7153"/>
    <cellStyle name="Total 5 3 3 5" xfId="7154"/>
    <cellStyle name="Total 5 3 3 5 2" xfId="7155"/>
    <cellStyle name="Total 5 3 3 6" xfId="7156"/>
    <cellStyle name="Total 5 3 4" xfId="7157"/>
    <cellStyle name="Total 5 3 4 2" xfId="7158"/>
    <cellStyle name="Total 5 3 4 2 2" xfId="7159"/>
    <cellStyle name="Total 5 3 4 2 2 2" xfId="7160"/>
    <cellStyle name="Total 5 3 4 2 3" xfId="7161"/>
    <cellStyle name="Total 5 3 4 3" xfId="7162"/>
    <cellStyle name="Total 5 3 4 3 2" xfId="7163"/>
    <cellStyle name="Total 5 3 4 4" xfId="7164"/>
    <cellStyle name="Total 5 3 5" xfId="7165"/>
    <cellStyle name="Total 5 3 5 2" xfId="7166"/>
    <cellStyle name="Total 5 3 5 2 2" xfId="7167"/>
    <cellStyle name="Total 5 3 5 3" xfId="7168"/>
    <cellStyle name="Total 5 3 5 4" xfId="7169"/>
    <cellStyle name="Total 5 3 6" xfId="7170"/>
    <cellStyle name="Total 5 3 6 2" xfId="7171"/>
    <cellStyle name="Total 5 3 6 2 2" xfId="7172"/>
    <cellStyle name="Total 5 3 6 3" xfId="7173"/>
    <cellStyle name="Total 5 3 7" xfId="7174"/>
    <cellStyle name="Total 5 3 7 2" xfId="7175"/>
    <cellStyle name="Total 5 3 8" xfId="7176"/>
    <cellStyle name="Total 5 4" xfId="7177"/>
    <cellStyle name="Total 5 4 2" xfId="7178"/>
    <cellStyle name="Total 5 4 2 2" xfId="7179"/>
    <cellStyle name="Total 5 4 2 2 2" xfId="7180"/>
    <cellStyle name="Total 5 4 2 2 2 2" xfId="7181"/>
    <cellStyle name="Total 5 4 2 2 3" xfId="7182"/>
    <cellStyle name="Total 5 4 2 3" xfId="7183"/>
    <cellStyle name="Total 5 4 2 3 2" xfId="7184"/>
    <cellStyle name="Total 5 4 2 4" xfId="7185"/>
    <cellStyle name="Total 5 4 3" xfId="7186"/>
    <cellStyle name="Total 5 4 3 2" xfId="7187"/>
    <cellStyle name="Total 5 4 3 2 2" xfId="7188"/>
    <cellStyle name="Total 5 4 3 3" xfId="7189"/>
    <cellStyle name="Total 5 4 3 4" xfId="7190"/>
    <cellStyle name="Total 5 4 4" xfId="7191"/>
    <cellStyle name="Total 5 4 4 2" xfId="7192"/>
    <cellStyle name="Total 5 4 4 2 2" xfId="7193"/>
    <cellStyle name="Total 5 4 4 3" xfId="7194"/>
    <cellStyle name="Total 5 4 5" xfId="7195"/>
    <cellStyle name="Total 5 4 5 2" xfId="7196"/>
    <cellStyle name="Total 5 4 6" xfId="7197"/>
    <cellStyle name="Total 5 5" xfId="7198"/>
    <cellStyle name="Total 5 5 2" xfId="7199"/>
    <cellStyle name="Total 6" xfId="7200"/>
    <cellStyle name="Total 6 2" xfId="7201"/>
    <cellStyle name="Total 6 2 2" xfId="7202"/>
    <cellStyle name="Total 6 2 2 2" xfId="7203"/>
    <cellStyle name="Total 6 2 2 2 2" xfId="7204"/>
    <cellStyle name="Total 6 2 2 2 2 2" xfId="7205"/>
    <cellStyle name="Total 6 2 2 2 2 2 2" xfId="7206"/>
    <cellStyle name="Total 6 2 2 2 2 3" xfId="7207"/>
    <cellStyle name="Total 6 2 2 2 3" xfId="7208"/>
    <cellStyle name="Total 6 2 2 2 3 2" xfId="7209"/>
    <cellStyle name="Total 6 2 2 2 4" xfId="7210"/>
    <cellStyle name="Total 6 2 2 3" xfId="7211"/>
    <cellStyle name="Total 6 2 2 3 2" xfId="7212"/>
    <cellStyle name="Total 6 2 2 3 2 2" xfId="7213"/>
    <cellStyle name="Total 6 2 2 3 3" xfId="7214"/>
    <cellStyle name="Total 6 2 2 3 4" xfId="7215"/>
    <cellStyle name="Total 6 2 2 4" xfId="7216"/>
    <cellStyle name="Total 6 2 2 4 2" xfId="7217"/>
    <cellStyle name="Total 6 2 2 4 2 2" xfId="7218"/>
    <cellStyle name="Total 6 2 2 4 3" xfId="7219"/>
    <cellStyle name="Total 6 2 2 5" xfId="7220"/>
    <cellStyle name="Total 6 2 2 5 2" xfId="7221"/>
    <cellStyle name="Total 6 2 2 6" xfId="7222"/>
    <cellStyle name="Total 6 2 3" xfId="7223"/>
    <cellStyle name="Total 6 2 3 2" xfId="7224"/>
    <cellStyle name="Total 6 2 3 2 2" xfId="7225"/>
    <cellStyle name="Total 6 2 3 2 2 2" xfId="7226"/>
    <cellStyle name="Total 6 2 3 2 2 2 2" xfId="7227"/>
    <cellStyle name="Total 6 2 3 2 2 3" xfId="7228"/>
    <cellStyle name="Total 6 2 3 2 3" xfId="7229"/>
    <cellStyle name="Total 6 2 3 2 3 2" xfId="7230"/>
    <cellStyle name="Total 6 2 3 2 4" xfId="7231"/>
    <cellStyle name="Total 6 2 3 3" xfId="7232"/>
    <cellStyle name="Total 6 2 3 3 2" xfId="7233"/>
    <cellStyle name="Total 6 2 3 3 2 2" xfId="7234"/>
    <cellStyle name="Total 6 2 3 3 3" xfId="7235"/>
    <cellStyle name="Total 6 2 3 3 4" xfId="7236"/>
    <cellStyle name="Total 6 2 3 4" xfId="7237"/>
    <cellStyle name="Total 6 2 3 4 2" xfId="7238"/>
    <cellStyle name="Total 6 2 3 4 2 2" xfId="7239"/>
    <cellStyle name="Total 6 2 3 4 3" xfId="7240"/>
    <cellStyle name="Total 6 2 3 5" xfId="7241"/>
    <cellStyle name="Total 6 2 3 5 2" xfId="7242"/>
    <cellStyle name="Total 6 2 3 6" xfId="7243"/>
    <cellStyle name="Total 6 2 4" xfId="7244"/>
    <cellStyle name="Total 6 2 4 2" xfId="7245"/>
    <cellStyle name="Total 6 2 4 2 2" xfId="7246"/>
    <cellStyle name="Total 6 2 4 2 2 2" xfId="7247"/>
    <cellStyle name="Total 6 2 4 2 3" xfId="7248"/>
    <cellStyle name="Total 6 2 4 3" xfId="7249"/>
    <cellStyle name="Total 6 2 4 3 2" xfId="7250"/>
    <cellStyle name="Total 6 2 4 4" xfId="7251"/>
    <cellStyle name="Total 6 2 5" xfId="7252"/>
    <cellStyle name="Total 6 2 5 2" xfId="7253"/>
    <cellStyle name="Total 6 2 5 2 2" xfId="7254"/>
    <cellStyle name="Total 6 2 5 3" xfId="7255"/>
    <cellStyle name="Total 6 2 5 4" xfId="7256"/>
    <cellStyle name="Total 6 2 6" xfId="7257"/>
    <cellStyle name="Total 6 2 6 2" xfId="7258"/>
    <cellStyle name="Total 6 2 6 2 2" xfId="7259"/>
    <cellStyle name="Total 6 2 6 3" xfId="7260"/>
    <cellStyle name="Total 6 2 7" xfId="7261"/>
    <cellStyle name="Total 6 2 7 2" xfId="7262"/>
    <cellStyle name="Total 6 2 8" xfId="7263"/>
    <cellStyle name="Total 6 3" xfId="7264"/>
    <cellStyle name="Total 6 3 2" xfId="7265"/>
    <cellStyle name="Total 6 3 2 2" xfId="7266"/>
    <cellStyle name="Total 6 3 2 2 2" xfId="7267"/>
    <cellStyle name="Total 6 3 2 2 2 2" xfId="7268"/>
    <cellStyle name="Total 6 3 2 2 3" xfId="7269"/>
    <cellStyle name="Total 6 3 2 3" xfId="7270"/>
    <cellStyle name="Total 6 3 2 3 2" xfId="7271"/>
    <cellStyle name="Total 6 3 2 4" xfId="7272"/>
    <cellStyle name="Total 6 3 3" xfId="7273"/>
    <cellStyle name="Total 6 3 3 2" xfId="7274"/>
    <cellStyle name="Total 6 3 3 2 2" xfId="7275"/>
    <cellStyle name="Total 6 3 3 3" xfId="7276"/>
    <cellStyle name="Total 6 3 3 4" xfId="7277"/>
    <cellStyle name="Total 6 3 4" xfId="7278"/>
    <cellStyle name="Total 6 3 4 2" xfId="7279"/>
    <cellStyle name="Total 6 3 4 2 2" xfId="7280"/>
    <cellStyle name="Total 6 3 4 3" xfId="7281"/>
    <cellStyle name="Total 6 3 5" xfId="7282"/>
    <cellStyle name="Total 6 3 5 2" xfId="7283"/>
    <cellStyle name="Total 6 3 6" xfId="7284"/>
    <cellStyle name="Total 6 4" xfId="7285"/>
    <cellStyle name="Total 6 4 2" xfId="7286"/>
    <cellStyle name="Total 7" xfId="7287"/>
    <cellStyle name="Total 7 2" xfId="7288"/>
    <cellStyle name="Total 7 2 2" xfId="7289"/>
    <cellStyle name="Total 7 2 2 2" xfId="7290"/>
    <cellStyle name="Total 7 2 2 2 2" xfId="7291"/>
    <cellStyle name="Total 7 2 2 2 2 2" xfId="7292"/>
    <cellStyle name="Total 7 2 2 2 3" xfId="7293"/>
    <cellStyle name="Total 7 2 2 3" xfId="7294"/>
    <cellStyle name="Total 7 2 2 3 2" xfId="7295"/>
    <cellStyle name="Total 7 2 2 4" xfId="7296"/>
    <cellStyle name="Total 7 2 3" xfId="7297"/>
    <cellStyle name="Total 7 2 3 2" xfId="7298"/>
    <cellStyle name="Total 7 2 3 2 2" xfId="7299"/>
    <cellStyle name="Total 7 2 3 3" xfId="7300"/>
    <cellStyle name="Total 7 2 3 4" xfId="7301"/>
    <cellStyle name="Total 7 2 4" xfId="7302"/>
    <cellStyle name="Total 7 2 4 2" xfId="7303"/>
    <cellStyle name="Total 7 2 4 2 2" xfId="7304"/>
    <cellStyle name="Total 7 2 4 3" xfId="7305"/>
    <cellStyle name="Total 7 2 5" xfId="7306"/>
    <cellStyle name="Total 7 2 5 2" xfId="7307"/>
    <cellStyle name="Total 7 2 6" xfId="7308"/>
    <cellStyle name="Total 7 3" xfId="7309"/>
    <cellStyle name="Total 7 3 2" xfId="7310"/>
    <cellStyle name="Total 7 3 2 2" xfId="7311"/>
    <cellStyle name="Total 7 3 2 2 2" xfId="7312"/>
    <cellStyle name="Total 7 3 2 2 2 2" xfId="7313"/>
    <cellStyle name="Total 7 3 2 2 3" xfId="7314"/>
    <cellStyle name="Total 7 3 2 3" xfId="7315"/>
    <cellStyle name="Total 7 3 2 3 2" xfId="7316"/>
    <cellStyle name="Total 7 3 2 4" xfId="7317"/>
    <cellStyle name="Total 7 3 3" xfId="7318"/>
    <cellStyle name="Total 7 3 3 2" xfId="7319"/>
    <cellStyle name="Total 7 3 3 2 2" xfId="7320"/>
    <cellStyle name="Total 7 3 3 3" xfId="7321"/>
    <cellStyle name="Total 7 3 3 4" xfId="7322"/>
    <cellStyle name="Total 7 3 4" xfId="7323"/>
    <cellStyle name="Total 7 3 4 2" xfId="7324"/>
    <cellStyle name="Total 7 3 4 2 2" xfId="7325"/>
    <cellStyle name="Total 7 3 4 3" xfId="7326"/>
    <cellStyle name="Total 7 3 5" xfId="7327"/>
    <cellStyle name="Total 7 3 5 2" xfId="7328"/>
    <cellStyle name="Total 7 3 6" xfId="7329"/>
    <cellStyle name="Total 7 4" xfId="7330"/>
    <cellStyle name="Total 7 4 2" xfId="7331"/>
    <cellStyle name="Total 7 4 2 2" xfId="7332"/>
    <cellStyle name="Total 7 4 2 2 2" xfId="7333"/>
    <cellStyle name="Total 7 4 2 3" xfId="7334"/>
    <cellStyle name="Total 7 4 3" xfId="7335"/>
    <cellStyle name="Total 7 4 3 2" xfId="7336"/>
    <cellStyle name="Total 7 4 4" xfId="7337"/>
    <cellStyle name="Total 7 5" xfId="7338"/>
    <cellStyle name="Total 7 5 2" xfId="7339"/>
    <cellStyle name="Total 7 5 2 2" xfId="7340"/>
    <cellStyle name="Total 7 5 3" xfId="7341"/>
    <cellStyle name="Total 7 5 4" xfId="7342"/>
    <cellStyle name="Total 7 6" xfId="7343"/>
    <cellStyle name="Total 7 6 2" xfId="7344"/>
    <cellStyle name="Total 7 6 2 2" xfId="7345"/>
    <cellStyle name="Total 7 6 3" xfId="7346"/>
    <cellStyle name="Total 7 7" xfId="7347"/>
    <cellStyle name="Total 7 7 2" xfId="7348"/>
    <cellStyle name="Total 7 8" xfId="7349"/>
    <cellStyle name="toto" xfId="7350"/>
    <cellStyle name="Warning Text" xfId="7636" builtinId="11" customBuiltin="1"/>
    <cellStyle name="Warning Text 2" xfId="7351"/>
    <cellStyle name="Warning Text 3" xfId="7352"/>
    <cellStyle name="パーセント 2" xfId="7353"/>
    <cellStyle name="桁区切り 2" xfId="7354"/>
    <cellStyle name="桁区切り_DegitalOption_test" xfId="7355"/>
    <cellStyle name="標準 2" xfId="7356"/>
    <cellStyle name="標準 3" xfId="7357"/>
    <cellStyle name="標準 4" xfId="7358"/>
    <cellStyle name="標準_examplePortfolio" xfId="7359"/>
  </cellStyles>
  <dxfs count="0"/>
  <tableStyles count="0" defaultTableStyle="TableStyleMedium2" defaultPivotStyle="PivotStyleLight16"/>
  <colors>
    <mruColors>
      <color rgb="FF006600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21/05/2016</v>
        <stp/>
        <stp>##V3_BDPV12</stp>
        <stp>AU000XCLWAR9 Govt</stp>
        <stp>FIRST_CPN_DT</stp>
        <stp>[AUD_ASSETSWAP.XLSX]AUD ASW!R19C6</stp>
        <tr r="F19" s="5"/>
      </tp>
      <tp>
        <v>2.767976</v>
        <stp/>
        <stp>##V3_BDPV12</stp>
        <stp>AU000XCLWAR9 Govt</stp>
        <stp>YAS_BOND_YLD</stp>
        <stp>[AUD_ASSETSWAP.XLSX]AUD ASW!R13C3</stp>
        <tr r="C13" s="5"/>
      </tp>
      <tp t="s">
        <v>21/11/2015</v>
        <stp/>
        <stp>##V3_BDPV12</stp>
        <stp>AU000XCLWAR9 Govt</stp>
        <stp>START_ACC_DT</stp>
        <stp>[AUD_ASSETSWAP.XLSX]AUD ASW!R18C6</stp>
        <tr r="F18" s="5"/>
      </tp>
    </main>
    <main first="bloomberg.rtd">
      <tp>
        <v>2.06</v>
        <stp/>
        <stp>##V3_BDPV12</stp>
        <stp>ADBB12M CMPN Curncy</stp>
        <stp>PX_ASK</stp>
        <stp>[AUD_ASSETSWAP.XLSX]AUD ASW!R42C16</stp>
        <tr r="P42" s="5"/>
      </tp>
      <tp>
        <v>23</v>
        <stp/>
        <stp>##V3_BDPV12</stp>
        <stp>AU000XCLWAR9 Govt</stp>
        <stp>CALC_TYP</stp>
        <stp>[AUD_ASSETSWAP.XLSX]AUD ASW!R31C6</stp>
        <tr r="F31" s="5"/>
      </tp>
      <tp>
        <v>1.9153</v>
        <stp/>
        <stp>##V3_BDHV12</stp>
        <stp>ADBB3M CMPN Curncy</stp>
        <stp>PX_ASK</stp>
        <stp>14/05/2018</stp>
        <stp>14/05/2018</stp>
        <stp>[AUD_ASSETSWAP.XLSX]AUD ASW!R15C14</stp>
        <tr r="N15" s="5"/>
      </tp>
      <tp t="s">
        <v>21/05/2028</v>
        <stp/>
        <stp>##V3_BDPV12</stp>
        <stp>AU000XCLWAR9 Govt</stp>
        <stp>MATURITY</stp>
        <stp>[AUD_ASSETSWAP.XLSX]AUD ASW!R21C6</stp>
        <tr r="F21" s="5"/>
      </tp>
      <tp>
        <v>1.5</v>
        <stp/>
        <stp>##V3_BDPV12</stp>
        <stp>RBACOR Index</stp>
        <stp>PX_LAST</stp>
        <stp>[AUD_ASSETSWAP.XLSX]AUD ASW!R37C16</stp>
        <tr r="P37" s="5"/>
      </tp>
      <tp t="s">
        <v>19/05/2016</v>
        <stp/>
        <stp>##V3_BDPV12</stp>
        <stp>AU000XCLWAR9 Govt</stp>
        <stp>ISSUE_DT</stp>
        <stp>[AUD_ASSETSWAP.XLSX]AUD ASW!R17C6</stp>
        <tr r="F17" s="5"/>
      </tp>
      <tp t="s">
        <v>21/05/2018</v>
        <stp/>
        <stp>##V3_BDPV12</stp>
        <stp>AU000XCLWAR9 Govt</stp>
        <stp>NXT_CPN_DT</stp>
        <stp>[AUD_ASSETSWAP.XLSX]AUD ASW!R33C6</stp>
        <tr r="F33" s="5"/>
      </tp>
      <tp>
        <v>2.25</v>
        <stp/>
        <stp>##V3_BDPV12</stp>
        <stp>AU000XCLWAR9 Govt</stp>
        <stp>CPN</stp>
        <stp>[AUD_ASSETSWAP.XLSX]AUD ASW!R22C6</stp>
        <tr r="F22" s="5"/>
      </tp>
      <tp t="s">
        <v>21/11/2027</v>
        <stp/>
        <stp>##V3_BDPV12</stp>
        <stp>AU000XCLWAR9 Govt</stp>
        <stp>PENULTIMATE_CPN_DT</stp>
        <stp>[AUD_ASSETSWAP.XLSX]AUD ASW!R20C6</stp>
        <tr r="F20" s="5"/>
      </tp>
      <tp>
        <v>1.82</v>
        <stp/>
        <stp>##V3_BDPV12</stp>
        <stp>ADBB1M CMPN Curncy</stp>
        <stp>PX_ASK</stp>
        <stp>[AUD_ASSETSWAP.XLSX]AUD ASW!R38C16</stp>
        <tr r="P38" s="5"/>
      </tp>
      <tp>
        <v>1.87</v>
        <stp/>
        <stp>##V3_BDPV12</stp>
        <stp>ADBB2M CMPN Curncy</stp>
        <stp>PX_ASK</stp>
        <stp>[AUD_ASSETSWAP.XLSX]AUD ASW!R39C16</stp>
        <tr r="P39" s="5"/>
      </tp>
      <tp>
        <v>1.9153</v>
        <stp/>
        <stp>##V3_BDPV12</stp>
        <stp>ADBB3M CMPN Curncy</stp>
        <stp>PX_ASK</stp>
        <stp>[AUD_ASSETSWAP.XLSX]AUD ASW!R40C16</stp>
        <tr r="P40" s="5"/>
      </tp>
      <tp>
        <v>2.0099999999999998</v>
        <stp/>
        <stp>##V3_BDPV12</stp>
        <stp>ADBB6M CMPN Curncy</stp>
        <stp>PX_ASK</stp>
        <stp>[AUD_ASSETSWAP.XLSX]AUD ASW!R41C16</stp>
        <tr r="P41" s="5"/>
      </tp>
      <tp t="s">
        <v>21/11/2017</v>
        <stp/>
        <stp>##V3_BDPV12</stp>
        <stp>AU000XCLWAR9 Govt</stp>
        <stp>PREV_CPN_DT</stp>
        <stp>[AUD_ASSETSWAP.XLSX]AUD ASW!R32C6</stp>
        <tr r="F32" s="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volatileDependencies" Target="volatileDependenci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ecure\DIR_MLib_Analytics\Examples\Pricing\AUD_ASSETSWAP_SYNDIC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AUD CURVE TICKERS"/>
      <sheetName val="AUD CURVE"/>
      <sheetName val="AUD CALIBRATION"/>
      <sheetName val="SYNDICATE AUD IRS"/>
      <sheetName val="TAP AUD ASW"/>
    </sheetNames>
    <sheetDataSet>
      <sheetData sheetId="0"/>
      <sheetData sheetId="1"/>
      <sheetData sheetId="2">
        <row r="99">
          <cell r="D99" t="b">
            <v>1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14"/>
  <sheetViews>
    <sheetView showGridLines="0" tabSelected="1" workbookViewId="0"/>
  </sheetViews>
  <sheetFormatPr defaultRowHeight="15" outlineLevelCol="1"/>
  <cols>
    <col min="1" max="1" width="4.7109375" style="61" customWidth="1"/>
    <col min="2" max="2" width="33.5703125" style="61" customWidth="1"/>
    <col min="3" max="3" width="25.7109375" style="61" customWidth="1"/>
    <col min="4" max="4" width="4.7109375" style="61" customWidth="1"/>
    <col min="5" max="5" width="30.7109375" style="61" customWidth="1"/>
    <col min="6" max="6" width="41.85546875" style="61" bestFit="1" customWidth="1"/>
    <col min="7" max="7" width="4.7109375" style="61" customWidth="1"/>
    <col min="8" max="8" width="30.7109375" style="61" customWidth="1"/>
    <col min="9" max="10" width="20.7109375" style="61" customWidth="1"/>
    <col min="11" max="11" width="4.7109375" style="61" customWidth="1"/>
    <col min="12" max="12" width="22.5703125" style="61" customWidth="1"/>
    <col min="13" max="13" width="4.7109375" style="61" hidden="1" customWidth="1" outlineLevel="1"/>
    <col min="14" max="14" width="27.42578125" style="61" hidden="1" customWidth="1" outlineLevel="1"/>
    <col min="15" max="16" width="18.7109375" style="61" hidden="1" customWidth="1" outlineLevel="1"/>
    <col min="17" max="17" width="4.7109375" style="61" hidden="1" customWidth="1" outlineLevel="1"/>
    <col min="18" max="18" width="23.5703125" style="61" hidden="1" customWidth="1" outlineLevel="1"/>
    <col min="19" max="19" width="11" style="61" hidden="1" customWidth="1" outlineLevel="1"/>
    <col min="20" max="20" width="12.28515625" style="61" bestFit="1" customWidth="1" collapsed="1"/>
    <col min="21" max="16384" width="9.140625" style="61"/>
  </cols>
  <sheetData>
    <row r="1" spans="2:20">
      <c r="T1" s="46" t="s">
        <v>170</v>
      </c>
    </row>
    <row r="2" spans="2:20">
      <c r="B2" s="1" t="s">
        <v>79</v>
      </c>
      <c r="D2" s="61" t="s">
        <v>67</v>
      </c>
      <c r="E2" s="1" t="s">
        <v>66</v>
      </c>
      <c r="G2" s="61" t="s">
        <v>67</v>
      </c>
      <c r="H2" s="1" t="s">
        <v>61</v>
      </c>
      <c r="K2" s="61" t="s">
        <v>67</v>
      </c>
      <c r="T2" s="46"/>
    </row>
    <row r="3" spans="2:20">
      <c r="B3" s="18" t="s">
        <v>77</v>
      </c>
      <c r="C3" s="107">
        <f ca="1">TODAY()</f>
        <v>43234</v>
      </c>
      <c r="D3" s="61" t="s">
        <v>67</v>
      </c>
      <c r="E3" s="4" t="s">
        <v>70</v>
      </c>
      <c r="F3" s="15" t="str">
        <f>F10</f>
        <v>AU000XCLWAR9</v>
      </c>
      <c r="G3" s="61" t="s">
        <v>67</v>
      </c>
      <c r="H3" s="4" t="s">
        <v>70</v>
      </c>
      <c r="I3" s="126" t="s">
        <v>160</v>
      </c>
      <c r="J3" s="127"/>
      <c r="K3" s="61" t="s">
        <v>67</v>
      </c>
    </row>
    <row r="4" spans="2:20">
      <c r="B4" s="60" t="s">
        <v>75</v>
      </c>
      <c r="C4" s="63" t="s">
        <v>58</v>
      </c>
      <c r="D4" s="61" t="s">
        <v>67</v>
      </c>
      <c r="E4" s="7" t="s">
        <v>69</v>
      </c>
      <c r="F4" s="14" t="str">
        <f ca="1">IF('[1]AUD CURVE'!$D$99,_xll.meLWOBondCreateFromLVB(F3,E7:F31),"#LOAD Curve")</f>
        <v>AU000XCLWAR9@40:8</v>
      </c>
      <c r="G4" s="61" t="s">
        <v>67</v>
      </c>
      <c r="H4" s="7" t="s">
        <v>68</v>
      </c>
      <c r="I4" s="128" t="str">
        <f ca="1">IF('[1]AUD CURVE'!$D$99,_xll.meLWOSwapCreate(I3,H7:J41),"#LOAD Curve")</f>
        <v>AUD_ASSET_SWAP@41:8</v>
      </c>
      <c r="J4" s="129"/>
      <c r="K4" s="61" t="s">
        <v>67</v>
      </c>
    </row>
    <row r="5" spans="2:20">
      <c r="B5" s="60" t="s">
        <v>78</v>
      </c>
      <c r="C5" s="63" t="s">
        <v>52</v>
      </c>
      <c r="D5" s="61" t="s">
        <v>67</v>
      </c>
      <c r="G5" s="61" t="s">
        <v>67</v>
      </c>
      <c r="K5" s="61" t="s">
        <v>67</v>
      </c>
    </row>
    <row r="6" spans="2:20">
      <c r="B6" s="60" t="s">
        <v>76</v>
      </c>
      <c r="C6" s="63" t="s">
        <v>130</v>
      </c>
      <c r="D6" s="61" t="s">
        <v>67</v>
      </c>
      <c r="E6" s="1" t="s">
        <v>1</v>
      </c>
      <c r="F6" s="2"/>
      <c r="G6" s="61" t="s">
        <v>67</v>
      </c>
      <c r="H6" s="1" t="s">
        <v>61</v>
      </c>
      <c r="I6" s="9" t="s">
        <v>62</v>
      </c>
      <c r="J6" s="9" t="s">
        <v>63</v>
      </c>
      <c r="K6" s="61" t="s">
        <v>67</v>
      </c>
    </row>
    <row r="7" spans="2:20">
      <c r="B7" s="13" t="s">
        <v>73</v>
      </c>
      <c r="C7" s="23">
        <f ca="1">_xll.meDateFromTenor(C3,C4,C5,C6)</f>
        <v>43236</v>
      </c>
      <c r="D7" s="61" t="s">
        <v>67</v>
      </c>
      <c r="E7" s="4" t="s">
        <v>2</v>
      </c>
      <c r="F7" s="65" t="str">
        <f>C12</f>
        <v>AU000XCLWAR9 Govt</v>
      </c>
      <c r="G7" s="61" t="s">
        <v>67</v>
      </c>
      <c r="H7" s="12" t="s">
        <v>35</v>
      </c>
      <c r="I7" s="90" t="s">
        <v>98</v>
      </c>
      <c r="J7" s="90" t="s">
        <v>36</v>
      </c>
      <c r="K7" s="61" t="s">
        <v>67</v>
      </c>
    </row>
    <row r="8" spans="2:20">
      <c r="D8" s="61" t="s">
        <v>67</v>
      </c>
      <c r="E8" s="5" t="s">
        <v>3</v>
      </c>
      <c r="F8" s="66" t="s">
        <v>4</v>
      </c>
      <c r="G8" s="61" t="s">
        <v>67</v>
      </c>
      <c r="H8" s="60" t="s">
        <v>37</v>
      </c>
      <c r="I8" s="79">
        <f>F16</f>
        <v>1000000</v>
      </c>
      <c r="J8" s="79">
        <f>F16</f>
        <v>1000000</v>
      </c>
      <c r="K8" s="61" t="s">
        <v>67</v>
      </c>
    </row>
    <row r="9" spans="2:20">
      <c r="B9" s="1" t="s">
        <v>92</v>
      </c>
      <c r="D9" s="61" t="s">
        <v>67</v>
      </c>
      <c r="E9" s="5" t="s">
        <v>5</v>
      </c>
      <c r="F9" s="69" t="s">
        <v>131</v>
      </c>
      <c r="G9" s="61" t="s">
        <v>67</v>
      </c>
      <c r="H9" s="60" t="s">
        <v>14</v>
      </c>
      <c r="I9" s="80" t="s">
        <v>143</v>
      </c>
      <c r="J9" s="80" t="str">
        <f>I9</f>
        <v>NONE</v>
      </c>
      <c r="K9" s="61" t="s">
        <v>67</v>
      </c>
    </row>
    <row r="10" spans="2:20">
      <c r="B10" s="4" t="s">
        <v>34</v>
      </c>
      <c r="C10" s="22" t="s">
        <v>172</v>
      </c>
      <c r="D10" s="61" t="s">
        <v>67</v>
      </c>
      <c r="E10" s="5" t="s">
        <v>6</v>
      </c>
      <c r="F10" s="77" t="str">
        <f>LEFT(C12,12)</f>
        <v>AU000XCLWAR9</v>
      </c>
      <c r="G10" s="61" t="s">
        <v>67</v>
      </c>
      <c r="H10" s="60" t="s">
        <v>12</v>
      </c>
      <c r="I10" s="80" t="s">
        <v>38</v>
      </c>
      <c r="J10" s="80" t="s">
        <v>13</v>
      </c>
      <c r="K10" s="61" t="s">
        <v>67</v>
      </c>
      <c r="N10" s="46" t="s">
        <v>94</v>
      </c>
    </row>
    <row r="11" spans="2:20">
      <c r="B11" s="5" t="s">
        <v>84</v>
      </c>
      <c r="C11" s="64" t="s">
        <v>85</v>
      </c>
      <c r="D11" s="61" t="s">
        <v>67</v>
      </c>
      <c r="E11" s="5" t="s">
        <v>7</v>
      </c>
      <c r="F11" s="66" t="s">
        <v>8</v>
      </c>
      <c r="G11" s="61" t="s">
        <v>67</v>
      </c>
      <c r="H11" s="60" t="s">
        <v>39</v>
      </c>
      <c r="I11" s="85"/>
      <c r="J11" s="88" t="str">
        <f>IF(J23="QUARTERLY","AUD3ML","AUD6ML")</f>
        <v>AUD3ML</v>
      </c>
      <c r="K11" s="61" t="s">
        <v>67</v>
      </c>
      <c r="N11" s="105" t="str">
        <f>IF(J23="QUARTERLY",R40,R41)</f>
        <v>ADBB3M CMPN Curncy</v>
      </c>
    </row>
    <row r="12" spans="2:20">
      <c r="B12" s="5" t="s">
        <v>33</v>
      </c>
      <c r="C12" s="10" t="s">
        <v>128</v>
      </c>
      <c r="D12" s="61" t="s">
        <v>67</v>
      </c>
      <c r="E12" s="5" t="s">
        <v>9</v>
      </c>
      <c r="F12" s="77" t="b">
        <f>$C$15="CLEAN"</f>
        <v>1</v>
      </c>
      <c r="G12" s="61" t="s">
        <v>67</v>
      </c>
      <c r="H12" s="60" t="s">
        <v>40</v>
      </c>
      <c r="I12" s="80" t="s">
        <v>132</v>
      </c>
      <c r="J12" s="80" t="s">
        <v>132</v>
      </c>
      <c r="K12" s="61" t="s">
        <v>67</v>
      </c>
      <c r="N12" s="3" t="s">
        <v>153</v>
      </c>
    </row>
    <row r="13" spans="2:20">
      <c r="B13" s="5" t="s">
        <v>144</v>
      </c>
      <c r="C13" s="110">
        <f>IF($C$14="",_xll.BDP($C$12,"YAS_BOND_YLD"),$C$14)</f>
        <v>2.767976</v>
      </c>
      <c r="D13" s="61" t="s">
        <v>67</v>
      </c>
      <c r="E13" s="5" t="s">
        <v>10</v>
      </c>
      <c r="F13" s="68" t="s">
        <v>11</v>
      </c>
      <c r="G13" s="61" t="s">
        <v>67</v>
      </c>
      <c r="H13" s="60" t="s">
        <v>5</v>
      </c>
      <c r="I13" s="80" t="s">
        <v>131</v>
      </c>
      <c r="J13" s="80" t="s">
        <v>131</v>
      </c>
      <c r="K13" s="61" t="s">
        <v>67</v>
      </c>
      <c r="N13" s="3" t="s">
        <v>58</v>
      </c>
    </row>
    <row r="14" spans="2:20">
      <c r="B14" s="5" t="s">
        <v>145</v>
      </c>
      <c r="C14" s="111"/>
      <c r="D14" s="61" t="s">
        <v>67</v>
      </c>
      <c r="E14" s="5" t="s">
        <v>12</v>
      </c>
      <c r="F14" s="69" t="s">
        <v>13</v>
      </c>
      <c r="G14" s="61" t="s">
        <v>67</v>
      </c>
      <c r="H14" s="60" t="s">
        <v>41</v>
      </c>
      <c r="I14" s="81">
        <v>1</v>
      </c>
      <c r="J14" s="81">
        <v>1</v>
      </c>
      <c r="K14" s="61" t="s">
        <v>67</v>
      </c>
      <c r="L14" s="46" t="s">
        <v>171</v>
      </c>
      <c r="N14" s="16">
        <f ca="1">_xll.meDateFromTenor(J21,"-"&amp;N13,"MOD_FOLLOWING","LNB:SYB")</f>
        <v>43234</v>
      </c>
    </row>
    <row r="15" spans="2:20">
      <c r="B15" s="5" t="s">
        <v>163</v>
      </c>
      <c r="C15" s="108" t="s">
        <v>164</v>
      </c>
      <c r="D15" s="61" t="s">
        <v>67</v>
      </c>
      <c r="E15" s="5" t="s">
        <v>14</v>
      </c>
      <c r="F15" s="70" t="s">
        <v>15</v>
      </c>
      <c r="G15" s="61" t="s">
        <v>67</v>
      </c>
      <c r="H15" s="60" t="s">
        <v>42</v>
      </c>
      <c r="I15" s="89">
        <f>F22</f>
        <v>2.2499999999999999E-2</v>
      </c>
      <c r="J15" s="82"/>
      <c r="K15" s="61" t="s">
        <v>67</v>
      </c>
      <c r="L15" s="91">
        <f ca="1">IF(COUNT(N15)=1,N15%,"WAIT: BBG Data Loading")</f>
        <v>1.9153E-2</v>
      </c>
      <c r="N15" s="116">
        <f ca="1">_xll.BDH(N11,N12,N14,N14)</f>
        <v>1.9153</v>
      </c>
    </row>
    <row r="16" spans="2:20">
      <c r="B16" s="5" t="s">
        <v>161</v>
      </c>
      <c r="C16" s="108" t="s">
        <v>65</v>
      </c>
      <c r="D16" s="61" t="s">
        <v>67</v>
      </c>
      <c r="E16" s="5" t="s">
        <v>16</v>
      </c>
      <c r="F16" s="71">
        <v>1000000</v>
      </c>
      <c r="G16" s="61" t="s">
        <v>67</v>
      </c>
      <c r="H16" s="60" t="s">
        <v>43</v>
      </c>
      <c r="I16" s="80"/>
      <c r="J16" s="80" t="s">
        <v>102</v>
      </c>
      <c r="K16" s="61" t="s">
        <v>67</v>
      </c>
    </row>
    <row r="17" spans="2:15">
      <c r="B17" s="5" t="s">
        <v>162</v>
      </c>
      <c r="C17" s="108" t="s">
        <v>30</v>
      </c>
      <c r="D17" s="61" t="s">
        <v>67</v>
      </c>
      <c r="E17" s="5" t="s">
        <v>89</v>
      </c>
      <c r="F17" s="76">
        <f>VALUE(_xll.BDP($C$12,"ISSUE_DT"))</f>
        <v>42509</v>
      </c>
      <c r="G17" s="61" t="s">
        <v>67</v>
      </c>
      <c r="H17" s="60" t="s">
        <v>44</v>
      </c>
      <c r="I17" s="80"/>
      <c r="J17" s="80" t="s">
        <v>102</v>
      </c>
      <c r="K17" s="61" t="s">
        <v>67</v>
      </c>
      <c r="L17" s="46" t="s">
        <v>120</v>
      </c>
    </row>
    <row r="18" spans="2:15">
      <c r="B18" s="5" t="s">
        <v>165</v>
      </c>
      <c r="C18" s="112" t="s">
        <v>49</v>
      </c>
      <c r="D18" s="61" t="s">
        <v>67</v>
      </c>
      <c r="E18" s="5" t="s">
        <v>90</v>
      </c>
      <c r="F18" s="76">
        <f>VALUE(_xll.BDP($C$12,"START_ACC_DT"))</f>
        <v>42329</v>
      </c>
      <c r="G18" s="61" t="s">
        <v>67</v>
      </c>
      <c r="H18" s="60" t="s">
        <v>45</v>
      </c>
      <c r="I18" s="83"/>
      <c r="J18" s="94" t="str">
        <f>IF(ISBLANK($L$18),"",$L$18)</f>
        <v/>
      </c>
      <c r="K18" s="61" t="s">
        <v>67</v>
      </c>
      <c r="L18" s="109"/>
      <c r="O18" s="61" t="s">
        <v>67</v>
      </c>
    </row>
    <row r="19" spans="2:15">
      <c r="B19" s="5" t="s">
        <v>166</v>
      </c>
      <c r="C19" s="112" t="s">
        <v>49</v>
      </c>
      <c r="D19" s="61" t="s">
        <v>67</v>
      </c>
      <c r="E19" s="6" t="s">
        <v>17</v>
      </c>
      <c r="F19" s="76">
        <f>VALUE(_xll.BDP($C$12,"FIRST_CPN_DT"))</f>
        <v>42511</v>
      </c>
      <c r="G19" s="61" t="s">
        <v>67</v>
      </c>
      <c r="H19" s="60" t="s">
        <v>46</v>
      </c>
      <c r="I19" s="83"/>
      <c r="J19" s="83"/>
      <c r="K19" s="61" t="s">
        <v>67</v>
      </c>
      <c r="L19" s="53"/>
      <c r="N19" s="48"/>
    </row>
    <row r="20" spans="2:15">
      <c r="B20" s="7" t="s">
        <v>167</v>
      </c>
      <c r="C20" s="113" t="b">
        <v>0</v>
      </c>
      <c r="D20" s="61" t="s">
        <v>67</v>
      </c>
      <c r="E20" s="6" t="s">
        <v>18</v>
      </c>
      <c r="F20" s="76">
        <f>VALUE(_xll.BDP($C$12,"PENULTIMATE_CPN_DT"))</f>
        <v>46712</v>
      </c>
      <c r="G20" s="61" t="s">
        <v>67</v>
      </c>
      <c r="H20" s="60" t="s">
        <v>47</v>
      </c>
      <c r="I20" s="81"/>
      <c r="J20" s="84"/>
      <c r="K20" s="61" t="s">
        <v>67</v>
      </c>
      <c r="L20" s="46" t="s">
        <v>121</v>
      </c>
      <c r="N20" s="1" t="s">
        <v>123</v>
      </c>
    </row>
    <row r="21" spans="2:15">
      <c r="D21" s="61" t="s">
        <v>67</v>
      </c>
      <c r="E21" s="5" t="s">
        <v>19</v>
      </c>
      <c r="F21" s="76">
        <f>VALUE(_xll.BDP($C$12,"MATURITY"))</f>
        <v>46894</v>
      </c>
      <c r="G21" s="61" t="s">
        <v>67</v>
      </c>
      <c r="H21" s="60" t="s">
        <v>48</v>
      </c>
      <c r="I21" s="76">
        <f>F32</f>
        <v>43060</v>
      </c>
      <c r="J21" s="76">
        <f ca="1">IF($C$20,$I$21,$C$7)</f>
        <v>43236</v>
      </c>
      <c r="K21" s="61" t="s">
        <v>67</v>
      </c>
      <c r="L21" s="91">
        <f ca="1">IF($O$21&lt;$C$3,"RESET REQUIRED",IF(AND(COUNT($P$37:$P$42)=6,'[1]AUD CURVE'!$D$99),_xll.meProductSwapStubRate($O$37:$O$42,$N$37:$N$42,$P$37:$P$42,$N$21:$O$33),"WAIT: BBG Data Loading"))</f>
        <v>1.5399999999999999E-2</v>
      </c>
      <c r="N21" s="12" t="s">
        <v>48</v>
      </c>
      <c r="O21" s="50">
        <f ca="1">$J$21</f>
        <v>43236</v>
      </c>
    </row>
    <row r="22" spans="2:15">
      <c r="B22" s="1" t="s">
        <v>72</v>
      </c>
      <c r="D22" s="61" t="s">
        <v>67</v>
      </c>
      <c r="E22" s="5" t="s">
        <v>20</v>
      </c>
      <c r="F22" s="95">
        <f>_xll.BDP($C$12,"CPN")/100</f>
        <v>2.2499999999999999E-2</v>
      </c>
      <c r="G22" s="61" t="s">
        <v>67</v>
      </c>
      <c r="H22" s="60" t="s">
        <v>19</v>
      </c>
      <c r="I22" s="57">
        <f>F21</f>
        <v>46894</v>
      </c>
      <c r="J22" s="57">
        <f>I22</f>
        <v>46894</v>
      </c>
      <c r="K22" s="61" t="s">
        <v>67</v>
      </c>
      <c r="N22" s="60" t="s">
        <v>19</v>
      </c>
      <c r="O22" s="16">
        <f>$J$22</f>
        <v>46894</v>
      </c>
    </row>
    <row r="23" spans="2:15">
      <c r="B23" s="4" t="s">
        <v>0</v>
      </c>
      <c r="C23" s="124">
        <f>IF(ISNUMBER($C$13),$C$13%,"#WAIT Loading BB Data")</f>
        <v>2.7679760000000001E-2</v>
      </c>
      <c r="D23" s="61" t="s">
        <v>67</v>
      </c>
      <c r="E23" s="5" t="s">
        <v>21</v>
      </c>
      <c r="F23" s="88" t="str">
        <f>$C$16</f>
        <v>SEMI-ANNUAL</v>
      </c>
      <c r="G23" s="61" t="s">
        <v>67</v>
      </c>
      <c r="H23" s="60" t="s">
        <v>168</v>
      </c>
      <c r="I23" s="88" t="str">
        <f>$C$16</f>
        <v>SEMI-ANNUAL</v>
      </c>
      <c r="J23" s="88" t="str">
        <f>$C$18</f>
        <v>QUARTERLY</v>
      </c>
      <c r="K23" s="61" t="s">
        <v>67</v>
      </c>
      <c r="N23" s="60" t="s">
        <v>91</v>
      </c>
      <c r="O23" s="51" t="str">
        <f>$C$41</f>
        <v>AUDYC</v>
      </c>
    </row>
    <row r="24" spans="2:15">
      <c r="B24" s="5" t="s">
        <v>86</v>
      </c>
      <c r="C24" s="125">
        <f ca="1">IF(ISNUMBER($C$13),_xll.meLWOBondPrice($F$4,$C$7,$C$23),"#WAIT Loading BB Data")</f>
        <v>95.497004012931754</v>
      </c>
      <c r="D24" s="61" t="s">
        <v>67</v>
      </c>
      <c r="E24" s="5" t="s">
        <v>22</v>
      </c>
      <c r="F24" s="72" t="s">
        <v>23</v>
      </c>
      <c r="G24" s="61" t="s">
        <v>67</v>
      </c>
      <c r="H24" s="60" t="s">
        <v>169</v>
      </c>
      <c r="I24" s="88" t="str">
        <f>$C$16</f>
        <v>SEMI-ANNUAL</v>
      </c>
      <c r="J24" s="88" t="str">
        <f>$C$19</f>
        <v>QUARTERLY</v>
      </c>
      <c r="K24" s="61" t="s">
        <v>67</v>
      </c>
      <c r="N24" s="60" t="s">
        <v>110</v>
      </c>
      <c r="O24" s="51" t="str">
        <f>$J$16</f>
        <v>NATURAL</v>
      </c>
    </row>
    <row r="25" spans="2:15">
      <c r="B25" s="5" t="s">
        <v>80</v>
      </c>
      <c r="C25" s="19">
        <f ca="1">IF(ISNUMBER($C$13),_xll.meLWOBondCleanPrice($F$4,$C$7,$C$23),"#WAIT Loading BB Data")</f>
        <v>95.497004012931754</v>
      </c>
      <c r="D25" s="61" t="s">
        <v>67</v>
      </c>
      <c r="E25" s="5" t="s">
        <v>24</v>
      </c>
      <c r="F25" s="69" t="s">
        <v>130</v>
      </c>
      <c r="G25" s="61" t="s">
        <v>67</v>
      </c>
      <c r="H25" s="60" t="s">
        <v>50</v>
      </c>
      <c r="I25" s="106" t="str">
        <f>F29</f>
        <v>ACT/ACT</v>
      </c>
      <c r="J25" s="69" t="s">
        <v>139</v>
      </c>
      <c r="K25" s="61" t="s">
        <v>67</v>
      </c>
      <c r="N25" s="60" t="s">
        <v>111</v>
      </c>
      <c r="O25" s="51" t="str">
        <f>$J$23</f>
        <v>QUARTERLY</v>
      </c>
    </row>
    <row r="26" spans="2:15">
      <c r="B26" s="5" t="s">
        <v>81</v>
      </c>
      <c r="C26" s="19">
        <f ca="1">IF(ISNUMBER($C$13),_xll.meLWOBondDirtyPrice($F$4,$C$7,$C$23),"#WAIT Loading BB Data")</f>
        <v>95.466004012931748</v>
      </c>
      <c r="D26" s="61" t="s">
        <v>67</v>
      </c>
      <c r="E26" s="5" t="s">
        <v>25</v>
      </c>
      <c r="F26" s="69" t="s">
        <v>23</v>
      </c>
      <c r="G26" s="61" t="s">
        <v>67</v>
      </c>
      <c r="H26" s="60" t="s">
        <v>51</v>
      </c>
      <c r="I26" s="86"/>
      <c r="J26" s="69" t="s">
        <v>52</v>
      </c>
      <c r="K26" s="61" t="s">
        <v>67</v>
      </c>
      <c r="N26" s="60" t="s">
        <v>112</v>
      </c>
      <c r="O26" s="51" t="str">
        <f>$J$25</f>
        <v>ACT/365</v>
      </c>
    </row>
    <row r="27" spans="2:15">
      <c r="B27" s="5" t="s">
        <v>82</v>
      </c>
      <c r="C27" s="11">
        <f ca="1">_xll.meLWOBondAccruedInterestDays($F$4,$C$7)</f>
        <v>-5</v>
      </c>
      <c r="D27" s="61" t="s">
        <v>67</v>
      </c>
      <c r="E27" s="5" t="s">
        <v>26</v>
      </c>
      <c r="F27" s="69" t="s">
        <v>130</v>
      </c>
      <c r="G27" s="61" t="s">
        <v>67</v>
      </c>
      <c r="H27" s="60" t="s">
        <v>53</v>
      </c>
      <c r="I27" s="69"/>
      <c r="J27" s="69" t="s">
        <v>133</v>
      </c>
      <c r="K27" s="61" t="s">
        <v>67</v>
      </c>
      <c r="N27" s="60" t="s">
        <v>113</v>
      </c>
      <c r="O27" s="51" t="str">
        <f>$J$26</f>
        <v>MOD_FOLLOWING</v>
      </c>
    </row>
    <row r="28" spans="2:15">
      <c r="B28" s="5" t="s">
        <v>83</v>
      </c>
      <c r="C28" s="8">
        <f ca="1">_xll.meLWOBondAccruedInterest($F$4,$C$7)</f>
        <v>-310</v>
      </c>
      <c r="D28" s="61" t="s">
        <v>67</v>
      </c>
      <c r="E28" s="5" t="s">
        <v>27</v>
      </c>
      <c r="F28" s="67" t="s">
        <v>28</v>
      </c>
      <c r="G28" s="61" t="s">
        <v>67</v>
      </c>
      <c r="H28" s="60" t="s">
        <v>22</v>
      </c>
      <c r="I28" s="86" t="s">
        <v>23</v>
      </c>
      <c r="J28" s="69" t="s">
        <v>52</v>
      </c>
      <c r="K28" s="61" t="s">
        <v>67</v>
      </c>
      <c r="N28" s="60" t="s">
        <v>114</v>
      </c>
      <c r="O28" s="51" t="str">
        <f>$J$27</f>
        <v>LNB:SYB</v>
      </c>
    </row>
    <row r="29" spans="2:15">
      <c r="B29" s="5" t="s">
        <v>88</v>
      </c>
      <c r="C29" s="21">
        <f ca="1">IF(ISNUMBER($C$13),_xll.meLWOBondModifiedDuration($F$4,$C$7,$C$23),"#WAIT Loading BB Data")</f>
        <v>8.8725940395364749</v>
      </c>
      <c r="D29" s="61" t="s">
        <v>67</v>
      </c>
      <c r="E29" s="5" t="s">
        <v>29</v>
      </c>
      <c r="F29" s="106" t="str">
        <f>$C$17</f>
        <v>ACT/ACT</v>
      </c>
      <c r="G29" s="61" t="s">
        <v>67</v>
      </c>
      <c r="H29" s="60" t="s">
        <v>24</v>
      </c>
      <c r="I29" s="69" t="s">
        <v>130</v>
      </c>
      <c r="J29" s="69" t="s">
        <v>130</v>
      </c>
      <c r="K29" s="61" t="s">
        <v>67</v>
      </c>
      <c r="L29" s="93"/>
      <c r="N29" s="60" t="s">
        <v>115</v>
      </c>
      <c r="O29" s="51"/>
    </row>
    <row r="30" spans="2:15">
      <c r="B30" s="7" t="s">
        <v>87</v>
      </c>
      <c r="C30" s="20">
        <f ca="1">IF(ISNUMBER($C$13),_xll.meLWOBondDV01($F$4,$C$7,$C$23),"#WAIT Loading BB Data")</f>
        <v>847.03109818350345</v>
      </c>
      <c r="D30" s="61" t="s">
        <v>67</v>
      </c>
      <c r="E30" s="5" t="s">
        <v>31</v>
      </c>
      <c r="F30" s="73"/>
      <c r="G30" s="61" t="s">
        <v>67</v>
      </c>
      <c r="H30" s="60" t="s">
        <v>25</v>
      </c>
      <c r="I30" s="86" t="s">
        <v>23</v>
      </c>
      <c r="J30" s="69" t="s">
        <v>52</v>
      </c>
      <c r="K30" s="61" t="s">
        <v>67</v>
      </c>
      <c r="N30" s="60" t="s">
        <v>116</v>
      </c>
      <c r="O30" s="51" t="str">
        <f>$J$35</f>
        <v>0D</v>
      </c>
    </row>
    <row r="31" spans="2:15">
      <c r="D31" s="61" t="s">
        <v>67</v>
      </c>
      <c r="E31" s="5" t="s">
        <v>32</v>
      </c>
      <c r="F31" s="74" t="str">
        <f>"TYPE"&amp;_xll.BDP($C$12,"CALC_TYP")</f>
        <v>TYPE23</v>
      </c>
      <c r="G31" s="61" t="s">
        <v>67</v>
      </c>
      <c r="H31" s="60" t="s">
        <v>26</v>
      </c>
      <c r="I31" s="69" t="s">
        <v>130</v>
      </c>
      <c r="J31" s="69" t="s">
        <v>130</v>
      </c>
      <c r="K31" s="61" t="s">
        <v>67</v>
      </c>
      <c r="N31" s="60" t="s">
        <v>117</v>
      </c>
      <c r="O31" s="16" t="str">
        <f>IF(ISBLANK($J$33),"",$J$33)</f>
        <v/>
      </c>
    </row>
    <row r="32" spans="2:15">
      <c r="B32" s="1" t="s">
        <v>124</v>
      </c>
      <c r="D32" s="61" t="s">
        <v>67</v>
      </c>
      <c r="E32" s="60" t="s">
        <v>141</v>
      </c>
      <c r="F32" s="74">
        <f>VALUE(_xll.BDP($C$12,"PREV_CPN_DT"))</f>
        <v>43060</v>
      </c>
      <c r="G32" s="61" t="s">
        <v>67</v>
      </c>
      <c r="H32" s="60" t="s">
        <v>54</v>
      </c>
      <c r="I32" s="87">
        <f>F33</f>
        <v>43241</v>
      </c>
      <c r="J32" s="62"/>
      <c r="K32" s="61" t="s">
        <v>67</v>
      </c>
      <c r="N32" s="60" t="s">
        <v>118</v>
      </c>
      <c r="O32" s="16" t="str">
        <f>IF(ISBLANK($J$34),"",$J$34)</f>
        <v/>
      </c>
    </row>
    <row r="33" spans="2:19">
      <c r="B33" s="4" t="s">
        <v>125</v>
      </c>
      <c r="C33" s="56" t="str">
        <f ca="1">$F$4</f>
        <v>AU000XCLWAR9@40:8</v>
      </c>
      <c r="D33" s="61" t="s">
        <v>67</v>
      </c>
      <c r="E33" s="60" t="s">
        <v>142</v>
      </c>
      <c r="F33" s="74">
        <f>VALUE(_xll.BDP($C$12,"NXT_CPN_DT"))</f>
        <v>43241</v>
      </c>
      <c r="G33" s="61" t="s">
        <v>67</v>
      </c>
      <c r="H33" s="60" t="s">
        <v>55</v>
      </c>
      <c r="I33" s="87">
        <f>F20</f>
        <v>46712</v>
      </c>
      <c r="J33" s="69"/>
      <c r="K33" s="61" t="s">
        <v>67</v>
      </c>
      <c r="N33" s="13" t="s">
        <v>119</v>
      </c>
      <c r="O33" s="52" t="str">
        <f>$J$41</f>
        <v>SHORTSTART</v>
      </c>
    </row>
    <row r="34" spans="2:19">
      <c r="B34" s="5" t="s">
        <v>73</v>
      </c>
      <c r="C34" s="57">
        <f ca="1">$C$7</f>
        <v>43236</v>
      </c>
      <c r="D34" s="61" t="s">
        <v>67</v>
      </c>
      <c r="E34" s="60"/>
      <c r="F34" s="130"/>
      <c r="G34" s="61" t="s">
        <v>67</v>
      </c>
      <c r="H34" s="60" t="s">
        <v>56</v>
      </c>
      <c r="I34" s="73" t="str">
        <f>IF(F30="","",F30)</f>
        <v/>
      </c>
      <c r="J34" s="73"/>
      <c r="K34" s="61" t="s">
        <v>67</v>
      </c>
    </row>
    <row r="35" spans="2:19">
      <c r="B35" s="5" t="s">
        <v>126</v>
      </c>
      <c r="C35" s="58">
        <f ca="1">$C$24</f>
        <v>95.497004012931754</v>
      </c>
      <c r="D35" s="61" t="s">
        <v>67</v>
      </c>
      <c r="E35" s="60"/>
      <c r="F35" s="69"/>
      <c r="G35" s="61" t="s">
        <v>67</v>
      </c>
      <c r="H35" s="60" t="s">
        <v>57</v>
      </c>
      <c r="I35" s="69"/>
      <c r="J35" s="69" t="s">
        <v>28</v>
      </c>
      <c r="K35" s="61" t="s">
        <v>67</v>
      </c>
      <c r="N35" s="1" t="s">
        <v>122</v>
      </c>
      <c r="R35" s="1" t="s">
        <v>156</v>
      </c>
    </row>
    <row r="36" spans="2:19">
      <c r="B36" s="5" t="s">
        <v>91</v>
      </c>
      <c r="C36" s="58" t="str">
        <f>$C$41</f>
        <v>AUDYC</v>
      </c>
      <c r="D36" s="61" t="s">
        <v>67</v>
      </c>
      <c r="E36" s="60"/>
      <c r="F36" s="69"/>
      <c r="G36" s="61" t="s">
        <v>67</v>
      </c>
      <c r="H36" s="60" t="s">
        <v>59</v>
      </c>
      <c r="I36" s="69"/>
      <c r="J36" s="69"/>
      <c r="K36" s="61" t="s">
        <v>67</v>
      </c>
      <c r="N36" s="49" t="s">
        <v>103</v>
      </c>
      <c r="O36" s="49" t="s">
        <v>104</v>
      </c>
      <c r="P36" s="49" t="s">
        <v>93</v>
      </c>
      <c r="R36" s="92" t="s">
        <v>154</v>
      </c>
      <c r="S36" s="92" t="s">
        <v>155</v>
      </c>
    </row>
    <row r="37" spans="2:19">
      <c r="B37" s="5" t="s">
        <v>39</v>
      </c>
      <c r="C37" s="58" t="str">
        <f>$J$11</f>
        <v>AUD3ML</v>
      </c>
      <c r="D37" s="61" t="s">
        <v>67</v>
      </c>
      <c r="E37" s="60"/>
      <c r="F37" s="69"/>
      <c r="G37" s="61" t="s">
        <v>67</v>
      </c>
      <c r="H37" s="60" t="s">
        <v>27</v>
      </c>
      <c r="I37" s="69" t="s">
        <v>28</v>
      </c>
      <c r="J37" s="69" t="s">
        <v>28</v>
      </c>
      <c r="K37" s="61" t="s">
        <v>67</v>
      </c>
      <c r="N37" s="96" t="s">
        <v>74</v>
      </c>
      <c r="O37" s="97" t="s">
        <v>132</v>
      </c>
      <c r="P37" s="98">
        <f>_xll.BDP(R37,S37)%</f>
        <v>1.4999999999999999E-2</v>
      </c>
      <c r="R37" s="117" t="s">
        <v>146</v>
      </c>
      <c r="S37" s="118" t="s">
        <v>152</v>
      </c>
    </row>
    <row r="38" spans="2:19">
      <c r="B38" s="7" t="s">
        <v>127</v>
      </c>
      <c r="C38" s="25">
        <f ca="1">IF(ISNUMBER($C$13),_xll.meLWOBondZSpread(C33,C34,C35,C36,C37),"#WAIT Loading BB Data")</f>
        <v>-8.0118065337418027</v>
      </c>
      <c r="D38" s="61" t="s">
        <v>67</v>
      </c>
      <c r="E38" s="60"/>
      <c r="F38" s="69"/>
      <c r="G38" s="61" t="s">
        <v>67</v>
      </c>
      <c r="H38" s="60" t="s">
        <v>99</v>
      </c>
      <c r="I38" s="76" t="str">
        <f>C4</f>
        <v>2D</v>
      </c>
      <c r="J38" s="67"/>
      <c r="K38" s="61" t="s">
        <v>67</v>
      </c>
      <c r="N38" s="99" t="s">
        <v>105</v>
      </c>
      <c r="O38" s="100" t="s">
        <v>135</v>
      </c>
      <c r="P38" s="101">
        <f>_xll.BDP(R38,S38)%</f>
        <v>1.8200000000000001E-2</v>
      </c>
      <c r="R38" s="119" t="s">
        <v>147</v>
      </c>
      <c r="S38" s="120" t="s">
        <v>153</v>
      </c>
    </row>
    <row r="39" spans="2:19">
      <c r="D39" s="61" t="s">
        <v>67</v>
      </c>
      <c r="E39" s="60"/>
      <c r="F39" s="69"/>
      <c r="G39" s="61" t="s">
        <v>67</v>
      </c>
      <c r="H39" s="60" t="s">
        <v>101</v>
      </c>
      <c r="I39" s="88" t="str">
        <f>C5</f>
        <v>MOD_FOLLOWING</v>
      </c>
      <c r="J39" s="67"/>
      <c r="K39" s="61" t="s">
        <v>67</v>
      </c>
      <c r="N39" s="99" t="s">
        <v>106</v>
      </c>
      <c r="O39" s="100" t="s">
        <v>136</v>
      </c>
      <c r="P39" s="101">
        <f>_xll.BDP(R39,S39)%</f>
        <v>1.8700000000000001E-2</v>
      </c>
      <c r="R39" s="119" t="s">
        <v>148</v>
      </c>
      <c r="S39" s="120" t="s">
        <v>153</v>
      </c>
    </row>
    <row r="40" spans="2:19">
      <c r="B40" s="1" t="s">
        <v>71</v>
      </c>
      <c r="D40" s="61" t="s">
        <v>67</v>
      </c>
      <c r="E40" s="60"/>
      <c r="F40" s="69"/>
      <c r="G40" s="61" t="s">
        <v>67</v>
      </c>
      <c r="H40" s="60" t="s">
        <v>100</v>
      </c>
      <c r="I40" s="88" t="str">
        <f>C6</f>
        <v>SYB</v>
      </c>
      <c r="J40" s="67"/>
      <c r="K40" s="61" t="s">
        <v>67</v>
      </c>
      <c r="N40" s="99" t="s">
        <v>107</v>
      </c>
      <c r="O40" s="100" t="s">
        <v>134</v>
      </c>
      <c r="P40" s="101">
        <f>_xll.BDP(R40,S40)%</f>
        <v>1.9153E-2</v>
      </c>
      <c r="R40" s="119" t="s">
        <v>149</v>
      </c>
      <c r="S40" s="120" t="s">
        <v>153</v>
      </c>
    </row>
    <row r="41" spans="2:19">
      <c r="B41" s="4" t="s">
        <v>91</v>
      </c>
      <c r="C41" s="78" t="s">
        <v>129</v>
      </c>
      <c r="D41" s="61" t="s">
        <v>67</v>
      </c>
      <c r="E41" s="60"/>
      <c r="F41" s="69"/>
      <c r="G41" s="61" t="s">
        <v>67</v>
      </c>
      <c r="H41" s="60" t="s">
        <v>60</v>
      </c>
      <c r="I41" s="69"/>
      <c r="J41" s="69" t="s">
        <v>64</v>
      </c>
      <c r="K41" s="61" t="s">
        <v>67</v>
      </c>
      <c r="N41" s="99" t="s">
        <v>108</v>
      </c>
      <c r="O41" s="100" t="s">
        <v>137</v>
      </c>
      <c r="P41" s="101">
        <f>_xll.BDP(R41,S41)%</f>
        <v>2.0099999999999996E-2</v>
      </c>
      <c r="R41" s="119" t="s">
        <v>150</v>
      </c>
      <c r="S41" s="120" t="s">
        <v>153</v>
      </c>
    </row>
    <row r="42" spans="2:19">
      <c r="B42" s="5" t="s">
        <v>159</v>
      </c>
      <c r="C42" s="58">
        <f ca="1">IF($C$43,$C$43,_xll.meLWOAssetSwapSpread($I$4,$F$4,$C$7,$C$24,$C$41))</f>
        <v>-9.0893143926290474</v>
      </c>
      <c r="D42" s="61" t="s">
        <v>67</v>
      </c>
      <c r="E42" s="60"/>
      <c r="F42" s="69"/>
      <c r="G42" s="61" t="s">
        <v>67</v>
      </c>
      <c r="H42" s="60"/>
      <c r="I42" s="69"/>
      <c r="J42" s="69"/>
      <c r="K42" s="61" t="s">
        <v>67</v>
      </c>
      <c r="N42" s="102" t="s">
        <v>109</v>
      </c>
      <c r="O42" s="103" t="s">
        <v>138</v>
      </c>
      <c r="P42" s="104">
        <f>_xll.BDP(R42,S42)%</f>
        <v>2.06E-2</v>
      </c>
      <c r="R42" s="121" t="s">
        <v>151</v>
      </c>
      <c r="S42" s="122" t="s">
        <v>153</v>
      </c>
    </row>
    <row r="43" spans="2:19">
      <c r="B43" s="5" t="s">
        <v>158</v>
      </c>
      <c r="C43" s="114"/>
      <c r="D43" s="61" t="s">
        <v>67</v>
      </c>
      <c r="E43" s="60"/>
      <c r="F43" s="69"/>
      <c r="G43" s="61" t="s">
        <v>67</v>
      </c>
      <c r="H43" s="60"/>
      <c r="I43" s="69"/>
      <c r="J43" s="69"/>
      <c r="K43" s="61" t="s">
        <v>67</v>
      </c>
    </row>
    <row r="44" spans="2:19">
      <c r="B44" s="5" t="s">
        <v>140</v>
      </c>
      <c r="C44" s="58">
        <f ca="1">_xll.meLWOAssetSwapSpreadToCleanPrice(I4,C7,C42,C36)</f>
        <v>95.497004012931797</v>
      </c>
      <c r="D44" s="61" t="s">
        <v>67</v>
      </c>
      <c r="E44" s="60"/>
      <c r="F44" s="69"/>
      <c r="G44" s="61" t="s">
        <v>67</v>
      </c>
      <c r="H44" s="60"/>
      <c r="I44" s="69"/>
      <c r="J44" s="69"/>
      <c r="K44" s="61" t="s">
        <v>67</v>
      </c>
    </row>
    <row r="45" spans="2:19">
      <c r="B45" s="7" t="s">
        <v>157</v>
      </c>
      <c r="C45" s="115">
        <f ca="1">_xll.meLWOBondYield($F$4,$C$7,C44,TRUE)</f>
        <v>2.7679760000005337E-2</v>
      </c>
      <c r="D45" s="61" t="s">
        <v>67</v>
      </c>
      <c r="E45" s="13"/>
      <c r="F45" s="75"/>
      <c r="G45" s="61" t="s">
        <v>67</v>
      </c>
      <c r="H45" s="13"/>
      <c r="I45" s="75"/>
      <c r="J45" s="75"/>
    </row>
    <row r="74" spans="12:12">
      <c r="L74" s="123"/>
    </row>
    <row r="75" spans="12:12">
      <c r="L75" s="123"/>
    </row>
    <row r="76" spans="12:12">
      <c r="L76" s="123"/>
    </row>
    <row r="77" spans="12:12">
      <c r="L77" s="123"/>
    </row>
    <row r="78" spans="12:12">
      <c r="L78" s="123"/>
    </row>
    <row r="79" spans="12:12">
      <c r="L79" s="123"/>
    </row>
    <row r="80" spans="12:12">
      <c r="L80" s="123"/>
    </row>
    <row r="81" spans="12:12">
      <c r="L81" s="123"/>
    </row>
    <row r="82" spans="12:12">
      <c r="L82" s="123"/>
    </row>
    <row r="83" spans="12:12">
      <c r="L83" s="123"/>
    </row>
    <row r="84" spans="12:12">
      <c r="L84" s="123"/>
    </row>
    <row r="85" spans="12:12">
      <c r="L85" s="123"/>
    </row>
    <row r="86" spans="12:12">
      <c r="L86" s="123"/>
    </row>
    <row r="87" spans="12:12">
      <c r="L87" s="123"/>
    </row>
    <row r="88" spans="12:12">
      <c r="L88" s="123"/>
    </row>
    <row r="89" spans="12:12">
      <c r="L89" s="123"/>
    </row>
    <row r="90" spans="12:12">
      <c r="L90" s="123"/>
    </row>
    <row r="91" spans="12:12">
      <c r="L91" s="123"/>
    </row>
    <row r="92" spans="12:12">
      <c r="L92" s="123"/>
    </row>
    <row r="93" spans="12:12">
      <c r="L93" s="123"/>
    </row>
    <row r="94" spans="12:12">
      <c r="L94" s="123"/>
    </row>
    <row r="95" spans="12:12">
      <c r="L95" s="123"/>
    </row>
    <row r="96" spans="12:12">
      <c r="L96" s="123"/>
    </row>
    <row r="97" spans="12:12">
      <c r="L97" s="123"/>
    </row>
    <row r="98" spans="12:12">
      <c r="L98" s="123"/>
    </row>
    <row r="99" spans="12:12">
      <c r="L99" s="123"/>
    </row>
    <row r="100" spans="12:12">
      <c r="L100" s="123"/>
    </row>
    <row r="101" spans="12:12">
      <c r="L101" s="123"/>
    </row>
    <row r="102" spans="12:12">
      <c r="L102" s="123"/>
    </row>
    <row r="103" spans="12:12">
      <c r="L103" s="123"/>
    </row>
    <row r="104" spans="12:12">
      <c r="L104" s="123"/>
    </row>
    <row r="105" spans="12:12">
      <c r="L105" s="123"/>
    </row>
    <row r="106" spans="12:12">
      <c r="L106" s="123"/>
    </row>
    <row r="107" spans="12:12">
      <c r="L107" s="123"/>
    </row>
    <row r="108" spans="12:12">
      <c r="L108" s="123"/>
    </row>
    <row r="109" spans="12:12">
      <c r="L109" s="123"/>
    </row>
    <row r="110" spans="12:12">
      <c r="L110" s="123"/>
    </row>
    <row r="111" spans="12:12">
      <c r="L111" s="123"/>
    </row>
    <row r="112" spans="12:12">
      <c r="L112" s="123"/>
    </row>
    <row r="113" spans="12:12">
      <c r="L113" s="123"/>
    </row>
    <row r="114" spans="12:12">
      <c r="L114" s="123"/>
    </row>
  </sheetData>
  <mergeCells count="2">
    <mergeCell ref="I3:J3"/>
    <mergeCell ref="I4:J4"/>
  </mergeCells>
  <dataValidations count="10">
    <dataValidation type="list" allowBlank="1" showInputMessage="1" showErrorMessage="1" sqref="C15">
      <formula1>"CLEAN,DIRTY"</formula1>
    </dataValidation>
    <dataValidation type="list" allowBlank="1" showInputMessage="1" showErrorMessage="1" sqref="F24">
      <formula1>"None,ShortStart,ShortEnd,LongStart,LongEnd,SS,SE,LS,LE"</formula1>
    </dataValidation>
    <dataValidation type="list" allowBlank="1" showInputMessage="1" showErrorMessage="1" sqref="C10">
      <formula1>"MID,BID,ASK"</formula1>
    </dataValidation>
    <dataValidation type="list" allowBlank="1" showInputMessage="1" showErrorMessage="1" sqref="F30 I34:J34">
      <formula1>"EOM,IMM,1,2,3,4,5,6,7,8,9,10,11,12,13,14,15,16,17,18,19,20,21,22,23,24,25,26,27,28,29,30,31"</formula1>
    </dataValidation>
    <dataValidation type="list" allowBlank="1" showInputMessage="1" showErrorMessage="1" sqref="I41:J45">
      <formula1>"SHORTSTART,SHORTEND,LONGSTART,LONGEND"</formula1>
    </dataValidation>
    <dataValidation type="list" allowBlank="1" showInputMessage="1" showErrorMessage="1" sqref="C11">
      <formula1>"GOVT,CORP"</formula1>
    </dataValidation>
    <dataValidation type="list" allowBlank="1" showInputMessage="1" showErrorMessage="1" sqref="C20">
      <formula1>"TRUE,FALSE"</formula1>
    </dataValidation>
    <dataValidation type="list" allowBlank="1" showInputMessage="1" showErrorMessage="1" sqref="J23:J24">
      <formula1>"QUARTERLY,SEMI-ANNUAL"</formula1>
    </dataValidation>
    <dataValidation type="list" allowBlank="1" showInputMessage="1" showErrorMessage="1" sqref="C17">
      <formula1>"ACT/ACT,ACT/360,ACT/365,ACT/365_ISDA,30/360,N30/360,E30/360"</formula1>
    </dataValidation>
    <dataValidation type="list" allowBlank="1" showInputMessage="1" showErrorMessage="1" sqref="C16 C18:C19">
      <formula1>"ANNUAL,SEMI-ANNUAL,QUARTERLY,MONTHLY"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00"/>
  <sheetViews>
    <sheetView showGridLines="0" workbookViewId="0"/>
  </sheetViews>
  <sheetFormatPr defaultRowHeight="15"/>
  <cols>
    <col min="2" max="3" width="18.7109375" style="17" customWidth="1"/>
    <col min="4" max="4" width="19.5703125" style="31" bestFit="1" customWidth="1"/>
    <col min="5" max="5" width="21.7109375" style="31" bestFit="1" customWidth="1"/>
    <col min="6" max="6" width="18.7109375" style="17" customWidth="1"/>
    <col min="7" max="8" width="17.7109375" style="29" customWidth="1"/>
    <col min="9" max="9" width="17.28515625" style="24" bestFit="1" customWidth="1"/>
    <col min="10" max="10" width="10.7109375" style="30" customWidth="1"/>
    <col min="11" max="11" width="17.7109375" style="29" customWidth="1"/>
    <col min="12" max="12" width="15.85546875" style="29" bestFit="1" customWidth="1"/>
    <col min="13" max="13" width="17.7109375" style="32" customWidth="1"/>
    <col min="14" max="14" width="11.7109375" style="29" bestFit="1" customWidth="1"/>
  </cols>
  <sheetData>
    <row r="2" spans="2:15">
      <c r="B2" s="28" t="s">
        <v>95</v>
      </c>
    </row>
    <row r="3" spans="2:15">
      <c r="B3" s="33" t="str">
        <f t="array" aca="1" ref="B3:O100" ca="1">_xll.meUtilityResize(_xll.meLWOBondDisplayCashflows('AUD ASW'!$F$4,'AUD ASW'!$C$7,'AUD ASW'!$C$13),200,100)</f>
        <v>AccrualStart</v>
      </c>
      <c r="C3" s="33" t="str">
        <f ca="1"/>
        <v>AccrualEnd</v>
      </c>
      <c r="D3" s="45" t="str">
        <f ca="1"/>
        <v>AccrualYearFractions</v>
      </c>
      <c r="E3" s="45" t="str">
        <f ca="1"/>
        <v>TrueYieldYearFractions</v>
      </c>
      <c r="F3" s="33" t="str">
        <f ca="1"/>
        <v>ExDividendDate</v>
      </c>
      <c r="G3" s="35" t="str">
        <f ca="1"/>
        <v>PaymentDate</v>
      </c>
      <c r="H3" s="35" t="str">
        <f ca="1"/>
        <v>Notional</v>
      </c>
      <c r="I3" s="34" t="str">
        <f ca="1"/>
        <v>NotionalExchange</v>
      </c>
      <c r="J3" s="36" t="str">
        <f ca="1"/>
        <v>Leverage</v>
      </c>
      <c r="K3" s="35" t="str">
        <f ca="1"/>
        <v>FixedRate</v>
      </c>
      <c r="L3" s="35" t="str">
        <f ca="1"/>
        <v>Coupon</v>
      </c>
      <c r="M3" s="37" t="str">
        <f ca="1"/>
        <v>DiscountFactor</v>
      </c>
      <c r="N3" s="40" t="str">
        <f ca="1"/>
        <v>CouponPV</v>
      </c>
      <c r="O3" s="59" t="str">
        <f ca="1"/>
        <v/>
      </c>
    </row>
    <row r="4" spans="2:15">
      <c r="B4" s="33" t="str">
        <f ca="1"/>
        <v/>
      </c>
      <c r="C4" s="33" t="str">
        <f ca="1"/>
        <v/>
      </c>
      <c r="D4" s="45" t="str">
        <f ca="1"/>
        <v/>
      </c>
      <c r="E4" s="45" t="str">
        <f ca="1"/>
        <v/>
      </c>
      <c r="F4" s="33">
        <f ca="1"/>
        <v>42329</v>
      </c>
      <c r="G4" s="35" t="str">
        <f ca="1"/>
        <v/>
      </c>
      <c r="H4" s="35">
        <f ca="1"/>
        <v>-1000000</v>
      </c>
      <c r="I4" s="34">
        <f ca="1"/>
        <v>1</v>
      </c>
      <c r="J4" s="36" t="str">
        <f ca="1"/>
        <v/>
      </c>
      <c r="K4" s="35">
        <f ca="1"/>
        <v>-1000000</v>
      </c>
      <c r="L4" s="35">
        <f ca="1"/>
        <v>0</v>
      </c>
      <c r="M4" s="37">
        <f ca="1"/>
        <v>0</v>
      </c>
      <c r="N4" s="40" t="str">
        <f ca="1"/>
        <v/>
      </c>
      <c r="O4" s="59" t="str">
        <f ca="1"/>
        <v/>
      </c>
    </row>
    <row r="5" spans="2:15">
      <c r="B5" s="33">
        <f ca="1"/>
        <v>42329</v>
      </c>
      <c r="C5" s="33">
        <f ca="1"/>
        <v>42511</v>
      </c>
      <c r="D5" s="45">
        <f ca="1"/>
        <v>0.5</v>
      </c>
      <c r="E5" s="45">
        <f ca="1"/>
        <v>0.5</v>
      </c>
      <c r="F5" s="33">
        <f ca="1"/>
        <v>42504</v>
      </c>
      <c r="G5" s="33">
        <f ca="1"/>
        <v>42511</v>
      </c>
      <c r="H5" s="35">
        <f ca="1"/>
        <v>1000000</v>
      </c>
      <c r="I5" s="34">
        <f ca="1"/>
        <v>0</v>
      </c>
      <c r="J5" s="36">
        <f ca="1"/>
        <v>1</v>
      </c>
      <c r="K5" s="35">
        <f ca="1"/>
        <v>2.2499999999999999E-2</v>
      </c>
      <c r="L5" s="35">
        <f ca="1"/>
        <v>11250</v>
      </c>
      <c r="M5" s="37">
        <f ca="1"/>
        <v>0</v>
      </c>
      <c r="N5" s="40">
        <f ca="1"/>
        <v>0</v>
      </c>
      <c r="O5" s="59" t="str">
        <f ca="1"/>
        <v/>
      </c>
    </row>
    <row r="6" spans="2:15">
      <c r="B6" s="33">
        <f ca="1"/>
        <v>42511</v>
      </c>
      <c r="C6" s="33">
        <f ca="1"/>
        <v>42695</v>
      </c>
      <c r="D6" s="45">
        <f ca="1"/>
        <v>0.5</v>
      </c>
      <c r="E6" s="45">
        <f ca="1"/>
        <v>0.5</v>
      </c>
      <c r="F6" s="33">
        <f ca="1"/>
        <v>42688</v>
      </c>
      <c r="G6" s="33">
        <f ca="1"/>
        <v>42695</v>
      </c>
      <c r="H6" s="35">
        <f ca="1"/>
        <v>1000000</v>
      </c>
      <c r="I6" s="34">
        <f ca="1"/>
        <v>0</v>
      </c>
      <c r="J6" s="36">
        <f ca="1"/>
        <v>1</v>
      </c>
      <c r="K6" s="35">
        <f ca="1"/>
        <v>2.2499999999999999E-2</v>
      </c>
      <c r="L6" s="35">
        <f ca="1"/>
        <v>11250</v>
      </c>
      <c r="M6" s="37">
        <f ca="1"/>
        <v>0</v>
      </c>
      <c r="N6" s="40">
        <f ca="1"/>
        <v>0</v>
      </c>
      <c r="O6" s="59" t="str">
        <f ca="1"/>
        <v/>
      </c>
    </row>
    <row r="7" spans="2:15">
      <c r="B7" s="33">
        <f ca="1"/>
        <v>42695</v>
      </c>
      <c r="C7" s="33">
        <f ca="1"/>
        <v>42876</v>
      </c>
      <c r="D7" s="45">
        <f ca="1"/>
        <v>0.5</v>
      </c>
      <c r="E7" s="45">
        <f ca="1"/>
        <v>0.5</v>
      </c>
      <c r="F7" s="33">
        <f ca="1"/>
        <v>42869</v>
      </c>
      <c r="G7" s="33">
        <f ca="1"/>
        <v>42876</v>
      </c>
      <c r="H7" s="35">
        <f ca="1"/>
        <v>1000000</v>
      </c>
      <c r="I7" s="34">
        <f ca="1"/>
        <v>0</v>
      </c>
      <c r="J7" s="36">
        <f ca="1"/>
        <v>1</v>
      </c>
      <c r="K7" s="35">
        <f ca="1"/>
        <v>2.2499999999999999E-2</v>
      </c>
      <c r="L7" s="35">
        <f ca="1"/>
        <v>11250</v>
      </c>
      <c r="M7" s="37">
        <f ca="1"/>
        <v>0</v>
      </c>
      <c r="N7" s="40">
        <f ca="1"/>
        <v>0</v>
      </c>
      <c r="O7" s="59" t="str">
        <f ca="1"/>
        <v/>
      </c>
    </row>
    <row r="8" spans="2:15">
      <c r="B8" s="33">
        <f ca="1"/>
        <v>42876</v>
      </c>
      <c r="C8" s="33">
        <f ca="1"/>
        <v>43060</v>
      </c>
      <c r="D8" s="45">
        <f ca="1"/>
        <v>0.5</v>
      </c>
      <c r="E8" s="45">
        <f ca="1"/>
        <v>0.5</v>
      </c>
      <c r="F8" s="33">
        <f ca="1"/>
        <v>43053</v>
      </c>
      <c r="G8" s="33">
        <f ca="1"/>
        <v>43060</v>
      </c>
      <c r="H8" s="35">
        <f ca="1"/>
        <v>1000000</v>
      </c>
      <c r="I8" s="34">
        <f ca="1"/>
        <v>0</v>
      </c>
      <c r="J8" s="36">
        <f ca="1"/>
        <v>1</v>
      </c>
      <c r="K8" s="35">
        <f ca="1"/>
        <v>2.2499999999999999E-2</v>
      </c>
      <c r="L8" s="35">
        <f ca="1"/>
        <v>11250</v>
      </c>
      <c r="M8" s="37">
        <f ca="1"/>
        <v>0</v>
      </c>
      <c r="N8" s="40">
        <f ca="1"/>
        <v>0</v>
      </c>
      <c r="O8" s="59" t="str">
        <f ca="1"/>
        <v/>
      </c>
    </row>
    <row r="9" spans="2:15">
      <c r="B9" s="33">
        <f ca="1"/>
        <v>43060</v>
      </c>
      <c r="C9" s="33">
        <f ca="1"/>
        <v>43241</v>
      </c>
      <c r="D9" s="45">
        <f ca="1"/>
        <v>0.5</v>
      </c>
      <c r="E9" s="45">
        <f ca="1"/>
        <v>0.5</v>
      </c>
      <c r="F9" s="33">
        <f ca="1"/>
        <v>43234</v>
      </c>
      <c r="G9" s="33">
        <f ca="1"/>
        <v>43241</v>
      </c>
      <c r="H9" s="35">
        <f ca="1"/>
        <v>1000000</v>
      </c>
      <c r="I9" s="34">
        <f ca="1"/>
        <v>0</v>
      </c>
      <c r="J9" s="36">
        <f ca="1"/>
        <v>1</v>
      </c>
      <c r="K9" s="35">
        <f ca="1"/>
        <v>2.2499999999999999E-2</v>
      </c>
      <c r="L9" s="35">
        <f ca="1"/>
        <v>0</v>
      </c>
      <c r="M9" s="37">
        <f ca="1"/>
        <v>0.97628639165775499</v>
      </c>
      <c r="N9" s="40">
        <f ca="1"/>
        <v>0</v>
      </c>
      <c r="O9" s="59" t="str">
        <f ca="1"/>
        <v/>
      </c>
    </row>
    <row r="10" spans="2:15">
      <c r="B10" s="33">
        <f ca="1"/>
        <v>43241</v>
      </c>
      <c r="C10" s="33">
        <f ca="1"/>
        <v>43425</v>
      </c>
      <c r="D10" s="45">
        <f ca="1"/>
        <v>0.5</v>
      </c>
      <c r="E10" s="45">
        <f ca="1"/>
        <v>0.5</v>
      </c>
      <c r="F10" s="33">
        <f ca="1"/>
        <v>43418</v>
      </c>
      <c r="G10" s="33">
        <f ca="1"/>
        <v>43425</v>
      </c>
      <c r="H10" s="35">
        <f ca="1"/>
        <v>1000000</v>
      </c>
      <c r="I10" s="34">
        <f ca="1"/>
        <v>0</v>
      </c>
      <c r="J10" s="36">
        <f ca="1"/>
        <v>1</v>
      </c>
      <c r="K10" s="35">
        <f ca="1"/>
        <v>2.2499999999999999E-2</v>
      </c>
      <c r="L10" s="35">
        <f ca="1"/>
        <v>11250</v>
      </c>
      <c r="M10" s="37">
        <f ca="1"/>
        <v>0.409518165216333</v>
      </c>
      <c r="N10" s="40">
        <f ca="1"/>
        <v>4607.0793586837499</v>
      </c>
      <c r="O10" s="59" t="str">
        <f ca="1"/>
        <v/>
      </c>
    </row>
    <row r="11" spans="2:15">
      <c r="B11" s="33">
        <f ca="1"/>
        <v>43425</v>
      </c>
      <c r="C11" s="33">
        <f ca="1"/>
        <v>43606</v>
      </c>
      <c r="D11" s="45">
        <f ca="1"/>
        <v>0.5</v>
      </c>
      <c r="E11" s="45">
        <f ca="1"/>
        <v>0.5</v>
      </c>
      <c r="F11" s="33">
        <f ca="1"/>
        <v>43599</v>
      </c>
      <c r="G11" s="33">
        <f ca="1"/>
        <v>43606</v>
      </c>
      <c r="H11" s="35">
        <f ca="1"/>
        <v>1000000</v>
      </c>
      <c r="I11" s="34">
        <f ca="1"/>
        <v>0</v>
      </c>
      <c r="J11" s="36">
        <f ca="1"/>
        <v>1</v>
      </c>
      <c r="K11" s="35">
        <f ca="1"/>
        <v>2.2499999999999999E-2</v>
      </c>
      <c r="L11" s="35">
        <f ca="1"/>
        <v>11250</v>
      </c>
      <c r="M11" s="37">
        <f ca="1"/>
        <v>0.17177861852338699</v>
      </c>
      <c r="N11" s="40">
        <f ca="1"/>
        <v>1932.50945838811</v>
      </c>
      <c r="O11" s="59" t="str">
        <f ca="1"/>
        <v/>
      </c>
    </row>
    <row r="12" spans="2:15">
      <c r="B12" s="33">
        <f ca="1"/>
        <v>43606</v>
      </c>
      <c r="C12" s="33">
        <f ca="1"/>
        <v>43790</v>
      </c>
      <c r="D12" s="45">
        <f ca="1"/>
        <v>0.5</v>
      </c>
      <c r="E12" s="45">
        <f ca="1"/>
        <v>0.5</v>
      </c>
      <c r="F12" s="33">
        <f ca="1"/>
        <v>43783</v>
      </c>
      <c r="G12" s="33">
        <f ca="1"/>
        <v>43790</v>
      </c>
      <c r="H12" s="35">
        <f ca="1"/>
        <v>1000000</v>
      </c>
      <c r="I12" s="34">
        <f ca="1"/>
        <v>0</v>
      </c>
      <c r="J12" s="36">
        <f ca="1"/>
        <v>1</v>
      </c>
      <c r="K12" s="35">
        <f ca="1"/>
        <v>2.2499999999999999E-2</v>
      </c>
      <c r="L12" s="35">
        <f ca="1"/>
        <v>11250</v>
      </c>
      <c r="M12" s="37">
        <f ca="1"/>
        <v>7.2055152342791695E-2</v>
      </c>
      <c r="N12" s="40">
        <f ca="1"/>
        <v>810.62046385640701</v>
      </c>
      <c r="O12" s="59" t="str">
        <f ca="1"/>
        <v/>
      </c>
    </row>
    <row r="13" spans="2:15">
      <c r="B13" s="33">
        <f ca="1"/>
        <v>43790</v>
      </c>
      <c r="C13" s="33">
        <f ca="1"/>
        <v>43972</v>
      </c>
      <c r="D13" s="45">
        <f ca="1"/>
        <v>0.5</v>
      </c>
      <c r="E13" s="45">
        <f ca="1"/>
        <v>0.5</v>
      </c>
      <c r="F13" s="33">
        <f ca="1"/>
        <v>43965</v>
      </c>
      <c r="G13" s="33">
        <f ca="1"/>
        <v>43972</v>
      </c>
      <c r="H13" s="35">
        <f ca="1"/>
        <v>1000000</v>
      </c>
      <c r="I13" s="34">
        <f ca="1"/>
        <v>0</v>
      </c>
      <c r="J13" s="36">
        <f ca="1"/>
        <v>1</v>
      </c>
      <c r="K13" s="35">
        <f ca="1"/>
        <v>2.2499999999999999E-2</v>
      </c>
      <c r="L13" s="35">
        <f ca="1"/>
        <v>11250</v>
      </c>
      <c r="M13" s="37">
        <f ca="1"/>
        <v>3.0224628791248799E-2</v>
      </c>
      <c r="N13" s="40">
        <f ca="1"/>
        <v>340.02707390154899</v>
      </c>
      <c r="O13" s="59" t="str">
        <f ca="1"/>
        <v/>
      </c>
    </row>
    <row r="14" spans="2:15">
      <c r="B14" s="33">
        <f ca="1"/>
        <v>43972</v>
      </c>
      <c r="C14" s="33">
        <f ca="1"/>
        <v>44156</v>
      </c>
      <c r="D14" s="45">
        <f ca="1"/>
        <v>0.5</v>
      </c>
      <c r="E14" s="45">
        <f ca="1"/>
        <v>0.5</v>
      </c>
      <c r="F14" s="33">
        <f ca="1"/>
        <v>44149</v>
      </c>
      <c r="G14" s="33">
        <f ca="1"/>
        <v>44156</v>
      </c>
      <c r="H14" s="35">
        <f ca="1"/>
        <v>1000000</v>
      </c>
      <c r="I14" s="34">
        <f ca="1"/>
        <v>0</v>
      </c>
      <c r="J14" s="36">
        <f ca="1"/>
        <v>1</v>
      </c>
      <c r="K14" s="35">
        <f ca="1"/>
        <v>2.2499999999999999E-2</v>
      </c>
      <c r="L14" s="35">
        <f ca="1"/>
        <v>11250</v>
      </c>
      <c r="M14" s="37">
        <f ca="1"/>
        <v>1.2678179920053601E-2</v>
      </c>
      <c r="N14" s="40">
        <f ca="1"/>
        <v>142.62952410060299</v>
      </c>
      <c r="O14" s="59" t="str">
        <f ca="1"/>
        <v/>
      </c>
    </row>
    <row r="15" spans="2:15">
      <c r="B15" s="33">
        <f ca="1"/>
        <v>44156</v>
      </c>
      <c r="C15" s="33">
        <f ca="1"/>
        <v>44337</v>
      </c>
      <c r="D15" s="45">
        <f ca="1"/>
        <v>0.5</v>
      </c>
      <c r="E15" s="45">
        <f ca="1"/>
        <v>0.5</v>
      </c>
      <c r="F15" s="33">
        <f ca="1"/>
        <v>44330</v>
      </c>
      <c r="G15" s="33">
        <f ca="1"/>
        <v>44337</v>
      </c>
      <c r="H15" s="35">
        <f ca="1"/>
        <v>1000000</v>
      </c>
      <c r="I15" s="34">
        <f ca="1"/>
        <v>0</v>
      </c>
      <c r="J15" s="36">
        <f ca="1"/>
        <v>1</v>
      </c>
      <c r="K15" s="35">
        <f ca="1"/>
        <v>2.2499999999999999E-2</v>
      </c>
      <c r="L15" s="35">
        <f ca="1"/>
        <v>11250</v>
      </c>
      <c r="M15" s="37">
        <f ca="1"/>
        <v>5.3180552586899101E-3</v>
      </c>
      <c r="N15" s="40">
        <f ca="1"/>
        <v>59.828121660261502</v>
      </c>
      <c r="O15" s="59" t="str">
        <f ca="1"/>
        <v/>
      </c>
    </row>
    <row r="16" spans="2:15">
      <c r="B16" s="33">
        <f ca="1"/>
        <v>44337</v>
      </c>
      <c r="C16" s="33">
        <f ca="1"/>
        <v>44521</v>
      </c>
      <c r="D16" s="45">
        <f ca="1"/>
        <v>0.5</v>
      </c>
      <c r="E16" s="45">
        <f ca="1"/>
        <v>0.5</v>
      </c>
      <c r="F16" s="33">
        <f ca="1"/>
        <v>44514</v>
      </c>
      <c r="G16" s="33">
        <f ca="1"/>
        <v>44521</v>
      </c>
      <c r="H16" s="35">
        <f ca="1"/>
        <v>1000000</v>
      </c>
      <c r="I16" s="34">
        <f ca="1"/>
        <v>0</v>
      </c>
      <c r="J16" s="36">
        <f ca="1"/>
        <v>1</v>
      </c>
      <c r="K16" s="35">
        <f ca="1"/>
        <v>2.2499999999999999E-2</v>
      </c>
      <c r="L16" s="35">
        <f ca="1"/>
        <v>11250</v>
      </c>
      <c r="M16" s="37">
        <f ca="1"/>
        <v>2.2307391055197902E-3</v>
      </c>
      <c r="N16" s="40">
        <f ca="1"/>
        <v>25.0958149370976</v>
      </c>
      <c r="O16" s="59" t="str">
        <f ca="1"/>
        <v/>
      </c>
    </row>
    <row r="17" spans="2:15">
      <c r="B17" s="33">
        <f ca="1"/>
        <v>44521</v>
      </c>
      <c r="C17" s="33">
        <f ca="1"/>
        <v>44702</v>
      </c>
      <c r="D17" s="45">
        <f ca="1"/>
        <v>0.5</v>
      </c>
      <c r="E17" s="45">
        <f ca="1"/>
        <v>0.5</v>
      </c>
      <c r="F17" s="33">
        <f ca="1"/>
        <v>44695</v>
      </c>
      <c r="G17" s="33">
        <f ca="1"/>
        <v>44702</v>
      </c>
      <c r="H17" s="35">
        <f ca="1"/>
        <v>1000000</v>
      </c>
      <c r="I17" s="34">
        <f ca="1"/>
        <v>0</v>
      </c>
      <c r="J17" s="36">
        <f ca="1"/>
        <v>1</v>
      </c>
      <c r="K17" s="35">
        <f ca="1"/>
        <v>2.2499999999999999E-2</v>
      </c>
      <c r="L17" s="35">
        <f ca="1"/>
        <v>11250</v>
      </c>
      <c r="M17" s="37">
        <f ca="1"/>
        <v>9.3571742203391397E-4</v>
      </c>
      <c r="N17" s="40">
        <f ca="1"/>
        <v>10.526820997881501</v>
      </c>
      <c r="O17" s="59" t="str">
        <f ca="1"/>
        <v/>
      </c>
    </row>
    <row r="18" spans="2:15">
      <c r="B18" s="33">
        <f ca="1"/>
        <v>44702</v>
      </c>
      <c r="C18" s="33">
        <f ca="1"/>
        <v>44886</v>
      </c>
      <c r="D18" s="45">
        <f ca="1"/>
        <v>0.5</v>
      </c>
      <c r="E18" s="45">
        <f ca="1"/>
        <v>0.5</v>
      </c>
      <c r="F18" s="33">
        <f ca="1"/>
        <v>44879</v>
      </c>
      <c r="G18" s="33">
        <f ca="1"/>
        <v>44886</v>
      </c>
      <c r="H18" s="35">
        <f ca="1"/>
        <v>1000000</v>
      </c>
      <c r="I18" s="34">
        <f ca="1"/>
        <v>0</v>
      </c>
      <c r="J18" s="36">
        <f ca="1"/>
        <v>1</v>
      </c>
      <c r="K18" s="35">
        <f ca="1"/>
        <v>2.2499999999999999E-2</v>
      </c>
      <c r="L18" s="35">
        <f ca="1"/>
        <v>11250</v>
      </c>
      <c r="M18" s="37">
        <f ca="1"/>
        <v>3.9250089431402903E-4</v>
      </c>
      <c r="N18" s="40">
        <f ca="1"/>
        <v>4.4156350610328303</v>
      </c>
      <c r="O18" s="59" t="str">
        <f ca="1"/>
        <v/>
      </c>
    </row>
    <row r="19" spans="2:15">
      <c r="B19" s="33">
        <f ca="1"/>
        <v>44886</v>
      </c>
      <c r="C19" s="33">
        <f ca="1"/>
        <v>45067</v>
      </c>
      <c r="D19" s="45">
        <f ca="1"/>
        <v>0.5</v>
      </c>
      <c r="E19" s="45">
        <f ca="1"/>
        <v>0.5</v>
      </c>
      <c r="F19" s="33">
        <f ca="1"/>
        <v>45060</v>
      </c>
      <c r="G19" s="33">
        <f ca="1"/>
        <v>45067</v>
      </c>
      <c r="H19" s="35">
        <f ca="1"/>
        <v>1000000</v>
      </c>
      <c r="I19" s="34">
        <f ca="1"/>
        <v>0</v>
      </c>
      <c r="J19" s="36">
        <f ca="1"/>
        <v>1</v>
      </c>
      <c r="K19" s="35">
        <f ca="1"/>
        <v>2.2499999999999999E-2</v>
      </c>
      <c r="L19" s="35">
        <f ca="1"/>
        <v>11250</v>
      </c>
      <c r="M19" s="37">
        <f ca="1"/>
        <v>1.64640465603866E-4</v>
      </c>
      <c r="N19" s="40">
        <f ca="1"/>
        <v>1.8522052380434899</v>
      </c>
      <c r="O19" s="59" t="str">
        <f ca="1"/>
        <v/>
      </c>
    </row>
    <row r="20" spans="2:15">
      <c r="B20" s="33">
        <f ca="1"/>
        <v>45067</v>
      </c>
      <c r="C20" s="33">
        <f ca="1"/>
        <v>45251</v>
      </c>
      <c r="D20" s="45">
        <f ca="1"/>
        <v>0.5</v>
      </c>
      <c r="E20" s="45">
        <f ca="1"/>
        <v>0.5</v>
      </c>
      <c r="F20" s="33">
        <f ca="1"/>
        <v>45244</v>
      </c>
      <c r="G20" s="33">
        <f ca="1"/>
        <v>45251</v>
      </c>
      <c r="H20" s="35">
        <f ca="1"/>
        <v>1000000</v>
      </c>
      <c r="I20" s="34">
        <f ca="1"/>
        <v>0</v>
      </c>
      <c r="J20" s="36">
        <f ca="1"/>
        <v>1</v>
      </c>
      <c r="K20" s="35">
        <f ca="1"/>
        <v>2.2499999999999999E-2</v>
      </c>
      <c r="L20" s="35">
        <f ca="1"/>
        <v>11250</v>
      </c>
      <c r="M20" s="37">
        <f ca="1"/>
        <v>6.9060945610408206E-5</v>
      </c>
      <c r="N20" s="40">
        <f ca="1"/>
        <v>0.77693563811709299</v>
      </c>
      <c r="O20" s="59" t="str">
        <f ca="1"/>
        <v/>
      </c>
    </row>
    <row r="21" spans="2:15">
      <c r="B21" s="33">
        <f ca="1"/>
        <v>45251</v>
      </c>
      <c r="C21" s="33">
        <f ca="1"/>
        <v>45433</v>
      </c>
      <c r="D21" s="45">
        <f ca="1"/>
        <v>0.5</v>
      </c>
      <c r="E21" s="45">
        <f ca="1"/>
        <v>0.5</v>
      </c>
      <c r="F21" s="33">
        <f ca="1"/>
        <v>45426</v>
      </c>
      <c r="G21" s="33">
        <f ca="1"/>
        <v>45433</v>
      </c>
      <c r="H21" s="35">
        <f ca="1"/>
        <v>1000000</v>
      </c>
      <c r="I21" s="34">
        <f ca="1"/>
        <v>0</v>
      </c>
      <c r="J21" s="36">
        <f ca="1"/>
        <v>1</v>
      </c>
      <c r="K21" s="35">
        <f ca="1"/>
        <v>2.2499999999999999E-2</v>
      </c>
      <c r="L21" s="35">
        <f ca="1"/>
        <v>11250</v>
      </c>
      <c r="M21" s="37">
        <f ca="1"/>
        <v>2.8968663269449402E-5</v>
      </c>
      <c r="N21" s="40">
        <f ca="1"/>
        <v>0.32589746178130602</v>
      </c>
      <c r="O21" s="59" t="str">
        <f ca="1"/>
        <v/>
      </c>
    </row>
    <row r="22" spans="2:15">
      <c r="B22" s="33">
        <f ca="1"/>
        <v>45433</v>
      </c>
      <c r="C22" s="33">
        <f ca="1"/>
        <v>45617</v>
      </c>
      <c r="D22" s="45">
        <f ca="1"/>
        <v>0.5</v>
      </c>
      <c r="E22" s="45">
        <f ca="1"/>
        <v>0.5</v>
      </c>
      <c r="F22" s="33">
        <f ca="1"/>
        <v>45610</v>
      </c>
      <c r="G22" s="33">
        <f ca="1"/>
        <v>45617</v>
      </c>
      <c r="H22" s="35">
        <f ca="1"/>
        <v>1000000</v>
      </c>
      <c r="I22" s="34">
        <f ca="1"/>
        <v>0</v>
      </c>
      <c r="J22" s="36">
        <f ca="1"/>
        <v>1</v>
      </c>
      <c r="K22" s="35">
        <f ca="1"/>
        <v>2.2499999999999999E-2</v>
      </c>
      <c r="L22" s="35">
        <f ca="1"/>
        <v>11250</v>
      </c>
      <c r="M22" s="37">
        <f ca="1"/>
        <v>1.21513460929541E-5</v>
      </c>
      <c r="N22" s="40">
        <f ca="1"/>
        <v>0.136702643545734</v>
      </c>
      <c r="O22" s="59" t="str">
        <f ca="1"/>
        <v/>
      </c>
    </row>
    <row r="23" spans="2:15">
      <c r="B23" s="33">
        <f ca="1"/>
        <v>45617</v>
      </c>
      <c r="C23" s="33">
        <f ca="1"/>
        <v>45798</v>
      </c>
      <c r="D23" s="45">
        <f ca="1"/>
        <v>0.5</v>
      </c>
      <c r="E23" s="45">
        <f ca="1"/>
        <v>0.5</v>
      </c>
      <c r="F23" s="33">
        <f ca="1"/>
        <v>45791</v>
      </c>
      <c r="G23" s="33">
        <f ca="1"/>
        <v>45798</v>
      </c>
      <c r="H23" s="35">
        <f ca="1"/>
        <v>1000000</v>
      </c>
      <c r="I23" s="34">
        <f ca="1"/>
        <v>0</v>
      </c>
      <c r="J23" s="36">
        <f ca="1"/>
        <v>1</v>
      </c>
      <c r="K23" s="35">
        <f ca="1"/>
        <v>2.2499999999999999E-2</v>
      </c>
      <c r="L23" s="35">
        <f ca="1"/>
        <v>11250</v>
      </c>
      <c r="M23" s="37">
        <f ca="1"/>
        <v>5.0970668027498896E-6</v>
      </c>
      <c r="N23" s="40">
        <f ca="1"/>
        <v>5.7342001530936201E-2</v>
      </c>
      <c r="O23" s="59" t="str">
        <f ca="1"/>
        <v/>
      </c>
    </row>
    <row r="24" spans="2:15">
      <c r="B24" s="33">
        <f ca="1"/>
        <v>45798</v>
      </c>
      <c r="C24" s="33">
        <f ca="1"/>
        <v>45982</v>
      </c>
      <c r="D24" s="45">
        <f ca="1"/>
        <v>0.5</v>
      </c>
      <c r="E24" s="45">
        <f ca="1"/>
        <v>0.5</v>
      </c>
      <c r="F24" s="33">
        <f ca="1"/>
        <v>45975</v>
      </c>
      <c r="G24" s="33">
        <f ca="1"/>
        <v>45982</v>
      </c>
      <c r="H24" s="35">
        <f ca="1"/>
        <v>1000000</v>
      </c>
      <c r="I24" s="34">
        <f ca="1"/>
        <v>0</v>
      </c>
      <c r="J24" s="36">
        <f ca="1"/>
        <v>1</v>
      </c>
      <c r="K24" s="35">
        <f ca="1"/>
        <v>2.2499999999999999E-2</v>
      </c>
      <c r="L24" s="35">
        <f ca="1"/>
        <v>11250</v>
      </c>
      <c r="M24" s="37">
        <f ca="1"/>
        <v>2.1380421389494802E-6</v>
      </c>
      <c r="N24" s="40">
        <f ca="1"/>
        <v>2.40529740631816E-2</v>
      </c>
      <c r="O24" s="59" t="str">
        <f ca="1"/>
        <v/>
      </c>
    </row>
    <row r="25" spans="2:15">
      <c r="B25" s="33">
        <f ca="1"/>
        <v>45982</v>
      </c>
      <c r="C25" s="33">
        <f ca="1"/>
        <v>46163</v>
      </c>
      <c r="D25" s="45">
        <f ca="1"/>
        <v>0.5</v>
      </c>
      <c r="E25" s="45">
        <f ca="1"/>
        <v>0.5</v>
      </c>
      <c r="F25" s="33">
        <f ca="1"/>
        <v>46156</v>
      </c>
      <c r="G25" s="33">
        <f ca="1"/>
        <v>46163</v>
      </c>
      <c r="H25" s="35">
        <f ca="1"/>
        <v>1000000</v>
      </c>
      <c r="I25" s="34">
        <f ca="1"/>
        <v>0</v>
      </c>
      <c r="J25" s="36">
        <f ca="1"/>
        <v>1</v>
      </c>
      <c r="K25" s="35">
        <f ca="1"/>
        <v>2.2499999999999999E-2</v>
      </c>
      <c r="L25" s="35">
        <f ca="1"/>
        <v>11250</v>
      </c>
      <c r="M25" s="37">
        <f ca="1"/>
        <v>8.9683427053721598E-7</v>
      </c>
      <c r="N25" s="40">
        <f ca="1"/>
        <v>1.0089385543543701E-2</v>
      </c>
      <c r="O25" s="59" t="str">
        <f ca="1"/>
        <v/>
      </c>
    </row>
    <row r="26" spans="2:15">
      <c r="B26" s="33">
        <f ca="1"/>
        <v>46163</v>
      </c>
      <c r="C26" s="33">
        <f ca="1"/>
        <v>46347</v>
      </c>
      <c r="D26" s="45">
        <f ca="1"/>
        <v>0.5</v>
      </c>
      <c r="E26" s="45">
        <f ca="1"/>
        <v>0.5</v>
      </c>
      <c r="F26" s="33">
        <f ca="1"/>
        <v>46340</v>
      </c>
      <c r="G26" s="33">
        <f ca="1"/>
        <v>46347</v>
      </c>
      <c r="H26" s="35">
        <f ca="1"/>
        <v>1000000</v>
      </c>
      <c r="I26" s="34">
        <f ca="1"/>
        <v>0</v>
      </c>
      <c r="J26" s="36">
        <f ca="1"/>
        <v>1</v>
      </c>
      <c r="K26" s="35">
        <f ca="1"/>
        <v>2.2499999999999999E-2</v>
      </c>
      <c r="L26" s="35">
        <f ca="1"/>
        <v>11250</v>
      </c>
      <c r="M26" s="37">
        <f ca="1"/>
        <v>3.7619076544731599E-7</v>
      </c>
      <c r="N26" s="40">
        <f ca="1"/>
        <v>4.2321461112823098E-3</v>
      </c>
      <c r="O26" s="59" t="str">
        <f ca="1"/>
        <v/>
      </c>
    </row>
    <row r="27" spans="2:15">
      <c r="B27" s="33">
        <f ca="1"/>
        <v>46347</v>
      </c>
      <c r="C27" s="33">
        <f ca="1"/>
        <v>46528</v>
      </c>
      <c r="D27" s="45">
        <f ca="1"/>
        <v>0.5</v>
      </c>
      <c r="E27" s="45">
        <f ca="1"/>
        <v>0.5</v>
      </c>
      <c r="F27" s="33">
        <f ca="1"/>
        <v>46521</v>
      </c>
      <c r="G27" s="33">
        <f ca="1"/>
        <v>46528</v>
      </c>
      <c r="H27" s="35">
        <f ca="1"/>
        <v>1000000</v>
      </c>
      <c r="I27" s="34">
        <f ca="1"/>
        <v>0</v>
      </c>
      <c r="J27" s="36">
        <f ca="1"/>
        <v>1</v>
      </c>
      <c r="K27" s="35">
        <f ca="1"/>
        <v>2.2499999999999999E-2</v>
      </c>
      <c r="L27" s="35">
        <f ca="1"/>
        <v>11250</v>
      </c>
      <c r="M27" s="37">
        <f ca="1"/>
        <v>1.5779893415877799E-7</v>
      </c>
      <c r="N27" s="40">
        <f ca="1"/>
        <v>1.7752380092862501E-3</v>
      </c>
      <c r="O27" s="59" t="str">
        <f ca="1"/>
        <v/>
      </c>
    </row>
    <row r="28" spans="2:15">
      <c r="B28" s="33">
        <f ca="1"/>
        <v>46528</v>
      </c>
      <c r="C28" s="33">
        <f ca="1"/>
        <v>46712</v>
      </c>
      <c r="D28" s="45">
        <f ca="1"/>
        <v>0.5</v>
      </c>
      <c r="E28" s="45">
        <f ca="1"/>
        <v>0.5</v>
      </c>
      <c r="F28" s="33">
        <f ca="1"/>
        <v>46705</v>
      </c>
      <c r="G28" s="33">
        <f ca="1"/>
        <v>46712</v>
      </c>
      <c r="H28" s="35">
        <f ca="1"/>
        <v>1000000</v>
      </c>
      <c r="I28" s="34">
        <f ca="1"/>
        <v>0</v>
      </c>
      <c r="J28" s="36">
        <f ca="1"/>
        <v>1</v>
      </c>
      <c r="K28" s="35">
        <f ca="1"/>
        <v>2.2499999999999999E-2</v>
      </c>
      <c r="L28" s="35">
        <f ca="1"/>
        <v>11250</v>
      </c>
      <c r="M28" s="37">
        <f ca="1"/>
        <v>6.6191161263721804E-8</v>
      </c>
      <c r="N28" s="40">
        <f ca="1"/>
        <v>7.4465056421687105E-4</v>
      </c>
      <c r="O28" s="59" t="str">
        <f ca="1"/>
        <v/>
      </c>
    </row>
    <row r="29" spans="2:15">
      <c r="B29" s="33">
        <f ca="1"/>
        <v>46712</v>
      </c>
      <c r="C29" s="33">
        <f ca="1"/>
        <v>46894</v>
      </c>
      <c r="D29" s="45">
        <f ca="1"/>
        <v>0.5</v>
      </c>
      <c r="E29" s="45">
        <f ca="1"/>
        <v>0.5</v>
      </c>
      <c r="F29" s="33">
        <f ca="1"/>
        <v>46887</v>
      </c>
      <c r="G29" s="33">
        <f ca="1"/>
        <v>46894</v>
      </c>
      <c r="H29" s="35">
        <f ca="1"/>
        <v>1000000</v>
      </c>
      <c r="I29" s="34">
        <f ca="1"/>
        <v>1000000</v>
      </c>
      <c r="J29" s="36">
        <f ca="1"/>
        <v>1</v>
      </c>
      <c r="K29" s="35">
        <f ca="1"/>
        <v>2.2499999999999999E-2</v>
      </c>
      <c r="L29" s="35">
        <f ca="1"/>
        <v>1011250</v>
      </c>
      <c r="M29" s="37">
        <f ca="1"/>
        <v>2.7764888608383001E-8</v>
      </c>
      <c r="N29" s="40">
        <f ca="1"/>
        <v>2.8077243605227301E-2</v>
      </c>
      <c r="O29" s="59" t="str">
        <f ca="1"/>
        <v/>
      </c>
    </row>
    <row r="30" spans="2:15">
      <c r="B30" s="33" t="str">
        <f ca="1"/>
        <v/>
      </c>
      <c r="C30" s="33" t="str">
        <f ca="1"/>
        <v/>
      </c>
      <c r="D30" s="45" t="str">
        <f ca="1"/>
        <v/>
      </c>
      <c r="E30" s="45" t="str">
        <f ca="1"/>
        <v/>
      </c>
      <c r="F30" s="33" t="str">
        <f ca="1"/>
        <v/>
      </c>
      <c r="G30" s="35" t="str">
        <f ca="1"/>
        <v/>
      </c>
      <c r="H30" s="35" t="str">
        <f ca="1"/>
        <v/>
      </c>
      <c r="I30" s="34" t="str">
        <f ca="1"/>
        <v/>
      </c>
      <c r="J30" s="36" t="str">
        <f ca="1"/>
        <v/>
      </c>
      <c r="K30" s="35" t="str">
        <f ca="1"/>
        <v/>
      </c>
      <c r="L30" s="35" t="str">
        <f ca="1"/>
        <v/>
      </c>
      <c r="M30" s="37" t="str">
        <f ca="1"/>
        <v/>
      </c>
      <c r="N30" s="40" t="str">
        <f ca="1"/>
        <v/>
      </c>
      <c r="O30" s="59" t="str">
        <f ca="1"/>
        <v/>
      </c>
    </row>
    <row r="31" spans="2:15">
      <c r="B31" s="33" t="str">
        <f ca="1"/>
        <v/>
      </c>
      <c r="C31" s="33" t="str">
        <f ca="1"/>
        <v/>
      </c>
      <c r="D31" s="45" t="str">
        <f ca="1"/>
        <v/>
      </c>
      <c r="E31" s="45" t="str">
        <f ca="1"/>
        <v/>
      </c>
      <c r="F31" s="33" t="str">
        <f ca="1"/>
        <v/>
      </c>
      <c r="G31" s="35" t="str">
        <f ca="1"/>
        <v/>
      </c>
      <c r="H31" s="35" t="str">
        <f ca="1"/>
        <v/>
      </c>
      <c r="I31" s="34" t="str">
        <f ca="1"/>
        <v/>
      </c>
      <c r="J31" s="36" t="str">
        <f ca="1"/>
        <v/>
      </c>
      <c r="K31" s="35" t="str">
        <f ca="1"/>
        <v/>
      </c>
      <c r="L31" s="35" t="str">
        <f ca="1"/>
        <v/>
      </c>
      <c r="M31" s="37" t="str">
        <f ca="1"/>
        <v/>
      </c>
      <c r="N31" s="40" t="str">
        <f ca="1"/>
        <v/>
      </c>
      <c r="O31" s="59" t="str">
        <f ca="1"/>
        <v/>
      </c>
    </row>
    <row r="32" spans="2:15">
      <c r="B32" s="33" t="str">
        <f ca="1"/>
        <v/>
      </c>
      <c r="C32" s="33" t="str">
        <f ca="1"/>
        <v/>
      </c>
      <c r="D32" s="45" t="str">
        <f ca="1"/>
        <v/>
      </c>
      <c r="E32" s="45" t="str">
        <f ca="1"/>
        <v/>
      </c>
      <c r="F32" s="33" t="str">
        <f ca="1"/>
        <v/>
      </c>
      <c r="G32" s="35" t="str">
        <f ca="1"/>
        <v/>
      </c>
      <c r="H32" s="35" t="str">
        <f ca="1"/>
        <v/>
      </c>
      <c r="I32" s="34" t="str">
        <f ca="1"/>
        <v/>
      </c>
      <c r="J32" s="36" t="str">
        <f ca="1"/>
        <v/>
      </c>
      <c r="K32" s="35" t="str">
        <f ca="1"/>
        <v/>
      </c>
      <c r="L32" s="35" t="str">
        <f ca="1"/>
        <v/>
      </c>
      <c r="M32" s="37" t="str">
        <f ca="1"/>
        <v/>
      </c>
      <c r="N32" s="40" t="str">
        <f ca="1"/>
        <v/>
      </c>
      <c r="O32" s="59" t="str">
        <f ca="1"/>
        <v/>
      </c>
    </row>
    <row r="33" spans="2:15">
      <c r="B33" s="33" t="str">
        <f ca="1"/>
        <v/>
      </c>
      <c r="C33" s="33" t="str">
        <f ca="1"/>
        <v/>
      </c>
      <c r="D33" s="45" t="str">
        <f ca="1"/>
        <v/>
      </c>
      <c r="E33" s="45" t="str">
        <f ca="1"/>
        <v/>
      </c>
      <c r="F33" s="33" t="str">
        <f ca="1"/>
        <v/>
      </c>
      <c r="G33" s="35" t="str">
        <f ca="1"/>
        <v/>
      </c>
      <c r="H33" s="35" t="str">
        <f ca="1"/>
        <v/>
      </c>
      <c r="I33" s="34" t="str">
        <f ca="1"/>
        <v/>
      </c>
      <c r="J33" s="36" t="str">
        <f ca="1"/>
        <v/>
      </c>
      <c r="K33" s="35" t="str">
        <f ca="1"/>
        <v/>
      </c>
      <c r="L33" s="35" t="str">
        <f ca="1"/>
        <v/>
      </c>
      <c r="M33" s="37" t="str">
        <f ca="1"/>
        <v/>
      </c>
      <c r="N33" s="40" t="str">
        <f ca="1"/>
        <v/>
      </c>
      <c r="O33" s="59" t="str">
        <f ca="1"/>
        <v/>
      </c>
    </row>
    <row r="34" spans="2:15">
      <c r="B34" s="33" t="str">
        <f ca="1"/>
        <v/>
      </c>
      <c r="C34" s="33" t="str">
        <f ca="1"/>
        <v/>
      </c>
      <c r="D34" s="45" t="str">
        <f ca="1"/>
        <v/>
      </c>
      <c r="E34" s="45" t="str">
        <f ca="1"/>
        <v/>
      </c>
      <c r="F34" s="33" t="str">
        <f ca="1"/>
        <v/>
      </c>
      <c r="G34" s="35" t="str">
        <f ca="1"/>
        <v/>
      </c>
      <c r="H34" s="35" t="str">
        <f ca="1"/>
        <v/>
      </c>
      <c r="I34" s="34" t="str">
        <f ca="1"/>
        <v/>
      </c>
      <c r="J34" s="36" t="str">
        <f ca="1"/>
        <v/>
      </c>
      <c r="K34" s="35" t="str">
        <f ca="1"/>
        <v/>
      </c>
      <c r="L34" s="35" t="str">
        <f ca="1"/>
        <v/>
      </c>
      <c r="M34" s="37" t="str">
        <f ca="1"/>
        <v/>
      </c>
      <c r="N34" s="40" t="str">
        <f ca="1"/>
        <v/>
      </c>
      <c r="O34" s="59" t="str">
        <f ca="1"/>
        <v/>
      </c>
    </row>
    <row r="35" spans="2:15">
      <c r="B35" s="33" t="str">
        <f ca="1"/>
        <v/>
      </c>
      <c r="C35" s="33" t="str">
        <f ca="1"/>
        <v/>
      </c>
      <c r="D35" s="45" t="str">
        <f ca="1"/>
        <v/>
      </c>
      <c r="E35" s="45" t="str">
        <f ca="1"/>
        <v/>
      </c>
      <c r="F35" s="33" t="str">
        <f ca="1"/>
        <v/>
      </c>
      <c r="G35" s="35" t="str">
        <f ca="1"/>
        <v/>
      </c>
      <c r="H35" s="35" t="str">
        <f ca="1"/>
        <v/>
      </c>
      <c r="I35" s="34" t="str">
        <f ca="1"/>
        <v/>
      </c>
      <c r="J35" s="36" t="str">
        <f ca="1"/>
        <v/>
      </c>
      <c r="K35" s="35" t="str">
        <f ca="1"/>
        <v/>
      </c>
      <c r="L35" s="35" t="str">
        <f ca="1"/>
        <v/>
      </c>
      <c r="M35" s="37" t="str">
        <f ca="1"/>
        <v/>
      </c>
      <c r="N35" s="40" t="str">
        <f ca="1"/>
        <v/>
      </c>
      <c r="O35" s="59" t="str">
        <f ca="1"/>
        <v/>
      </c>
    </row>
    <row r="36" spans="2:15">
      <c r="B36" s="33" t="str">
        <f ca="1"/>
        <v/>
      </c>
      <c r="C36" s="33" t="str">
        <f ca="1"/>
        <v/>
      </c>
      <c r="D36" s="45" t="str">
        <f ca="1"/>
        <v/>
      </c>
      <c r="E36" s="45" t="str">
        <f ca="1"/>
        <v/>
      </c>
      <c r="F36" s="33" t="str">
        <f ca="1"/>
        <v/>
      </c>
      <c r="G36" s="35" t="str">
        <f ca="1"/>
        <v/>
      </c>
      <c r="H36" s="35" t="str">
        <f ca="1"/>
        <v/>
      </c>
      <c r="I36" s="34" t="str">
        <f ca="1"/>
        <v/>
      </c>
      <c r="J36" s="36" t="str">
        <f ca="1"/>
        <v/>
      </c>
      <c r="K36" s="35" t="str">
        <f ca="1"/>
        <v/>
      </c>
      <c r="L36" s="35" t="str">
        <f ca="1"/>
        <v/>
      </c>
      <c r="M36" s="37" t="str">
        <f ca="1"/>
        <v/>
      </c>
      <c r="N36" s="40" t="str">
        <f ca="1"/>
        <v/>
      </c>
      <c r="O36" s="59" t="str">
        <f ca="1"/>
        <v/>
      </c>
    </row>
    <row r="37" spans="2:15">
      <c r="B37" s="33" t="str">
        <f ca="1"/>
        <v/>
      </c>
      <c r="C37" s="33" t="str">
        <f ca="1"/>
        <v/>
      </c>
      <c r="D37" s="45" t="str">
        <f ca="1"/>
        <v/>
      </c>
      <c r="E37" s="45" t="str">
        <f ca="1"/>
        <v/>
      </c>
      <c r="F37" s="33" t="str">
        <f ca="1"/>
        <v/>
      </c>
      <c r="G37" s="35" t="str">
        <f ca="1"/>
        <v/>
      </c>
      <c r="H37" s="35" t="str">
        <f ca="1"/>
        <v/>
      </c>
      <c r="I37" s="34" t="str">
        <f ca="1"/>
        <v/>
      </c>
      <c r="J37" s="36" t="str">
        <f ca="1"/>
        <v/>
      </c>
      <c r="K37" s="35" t="str">
        <f ca="1"/>
        <v/>
      </c>
      <c r="L37" s="35" t="str">
        <f ca="1"/>
        <v/>
      </c>
      <c r="M37" s="37" t="str">
        <f ca="1"/>
        <v/>
      </c>
      <c r="N37" s="40" t="str">
        <f ca="1"/>
        <v/>
      </c>
      <c r="O37" s="59" t="str">
        <f ca="1"/>
        <v/>
      </c>
    </row>
    <row r="38" spans="2:15">
      <c r="B38" s="33" t="str">
        <f ca="1"/>
        <v/>
      </c>
      <c r="C38" s="33" t="str">
        <f ca="1"/>
        <v/>
      </c>
      <c r="D38" s="45" t="str">
        <f ca="1"/>
        <v/>
      </c>
      <c r="E38" s="45" t="str">
        <f ca="1"/>
        <v/>
      </c>
      <c r="F38" s="33" t="str">
        <f ca="1"/>
        <v/>
      </c>
      <c r="G38" s="35" t="str">
        <f ca="1"/>
        <v/>
      </c>
      <c r="H38" s="35" t="str">
        <f ca="1"/>
        <v/>
      </c>
      <c r="I38" s="34" t="str">
        <f ca="1"/>
        <v/>
      </c>
      <c r="J38" s="36" t="str">
        <f ca="1"/>
        <v/>
      </c>
      <c r="K38" s="35" t="str">
        <f ca="1"/>
        <v/>
      </c>
      <c r="L38" s="35" t="str">
        <f ca="1"/>
        <v/>
      </c>
      <c r="M38" s="37" t="str">
        <f ca="1"/>
        <v/>
      </c>
      <c r="N38" s="40" t="str">
        <f ca="1"/>
        <v/>
      </c>
      <c r="O38" s="59" t="str">
        <f ca="1"/>
        <v/>
      </c>
    </row>
    <row r="39" spans="2:15">
      <c r="B39" s="33" t="str">
        <f ca="1"/>
        <v/>
      </c>
      <c r="C39" s="33" t="str">
        <f ca="1"/>
        <v/>
      </c>
      <c r="D39" s="45" t="str">
        <f ca="1"/>
        <v/>
      </c>
      <c r="E39" s="45" t="str">
        <f ca="1"/>
        <v/>
      </c>
      <c r="F39" s="33" t="str">
        <f ca="1"/>
        <v/>
      </c>
      <c r="G39" s="35" t="str">
        <f ca="1"/>
        <v/>
      </c>
      <c r="H39" s="35" t="str">
        <f ca="1"/>
        <v/>
      </c>
      <c r="I39" s="34" t="str">
        <f ca="1"/>
        <v/>
      </c>
      <c r="J39" s="36" t="str">
        <f ca="1"/>
        <v/>
      </c>
      <c r="K39" s="35" t="str">
        <f ca="1"/>
        <v/>
      </c>
      <c r="L39" s="35" t="str">
        <f ca="1"/>
        <v/>
      </c>
      <c r="M39" s="37" t="str">
        <f ca="1"/>
        <v/>
      </c>
      <c r="N39" s="40" t="str">
        <f ca="1"/>
        <v/>
      </c>
      <c r="O39" s="59" t="str">
        <f ca="1"/>
        <v/>
      </c>
    </row>
    <row r="40" spans="2:15">
      <c r="B40" s="33" t="str">
        <f ca="1"/>
        <v/>
      </c>
      <c r="C40" s="33" t="str">
        <f ca="1"/>
        <v/>
      </c>
      <c r="D40" s="45" t="str">
        <f ca="1"/>
        <v/>
      </c>
      <c r="E40" s="45" t="str">
        <f ca="1"/>
        <v/>
      </c>
      <c r="F40" s="33" t="str">
        <f ca="1"/>
        <v/>
      </c>
      <c r="G40" s="35" t="str">
        <f ca="1"/>
        <v/>
      </c>
      <c r="H40" s="35" t="str">
        <f ca="1"/>
        <v/>
      </c>
      <c r="I40" s="34" t="str">
        <f ca="1"/>
        <v/>
      </c>
      <c r="J40" s="36" t="str">
        <f ca="1"/>
        <v/>
      </c>
      <c r="K40" s="35" t="str">
        <f ca="1"/>
        <v/>
      </c>
      <c r="L40" s="35" t="str">
        <f ca="1"/>
        <v/>
      </c>
      <c r="M40" s="37" t="str">
        <f ca="1"/>
        <v/>
      </c>
      <c r="N40" s="40" t="str">
        <f ca="1"/>
        <v/>
      </c>
      <c r="O40" s="59" t="str">
        <f ca="1"/>
        <v/>
      </c>
    </row>
    <row r="41" spans="2:15">
      <c r="B41" s="33" t="str">
        <f ca="1"/>
        <v/>
      </c>
      <c r="C41" s="33" t="str">
        <f ca="1"/>
        <v/>
      </c>
      <c r="D41" s="45" t="str">
        <f ca="1"/>
        <v/>
      </c>
      <c r="E41" s="45" t="str">
        <f ca="1"/>
        <v/>
      </c>
      <c r="F41" s="33" t="str">
        <f ca="1"/>
        <v/>
      </c>
      <c r="G41" s="35" t="str">
        <f ca="1"/>
        <v/>
      </c>
      <c r="H41" s="35" t="str">
        <f ca="1"/>
        <v/>
      </c>
      <c r="I41" s="34" t="str">
        <f ca="1"/>
        <v/>
      </c>
      <c r="J41" s="36" t="str">
        <f ca="1"/>
        <v/>
      </c>
      <c r="K41" s="35" t="str">
        <f ca="1"/>
        <v/>
      </c>
      <c r="L41" s="35" t="str">
        <f ca="1"/>
        <v/>
      </c>
      <c r="M41" s="37" t="str">
        <f ca="1"/>
        <v/>
      </c>
      <c r="N41" s="40" t="str">
        <f ca="1"/>
        <v/>
      </c>
      <c r="O41" s="59" t="str">
        <f ca="1"/>
        <v/>
      </c>
    </row>
    <row r="42" spans="2:15">
      <c r="B42" s="33" t="str">
        <f ca="1"/>
        <v/>
      </c>
      <c r="C42" s="33" t="str">
        <f ca="1"/>
        <v/>
      </c>
      <c r="D42" s="45" t="str">
        <f ca="1"/>
        <v/>
      </c>
      <c r="E42" s="45" t="str">
        <f ca="1"/>
        <v/>
      </c>
      <c r="F42" s="33" t="str">
        <f ca="1"/>
        <v/>
      </c>
      <c r="G42" s="35" t="str">
        <f ca="1"/>
        <v/>
      </c>
      <c r="H42" s="35" t="str">
        <f ca="1"/>
        <v/>
      </c>
      <c r="I42" s="34" t="str">
        <f ca="1"/>
        <v/>
      </c>
      <c r="J42" s="36" t="str">
        <f ca="1"/>
        <v/>
      </c>
      <c r="K42" s="35" t="str">
        <f ca="1"/>
        <v/>
      </c>
      <c r="L42" s="35" t="str">
        <f ca="1"/>
        <v/>
      </c>
      <c r="M42" s="37" t="str">
        <f ca="1"/>
        <v/>
      </c>
      <c r="N42" s="40" t="str">
        <f ca="1"/>
        <v/>
      </c>
      <c r="O42" s="59" t="str">
        <f ca="1"/>
        <v/>
      </c>
    </row>
    <row r="43" spans="2:15">
      <c r="B43" s="33" t="str">
        <f ca="1"/>
        <v/>
      </c>
      <c r="C43" s="33" t="str">
        <f ca="1"/>
        <v/>
      </c>
      <c r="D43" s="45" t="str">
        <f ca="1"/>
        <v/>
      </c>
      <c r="E43" s="45" t="str">
        <f ca="1"/>
        <v/>
      </c>
      <c r="F43" s="33" t="str">
        <f ca="1"/>
        <v/>
      </c>
      <c r="G43" s="35" t="str">
        <f ca="1"/>
        <v/>
      </c>
      <c r="H43" s="35" t="str">
        <f ca="1"/>
        <v/>
      </c>
      <c r="I43" s="34" t="str">
        <f ca="1"/>
        <v/>
      </c>
      <c r="J43" s="36" t="str">
        <f ca="1"/>
        <v/>
      </c>
      <c r="K43" s="35" t="str">
        <f ca="1"/>
        <v/>
      </c>
      <c r="L43" s="35" t="str">
        <f ca="1"/>
        <v/>
      </c>
      <c r="M43" s="37" t="str">
        <f ca="1"/>
        <v/>
      </c>
      <c r="N43" s="40" t="str">
        <f ca="1"/>
        <v/>
      </c>
      <c r="O43" s="59" t="str">
        <f ca="1"/>
        <v/>
      </c>
    </row>
    <row r="44" spans="2:15">
      <c r="B44" s="33" t="str">
        <f ca="1"/>
        <v/>
      </c>
      <c r="C44" s="33" t="str">
        <f ca="1"/>
        <v/>
      </c>
      <c r="D44" s="45" t="str">
        <f ca="1"/>
        <v/>
      </c>
      <c r="E44" s="45" t="str">
        <f ca="1"/>
        <v/>
      </c>
      <c r="F44" s="33" t="str">
        <f ca="1"/>
        <v/>
      </c>
      <c r="G44" s="35" t="str">
        <f ca="1"/>
        <v/>
      </c>
      <c r="H44" s="35" t="str">
        <f ca="1"/>
        <v/>
      </c>
      <c r="I44" s="34" t="str">
        <f ca="1"/>
        <v/>
      </c>
      <c r="J44" s="36" t="str">
        <f ca="1"/>
        <v/>
      </c>
      <c r="K44" s="35" t="str">
        <f ca="1"/>
        <v/>
      </c>
      <c r="L44" s="35" t="str">
        <f ca="1"/>
        <v/>
      </c>
      <c r="M44" s="37" t="str">
        <f ca="1"/>
        <v/>
      </c>
      <c r="N44" s="40" t="str">
        <f ca="1"/>
        <v/>
      </c>
      <c r="O44" s="59" t="str">
        <f ca="1"/>
        <v/>
      </c>
    </row>
    <row r="45" spans="2:15">
      <c r="B45" s="33" t="str">
        <f ca="1"/>
        <v/>
      </c>
      <c r="C45" s="33" t="str">
        <f ca="1"/>
        <v/>
      </c>
      <c r="D45" s="45" t="str">
        <f ca="1"/>
        <v/>
      </c>
      <c r="E45" s="45" t="str">
        <f ca="1"/>
        <v/>
      </c>
      <c r="F45" s="33" t="str">
        <f ca="1"/>
        <v/>
      </c>
      <c r="G45" s="35" t="str">
        <f ca="1"/>
        <v/>
      </c>
      <c r="H45" s="35" t="str">
        <f ca="1"/>
        <v/>
      </c>
      <c r="I45" s="34" t="str">
        <f ca="1"/>
        <v/>
      </c>
      <c r="J45" s="36" t="str">
        <f ca="1"/>
        <v/>
      </c>
      <c r="K45" s="35" t="str">
        <f ca="1"/>
        <v/>
      </c>
      <c r="L45" s="35" t="str">
        <f ca="1"/>
        <v/>
      </c>
      <c r="M45" s="37" t="str">
        <f ca="1"/>
        <v/>
      </c>
      <c r="N45" s="40" t="str">
        <f ca="1"/>
        <v/>
      </c>
      <c r="O45" s="59" t="str">
        <f ca="1"/>
        <v/>
      </c>
    </row>
    <row r="46" spans="2:15">
      <c r="B46" s="33" t="str">
        <f ca="1"/>
        <v/>
      </c>
      <c r="C46" s="33" t="str">
        <f ca="1"/>
        <v/>
      </c>
      <c r="D46" s="45" t="str">
        <f ca="1"/>
        <v/>
      </c>
      <c r="E46" s="45" t="str">
        <f ca="1"/>
        <v/>
      </c>
      <c r="F46" s="33" t="str">
        <f ca="1"/>
        <v/>
      </c>
      <c r="G46" s="35" t="str">
        <f ca="1"/>
        <v/>
      </c>
      <c r="H46" s="35" t="str">
        <f ca="1"/>
        <v/>
      </c>
      <c r="I46" s="34" t="str">
        <f ca="1"/>
        <v/>
      </c>
      <c r="J46" s="36" t="str">
        <f ca="1"/>
        <v/>
      </c>
      <c r="K46" s="35" t="str">
        <f ca="1"/>
        <v/>
      </c>
      <c r="L46" s="35" t="str">
        <f ca="1"/>
        <v/>
      </c>
      <c r="M46" s="37" t="str">
        <f ca="1"/>
        <v/>
      </c>
      <c r="N46" s="40" t="str">
        <f ca="1"/>
        <v/>
      </c>
      <c r="O46" s="59" t="str">
        <f ca="1"/>
        <v/>
      </c>
    </row>
    <row r="47" spans="2:15">
      <c r="B47" s="33" t="str">
        <f ca="1"/>
        <v/>
      </c>
      <c r="C47" s="33" t="str">
        <f ca="1"/>
        <v/>
      </c>
      <c r="D47" s="45" t="str">
        <f ca="1"/>
        <v/>
      </c>
      <c r="E47" s="45" t="str">
        <f ca="1"/>
        <v/>
      </c>
      <c r="F47" s="33" t="str">
        <f ca="1"/>
        <v/>
      </c>
      <c r="G47" s="35" t="str">
        <f ca="1"/>
        <v/>
      </c>
      <c r="H47" s="35" t="str">
        <f ca="1"/>
        <v/>
      </c>
      <c r="I47" s="34" t="str">
        <f ca="1"/>
        <v/>
      </c>
      <c r="J47" s="36" t="str">
        <f ca="1"/>
        <v/>
      </c>
      <c r="K47" s="35" t="str">
        <f ca="1"/>
        <v/>
      </c>
      <c r="L47" s="35" t="str">
        <f ca="1"/>
        <v/>
      </c>
      <c r="M47" s="37" t="str">
        <f ca="1"/>
        <v/>
      </c>
      <c r="N47" s="40" t="str">
        <f ca="1"/>
        <v/>
      </c>
      <c r="O47" s="59" t="str">
        <f ca="1"/>
        <v/>
      </c>
    </row>
    <row r="48" spans="2:15">
      <c r="B48" s="33" t="str">
        <f ca="1"/>
        <v/>
      </c>
      <c r="C48" s="33" t="str">
        <f ca="1"/>
        <v/>
      </c>
      <c r="D48" s="45" t="str">
        <f ca="1"/>
        <v/>
      </c>
      <c r="E48" s="45" t="str">
        <f ca="1"/>
        <v/>
      </c>
      <c r="F48" s="33" t="str">
        <f ca="1"/>
        <v/>
      </c>
      <c r="G48" s="35" t="str">
        <f ca="1"/>
        <v/>
      </c>
      <c r="H48" s="35" t="str">
        <f ca="1"/>
        <v/>
      </c>
      <c r="I48" s="34" t="str">
        <f ca="1"/>
        <v/>
      </c>
      <c r="J48" s="36" t="str">
        <f ca="1"/>
        <v/>
      </c>
      <c r="K48" s="35" t="str">
        <f ca="1"/>
        <v/>
      </c>
      <c r="L48" s="35" t="str">
        <f ca="1"/>
        <v/>
      </c>
      <c r="M48" s="37" t="str">
        <f ca="1"/>
        <v/>
      </c>
      <c r="N48" s="40" t="str">
        <f ca="1"/>
        <v/>
      </c>
      <c r="O48" s="59" t="str">
        <f ca="1"/>
        <v/>
      </c>
    </row>
    <row r="49" spans="2:15">
      <c r="B49" s="33" t="str">
        <f ca="1"/>
        <v/>
      </c>
      <c r="C49" s="33" t="str">
        <f ca="1"/>
        <v/>
      </c>
      <c r="D49" s="45" t="str">
        <f ca="1"/>
        <v/>
      </c>
      <c r="E49" s="45" t="str">
        <f ca="1"/>
        <v/>
      </c>
      <c r="F49" s="33" t="str">
        <f ca="1"/>
        <v/>
      </c>
      <c r="G49" s="35" t="str">
        <f ca="1"/>
        <v/>
      </c>
      <c r="H49" s="35" t="str">
        <f ca="1"/>
        <v/>
      </c>
      <c r="I49" s="34" t="str">
        <f ca="1"/>
        <v/>
      </c>
      <c r="J49" s="36" t="str">
        <f ca="1"/>
        <v/>
      </c>
      <c r="K49" s="35" t="str">
        <f ca="1"/>
        <v/>
      </c>
      <c r="L49" s="35" t="str">
        <f ca="1"/>
        <v/>
      </c>
      <c r="M49" s="37" t="str">
        <f ca="1"/>
        <v/>
      </c>
      <c r="N49" s="40" t="str">
        <f ca="1"/>
        <v/>
      </c>
      <c r="O49" s="59" t="str">
        <f ca="1"/>
        <v/>
      </c>
    </row>
    <row r="50" spans="2:15">
      <c r="B50" s="33" t="str">
        <f ca="1"/>
        <v/>
      </c>
      <c r="C50" s="33" t="str">
        <f ca="1"/>
        <v/>
      </c>
      <c r="D50" s="45" t="str">
        <f ca="1"/>
        <v/>
      </c>
      <c r="E50" s="45" t="str">
        <f ca="1"/>
        <v/>
      </c>
      <c r="F50" s="33" t="str">
        <f ca="1"/>
        <v/>
      </c>
      <c r="G50" s="35" t="str">
        <f ca="1"/>
        <v/>
      </c>
      <c r="H50" s="35" t="str">
        <f ca="1"/>
        <v/>
      </c>
      <c r="I50" s="34" t="str">
        <f ca="1"/>
        <v/>
      </c>
      <c r="J50" s="36" t="str">
        <f ca="1"/>
        <v/>
      </c>
      <c r="K50" s="35" t="str">
        <f ca="1"/>
        <v/>
      </c>
      <c r="L50" s="35" t="str">
        <f ca="1"/>
        <v/>
      </c>
      <c r="M50" s="37" t="str">
        <f ca="1"/>
        <v/>
      </c>
      <c r="N50" s="40" t="str">
        <f ca="1"/>
        <v/>
      </c>
      <c r="O50" s="59" t="str">
        <f ca="1"/>
        <v/>
      </c>
    </row>
    <row r="51" spans="2:15">
      <c r="B51" s="38" t="str">
        <f ca="1"/>
        <v/>
      </c>
      <c r="C51" s="38" t="str">
        <f ca="1"/>
        <v/>
      </c>
      <c r="D51" s="44" t="str">
        <f ca="1"/>
        <v/>
      </c>
      <c r="E51" s="44" t="str">
        <f ca="1"/>
        <v/>
      </c>
      <c r="F51" s="38" t="str">
        <f ca="1"/>
        <v/>
      </c>
      <c r="G51" s="40" t="str">
        <f ca="1"/>
        <v/>
      </c>
      <c r="H51" s="40" t="str">
        <f ca="1"/>
        <v/>
      </c>
      <c r="I51" s="39" t="str">
        <f ca="1"/>
        <v/>
      </c>
      <c r="J51" s="41" t="str">
        <f ca="1"/>
        <v/>
      </c>
      <c r="K51" s="40" t="str">
        <f ca="1"/>
        <v/>
      </c>
      <c r="L51" s="40" t="str">
        <f ca="1"/>
        <v/>
      </c>
      <c r="M51" s="42" t="str">
        <f ca="1"/>
        <v/>
      </c>
      <c r="N51" s="40" t="str">
        <f ca="1"/>
        <v/>
      </c>
      <c r="O51" s="59" t="str">
        <f ca="1"/>
        <v/>
      </c>
    </row>
    <row r="52" spans="2:15">
      <c r="B52" s="38" t="str">
        <f ca="1"/>
        <v/>
      </c>
      <c r="C52" s="38" t="str">
        <f ca="1"/>
        <v/>
      </c>
      <c r="D52" s="44" t="str">
        <f ca="1"/>
        <v/>
      </c>
      <c r="E52" s="44" t="str">
        <f ca="1"/>
        <v/>
      </c>
      <c r="F52" s="38" t="str">
        <f ca="1"/>
        <v/>
      </c>
      <c r="G52" s="40" t="str">
        <f ca="1"/>
        <v/>
      </c>
      <c r="H52" s="40" t="str">
        <f ca="1"/>
        <v/>
      </c>
      <c r="I52" s="39" t="str">
        <f ca="1"/>
        <v/>
      </c>
      <c r="J52" s="41" t="str">
        <f ca="1"/>
        <v/>
      </c>
      <c r="K52" s="40" t="str">
        <f ca="1"/>
        <v/>
      </c>
      <c r="L52" s="40" t="str">
        <f ca="1"/>
        <v/>
      </c>
      <c r="M52" s="42" t="str">
        <f ca="1"/>
        <v/>
      </c>
      <c r="N52" s="40" t="str">
        <f ca="1"/>
        <v/>
      </c>
      <c r="O52" s="59" t="str">
        <f ca="1"/>
        <v/>
      </c>
    </row>
    <row r="53" spans="2:15">
      <c r="B53" s="38" t="str">
        <f ca="1"/>
        <v/>
      </c>
      <c r="C53" s="38" t="str">
        <f ca="1"/>
        <v/>
      </c>
      <c r="D53" s="44" t="str">
        <f ca="1"/>
        <v/>
      </c>
      <c r="E53" s="44" t="str">
        <f ca="1"/>
        <v/>
      </c>
      <c r="F53" s="38" t="str">
        <f ca="1"/>
        <v/>
      </c>
      <c r="G53" s="40" t="str">
        <f ca="1"/>
        <v/>
      </c>
      <c r="H53" s="40" t="str">
        <f ca="1"/>
        <v/>
      </c>
      <c r="I53" s="39" t="str">
        <f ca="1"/>
        <v/>
      </c>
      <c r="J53" s="41" t="str">
        <f ca="1"/>
        <v/>
      </c>
      <c r="K53" s="40" t="str">
        <f ca="1"/>
        <v/>
      </c>
      <c r="L53" s="40" t="str">
        <f ca="1"/>
        <v/>
      </c>
      <c r="M53" s="42" t="str">
        <f ca="1"/>
        <v/>
      </c>
      <c r="N53" s="40" t="str">
        <f ca="1"/>
        <v/>
      </c>
      <c r="O53" s="59" t="str">
        <f ca="1"/>
        <v/>
      </c>
    </row>
    <row r="54" spans="2:15">
      <c r="B54" s="38" t="str">
        <f ca="1"/>
        <v/>
      </c>
      <c r="C54" s="38" t="str">
        <f ca="1"/>
        <v/>
      </c>
      <c r="D54" s="44" t="str">
        <f ca="1"/>
        <v/>
      </c>
      <c r="E54" s="44" t="str">
        <f ca="1"/>
        <v/>
      </c>
      <c r="F54" s="38" t="str">
        <f ca="1"/>
        <v/>
      </c>
      <c r="G54" s="40" t="str">
        <f ca="1"/>
        <v/>
      </c>
      <c r="H54" s="40" t="str">
        <f ca="1"/>
        <v/>
      </c>
      <c r="I54" s="39" t="str">
        <f ca="1"/>
        <v/>
      </c>
      <c r="J54" s="41" t="str">
        <f ca="1"/>
        <v/>
      </c>
      <c r="K54" s="40" t="str">
        <f ca="1"/>
        <v/>
      </c>
      <c r="L54" s="40" t="str">
        <f ca="1"/>
        <v/>
      </c>
      <c r="M54" s="42" t="str">
        <f ca="1"/>
        <v/>
      </c>
      <c r="N54" s="40" t="str">
        <f ca="1"/>
        <v/>
      </c>
      <c r="O54" s="59" t="str">
        <f ca="1"/>
        <v/>
      </c>
    </row>
    <row r="55" spans="2:15">
      <c r="B55" s="38" t="str">
        <f ca="1"/>
        <v/>
      </c>
      <c r="C55" s="38" t="str">
        <f ca="1"/>
        <v/>
      </c>
      <c r="D55" s="44" t="str">
        <f ca="1"/>
        <v/>
      </c>
      <c r="E55" s="44" t="str">
        <f ca="1"/>
        <v/>
      </c>
      <c r="F55" s="38" t="str">
        <f ca="1"/>
        <v/>
      </c>
      <c r="G55" s="40" t="str">
        <f ca="1"/>
        <v/>
      </c>
      <c r="H55" s="40" t="str">
        <f ca="1"/>
        <v/>
      </c>
      <c r="I55" s="39" t="str">
        <f ca="1"/>
        <v/>
      </c>
      <c r="J55" s="41" t="str">
        <f ca="1"/>
        <v/>
      </c>
      <c r="K55" s="40" t="str">
        <f ca="1"/>
        <v/>
      </c>
      <c r="L55" s="40" t="str">
        <f ca="1"/>
        <v/>
      </c>
      <c r="M55" s="42" t="str">
        <f ca="1"/>
        <v/>
      </c>
      <c r="N55" s="40" t="str">
        <f ca="1"/>
        <v/>
      </c>
      <c r="O55" s="59" t="str">
        <f ca="1"/>
        <v/>
      </c>
    </row>
    <row r="56" spans="2:15">
      <c r="B56" s="38" t="str">
        <f ca="1"/>
        <v/>
      </c>
      <c r="C56" s="38" t="str">
        <f ca="1"/>
        <v/>
      </c>
      <c r="D56" s="44" t="str">
        <f ca="1"/>
        <v/>
      </c>
      <c r="E56" s="44" t="str">
        <f ca="1"/>
        <v/>
      </c>
      <c r="F56" s="38" t="str">
        <f ca="1"/>
        <v/>
      </c>
      <c r="G56" s="40" t="str">
        <f ca="1"/>
        <v/>
      </c>
      <c r="H56" s="40" t="str">
        <f ca="1"/>
        <v/>
      </c>
      <c r="I56" s="39" t="str">
        <f ca="1"/>
        <v/>
      </c>
      <c r="J56" s="41" t="str">
        <f ca="1"/>
        <v/>
      </c>
      <c r="K56" s="40" t="str">
        <f ca="1"/>
        <v/>
      </c>
      <c r="L56" s="40" t="str">
        <f ca="1"/>
        <v/>
      </c>
      <c r="M56" s="42" t="str">
        <f ca="1"/>
        <v/>
      </c>
      <c r="N56" s="40" t="str">
        <f ca="1"/>
        <v/>
      </c>
      <c r="O56" s="59" t="str">
        <f ca="1"/>
        <v/>
      </c>
    </row>
    <row r="57" spans="2:15">
      <c r="B57" s="38" t="str">
        <f ca="1"/>
        <v/>
      </c>
      <c r="C57" s="38" t="str">
        <f ca="1"/>
        <v/>
      </c>
      <c r="D57" s="44" t="str">
        <f ca="1"/>
        <v/>
      </c>
      <c r="E57" s="44" t="str">
        <f ca="1"/>
        <v/>
      </c>
      <c r="F57" s="38" t="str">
        <f ca="1"/>
        <v/>
      </c>
      <c r="G57" s="40" t="str">
        <f ca="1"/>
        <v/>
      </c>
      <c r="H57" s="40" t="str">
        <f ca="1"/>
        <v/>
      </c>
      <c r="I57" s="39" t="str">
        <f ca="1"/>
        <v/>
      </c>
      <c r="J57" s="41" t="str">
        <f ca="1"/>
        <v/>
      </c>
      <c r="K57" s="40" t="str">
        <f ca="1"/>
        <v/>
      </c>
      <c r="L57" s="40" t="str">
        <f ca="1"/>
        <v/>
      </c>
      <c r="M57" s="42" t="str">
        <f ca="1"/>
        <v/>
      </c>
      <c r="N57" s="40" t="str">
        <f ca="1"/>
        <v/>
      </c>
      <c r="O57" s="59" t="str">
        <f ca="1"/>
        <v/>
      </c>
    </row>
    <row r="58" spans="2:15">
      <c r="B58" s="38" t="str">
        <f ca="1"/>
        <v/>
      </c>
      <c r="C58" s="38" t="str">
        <f ca="1"/>
        <v/>
      </c>
      <c r="D58" s="44" t="str">
        <f ca="1"/>
        <v/>
      </c>
      <c r="E58" s="44" t="str">
        <f ca="1"/>
        <v/>
      </c>
      <c r="F58" s="38" t="str">
        <f ca="1"/>
        <v/>
      </c>
      <c r="G58" s="40" t="str">
        <f ca="1"/>
        <v/>
      </c>
      <c r="H58" s="40" t="str">
        <f ca="1"/>
        <v/>
      </c>
      <c r="I58" s="39" t="str">
        <f ca="1"/>
        <v/>
      </c>
      <c r="J58" s="41" t="str">
        <f ca="1"/>
        <v/>
      </c>
      <c r="K58" s="40" t="str">
        <f ca="1"/>
        <v/>
      </c>
      <c r="L58" s="40" t="str">
        <f ca="1"/>
        <v/>
      </c>
      <c r="M58" s="42" t="str">
        <f ca="1"/>
        <v/>
      </c>
      <c r="N58" s="40" t="str">
        <f ca="1"/>
        <v/>
      </c>
      <c r="O58" s="59" t="str">
        <f ca="1"/>
        <v/>
      </c>
    </row>
    <row r="59" spans="2:15">
      <c r="B59" s="38" t="str">
        <f ca="1"/>
        <v/>
      </c>
      <c r="C59" s="38" t="str">
        <f ca="1"/>
        <v/>
      </c>
      <c r="D59" s="44" t="str">
        <f ca="1"/>
        <v/>
      </c>
      <c r="E59" s="44" t="str">
        <f ca="1"/>
        <v/>
      </c>
      <c r="F59" s="38" t="str">
        <f ca="1"/>
        <v/>
      </c>
      <c r="G59" s="40" t="str">
        <f ca="1"/>
        <v/>
      </c>
      <c r="H59" s="40" t="str">
        <f ca="1"/>
        <v/>
      </c>
      <c r="I59" s="39" t="str">
        <f ca="1"/>
        <v/>
      </c>
      <c r="J59" s="41" t="str">
        <f ca="1"/>
        <v/>
      </c>
      <c r="K59" s="40" t="str">
        <f ca="1"/>
        <v/>
      </c>
      <c r="L59" s="40" t="str">
        <f ca="1"/>
        <v/>
      </c>
      <c r="M59" s="42" t="str">
        <f ca="1"/>
        <v/>
      </c>
      <c r="N59" s="40" t="str">
        <f ca="1"/>
        <v/>
      </c>
      <c r="O59" s="59" t="str">
        <f ca="1"/>
        <v/>
      </c>
    </row>
    <row r="60" spans="2:15">
      <c r="B60" s="38" t="str">
        <f ca="1"/>
        <v/>
      </c>
      <c r="C60" s="38" t="str">
        <f ca="1"/>
        <v/>
      </c>
      <c r="D60" s="44" t="str">
        <f ca="1"/>
        <v/>
      </c>
      <c r="E60" s="44" t="str">
        <f ca="1"/>
        <v/>
      </c>
      <c r="F60" s="38" t="str">
        <f ca="1"/>
        <v/>
      </c>
      <c r="G60" s="40" t="str">
        <f ca="1"/>
        <v/>
      </c>
      <c r="H60" s="40" t="str">
        <f ca="1"/>
        <v/>
      </c>
      <c r="I60" s="39" t="str">
        <f ca="1"/>
        <v/>
      </c>
      <c r="J60" s="41" t="str">
        <f ca="1"/>
        <v/>
      </c>
      <c r="K60" s="40" t="str">
        <f ca="1"/>
        <v/>
      </c>
      <c r="L60" s="40" t="str">
        <f ca="1"/>
        <v/>
      </c>
      <c r="M60" s="42" t="str">
        <f ca="1"/>
        <v/>
      </c>
      <c r="N60" s="40" t="str">
        <f ca="1"/>
        <v/>
      </c>
      <c r="O60" s="59" t="str">
        <f ca="1"/>
        <v/>
      </c>
    </row>
    <row r="61" spans="2:15">
      <c r="B61" s="38" t="str">
        <f ca="1"/>
        <v/>
      </c>
      <c r="C61" s="38" t="str">
        <f ca="1"/>
        <v/>
      </c>
      <c r="D61" s="44" t="str">
        <f ca="1"/>
        <v/>
      </c>
      <c r="E61" s="44" t="str">
        <f ca="1"/>
        <v/>
      </c>
      <c r="F61" s="38" t="str">
        <f ca="1"/>
        <v/>
      </c>
      <c r="G61" s="40" t="str">
        <f ca="1"/>
        <v/>
      </c>
      <c r="H61" s="40" t="str">
        <f ca="1"/>
        <v/>
      </c>
      <c r="I61" s="39" t="str">
        <f ca="1"/>
        <v/>
      </c>
      <c r="J61" s="41" t="str">
        <f ca="1"/>
        <v/>
      </c>
      <c r="K61" s="40" t="str">
        <f ca="1"/>
        <v/>
      </c>
      <c r="L61" s="40" t="str">
        <f ca="1"/>
        <v/>
      </c>
      <c r="M61" s="42" t="str">
        <f ca="1"/>
        <v/>
      </c>
      <c r="N61" s="40" t="str">
        <f ca="1"/>
        <v/>
      </c>
      <c r="O61" s="59" t="str">
        <f ca="1"/>
        <v/>
      </c>
    </row>
    <row r="62" spans="2:15">
      <c r="B62" s="38" t="str">
        <f ca="1"/>
        <v/>
      </c>
      <c r="C62" s="38" t="str">
        <f ca="1"/>
        <v/>
      </c>
      <c r="D62" s="44" t="str">
        <f ca="1"/>
        <v/>
      </c>
      <c r="E62" s="44" t="str">
        <f ca="1"/>
        <v/>
      </c>
      <c r="F62" s="38" t="str">
        <f ca="1"/>
        <v/>
      </c>
      <c r="G62" s="40" t="str">
        <f ca="1"/>
        <v/>
      </c>
      <c r="H62" s="40" t="str">
        <f ca="1"/>
        <v/>
      </c>
      <c r="I62" s="39" t="str">
        <f ca="1"/>
        <v/>
      </c>
      <c r="J62" s="41" t="str">
        <f ca="1"/>
        <v/>
      </c>
      <c r="K62" s="40" t="str">
        <f ca="1"/>
        <v/>
      </c>
      <c r="L62" s="40" t="str">
        <f ca="1"/>
        <v/>
      </c>
      <c r="M62" s="42" t="str">
        <f ca="1"/>
        <v/>
      </c>
      <c r="N62" s="40" t="str">
        <f ca="1"/>
        <v/>
      </c>
      <c r="O62" s="59" t="str">
        <f ca="1"/>
        <v/>
      </c>
    </row>
    <row r="63" spans="2:15">
      <c r="B63" s="38" t="str">
        <f ca="1"/>
        <v/>
      </c>
      <c r="C63" s="38" t="str">
        <f ca="1"/>
        <v/>
      </c>
      <c r="D63" s="44" t="str">
        <f ca="1"/>
        <v/>
      </c>
      <c r="E63" s="44" t="str">
        <f ca="1"/>
        <v/>
      </c>
      <c r="F63" s="38" t="str">
        <f ca="1"/>
        <v/>
      </c>
      <c r="G63" s="40" t="str">
        <f ca="1"/>
        <v/>
      </c>
      <c r="H63" s="40" t="str">
        <f ca="1"/>
        <v/>
      </c>
      <c r="I63" s="39" t="str">
        <f ca="1"/>
        <v/>
      </c>
      <c r="J63" s="41" t="str">
        <f ca="1"/>
        <v/>
      </c>
      <c r="K63" s="40" t="str">
        <f ca="1"/>
        <v/>
      </c>
      <c r="L63" s="40" t="str">
        <f ca="1"/>
        <v/>
      </c>
      <c r="M63" s="42" t="str">
        <f ca="1"/>
        <v/>
      </c>
      <c r="N63" s="40" t="str">
        <f ca="1"/>
        <v/>
      </c>
      <c r="O63" s="59" t="str">
        <f ca="1"/>
        <v/>
      </c>
    </row>
    <row r="64" spans="2:15">
      <c r="B64" s="38" t="str">
        <f ca="1"/>
        <v/>
      </c>
      <c r="C64" s="38" t="str">
        <f ca="1"/>
        <v/>
      </c>
      <c r="D64" s="44" t="str">
        <f ca="1"/>
        <v/>
      </c>
      <c r="E64" s="44" t="str">
        <f ca="1"/>
        <v/>
      </c>
      <c r="F64" s="38" t="str">
        <f ca="1"/>
        <v/>
      </c>
      <c r="G64" s="40" t="str">
        <f ca="1"/>
        <v/>
      </c>
      <c r="H64" s="40" t="str">
        <f ca="1"/>
        <v/>
      </c>
      <c r="I64" s="39" t="str">
        <f ca="1"/>
        <v/>
      </c>
      <c r="J64" s="41" t="str">
        <f ca="1"/>
        <v/>
      </c>
      <c r="K64" s="40" t="str">
        <f ca="1"/>
        <v/>
      </c>
      <c r="L64" s="40" t="str">
        <f ca="1"/>
        <v/>
      </c>
      <c r="M64" s="42" t="str">
        <f ca="1"/>
        <v/>
      </c>
      <c r="N64" s="40" t="str">
        <f ca="1"/>
        <v/>
      </c>
      <c r="O64" s="59" t="str">
        <f ca="1"/>
        <v/>
      </c>
    </row>
    <row r="65" spans="2:15">
      <c r="B65" s="38" t="str">
        <f ca="1"/>
        <v/>
      </c>
      <c r="C65" s="38" t="str">
        <f ca="1"/>
        <v/>
      </c>
      <c r="D65" s="44" t="str">
        <f ca="1"/>
        <v/>
      </c>
      <c r="E65" s="44" t="str">
        <f ca="1"/>
        <v/>
      </c>
      <c r="F65" s="38" t="str">
        <f ca="1"/>
        <v/>
      </c>
      <c r="G65" s="40" t="str">
        <f ca="1"/>
        <v/>
      </c>
      <c r="H65" s="40" t="str">
        <f ca="1"/>
        <v/>
      </c>
      <c r="I65" s="39" t="str">
        <f ca="1"/>
        <v/>
      </c>
      <c r="J65" s="41" t="str">
        <f ca="1"/>
        <v/>
      </c>
      <c r="K65" s="40" t="str">
        <f ca="1"/>
        <v/>
      </c>
      <c r="L65" s="40" t="str">
        <f ca="1"/>
        <v/>
      </c>
      <c r="M65" s="42" t="str">
        <f ca="1"/>
        <v/>
      </c>
      <c r="N65" s="40" t="str">
        <f ca="1"/>
        <v/>
      </c>
      <c r="O65" s="59" t="str">
        <f ca="1"/>
        <v/>
      </c>
    </row>
    <row r="66" spans="2:15">
      <c r="B66" s="38" t="str">
        <f ca="1"/>
        <v/>
      </c>
      <c r="C66" s="38" t="str">
        <f ca="1"/>
        <v/>
      </c>
      <c r="D66" s="44" t="str">
        <f ca="1"/>
        <v/>
      </c>
      <c r="E66" s="44" t="str">
        <f ca="1"/>
        <v/>
      </c>
      <c r="F66" s="38" t="str">
        <f ca="1"/>
        <v/>
      </c>
      <c r="G66" s="40" t="str">
        <f ca="1"/>
        <v/>
      </c>
      <c r="H66" s="40" t="str">
        <f ca="1"/>
        <v/>
      </c>
      <c r="I66" s="39" t="str">
        <f ca="1"/>
        <v/>
      </c>
      <c r="J66" s="41" t="str">
        <f ca="1"/>
        <v/>
      </c>
      <c r="K66" s="40" t="str">
        <f ca="1"/>
        <v/>
      </c>
      <c r="L66" s="40" t="str">
        <f ca="1"/>
        <v/>
      </c>
      <c r="M66" s="42" t="str">
        <f ca="1"/>
        <v/>
      </c>
      <c r="N66" s="40" t="str">
        <f ca="1"/>
        <v/>
      </c>
      <c r="O66" s="59" t="str">
        <f ca="1"/>
        <v/>
      </c>
    </row>
    <row r="67" spans="2:15">
      <c r="B67" s="38" t="str">
        <f ca="1"/>
        <v/>
      </c>
      <c r="C67" s="38" t="str">
        <f ca="1"/>
        <v/>
      </c>
      <c r="D67" s="44" t="str">
        <f ca="1"/>
        <v/>
      </c>
      <c r="E67" s="44" t="str">
        <f ca="1"/>
        <v/>
      </c>
      <c r="F67" s="38" t="str">
        <f ca="1"/>
        <v/>
      </c>
      <c r="G67" s="40" t="str">
        <f ca="1"/>
        <v/>
      </c>
      <c r="H67" s="40" t="str">
        <f ca="1"/>
        <v/>
      </c>
      <c r="I67" s="39" t="str">
        <f ca="1"/>
        <v/>
      </c>
      <c r="J67" s="41" t="str">
        <f ca="1"/>
        <v/>
      </c>
      <c r="K67" s="40" t="str">
        <f ca="1"/>
        <v/>
      </c>
      <c r="L67" s="40" t="str">
        <f ca="1"/>
        <v/>
      </c>
      <c r="M67" s="42" t="str">
        <f ca="1"/>
        <v/>
      </c>
      <c r="N67" s="40" t="str">
        <f ca="1"/>
        <v/>
      </c>
      <c r="O67" s="59" t="str">
        <f ca="1"/>
        <v/>
      </c>
    </row>
    <row r="68" spans="2:15">
      <c r="B68" s="38" t="str">
        <f ca="1"/>
        <v/>
      </c>
      <c r="C68" s="38" t="str">
        <f ca="1"/>
        <v/>
      </c>
      <c r="D68" s="44" t="str">
        <f ca="1"/>
        <v/>
      </c>
      <c r="E68" s="44" t="str">
        <f ca="1"/>
        <v/>
      </c>
      <c r="F68" s="38" t="str">
        <f ca="1"/>
        <v/>
      </c>
      <c r="G68" s="40" t="str">
        <f ca="1"/>
        <v/>
      </c>
      <c r="H68" s="40" t="str">
        <f ca="1"/>
        <v/>
      </c>
      <c r="I68" s="39" t="str">
        <f ca="1"/>
        <v/>
      </c>
      <c r="J68" s="41" t="str">
        <f ca="1"/>
        <v/>
      </c>
      <c r="K68" s="40" t="str">
        <f ca="1"/>
        <v/>
      </c>
      <c r="L68" s="40" t="str">
        <f ca="1"/>
        <v/>
      </c>
      <c r="M68" s="42" t="str">
        <f ca="1"/>
        <v/>
      </c>
      <c r="N68" s="40" t="str">
        <f ca="1"/>
        <v/>
      </c>
      <c r="O68" s="59" t="str">
        <f ca="1"/>
        <v/>
      </c>
    </row>
    <row r="69" spans="2:15">
      <c r="B69" s="38" t="str">
        <f ca="1"/>
        <v/>
      </c>
      <c r="C69" s="38" t="str">
        <f ca="1"/>
        <v/>
      </c>
      <c r="D69" s="44" t="str">
        <f ca="1"/>
        <v/>
      </c>
      <c r="E69" s="44" t="str">
        <f ca="1"/>
        <v/>
      </c>
      <c r="F69" s="38" t="str">
        <f ca="1"/>
        <v/>
      </c>
      <c r="G69" s="40" t="str">
        <f ca="1"/>
        <v/>
      </c>
      <c r="H69" s="40" t="str">
        <f ca="1"/>
        <v/>
      </c>
      <c r="I69" s="39" t="str">
        <f ca="1"/>
        <v/>
      </c>
      <c r="J69" s="41" t="str">
        <f ca="1"/>
        <v/>
      </c>
      <c r="K69" s="40" t="str">
        <f ca="1"/>
        <v/>
      </c>
      <c r="L69" s="40" t="str">
        <f ca="1"/>
        <v/>
      </c>
      <c r="M69" s="42" t="str">
        <f ca="1"/>
        <v/>
      </c>
      <c r="N69" s="40" t="str">
        <f ca="1"/>
        <v/>
      </c>
      <c r="O69" s="59" t="str">
        <f ca="1"/>
        <v/>
      </c>
    </row>
    <row r="70" spans="2:15">
      <c r="B70" s="38" t="str">
        <f ca="1"/>
        <v/>
      </c>
      <c r="C70" s="38" t="str">
        <f ca="1"/>
        <v/>
      </c>
      <c r="D70" s="44" t="str">
        <f ca="1"/>
        <v/>
      </c>
      <c r="E70" s="44" t="str">
        <f ca="1"/>
        <v/>
      </c>
      <c r="F70" s="38" t="str">
        <f ca="1"/>
        <v/>
      </c>
      <c r="G70" s="40" t="str">
        <f ca="1"/>
        <v/>
      </c>
      <c r="H70" s="40" t="str">
        <f ca="1"/>
        <v/>
      </c>
      <c r="I70" s="39" t="str">
        <f ca="1"/>
        <v/>
      </c>
      <c r="J70" s="41" t="str">
        <f ca="1"/>
        <v/>
      </c>
      <c r="K70" s="40" t="str">
        <f ca="1"/>
        <v/>
      </c>
      <c r="L70" s="40" t="str">
        <f ca="1"/>
        <v/>
      </c>
      <c r="M70" s="42" t="str">
        <f ca="1"/>
        <v/>
      </c>
      <c r="N70" s="40" t="str">
        <f ca="1"/>
        <v/>
      </c>
      <c r="O70" s="59" t="str">
        <f ca="1"/>
        <v/>
      </c>
    </row>
    <row r="71" spans="2:15">
      <c r="B71" s="38" t="str">
        <f ca="1"/>
        <v/>
      </c>
      <c r="C71" s="38" t="str">
        <f ca="1"/>
        <v/>
      </c>
      <c r="D71" s="44" t="str">
        <f ca="1"/>
        <v/>
      </c>
      <c r="E71" s="44" t="str">
        <f ca="1"/>
        <v/>
      </c>
      <c r="F71" s="38" t="str">
        <f ca="1"/>
        <v/>
      </c>
      <c r="G71" s="40" t="str">
        <f ca="1"/>
        <v/>
      </c>
      <c r="H71" s="40" t="str">
        <f ca="1"/>
        <v/>
      </c>
      <c r="I71" s="39" t="str">
        <f ca="1"/>
        <v/>
      </c>
      <c r="J71" s="41" t="str">
        <f ca="1"/>
        <v/>
      </c>
      <c r="K71" s="40" t="str">
        <f ca="1"/>
        <v/>
      </c>
      <c r="L71" s="40" t="str">
        <f ca="1"/>
        <v/>
      </c>
      <c r="M71" s="42" t="str">
        <f ca="1"/>
        <v/>
      </c>
      <c r="N71" s="40" t="str">
        <f ca="1"/>
        <v/>
      </c>
      <c r="O71" s="59" t="str">
        <f ca="1"/>
        <v/>
      </c>
    </row>
    <row r="72" spans="2:15">
      <c r="B72" s="38" t="str">
        <f ca="1"/>
        <v/>
      </c>
      <c r="C72" s="38" t="str">
        <f ca="1"/>
        <v/>
      </c>
      <c r="D72" s="44" t="str">
        <f ca="1"/>
        <v/>
      </c>
      <c r="E72" s="44" t="str">
        <f ca="1"/>
        <v/>
      </c>
      <c r="F72" s="38" t="str">
        <f ca="1"/>
        <v/>
      </c>
      <c r="G72" s="40" t="str">
        <f ca="1"/>
        <v/>
      </c>
      <c r="H72" s="40" t="str">
        <f ca="1"/>
        <v/>
      </c>
      <c r="I72" s="39" t="str">
        <f ca="1"/>
        <v/>
      </c>
      <c r="J72" s="41" t="str">
        <f ca="1"/>
        <v/>
      </c>
      <c r="K72" s="40" t="str">
        <f ca="1"/>
        <v/>
      </c>
      <c r="L72" s="40" t="str">
        <f ca="1"/>
        <v/>
      </c>
      <c r="M72" s="42" t="str">
        <f ca="1"/>
        <v/>
      </c>
      <c r="N72" s="40" t="str">
        <f ca="1"/>
        <v/>
      </c>
      <c r="O72" s="59" t="str">
        <f ca="1"/>
        <v/>
      </c>
    </row>
    <row r="73" spans="2:15">
      <c r="B73" s="38" t="str">
        <f ca="1"/>
        <v/>
      </c>
      <c r="C73" s="38" t="str">
        <f ca="1"/>
        <v/>
      </c>
      <c r="D73" s="44" t="str">
        <f ca="1"/>
        <v/>
      </c>
      <c r="E73" s="44" t="str">
        <f ca="1"/>
        <v/>
      </c>
      <c r="F73" s="38" t="str">
        <f ca="1"/>
        <v/>
      </c>
      <c r="G73" s="40" t="str">
        <f ca="1"/>
        <v/>
      </c>
      <c r="H73" s="40" t="str">
        <f ca="1"/>
        <v/>
      </c>
      <c r="I73" s="39" t="str">
        <f ca="1"/>
        <v/>
      </c>
      <c r="J73" s="41" t="str">
        <f ca="1"/>
        <v/>
      </c>
      <c r="K73" s="40" t="str">
        <f ca="1"/>
        <v/>
      </c>
      <c r="L73" s="40" t="str">
        <f ca="1"/>
        <v/>
      </c>
      <c r="M73" s="42" t="str">
        <f ca="1"/>
        <v/>
      </c>
      <c r="N73" s="40" t="str">
        <f ca="1"/>
        <v/>
      </c>
      <c r="O73" s="59" t="str">
        <f ca="1"/>
        <v/>
      </c>
    </row>
    <row r="74" spans="2:15">
      <c r="B74" s="38" t="str">
        <f ca="1"/>
        <v/>
      </c>
      <c r="C74" s="38" t="str">
        <f ca="1"/>
        <v/>
      </c>
      <c r="D74" s="44" t="str">
        <f ca="1"/>
        <v/>
      </c>
      <c r="E74" s="44" t="str">
        <f ca="1"/>
        <v/>
      </c>
      <c r="F74" s="38" t="str">
        <f ca="1"/>
        <v/>
      </c>
      <c r="G74" s="40" t="str">
        <f ca="1"/>
        <v/>
      </c>
      <c r="H74" s="40" t="str">
        <f ca="1"/>
        <v/>
      </c>
      <c r="I74" s="39" t="str">
        <f ca="1"/>
        <v/>
      </c>
      <c r="J74" s="41" t="str">
        <f ca="1"/>
        <v/>
      </c>
      <c r="K74" s="40" t="str">
        <f ca="1"/>
        <v/>
      </c>
      <c r="L74" s="40" t="str">
        <f ca="1"/>
        <v/>
      </c>
      <c r="M74" s="42" t="str">
        <f ca="1"/>
        <v/>
      </c>
      <c r="N74" s="40" t="str">
        <f ca="1"/>
        <v/>
      </c>
      <c r="O74" s="59" t="str">
        <f ca="1"/>
        <v/>
      </c>
    </row>
    <row r="75" spans="2:15">
      <c r="B75" s="38" t="str">
        <f ca="1"/>
        <v/>
      </c>
      <c r="C75" s="38" t="str">
        <f ca="1"/>
        <v/>
      </c>
      <c r="D75" s="44" t="str">
        <f ca="1"/>
        <v/>
      </c>
      <c r="E75" s="44" t="str">
        <f ca="1"/>
        <v/>
      </c>
      <c r="F75" s="38" t="str">
        <f ca="1"/>
        <v/>
      </c>
      <c r="G75" s="40" t="str">
        <f ca="1"/>
        <v/>
      </c>
      <c r="H75" s="40" t="str">
        <f ca="1"/>
        <v/>
      </c>
      <c r="I75" s="39" t="str">
        <f ca="1"/>
        <v/>
      </c>
      <c r="J75" s="41" t="str">
        <f ca="1"/>
        <v/>
      </c>
      <c r="K75" s="40" t="str">
        <f ca="1"/>
        <v/>
      </c>
      <c r="L75" s="40" t="str">
        <f ca="1"/>
        <v/>
      </c>
      <c r="M75" s="42" t="str">
        <f ca="1"/>
        <v/>
      </c>
      <c r="N75" s="40" t="str">
        <f ca="1"/>
        <v/>
      </c>
      <c r="O75" s="59" t="str">
        <f ca="1"/>
        <v/>
      </c>
    </row>
    <row r="76" spans="2:15">
      <c r="B76" s="38" t="str">
        <f ca="1"/>
        <v/>
      </c>
      <c r="C76" s="38" t="str">
        <f ca="1"/>
        <v/>
      </c>
      <c r="D76" s="44" t="str">
        <f ca="1"/>
        <v/>
      </c>
      <c r="E76" s="44" t="str">
        <f ca="1"/>
        <v/>
      </c>
      <c r="F76" s="38" t="str">
        <f ca="1"/>
        <v/>
      </c>
      <c r="G76" s="40" t="str">
        <f ca="1"/>
        <v/>
      </c>
      <c r="H76" s="40" t="str">
        <f ca="1"/>
        <v/>
      </c>
      <c r="I76" s="39" t="str">
        <f ca="1"/>
        <v/>
      </c>
      <c r="J76" s="41" t="str">
        <f ca="1"/>
        <v/>
      </c>
      <c r="K76" s="40" t="str">
        <f ca="1"/>
        <v/>
      </c>
      <c r="L76" s="40" t="str">
        <f ca="1"/>
        <v/>
      </c>
      <c r="M76" s="42" t="str">
        <f ca="1"/>
        <v/>
      </c>
      <c r="N76" s="40" t="str">
        <f ca="1"/>
        <v/>
      </c>
      <c r="O76" s="59" t="str">
        <f ca="1"/>
        <v/>
      </c>
    </row>
    <row r="77" spans="2:15">
      <c r="B77" s="38" t="str">
        <f ca="1"/>
        <v/>
      </c>
      <c r="C77" s="38" t="str">
        <f ca="1"/>
        <v/>
      </c>
      <c r="D77" s="44" t="str">
        <f ca="1"/>
        <v/>
      </c>
      <c r="E77" s="44" t="str">
        <f ca="1"/>
        <v/>
      </c>
      <c r="F77" s="38" t="str">
        <f ca="1"/>
        <v/>
      </c>
      <c r="G77" s="40" t="str">
        <f ca="1"/>
        <v/>
      </c>
      <c r="H77" s="40" t="str">
        <f ca="1"/>
        <v/>
      </c>
      <c r="I77" s="39" t="str">
        <f ca="1"/>
        <v/>
      </c>
      <c r="J77" s="41" t="str">
        <f ca="1"/>
        <v/>
      </c>
      <c r="K77" s="40" t="str">
        <f ca="1"/>
        <v/>
      </c>
      <c r="L77" s="40" t="str">
        <f ca="1"/>
        <v/>
      </c>
      <c r="M77" s="42" t="str">
        <f ca="1"/>
        <v/>
      </c>
      <c r="N77" s="40" t="str">
        <f ca="1"/>
        <v/>
      </c>
      <c r="O77" s="59" t="str">
        <f ca="1"/>
        <v/>
      </c>
    </row>
    <row r="78" spans="2:15">
      <c r="B78" s="38" t="str">
        <f ca="1"/>
        <v/>
      </c>
      <c r="C78" s="38" t="str">
        <f ca="1"/>
        <v/>
      </c>
      <c r="D78" s="44" t="str">
        <f ca="1"/>
        <v/>
      </c>
      <c r="E78" s="44" t="str">
        <f ca="1"/>
        <v/>
      </c>
      <c r="F78" s="38" t="str">
        <f ca="1"/>
        <v/>
      </c>
      <c r="G78" s="40" t="str">
        <f ca="1"/>
        <v/>
      </c>
      <c r="H78" s="40" t="str">
        <f ca="1"/>
        <v/>
      </c>
      <c r="I78" s="39" t="str">
        <f ca="1"/>
        <v/>
      </c>
      <c r="J78" s="41" t="str">
        <f ca="1"/>
        <v/>
      </c>
      <c r="K78" s="40" t="str">
        <f ca="1"/>
        <v/>
      </c>
      <c r="L78" s="40" t="str">
        <f ca="1"/>
        <v/>
      </c>
      <c r="M78" s="42" t="str">
        <f ca="1"/>
        <v/>
      </c>
      <c r="N78" s="40" t="str">
        <f ca="1"/>
        <v/>
      </c>
      <c r="O78" s="59" t="str">
        <f ca="1"/>
        <v/>
      </c>
    </row>
    <row r="79" spans="2:15">
      <c r="B79" s="38" t="str">
        <f ca="1"/>
        <v/>
      </c>
      <c r="C79" s="38" t="str">
        <f ca="1"/>
        <v/>
      </c>
      <c r="D79" s="44" t="str">
        <f ca="1"/>
        <v/>
      </c>
      <c r="E79" s="44" t="str">
        <f ca="1"/>
        <v/>
      </c>
      <c r="F79" s="38" t="str">
        <f ca="1"/>
        <v/>
      </c>
      <c r="G79" s="40" t="str">
        <f ca="1"/>
        <v/>
      </c>
      <c r="H79" s="40" t="str">
        <f ca="1"/>
        <v/>
      </c>
      <c r="I79" s="39" t="str">
        <f ca="1"/>
        <v/>
      </c>
      <c r="J79" s="41" t="str">
        <f ca="1"/>
        <v/>
      </c>
      <c r="K79" s="40" t="str">
        <f ca="1"/>
        <v/>
      </c>
      <c r="L79" s="40" t="str">
        <f ca="1"/>
        <v/>
      </c>
      <c r="M79" s="42" t="str">
        <f ca="1"/>
        <v/>
      </c>
      <c r="N79" s="40" t="str">
        <f ca="1"/>
        <v/>
      </c>
      <c r="O79" s="59" t="str">
        <f ca="1"/>
        <v/>
      </c>
    </row>
    <row r="80" spans="2:15">
      <c r="B80" s="38" t="str">
        <f ca="1"/>
        <v/>
      </c>
      <c r="C80" s="38" t="str">
        <f ca="1"/>
        <v/>
      </c>
      <c r="D80" s="44" t="str">
        <f ca="1"/>
        <v/>
      </c>
      <c r="E80" s="44" t="str">
        <f ca="1"/>
        <v/>
      </c>
      <c r="F80" s="38" t="str">
        <f ca="1"/>
        <v/>
      </c>
      <c r="G80" s="40" t="str">
        <f ca="1"/>
        <v/>
      </c>
      <c r="H80" s="40" t="str">
        <f ca="1"/>
        <v/>
      </c>
      <c r="I80" s="39" t="str">
        <f ca="1"/>
        <v/>
      </c>
      <c r="J80" s="41" t="str">
        <f ca="1"/>
        <v/>
      </c>
      <c r="K80" s="40" t="str">
        <f ca="1"/>
        <v/>
      </c>
      <c r="L80" s="40" t="str">
        <f ca="1"/>
        <v/>
      </c>
      <c r="M80" s="42" t="str">
        <f ca="1"/>
        <v/>
      </c>
      <c r="N80" s="40" t="str">
        <f ca="1"/>
        <v/>
      </c>
      <c r="O80" s="59" t="str">
        <f ca="1"/>
        <v/>
      </c>
    </row>
    <row r="81" spans="2:15">
      <c r="B81" s="38" t="str">
        <f ca="1"/>
        <v/>
      </c>
      <c r="C81" s="38" t="str">
        <f ca="1"/>
        <v/>
      </c>
      <c r="D81" s="44" t="str">
        <f ca="1"/>
        <v/>
      </c>
      <c r="E81" s="44" t="str">
        <f ca="1"/>
        <v/>
      </c>
      <c r="F81" s="38" t="str">
        <f ca="1"/>
        <v/>
      </c>
      <c r="G81" s="40" t="str">
        <f ca="1"/>
        <v/>
      </c>
      <c r="H81" s="40" t="str">
        <f ca="1"/>
        <v/>
      </c>
      <c r="I81" s="39" t="str">
        <f ca="1"/>
        <v/>
      </c>
      <c r="J81" s="41" t="str">
        <f ca="1"/>
        <v/>
      </c>
      <c r="K81" s="40" t="str">
        <f ca="1"/>
        <v/>
      </c>
      <c r="L81" s="40" t="str">
        <f ca="1"/>
        <v/>
      </c>
      <c r="M81" s="42" t="str">
        <f ca="1"/>
        <v/>
      </c>
      <c r="N81" s="40" t="str">
        <f ca="1"/>
        <v/>
      </c>
      <c r="O81" s="59" t="str">
        <f ca="1"/>
        <v/>
      </c>
    </row>
    <row r="82" spans="2:15">
      <c r="B82" s="38" t="str">
        <f ca="1"/>
        <v/>
      </c>
      <c r="C82" s="38" t="str">
        <f ca="1"/>
        <v/>
      </c>
      <c r="D82" s="44" t="str">
        <f ca="1"/>
        <v/>
      </c>
      <c r="E82" s="44" t="str">
        <f ca="1"/>
        <v/>
      </c>
      <c r="F82" s="38" t="str">
        <f ca="1"/>
        <v/>
      </c>
      <c r="G82" s="40" t="str">
        <f ca="1"/>
        <v/>
      </c>
      <c r="H82" s="40" t="str">
        <f ca="1"/>
        <v/>
      </c>
      <c r="I82" s="39" t="str">
        <f ca="1"/>
        <v/>
      </c>
      <c r="J82" s="41" t="str">
        <f ca="1"/>
        <v/>
      </c>
      <c r="K82" s="40" t="str">
        <f ca="1"/>
        <v/>
      </c>
      <c r="L82" s="40" t="str">
        <f ca="1"/>
        <v/>
      </c>
      <c r="M82" s="42" t="str">
        <f ca="1"/>
        <v/>
      </c>
      <c r="N82" s="40" t="str">
        <f ca="1"/>
        <v/>
      </c>
      <c r="O82" s="59" t="str">
        <f ca="1"/>
        <v/>
      </c>
    </row>
    <row r="83" spans="2:15">
      <c r="B83" s="38" t="str">
        <f ca="1"/>
        <v/>
      </c>
      <c r="C83" s="38" t="str">
        <f ca="1"/>
        <v/>
      </c>
      <c r="D83" s="44" t="str">
        <f ca="1"/>
        <v/>
      </c>
      <c r="E83" s="44" t="str">
        <f ca="1"/>
        <v/>
      </c>
      <c r="F83" s="38" t="str">
        <f ca="1"/>
        <v/>
      </c>
      <c r="G83" s="40" t="str">
        <f ca="1"/>
        <v/>
      </c>
      <c r="H83" s="40" t="str">
        <f ca="1"/>
        <v/>
      </c>
      <c r="I83" s="39" t="str">
        <f ca="1"/>
        <v/>
      </c>
      <c r="J83" s="41" t="str">
        <f ca="1"/>
        <v/>
      </c>
      <c r="K83" s="40" t="str">
        <f ca="1"/>
        <v/>
      </c>
      <c r="L83" s="40" t="str">
        <f ca="1"/>
        <v/>
      </c>
      <c r="M83" s="42" t="str">
        <f ca="1"/>
        <v/>
      </c>
      <c r="N83" s="40" t="str">
        <f ca="1"/>
        <v/>
      </c>
      <c r="O83" s="59" t="str">
        <f ca="1"/>
        <v/>
      </c>
    </row>
    <row r="84" spans="2:15">
      <c r="B84" s="38" t="str">
        <f ca="1"/>
        <v/>
      </c>
      <c r="C84" s="38" t="str">
        <f ca="1"/>
        <v/>
      </c>
      <c r="D84" s="44" t="str">
        <f ca="1"/>
        <v/>
      </c>
      <c r="E84" s="44" t="str">
        <f ca="1"/>
        <v/>
      </c>
      <c r="F84" s="38" t="str">
        <f ca="1"/>
        <v/>
      </c>
      <c r="G84" s="40" t="str">
        <f ca="1"/>
        <v/>
      </c>
      <c r="H84" s="40" t="str">
        <f ca="1"/>
        <v/>
      </c>
      <c r="I84" s="39" t="str">
        <f ca="1"/>
        <v/>
      </c>
      <c r="J84" s="41" t="str">
        <f ca="1"/>
        <v/>
      </c>
      <c r="K84" s="40" t="str">
        <f ca="1"/>
        <v/>
      </c>
      <c r="L84" s="40" t="str">
        <f ca="1"/>
        <v/>
      </c>
      <c r="M84" s="42" t="str">
        <f ca="1"/>
        <v/>
      </c>
      <c r="N84" s="40" t="str">
        <f ca="1"/>
        <v/>
      </c>
      <c r="O84" s="59" t="str">
        <f ca="1"/>
        <v/>
      </c>
    </row>
    <row r="85" spans="2:15">
      <c r="B85" s="38" t="str">
        <f ca="1"/>
        <v/>
      </c>
      <c r="C85" s="38" t="str">
        <f ca="1"/>
        <v/>
      </c>
      <c r="D85" s="44" t="str">
        <f ca="1"/>
        <v/>
      </c>
      <c r="E85" s="44" t="str">
        <f ca="1"/>
        <v/>
      </c>
      <c r="F85" s="38" t="str">
        <f ca="1"/>
        <v/>
      </c>
      <c r="G85" s="40" t="str">
        <f ca="1"/>
        <v/>
      </c>
      <c r="H85" s="40" t="str">
        <f ca="1"/>
        <v/>
      </c>
      <c r="I85" s="39" t="str">
        <f ca="1"/>
        <v/>
      </c>
      <c r="J85" s="41" t="str">
        <f ca="1"/>
        <v/>
      </c>
      <c r="K85" s="40" t="str">
        <f ca="1"/>
        <v/>
      </c>
      <c r="L85" s="40" t="str">
        <f ca="1"/>
        <v/>
      </c>
      <c r="M85" s="42" t="str">
        <f ca="1"/>
        <v/>
      </c>
      <c r="N85" s="40" t="str">
        <f ca="1"/>
        <v/>
      </c>
      <c r="O85" s="59" t="str">
        <f ca="1"/>
        <v/>
      </c>
    </row>
    <row r="86" spans="2:15">
      <c r="B86" s="38" t="str">
        <f ca="1"/>
        <v/>
      </c>
      <c r="C86" s="38" t="str">
        <f ca="1"/>
        <v/>
      </c>
      <c r="D86" s="44" t="str">
        <f ca="1"/>
        <v/>
      </c>
      <c r="E86" s="44" t="str">
        <f ca="1"/>
        <v/>
      </c>
      <c r="F86" s="38" t="str">
        <f ca="1"/>
        <v/>
      </c>
      <c r="G86" s="40" t="str">
        <f ca="1"/>
        <v/>
      </c>
      <c r="H86" s="40" t="str">
        <f ca="1"/>
        <v/>
      </c>
      <c r="I86" s="39" t="str">
        <f ca="1"/>
        <v/>
      </c>
      <c r="J86" s="41" t="str">
        <f ca="1"/>
        <v/>
      </c>
      <c r="K86" s="40" t="str">
        <f ca="1"/>
        <v/>
      </c>
      <c r="L86" s="40" t="str">
        <f ca="1"/>
        <v/>
      </c>
      <c r="M86" s="42" t="str">
        <f ca="1"/>
        <v/>
      </c>
      <c r="N86" s="40" t="str">
        <f ca="1"/>
        <v/>
      </c>
      <c r="O86" s="59" t="str">
        <f ca="1"/>
        <v/>
      </c>
    </row>
    <row r="87" spans="2:15">
      <c r="B87" s="38" t="str">
        <f ca="1"/>
        <v/>
      </c>
      <c r="C87" s="38" t="str">
        <f ca="1"/>
        <v/>
      </c>
      <c r="D87" s="44" t="str">
        <f ca="1"/>
        <v/>
      </c>
      <c r="E87" s="44" t="str">
        <f ca="1"/>
        <v/>
      </c>
      <c r="F87" s="38" t="str">
        <f ca="1"/>
        <v/>
      </c>
      <c r="G87" s="40" t="str">
        <f ca="1"/>
        <v/>
      </c>
      <c r="H87" s="40" t="str">
        <f ca="1"/>
        <v/>
      </c>
      <c r="I87" s="39" t="str">
        <f ca="1"/>
        <v/>
      </c>
      <c r="J87" s="41" t="str">
        <f ca="1"/>
        <v/>
      </c>
      <c r="K87" s="40" t="str">
        <f ca="1"/>
        <v/>
      </c>
      <c r="L87" s="40" t="str">
        <f ca="1"/>
        <v/>
      </c>
      <c r="M87" s="42" t="str">
        <f ca="1"/>
        <v/>
      </c>
      <c r="N87" s="40" t="str">
        <f ca="1"/>
        <v/>
      </c>
      <c r="O87" s="59" t="str">
        <f ca="1"/>
        <v/>
      </c>
    </row>
    <row r="88" spans="2:15">
      <c r="B88" s="38" t="str">
        <f ca="1"/>
        <v/>
      </c>
      <c r="C88" s="38" t="str">
        <f ca="1"/>
        <v/>
      </c>
      <c r="D88" s="44" t="str">
        <f ca="1"/>
        <v/>
      </c>
      <c r="E88" s="44" t="str">
        <f ca="1"/>
        <v/>
      </c>
      <c r="F88" s="38" t="str">
        <f ca="1"/>
        <v/>
      </c>
      <c r="G88" s="40" t="str">
        <f ca="1"/>
        <v/>
      </c>
      <c r="H88" s="40" t="str">
        <f ca="1"/>
        <v/>
      </c>
      <c r="I88" s="39" t="str">
        <f ca="1"/>
        <v/>
      </c>
      <c r="J88" s="41" t="str">
        <f ca="1"/>
        <v/>
      </c>
      <c r="K88" s="40" t="str">
        <f ca="1"/>
        <v/>
      </c>
      <c r="L88" s="40" t="str">
        <f ca="1"/>
        <v/>
      </c>
      <c r="M88" s="42" t="str">
        <f ca="1"/>
        <v/>
      </c>
      <c r="N88" s="40" t="str">
        <f ca="1"/>
        <v/>
      </c>
      <c r="O88" s="59" t="str">
        <f ca="1"/>
        <v/>
      </c>
    </row>
    <row r="89" spans="2:15">
      <c r="B89" s="38" t="str">
        <f ca="1"/>
        <v/>
      </c>
      <c r="C89" s="38" t="str">
        <f ca="1"/>
        <v/>
      </c>
      <c r="D89" s="44" t="str">
        <f ca="1"/>
        <v/>
      </c>
      <c r="E89" s="44" t="str">
        <f ca="1"/>
        <v/>
      </c>
      <c r="F89" s="38" t="str">
        <f ca="1"/>
        <v/>
      </c>
      <c r="G89" s="40" t="str">
        <f ca="1"/>
        <v/>
      </c>
      <c r="H89" s="40" t="str">
        <f ca="1"/>
        <v/>
      </c>
      <c r="I89" s="39" t="str">
        <f ca="1"/>
        <v/>
      </c>
      <c r="J89" s="41" t="str">
        <f ca="1"/>
        <v/>
      </c>
      <c r="K89" s="40" t="str">
        <f ca="1"/>
        <v/>
      </c>
      <c r="L89" s="40" t="str">
        <f ca="1"/>
        <v/>
      </c>
      <c r="M89" s="42" t="str">
        <f ca="1"/>
        <v/>
      </c>
      <c r="N89" s="40" t="str">
        <f ca="1"/>
        <v/>
      </c>
      <c r="O89" s="59" t="str">
        <f ca="1"/>
        <v/>
      </c>
    </row>
    <row r="90" spans="2:15">
      <c r="B90" s="38" t="str">
        <f ca="1"/>
        <v/>
      </c>
      <c r="C90" s="38" t="str">
        <f ca="1"/>
        <v/>
      </c>
      <c r="D90" s="44" t="str">
        <f ca="1"/>
        <v/>
      </c>
      <c r="E90" s="44" t="str">
        <f ca="1"/>
        <v/>
      </c>
      <c r="F90" s="38" t="str">
        <f ca="1"/>
        <v/>
      </c>
      <c r="G90" s="40" t="str">
        <f ca="1"/>
        <v/>
      </c>
      <c r="H90" s="40" t="str">
        <f ca="1"/>
        <v/>
      </c>
      <c r="I90" s="39" t="str">
        <f ca="1"/>
        <v/>
      </c>
      <c r="J90" s="41" t="str">
        <f ca="1"/>
        <v/>
      </c>
      <c r="K90" s="40" t="str">
        <f ca="1"/>
        <v/>
      </c>
      <c r="L90" s="40" t="str">
        <f ca="1"/>
        <v/>
      </c>
      <c r="M90" s="42" t="str">
        <f ca="1"/>
        <v/>
      </c>
      <c r="N90" s="40" t="str">
        <f ca="1"/>
        <v/>
      </c>
      <c r="O90" s="59" t="str">
        <f ca="1"/>
        <v/>
      </c>
    </row>
    <row r="91" spans="2:15">
      <c r="B91" s="38" t="str">
        <f ca="1"/>
        <v/>
      </c>
      <c r="C91" s="38" t="str">
        <f ca="1"/>
        <v/>
      </c>
      <c r="D91" s="44" t="str">
        <f ca="1"/>
        <v/>
      </c>
      <c r="E91" s="44" t="str">
        <f ca="1"/>
        <v/>
      </c>
      <c r="F91" s="38" t="str">
        <f ca="1"/>
        <v/>
      </c>
      <c r="G91" s="40" t="str">
        <f ca="1"/>
        <v/>
      </c>
      <c r="H91" s="40" t="str">
        <f ca="1"/>
        <v/>
      </c>
      <c r="I91" s="39" t="str">
        <f ca="1"/>
        <v/>
      </c>
      <c r="J91" s="41" t="str">
        <f ca="1"/>
        <v/>
      </c>
      <c r="K91" s="40" t="str">
        <f ca="1"/>
        <v/>
      </c>
      <c r="L91" s="40" t="str">
        <f ca="1"/>
        <v/>
      </c>
      <c r="M91" s="42" t="str">
        <f ca="1"/>
        <v/>
      </c>
      <c r="N91" s="40" t="str">
        <f ca="1"/>
        <v/>
      </c>
      <c r="O91" s="59" t="str">
        <f ca="1"/>
        <v/>
      </c>
    </row>
    <row r="92" spans="2:15">
      <c r="B92" s="38" t="str">
        <f ca="1"/>
        <v/>
      </c>
      <c r="C92" s="38" t="str">
        <f ca="1"/>
        <v/>
      </c>
      <c r="D92" s="44" t="str">
        <f ca="1"/>
        <v/>
      </c>
      <c r="E92" s="44" t="str">
        <f ca="1"/>
        <v/>
      </c>
      <c r="F92" s="38" t="str">
        <f ca="1"/>
        <v/>
      </c>
      <c r="G92" s="40" t="str">
        <f ca="1"/>
        <v/>
      </c>
      <c r="H92" s="40" t="str">
        <f ca="1"/>
        <v/>
      </c>
      <c r="I92" s="39" t="str">
        <f ca="1"/>
        <v/>
      </c>
      <c r="J92" s="41" t="str">
        <f ca="1"/>
        <v/>
      </c>
      <c r="K92" s="40" t="str">
        <f ca="1"/>
        <v/>
      </c>
      <c r="L92" s="40" t="str">
        <f ca="1"/>
        <v/>
      </c>
      <c r="M92" s="42" t="str">
        <f ca="1"/>
        <v/>
      </c>
      <c r="N92" s="40" t="str">
        <f ca="1"/>
        <v/>
      </c>
      <c r="O92" s="59" t="str">
        <f ca="1"/>
        <v/>
      </c>
    </row>
    <row r="93" spans="2:15">
      <c r="B93" s="38" t="str">
        <f ca="1"/>
        <v/>
      </c>
      <c r="C93" s="38" t="str">
        <f ca="1"/>
        <v/>
      </c>
      <c r="D93" s="44" t="str">
        <f ca="1"/>
        <v/>
      </c>
      <c r="E93" s="44" t="str">
        <f ca="1"/>
        <v/>
      </c>
      <c r="F93" s="38" t="str">
        <f ca="1"/>
        <v/>
      </c>
      <c r="G93" s="40" t="str">
        <f ca="1"/>
        <v/>
      </c>
      <c r="H93" s="40" t="str">
        <f ca="1"/>
        <v/>
      </c>
      <c r="I93" s="39" t="str">
        <f ca="1"/>
        <v/>
      </c>
      <c r="J93" s="41" t="str">
        <f ca="1"/>
        <v/>
      </c>
      <c r="K93" s="40" t="str">
        <f ca="1"/>
        <v/>
      </c>
      <c r="L93" s="40" t="str">
        <f ca="1"/>
        <v/>
      </c>
      <c r="M93" s="42" t="str">
        <f ca="1"/>
        <v/>
      </c>
      <c r="N93" s="40" t="str">
        <f ca="1"/>
        <v/>
      </c>
      <c r="O93" s="59" t="str">
        <f ca="1"/>
        <v/>
      </c>
    </row>
    <row r="94" spans="2:15">
      <c r="B94" s="38" t="str">
        <f ca="1"/>
        <v/>
      </c>
      <c r="C94" s="38" t="str">
        <f ca="1"/>
        <v/>
      </c>
      <c r="D94" s="44" t="str">
        <f ca="1"/>
        <v/>
      </c>
      <c r="E94" s="44" t="str">
        <f ca="1"/>
        <v/>
      </c>
      <c r="F94" s="38" t="str">
        <f ca="1"/>
        <v/>
      </c>
      <c r="G94" s="40" t="str">
        <f ca="1"/>
        <v/>
      </c>
      <c r="H94" s="40" t="str">
        <f ca="1"/>
        <v/>
      </c>
      <c r="I94" s="39" t="str">
        <f ca="1"/>
        <v/>
      </c>
      <c r="J94" s="41" t="str">
        <f ca="1"/>
        <v/>
      </c>
      <c r="K94" s="40" t="str">
        <f ca="1"/>
        <v/>
      </c>
      <c r="L94" s="40" t="str">
        <f ca="1"/>
        <v/>
      </c>
      <c r="M94" s="42" t="str">
        <f ca="1"/>
        <v/>
      </c>
      <c r="N94" s="40" t="str">
        <f ca="1"/>
        <v/>
      </c>
      <c r="O94" s="59" t="str">
        <f ca="1"/>
        <v/>
      </c>
    </row>
    <row r="95" spans="2:15">
      <c r="B95" s="38" t="str">
        <f ca="1"/>
        <v/>
      </c>
      <c r="C95" s="38" t="str">
        <f ca="1"/>
        <v/>
      </c>
      <c r="D95" s="44" t="str">
        <f ca="1"/>
        <v/>
      </c>
      <c r="E95" s="44" t="str">
        <f ca="1"/>
        <v/>
      </c>
      <c r="F95" s="38" t="str">
        <f ca="1"/>
        <v/>
      </c>
      <c r="G95" s="40" t="str">
        <f ca="1"/>
        <v/>
      </c>
      <c r="H95" s="40" t="str">
        <f ca="1"/>
        <v/>
      </c>
      <c r="I95" s="39" t="str">
        <f ca="1"/>
        <v/>
      </c>
      <c r="J95" s="41" t="str">
        <f ca="1"/>
        <v/>
      </c>
      <c r="K95" s="40" t="str">
        <f ca="1"/>
        <v/>
      </c>
      <c r="L95" s="40" t="str">
        <f ca="1"/>
        <v/>
      </c>
      <c r="M95" s="42" t="str">
        <f ca="1"/>
        <v/>
      </c>
      <c r="N95" s="40" t="str">
        <f ca="1"/>
        <v/>
      </c>
      <c r="O95" s="59" t="str">
        <f ca="1"/>
        <v/>
      </c>
    </row>
    <row r="96" spans="2:15">
      <c r="B96" s="38" t="str">
        <f ca="1"/>
        <v/>
      </c>
      <c r="C96" s="38" t="str">
        <f ca="1"/>
        <v/>
      </c>
      <c r="D96" s="44" t="str">
        <f ca="1"/>
        <v/>
      </c>
      <c r="E96" s="44" t="str">
        <f ca="1"/>
        <v/>
      </c>
      <c r="F96" s="38" t="str">
        <f ca="1"/>
        <v/>
      </c>
      <c r="G96" s="40" t="str">
        <f ca="1"/>
        <v/>
      </c>
      <c r="H96" s="40" t="str">
        <f ca="1"/>
        <v/>
      </c>
      <c r="I96" s="39" t="str">
        <f ca="1"/>
        <v/>
      </c>
      <c r="J96" s="41" t="str">
        <f ca="1"/>
        <v/>
      </c>
      <c r="K96" s="40" t="str">
        <f ca="1"/>
        <v/>
      </c>
      <c r="L96" s="40" t="str">
        <f ca="1"/>
        <v/>
      </c>
      <c r="M96" s="42" t="str">
        <f ca="1"/>
        <v/>
      </c>
      <c r="N96" s="40" t="str">
        <f ca="1"/>
        <v/>
      </c>
      <c r="O96" s="59" t="str">
        <f ca="1"/>
        <v/>
      </c>
    </row>
    <row r="97" spans="2:15">
      <c r="B97" s="38" t="str">
        <f ca="1"/>
        <v/>
      </c>
      <c r="C97" s="38" t="str">
        <f ca="1"/>
        <v/>
      </c>
      <c r="D97" s="44" t="str">
        <f ca="1"/>
        <v/>
      </c>
      <c r="E97" s="44" t="str">
        <f ca="1"/>
        <v/>
      </c>
      <c r="F97" s="38" t="str">
        <f ca="1"/>
        <v/>
      </c>
      <c r="G97" s="40" t="str">
        <f ca="1"/>
        <v/>
      </c>
      <c r="H97" s="40" t="str">
        <f ca="1"/>
        <v/>
      </c>
      <c r="I97" s="39" t="str">
        <f ca="1"/>
        <v/>
      </c>
      <c r="J97" s="41" t="str">
        <f ca="1"/>
        <v/>
      </c>
      <c r="K97" s="40" t="str">
        <f ca="1"/>
        <v/>
      </c>
      <c r="L97" s="40" t="str">
        <f ca="1"/>
        <v/>
      </c>
      <c r="M97" s="42" t="str">
        <f ca="1"/>
        <v/>
      </c>
      <c r="N97" s="40" t="str">
        <f ca="1"/>
        <v/>
      </c>
      <c r="O97" s="59" t="str">
        <f ca="1"/>
        <v/>
      </c>
    </row>
    <row r="98" spans="2:15">
      <c r="B98" s="38" t="str">
        <f ca="1"/>
        <v/>
      </c>
      <c r="C98" s="38" t="str">
        <f ca="1"/>
        <v/>
      </c>
      <c r="D98" s="44" t="str">
        <f ca="1"/>
        <v/>
      </c>
      <c r="E98" s="44" t="str">
        <f ca="1"/>
        <v/>
      </c>
      <c r="F98" s="38" t="str">
        <f ca="1"/>
        <v/>
      </c>
      <c r="G98" s="40" t="str">
        <f ca="1"/>
        <v/>
      </c>
      <c r="H98" s="40" t="str">
        <f ca="1"/>
        <v/>
      </c>
      <c r="I98" s="39" t="str">
        <f ca="1"/>
        <v/>
      </c>
      <c r="J98" s="41" t="str">
        <f ca="1"/>
        <v/>
      </c>
      <c r="K98" s="40" t="str">
        <f ca="1"/>
        <v/>
      </c>
      <c r="L98" s="40" t="str">
        <f ca="1"/>
        <v/>
      </c>
      <c r="M98" s="42" t="str">
        <f ca="1"/>
        <v/>
      </c>
      <c r="N98" s="40" t="str">
        <f ca="1"/>
        <v/>
      </c>
      <c r="O98" s="59" t="str">
        <f ca="1"/>
        <v/>
      </c>
    </row>
    <row r="99" spans="2:15">
      <c r="B99" s="38" t="str">
        <f ca="1"/>
        <v/>
      </c>
      <c r="C99" s="38" t="str">
        <f ca="1"/>
        <v/>
      </c>
      <c r="D99" s="44" t="str">
        <f ca="1"/>
        <v/>
      </c>
      <c r="E99" s="44" t="str">
        <f ca="1"/>
        <v/>
      </c>
      <c r="F99" s="38" t="str">
        <f ca="1"/>
        <v/>
      </c>
      <c r="G99" s="40" t="str">
        <f ca="1"/>
        <v/>
      </c>
      <c r="H99" s="40" t="str">
        <f ca="1"/>
        <v/>
      </c>
      <c r="I99" s="39" t="str">
        <f ca="1"/>
        <v/>
      </c>
      <c r="J99" s="41" t="str">
        <f ca="1"/>
        <v/>
      </c>
      <c r="K99" s="40" t="str">
        <f ca="1"/>
        <v/>
      </c>
      <c r="L99" s="40" t="str">
        <f ca="1"/>
        <v/>
      </c>
      <c r="M99" s="42" t="str">
        <f ca="1"/>
        <v/>
      </c>
      <c r="N99" s="40" t="str">
        <f ca="1"/>
        <v/>
      </c>
      <c r="O99" s="59" t="str">
        <f ca="1"/>
        <v/>
      </c>
    </row>
    <row r="100" spans="2:15">
      <c r="B100" s="38" t="str">
        <f ca="1"/>
        <v/>
      </c>
      <c r="C100" s="38" t="str">
        <f ca="1"/>
        <v/>
      </c>
      <c r="D100" s="44" t="str">
        <f ca="1"/>
        <v/>
      </c>
      <c r="E100" s="44" t="str">
        <f ca="1"/>
        <v/>
      </c>
      <c r="F100" s="38" t="str">
        <f ca="1"/>
        <v/>
      </c>
      <c r="G100" s="40" t="str">
        <f ca="1"/>
        <v/>
      </c>
      <c r="H100" s="40" t="str">
        <f ca="1"/>
        <v/>
      </c>
      <c r="I100" s="39" t="str">
        <f ca="1"/>
        <v/>
      </c>
      <c r="J100" s="41" t="str">
        <f ca="1"/>
        <v/>
      </c>
      <c r="K100" s="40" t="str">
        <f ca="1"/>
        <v/>
      </c>
      <c r="L100" s="40" t="str">
        <f ca="1"/>
        <v/>
      </c>
      <c r="M100" s="42" t="str">
        <f ca="1"/>
        <v/>
      </c>
      <c r="N100" s="40" t="str">
        <f ca="1"/>
        <v/>
      </c>
      <c r="O100" s="59" t="str">
        <f ca="1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100"/>
  <sheetViews>
    <sheetView showGridLines="0" workbookViewId="0"/>
  </sheetViews>
  <sheetFormatPr defaultRowHeight="15"/>
  <cols>
    <col min="2" max="3" width="18.7109375" customWidth="1"/>
    <col min="4" max="4" width="11.5703125" style="29" bestFit="1" customWidth="1"/>
    <col min="5" max="5" width="19.5703125" style="31" bestFit="1" customWidth="1"/>
    <col min="6" max="6" width="18.7109375" customWidth="1"/>
    <col min="7" max="7" width="9.85546875" bestFit="1" customWidth="1"/>
    <col min="8" max="8" width="17.28515625" bestFit="1" customWidth="1"/>
    <col min="9" max="9" width="9.28515625" bestFit="1" customWidth="1"/>
    <col min="10" max="10" width="10.140625" bestFit="1" customWidth="1"/>
    <col min="11" max="11" width="9.28515625" bestFit="1" customWidth="1"/>
    <col min="12" max="12" width="14.28515625" bestFit="1" customWidth="1"/>
    <col min="13" max="13" width="10.28515625" bestFit="1" customWidth="1"/>
    <col min="15" max="17" width="16.7109375" style="17" customWidth="1"/>
    <col min="18" max="18" width="11.5703125" style="29" bestFit="1" customWidth="1"/>
    <col min="19" max="19" width="19.5703125" style="31" bestFit="1" customWidth="1"/>
    <col min="20" max="20" width="16.7109375" style="17" customWidth="1"/>
    <col min="21" max="21" width="12.7109375" customWidth="1"/>
    <col min="22" max="22" width="17.28515625" style="29" bestFit="1" customWidth="1"/>
    <col min="23" max="23" width="10.140625" style="24" bestFit="1" customWidth="1"/>
    <col min="24" max="24" width="11.5703125" style="24" bestFit="1" customWidth="1"/>
    <col min="25" max="25" width="11.140625" style="53" customWidth="1"/>
    <col min="26" max="26" width="15.7109375" customWidth="1"/>
    <col min="27" max="27" width="15.7109375" style="27" customWidth="1"/>
    <col min="28" max="28" width="15.7109375" style="26" customWidth="1"/>
  </cols>
  <sheetData>
    <row r="2" spans="2:28">
      <c r="B2" s="1" t="s">
        <v>96</v>
      </c>
      <c r="O2" s="28" t="s">
        <v>97</v>
      </c>
    </row>
    <row r="3" spans="2:28">
      <c r="B3" s="43" t="str">
        <f t="array" aca="1" ref="B3:M100" ca="1">_xll.meUtilityResize(_xll.meLWOSwapDisplayCashflows('AUD ASW'!$I$4,'AUD ASW'!$C$41,'AUD ASW'!$I$7),200,100)</f>
        <v>LEG1:FIXEDBOND Leg Schedule &amp; Cashflows</v>
      </c>
      <c r="C3" s="33" t="str">
        <f ca="1"/>
        <v/>
      </c>
      <c r="D3" s="35" t="str">
        <f ca="1"/>
        <v/>
      </c>
      <c r="E3" s="45" t="str">
        <f ca="1"/>
        <v/>
      </c>
      <c r="F3" s="33" t="str">
        <f ca="1"/>
        <v/>
      </c>
      <c r="G3" s="35" t="str">
        <f ca="1"/>
        <v/>
      </c>
      <c r="H3" s="35" t="str">
        <f ca="1"/>
        <v/>
      </c>
      <c r="I3" s="34" t="str">
        <f ca="1"/>
        <v/>
      </c>
      <c r="J3" s="36" t="str">
        <f ca="1"/>
        <v/>
      </c>
      <c r="K3" s="35" t="str">
        <f ca="1"/>
        <v/>
      </c>
      <c r="L3" s="37" t="str">
        <f ca="1"/>
        <v/>
      </c>
      <c r="M3" s="35" t="str">
        <f ca="1"/>
        <v/>
      </c>
      <c r="O3" s="43" t="str">
        <f t="array" aca="1" ref="O3:AB100" ca="1">_xll.meUtilityResize(_xll.meLWOSwapDisplayCashflows('AUD ASW'!$I$4,'AUD ASW'!$C$41,'AUD ASW'!$J$7),200,100)</f>
        <v>LEG2:FLOAT Leg Schedule &amp; Cashflows</v>
      </c>
      <c r="P3" s="33" t="str">
        <f ca="1"/>
        <v/>
      </c>
      <c r="Q3" s="33" t="str">
        <f ca="1"/>
        <v/>
      </c>
      <c r="R3" s="35" t="str">
        <f ca="1"/>
        <v/>
      </c>
      <c r="S3" s="45" t="str">
        <f ca="1"/>
        <v/>
      </c>
      <c r="T3" s="33" t="str">
        <f ca="1"/>
        <v/>
      </c>
      <c r="U3" s="35" t="str">
        <f ca="1"/>
        <v/>
      </c>
      <c r="V3" s="35" t="str">
        <f ca="1"/>
        <v/>
      </c>
      <c r="W3" s="34" t="str">
        <f ca="1"/>
        <v/>
      </c>
      <c r="X3" s="34" t="str">
        <f ca="1"/>
        <v/>
      </c>
      <c r="Y3" s="54" t="str">
        <f ca="1"/>
        <v/>
      </c>
      <c r="Z3" s="35" t="str">
        <f ca="1"/>
        <v/>
      </c>
      <c r="AA3" s="37" t="str">
        <f ca="1"/>
        <v/>
      </c>
      <c r="AB3" s="35" t="str">
        <f ca="1"/>
        <v/>
      </c>
    </row>
    <row r="4" spans="2:28">
      <c r="B4" s="33" t="str">
        <f ca="1"/>
        <v>AccrualStart</v>
      </c>
      <c r="C4" s="33" t="str">
        <f ca="1"/>
        <v>AccrualEnd</v>
      </c>
      <c r="D4" s="35" t="str">
        <f ca="1"/>
        <v>AccrualDays</v>
      </c>
      <c r="E4" s="45" t="str">
        <f ca="1"/>
        <v>AccrualYearFractions</v>
      </c>
      <c r="F4" s="33" t="str">
        <f ca="1"/>
        <v>PaymentDate</v>
      </c>
      <c r="G4" s="35" t="str">
        <f ca="1"/>
        <v>Notional</v>
      </c>
      <c r="H4" s="35" t="str">
        <f ca="1"/>
        <v>NotionalExchange</v>
      </c>
      <c r="I4" s="34" t="str">
        <f ca="1"/>
        <v>Leverage</v>
      </c>
      <c r="J4" s="36" t="str">
        <f ca="1"/>
        <v>FixedRate</v>
      </c>
      <c r="K4" s="35" t="str">
        <f ca="1"/>
        <v>Coupon</v>
      </c>
      <c r="L4" s="37" t="str">
        <f ca="1"/>
        <v>DiscountFactor</v>
      </c>
      <c r="M4" s="35" t="str">
        <f ca="1"/>
        <v>CouponPV</v>
      </c>
      <c r="O4" s="33" t="str">
        <f ca="1"/>
        <v>FixingDate</v>
      </c>
      <c r="P4" s="33" t="str">
        <f ca="1"/>
        <v>AccrualStart</v>
      </c>
      <c r="Q4" s="33" t="str">
        <f ca="1"/>
        <v>AccrualEnd</v>
      </c>
      <c r="R4" s="35" t="str">
        <f ca="1"/>
        <v>AccrualDays</v>
      </c>
      <c r="S4" s="45" t="str">
        <f ca="1"/>
        <v>AccrualYearFractions</v>
      </c>
      <c r="T4" s="33" t="str">
        <f ca="1"/>
        <v>PaymentDate</v>
      </c>
      <c r="U4" s="35" t="str">
        <f ca="1"/>
        <v>Notional</v>
      </c>
      <c r="V4" s="35" t="str">
        <f ca="1"/>
        <v>NotionalExchange</v>
      </c>
      <c r="W4" s="34" t="str">
        <f ca="1"/>
        <v>Leverage</v>
      </c>
      <c r="X4" s="34" t="str">
        <f ca="1"/>
        <v>FloatSpread</v>
      </c>
      <c r="Y4" s="54" t="str">
        <f ca="1"/>
        <v>FloatRate</v>
      </c>
      <c r="Z4" s="35" t="str">
        <f ca="1"/>
        <v>Coupon</v>
      </c>
      <c r="AA4" s="37" t="str">
        <f ca="1"/>
        <v>DiscountFactor</v>
      </c>
      <c r="AB4" s="35" t="str">
        <f ca="1"/>
        <v>CouponPV</v>
      </c>
    </row>
    <row r="5" spans="2:28">
      <c r="B5" s="33">
        <f ca="1"/>
        <v>43060</v>
      </c>
      <c r="C5" s="33">
        <f ca="1"/>
        <v>43241</v>
      </c>
      <c r="D5" s="35">
        <f ca="1"/>
        <v>181</v>
      </c>
      <c r="E5" s="45">
        <f ca="1"/>
        <v>0.49589041095890402</v>
      </c>
      <c r="F5" s="33">
        <f ca="1"/>
        <v>43241</v>
      </c>
      <c r="G5" s="35">
        <f ca="1"/>
        <v>-1000000</v>
      </c>
      <c r="H5" s="35">
        <f ca="1"/>
        <v>0</v>
      </c>
      <c r="I5" s="34">
        <f ca="1"/>
        <v>1</v>
      </c>
      <c r="J5" s="36">
        <f ca="1"/>
        <v>2.2686464088397799E-2</v>
      </c>
      <c r="K5" s="35">
        <f ca="1"/>
        <v>-11250</v>
      </c>
      <c r="L5" s="37">
        <f ca="1"/>
        <v>0.99971241017590995</v>
      </c>
      <c r="M5" s="35">
        <f ca="1"/>
        <v>-11246.764614479</v>
      </c>
      <c r="O5" s="33">
        <f ca="1"/>
        <v>43236</v>
      </c>
      <c r="P5" s="33">
        <f ca="1"/>
        <v>43236</v>
      </c>
      <c r="Q5" s="33">
        <f ca="1"/>
        <v>43241</v>
      </c>
      <c r="R5" s="35">
        <f ca="1"/>
        <v>5</v>
      </c>
      <c r="S5" s="45">
        <f ca="1"/>
        <v>1.3698630136986301E-2</v>
      </c>
      <c r="T5" s="33">
        <f ca="1"/>
        <v>43241</v>
      </c>
      <c r="U5" s="35">
        <f ca="1"/>
        <v>1000000</v>
      </c>
      <c r="V5" s="35">
        <f ca="1"/>
        <v>0</v>
      </c>
      <c r="W5" s="34">
        <f ca="1"/>
        <v>1</v>
      </c>
      <c r="X5" s="34">
        <f ca="1"/>
        <v>0</v>
      </c>
      <c r="Y5" s="47">
        <f ca="1"/>
        <v>1.5180691508420699E-2</v>
      </c>
      <c r="Z5" s="35">
        <f ca="1"/>
        <v>207.95467819754401</v>
      </c>
      <c r="AA5" s="37">
        <f ca="1"/>
        <v>0.99971241017590995</v>
      </c>
      <c r="AB5" s="35">
        <f ca="1"/>
        <v>207.894872548222</v>
      </c>
    </row>
    <row r="6" spans="2:28">
      <c r="B6" s="33">
        <f ca="1"/>
        <v>43241</v>
      </c>
      <c r="C6" s="33">
        <f ca="1"/>
        <v>43425</v>
      </c>
      <c r="D6" s="35">
        <f ca="1"/>
        <v>184</v>
      </c>
      <c r="E6" s="45">
        <f ca="1"/>
        <v>0.50410958904109604</v>
      </c>
      <c r="F6" s="33">
        <f ca="1"/>
        <v>43425</v>
      </c>
      <c r="G6" s="35">
        <f ca="1"/>
        <v>-1000000</v>
      </c>
      <c r="H6" s="35">
        <f ca="1"/>
        <v>0</v>
      </c>
      <c r="I6" s="34">
        <f ca="1"/>
        <v>1</v>
      </c>
      <c r="J6" s="36">
        <f ca="1"/>
        <v>2.2316576086956499E-2</v>
      </c>
      <c r="K6" s="35">
        <f ca="1"/>
        <v>-11250</v>
      </c>
      <c r="L6" s="37">
        <f ca="1"/>
        <v>0.992170656823535</v>
      </c>
      <c r="M6" s="35">
        <f ca="1"/>
        <v>-11161.9198892648</v>
      </c>
      <c r="O6" s="33">
        <f ca="1"/>
        <v>43241</v>
      </c>
      <c r="P6" s="33">
        <f ca="1"/>
        <v>43241</v>
      </c>
      <c r="Q6" s="33">
        <f ca="1"/>
        <v>43333</v>
      </c>
      <c r="R6" s="35">
        <f ca="1"/>
        <v>92</v>
      </c>
      <c r="S6" s="45">
        <f ca="1"/>
        <v>0.25205479452054802</v>
      </c>
      <c r="T6" s="33">
        <f ca="1"/>
        <v>43333</v>
      </c>
      <c r="U6" s="35">
        <f ca="1"/>
        <v>1000000</v>
      </c>
      <c r="V6" s="35">
        <f ca="1"/>
        <v>0</v>
      </c>
      <c r="W6" s="34">
        <f ca="1"/>
        <v>1</v>
      </c>
      <c r="X6" s="34">
        <f ca="1"/>
        <v>0</v>
      </c>
      <c r="Y6" s="54">
        <f ca="1"/>
        <v>1.91611793055716E-2</v>
      </c>
      <c r="Z6" s="35">
        <f ca="1"/>
        <v>4829.6671126372203</v>
      </c>
      <c r="AA6" s="37">
        <f ca="1"/>
        <v>0.99594295215081696</v>
      </c>
      <c r="AB6" s="35">
        <f ca="1"/>
        <v>4810.0729220656203</v>
      </c>
    </row>
    <row r="7" spans="2:28">
      <c r="B7" s="33">
        <f ca="1"/>
        <v>43425</v>
      </c>
      <c r="C7" s="33">
        <f ca="1"/>
        <v>43606</v>
      </c>
      <c r="D7" s="35">
        <f ca="1"/>
        <v>181</v>
      </c>
      <c r="E7" s="45">
        <f ca="1"/>
        <v>0.49589041095890402</v>
      </c>
      <c r="F7" s="33">
        <f ca="1"/>
        <v>43606</v>
      </c>
      <c r="G7" s="35">
        <f ca="1"/>
        <v>-1000000</v>
      </c>
      <c r="H7" s="35">
        <f ca="1"/>
        <v>0</v>
      </c>
      <c r="I7" s="34">
        <f ca="1"/>
        <v>1</v>
      </c>
      <c r="J7" s="36">
        <f ca="1"/>
        <v>2.2686464088397799E-2</v>
      </c>
      <c r="K7" s="35">
        <f ca="1"/>
        <v>-11250</v>
      </c>
      <c r="L7" s="37">
        <f ca="1"/>
        <v>0.98440238885403897</v>
      </c>
      <c r="M7" s="35">
        <f ca="1"/>
        <v>-11074.5268746079</v>
      </c>
      <c r="O7" s="33">
        <f ca="1"/>
        <v>43333</v>
      </c>
      <c r="P7" s="33">
        <f ca="1"/>
        <v>43333</v>
      </c>
      <c r="Q7" s="33">
        <f ca="1"/>
        <v>43425</v>
      </c>
      <c r="R7" s="35">
        <f ca="1"/>
        <v>92</v>
      </c>
      <c r="S7" s="45">
        <f ca="1"/>
        <v>0.25205479452054802</v>
      </c>
      <c r="T7" s="33">
        <f ca="1"/>
        <v>43425</v>
      </c>
      <c r="U7" s="35">
        <f ca="1"/>
        <v>1000000</v>
      </c>
      <c r="V7" s="35">
        <f ca="1"/>
        <v>0</v>
      </c>
      <c r="W7" s="34">
        <f ca="1"/>
        <v>1</v>
      </c>
      <c r="X7" s="34">
        <f ca="1"/>
        <v>0</v>
      </c>
      <c r="Y7" s="54">
        <f ca="1"/>
        <v>1.95214181004657E-2</v>
      </c>
      <c r="Z7" s="35">
        <f ca="1"/>
        <v>4920.4670280625896</v>
      </c>
      <c r="AA7" s="37">
        <f ca="1"/>
        <v>0.992170656823535</v>
      </c>
      <c r="AB7" s="35">
        <f ca="1"/>
        <v>4881.9430031114098</v>
      </c>
    </row>
    <row r="8" spans="2:28">
      <c r="B8" s="33">
        <f ca="1"/>
        <v>43606</v>
      </c>
      <c r="C8" s="33">
        <f ca="1"/>
        <v>43790</v>
      </c>
      <c r="D8" s="35">
        <f ca="1"/>
        <v>184</v>
      </c>
      <c r="E8" s="45">
        <f ca="1"/>
        <v>0.50410958904109604</v>
      </c>
      <c r="F8" s="33">
        <f ca="1"/>
        <v>43790</v>
      </c>
      <c r="G8" s="35">
        <f ca="1"/>
        <v>-1000000</v>
      </c>
      <c r="H8" s="35">
        <f ca="1"/>
        <v>0</v>
      </c>
      <c r="I8" s="34">
        <f ca="1"/>
        <v>1</v>
      </c>
      <c r="J8" s="36">
        <f ca="1"/>
        <v>2.2316576086956499E-2</v>
      </c>
      <c r="K8" s="35">
        <f ca="1"/>
        <v>-11250</v>
      </c>
      <c r="L8" s="37">
        <f ca="1"/>
        <v>0.97573047997456896</v>
      </c>
      <c r="M8" s="35">
        <f ca="1"/>
        <v>-10976.9678997138</v>
      </c>
      <c r="O8" s="33">
        <f ca="1"/>
        <v>43425</v>
      </c>
      <c r="P8" s="33">
        <f ca="1"/>
        <v>43425</v>
      </c>
      <c r="Q8" s="33">
        <f ca="1"/>
        <v>43517</v>
      </c>
      <c r="R8" s="35">
        <f ca="1"/>
        <v>92</v>
      </c>
      <c r="S8" s="45">
        <f ca="1"/>
        <v>0.25205479452054802</v>
      </c>
      <c r="T8" s="33">
        <f ca="1"/>
        <v>43517</v>
      </c>
      <c r="U8" s="35">
        <f ca="1"/>
        <v>1000000</v>
      </c>
      <c r="V8" s="35">
        <f ca="1"/>
        <v>0</v>
      </c>
      <c r="W8" s="34">
        <f ca="1"/>
        <v>1</v>
      </c>
      <c r="X8" s="34">
        <f ca="1"/>
        <v>0</v>
      </c>
      <c r="Y8" s="54">
        <f ca="1"/>
        <v>1.9981853038776198E-2</v>
      </c>
      <c r="Z8" s="35">
        <f ca="1"/>
        <v>5036.5218618285298</v>
      </c>
      <c r="AA8" s="37">
        <f ca="1"/>
        <v>0.98831435166630799</v>
      </c>
      <c r="AB8" s="35">
        <f ca="1"/>
        <v>4977.6668385262501</v>
      </c>
    </row>
    <row r="9" spans="2:28">
      <c r="B9" s="33">
        <f ca="1"/>
        <v>43790</v>
      </c>
      <c r="C9" s="33">
        <f ca="1"/>
        <v>43972</v>
      </c>
      <c r="D9" s="35">
        <f ca="1"/>
        <v>182</v>
      </c>
      <c r="E9" s="45">
        <f ca="1"/>
        <v>0.49757466876263201</v>
      </c>
      <c r="F9" s="33">
        <f ca="1"/>
        <v>43972</v>
      </c>
      <c r="G9" s="35">
        <f ca="1"/>
        <v>-1000000</v>
      </c>
      <c r="H9" s="35">
        <f ca="1"/>
        <v>0</v>
      </c>
      <c r="I9" s="34">
        <f ca="1"/>
        <v>1</v>
      </c>
      <c r="J9" s="36">
        <f ca="1"/>
        <v>2.26096718869883E-2</v>
      </c>
      <c r="K9" s="35">
        <f ca="1"/>
        <v>-11250</v>
      </c>
      <c r="L9" s="37">
        <f ca="1"/>
        <v>0.96631906607063001</v>
      </c>
      <c r="M9" s="35">
        <f ca="1"/>
        <v>-10871.089493294599</v>
      </c>
      <c r="O9" s="33">
        <f ca="1"/>
        <v>43517</v>
      </c>
      <c r="P9" s="33">
        <f ca="1"/>
        <v>43517</v>
      </c>
      <c r="Q9" s="33">
        <f ca="1"/>
        <v>43606</v>
      </c>
      <c r="R9" s="35">
        <f ca="1"/>
        <v>89</v>
      </c>
      <c r="S9" s="45">
        <f ca="1"/>
        <v>0.243835616438356</v>
      </c>
      <c r="T9" s="33">
        <f ca="1"/>
        <v>43606</v>
      </c>
      <c r="U9" s="35">
        <f ca="1"/>
        <v>1000000</v>
      </c>
      <c r="V9" s="35">
        <f ca="1"/>
        <v>0</v>
      </c>
      <c r="W9" s="34">
        <f ca="1"/>
        <v>1</v>
      </c>
      <c r="X9" s="34">
        <f ca="1"/>
        <v>0</v>
      </c>
      <c r="Y9" s="54">
        <f ca="1"/>
        <v>2.0504347462397501E-2</v>
      </c>
      <c r="Z9" s="35">
        <f ca="1"/>
        <v>4999.6902031599302</v>
      </c>
      <c r="AA9" s="37">
        <f ca="1"/>
        <v>0.98440238885403897</v>
      </c>
      <c r="AB9" s="35">
        <f ca="1"/>
        <v>4921.7069795207699</v>
      </c>
    </row>
    <row r="10" spans="2:28">
      <c r="B10" s="33">
        <f ca="1"/>
        <v>43972</v>
      </c>
      <c r="C10" s="33">
        <f ca="1"/>
        <v>44156</v>
      </c>
      <c r="D10" s="35">
        <f ca="1"/>
        <v>184</v>
      </c>
      <c r="E10" s="45">
        <f ca="1"/>
        <v>0.50273224043715803</v>
      </c>
      <c r="F10" s="33">
        <f ca="1"/>
        <v>44156</v>
      </c>
      <c r="G10" s="35">
        <f ca="1"/>
        <v>-1000000</v>
      </c>
      <c r="H10" s="35">
        <f ca="1"/>
        <v>0</v>
      </c>
      <c r="I10" s="34">
        <f ca="1"/>
        <v>1</v>
      </c>
      <c r="J10" s="36">
        <f ca="1"/>
        <v>2.23777173913044E-2</v>
      </c>
      <c r="K10" s="35">
        <f ca="1"/>
        <v>-11250</v>
      </c>
      <c r="L10" s="37">
        <f ca="1"/>
        <v>0.95593645947974304</v>
      </c>
      <c r="M10" s="35">
        <f ca="1"/>
        <v>-10754.285169147101</v>
      </c>
      <c r="O10" s="33">
        <f ca="1"/>
        <v>43606</v>
      </c>
      <c r="P10" s="33">
        <f ca="1"/>
        <v>43606</v>
      </c>
      <c r="Q10" s="33">
        <f ca="1"/>
        <v>43698</v>
      </c>
      <c r="R10" s="35">
        <f ca="1"/>
        <v>92</v>
      </c>
      <c r="S10" s="45">
        <f ca="1"/>
        <v>0.25205479452054802</v>
      </c>
      <c r="T10" s="33">
        <f ca="1"/>
        <v>43698</v>
      </c>
      <c r="U10" s="35">
        <f ca="1"/>
        <v>1000000</v>
      </c>
      <c r="V10" s="35">
        <f ca="1"/>
        <v>0</v>
      </c>
      <c r="W10" s="34">
        <f ca="1"/>
        <v>1</v>
      </c>
      <c r="X10" s="34">
        <f ca="1"/>
        <v>0</v>
      </c>
      <c r="Y10" s="54">
        <f ca="1"/>
        <v>2.1096134705581499E-2</v>
      </c>
      <c r="Z10" s="35">
        <f ca="1"/>
        <v>5317.3818983931396</v>
      </c>
      <c r="AA10" s="37">
        <f ca="1"/>
        <v>0.98016774735432299</v>
      </c>
      <c r="AB10" s="35">
        <f ca="1"/>
        <v>5211.92623717065</v>
      </c>
    </row>
    <row r="11" spans="2:28">
      <c r="B11" s="33">
        <f ca="1"/>
        <v>44156</v>
      </c>
      <c r="C11" s="33">
        <f ca="1"/>
        <v>44337</v>
      </c>
      <c r="D11" s="35">
        <f ca="1"/>
        <v>181</v>
      </c>
      <c r="E11" s="45">
        <f ca="1"/>
        <v>0.49558350175911398</v>
      </c>
      <c r="F11" s="33">
        <f ca="1"/>
        <v>44337</v>
      </c>
      <c r="G11" s="35">
        <f ca="1"/>
        <v>-1000000</v>
      </c>
      <c r="H11" s="35">
        <f ca="1"/>
        <v>0</v>
      </c>
      <c r="I11" s="34">
        <f ca="1"/>
        <v>1</v>
      </c>
      <c r="J11" s="36">
        <f ca="1"/>
        <v>2.2700513556377901E-2</v>
      </c>
      <c r="K11" s="35">
        <f ca="1"/>
        <v>-11250</v>
      </c>
      <c r="L11" s="37">
        <f ca="1"/>
        <v>0.94518815892579999</v>
      </c>
      <c r="M11" s="35">
        <f ca="1"/>
        <v>-10633.3667879152</v>
      </c>
      <c r="O11" s="33">
        <f ca="1"/>
        <v>43698</v>
      </c>
      <c r="P11" s="33">
        <f ca="1"/>
        <v>43698</v>
      </c>
      <c r="Q11" s="33">
        <f ca="1"/>
        <v>43790</v>
      </c>
      <c r="R11" s="35">
        <f ca="1"/>
        <v>92</v>
      </c>
      <c r="S11" s="45">
        <f ca="1"/>
        <v>0.25205479452054802</v>
      </c>
      <c r="T11" s="33">
        <f ca="1"/>
        <v>43790</v>
      </c>
      <c r="U11" s="35">
        <f ca="1"/>
        <v>1000000</v>
      </c>
      <c r="V11" s="35">
        <f ca="1"/>
        <v>0</v>
      </c>
      <c r="W11" s="34">
        <f ca="1"/>
        <v>1</v>
      </c>
      <c r="X11" s="34">
        <f ca="1"/>
        <v>0</v>
      </c>
      <c r="Y11" s="54">
        <f ca="1"/>
        <v>2.1762657100680399E-2</v>
      </c>
      <c r="Z11" s="35">
        <f ca="1"/>
        <v>5485.3820637331401</v>
      </c>
      <c r="AA11" s="37">
        <f ca="1"/>
        <v>0.97573047997456896</v>
      </c>
      <c r="AB11" s="35">
        <f ca="1"/>
        <v>5352.2544738902297</v>
      </c>
    </row>
    <row r="12" spans="2:28">
      <c r="B12" s="33">
        <f ca="1"/>
        <v>44337</v>
      </c>
      <c r="C12" s="33">
        <f ca="1"/>
        <v>44521</v>
      </c>
      <c r="D12" s="35">
        <f ca="1"/>
        <v>184</v>
      </c>
      <c r="E12" s="45">
        <f ca="1"/>
        <v>0.50410958904109604</v>
      </c>
      <c r="F12" s="33">
        <f ca="1"/>
        <v>44521</v>
      </c>
      <c r="G12" s="35">
        <f ca="1"/>
        <v>-1000000</v>
      </c>
      <c r="H12" s="35">
        <f ca="1"/>
        <v>0</v>
      </c>
      <c r="I12" s="34">
        <f ca="1"/>
        <v>1</v>
      </c>
      <c r="J12" s="36">
        <f ca="1"/>
        <v>2.2316576086956499E-2</v>
      </c>
      <c r="K12" s="35">
        <f ca="1"/>
        <v>-11250</v>
      </c>
      <c r="L12" s="37">
        <f ca="1"/>
        <v>0.93405887377360897</v>
      </c>
      <c r="M12" s="35">
        <f ca="1"/>
        <v>-10508.1623299531</v>
      </c>
      <c r="O12" s="33">
        <f ca="1"/>
        <v>43790</v>
      </c>
      <c r="P12" s="33">
        <f ca="1"/>
        <v>43790</v>
      </c>
      <c r="Q12" s="33">
        <f ca="1"/>
        <v>43882</v>
      </c>
      <c r="R12" s="35">
        <f ca="1"/>
        <v>92</v>
      </c>
      <c r="S12" s="45">
        <f ca="1"/>
        <v>0.25205479452054802</v>
      </c>
      <c r="T12" s="33">
        <f ca="1"/>
        <v>43882</v>
      </c>
      <c r="U12" s="35">
        <f ca="1"/>
        <v>1000000</v>
      </c>
      <c r="V12" s="35">
        <f ca="1"/>
        <v>0</v>
      </c>
      <c r="W12" s="34">
        <f ca="1"/>
        <v>1</v>
      </c>
      <c r="X12" s="34">
        <f ca="1"/>
        <v>0</v>
      </c>
      <c r="Y12" s="54">
        <f ca="1"/>
        <v>2.2474393811553101E-2</v>
      </c>
      <c r="Z12" s="35">
        <f ca="1"/>
        <v>5664.7787141448898</v>
      </c>
      <c r="AA12" s="37">
        <f ca="1"/>
        <v>0.97108322466948305</v>
      </c>
      <c r="AB12" s="35">
        <f ca="1"/>
        <v>5500.9715807708699</v>
      </c>
    </row>
    <row r="13" spans="2:28">
      <c r="B13" s="33">
        <f ca="1"/>
        <v>44521</v>
      </c>
      <c r="C13" s="33">
        <f ca="1"/>
        <v>44702</v>
      </c>
      <c r="D13" s="35">
        <f ca="1"/>
        <v>181</v>
      </c>
      <c r="E13" s="45">
        <f ca="1"/>
        <v>0.49589041095890402</v>
      </c>
      <c r="F13" s="33">
        <f ca="1"/>
        <v>44702</v>
      </c>
      <c r="G13" s="35">
        <f ca="1"/>
        <v>-1000000</v>
      </c>
      <c r="H13" s="35">
        <f ca="1"/>
        <v>0</v>
      </c>
      <c r="I13" s="34">
        <f ca="1"/>
        <v>1</v>
      </c>
      <c r="J13" s="36">
        <f ca="1"/>
        <v>2.2686464088397799E-2</v>
      </c>
      <c r="K13" s="35">
        <f ca="1"/>
        <v>-11250</v>
      </c>
      <c r="L13" s="37">
        <f ca="1"/>
        <v>0.92283854017890399</v>
      </c>
      <c r="M13" s="35">
        <f ca="1"/>
        <v>-10381.9335770127</v>
      </c>
      <c r="O13" s="33">
        <f ca="1"/>
        <v>43882</v>
      </c>
      <c r="P13" s="33">
        <f ca="1"/>
        <v>43882</v>
      </c>
      <c r="Q13" s="33">
        <f ca="1"/>
        <v>43972</v>
      </c>
      <c r="R13" s="35">
        <f ca="1"/>
        <v>90</v>
      </c>
      <c r="S13" s="45">
        <f ca="1"/>
        <v>0.24657534246575299</v>
      </c>
      <c r="T13" s="33">
        <f ca="1"/>
        <v>43972</v>
      </c>
      <c r="U13" s="35">
        <f ca="1"/>
        <v>1000000</v>
      </c>
      <c r="V13" s="35">
        <f ca="1"/>
        <v>0</v>
      </c>
      <c r="W13" s="34">
        <f ca="1"/>
        <v>1</v>
      </c>
      <c r="X13" s="34">
        <f ca="1"/>
        <v>0</v>
      </c>
      <c r="Y13" s="54">
        <f ca="1"/>
        <v>2.32330908300332E-2</v>
      </c>
      <c r="Z13" s="35">
        <f ca="1"/>
        <v>5728.7073279533997</v>
      </c>
      <c r="AA13" s="37">
        <f ca="1"/>
        <v>0.96631906607063001</v>
      </c>
      <c r="AB13" s="35">
        <f ca="1"/>
        <v>5535.7591149399104</v>
      </c>
    </row>
    <row r="14" spans="2:28">
      <c r="B14" s="33">
        <f ca="1"/>
        <v>44702</v>
      </c>
      <c r="C14" s="33">
        <f ca="1"/>
        <v>44886</v>
      </c>
      <c r="D14" s="35">
        <f ca="1"/>
        <v>184</v>
      </c>
      <c r="E14" s="45">
        <f ca="1"/>
        <v>0.50410958904109604</v>
      </c>
      <c r="F14" s="33">
        <f ca="1"/>
        <v>44886</v>
      </c>
      <c r="G14" s="35">
        <f ca="1"/>
        <v>-1000000</v>
      </c>
      <c r="H14" s="35">
        <f ca="1"/>
        <v>0</v>
      </c>
      <c r="I14" s="34">
        <f ca="1"/>
        <v>1</v>
      </c>
      <c r="J14" s="36">
        <f ca="1"/>
        <v>2.2316576086956499E-2</v>
      </c>
      <c r="K14" s="35">
        <f ca="1"/>
        <v>-11250</v>
      </c>
      <c r="L14" s="37">
        <f ca="1"/>
        <v>0.91106073118608299</v>
      </c>
      <c r="M14" s="35">
        <f ca="1"/>
        <v>-10249.433225843401</v>
      </c>
      <c r="O14" s="33">
        <f ca="1"/>
        <v>43972</v>
      </c>
      <c r="P14" s="33">
        <f ca="1"/>
        <v>43972</v>
      </c>
      <c r="Q14" s="33">
        <f ca="1"/>
        <v>44064</v>
      </c>
      <c r="R14" s="35">
        <f ca="1"/>
        <v>92</v>
      </c>
      <c r="S14" s="45">
        <f ca="1"/>
        <v>0.25205479452054802</v>
      </c>
      <c r="T14" s="33">
        <f ca="1"/>
        <v>44064</v>
      </c>
      <c r="U14" s="35">
        <f ca="1"/>
        <v>1000000</v>
      </c>
      <c r="V14" s="35">
        <f ca="1"/>
        <v>0</v>
      </c>
      <c r="W14" s="34">
        <f ca="1"/>
        <v>1</v>
      </c>
      <c r="X14" s="34">
        <f ca="1"/>
        <v>0</v>
      </c>
      <c r="Y14" s="54">
        <f ca="1"/>
        <v>2.40651519506709E-2</v>
      </c>
      <c r="Z14" s="35">
        <f ca="1"/>
        <v>6065.7369300321197</v>
      </c>
      <c r="AA14" s="37">
        <f ca="1"/>
        <v>0.96122053504847005</v>
      </c>
      <c r="AB14" s="35">
        <f ca="1"/>
        <v>5830.5108973487404</v>
      </c>
    </row>
    <row r="15" spans="2:28">
      <c r="B15" s="33">
        <f ca="1"/>
        <v>44886</v>
      </c>
      <c r="C15" s="33">
        <f ca="1"/>
        <v>45067</v>
      </c>
      <c r="D15" s="35">
        <f ca="1"/>
        <v>181</v>
      </c>
      <c r="E15" s="45">
        <f ca="1"/>
        <v>0.49589041095890402</v>
      </c>
      <c r="F15" s="33">
        <f ca="1"/>
        <v>45067</v>
      </c>
      <c r="G15" s="35">
        <f ca="1"/>
        <v>-1000000</v>
      </c>
      <c r="H15" s="35">
        <f ca="1"/>
        <v>0</v>
      </c>
      <c r="I15" s="34">
        <f ca="1"/>
        <v>1</v>
      </c>
      <c r="J15" s="36">
        <f ca="1"/>
        <v>2.2686464088397799E-2</v>
      </c>
      <c r="K15" s="35">
        <f ca="1"/>
        <v>-11250</v>
      </c>
      <c r="L15" s="37">
        <f ca="1"/>
        <v>0.89930469743320296</v>
      </c>
      <c r="M15" s="35">
        <f ca="1"/>
        <v>-10117.177846123501</v>
      </c>
      <c r="O15" s="33">
        <f ca="1"/>
        <v>44064</v>
      </c>
      <c r="P15" s="33">
        <f ca="1"/>
        <v>44064</v>
      </c>
      <c r="Q15" s="33">
        <f ca="1"/>
        <v>44158</v>
      </c>
      <c r="R15" s="35">
        <f ca="1"/>
        <v>94</v>
      </c>
      <c r="S15" s="45">
        <f ca="1"/>
        <v>0.25753424657534202</v>
      </c>
      <c r="T15" s="33">
        <f ca="1"/>
        <v>44158</v>
      </c>
      <c r="U15" s="35">
        <f ca="1"/>
        <v>1000000</v>
      </c>
      <c r="V15" s="35">
        <f ca="1"/>
        <v>0</v>
      </c>
      <c r="W15" s="34">
        <f ca="1"/>
        <v>1</v>
      </c>
      <c r="X15" s="34">
        <f ca="1"/>
        <v>0</v>
      </c>
      <c r="Y15" s="54">
        <f ca="1"/>
        <v>2.4812499056232399E-2</v>
      </c>
      <c r="Z15" s="35">
        <f ca="1"/>
        <v>6390.0682500982002</v>
      </c>
      <c r="AA15" s="37">
        <f ca="1"/>
        <v>0.95581993921782404</v>
      </c>
      <c r="AB15" s="35">
        <f ca="1"/>
        <v>6107.7546464066099</v>
      </c>
    </row>
    <row r="16" spans="2:28">
      <c r="B16" s="33">
        <f ca="1"/>
        <v>45067</v>
      </c>
      <c r="C16" s="33">
        <f ca="1"/>
        <v>45251</v>
      </c>
      <c r="D16" s="35">
        <f ca="1"/>
        <v>184</v>
      </c>
      <c r="E16" s="45">
        <f ca="1"/>
        <v>0.50410958904109604</v>
      </c>
      <c r="F16" s="33">
        <f ca="1"/>
        <v>45251</v>
      </c>
      <c r="G16" s="35">
        <f ca="1"/>
        <v>-1000000</v>
      </c>
      <c r="H16" s="35">
        <f ca="1"/>
        <v>0</v>
      </c>
      <c r="I16" s="34">
        <f ca="1"/>
        <v>1</v>
      </c>
      <c r="J16" s="36">
        <f ca="1"/>
        <v>2.2316576086956499E-2</v>
      </c>
      <c r="K16" s="35">
        <f ca="1"/>
        <v>-11250</v>
      </c>
      <c r="L16" s="37">
        <f ca="1"/>
        <v>0.88737619069581597</v>
      </c>
      <c r="M16" s="35">
        <f ca="1"/>
        <v>-9982.9821453279292</v>
      </c>
      <c r="O16" s="33">
        <f ca="1"/>
        <v>44158</v>
      </c>
      <c r="P16" s="33">
        <f ca="1"/>
        <v>44158</v>
      </c>
      <c r="Q16" s="33">
        <f ca="1"/>
        <v>44249</v>
      </c>
      <c r="R16" s="35">
        <f ca="1"/>
        <v>91</v>
      </c>
      <c r="S16" s="45">
        <f ca="1"/>
        <v>0.24931506849315099</v>
      </c>
      <c r="T16" s="33">
        <f ca="1"/>
        <v>44249</v>
      </c>
      <c r="U16" s="35">
        <f ca="1"/>
        <v>1000000</v>
      </c>
      <c r="V16" s="35">
        <f ca="1"/>
        <v>0</v>
      </c>
      <c r="W16" s="34">
        <f ca="1"/>
        <v>1</v>
      </c>
      <c r="X16" s="34">
        <f ca="1"/>
        <v>0</v>
      </c>
      <c r="Y16" s="54">
        <f ca="1"/>
        <v>2.5522728732937601E-2</v>
      </c>
      <c r="Z16" s="35">
        <f ca="1"/>
        <v>6363.2008621844498</v>
      </c>
      <c r="AA16" s="37">
        <f ca="1"/>
        <v>0.95045384002247701</v>
      </c>
      <c r="AB16" s="35">
        <f ca="1"/>
        <v>6047.9286942975496</v>
      </c>
    </row>
    <row r="17" spans="2:28">
      <c r="B17" s="33">
        <f ca="1"/>
        <v>45251</v>
      </c>
      <c r="C17" s="33">
        <f ca="1"/>
        <v>45433</v>
      </c>
      <c r="D17" s="35">
        <f ca="1"/>
        <v>182</v>
      </c>
      <c r="E17" s="45">
        <f ca="1"/>
        <v>0.49757466876263201</v>
      </c>
      <c r="F17" s="33">
        <f ca="1"/>
        <v>45433</v>
      </c>
      <c r="G17" s="35">
        <f ca="1"/>
        <v>-1000000</v>
      </c>
      <c r="H17" s="35">
        <f ca="1"/>
        <v>0</v>
      </c>
      <c r="I17" s="34">
        <f ca="1"/>
        <v>1</v>
      </c>
      <c r="J17" s="36">
        <f ca="1"/>
        <v>2.26096718869883E-2</v>
      </c>
      <c r="K17" s="35">
        <f ca="1"/>
        <v>-11250</v>
      </c>
      <c r="L17" s="37">
        <f ca="1"/>
        <v>0.87556761676406902</v>
      </c>
      <c r="M17" s="35">
        <f ca="1"/>
        <v>-9850.1356885957794</v>
      </c>
      <c r="O17" s="33">
        <f ca="1"/>
        <v>44249</v>
      </c>
      <c r="P17" s="33">
        <f ca="1"/>
        <v>44249</v>
      </c>
      <c r="Q17" s="33">
        <f ca="1"/>
        <v>44337</v>
      </c>
      <c r="R17" s="35">
        <f ca="1"/>
        <v>88</v>
      </c>
      <c r="S17" s="45">
        <f ca="1"/>
        <v>0.241095890410959</v>
      </c>
      <c r="T17" s="33">
        <f ca="1"/>
        <v>44337</v>
      </c>
      <c r="U17" s="35">
        <f ca="1"/>
        <v>1000000</v>
      </c>
      <c r="V17" s="35">
        <f ca="1"/>
        <v>0</v>
      </c>
      <c r="W17" s="34">
        <f ca="1"/>
        <v>1</v>
      </c>
      <c r="X17" s="34">
        <f ca="1"/>
        <v>0</v>
      </c>
      <c r="Y17" s="54">
        <f ca="1"/>
        <v>2.61042872592957E-2</v>
      </c>
      <c r="Z17" s="35">
        <f ca="1"/>
        <v>6293.6363803233498</v>
      </c>
      <c r="AA17" s="37">
        <f ca="1"/>
        <v>0.94518815892579999</v>
      </c>
      <c r="AB17" s="35">
        <f ca="1"/>
        <v>5948.6705832662701</v>
      </c>
    </row>
    <row r="18" spans="2:28">
      <c r="B18" s="33">
        <f ca="1"/>
        <v>45433</v>
      </c>
      <c r="C18" s="33">
        <f ca="1"/>
        <v>45617</v>
      </c>
      <c r="D18" s="35">
        <f ca="1"/>
        <v>184</v>
      </c>
      <c r="E18" s="45">
        <f ca="1"/>
        <v>0.50273224043715803</v>
      </c>
      <c r="F18" s="33">
        <f ca="1"/>
        <v>45617</v>
      </c>
      <c r="G18" s="35">
        <f ca="1"/>
        <v>-1000000</v>
      </c>
      <c r="H18" s="35">
        <f ca="1"/>
        <v>0</v>
      </c>
      <c r="I18" s="34">
        <f ca="1"/>
        <v>1</v>
      </c>
      <c r="J18" s="36">
        <f ca="1"/>
        <v>2.23777173913044E-2</v>
      </c>
      <c r="K18" s="35">
        <f ca="1"/>
        <v>-11250</v>
      </c>
      <c r="L18" s="37">
        <f ca="1"/>
        <v>0.86351166750252295</v>
      </c>
      <c r="M18" s="35">
        <f ca="1"/>
        <v>-9714.5062594033807</v>
      </c>
      <c r="O18" s="33">
        <f ca="1"/>
        <v>44337</v>
      </c>
      <c r="P18" s="33">
        <f ca="1"/>
        <v>44337</v>
      </c>
      <c r="Q18" s="33">
        <f ca="1"/>
        <v>44431</v>
      </c>
      <c r="R18" s="35">
        <f ca="1"/>
        <v>94</v>
      </c>
      <c r="S18" s="45">
        <f ca="1"/>
        <v>0.25753424657534202</v>
      </c>
      <c r="T18" s="33">
        <f ca="1"/>
        <v>44431</v>
      </c>
      <c r="U18" s="35">
        <f ca="1"/>
        <v>1000000</v>
      </c>
      <c r="V18" s="35">
        <f ca="1"/>
        <v>0</v>
      </c>
      <c r="W18" s="34">
        <f ca="1"/>
        <v>1</v>
      </c>
      <c r="X18" s="34">
        <f ca="1"/>
        <v>0</v>
      </c>
      <c r="Y18" s="54">
        <f ca="1"/>
        <v>2.65724063568871E-2</v>
      </c>
      <c r="Z18" s="35">
        <f ca="1"/>
        <v>6843.3046508147499</v>
      </c>
      <c r="AA18" s="37">
        <f ca="1"/>
        <v>0.93952653916111795</v>
      </c>
      <c r="AB18" s="35">
        <f ca="1"/>
        <v>6429.4663350051596</v>
      </c>
    </row>
    <row r="19" spans="2:28">
      <c r="B19" s="33">
        <f ca="1"/>
        <v>45617</v>
      </c>
      <c r="C19" s="33">
        <f ca="1"/>
        <v>45798</v>
      </c>
      <c r="D19" s="35">
        <f ca="1"/>
        <v>181</v>
      </c>
      <c r="E19" s="45">
        <f ca="1"/>
        <v>0.49558350175911398</v>
      </c>
      <c r="F19" s="33">
        <f ca="1"/>
        <v>45798</v>
      </c>
      <c r="G19" s="35">
        <f ca="1"/>
        <v>-1000000</v>
      </c>
      <c r="H19" s="35">
        <f ca="1"/>
        <v>0</v>
      </c>
      <c r="I19" s="34">
        <f ca="1"/>
        <v>1</v>
      </c>
      <c r="J19" s="36">
        <f ca="1"/>
        <v>2.2700513556377901E-2</v>
      </c>
      <c r="K19" s="35">
        <f ca="1"/>
        <v>-11250</v>
      </c>
      <c r="L19" s="37">
        <f ca="1"/>
        <v>0.85150294252927905</v>
      </c>
      <c r="M19" s="35">
        <f ca="1"/>
        <v>-9579.4081034543906</v>
      </c>
      <c r="O19" s="33">
        <f ca="1"/>
        <v>44431</v>
      </c>
      <c r="P19" s="33">
        <f ca="1"/>
        <v>44431</v>
      </c>
      <c r="Q19" s="33">
        <f ca="1"/>
        <v>44522</v>
      </c>
      <c r="R19" s="35">
        <f ca="1"/>
        <v>91</v>
      </c>
      <c r="S19" s="45">
        <f ca="1"/>
        <v>0.24931506849315099</v>
      </c>
      <c r="T19" s="33">
        <f ca="1"/>
        <v>44522</v>
      </c>
      <c r="U19" s="35">
        <f ca="1"/>
        <v>1000000</v>
      </c>
      <c r="V19" s="35">
        <f ca="1"/>
        <v>0</v>
      </c>
      <c r="W19" s="34">
        <f ca="1"/>
        <v>1</v>
      </c>
      <c r="X19" s="34">
        <f ca="1"/>
        <v>0</v>
      </c>
      <c r="Y19" s="54">
        <f ca="1"/>
        <v>2.7078737507193699E-2</v>
      </c>
      <c r="Z19" s="35">
        <f ca="1"/>
        <v>6751.1372963140502</v>
      </c>
      <c r="AA19" s="37">
        <f ca="1"/>
        <v>0.93399778379417897</v>
      </c>
      <c r="AB19" s="35">
        <f ca="1"/>
        <v>6305.5472728475497</v>
      </c>
    </row>
    <row r="20" spans="2:28">
      <c r="B20" s="33">
        <f ca="1"/>
        <v>45798</v>
      </c>
      <c r="C20" s="33">
        <f ca="1"/>
        <v>45982</v>
      </c>
      <c r="D20" s="35">
        <f ca="1"/>
        <v>184</v>
      </c>
      <c r="E20" s="45">
        <f ca="1"/>
        <v>0.50410958904109604</v>
      </c>
      <c r="F20" s="33">
        <f ca="1"/>
        <v>45982</v>
      </c>
      <c r="G20" s="35">
        <f ca="1"/>
        <v>-1000000</v>
      </c>
      <c r="H20" s="35">
        <f ca="1"/>
        <v>0</v>
      </c>
      <c r="I20" s="34">
        <f ca="1"/>
        <v>1</v>
      </c>
      <c r="J20" s="36">
        <f ca="1"/>
        <v>2.2316576086956499E-2</v>
      </c>
      <c r="K20" s="35">
        <f ca="1"/>
        <v>-11250</v>
      </c>
      <c r="L20" s="37">
        <f ca="1"/>
        <v>0.83919740891213501</v>
      </c>
      <c r="M20" s="35">
        <f ca="1"/>
        <v>-9440.9708502615194</v>
      </c>
      <c r="O20" s="33">
        <f ca="1"/>
        <v>44522</v>
      </c>
      <c r="P20" s="33">
        <f ca="1"/>
        <v>44522</v>
      </c>
      <c r="Q20" s="33">
        <f ca="1"/>
        <v>44613</v>
      </c>
      <c r="R20" s="35">
        <f ca="1"/>
        <v>91</v>
      </c>
      <c r="S20" s="45">
        <f ca="1"/>
        <v>0.24931506849315099</v>
      </c>
      <c r="T20" s="33">
        <f ca="1"/>
        <v>44613</v>
      </c>
      <c r="U20" s="35">
        <f ca="1"/>
        <v>1000000</v>
      </c>
      <c r="V20" s="35">
        <f ca="1"/>
        <v>0</v>
      </c>
      <c r="W20" s="34">
        <f ca="1"/>
        <v>1</v>
      </c>
      <c r="X20" s="34">
        <f ca="1"/>
        <v>0</v>
      </c>
      <c r="Y20" s="54">
        <f ca="1"/>
        <v>2.75933049674668E-2</v>
      </c>
      <c r="Z20" s="35">
        <f ca="1"/>
        <v>6879.4267179163799</v>
      </c>
      <c r="AA20" s="37">
        <f ca="1"/>
        <v>0.92840024074072702</v>
      </c>
      <c r="AB20" s="35">
        <f ca="1"/>
        <v>6386.8614210717597</v>
      </c>
    </row>
    <row r="21" spans="2:28">
      <c r="B21" s="33">
        <f ca="1"/>
        <v>45982</v>
      </c>
      <c r="C21" s="33">
        <f ca="1"/>
        <v>46163</v>
      </c>
      <c r="D21" s="35">
        <f ca="1"/>
        <v>181</v>
      </c>
      <c r="E21" s="45">
        <f ca="1"/>
        <v>0.49589041095890402</v>
      </c>
      <c r="F21" s="33">
        <f ca="1"/>
        <v>46163</v>
      </c>
      <c r="G21" s="35">
        <f ca="1"/>
        <v>-1000000</v>
      </c>
      <c r="H21" s="35">
        <f ca="1"/>
        <v>0</v>
      </c>
      <c r="I21" s="34">
        <f ca="1"/>
        <v>1</v>
      </c>
      <c r="J21" s="36">
        <f ca="1"/>
        <v>2.2686464088397799E-2</v>
      </c>
      <c r="K21" s="35">
        <f ca="1"/>
        <v>-11250</v>
      </c>
      <c r="L21" s="37">
        <f ca="1"/>
        <v>0.827099441080691</v>
      </c>
      <c r="M21" s="35">
        <f ca="1"/>
        <v>-9304.8687121577696</v>
      </c>
      <c r="O21" s="33">
        <f ca="1"/>
        <v>44613</v>
      </c>
      <c r="P21" s="33">
        <f ca="1"/>
        <v>44613</v>
      </c>
      <c r="Q21" s="33">
        <f ca="1"/>
        <v>44704</v>
      </c>
      <c r="R21" s="35">
        <f ca="1"/>
        <v>91</v>
      </c>
      <c r="S21" s="45">
        <f ca="1"/>
        <v>0.24931506849315099</v>
      </c>
      <c r="T21" s="33">
        <f ca="1"/>
        <v>44704</v>
      </c>
      <c r="U21" s="35">
        <f ca="1"/>
        <v>1000000</v>
      </c>
      <c r="V21" s="35">
        <f ca="1"/>
        <v>0</v>
      </c>
      <c r="W21" s="34">
        <f ca="1"/>
        <v>1</v>
      </c>
      <c r="X21" s="34">
        <f ca="1"/>
        <v>0</v>
      </c>
      <c r="Y21" s="54">
        <f ca="1"/>
        <v>2.81259801512606E-2</v>
      </c>
      <c r="Z21" s="35">
        <f ca="1"/>
        <v>7012.2306678485402</v>
      </c>
      <c r="AA21" s="37">
        <f ca="1"/>
        <v>0.922712412745606</v>
      </c>
      <c r="AB21" s="35">
        <f ca="1"/>
        <v>6470.27227825926</v>
      </c>
    </row>
    <row r="22" spans="2:28">
      <c r="B22" s="33">
        <f ca="1"/>
        <v>46163</v>
      </c>
      <c r="C22" s="33">
        <f ca="1"/>
        <v>46347</v>
      </c>
      <c r="D22" s="35">
        <f ca="1"/>
        <v>184</v>
      </c>
      <c r="E22" s="45">
        <f ca="1"/>
        <v>0.50410958904109604</v>
      </c>
      <c r="F22" s="33">
        <f ca="1"/>
        <v>46347</v>
      </c>
      <c r="G22" s="35">
        <f ca="1"/>
        <v>-1000000</v>
      </c>
      <c r="H22" s="35">
        <f ca="1"/>
        <v>0</v>
      </c>
      <c r="I22" s="34">
        <f ca="1"/>
        <v>1</v>
      </c>
      <c r="J22" s="36">
        <f ca="1"/>
        <v>2.2316576086956499E-2</v>
      </c>
      <c r="K22" s="35">
        <f ca="1"/>
        <v>-11250</v>
      </c>
      <c r="L22" s="37">
        <f ca="1"/>
        <v>0.81488549198924398</v>
      </c>
      <c r="M22" s="35">
        <f ca="1"/>
        <v>-9167.4617848789894</v>
      </c>
      <c r="O22" s="33">
        <f ca="1"/>
        <v>44704</v>
      </c>
      <c r="P22" s="33">
        <f ca="1"/>
        <v>44704</v>
      </c>
      <c r="Q22" s="33">
        <f ca="1"/>
        <v>44795</v>
      </c>
      <c r="R22" s="35">
        <f ca="1"/>
        <v>91</v>
      </c>
      <c r="S22" s="45">
        <f ca="1"/>
        <v>0.24931506849315099</v>
      </c>
      <c r="T22" s="33">
        <f ca="1"/>
        <v>44795</v>
      </c>
      <c r="U22" s="35">
        <f ca="1"/>
        <v>1000000</v>
      </c>
      <c r="V22" s="35">
        <f ca="1"/>
        <v>0</v>
      </c>
      <c r="W22" s="34">
        <f ca="1"/>
        <v>1</v>
      </c>
      <c r="X22" s="34">
        <f ca="1"/>
        <v>0</v>
      </c>
      <c r="Y22" s="54">
        <f ca="1"/>
        <v>2.8680478516018699E-2</v>
      </c>
      <c r="Z22" s="35">
        <f ca="1"/>
        <v>7150.4754656375299</v>
      </c>
      <c r="AA22" s="37">
        <f ca="1"/>
        <v>0.91692405869543803</v>
      </c>
      <c r="AB22" s="35">
        <f ca="1"/>
        <v>6556.4429855545104</v>
      </c>
    </row>
    <row r="23" spans="2:28">
      <c r="B23" s="33">
        <f ca="1"/>
        <v>46347</v>
      </c>
      <c r="C23" s="33">
        <f ca="1"/>
        <v>46528</v>
      </c>
      <c r="D23" s="35">
        <f ca="1"/>
        <v>181</v>
      </c>
      <c r="E23" s="45">
        <f ca="1"/>
        <v>0.49589041095890402</v>
      </c>
      <c r="F23" s="33">
        <f ca="1"/>
        <v>46528</v>
      </c>
      <c r="G23" s="35">
        <f ca="1"/>
        <v>-1000000</v>
      </c>
      <c r="H23" s="35">
        <f ca="1"/>
        <v>0</v>
      </c>
      <c r="I23" s="34">
        <f ca="1"/>
        <v>1</v>
      </c>
      <c r="J23" s="36">
        <f ca="1"/>
        <v>2.2686464088397799E-2</v>
      </c>
      <c r="K23" s="35">
        <f ca="1"/>
        <v>-11250</v>
      </c>
      <c r="L23" s="37">
        <f ca="1"/>
        <v>0.80290934562651595</v>
      </c>
      <c r="M23" s="35">
        <f ca="1"/>
        <v>-9032.7301382983096</v>
      </c>
      <c r="O23" s="33">
        <f ca="1"/>
        <v>44795</v>
      </c>
      <c r="P23" s="33">
        <f ca="1"/>
        <v>44795</v>
      </c>
      <c r="Q23" s="33">
        <f ca="1"/>
        <v>44886</v>
      </c>
      <c r="R23" s="35">
        <f ca="1"/>
        <v>91</v>
      </c>
      <c r="S23" s="45">
        <f ca="1"/>
        <v>0.24931506849315099</v>
      </c>
      <c r="T23" s="33">
        <f ca="1"/>
        <v>44886</v>
      </c>
      <c r="U23" s="35">
        <f ca="1"/>
        <v>1000000</v>
      </c>
      <c r="V23" s="35">
        <f ca="1"/>
        <v>0</v>
      </c>
      <c r="W23" s="34">
        <f ca="1"/>
        <v>1</v>
      </c>
      <c r="X23" s="34">
        <f ca="1"/>
        <v>0</v>
      </c>
      <c r="Y23" s="54">
        <f ca="1"/>
        <v>2.9171572061224799E-2</v>
      </c>
      <c r="Z23" s="35">
        <f ca="1"/>
        <v>7272.91248649714</v>
      </c>
      <c r="AA23" s="37">
        <f ca="1"/>
        <v>0.91106073118608299</v>
      </c>
      <c r="AB23" s="35">
        <f ca="1"/>
        <v>6626.0649678004702</v>
      </c>
    </row>
    <row r="24" spans="2:28">
      <c r="B24" s="33">
        <f ca="1"/>
        <v>46528</v>
      </c>
      <c r="C24" s="33">
        <f ca="1"/>
        <v>46712</v>
      </c>
      <c r="D24" s="35">
        <f ca="1"/>
        <v>184</v>
      </c>
      <c r="E24" s="45">
        <f ca="1"/>
        <v>0.50410958904109604</v>
      </c>
      <c r="F24" s="33">
        <f ca="1"/>
        <v>46712</v>
      </c>
      <c r="G24" s="35">
        <f ca="1"/>
        <v>-1000000</v>
      </c>
      <c r="H24" s="35">
        <f ca="1"/>
        <v>0</v>
      </c>
      <c r="I24" s="34">
        <f ca="1"/>
        <v>1</v>
      </c>
      <c r="J24" s="36">
        <f ca="1"/>
        <v>2.2316576086956499E-2</v>
      </c>
      <c r="K24" s="35">
        <f ca="1"/>
        <v>-11250</v>
      </c>
      <c r="L24" s="37">
        <f ca="1"/>
        <v>0.79072501110691296</v>
      </c>
      <c r="M24" s="35">
        <f ca="1"/>
        <v>-8895.6563749527704</v>
      </c>
      <c r="O24" s="33">
        <f ca="1"/>
        <v>44886</v>
      </c>
      <c r="P24" s="33">
        <f ca="1"/>
        <v>44886</v>
      </c>
      <c r="Q24" s="33">
        <f ca="1"/>
        <v>44978</v>
      </c>
      <c r="R24" s="35">
        <f ca="1"/>
        <v>92</v>
      </c>
      <c r="S24" s="45">
        <f ca="1"/>
        <v>0.25205479452054802</v>
      </c>
      <c r="T24" s="33">
        <f ca="1"/>
        <v>44978</v>
      </c>
      <c r="U24" s="35">
        <f ca="1"/>
        <v>1000000</v>
      </c>
      <c r="V24" s="35">
        <f ca="1"/>
        <v>0</v>
      </c>
      <c r="W24" s="34">
        <f ca="1"/>
        <v>1</v>
      </c>
      <c r="X24" s="34">
        <f ca="1"/>
        <v>0</v>
      </c>
      <c r="Y24" s="54">
        <f ca="1"/>
        <v>2.9596220201542501E-2</v>
      </c>
      <c r="Z24" s="35">
        <f ca="1"/>
        <v>7459.8692014846902</v>
      </c>
      <c r="AA24" s="37">
        <f ca="1"/>
        <v>0.90509007081517101</v>
      </c>
      <c r="AB24" s="35">
        <f ca="1"/>
        <v>6751.8535438436902</v>
      </c>
    </row>
    <row r="25" spans="2:28">
      <c r="B25" s="33">
        <f ca="1"/>
        <v>46712</v>
      </c>
      <c r="C25" s="33">
        <f ca="1"/>
        <v>46894</v>
      </c>
      <c r="D25" s="35">
        <f ca="1"/>
        <v>182</v>
      </c>
      <c r="E25" s="45">
        <f ca="1"/>
        <v>0.49757466876263201</v>
      </c>
      <c r="F25" s="33">
        <f ca="1"/>
        <v>46894</v>
      </c>
      <c r="G25" s="35">
        <f ca="1"/>
        <v>-1000000</v>
      </c>
      <c r="H25" s="35">
        <f ca="1"/>
        <v>0</v>
      </c>
      <c r="I25" s="34">
        <f ca="1"/>
        <v>1</v>
      </c>
      <c r="J25" s="36">
        <f ca="1"/>
        <v>2.26096718869883E-2</v>
      </c>
      <c r="K25" s="35">
        <f ca="1"/>
        <v>-11250</v>
      </c>
      <c r="L25" s="37">
        <f ca="1"/>
        <v>0.77872816052086002</v>
      </c>
      <c r="M25" s="35">
        <f ca="1"/>
        <v>-8760.6918058596802</v>
      </c>
      <c r="O25" s="33">
        <f ca="1"/>
        <v>44978</v>
      </c>
      <c r="P25" s="33">
        <f ca="1"/>
        <v>44978</v>
      </c>
      <c r="Q25" s="33">
        <f ca="1"/>
        <v>45068</v>
      </c>
      <c r="R25" s="35">
        <f ca="1"/>
        <v>90</v>
      </c>
      <c r="S25" s="45">
        <f ca="1"/>
        <v>0.24657534246575299</v>
      </c>
      <c r="T25" s="33">
        <f ca="1"/>
        <v>45068</v>
      </c>
      <c r="U25" s="35">
        <f ca="1"/>
        <v>1000000</v>
      </c>
      <c r="V25" s="35">
        <f ca="1"/>
        <v>0</v>
      </c>
      <c r="W25" s="34">
        <f ca="1"/>
        <v>1</v>
      </c>
      <c r="X25" s="34">
        <f ca="1"/>
        <v>0</v>
      </c>
      <c r="Y25" s="54">
        <f ca="1"/>
        <v>2.9950217033858601E-2</v>
      </c>
      <c r="Z25" s="35">
        <f ca="1"/>
        <v>7384.9850220473199</v>
      </c>
      <c r="AA25" s="37">
        <f ca="1"/>
        <v>0.89923975768749798</v>
      </c>
      <c r="AB25" s="35">
        <f ca="1"/>
        <v>6640.8721417516399</v>
      </c>
    </row>
    <row r="26" spans="2:28">
      <c r="B26" s="33" t="str">
        <f ca="1"/>
        <v/>
      </c>
      <c r="C26" s="33" t="str">
        <f ca="1"/>
        <v/>
      </c>
      <c r="D26" s="35" t="str">
        <f ca="1"/>
        <v/>
      </c>
      <c r="E26" s="45" t="str">
        <f ca="1"/>
        <v/>
      </c>
      <c r="F26" s="33" t="str">
        <f ca="1"/>
        <v/>
      </c>
      <c r="G26" s="35" t="str">
        <f ca="1"/>
        <v/>
      </c>
      <c r="H26" s="35" t="str">
        <f ca="1"/>
        <v/>
      </c>
      <c r="I26" s="34" t="str">
        <f ca="1"/>
        <v/>
      </c>
      <c r="J26" s="36" t="str">
        <f ca="1"/>
        <v/>
      </c>
      <c r="K26" s="35" t="str">
        <f ca="1"/>
        <v/>
      </c>
      <c r="L26" s="37" t="str">
        <f ca="1"/>
        <v/>
      </c>
      <c r="M26" s="35" t="str">
        <f ca="1"/>
        <v/>
      </c>
      <c r="O26" s="33">
        <f ca="1"/>
        <v>45068</v>
      </c>
      <c r="P26" s="33">
        <f ca="1"/>
        <v>45068</v>
      </c>
      <c r="Q26" s="33">
        <f ca="1"/>
        <v>45159</v>
      </c>
      <c r="R26" s="35">
        <f ca="1"/>
        <v>91</v>
      </c>
      <c r="S26" s="45">
        <f ca="1"/>
        <v>0.24931506849315099</v>
      </c>
      <c r="T26" s="33">
        <f ca="1"/>
        <v>45159</v>
      </c>
      <c r="U26" s="35">
        <f ca="1"/>
        <v>1000000</v>
      </c>
      <c r="V26" s="35">
        <f ca="1"/>
        <v>0</v>
      </c>
      <c r="W26" s="34">
        <f ca="1"/>
        <v>1</v>
      </c>
      <c r="X26" s="34">
        <f ca="1"/>
        <v>0</v>
      </c>
      <c r="Y26" s="54">
        <f ca="1"/>
        <v>3.0264504145901799E-2</v>
      </c>
      <c r="Z26" s="35">
        <f ca="1"/>
        <v>7545.3969240467404</v>
      </c>
      <c r="AA26" s="37">
        <f ca="1"/>
        <v>0.89333770440014104</v>
      </c>
      <c r="AB26" s="35">
        <f ca="1"/>
        <v>6740.5875669158004</v>
      </c>
    </row>
    <row r="27" spans="2:28">
      <c r="B27" s="33" t="str">
        <f ca="1"/>
        <v/>
      </c>
      <c r="C27" s="33" t="str">
        <f ca="1"/>
        <v/>
      </c>
      <c r="D27" s="35" t="str">
        <f ca="1"/>
        <v/>
      </c>
      <c r="E27" s="45" t="str">
        <f ca="1"/>
        <v/>
      </c>
      <c r="F27" s="33" t="str">
        <f ca="1"/>
        <v/>
      </c>
      <c r="G27" s="35" t="str">
        <f ca="1"/>
        <v/>
      </c>
      <c r="H27" s="35" t="str">
        <f ca="1"/>
        <v/>
      </c>
      <c r="I27" s="34" t="str">
        <f ca="1"/>
        <v/>
      </c>
      <c r="J27" s="36" t="str">
        <f ca="1"/>
        <v/>
      </c>
      <c r="K27" s="35" t="str">
        <f ca="1"/>
        <v/>
      </c>
      <c r="L27" s="37" t="str">
        <f ca="1"/>
        <v/>
      </c>
      <c r="M27" s="35" t="str">
        <f ca="1"/>
        <v/>
      </c>
      <c r="O27" s="33">
        <f ca="1"/>
        <v>45159</v>
      </c>
      <c r="P27" s="33">
        <f ca="1"/>
        <v>45159</v>
      </c>
      <c r="Q27" s="33">
        <f ca="1"/>
        <v>45251</v>
      </c>
      <c r="R27" s="35">
        <f ca="1"/>
        <v>92</v>
      </c>
      <c r="S27" s="45">
        <f ca="1"/>
        <v>0.25205479452054802</v>
      </c>
      <c r="T27" s="33">
        <f ca="1"/>
        <v>45251</v>
      </c>
      <c r="U27" s="35">
        <f ca="1"/>
        <v>1000000</v>
      </c>
      <c r="V27" s="35">
        <f ca="1"/>
        <v>0</v>
      </c>
      <c r="W27" s="34">
        <f ca="1"/>
        <v>1</v>
      </c>
      <c r="X27" s="34">
        <f ca="1"/>
        <v>0</v>
      </c>
      <c r="Y27" s="54">
        <f ca="1"/>
        <v>3.05677794048505E-2</v>
      </c>
      <c r="Z27" s="35">
        <f ca="1"/>
        <v>7704.7553568390204</v>
      </c>
      <c r="AA27" s="37">
        <f ca="1"/>
        <v>0.88737619069581597</v>
      </c>
      <c r="AB27" s="35">
        <f ca="1"/>
        <v>6837.0164587949903</v>
      </c>
    </row>
    <row r="28" spans="2:28">
      <c r="B28" s="33" t="str">
        <f ca="1"/>
        <v/>
      </c>
      <c r="C28" s="33" t="str">
        <f ca="1"/>
        <v/>
      </c>
      <c r="D28" s="35" t="str">
        <f ca="1"/>
        <v/>
      </c>
      <c r="E28" s="45" t="str">
        <f ca="1"/>
        <v/>
      </c>
      <c r="F28" s="33" t="str">
        <f ca="1"/>
        <v/>
      </c>
      <c r="G28" s="35" t="str">
        <f ca="1"/>
        <v/>
      </c>
      <c r="H28" s="35" t="str">
        <f ca="1"/>
        <v/>
      </c>
      <c r="I28" s="34" t="str">
        <f ca="1"/>
        <v/>
      </c>
      <c r="J28" s="36" t="str">
        <f ca="1"/>
        <v/>
      </c>
      <c r="K28" s="35" t="str">
        <f ca="1"/>
        <v/>
      </c>
      <c r="L28" s="37" t="str">
        <f ca="1"/>
        <v/>
      </c>
      <c r="M28" s="35" t="str">
        <f ca="1"/>
        <v/>
      </c>
      <c r="O28" s="33">
        <f ca="1"/>
        <v>45251</v>
      </c>
      <c r="P28" s="33">
        <f ca="1"/>
        <v>45251</v>
      </c>
      <c r="Q28" s="33">
        <f ca="1"/>
        <v>45343</v>
      </c>
      <c r="R28" s="35">
        <f ca="1"/>
        <v>92</v>
      </c>
      <c r="S28" s="45">
        <f ca="1"/>
        <v>0.25205479452054802</v>
      </c>
      <c r="T28" s="33">
        <f ca="1"/>
        <v>45343</v>
      </c>
      <c r="U28" s="35">
        <f ca="1"/>
        <v>1000000</v>
      </c>
      <c r="V28" s="35">
        <f ca="1"/>
        <v>0</v>
      </c>
      <c r="W28" s="34">
        <f ca="1"/>
        <v>1</v>
      </c>
      <c r="X28" s="34">
        <f ca="1"/>
        <v>0</v>
      </c>
      <c r="Y28" s="54">
        <f ca="1"/>
        <v>3.0838869069956299E-2</v>
      </c>
      <c r="Z28" s="35">
        <f ca="1"/>
        <v>7773.08480667392</v>
      </c>
      <c r="AA28" s="37">
        <f ca="1"/>
        <v>0.88141489450699195</v>
      </c>
      <c r="AB28" s="35">
        <f ca="1"/>
        <v>6851.3127248683904</v>
      </c>
    </row>
    <row r="29" spans="2:28">
      <c r="B29" s="33" t="str">
        <f ca="1"/>
        <v/>
      </c>
      <c r="C29" s="33" t="str">
        <f ca="1"/>
        <v/>
      </c>
      <c r="D29" s="35" t="str">
        <f ca="1"/>
        <v/>
      </c>
      <c r="E29" s="45" t="str">
        <f ca="1"/>
        <v/>
      </c>
      <c r="F29" s="33" t="str">
        <f ca="1"/>
        <v/>
      </c>
      <c r="G29" s="35" t="str">
        <f ca="1"/>
        <v/>
      </c>
      <c r="H29" s="35" t="str">
        <f ca="1"/>
        <v/>
      </c>
      <c r="I29" s="34" t="str">
        <f ca="1"/>
        <v/>
      </c>
      <c r="J29" s="36" t="str">
        <f ca="1"/>
        <v/>
      </c>
      <c r="K29" s="35" t="str">
        <f ca="1"/>
        <v/>
      </c>
      <c r="L29" s="37" t="str">
        <f ca="1"/>
        <v/>
      </c>
      <c r="M29" s="35" t="str">
        <f ca="1"/>
        <v/>
      </c>
      <c r="O29" s="33">
        <f ca="1"/>
        <v>45343</v>
      </c>
      <c r="P29" s="33">
        <f ca="1"/>
        <v>45343</v>
      </c>
      <c r="Q29" s="33">
        <f ca="1"/>
        <v>45433</v>
      </c>
      <c r="R29" s="35">
        <f ca="1"/>
        <v>90</v>
      </c>
      <c r="S29" s="45">
        <f ca="1"/>
        <v>0.24657534246575299</v>
      </c>
      <c r="T29" s="33">
        <f ca="1"/>
        <v>45433</v>
      </c>
      <c r="U29" s="35">
        <f ca="1"/>
        <v>1000000</v>
      </c>
      <c r="V29" s="35">
        <f ca="1"/>
        <v>0</v>
      </c>
      <c r="W29" s="34">
        <f ca="1"/>
        <v>1</v>
      </c>
      <c r="X29" s="34">
        <f ca="1"/>
        <v>0</v>
      </c>
      <c r="Y29" s="54">
        <f ca="1"/>
        <v>3.11149997055515E-2</v>
      </c>
      <c r="Z29" s="35">
        <f ca="1"/>
        <v>7672.1917082181699</v>
      </c>
      <c r="AA29" s="37">
        <f ca="1"/>
        <v>0.87556761676406902</v>
      </c>
      <c r="AB29" s="35">
        <f ca="1"/>
        <v>6717.5226093216397</v>
      </c>
    </row>
    <row r="30" spans="2:28">
      <c r="B30" s="33" t="str">
        <f ca="1"/>
        <v/>
      </c>
      <c r="C30" s="33" t="str">
        <f ca="1"/>
        <v/>
      </c>
      <c r="D30" s="35" t="str">
        <f ca="1"/>
        <v/>
      </c>
      <c r="E30" s="45" t="str">
        <f ca="1"/>
        <v/>
      </c>
      <c r="F30" s="33" t="str">
        <f ca="1"/>
        <v/>
      </c>
      <c r="G30" s="35" t="str">
        <f ca="1"/>
        <v/>
      </c>
      <c r="H30" s="35" t="str">
        <f ca="1"/>
        <v/>
      </c>
      <c r="I30" s="34" t="str">
        <f ca="1"/>
        <v/>
      </c>
      <c r="J30" s="36" t="str">
        <f ca="1"/>
        <v/>
      </c>
      <c r="K30" s="35" t="str">
        <f ca="1"/>
        <v/>
      </c>
      <c r="L30" s="37" t="str">
        <f ca="1"/>
        <v/>
      </c>
      <c r="M30" s="35" t="str">
        <f ca="1"/>
        <v/>
      </c>
      <c r="O30" s="33">
        <f ca="1"/>
        <v>45433</v>
      </c>
      <c r="P30" s="33">
        <f ca="1"/>
        <v>45433</v>
      </c>
      <c r="Q30" s="33">
        <f ca="1"/>
        <v>45525</v>
      </c>
      <c r="R30" s="35">
        <f ca="1"/>
        <v>92</v>
      </c>
      <c r="S30" s="45">
        <f ca="1"/>
        <v>0.25205479452054802</v>
      </c>
      <c r="T30" s="33">
        <f ca="1"/>
        <v>45525</v>
      </c>
      <c r="U30" s="35">
        <f ca="1"/>
        <v>1000000</v>
      </c>
      <c r="V30" s="35">
        <f ca="1"/>
        <v>0</v>
      </c>
      <c r="W30" s="34">
        <f ca="1"/>
        <v>1</v>
      </c>
      <c r="X30" s="34">
        <f ca="1"/>
        <v>0</v>
      </c>
      <c r="Y30" s="54">
        <f ca="1"/>
        <v>3.1439325704601298E-2</v>
      </c>
      <c r="Z30" s="35">
        <f ca="1"/>
        <v>7924.4327803378501</v>
      </c>
      <c r="AA30" s="37">
        <f ca="1"/>
        <v>0.86955664098195196</v>
      </c>
      <c r="AB30" s="35">
        <f ca="1"/>
        <v>6890.7431501578503</v>
      </c>
    </row>
    <row r="31" spans="2:28">
      <c r="B31" s="33" t="str">
        <f ca="1"/>
        <v/>
      </c>
      <c r="C31" s="33" t="str">
        <f ca="1"/>
        <v/>
      </c>
      <c r="D31" s="35" t="str">
        <f ca="1"/>
        <v/>
      </c>
      <c r="E31" s="45" t="str">
        <f ca="1"/>
        <v/>
      </c>
      <c r="F31" s="33" t="str">
        <f ca="1"/>
        <v/>
      </c>
      <c r="G31" s="35" t="str">
        <f ca="1"/>
        <v/>
      </c>
      <c r="H31" s="35" t="str">
        <f ca="1"/>
        <v/>
      </c>
      <c r="I31" s="34" t="str">
        <f ca="1"/>
        <v/>
      </c>
      <c r="J31" s="36" t="str">
        <f ca="1"/>
        <v/>
      </c>
      <c r="K31" s="35" t="str">
        <f ca="1"/>
        <v/>
      </c>
      <c r="L31" s="37" t="str">
        <f ca="1"/>
        <v/>
      </c>
      <c r="M31" s="35" t="str">
        <f ca="1"/>
        <v/>
      </c>
      <c r="O31" s="33">
        <f ca="1"/>
        <v>45525</v>
      </c>
      <c r="P31" s="33">
        <f ca="1"/>
        <v>45525</v>
      </c>
      <c r="Q31" s="33">
        <f ca="1"/>
        <v>45617</v>
      </c>
      <c r="R31" s="35">
        <f ca="1"/>
        <v>92</v>
      </c>
      <c r="S31" s="45">
        <f ca="1"/>
        <v>0.25205479452054802</v>
      </c>
      <c r="T31" s="33">
        <f ca="1"/>
        <v>45617</v>
      </c>
      <c r="U31" s="35">
        <f ca="1"/>
        <v>1000000</v>
      </c>
      <c r="V31" s="35">
        <f ca="1"/>
        <v>0</v>
      </c>
      <c r="W31" s="34">
        <f ca="1"/>
        <v>1</v>
      </c>
      <c r="X31" s="34">
        <f ca="1"/>
        <v>0</v>
      </c>
      <c r="Y31" s="54">
        <f ca="1"/>
        <v>3.1753432198024498E-2</v>
      </c>
      <c r="Z31" s="35">
        <f ca="1"/>
        <v>8003.6048279952302</v>
      </c>
      <c r="AA31" s="37">
        <f ca="1"/>
        <v>0.86351166750252295</v>
      </c>
      <c r="AB31" s="35">
        <f ca="1"/>
        <v>6911.2061510534004</v>
      </c>
    </row>
    <row r="32" spans="2:28">
      <c r="B32" s="33" t="str">
        <f ca="1"/>
        <v/>
      </c>
      <c r="C32" s="33" t="str">
        <f ca="1"/>
        <v/>
      </c>
      <c r="D32" s="35" t="str">
        <f ca="1"/>
        <v/>
      </c>
      <c r="E32" s="45" t="str">
        <f ca="1"/>
        <v/>
      </c>
      <c r="F32" s="33" t="str">
        <f ca="1"/>
        <v/>
      </c>
      <c r="G32" s="35" t="str">
        <f ca="1"/>
        <v/>
      </c>
      <c r="H32" s="35" t="str">
        <f ca="1"/>
        <v/>
      </c>
      <c r="I32" s="34" t="str">
        <f ca="1"/>
        <v/>
      </c>
      <c r="J32" s="36" t="str">
        <f ca="1"/>
        <v/>
      </c>
      <c r="K32" s="35" t="str">
        <f ca="1"/>
        <v/>
      </c>
      <c r="L32" s="37" t="str">
        <f ca="1"/>
        <v/>
      </c>
      <c r="M32" s="35" t="str">
        <f ca="1"/>
        <v/>
      </c>
      <c r="O32" s="33">
        <f ca="1"/>
        <v>45617</v>
      </c>
      <c r="P32" s="33">
        <f ca="1"/>
        <v>45617</v>
      </c>
      <c r="Q32" s="33">
        <f ca="1"/>
        <v>45709</v>
      </c>
      <c r="R32" s="35">
        <f ca="1"/>
        <v>92</v>
      </c>
      <c r="S32" s="45">
        <f ca="1"/>
        <v>0.25205479452054802</v>
      </c>
      <c r="T32" s="33">
        <f ca="1"/>
        <v>45709</v>
      </c>
      <c r="U32" s="35">
        <f ca="1"/>
        <v>1000000</v>
      </c>
      <c r="V32" s="35">
        <f ca="1"/>
        <v>0</v>
      </c>
      <c r="W32" s="34">
        <f ca="1"/>
        <v>1</v>
      </c>
      <c r="X32" s="34">
        <f ca="1"/>
        <v>0</v>
      </c>
      <c r="Y32" s="54">
        <f ca="1"/>
        <v>3.2104075652437801E-2</v>
      </c>
      <c r="Z32" s="35">
        <f ca="1"/>
        <v>8091.9861918473398</v>
      </c>
      <c r="AA32" s="37">
        <f ca="1"/>
        <v>0.85742560373323595</v>
      </c>
      <c r="AB32" s="35">
        <f ca="1"/>
        <v>6938.2761459457197</v>
      </c>
    </row>
    <row r="33" spans="2:28">
      <c r="B33" s="33" t="str">
        <f ca="1"/>
        <v/>
      </c>
      <c r="C33" s="33" t="str">
        <f ca="1"/>
        <v/>
      </c>
      <c r="D33" s="35" t="str">
        <f ca="1"/>
        <v/>
      </c>
      <c r="E33" s="45" t="str">
        <f ca="1"/>
        <v/>
      </c>
      <c r="F33" s="33" t="str">
        <f ca="1"/>
        <v/>
      </c>
      <c r="G33" s="35" t="str">
        <f ca="1"/>
        <v/>
      </c>
      <c r="H33" s="35" t="str">
        <f ca="1"/>
        <v/>
      </c>
      <c r="I33" s="34" t="str">
        <f ca="1"/>
        <v/>
      </c>
      <c r="J33" s="36" t="str">
        <f ca="1"/>
        <v/>
      </c>
      <c r="K33" s="35" t="str">
        <f ca="1"/>
        <v/>
      </c>
      <c r="L33" s="37" t="str">
        <f ca="1"/>
        <v/>
      </c>
      <c r="M33" s="35" t="str">
        <f ca="1"/>
        <v/>
      </c>
      <c r="O33" s="33">
        <f ca="1"/>
        <v>45709</v>
      </c>
      <c r="P33" s="33">
        <f ca="1"/>
        <v>45709</v>
      </c>
      <c r="Q33" s="33">
        <f ca="1"/>
        <v>45798</v>
      </c>
      <c r="R33" s="35">
        <f ca="1"/>
        <v>89</v>
      </c>
      <c r="S33" s="45">
        <f ca="1"/>
        <v>0.243835616438356</v>
      </c>
      <c r="T33" s="33">
        <f ca="1"/>
        <v>45798</v>
      </c>
      <c r="U33" s="35">
        <f ca="1"/>
        <v>1000000</v>
      </c>
      <c r="V33" s="35">
        <f ca="1"/>
        <v>0</v>
      </c>
      <c r="W33" s="34">
        <f ca="1"/>
        <v>1</v>
      </c>
      <c r="X33" s="34">
        <f ca="1"/>
        <v>0</v>
      </c>
      <c r="Y33" s="54">
        <f ca="1"/>
        <v>3.2419798432765198E-2</v>
      </c>
      <c r="Z33" s="35">
        <f ca="1"/>
        <v>7905.1015356605603</v>
      </c>
      <c r="AA33" s="37">
        <f ca="1"/>
        <v>0.85150294252927905</v>
      </c>
      <c r="AB33" s="35">
        <f ca="1"/>
        <v>6731.2172186076896</v>
      </c>
    </row>
    <row r="34" spans="2:28">
      <c r="B34" s="33" t="str">
        <f ca="1"/>
        <v/>
      </c>
      <c r="C34" s="33" t="str">
        <f ca="1"/>
        <v/>
      </c>
      <c r="D34" s="35" t="str">
        <f ca="1"/>
        <v/>
      </c>
      <c r="E34" s="45" t="str">
        <f ca="1"/>
        <v/>
      </c>
      <c r="F34" s="33" t="str">
        <f ca="1"/>
        <v/>
      </c>
      <c r="G34" s="35" t="str">
        <f ca="1"/>
        <v/>
      </c>
      <c r="H34" s="35" t="str">
        <f ca="1"/>
        <v/>
      </c>
      <c r="I34" s="34" t="str">
        <f ca="1"/>
        <v/>
      </c>
      <c r="J34" s="36" t="str">
        <f ca="1"/>
        <v/>
      </c>
      <c r="K34" s="35" t="str">
        <f ca="1"/>
        <v/>
      </c>
      <c r="L34" s="37" t="str">
        <f ca="1"/>
        <v/>
      </c>
      <c r="M34" s="35" t="str">
        <f ca="1"/>
        <v/>
      </c>
      <c r="O34" s="33">
        <f ca="1"/>
        <v>45798</v>
      </c>
      <c r="P34" s="33">
        <f ca="1"/>
        <v>45798</v>
      </c>
      <c r="Q34" s="33">
        <f ca="1"/>
        <v>45890</v>
      </c>
      <c r="R34" s="35">
        <f ca="1"/>
        <v>92</v>
      </c>
      <c r="S34" s="45">
        <f ca="1"/>
        <v>0.25205479452054802</v>
      </c>
      <c r="T34" s="33">
        <f ca="1"/>
        <v>45890</v>
      </c>
      <c r="U34" s="35">
        <f ca="1"/>
        <v>1000000</v>
      </c>
      <c r="V34" s="35">
        <f ca="1"/>
        <v>0</v>
      </c>
      <c r="W34" s="34">
        <f ca="1"/>
        <v>1</v>
      </c>
      <c r="X34" s="34">
        <f ca="1"/>
        <v>0</v>
      </c>
      <c r="Y34" s="54">
        <f ca="1"/>
        <v>3.2674514343059499E-2</v>
      </c>
      <c r="Z34" s="35">
        <f ca="1"/>
        <v>8235.7679987985703</v>
      </c>
      <c r="AA34" s="37">
        <f ca="1"/>
        <v>0.84535629808503499</v>
      </c>
      <c r="AB34" s="35">
        <f ca="1"/>
        <v>6962.1583473515502</v>
      </c>
    </row>
    <row r="35" spans="2:28">
      <c r="B35" s="33" t="str">
        <f ca="1"/>
        <v/>
      </c>
      <c r="C35" s="33" t="str">
        <f ca="1"/>
        <v/>
      </c>
      <c r="D35" s="35" t="str">
        <f ca="1"/>
        <v/>
      </c>
      <c r="E35" s="45" t="str">
        <f ca="1"/>
        <v/>
      </c>
      <c r="F35" s="33" t="str">
        <f ca="1"/>
        <v/>
      </c>
      <c r="G35" s="35" t="str">
        <f ca="1"/>
        <v/>
      </c>
      <c r="H35" s="35" t="str">
        <f ca="1"/>
        <v/>
      </c>
      <c r="I35" s="34" t="str">
        <f ca="1"/>
        <v/>
      </c>
      <c r="J35" s="36" t="str">
        <f ca="1"/>
        <v/>
      </c>
      <c r="K35" s="35" t="str">
        <f ca="1"/>
        <v/>
      </c>
      <c r="L35" s="37" t="str">
        <f ca="1"/>
        <v/>
      </c>
      <c r="M35" s="35" t="str">
        <f ca="1"/>
        <v/>
      </c>
      <c r="O35" s="33">
        <f ca="1"/>
        <v>45890</v>
      </c>
      <c r="P35" s="33">
        <f ca="1"/>
        <v>45890</v>
      </c>
      <c r="Q35" s="33">
        <f ca="1"/>
        <v>45982</v>
      </c>
      <c r="R35" s="35">
        <f ca="1"/>
        <v>92</v>
      </c>
      <c r="S35" s="45">
        <f ca="1"/>
        <v>0.25205479452054802</v>
      </c>
      <c r="T35" s="33">
        <f ca="1"/>
        <v>45982</v>
      </c>
      <c r="U35" s="35">
        <f ca="1"/>
        <v>1000000</v>
      </c>
      <c r="V35" s="35">
        <f ca="1"/>
        <v>0</v>
      </c>
      <c r="W35" s="34">
        <f ca="1"/>
        <v>1</v>
      </c>
      <c r="X35" s="34">
        <f ca="1"/>
        <v>0</v>
      </c>
      <c r="Y35" s="54">
        <f ca="1"/>
        <v>3.2886530599752203E-2</v>
      </c>
      <c r="Z35" s="35">
        <f ca="1"/>
        <v>8289.20771281425</v>
      </c>
      <c r="AA35" s="37">
        <f ca="1"/>
        <v>0.83919740891213501</v>
      </c>
      <c r="AB35" s="35">
        <f ca="1"/>
        <v>6956.2816345281999</v>
      </c>
    </row>
    <row r="36" spans="2:28">
      <c r="B36" s="33" t="str">
        <f ca="1"/>
        <v/>
      </c>
      <c r="C36" s="33" t="str">
        <f ca="1"/>
        <v/>
      </c>
      <c r="D36" s="35" t="str">
        <f ca="1"/>
        <v/>
      </c>
      <c r="E36" s="45" t="str">
        <f ca="1"/>
        <v/>
      </c>
      <c r="F36" s="33" t="str">
        <f ca="1"/>
        <v/>
      </c>
      <c r="G36" s="35" t="str">
        <f ca="1"/>
        <v/>
      </c>
      <c r="H36" s="35" t="str">
        <f ca="1"/>
        <v/>
      </c>
      <c r="I36" s="34" t="str">
        <f ca="1"/>
        <v/>
      </c>
      <c r="J36" s="36" t="str">
        <f ca="1"/>
        <v/>
      </c>
      <c r="K36" s="35" t="str">
        <f ca="1"/>
        <v/>
      </c>
      <c r="L36" s="37" t="str">
        <f ca="1"/>
        <v/>
      </c>
      <c r="M36" s="35" t="str">
        <f ca="1"/>
        <v/>
      </c>
      <c r="O36" s="33">
        <f ca="1"/>
        <v>45982</v>
      </c>
      <c r="P36" s="33">
        <f ca="1"/>
        <v>45982</v>
      </c>
      <c r="Q36" s="33">
        <f ca="1"/>
        <v>46076</v>
      </c>
      <c r="R36" s="35">
        <f ca="1"/>
        <v>94</v>
      </c>
      <c r="S36" s="45">
        <f ca="1"/>
        <v>0.25753424657534202</v>
      </c>
      <c r="T36" s="33">
        <f ca="1"/>
        <v>46076</v>
      </c>
      <c r="U36" s="35">
        <f ca="1"/>
        <v>1000000</v>
      </c>
      <c r="V36" s="35">
        <f ca="1"/>
        <v>0</v>
      </c>
      <c r="W36" s="34">
        <f ca="1"/>
        <v>1</v>
      </c>
      <c r="X36" s="34">
        <f ca="1"/>
        <v>0</v>
      </c>
      <c r="Y36" s="54">
        <f ca="1"/>
        <v>3.3028813865615E-2</v>
      </c>
      <c r="Z36" s="35">
        <f ca="1"/>
        <v>8506.0506941583899</v>
      </c>
      <c r="AA36" s="37">
        <f ca="1"/>
        <v>0.83290673093005096</v>
      </c>
      <c r="AB36" s="35">
        <f ca="1"/>
        <v>7084.7468767967603</v>
      </c>
    </row>
    <row r="37" spans="2:28">
      <c r="B37" s="33" t="str">
        <f ca="1"/>
        <v/>
      </c>
      <c r="C37" s="33" t="str">
        <f ca="1"/>
        <v/>
      </c>
      <c r="D37" s="35" t="str">
        <f ca="1"/>
        <v/>
      </c>
      <c r="E37" s="45" t="str">
        <f ca="1"/>
        <v/>
      </c>
      <c r="F37" s="33" t="str">
        <f ca="1"/>
        <v/>
      </c>
      <c r="G37" s="35" t="str">
        <f ca="1"/>
        <v/>
      </c>
      <c r="H37" s="35" t="str">
        <f ca="1"/>
        <v/>
      </c>
      <c r="I37" s="34" t="str">
        <f ca="1"/>
        <v/>
      </c>
      <c r="J37" s="36" t="str">
        <f ca="1"/>
        <v/>
      </c>
      <c r="K37" s="35" t="str">
        <f ca="1"/>
        <v/>
      </c>
      <c r="L37" s="37" t="str">
        <f ca="1"/>
        <v/>
      </c>
      <c r="M37" s="35" t="str">
        <f ca="1"/>
        <v/>
      </c>
      <c r="O37" s="33">
        <f ca="1"/>
        <v>46076</v>
      </c>
      <c r="P37" s="33">
        <f ca="1"/>
        <v>46076</v>
      </c>
      <c r="Q37" s="33">
        <f ca="1"/>
        <v>46163</v>
      </c>
      <c r="R37" s="35">
        <f ca="1"/>
        <v>87</v>
      </c>
      <c r="S37" s="45">
        <f ca="1"/>
        <v>0.238356164383562</v>
      </c>
      <c r="T37" s="33">
        <f ca="1"/>
        <v>46163</v>
      </c>
      <c r="U37" s="35">
        <f ca="1"/>
        <v>1000000</v>
      </c>
      <c r="V37" s="35">
        <f ca="1"/>
        <v>0</v>
      </c>
      <c r="W37" s="34">
        <f ca="1"/>
        <v>1</v>
      </c>
      <c r="X37" s="34">
        <f ca="1"/>
        <v>0</v>
      </c>
      <c r="Y37" s="54">
        <f ca="1"/>
        <v>3.3116454412470901E-2</v>
      </c>
      <c r="Z37" s="35">
        <f ca="1"/>
        <v>7893.5110517396497</v>
      </c>
      <c r="AA37" s="37">
        <f ca="1"/>
        <v>0.827099441080691</v>
      </c>
      <c r="AB37" s="35">
        <f ca="1"/>
        <v>6528.7185790581198</v>
      </c>
    </row>
    <row r="38" spans="2:28">
      <c r="B38" s="33" t="str">
        <f ca="1"/>
        <v/>
      </c>
      <c r="C38" s="33" t="str">
        <f ca="1"/>
        <v/>
      </c>
      <c r="D38" s="35" t="str">
        <f ca="1"/>
        <v/>
      </c>
      <c r="E38" s="45" t="str">
        <f ca="1"/>
        <v/>
      </c>
      <c r="F38" s="33" t="str">
        <f ca="1"/>
        <v/>
      </c>
      <c r="G38" s="35" t="str">
        <f ca="1"/>
        <v/>
      </c>
      <c r="H38" s="35" t="str">
        <f ca="1"/>
        <v/>
      </c>
      <c r="I38" s="34" t="str">
        <f ca="1"/>
        <v/>
      </c>
      <c r="J38" s="36" t="str">
        <f ca="1"/>
        <v/>
      </c>
      <c r="K38" s="35" t="str">
        <f ca="1"/>
        <v/>
      </c>
      <c r="L38" s="37" t="str">
        <f ca="1"/>
        <v/>
      </c>
      <c r="M38" s="35" t="str">
        <f ca="1"/>
        <v/>
      </c>
      <c r="O38" s="33">
        <f ca="1"/>
        <v>46163</v>
      </c>
      <c r="P38" s="33">
        <f ca="1"/>
        <v>46163</v>
      </c>
      <c r="Q38" s="33">
        <f ca="1"/>
        <v>46255</v>
      </c>
      <c r="R38" s="35">
        <f ca="1"/>
        <v>92</v>
      </c>
      <c r="S38" s="45">
        <f ca="1"/>
        <v>0.25205479452054802</v>
      </c>
      <c r="T38" s="33">
        <f ca="1"/>
        <v>46255</v>
      </c>
      <c r="U38" s="35">
        <f ca="1"/>
        <v>1000000</v>
      </c>
      <c r="V38" s="35">
        <f ca="1"/>
        <v>0</v>
      </c>
      <c r="W38" s="34">
        <f ca="1"/>
        <v>1</v>
      </c>
      <c r="X38" s="34">
        <f ca="1"/>
        <v>0</v>
      </c>
      <c r="Y38" s="54">
        <f ca="1"/>
        <v>3.3174187044852602E-2</v>
      </c>
      <c r="Z38" s="35">
        <f ca="1"/>
        <v>8361.7128989765497</v>
      </c>
      <c r="AA38" s="37">
        <f ca="1"/>
        <v>0.82098294211089995</v>
      </c>
      <c r="AB38" s="35">
        <f ca="1"/>
        <v>6864.8236568884204</v>
      </c>
    </row>
    <row r="39" spans="2:28">
      <c r="B39" s="33" t="str">
        <f ca="1"/>
        <v/>
      </c>
      <c r="C39" s="33" t="str">
        <f ca="1"/>
        <v/>
      </c>
      <c r="D39" s="35" t="str">
        <f ca="1"/>
        <v/>
      </c>
      <c r="E39" s="45" t="str">
        <f ca="1"/>
        <v/>
      </c>
      <c r="F39" s="33" t="str">
        <f ca="1"/>
        <v/>
      </c>
      <c r="G39" s="35" t="str">
        <f ca="1"/>
        <v/>
      </c>
      <c r="H39" s="35" t="str">
        <f ca="1"/>
        <v/>
      </c>
      <c r="I39" s="34" t="str">
        <f ca="1"/>
        <v/>
      </c>
      <c r="J39" s="36" t="str">
        <f ca="1"/>
        <v/>
      </c>
      <c r="K39" s="35" t="str">
        <f ca="1"/>
        <v/>
      </c>
      <c r="L39" s="37" t="str">
        <f ca="1"/>
        <v/>
      </c>
      <c r="M39" s="35" t="str">
        <f ca="1"/>
        <v/>
      </c>
      <c r="O39" s="33">
        <f ca="1"/>
        <v>46255</v>
      </c>
      <c r="P39" s="33">
        <f ca="1"/>
        <v>46255</v>
      </c>
      <c r="Q39" s="33">
        <f ca="1"/>
        <v>46349</v>
      </c>
      <c r="R39" s="35">
        <f ca="1"/>
        <v>94</v>
      </c>
      <c r="S39" s="45">
        <f ca="1"/>
        <v>0.25753424657534202</v>
      </c>
      <c r="T39" s="33">
        <f ca="1"/>
        <v>46349</v>
      </c>
      <c r="U39" s="35">
        <f ca="1"/>
        <v>1000000</v>
      </c>
      <c r="V39" s="35">
        <f ca="1"/>
        <v>0</v>
      </c>
      <c r="W39" s="34">
        <f ca="1"/>
        <v>1</v>
      </c>
      <c r="X39" s="34">
        <f ca="1"/>
        <v>0</v>
      </c>
      <c r="Y39" s="54">
        <f ca="1"/>
        <v>3.3278247806761301E-2</v>
      </c>
      <c r="Z39" s="35">
        <f ca="1"/>
        <v>8570.2884762618105</v>
      </c>
      <c r="AA39" s="37">
        <f ca="1"/>
        <v>0.81475308110255695</v>
      </c>
      <c r="AB39" s="35">
        <f ca="1"/>
        <v>6982.6689419720396</v>
      </c>
    </row>
    <row r="40" spans="2:28">
      <c r="B40" s="33" t="str">
        <f ca="1"/>
        <v/>
      </c>
      <c r="C40" s="33" t="str">
        <f ca="1"/>
        <v/>
      </c>
      <c r="D40" s="35" t="str">
        <f ca="1"/>
        <v/>
      </c>
      <c r="E40" s="45" t="str">
        <f ca="1"/>
        <v/>
      </c>
      <c r="F40" s="33" t="str">
        <f ca="1"/>
        <v/>
      </c>
      <c r="G40" s="35" t="str">
        <f ca="1"/>
        <v/>
      </c>
      <c r="H40" s="35" t="str">
        <f ca="1"/>
        <v/>
      </c>
      <c r="I40" s="34" t="str">
        <f ca="1"/>
        <v/>
      </c>
      <c r="J40" s="36" t="str">
        <f ca="1"/>
        <v/>
      </c>
      <c r="K40" s="35" t="str">
        <f ca="1"/>
        <v/>
      </c>
      <c r="L40" s="37" t="str">
        <f ca="1"/>
        <v/>
      </c>
      <c r="M40" s="35" t="str">
        <f ca="1"/>
        <v/>
      </c>
      <c r="O40" s="33">
        <f ca="1"/>
        <v>46349</v>
      </c>
      <c r="P40" s="33">
        <f ca="1"/>
        <v>46349</v>
      </c>
      <c r="Q40" s="33">
        <f ca="1"/>
        <v>46440</v>
      </c>
      <c r="R40" s="35">
        <f ca="1"/>
        <v>91</v>
      </c>
      <c r="S40" s="45">
        <f ca="1"/>
        <v>0.24931506849315099</v>
      </c>
      <c r="T40" s="33">
        <f ca="1"/>
        <v>46440</v>
      </c>
      <c r="U40" s="35">
        <f ca="1"/>
        <v>1000000</v>
      </c>
      <c r="V40" s="35">
        <f ca="1"/>
        <v>0</v>
      </c>
      <c r="W40" s="34">
        <f ca="1"/>
        <v>1</v>
      </c>
      <c r="X40" s="34">
        <f ca="1"/>
        <v>0</v>
      </c>
      <c r="Y40" s="54">
        <f ca="1"/>
        <v>3.3461144305953101E-2</v>
      </c>
      <c r="Z40" s="35">
        <f ca="1"/>
        <v>8342.3674844978796</v>
      </c>
      <c r="AA40" s="37">
        <f ca="1"/>
        <v>0.80873169766019704</v>
      </c>
      <c r="AB40" s="35">
        <f ca="1"/>
        <v>6746.7370182431996</v>
      </c>
    </row>
    <row r="41" spans="2:28">
      <c r="B41" s="33" t="str">
        <f ca="1"/>
        <v/>
      </c>
      <c r="C41" s="33" t="str">
        <f ca="1"/>
        <v/>
      </c>
      <c r="D41" s="35" t="str">
        <f ca="1"/>
        <v/>
      </c>
      <c r="E41" s="45" t="str">
        <f ca="1"/>
        <v/>
      </c>
      <c r="F41" s="33" t="str">
        <f ca="1"/>
        <v/>
      </c>
      <c r="G41" s="35" t="str">
        <f ca="1"/>
        <v/>
      </c>
      <c r="H41" s="35" t="str">
        <f ca="1"/>
        <v/>
      </c>
      <c r="I41" s="34" t="str">
        <f ca="1"/>
        <v/>
      </c>
      <c r="J41" s="36" t="str">
        <f ca="1"/>
        <v/>
      </c>
      <c r="K41" s="35" t="str">
        <f ca="1"/>
        <v/>
      </c>
      <c r="L41" s="37" t="str">
        <f ca="1"/>
        <v/>
      </c>
      <c r="M41" s="35" t="str">
        <f ca="1"/>
        <v/>
      </c>
      <c r="O41" s="33">
        <f ca="1"/>
        <v>46440</v>
      </c>
      <c r="P41" s="33">
        <f ca="1"/>
        <v>46440</v>
      </c>
      <c r="Q41" s="33">
        <f ca="1"/>
        <v>46528</v>
      </c>
      <c r="R41" s="35">
        <f ca="1"/>
        <v>88</v>
      </c>
      <c r="S41" s="45">
        <f ca="1"/>
        <v>0.241095890410959</v>
      </c>
      <c r="T41" s="33">
        <f ca="1"/>
        <v>46528</v>
      </c>
      <c r="U41" s="35">
        <f ca="1"/>
        <v>1000000</v>
      </c>
      <c r="V41" s="35">
        <f ca="1"/>
        <v>0</v>
      </c>
      <c r="W41" s="34">
        <f ca="1"/>
        <v>1</v>
      </c>
      <c r="X41" s="34">
        <f ca="1"/>
        <v>0</v>
      </c>
      <c r="Y41" s="54">
        <f ca="1"/>
        <v>3.37048672651621E-2</v>
      </c>
      <c r="Z41" s="35">
        <f ca="1"/>
        <v>8126.1049844774298</v>
      </c>
      <c r="AA41" s="37">
        <f ca="1"/>
        <v>0.80290934562651595</v>
      </c>
      <c r="AB41" s="35">
        <f ca="1"/>
        <v>6524.5256355791398</v>
      </c>
    </row>
    <row r="42" spans="2:28">
      <c r="B42" s="33" t="str">
        <f ca="1"/>
        <v/>
      </c>
      <c r="C42" s="33" t="str">
        <f ca="1"/>
        <v/>
      </c>
      <c r="D42" s="35" t="str">
        <f ca="1"/>
        <v/>
      </c>
      <c r="E42" s="45" t="str">
        <f ca="1"/>
        <v/>
      </c>
      <c r="F42" s="33" t="str">
        <f ca="1"/>
        <v/>
      </c>
      <c r="G42" s="35" t="str">
        <f ca="1"/>
        <v/>
      </c>
      <c r="H42" s="35" t="str">
        <f ca="1"/>
        <v/>
      </c>
      <c r="I42" s="34" t="str">
        <f ca="1"/>
        <v/>
      </c>
      <c r="J42" s="36" t="str">
        <f ca="1"/>
        <v/>
      </c>
      <c r="K42" s="35" t="str">
        <f ca="1"/>
        <v/>
      </c>
      <c r="L42" s="37" t="str">
        <f ca="1"/>
        <v/>
      </c>
      <c r="M42" s="35" t="str">
        <f ca="1"/>
        <v/>
      </c>
      <c r="O42" s="33">
        <f ca="1"/>
        <v>46528</v>
      </c>
      <c r="P42" s="33">
        <f ca="1"/>
        <v>46528</v>
      </c>
      <c r="Q42" s="33">
        <f ca="1"/>
        <v>46622</v>
      </c>
      <c r="R42" s="35">
        <f ca="1"/>
        <v>94</v>
      </c>
      <c r="S42" s="45">
        <f ca="1"/>
        <v>0.25753424657534202</v>
      </c>
      <c r="T42" s="33">
        <f ca="1"/>
        <v>46622</v>
      </c>
      <c r="U42" s="35">
        <f ca="1"/>
        <v>1000000</v>
      </c>
      <c r="V42" s="35">
        <f ca="1"/>
        <v>0</v>
      </c>
      <c r="W42" s="34">
        <f ca="1"/>
        <v>1</v>
      </c>
      <c r="X42" s="34">
        <f ca="1"/>
        <v>0</v>
      </c>
      <c r="Y42" s="54">
        <f ca="1"/>
        <v>3.3990636647373798E-2</v>
      </c>
      <c r="Z42" s="35">
        <f ca="1"/>
        <v>8753.7529995976402</v>
      </c>
      <c r="AA42" s="37">
        <f ca="1"/>
        <v>0.79668473661617001</v>
      </c>
      <c r="AB42" s="35">
        <f ca="1"/>
        <v>6973.9814028874498</v>
      </c>
    </row>
    <row r="43" spans="2:28">
      <c r="B43" s="33" t="str">
        <f ca="1"/>
        <v/>
      </c>
      <c r="C43" s="33" t="str">
        <f ca="1"/>
        <v/>
      </c>
      <c r="D43" s="35" t="str">
        <f ca="1"/>
        <v/>
      </c>
      <c r="E43" s="45" t="str">
        <f ca="1"/>
        <v/>
      </c>
      <c r="F43" s="33" t="str">
        <f ca="1"/>
        <v/>
      </c>
      <c r="G43" s="35" t="str">
        <f ca="1"/>
        <v/>
      </c>
      <c r="H43" s="35" t="str">
        <f ca="1"/>
        <v/>
      </c>
      <c r="I43" s="34" t="str">
        <f ca="1"/>
        <v/>
      </c>
      <c r="J43" s="36" t="str">
        <f ca="1"/>
        <v/>
      </c>
      <c r="K43" s="35" t="str">
        <f ca="1"/>
        <v/>
      </c>
      <c r="L43" s="37" t="str">
        <f ca="1"/>
        <v/>
      </c>
      <c r="M43" s="35" t="str">
        <f ca="1"/>
        <v/>
      </c>
      <c r="O43" s="33">
        <f ca="1"/>
        <v>46622</v>
      </c>
      <c r="P43" s="33">
        <f ca="1"/>
        <v>46622</v>
      </c>
      <c r="Q43" s="33">
        <f ca="1"/>
        <v>46713</v>
      </c>
      <c r="R43" s="35">
        <f ca="1"/>
        <v>91</v>
      </c>
      <c r="S43" s="45">
        <f ca="1"/>
        <v>0.24931506849315099</v>
      </c>
      <c r="T43" s="33">
        <f ca="1"/>
        <v>46713</v>
      </c>
      <c r="U43" s="35">
        <f ca="1"/>
        <v>1000000</v>
      </c>
      <c r="V43" s="35">
        <f ca="1"/>
        <v>0</v>
      </c>
      <c r="W43" s="34">
        <f ca="1"/>
        <v>1</v>
      </c>
      <c r="X43" s="34">
        <f ca="1"/>
        <v>0</v>
      </c>
      <c r="Y43" s="54">
        <f ca="1"/>
        <v>3.4259546547539002E-2</v>
      </c>
      <c r="Z43" s="35">
        <f ca="1"/>
        <v>8541.4211940439709</v>
      </c>
      <c r="AA43" s="37">
        <f ca="1"/>
        <v>0.79065881934712101</v>
      </c>
      <c r="AB43" s="35">
        <f ca="1"/>
        <v>6753.3499968292799</v>
      </c>
    </row>
    <row r="44" spans="2:28">
      <c r="B44" s="33" t="str">
        <f ca="1"/>
        <v/>
      </c>
      <c r="C44" s="33" t="str">
        <f ca="1"/>
        <v/>
      </c>
      <c r="D44" s="35" t="str">
        <f ca="1"/>
        <v/>
      </c>
      <c r="E44" s="45" t="str">
        <f ca="1"/>
        <v/>
      </c>
      <c r="F44" s="33" t="str">
        <f ca="1"/>
        <v/>
      </c>
      <c r="G44" s="35" t="str">
        <f ca="1"/>
        <v/>
      </c>
      <c r="H44" s="35" t="str">
        <f ca="1"/>
        <v/>
      </c>
      <c r="I44" s="34" t="str">
        <f ca="1"/>
        <v/>
      </c>
      <c r="J44" s="36" t="str">
        <f ca="1"/>
        <v/>
      </c>
      <c r="K44" s="35" t="str">
        <f ca="1"/>
        <v/>
      </c>
      <c r="L44" s="37" t="str">
        <f ca="1"/>
        <v/>
      </c>
      <c r="M44" s="35" t="str">
        <f ca="1"/>
        <v/>
      </c>
      <c r="O44" s="33">
        <f ca="1"/>
        <v>46713</v>
      </c>
      <c r="P44" s="33">
        <f ca="1"/>
        <v>46713</v>
      </c>
      <c r="Q44" s="33">
        <f ca="1"/>
        <v>46804</v>
      </c>
      <c r="R44" s="35">
        <f ca="1"/>
        <v>91</v>
      </c>
      <c r="S44" s="45">
        <f ca="1"/>
        <v>0.24931506849315099</v>
      </c>
      <c r="T44" s="33">
        <f ca="1"/>
        <v>46804</v>
      </c>
      <c r="U44" s="35">
        <f ca="1"/>
        <v>1000000</v>
      </c>
      <c r="V44" s="35">
        <f ca="1"/>
        <v>0</v>
      </c>
      <c r="W44" s="34">
        <f ca="1"/>
        <v>1</v>
      </c>
      <c r="X44" s="34">
        <f ca="1"/>
        <v>0</v>
      </c>
      <c r="Y44" s="54">
        <f ca="1"/>
        <v>3.4426292804746302E-2</v>
      </c>
      <c r="Z44" s="35">
        <f ca="1"/>
        <v>8582.99354858058</v>
      </c>
      <c r="AA44" s="37">
        <f ca="1"/>
        <v>0.78464975582233398</v>
      </c>
      <c r="AB44" s="35">
        <f ca="1"/>
        <v>6734.6437921184197</v>
      </c>
    </row>
    <row r="45" spans="2:28">
      <c r="B45" s="33" t="str">
        <f ca="1"/>
        <v/>
      </c>
      <c r="C45" s="33" t="str">
        <f ca="1"/>
        <v/>
      </c>
      <c r="D45" s="35" t="str">
        <f ca="1"/>
        <v/>
      </c>
      <c r="E45" s="45" t="str">
        <f ca="1"/>
        <v/>
      </c>
      <c r="F45" s="33" t="str">
        <f ca="1"/>
        <v/>
      </c>
      <c r="G45" s="35" t="str">
        <f ca="1"/>
        <v/>
      </c>
      <c r="H45" s="35" t="str">
        <f ca="1"/>
        <v/>
      </c>
      <c r="I45" s="34" t="str">
        <f ca="1"/>
        <v/>
      </c>
      <c r="J45" s="36" t="str">
        <f ca="1"/>
        <v/>
      </c>
      <c r="K45" s="35" t="str">
        <f ca="1"/>
        <v/>
      </c>
      <c r="L45" s="37" t="str">
        <f ca="1"/>
        <v/>
      </c>
      <c r="M45" s="35" t="str">
        <f ca="1"/>
        <v/>
      </c>
      <c r="O45" s="33">
        <f ca="1"/>
        <v>46804</v>
      </c>
      <c r="P45" s="33">
        <f ca="1"/>
        <v>46804</v>
      </c>
      <c r="Q45" s="33">
        <f ca="1"/>
        <v>46895</v>
      </c>
      <c r="R45" s="35">
        <f ca="1"/>
        <v>91</v>
      </c>
      <c r="S45" s="45">
        <f ca="1"/>
        <v>0.24931506849315099</v>
      </c>
      <c r="T45" s="33">
        <f ca="1"/>
        <v>46895</v>
      </c>
      <c r="U45" s="35">
        <f ca="1"/>
        <v>1000000</v>
      </c>
      <c r="V45" s="35">
        <f ca="1"/>
        <v>0</v>
      </c>
      <c r="W45" s="34">
        <f ca="1"/>
        <v>1</v>
      </c>
      <c r="X45" s="34">
        <f ca="1"/>
        <v>0</v>
      </c>
      <c r="Y45" s="54">
        <f ca="1"/>
        <v>3.4550049497006602E-2</v>
      </c>
      <c r="Z45" s="35">
        <f ca="1"/>
        <v>8613.8479567879403</v>
      </c>
      <c r="AA45" s="37">
        <f ca="1"/>
        <v>0.778662472382743</v>
      </c>
      <c r="AB45" s="35">
        <f ca="1"/>
        <v>6707.28014676153</v>
      </c>
    </row>
    <row r="46" spans="2:28">
      <c r="B46" s="33" t="str">
        <f ca="1"/>
        <v/>
      </c>
      <c r="C46" s="33" t="str">
        <f ca="1"/>
        <v/>
      </c>
      <c r="D46" s="35" t="str">
        <f ca="1"/>
        <v/>
      </c>
      <c r="E46" s="45" t="str">
        <f ca="1"/>
        <v/>
      </c>
      <c r="F46" s="33" t="str">
        <f ca="1"/>
        <v/>
      </c>
      <c r="G46" s="35" t="str">
        <f ca="1"/>
        <v/>
      </c>
      <c r="H46" s="35" t="str">
        <f ca="1"/>
        <v/>
      </c>
      <c r="I46" s="34" t="str">
        <f ca="1"/>
        <v/>
      </c>
      <c r="J46" s="36" t="str">
        <f ca="1"/>
        <v/>
      </c>
      <c r="K46" s="35" t="str">
        <f ca="1"/>
        <v/>
      </c>
      <c r="L46" s="37" t="str">
        <f ca="1"/>
        <v/>
      </c>
      <c r="M46" s="35" t="str">
        <f ca="1"/>
        <v/>
      </c>
      <c r="O46" s="33" t="str">
        <f ca="1"/>
        <v/>
      </c>
      <c r="P46" s="33" t="str">
        <f ca="1"/>
        <v/>
      </c>
      <c r="Q46" s="33" t="str">
        <f ca="1"/>
        <v/>
      </c>
      <c r="R46" s="35" t="str">
        <f ca="1"/>
        <v/>
      </c>
      <c r="S46" s="45" t="str">
        <f ca="1"/>
        <v/>
      </c>
      <c r="T46" s="33" t="str">
        <f ca="1"/>
        <v/>
      </c>
      <c r="U46" s="35" t="str">
        <f ca="1"/>
        <v/>
      </c>
      <c r="V46" s="35" t="str">
        <f ca="1"/>
        <v/>
      </c>
      <c r="W46" s="34" t="str">
        <f ca="1"/>
        <v/>
      </c>
      <c r="X46" s="34" t="str">
        <f ca="1"/>
        <v/>
      </c>
      <c r="Y46" s="54" t="str">
        <f ca="1"/>
        <v/>
      </c>
      <c r="Z46" s="35" t="str">
        <f ca="1"/>
        <v/>
      </c>
      <c r="AA46" s="37" t="str">
        <f ca="1"/>
        <v/>
      </c>
      <c r="AB46" s="35" t="str">
        <f ca="1"/>
        <v/>
      </c>
    </row>
    <row r="47" spans="2:28">
      <c r="B47" s="33" t="str">
        <f ca="1"/>
        <v/>
      </c>
      <c r="C47" s="33" t="str">
        <f ca="1"/>
        <v/>
      </c>
      <c r="D47" s="35" t="str">
        <f ca="1"/>
        <v/>
      </c>
      <c r="E47" s="45" t="str">
        <f ca="1"/>
        <v/>
      </c>
      <c r="F47" s="33" t="str">
        <f ca="1"/>
        <v/>
      </c>
      <c r="G47" s="35" t="str">
        <f ca="1"/>
        <v/>
      </c>
      <c r="H47" s="35" t="str">
        <f ca="1"/>
        <v/>
      </c>
      <c r="I47" s="34" t="str">
        <f ca="1"/>
        <v/>
      </c>
      <c r="J47" s="36" t="str">
        <f ca="1"/>
        <v/>
      </c>
      <c r="K47" s="35" t="str">
        <f ca="1"/>
        <v/>
      </c>
      <c r="L47" s="37" t="str">
        <f ca="1"/>
        <v/>
      </c>
      <c r="M47" s="35" t="str">
        <f ca="1"/>
        <v/>
      </c>
      <c r="O47" s="33" t="str">
        <f ca="1"/>
        <v/>
      </c>
      <c r="P47" s="33" t="str">
        <f ca="1"/>
        <v/>
      </c>
      <c r="Q47" s="33" t="str">
        <f ca="1"/>
        <v/>
      </c>
      <c r="R47" s="35" t="str">
        <f ca="1"/>
        <v/>
      </c>
      <c r="S47" s="45" t="str">
        <f ca="1"/>
        <v/>
      </c>
      <c r="T47" s="33" t="str">
        <f ca="1"/>
        <v/>
      </c>
      <c r="U47" s="35" t="str">
        <f ca="1"/>
        <v/>
      </c>
      <c r="V47" s="35" t="str">
        <f ca="1"/>
        <v/>
      </c>
      <c r="W47" s="34" t="str">
        <f ca="1"/>
        <v/>
      </c>
      <c r="X47" s="34" t="str">
        <f ca="1"/>
        <v/>
      </c>
      <c r="Y47" s="54" t="str">
        <f ca="1"/>
        <v/>
      </c>
      <c r="Z47" s="35" t="str">
        <f ca="1"/>
        <v/>
      </c>
      <c r="AA47" s="37" t="str">
        <f ca="1"/>
        <v/>
      </c>
      <c r="AB47" s="35" t="str">
        <f ca="1"/>
        <v/>
      </c>
    </row>
    <row r="48" spans="2:28">
      <c r="B48" s="33" t="str">
        <f ca="1"/>
        <v/>
      </c>
      <c r="C48" s="33" t="str">
        <f ca="1"/>
        <v/>
      </c>
      <c r="D48" s="35" t="str">
        <f ca="1"/>
        <v/>
      </c>
      <c r="E48" s="45" t="str">
        <f ca="1"/>
        <v/>
      </c>
      <c r="F48" s="33" t="str">
        <f ca="1"/>
        <v/>
      </c>
      <c r="G48" s="35" t="str">
        <f ca="1"/>
        <v/>
      </c>
      <c r="H48" s="35" t="str">
        <f ca="1"/>
        <v/>
      </c>
      <c r="I48" s="34" t="str">
        <f ca="1"/>
        <v/>
      </c>
      <c r="J48" s="36" t="str">
        <f ca="1"/>
        <v/>
      </c>
      <c r="K48" s="35" t="str">
        <f ca="1"/>
        <v/>
      </c>
      <c r="L48" s="37" t="str">
        <f ca="1"/>
        <v/>
      </c>
      <c r="M48" s="35" t="str">
        <f ca="1"/>
        <v/>
      </c>
      <c r="O48" s="33" t="str">
        <f ca="1"/>
        <v/>
      </c>
      <c r="P48" s="33" t="str">
        <f ca="1"/>
        <v/>
      </c>
      <c r="Q48" s="33" t="str">
        <f ca="1"/>
        <v/>
      </c>
      <c r="R48" s="35" t="str">
        <f ca="1"/>
        <v/>
      </c>
      <c r="S48" s="45" t="str">
        <f ca="1"/>
        <v/>
      </c>
      <c r="T48" s="33" t="str">
        <f ca="1"/>
        <v/>
      </c>
      <c r="U48" s="35" t="str">
        <f ca="1"/>
        <v/>
      </c>
      <c r="V48" s="35" t="str">
        <f ca="1"/>
        <v/>
      </c>
      <c r="W48" s="34" t="str">
        <f ca="1"/>
        <v/>
      </c>
      <c r="X48" s="34" t="str">
        <f ca="1"/>
        <v/>
      </c>
      <c r="Y48" s="54" t="str">
        <f ca="1"/>
        <v/>
      </c>
      <c r="Z48" s="35" t="str">
        <f ca="1"/>
        <v/>
      </c>
      <c r="AA48" s="37" t="str">
        <f ca="1"/>
        <v/>
      </c>
      <c r="AB48" s="35" t="str">
        <f ca="1"/>
        <v/>
      </c>
    </row>
    <row r="49" spans="2:28">
      <c r="B49" s="33" t="str">
        <f ca="1"/>
        <v/>
      </c>
      <c r="C49" s="33" t="str">
        <f ca="1"/>
        <v/>
      </c>
      <c r="D49" s="35" t="str">
        <f ca="1"/>
        <v/>
      </c>
      <c r="E49" s="45" t="str">
        <f ca="1"/>
        <v/>
      </c>
      <c r="F49" s="33" t="str">
        <f ca="1"/>
        <v/>
      </c>
      <c r="G49" s="35" t="str">
        <f ca="1"/>
        <v/>
      </c>
      <c r="H49" s="35" t="str">
        <f ca="1"/>
        <v/>
      </c>
      <c r="I49" s="34" t="str">
        <f ca="1"/>
        <v/>
      </c>
      <c r="J49" s="36" t="str">
        <f ca="1"/>
        <v/>
      </c>
      <c r="K49" s="35" t="str">
        <f ca="1"/>
        <v/>
      </c>
      <c r="L49" s="37" t="str">
        <f ca="1"/>
        <v/>
      </c>
      <c r="M49" s="35" t="str">
        <f ca="1"/>
        <v/>
      </c>
      <c r="O49" s="33" t="str">
        <f ca="1"/>
        <v/>
      </c>
      <c r="P49" s="33" t="str">
        <f ca="1"/>
        <v/>
      </c>
      <c r="Q49" s="33" t="str">
        <f ca="1"/>
        <v/>
      </c>
      <c r="R49" s="35" t="str">
        <f ca="1"/>
        <v/>
      </c>
      <c r="S49" s="45" t="str">
        <f ca="1"/>
        <v/>
      </c>
      <c r="T49" s="33" t="str">
        <f ca="1"/>
        <v/>
      </c>
      <c r="U49" s="35" t="str">
        <f ca="1"/>
        <v/>
      </c>
      <c r="V49" s="35" t="str">
        <f ca="1"/>
        <v/>
      </c>
      <c r="W49" s="34" t="str">
        <f ca="1"/>
        <v/>
      </c>
      <c r="X49" s="34" t="str">
        <f ca="1"/>
        <v/>
      </c>
      <c r="Y49" s="54" t="str">
        <f ca="1"/>
        <v/>
      </c>
      <c r="Z49" s="35" t="str">
        <f ca="1"/>
        <v/>
      </c>
      <c r="AA49" s="37" t="str">
        <f ca="1"/>
        <v/>
      </c>
      <c r="AB49" s="35" t="str">
        <f ca="1"/>
        <v/>
      </c>
    </row>
    <row r="50" spans="2:28">
      <c r="B50" s="33" t="str">
        <f ca="1"/>
        <v/>
      </c>
      <c r="C50" s="33" t="str">
        <f ca="1"/>
        <v/>
      </c>
      <c r="D50" s="35" t="str">
        <f ca="1"/>
        <v/>
      </c>
      <c r="E50" s="45" t="str">
        <f ca="1"/>
        <v/>
      </c>
      <c r="F50" s="33" t="str">
        <f ca="1"/>
        <v/>
      </c>
      <c r="G50" s="35" t="str">
        <f ca="1"/>
        <v/>
      </c>
      <c r="H50" s="35" t="str">
        <f ca="1"/>
        <v/>
      </c>
      <c r="I50" s="34" t="str">
        <f ca="1"/>
        <v/>
      </c>
      <c r="J50" s="36" t="str">
        <f ca="1"/>
        <v/>
      </c>
      <c r="K50" s="35" t="str">
        <f ca="1"/>
        <v/>
      </c>
      <c r="L50" s="37" t="str">
        <f ca="1"/>
        <v/>
      </c>
      <c r="M50" s="35" t="str">
        <f ca="1"/>
        <v/>
      </c>
      <c r="O50" s="33" t="str">
        <f ca="1"/>
        <v/>
      </c>
      <c r="P50" s="33" t="str">
        <f ca="1"/>
        <v/>
      </c>
      <c r="Q50" s="33" t="str">
        <f ca="1"/>
        <v/>
      </c>
      <c r="R50" s="35" t="str">
        <f ca="1"/>
        <v/>
      </c>
      <c r="S50" s="45" t="str">
        <f ca="1"/>
        <v/>
      </c>
      <c r="T50" s="33" t="str">
        <f ca="1"/>
        <v/>
      </c>
      <c r="U50" s="35" t="str">
        <f ca="1"/>
        <v/>
      </c>
      <c r="V50" s="35" t="str">
        <f ca="1"/>
        <v/>
      </c>
      <c r="W50" s="34" t="str">
        <f ca="1"/>
        <v/>
      </c>
      <c r="X50" s="34" t="str">
        <f ca="1"/>
        <v/>
      </c>
      <c r="Y50" s="54" t="str">
        <f ca="1"/>
        <v/>
      </c>
      <c r="Z50" s="35" t="str">
        <f ca="1"/>
        <v/>
      </c>
      <c r="AA50" s="37" t="str">
        <f ca="1"/>
        <v/>
      </c>
      <c r="AB50" s="35" t="str">
        <f ca="1"/>
        <v/>
      </c>
    </row>
    <row r="51" spans="2:28">
      <c r="B51" s="38" t="str">
        <f ca="1"/>
        <v/>
      </c>
      <c r="C51" s="38" t="str">
        <f ca="1"/>
        <v/>
      </c>
      <c r="D51" s="40" t="str">
        <f ca="1"/>
        <v/>
      </c>
      <c r="E51" s="44" t="str">
        <f ca="1"/>
        <v/>
      </c>
      <c r="F51" s="38" t="str">
        <f ca="1"/>
        <v/>
      </c>
      <c r="G51" s="40" t="str">
        <f ca="1"/>
        <v/>
      </c>
      <c r="H51" s="40" t="str">
        <f ca="1"/>
        <v/>
      </c>
      <c r="I51" s="39" t="str">
        <f ca="1"/>
        <v/>
      </c>
      <c r="J51" s="41" t="str">
        <f ca="1"/>
        <v/>
      </c>
      <c r="K51" s="40" t="str">
        <f ca="1"/>
        <v/>
      </c>
      <c r="L51" s="42" t="str">
        <f ca="1"/>
        <v/>
      </c>
      <c r="M51" s="40" t="str">
        <f ca="1"/>
        <v/>
      </c>
      <c r="O51" s="38" t="str">
        <f ca="1"/>
        <v/>
      </c>
      <c r="P51" s="38" t="str">
        <f ca="1"/>
        <v/>
      </c>
      <c r="Q51" s="38" t="str">
        <f ca="1"/>
        <v/>
      </c>
      <c r="R51" s="40" t="str">
        <f ca="1"/>
        <v/>
      </c>
      <c r="S51" s="44" t="str">
        <f ca="1"/>
        <v/>
      </c>
      <c r="T51" s="38" t="str">
        <f ca="1"/>
        <v/>
      </c>
      <c r="U51" s="40" t="str">
        <f ca="1"/>
        <v/>
      </c>
      <c r="V51" s="40" t="str">
        <f ca="1"/>
        <v/>
      </c>
      <c r="W51" s="39" t="str">
        <f ca="1"/>
        <v/>
      </c>
      <c r="X51" s="39" t="str">
        <f ca="1"/>
        <v/>
      </c>
      <c r="Y51" s="55" t="str">
        <f ca="1"/>
        <v/>
      </c>
      <c r="Z51" s="40" t="str">
        <f ca="1"/>
        <v/>
      </c>
      <c r="AA51" s="37" t="str">
        <f ca="1"/>
        <v/>
      </c>
      <c r="AB51" s="35" t="str">
        <f ca="1"/>
        <v/>
      </c>
    </row>
    <row r="52" spans="2:28">
      <c r="B52" s="38" t="str">
        <f ca="1"/>
        <v/>
      </c>
      <c r="C52" s="38" t="str">
        <f ca="1"/>
        <v/>
      </c>
      <c r="D52" s="40" t="str">
        <f ca="1"/>
        <v/>
      </c>
      <c r="E52" s="44" t="str">
        <f ca="1"/>
        <v/>
      </c>
      <c r="F52" s="38" t="str">
        <f ca="1"/>
        <v/>
      </c>
      <c r="G52" s="40" t="str">
        <f ca="1"/>
        <v/>
      </c>
      <c r="H52" s="40" t="str">
        <f ca="1"/>
        <v/>
      </c>
      <c r="I52" s="39" t="str">
        <f ca="1"/>
        <v/>
      </c>
      <c r="J52" s="41" t="str">
        <f ca="1"/>
        <v/>
      </c>
      <c r="K52" s="40" t="str">
        <f ca="1"/>
        <v/>
      </c>
      <c r="L52" s="42" t="str">
        <f ca="1"/>
        <v/>
      </c>
      <c r="M52" s="40" t="str">
        <f ca="1"/>
        <v/>
      </c>
      <c r="O52" s="38" t="str">
        <f ca="1"/>
        <v/>
      </c>
      <c r="P52" s="38" t="str">
        <f ca="1"/>
        <v/>
      </c>
      <c r="Q52" s="38" t="str">
        <f ca="1"/>
        <v/>
      </c>
      <c r="R52" s="40" t="str">
        <f ca="1"/>
        <v/>
      </c>
      <c r="S52" s="44" t="str">
        <f ca="1"/>
        <v/>
      </c>
      <c r="T52" s="38" t="str">
        <f ca="1"/>
        <v/>
      </c>
      <c r="U52" s="40" t="str">
        <f ca="1"/>
        <v/>
      </c>
      <c r="V52" s="40" t="str">
        <f ca="1"/>
        <v/>
      </c>
      <c r="W52" s="39" t="str">
        <f ca="1"/>
        <v/>
      </c>
      <c r="X52" s="39" t="str">
        <f ca="1"/>
        <v/>
      </c>
      <c r="Y52" s="55" t="str">
        <f ca="1"/>
        <v/>
      </c>
      <c r="Z52" s="40" t="str">
        <f ca="1"/>
        <v/>
      </c>
      <c r="AA52" s="37" t="str">
        <f ca="1"/>
        <v/>
      </c>
      <c r="AB52" s="35" t="str">
        <f ca="1"/>
        <v/>
      </c>
    </row>
    <row r="53" spans="2:28">
      <c r="B53" s="38" t="str">
        <f ca="1"/>
        <v/>
      </c>
      <c r="C53" s="38" t="str">
        <f ca="1"/>
        <v/>
      </c>
      <c r="D53" s="40" t="str">
        <f ca="1"/>
        <v/>
      </c>
      <c r="E53" s="44" t="str">
        <f ca="1"/>
        <v/>
      </c>
      <c r="F53" s="38" t="str">
        <f ca="1"/>
        <v/>
      </c>
      <c r="G53" s="40" t="str">
        <f ca="1"/>
        <v/>
      </c>
      <c r="H53" s="40" t="str">
        <f ca="1"/>
        <v/>
      </c>
      <c r="I53" s="39" t="str">
        <f ca="1"/>
        <v/>
      </c>
      <c r="J53" s="41" t="str">
        <f ca="1"/>
        <v/>
      </c>
      <c r="K53" s="40" t="str">
        <f ca="1"/>
        <v/>
      </c>
      <c r="L53" s="42" t="str">
        <f ca="1"/>
        <v/>
      </c>
      <c r="M53" s="40" t="str">
        <f ca="1"/>
        <v/>
      </c>
      <c r="O53" s="38" t="str">
        <f ca="1"/>
        <v/>
      </c>
      <c r="P53" s="38" t="str">
        <f ca="1"/>
        <v/>
      </c>
      <c r="Q53" s="38" t="str">
        <f ca="1"/>
        <v/>
      </c>
      <c r="R53" s="40" t="str">
        <f ca="1"/>
        <v/>
      </c>
      <c r="S53" s="44" t="str">
        <f ca="1"/>
        <v/>
      </c>
      <c r="T53" s="38" t="str">
        <f ca="1"/>
        <v/>
      </c>
      <c r="U53" s="40" t="str">
        <f ca="1"/>
        <v/>
      </c>
      <c r="V53" s="40" t="str">
        <f ca="1"/>
        <v/>
      </c>
      <c r="W53" s="39" t="str">
        <f ca="1"/>
        <v/>
      </c>
      <c r="X53" s="39" t="str">
        <f ca="1"/>
        <v/>
      </c>
      <c r="Y53" s="55" t="str">
        <f ca="1"/>
        <v/>
      </c>
      <c r="Z53" s="40" t="str">
        <f ca="1"/>
        <v/>
      </c>
      <c r="AA53" s="37" t="str">
        <f ca="1"/>
        <v/>
      </c>
      <c r="AB53" s="35" t="str">
        <f ca="1"/>
        <v/>
      </c>
    </row>
    <row r="54" spans="2:28">
      <c r="B54" s="38" t="str">
        <f ca="1"/>
        <v/>
      </c>
      <c r="C54" s="38" t="str">
        <f ca="1"/>
        <v/>
      </c>
      <c r="D54" s="40" t="str">
        <f ca="1"/>
        <v/>
      </c>
      <c r="E54" s="44" t="str">
        <f ca="1"/>
        <v/>
      </c>
      <c r="F54" s="38" t="str">
        <f ca="1"/>
        <v/>
      </c>
      <c r="G54" s="40" t="str">
        <f ca="1"/>
        <v/>
      </c>
      <c r="H54" s="40" t="str">
        <f ca="1"/>
        <v/>
      </c>
      <c r="I54" s="39" t="str">
        <f ca="1"/>
        <v/>
      </c>
      <c r="J54" s="41" t="str">
        <f ca="1"/>
        <v/>
      </c>
      <c r="K54" s="40" t="str">
        <f ca="1"/>
        <v/>
      </c>
      <c r="L54" s="42" t="str">
        <f ca="1"/>
        <v/>
      </c>
      <c r="M54" s="40" t="str">
        <f ca="1"/>
        <v/>
      </c>
      <c r="O54" s="38" t="str">
        <f ca="1"/>
        <v/>
      </c>
      <c r="P54" s="38" t="str">
        <f ca="1"/>
        <v/>
      </c>
      <c r="Q54" s="38" t="str">
        <f ca="1"/>
        <v/>
      </c>
      <c r="R54" s="40" t="str">
        <f ca="1"/>
        <v/>
      </c>
      <c r="S54" s="44" t="str">
        <f ca="1"/>
        <v/>
      </c>
      <c r="T54" s="38" t="str">
        <f ca="1"/>
        <v/>
      </c>
      <c r="U54" s="40" t="str">
        <f ca="1"/>
        <v/>
      </c>
      <c r="V54" s="40" t="str">
        <f ca="1"/>
        <v/>
      </c>
      <c r="W54" s="39" t="str">
        <f ca="1"/>
        <v/>
      </c>
      <c r="X54" s="39" t="str">
        <f ca="1"/>
        <v/>
      </c>
      <c r="Y54" s="55" t="str">
        <f ca="1"/>
        <v/>
      </c>
      <c r="Z54" s="40" t="str">
        <f ca="1"/>
        <v/>
      </c>
      <c r="AA54" s="37" t="str">
        <f ca="1"/>
        <v/>
      </c>
      <c r="AB54" s="35" t="str">
        <f ca="1"/>
        <v/>
      </c>
    </row>
    <row r="55" spans="2:28">
      <c r="B55" s="38" t="str">
        <f ca="1"/>
        <v/>
      </c>
      <c r="C55" s="38" t="str">
        <f ca="1"/>
        <v/>
      </c>
      <c r="D55" s="40" t="str">
        <f ca="1"/>
        <v/>
      </c>
      <c r="E55" s="44" t="str">
        <f ca="1"/>
        <v/>
      </c>
      <c r="F55" s="38" t="str">
        <f ca="1"/>
        <v/>
      </c>
      <c r="G55" s="40" t="str">
        <f ca="1"/>
        <v/>
      </c>
      <c r="H55" s="40" t="str">
        <f ca="1"/>
        <v/>
      </c>
      <c r="I55" s="39" t="str">
        <f ca="1"/>
        <v/>
      </c>
      <c r="J55" s="41" t="str">
        <f ca="1"/>
        <v/>
      </c>
      <c r="K55" s="40" t="str">
        <f ca="1"/>
        <v/>
      </c>
      <c r="L55" s="42" t="str">
        <f ca="1"/>
        <v/>
      </c>
      <c r="M55" s="40" t="str">
        <f ca="1"/>
        <v/>
      </c>
      <c r="O55" s="38" t="str">
        <f ca="1"/>
        <v/>
      </c>
      <c r="P55" s="38" t="str">
        <f ca="1"/>
        <v/>
      </c>
      <c r="Q55" s="38" t="str">
        <f ca="1"/>
        <v/>
      </c>
      <c r="R55" s="40" t="str">
        <f ca="1"/>
        <v/>
      </c>
      <c r="S55" s="44" t="str">
        <f ca="1"/>
        <v/>
      </c>
      <c r="T55" s="38" t="str">
        <f ca="1"/>
        <v/>
      </c>
      <c r="U55" s="40" t="str">
        <f ca="1"/>
        <v/>
      </c>
      <c r="V55" s="40" t="str">
        <f ca="1"/>
        <v/>
      </c>
      <c r="W55" s="39" t="str">
        <f ca="1"/>
        <v/>
      </c>
      <c r="X55" s="39" t="str">
        <f ca="1"/>
        <v/>
      </c>
      <c r="Y55" s="55" t="str">
        <f ca="1"/>
        <v/>
      </c>
      <c r="Z55" s="40" t="str">
        <f ca="1"/>
        <v/>
      </c>
      <c r="AA55" s="37" t="str">
        <f ca="1"/>
        <v/>
      </c>
      <c r="AB55" s="35" t="str">
        <f ca="1"/>
        <v/>
      </c>
    </row>
    <row r="56" spans="2:28">
      <c r="B56" s="38" t="str">
        <f ca="1"/>
        <v/>
      </c>
      <c r="C56" s="38" t="str">
        <f ca="1"/>
        <v/>
      </c>
      <c r="D56" s="40" t="str">
        <f ca="1"/>
        <v/>
      </c>
      <c r="E56" s="44" t="str">
        <f ca="1"/>
        <v/>
      </c>
      <c r="F56" s="38" t="str">
        <f ca="1"/>
        <v/>
      </c>
      <c r="G56" s="40" t="str">
        <f ca="1"/>
        <v/>
      </c>
      <c r="H56" s="40" t="str">
        <f ca="1"/>
        <v/>
      </c>
      <c r="I56" s="39" t="str">
        <f ca="1"/>
        <v/>
      </c>
      <c r="J56" s="41" t="str">
        <f ca="1"/>
        <v/>
      </c>
      <c r="K56" s="40" t="str">
        <f ca="1"/>
        <v/>
      </c>
      <c r="L56" s="42" t="str">
        <f ca="1"/>
        <v/>
      </c>
      <c r="M56" s="40" t="str">
        <f ca="1"/>
        <v/>
      </c>
      <c r="O56" s="38" t="str">
        <f ca="1"/>
        <v/>
      </c>
      <c r="P56" s="38" t="str">
        <f ca="1"/>
        <v/>
      </c>
      <c r="Q56" s="38" t="str">
        <f ca="1"/>
        <v/>
      </c>
      <c r="R56" s="40" t="str">
        <f ca="1"/>
        <v/>
      </c>
      <c r="S56" s="44" t="str">
        <f ca="1"/>
        <v/>
      </c>
      <c r="T56" s="38" t="str">
        <f ca="1"/>
        <v/>
      </c>
      <c r="U56" s="40" t="str">
        <f ca="1"/>
        <v/>
      </c>
      <c r="V56" s="40" t="str">
        <f ca="1"/>
        <v/>
      </c>
      <c r="W56" s="39" t="str">
        <f ca="1"/>
        <v/>
      </c>
      <c r="X56" s="39" t="str">
        <f ca="1"/>
        <v/>
      </c>
      <c r="Y56" s="55" t="str">
        <f ca="1"/>
        <v/>
      </c>
      <c r="Z56" s="40" t="str">
        <f ca="1"/>
        <v/>
      </c>
      <c r="AA56" s="37" t="str">
        <f ca="1"/>
        <v/>
      </c>
      <c r="AB56" s="35" t="str">
        <f ca="1"/>
        <v/>
      </c>
    </row>
    <row r="57" spans="2:28">
      <c r="B57" s="38" t="str">
        <f ca="1"/>
        <v/>
      </c>
      <c r="C57" s="38" t="str">
        <f ca="1"/>
        <v/>
      </c>
      <c r="D57" s="40" t="str">
        <f ca="1"/>
        <v/>
      </c>
      <c r="E57" s="44" t="str">
        <f ca="1"/>
        <v/>
      </c>
      <c r="F57" s="38" t="str">
        <f ca="1"/>
        <v/>
      </c>
      <c r="G57" s="40" t="str">
        <f ca="1"/>
        <v/>
      </c>
      <c r="H57" s="40" t="str">
        <f ca="1"/>
        <v/>
      </c>
      <c r="I57" s="39" t="str">
        <f ca="1"/>
        <v/>
      </c>
      <c r="J57" s="41" t="str">
        <f ca="1"/>
        <v/>
      </c>
      <c r="K57" s="40" t="str">
        <f ca="1"/>
        <v/>
      </c>
      <c r="L57" s="42" t="str">
        <f ca="1"/>
        <v/>
      </c>
      <c r="M57" s="40" t="str">
        <f ca="1"/>
        <v/>
      </c>
      <c r="O57" s="38" t="str">
        <f ca="1"/>
        <v/>
      </c>
      <c r="P57" s="38" t="str">
        <f ca="1"/>
        <v/>
      </c>
      <c r="Q57" s="38" t="str">
        <f ca="1"/>
        <v/>
      </c>
      <c r="R57" s="40" t="str">
        <f ca="1"/>
        <v/>
      </c>
      <c r="S57" s="44" t="str">
        <f ca="1"/>
        <v/>
      </c>
      <c r="T57" s="38" t="str">
        <f ca="1"/>
        <v/>
      </c>
      <c r="U57" s="40" t="str">
        <f ca="1"/>
        <v/>
      </c>
      <c r="V57" s="40" t="str">
        <f ca="1"/>
        <v/>
      </c>
      <c r="W57" s="39" t="str">
        <f ca="1"/>
        <v/>
      </c>
      <c r="X57" s="39" t="str">
        <f ca="1"/>
        <v/>
      </c>
      <c r="Y57" s="55" t="str">
        <f ca="1"/>
        <v/>
      </c>
      <c r="Z57" s="40" t="str">
        <f ca="1"/>
        <v/>
      </c>
      <c r="AA57" s="37" t="str">
        <f ca="1"/>
        <v/>
      </c>
      <c r="AB57" s="35" t="str">
        <f ca="1"/>
        <v/>
      </c>
    </row>
    <row r="58" spans="2:28">
      <c r="B58" s="38" t="str">
        <f ca="1"/>
        <v/>
      </c>
      <c r="C58" s="38" t="str">
        <f ca="1"/>
        <v/>
      </c>
      <c r="D58" s="40" t="str">
        <f ca="1"/>
        <v/>
      </c>
      <c r="E58" s="44" t="str">
        <f ca="1"/>
        <v/>
      </c>
      <c r="F58" s="38" t="str">
        <f ca="1"/>
        <v/>
      </c>
      <c r="G58" s="40" t="str">
        <f ca="1"/>
        <v/>
      </c>
      <c r="H58" s="40" t="str">
        <f ca="1"/>
        <v/>
      </c>
      <c r="I58" s="39" t="str">
        <f ca="1"/>
        <v/>
      </c>
      <c r="J58" s="41" t="str">
        <f ca="1"/>
        <v/>
      </c>
      <c r="K58" s="40" t="str">
        <f ca="1"/>
        <v/>
      </c>
      <c r="L58" s="42" t="str">
        <f ca="1"/>
        <v/>
      </c>
      <c r="M58" s="40" t="str">
        <f ca="1"/>
        <v/>
      </c>
      <c r="O58" s="38" t="str">
        <f ca="1"/>
        <v/>
      </c>
      <c r="P58" s="38" t="str">
        <f ca="1"/>
        <v/>
      </c>
      <c r="Q58" s="38" t="str">
        <f ca="1"/>
        <v/>
      </c>
      <c r="R58" s="40" t="str">
        <f ca="1"/>
        <v/>
      </c>
      <c r="S58" s="44" t="str">
        <f ca="1"/>
        <v/>
      </c>
      <c r="T58" s="38" t="str">
        <f ca="1"/>
        <v/>
      </c>
      <c r="U58" s="40" t="str">
        <f ca="1"/>
        <v/>
      </c>
      <c r="V58" s="40" t="str">
        <f ca="1"/>
        <v/>
      </c>
      <c r="W58" s="39" t="str">
        <f ca="1"/>
        <v/>
      </c>
      <c r="X58" s="39" t="str">
        <f ca="1"/>
        <v/>
      </c>
      <c r="Y58" s="55" t="str">
        <f ca="1"/>
        <v/>
      </c>
      <c r="Z58" s="40" t="str">
        <f ca="1"/>
        <v/>
      </c>
      <c r="AA58" s="37" t="str">
        <f ca="1"/>
        <v/>
      </c>
      <c r="AB58" s="35" t="str">
        <f ca="1"/>
        <v/>
      </c>
    </row>
    <row r="59" spans="2:28">
      <c r="B59" s="38" t="str">
        <f ca="1"/>
        <v/>
      </c>
      <c r="C59" s="38" t="str">
        <f ca="1"/>
        <v/>
      </c>
      <c r="D59" s="40" t="str">
        <f ca="1"/>
        <v/>
      </c>
      <c r="E59" s="44" t="str">
        <f ca="1"/>
        <v/>
      </c>
      <c r="F59" s="38" t="str">
        <f ca="1"/>
        <v/>
      </c>
      <c r="G59" s="40" t="str">
        <f ca="1"/>
        <v/>
      </c>
      <c r="H59" s="40" t="str">
        <f ca="1"/>
        <v/>
      </c>
      <c r="I59" s="39" t="str">
        <f ca="1"/>
        <v/>
      </c>
      <c r="J59" s="41" t="str">
        <f ca="1"/>
        <v/>
      </c>
      <c r="K59" s="40" t="str">
        <f ca="1"/>
        <v/>
      </c>
      <c r="L59" s="42" t="str">
        <f ca="1"/>
        <v/>
      </c>
      <c r="M59" s="40" t="str">
        <f ca="1"/>
        <v/>
      </c>
      <c r="O59" s="38" t="str">
        <f ca="1"/>
        <v/>
      </c>
      <c r="P59" s="38" t="str">
        <f ca="1"/>
        <v/>
      </c>
      <c r="Q59" s="38" t="str">
        <f ca="1"/>
        <v/>
      </c>
      <c r="R59" s="40" t="str">
        <f ca="1"/>
        <v/>
      </c>
      <c r="S59" s="44" t="str">
        <f ca="1"/>
        <v/>
      </c>
      <c r="T59" s="38" t="str">
        <f ca="1"/>
        <v/>
      </c>
      <c r="U59" s="40" t="str">
        <f ca="1"/>
        <v/>
      </c>
      <c r="V59" s="40" t="str">
        <f ca="1"/>
        <v/>
      </c>
      <c r="W59" s="39" t="str">
        <f ca="1"/>
        <v/>
      </c>
      <c r="X59" s="39" t="str">
        <f ca="1"/>
        <v/>
      </c>
      <c r="Y59" s="55" t="str">
        <f ca="1"/>
        <v/>
      </c>
      <c r="Z59" s="40" t="str">
        <f ca="1"/>
        <v/>
      </c>
      <c r="AA59" s="37" t="str">
        <f ca="1"/>
        <v/>
      </c>
      <c r="AB59" s="35" t="str">
        <f ca="1"/>
        <v/>
      </c>
    </row>
    <row r="60" spans="2:28">
      <c r="B60" s="38" t="str">
        <f ca="1"/>
        <v/>
      </c>
      <c r="C60" s="38" t="str">
        <f ca="1"/>
        <v/>
      </c>
      <c r="D60" s="40" t="str">
        <f ca="1"/>
        <v/>
      </c>
      <c r="E60" s="44" t="str">
        <f ca="1"/>
        <v/>
      </c>
      <c r="F60" s="38" t="str">
        <f ca="1"/>
        <v/>
      </c>
      <c r="G60" s="40" t="str">
        <f ca="1"/>
        <v/>
      </c>
      <c r="H60" s="40" t="str">
        <f ca="1"/>
        <v/>
      </c>
      <c r="I60" s="39" t="str">
        <f ca="1"/>
        <v/>
      </c>
      <c r="J60" s="41" t="str">
        <f ca="1"/>
        <v/>
      </c>
      <c r="K60" s="40" t="str">
        <f ca="1"/>
        <v/>
      </c>
      <c r="L60" s="42" t="str">
        <f ca="1"/>
        <v/>
      </c>
      <c r="M60" s="40" t="str">
        <f ca="1"/>
        <v/>
      </c>
      <c r="O60" s="38" t="str">
        <f ca="1"/>
        <v/>
      </c>
      <c r="P60" s="38" t="str">
        <f ca="1"/>
        <v/>
      </c>
      <c r="Q60" s="38" t="str">
        <f ca="1"/>
        <v/>
      </c>
      <c r="R60" s="40" t="str">
        <f ca="1"/>
        <v/>
      </c>
      <c r="S60" s="44" t="str">
        <f ca="1"/>
        <v/>
      </c>
      <c r="T60" s="38" t="str">
        <f ca="1"/>
        <v/>
      </c>
      <c r="U60" s="40" t="str">
        <f ca="1"/>
        <v/>
      </c>
      <c r="V60" s="40" t="str">
        <f ca="1"/>
        <v/>
      </c>
      <c r="W60" s="39" t="str">
        <f ca="1"/>
        <v/>
      </c>
      <c r="X60" s="39" t="str">
        <f ca="1"/>
        <v/>
      </c>
      <c r="Y60" s="55" t="str">
        <f ca="1"/>
        <v/>
      </c>
      <c r="Z60" s="40" t="str">
        <f ca="1"/>
        <v/>
      </c>
      <c r="AA60" s="37" t="str">
        <f ca="1"/>
        <v/>
      </c>
      <c r="AB60" s="35" t="str">
        <f ca="1"/>
        <v/>
      </c>
    </row>
    <row r="61" spans="2:28">
      <c r="B61" s="38" t="str">
        <f ca="1"/>
        <v/>
      </c>
      <c r="C61" s="38" t="str">
        <f ca="1"/>
        <v/>
      </c>
      <c r="D61" s="40" t="str">
        <f ca="1"/>
        <v/>
      </c>
      <c r="E61" s="44" t="str">
        <f ca="1"/>
        <v/>
      </c>
      <c r="F61" s="38" t="str">
        <f ca="1"/>
        <v/>
      </c>
      <c r="G61" s="40" t="str">
        <f ca="1"/>
        <v/>
      </c>
      <c r="H61" s="40" t="str">
        <f ca="1"/>
        <v/>
      </c>
      <c r="I61" s="39" t="str">
        <f ca="1"/>
        <v/>
      </c>
      <c r="J61" s="41" t="str">
        <f ca="1"/>
        <v/>
      </c>
      <c r="K61" s="40" t="str">
        <f ca="1"/>
        <v/>
      </c>
      <c r="L61" s="42" t="str">
        <f ca="1"/>
        <v/>
      </c>
      <c r="M61" s="40" t="str">
        <f ca="1"/>
        <v/>
      </c>
      <c r="O61" s="38" t="str">
        <f ca="1"/>
        <v/>
      </c>
      <c r="P61" s="38" t="str">
        <f ca="1"/>
        <v/>
      </c>
      <c r="Q61" s="38" t="str">
        <f ca="1"/>
        <v/>
      </c>
      <c r="R61" s="40" t="str">
        <f ca="1"/>
        <v/>
      </c>
      <c r="S61" s="44" t="str">
        <f ca="1"/>
        <v/>
      </c>
      <c r="T61" s="38" t="str">
        <f ca="1"/>
        <v/>
      </c>
      <c r="U61" s="40" t="str">
        <f ca="1"/>
        <v/>
      </c>
      <c r="V61" s="40" t="str">
        <f ca="1"/>
        <v/>
      </c>
      <c r="W61" s="39" t="str">
        <f ca="1"/>
        <v/>
      </c>
      <c r="X61" s="39" t="str">
        <f ca="1"/>
        <v/>
      </c>
      <c r="Y61" s="55" t="str">
        <f ca="1"/>
        <v/>
      </c>
      <c r="Z61" s="40" t="str">
        <f ca="1"/>
        <v/>
      </c>
      <c r="AA61" s="37" t="str">
        <f ca="1"/>
        <v/>
      </c>
      <c r="AB61" s="35" t="str">
        <f ca="1"/>
        <v/>
      </c>
    </row>
    <row r="62" spans="2:28">
      <c r="B62" s="38" t="str">
        <f ca="1"/>
        <v/>
      </c>
      <c r="C62" s="38" t="str">
        <f ca="1"/>
        <v/>
      </c>
      <c r="D62" s="40" t="str">
        <f ca="1"/>
        <v/>
      </c>
      <c r="E62" s="44" t="str">
        <f ca="1"/>
        <v/>
      </c>
      <c r="F62" s="38" t="str">
        <f ca="1"/>
        <v/>
      </c>
      <c r="G62" s="40" t="str">
        <f ca="1"/>
        <v/>
      </c>
      <c r="H62" s="40" t="str">
        <f ca="1"/>
        <v/>
      </c>
      <c r="I62" s="39" t="str">
        <f ca="1"/>
        <v/>
      </c>
      <c r="J62" s="41" t="str">
        <f ca="1"/>
        <v/>
      </c>
      <c r="K62" s="40" t="str">
        <f ca="1"/>
        <v/>
      </c>
      <c r="L62" s="42" t="str">
        <f ca="1"/>
        <v/>
      </c>
      <c r="M62" s="40" t="str">
        <f ca="1"/>
        <v/>
      </c>
      <c r="O62" s="38" t="str">
        <f ca="1"/>
        <v/>
      </c>
      <c r="P62" s="38" t="str">
        <f ca="1"/>
        <v/>
      </c>
      <c r="Q62" s="38" t="str">
        <f ca="1"/>
        <v/>
      </c>
      <c r="R62" s="40" t="str">
        <f ca="1"/>
        <v/>
      </c>
      <c r="S62" s="44" t="str">
        <f ca="1"/>
        <v/>
      </c>
      <c r="T62" s="38" t="str">
        <f ca="1"/>
        <v/>
      </c>
      <c r="U62" s="40" t="str">
        <f ca="1"/>
        <v/>
      </c>
      <c r="V62" s="40" t="str">
        <f ca="1"/>
        <v/>
      </c>
      <c r="W62" s="39" t="str">
        <f ca="1"/>
        <v/>
      </c>
      <c r="X62" s="39" t="str">
        <f ca="1"/>
        <v/>
      </c>
      <c r="Y62" s="55" t="str">
        <f ca="1"/>
        <v/>
      </c>
      <c r="Z62" s="40" t="str">
        <f ca="1"/>
        <v/>
      </c>
      <c r="AA62" s="37" t="str">
        <f ca="1"/>
        <v/>
      </c>
      <c r="AB62" s="35" t="str">
        <f ca="1"/>
        <v/>
      </c>
    </row>
    <row r="63" spans="2:28">
      <c r="B63" s="38" t="str">
        <f ca="1"/>
        <v/>
      </c>
      <c r="C63" s="38" t="str">
        <f ca="1"/>
        <v/>
      </c>
      <c r="D63" s="40" t="str">
        <f ca="1"/>
        <v/>
      </c>
      <c r="E63" s="44" t="str">
        <f ca="1"/>
        <v/>
      </c>
      <c r="F63" s="38" t="str">
        <f ca="1"/>
        <v/>
      </c>
      <c r="G63" s="40" t="str">
        <f ca="1"/>
        <v/>
      </c>
      <c r="H63" s="40" t="str">
        <f ca="1"/>
        <v/>
      </c>
      <c r="I63" s="39" t="str">
        <f ca="1"/>
        <v/>
      </c>
      <c r="J63" s="41" t="str">
        <f ca="1"/>
        <v/>
      </c>
      <c r="K63" s="40" t="str">
        <f ca="1"/>
        <v/>
      </c>
      <c r="L63" s="42" t="str">
        <f ca="1"/>
        <v/>
      </c>
      <c r="M63" s="40" t="str">
        <f ca="1"/>
        <v/>
      </c>
      <c r="O63" s="38" t="str">
        <f ca="1"/>
        <v/>
      </c>
      <c r="P63" s="38" t="str">
        <f ca="1"/>
        <v/>
      </c>
      <c r="Q63" s="38" t="str">
        <f ca="1"/>
        <v/>
      </c>
      <c r="R63" s="40" t="str">
        <f ca="1"/>
        <v/>
      </c>
      <c r="S63" s="44" t="str">
        <f ca="1"/>
        <v/>
      </c>
      <c r="T63" s="38" t="str">
        <f ca="1"/>
        <v/>
      </c>
      <c r="U63" s="40" t="str">
        <f ca="1"/>
        <v/>
      </c>
      <c r="V63" s="40" t="str">
        <f ca="1"/>
        <v/>
      </c>
      <c r="W63" s="39" t="str">
        <f ca="1"/>
        <v/>
      </c>
      <c r="X63" s="39" t="str">
        <f ca="1"/>
        <v/>
      </c>
      <c r="Y63" s="55" t="str">
        <f ca="1"/>
        <v/>
      </c>
      <c r="Z63" s="40" t="str">
        <f ca="1"/>
        <v/>
      </c>
      <c r="AA63" s="37" t="str">
        <f ca="1"/>
        <v/>
      </c>
      <c r="AB63" s="35" t="str">
        <f ca="1"/>
        <v/>
      </c>
    </row>
    <row r="64" spans="2:28">
      <c r="B64" s="38" t="str">
        <f ca="1"/>
        <v/>
      </c>
      <c r="C64" s="38" t="str">
        <f ca="1"/>
        <v/>
      </c>
      <c r="D64" s="40" t="str">
        <f ca="1"/>
        <v/>
      </c>
      <c r="E64" s="44" t="str">
        <f ca="1"/>
        <v/>
      </c>
      <c r="F64" s="38" t="str">
        <f ca="1"/>
        <v/>
      </c>
      <c r="G64" s="40" t="str">
        <f ca="1"/>
        <v/>
      </c>
      <c r="H64" s="40" t="str">
        <f ca="1"/>
        <v/>
      </c>
      <c r="I64" s="39" t="str">
        <f ca="1"/>
        <v/>
      </c>
      <c r="J64" s="41" t="str">
        <f ca="1"/>
        <v/>
      </c>
      <c r="K64" s="40" t="str">
        <f ca="1"/>
        <v/>
      </c>
      <c r="L64" s="42" t="str">
        <f ca="1"/>
        <v/>
      </c>
      <c r="M64" s="40" t="str">
        <f ca="1"/>
        <v/>
      </c>
      <c r="O64" s="38" t="str">
        <f ca="1"/>
        <v/>
      </c>
      <c r="P64" s="38" t="str">
        <f ca="1"/>
        <v/>
      </c>
      <c r="Q64" s="38" t="str">
        <f ca="1"/>
        <v/>
      </c>
      <c r="R64" s="40" t="str">
        <f ca="1"/>
        <v/>
      </c>
      <c r="S64" s="44" t="str">
        <f ca="1"/>
        <v/>
      </c>
      <c r="T64" s="38" t="str">
        <f ca="1"/>
        <v/>
      </c>
      <c r="U64" s="40" t="str">
        <f ca="1"/>
        <v/>
      </c>
      <c r="V64" s="40" t="str">
        <f ca="1"/>
        <v/>
      </c>
      <c r="W64" s="39" t="str">
        <f ca="1"/>
        <v/>
      </c>
      <c r="X64" s="39" t="str">
        <f ca="1"/>
        <v/>
      </c>
      <c r="Y64" s="55" t="str">
        <f ca="1"/>
        <v/>
      </c>
      <c r="Z64" s="40" t="str">
        <f ca="1"/>
        <v/>
      </c>
      <c r="AA64" s="37" t="str">
        <f ca="1"/>
        <v/>
      </c>
      <c r="AB64" s="35" t="str">
        <f ca="1"/>
        <v/>
      </c>
    </row>
    <row r="65" spans="2:28">
      <c r="B65" s="38" t="str">
        <f ca="1"/>
        <v/>
      </c>
      <c r="C65" s="38" t="str">
        <f ca="1"/>
        <v/>
      </c>
      <c r="D65" s="40" t="str">
        <f ca="1"/>
        <v/>
      </c>
      <c r="E65" s="44" t="str">
        <f ca="1"/>
        <v/>
      </c>
      <c r="F65" s="38" t="str">
        <f ca="1"/>
        <v/>
      </c>
      <c r="G65" s="40" t="str">
        <f ca="1"/>
        <v/>
      </c>
      <c r="H65" s="40" t="str">
        <f ca="1"/>
        <v/>
      </c>
      <c r="I65" s="39" t="str">
        <f ca="1"/>
        <v/>
      </c>
      <c r="J65" s="41" t="str">
        <f ca="1"/>
        <v/>
      </c>
      <c r="K65" s="40" t="str">
        <f ca="1"/>
        <v/>
      </c>
      <c r="L65" s="42" t="str">
        <f ca="1"/>
        <v/>
      </c>
      <c r="M65" s="40" t="str">
        <f ca="1"/>
        <v/>
      </c>
      <c r="O65" s="38" t="str">
        <f ca="1"/>
        <v/>
      </c>
      <c r="P65" s="38" t="str">
        <f ca="1"/>
        <v/>
      </c>
      <c r="Q65" s="38" t="str">
        <f ca="1"/>
        <v/>
      </c>
      <c r="R65" s="40" t="str">
        <f ca="1"/>
        <v/>
      </c>
      <c r="S65" s="44" t="str">
        <f ca="1"/>
        <v/>
      </c>
      <c r="T65" s="38" t="str">
        <f ca="1"/>
        <v/>
      </c>
      <c r="U65" s="40" t="str">
        <f ca="1"/>
        <v/>
      </c>
      <c r="V65" s="40" t="str">
        <f ca="1"/>
        <v/>
      </c>
      <c r="W65" s="39" t="str">
        <f ca="1"/>
        <v/>
      </c>
      <c r="X65" s="39" t="str">
        <f ca="1"/>
        <v/>
      </c>
      <c r="Y65" s="55" t="str">
        <f ca="1"/>
        <v/>
      </c>
      <c r="Z65" s="40" t="str">
        <f ca="1"/>
        <v/>
      </c>
      <c r="AA65" s="37" t="str">
        <f ca="1"/>
        <v/>
      </c>
      <c r="AB65" s="35" t="str">
        <f ca="1"/>
        <v/>
      </c>
    </row>
    <row r="66" spans="2:28">
      <c r="B66" s="38" t="str">
        <f ca="1"/>
        <v/>
      </c>
      <c r="C66" s="38" t="str">
        <f ca="1"/>
        <v/>
      </c>
      <c r="D66" s="40" t="str">
        <f ca="1"/>
        <v/>
      </c>
      <c r="E66" s="44" t="str">
        <f ca="1"/>
        <v/>
      </c>
      <c r="F66" s="38" t="str">
        <f ca="1"/>
        <v/>
      </c>
      <c r="G66" s="40" t="str">
        <f ca="1"/>
        <v/>
      </c>
      <c r="H66" s="40" t="str">
        <f ca="1"/>
        <v/>
      </c>
      <c r="I66" s="39" t="str">
        <f ca="1"/>
        <v/>
      </c>
      <c r="J66" s="41" t="str">
        <f ca="1"/>
        <v/>
      </c>
      <c r="K66" s="40" t="str">
        <f ca="1"/>
        <v/>
      </c>
      <c r="L66" s="42" t="str">
        <f ca="1"/>
        <v/>
      </c>
      <c r="M66" s="40" t="str">
        <f ca="1"/>
        <v/>
      </c>
      <c r="O66" s="38" t="str">
        <f ca="1"/>
        <v/>
      </c>
      <c r="P66" s="38" t="str">
        <f ca="1"/>
        <v/>
      </c>
      <c r="Q66" s="38" t="str">
        <f ca="1"/>
        <v/>
      </c>
      <c r="R66" s="40" t="str">
        <f ca="1"/>
        <v/>
      </c>
      <c r="S66" s="44" t="str">
        <f ca="1"/>
        <v/>
      </c>
      <c r="T66" s="38" t="str">
        <f ca="1"/>
        <v/>
      </c>
      <c r="U66" s="40" t="str">
        <f ca="1"/>
        <v/>
      </c>
      <c r="V66" s="40" t="str">
        <f ca="1"/>
        <v/>
      </c>
      <c r="W66" s="39" t="str">
        <f ca="1"/>
        <v/>
      </c>
      <c r="X66" s="39" t="str">
        <f ca="1"/>
        <v/>
      </c>
      <c r="Y66" s="55" t="str">
        <f ca="1"/>
        <v/>
      </c>
      <c r="Z66" s="40" t="str">
        <f ca="1"/>
        <v/>
      </c>
      <c r="AA66" s="37" t="str">
        <f ca="1"/>
        <v/>
      </c>
      <c r="AB66" s="35" t="str">
        <f ca="1"/>
        <v/>
      </c>
    </row>
    <row r="67" spans="2:28">
      <c r="B67" s="38" t="str">
        <f ca="1"/>
        <v/>
      </c>
      <c r="C67" s="38" t="str">
        <f ca="1"/>
        <v/>
      </c>
      <c r="D67" s="40" t="str">
        <f ca="1"/>
        <v/>
      </c>
      <c r="E67" s="44" t="str">
        <f ca="1"/>
        <v/>
      </c>
      <c r="F67" s="38" t="str">
        <f ca="1"/>
        <v/>
      </c>
      <c r="G67" s="40" t="str">
        <f ca="1"/>
        <v/>
      </c>
      <c r="H67" s="40" t="str">
        <f ca="1"/>
        <v/>
      </c>
      <c r="I67" s="39" t="str">
        <f ca="1"/>
        <v/>
      </c>
      <c r="J67" s="41" t="str">
        <f ca="1"/>
        <v/>
      </c>
      <c r="K67" s="40" t="str">
        <f ca="1"/>
        <v/>
      </c>
      <c r="L67" s="42" t="str">
        <f ca="1"/>
        <v/>
      </c>
      <c r="M67" s="40" t="str">
        <f ca="1"/>
        <v/>
      </c>
      <c r="O67" s="38" t="str">
        <f ca="1"/>
        <v/>
      </c>
      <c r="P67" s="38" t="str">
        <f ca="1"/>
        <v/>
      </c>
      <c r="Q67" s="38" t="str">
        <f ca="1"/>
        <v/>
      </c>
      <c r="R67" s="40" t="str">
        <f ca="1"/>
        <v/>
      </c>
      <c r="S67" s="44" t="str">
        <f ca="1"/>
        <v/>
      </c>
      <c r="T67" s="38" t="str">
        <f ca="1"/>
        <v/>
      </c>
      <c r="U67" s="40" t="str">
        <f ca="1"/>
        <v/>
      </c>
      <c r="V67" s="40" t="str">
        <f ca="1"/>
        <v/>
      </c>
      <c r="W67" s="39" t="str">
        <f ca="1"/>
        <v/>
      </c>
      <c r="X67" s="39" t="str">
        <f ca="1"/>
        <v/>
      </c>
      <c r="Y67" s="55" t="str">
        <f ca="1"/>
        <v/>
      </c>
      <c r="Z67" s="40" t="str">
        <f ca="1"/>
        <v/>
      </c>
      <c r="AA67" s="37" t="str">
        <f ca="1"/>
        <v/>
      </c>
      <c r="AB67" s="35" t="str">
        <f ca="1"/>
        <v/>
      </c>
    </row>
    <row r="68" spans="2:28">
      <c r="B68" s="38" t="str">
        <f ca="1"/>
        <v/>
      </c>
      <c r="C68" s="38" t="str">
        <f ca="1"/>
        <v/>
      </c>
      <c r="D68" s="40" t="str">
        <f ca="1"/>
        <v/>
      </c>
      <c r="E68" s="44" t="str">
        <f ca="1"/>
        <v/>
      </c>
      <c r="F68" s="38" t="str">
        <f ca="1"/>
        <v/>
      </c>
      <c r="G68" s="40" t="str">
        <f ca="1"/>
        <v/>
      </c>
      <c r="H68" s="40" t="str">
        <f ca="1"/>
        <v/>
      </c>
      <c r="I68" s="39" t="str">
        <f ca="1"/>
        <v/>
      </c>
      <c r="J68" s="41" t="str">
        <f ca="1"/>
        <v/>
      </c>
      <c r="K68" s="40" t="str">
        <f ca="1"/>
        <v/>
      </c>
      <c r="L68" s="42" t="str">
        <f ca="1"/>
        <v/>
      </c>
      <c r="M68" s="40" t="str">
        <f ca="1"/>
        <v/>
      </c>
      <c r="O68" s="38" t="str">
        <f ca="1"/>
        <v/>
      </c>
      <c r="P68" s="38" t="str">
        <f ca="1"/>
        <v/>
      </c>
      <c r="Q68" s="38" t="str">
        <f ca="1"/>
        <v/>
      </c>
      <c r="R68" s="40" t="str">
        <f ca="1"/>
        <v/>
      </c>
      <c r="S68" s="44" t="str">
        <f ca="1"/>
        <v/>
      </c>
      <c r="T68" s="38" t="str">
        <f ca="1"/>
        <v/>
      </c>
      <c r="U68" s="40" t="str">
        <f ca="1"/>
        <v/>
      </c>
      <c r="V68" s="40" t="str">
        <f ca="1"/>
        <v/>
      </c>
      <c r="W68" s="39" t="str">
        <f ca="1"/>
        <v/>
      </c>
      <c r="X68" s="39" t="str">
        <f ca="1"/>
        <v/>
      </c>
      <c r="Y68" s="55" t="str">
        <f ca="1"/>
        <v/>
      </c>
      <c r="Z68" s="40" t="str">
        <f ca="1"/>
        <v/>
      </c>
      <c r="AA68" s="37" t="str">
        <f ca="1"/>
        <v/>
      </c>
      <c r="AB68" s="35" t="str">
        <f ca="1"/>
        <v/>
      </c>
    </row>
    <row r="69" spans="2:28">
      <c r="B69" s="38" t="str">
        <f ca="1"/>
        <v/>
      </c>
      <c r="C69" s="38" t="str">
        <f ca="1"/>
        <v/>
      </c>
      <c r="D69" s="40" t="str">
        <f ca="1"/>
        <v/>
      </c>
      <c r="E69" s="44" t="str">
        <f ca="1"/>
        <v/>
      </c>
      <c r="F69" s="38" t="str">
        <f ca="1"/>
        <v/>
      </c>
      <c r="G69" s="40" t="str">
        <f ca="1"/>
        <v/>
      </c>
      <c r="H69" s="40" t="str">
        <f ca="1"/>
        <v/>
      </c>
      <c r="I69" s="39" t="str">
        <f ca="1"/>
        <v/>
      </c>
      <c r="J69" s="41" t="str">
        <f ca="1"/>
        <v/>
      </c>
      <c r="K69" s="40" t="str">
        <f ca="1"/>
        <v/>
      </c>
      <c r="L69" s="42" t="str">
        <f ca="1"/>
        <v/>
      </c>
      <c r="M69" s="40" t="str">
        <f ca="1"/>
        <v/>
      </c>
      <c r="O69" s="38" t="str">
        <f ca="1"/>
        <v/>
      </c>
      <c r="P69" s="38" t="str">
        <f ca="1"/>
        <v/>
      </c>
      <c r="Q69" s="38" t="str">
        <f ca="1"/>
        <v/>
      </c>
      <c r="R69" s="40" t="str">
        <f ca="1"/>
        <v/>
      </c>
      <c r="S69" s="44" t="str">
        <f ca="1"/>
        <v/>
      </c>
      <c r="T69" s="38" t="str">
        <f ca="1"/>
        <v/>
      </c>
      <c r="U69" s="40" t="str">
        <f ca="1"/>
        <v/>
      </c>
      <c r="V69" s="40" t="str">
        <f ca="1"/>
        <v/>
      </c>
      <c r="W69" s="39" t="str">
        <f ca="1"/>
        <v/>
      </c>
      <c r="X69" s="39" t="str">
        <f ca="1"/>
        <v/>
      </c>
      <c r="Y69" s="55" t="str">
        <f ca="1"/>
        <v/>
      </c>
      <c r="Z69" s="40" t="str">
        <f ca="1"/>
        <v/>
      </c>
      <c r="AA69" s="37" t="str">
        <f ca="1"/>
        <v/>
      </c>
      <c r="AB69" s="35" t="str">
        <f ca="1"/>
        <v/>
      </c>
    </row>
    <row r="70" spans="2:28">
      <c r="B70" s="38" t="str">
        <f ca="1"/>
        <v/>
      </c>
      <c r="C70" s="38" t="str">
        <f ca="1"/>
        <v/>
      </c>
      <c r="D70" s="40" t="str">
        <f ca="1"/>
        <v/>
      </c>
      <c r="E70" s="44" t="str">
        <f ca="1"/>
        <v/>
      </c>
      <c r="F70" s="38" t="str">
        <f ca="1"/>
        <v/>
      </c>
      <c r="G70" s="40" t="str">
        <f ca="1"/>
        <v/>
      </c>
      <c r="H70" s="40" t="str">
        <f ca="1"/>
        <v/>
      </c>
      <c r="I70" s="39" t="str">
        <f ca="1"/>
        <v/>
      </c>
      <c r="J70" s="41" t="str">
        <f ca="1"/>
        <v/>
      </c>
      <c r="K70" s="40" t="str">
        <f ca="1"/>
        <v/>
      </c>
      <c r="L70" s="42" t="str">
        <f ca="1"/>
        <v/>
      </c>
      <c r="M70" s="40" t="str">
        <f ca="1"/>
        <v/>
      </c>
      <c r="O70" s="38" t="str">
        <f ca="1"/>
        <v/>
      </c>
      <c r="P70" s="38" t="str">
        <f ca="1"/>
        <v/>
      </c>
      <c r="Q70" s="38" t="str">
        <f ca="1"/>
        <v/>
      </c>
      <c r="R70" s="40" t="str">
        <f ca="1"/>
        <v/>
      </c>
      <c r="S70" s="44" t="str">
        <f ca="1"/>
        <v/>
      </c>
      <c r="T70" s="38" t="str">
        <f ca="1"/>
        <v/>
      </c>
      <c r="U70" s="40" t="str">
        <f ca="1"/>
        <v/>
      </c>
      <c r="V70" s="40" t="str">
        <f ca="1"/>
        <v/>
      </c>
      <c r="W70" s="39" t="str">
        <f ca="1"/>
        <v/>
      </c>
      <c r="X70" s="39" t="str">
        <f ca="1"/>
        <v/>
      </c>
      <c r="Y70" s="55" t="str">
        <f ca="1"/>
        <v/>
      </c>
      <c r="Z70" s="40" t="str">
        <f ca="1"/>
        <v/>
      </c>
      <c r="AA70" s="37" t="str">
        <f ca="1"/>
        <v/>
      </c>
      <c r="AB70" s="35" t="str">
        <f ca="1"/>
        <v/>
      </c>
    </row>
    <row r="71" spans="2:28">
      <c r="B71" s="38" t="str">
        <f ca="1"/>
        <v/>
      </c>
      <c r="C71" s="38" t="str">
        <f ca="1"/>
        <v/>
      </c>
      <c r="D71" s="40" t="str">
        <f ca="1"/>
        <v/>
      </c>
      <c r="E71" s="44" t="str">
        <f ca="1"/>
        <v/>
      </c>
      <c r="F71" s="38" t="str">
        <f ca="1"/>
        <v/>
      </c>
      <c r="G71" s="40" t="str">
        <f ca="1"/>
        <v/>
      </c>
      <c r="H71" s="40" t="str">
        <f ca="1"/>
        <v/>
      </c>
      <c r="I71" s="39" t="str">
        <f ca="1"/>
        <v/>
      </c>
      <c r="J71" s="41" t="str">
        <f ca="1"/>
        <v/>
      </c>
      <c r="K71" s="40" t="str">
        <f ca="1"/>
        <v/>
      </c>
      <c r="L71" s="42" t="str">
        <f ca="1"/>
        <v/>
      </c>
      <c r="M71" s="40" t="str">
        <f ca="1"/>
        <v/>
      </c>
      <c r="O71" s="38" t="str">
        <f ca="1"/>
        <v/>
      </c>
      <c r="P71" s="38" t="str">
        <f ca="1"/>
        <v/>
      </c>
      <c r="Q71" s="38" t="str">
        <f ca="1"/>
        <v/>
      </c>
      <c r="R71" s="40" t="str">
        <f ca="1"/>
        <v/>
      </c>
      <c r="S71" s="44" t="str">
        <f ca="1"/>
        <v/>
      </c>
      <c r="T71" s="38" t="str">
        <f ca="1"/>
        <v/>
      </c>
      <c r="U71" s="40" t="str">
        <f ca="1"/>
        <v/>
      </c>
      <c r="V71" s="40" t="str">
        <f ca="1"/>
        <v/>
      </c>
      <c r="W71" s="39" t="str">
        <f ca="1"/>
        <v/>
      </c>
      <c r="X71" s="39" t="str">
        <f ca="1"/>
        <v/>
      </c>
      <c r="Y71" s="55" t="str">
        <f ca="1"/>
        <v/>
      </c>
      <c r="Z71" s="40" t="str">
        <f ca="1"/>
        <v/>
      </c>
      <c r="AA71" s="37" t="str">
        <f ca="1"/>
        <v/>
      </c>
      <c r="AB71" s="35" t="str">
        <f ca="1"/>
        <v/>
      </c>
    </row>
    <row r="72" spans="2:28">
      <c r="B72" s="38" t="str">
        <f ca="1"/>
        <v/>
      </c>
      <c r="C72" s="38" t="str">
        <f ca="1"/>
        <v/>
      </c>
      <c r="D72" s="40" t="str">
        <f ca="1"/>
        <v/>
      </c>
      <c r="E72" s="44" t="str">
        <f ca="1"/>
        <v/>
      </c>
      <c r="F72" s="38" t="str">
        <f ca="1"/>
        <v/>
      </c>
      <c r="G72" s="40" t="str">
        <f ca="1"/>
        <v/>
      </c>
      <c r="H72" s="40" t="str">
        <f ca="1"/>
        <v/>
      </c>
      <c r="I72" s="39" t="str">
        <f ca="1"/>
        <v/>
      </c>
      <c r="J72" s="41" t="str">
        <f ca="1"/>
        <v/>
      </c>
      <c r="K72" s="40" t="str">
        <f ca="1"/>
        <v/>
      </c>
      <c r="L72" s="42" t="str">
        <f ca="1"/>
        <v/>
      </c>
      <c r="M72" s="40" t="str">
        <f ca="1"/>
        <v/>
      </c>
      <c r="O72" s="38" t="str">
        <f ca="1"/>
        <v/>
      </c>
      <c r="P72" s="38" t="str">
        <f ca="1"/>
        <v/>
      </c>
      <c r="Q72" s="38" t="str">
        <f ca="1"/>
        <v/>
      </c>
      <c r="R72" s="40" t="str">
        <f ca="1"/>
        <v/>
      </c>
      <c r="S72" s="44" t="str">
        <f ca="1"/>
        <v/>
      </c>
      <c r="T72" s="38" t="str">
        <f ca="1"/>
        <v/>
      </c>
      <c r="U72" s="40" t="str">
        <f ca="1"/>
        <v/>
      </c>
      <c r="V72" s="40" t="str">
        <f ca="1"/>
        <v/>
      </c>
      <c r="W72" s="39" t="str">
        <f ca="1"/>
        <v/>
      </c>
      <c r="X72" s="39" t="str">
        <f ca="1"/>
        <v/>
      </c>
      <c r="Y72" s="55" t="str">
        <f ca="1"/>
        <v/>
      </c>
      <c r="Z72" s="40" t="str">
        <f ca="1"/>
        <v/>
      </c>
      <c r="AA72" s="37" t="str">
        <f ca="1"/>
        <v/>
      </c>
      <c r="AB72" s="35" t="str">
        <f ca="1"/>
        <v/>
      </c>
    </row>
    <row r="73" spans="2:28">
      <c r="B73" s="38" t="str">
        <f ca="1"/>
        <v/>
      </c>
      <c r="C73" s="38" t="str">
        <f ca="1"/>
        <v/>
      </c>
      <c r="D73" s="40" t="str">
        <f ca="1"/>
        <v/>
      </c>
      <c r="E73" s="44" t="str">
        <f ca="1"/>
        <v/>
      </c>
      <c r="F73" s="38" t="str">
        <f ca="1"/>
        <v/>
      </c>
      <c r="G73" s="40" t="str">
        <f ca="1"/>
        <v/>
      </c>
      <c r="H73" s="40" t="str">
        <f ca="1"/>
        <v/>
      </c>
      <c r="I73" s="39" t="str">
        <f ca="1"/>
        <v/>
      </c>
      <c r="J73" s="41" t="str">
        <f ca="1"/>
        <v/>
      </c>
      <c r="K73" s="40" t="str">
        <f ca="1"/>
        <v/>
      </c>
      <c r="L73" s="42" t="str">
        <f ca="1"/>
        <v/>
      </c>
      <c r="M73" s="40" t="str">
        <f ca="1"/>
        <v/>
      </c>
      <c r="O73" s="38" t="str">
        <f ca="1"/>
        <v/>
      </c>
      <c r="P73" s="38" t="str">
        <f ca="1"/>
        <v/>
      </c>
      <c r="Q73" s="38" t="str">
        <f ca="1"/>
        <v/>
      </c>
      <c r="R73" s="40" t="str">
        <f ca="1"/>
        <v/>
      </c>
      <c r="S73" s="44" t="str">
        <f ca="1"/>
        <v/>
      </c>
      <c r="T73" s="38" t="str">
        <f ca="1"/>
        <v/>
      </c>
      <c r="U73" s="40" t="str">
        <f ca="1"/>
        <v/>
      </c>
      <c r="V73" s="40" t="str">
        <f ca="1"/>
        <v/>
      </c>
      <c r="W73" s="39" t="str">
        <f ca="1"/>
        <v/>
      </c>
      <c r="X73" s="39" t="str">
        <f ca="1"/>
        <v/>
      </c>
      <c r="Y73" s="55" t="str">
        <f ca="1"/>
        <v/>
      </c>
      <c r="Z73" s="40" t="str">
        <f ca="1"/>
        <v/>
      </c>
      <c r="AA73" s="37" t="str">
        <f ca="1"/>
        <v/>
      </c>
      <c r="AB73" s="35" t="str">
        <f ca="1"/>
        <v/>
      </c>
    </row>
    <row r="74" spans="2:28">
      <c r="B74" s="38" t="str">
        <f ca="1"/>
        <v/>
      </c>
      <c r="C74" s="38" t="str">
        <f ca="1"/>
        <v/>
      </c>
      <c r="D74" s="40" t="str">
        <f ca="1"/>
        <v/>
      </c>
      <c r="E74" s="44" t="str">
        <f ca="1"/>
        <v/>
      </c>
      <c r="F74" s="38" t="str">
        <f ca="1"/>
        <v/>
      </c>
      <c r="G74" s="40" t="str">
        <f ca="1"/>
        <v/>
      </c>
      <c r="H74" s="40" t="str">
        <f ca="1"/>
        <v/>
      </c>
      <c r="I74" s="39" t="str">
        <f ca="1"/>
        <v/>
      </c>
      <c r="J74" s="41" t="str">
        <f ca="1"/>
        <v/>
      </c>
      <c r="K74" s="40" t="str">
        <f ca="1"/>
        <v/>
      </c>
      <c r="L74" s="42" t="str">
        <f ca="1"/>
        <v/>
      </c>
      <c r="M74" s="40" t="str">
        <f ca="1"/>
        <v/>
      </c>
      <c r="O74" s="38" t="str">
        <f ca="1"/>
        <v/>
      </c>
      <c r="P74" s="38" t="str">
        <f ca="1"/>
        <v/>
      </c>
      <c r="Q74" s="38" t="str">
        <f ca="1"/>
        <v/>
      </c>
      <c r="R74" s="40" t="str">
        <f ca="1"/>
        <v/>
      </c>
      <c r="S74" s="44" t="str">
        <f ca="1"/>
        <v/>
      </c>
      <c r="T74" s="38" t="str">
        <f ca="1"/>
        <v/>
      </c>
      <c r="U74" s="40" t="str">
        <f ca="1"/>
        <v/>
      </c>
      <c r="V74" s="40" t="str">
        <f ca="1"/>
        <v/>
      </c>
      <c r="W74" s="39" t="str">
        <f ca="1"/>
        <v/>
      </c>
      <c r="X74" s="39" t="str">
        <f ca="1"/>
        <v/>
      </c>
      <c r="Y74" s="55" t="str">
        <f ca="1"/>
        <v/>
      </c>
      <c r="Z74" s="40" t="str">
        <f ca="1"/>
        <v/>
      </c>
      <c r="AA74" s="37" t="str">
        <f ca="1"/>
        <v/>
      </c>
      <c r="AB74" s="35" t="str">
        <f ca="1"/>
        <v/>
      </c>
    </row>
    <row r="75" spans="2:28">
      <c r="B75" s="38" t="str">
        <f ca="1"/>
        <v/>
      </c>
      <c r="C75" s="38" t="str">
        <f ca="1"/>
        <v/>
      </c>
      <c r="D75" s="40" t="str">
        <f ca="1"/>
        <v/>
      </c>
      <c r="E75" s="44" t="str">
        <f ca="1"/>
        <v/>
      </c>
      <c r="F75" s="38" t="str">
        <f ca="1"/>
        <v/>
      </c>
      <c r="G75" s="40" t="str">
        <f ca="1"/>
        <v/>
      </c>
      <c r="H75" s="40" t="str">
        <f ca="1"/>
        <v/>
      </c>
      <c r="I75" s="39" t="str">
        <f ca="1"/>
        <v/>
      </c>
      <c r="J75" s="41" t="str">
        <f ca="1"/>
        <v/>
      </c>
      <c r="K75" s="40" t="str">
        <f ca="1"/>
        <v/>
      </c>
      <c r="L75" s="42" t="str">
        <f ca="1"/>
        <v/>
      </c>
      <c r="M75" s="40" t="str">
        <f ca="1"/>
        <v/>
      </c>
      <c r="O75" s="38" t="str">
        <f ca="1"/>
        <v/>
      </c>
      <c r="P75" s="38" t="str">
        <f ca="1"/>
        <v/>
      </c>
      <c r="Q75" s="38" t="str">
        <f ca="1"/>
        <v/>
      </c>
      <c r="R75" s="40" t="str">
        <f ca="1"/>
        <v/>
      </c>
      <c r="S75" s="44" t="str">
        <f ca="1"/>
        <v/>
      </c>
      <c r="T75" s="38" t="str">
        <f ca="1"/>
        <v/>
      </c>
      <c r="U75" s="40" t="str">
        <f ca="1"/>
        <v/>
      </c>
      <c r="V75" s="40" t="str">
        <f ca="1"/>
        <v/>
      </c>
      <c r="W75" s="39" t="str">
        <f ca="1"/>
        <v/>
      </c>
      <c r="X75" s="39" t="str">
        <f ca="1"/>
        <v/>
      </c>
      <c r="Y75" s="55" t="str">
        <f ca="1"/>
        <v/>
      </c>
      <c r="Z75" s="40" t="str">
        <f ca="1"/>
        <v/>
      </c>
      <c r="AA75" s="37" t="str">
        <f ca="1"/>
        <v/>
      </c>
      <c r="AB75" s="35" t="str">
        <f ca="1"/>
        <v/>
      </c>
    </row>
    <row r="76" spans="2:28">
      <c r="B76" s="38" t="str">
        <f ca="1"/>
        <v/>
      </c>
      <c r="C76" s="38" t="str">
        <f ca="1"/>
        <v/>
      </c>
      <c r="D76" s="40" t="str">
        <f ca="1"/>
        <v/>
      </c>
      <c r="E76" s="44" t="str">
        <f ca="1"/>
        <v/>
      </c>
      <c r="F76" s="38" t="str">
        <f ca="1"/>
        <v/>
      </c>
      <c r="G76" s="40" t="str">
        <f ca="1"/>
        <v/>
      </c>
      <c r="H76" s="40" t="str">
        <f ca="1"/>
        <v/>
      </c>
      <c r="I76" s="39" t="str">
        <f ca="1"/>
        <v/>
      </c>
      <c r="J76" s="41" t="str">
        <f ca="1"/>
        <v/>
      </c>
      <c r="K76" s="40" t="str">
        <f ca="1"/>
        <v/>
      </c>
      <c r="L76" s="42" t="str">
        <f ca="1"/>
        <v/>
      </c>
      <c r="M76" s="40" t="str">
        <f ca="1"/>
        <v/>
      </c>
      <c r="O76" s="38" t="str">
        <f ca="1"/>
        <v/>
      </c>
      <c r="P76" s="38" t="str">
        <f ca="1"/>
        <v/>
      </c>
      <c r="Q76" s="38" t="str">
        <f ca="1"/>
        <v/>
      </c>
      <c r="R76" s="40" t="str">
        <f ca="1"/>
        <v/>
      </c>
      <c r="S76" s="44" t="str">
        <f ca="1"/>
        <v/>
      </c>
      <c r="T76" s="38" t="str">
        <f ca="1"/>
        <v/>
      </c>
      <c r="U76" s="40" t="str">
        <f ca="1"/>
        <v/>
      </c>
      <c r="V76" s="40" t="str">
        <f ca="1"/>
        <v/>
      </c>
      <c r="W76" s="39" t="str">
        <f ca="1"/>
        <v/>
      </c>
      <c r="X76" s="39" t="str">
        <f ca="1"/>
        <v/>
      </c>
      <c r="Y76" s="55" t="str">
        <f ca="1"/>
        <v/>
      </c>
      <c r="Z76" s="40" t="str">
        <f ca="1"/>
        <v/>
      </c>
      <c r="AA76" s="37" t="str">
        <f ca="1"/>
        <v/>
      </c>
      <c r="AB76" s="35" t="str">
        <f ca="1"/>
        <v/>
      </c>
    </row>
    <row r="77" spans="2:28">
      <c r="B77" s="38" t="str">
        <f ca="1"/>
        <v/>
      </c>
      <c r="C77" s="38" t="str">
        <f ca="1"/>
        <v/>
      </c>
      <c r="D77" s="40" t="str">
        <f ca="1"/>
        <v/>
      </c>
      <c r="E77" s="44" t="str">
        <f ca="1"/>
        <v/>
      </c>
      <c r="F77" s="38" t="str">
        <f ca="1"/>
        <v/>
      </c>
      <c r="G77" s="40" t="str">
        <f ca="1"/>
        <v/>
      </c>
      <c r="H77" s="40" t="str">
        <f ca="1"/>
        <v/>
      </c>
      <c r="I77" s="39" t="str">
        <f ca="1"/>
        <v/>
      </c>
      <c r="J77" s="41" t="str">
        <f ca="1"/>
        <v/>
      </c>
      <c r="K77" s="40" t="str">
        <f ca="1"/>
        <v/>
      </c>
      <c r="L77" s="42" t="str">
        <f ca="1"/>
        <v/>
      </c>
      <c r="M77" s="40" t="str">
        <f ca="1"/>
        <v/>
      </c>
      <c r="O77" s="38" t="str">
        <f ca="1"/>
        <v/>
      </c>
      <c r="P77" s="38" t="str">
        <f ca="1"/>
        <v/>
      </c>
      <c r="Q77" s="38" t="str">
        <f ca="1"/>
        <v/>
      </c>
      <c r="R77" s="40" t="str">
        <f ca="1"/>
        <v/>
      </c>
      <c r="S77" s="44" t="str">
        <f ca="1"/>
        <v/>
      </c>
      <c r="T77" s="38" t="str">
        <f ca="1"/>
        <v/>
      </c>
      <c r="U77" s="40" t="str">
        <f ca="1"/>
        <v/>
      </c>
      <c r="V77" s="40" t="str">
        <f ca="1"/>
        <v/>
      </c>
      <c r="W77" s="39" t="str">
        <f ca="1"/>
        <v/>
      </c>
      <c r="X77" s="39" t="str">
        <f ca="1"/>
        <v/>
      </c>
      <c r="Y77" s="55" t="str">
        <f ca="1"/>
        <v/>
      </c>
      <c r="Z77" s="40" t="str">
        <f ca="1"/>
        <v/>
      </c>
      <c r="AA77" s="37" t="str">
        <f ca="1"/>
        <v/>
      </c>
      <c r="AB77" s="35" t="str">
        <f ca="1"/>
        <v/>
      </c>
    </row>
    <row r="78" spans="2:28">
      <c r="B78" s="38" t="str">
        <f ca="1"/>
        <v/>
      </c>
      <c r="C78" s="38" t="str">
        <f ca="1"/>
        <v/>
      </c>
      <c r="D78" s="40" t="str">
        <f ca="1"/>
        <v/>
      </c>
      <c r="E78" s="44" t="str">
        <f ca="1"/>
        <v/>
      </c>
      <c r="F78" s="38" t="str">
        <f ca="1"/>
        <v/>
      </c>
      <c r="G78" s="40" t="str">
        <f ca="1"/>
        <v/>
      </c>
      <c r="H78" s="40" t="str">
        <f ca="1"/>
        <v/>
      </c>
      <c r="I78" s="39" t="str">
        <f ca="1"/>
        <v/>
      </c>
      <c r="J78" s="41" t="str">
        <f ca="1"/>
        <v/>
      </c>
      <c r="K78" s="40" t="str">
        <f ca="1"/>
        <v/>
      </c>
      <c r="L78" s="42" t="str">
        <f ca="1"/>
        <v/>
      </c>
      <c r="M78" s="40" t="str">
        <f ca="1"/>
        <v/>
      </c>
      <c r="O78" s="38" t="str">
        <f ca="1"/>
        <v/>
      </c>
      <c r="P78" s="38" t="str">
        <f ca="1"/>
        <v/>
      </c>
      <c r="Q78" s="38" t="str">
        <f ca="1"/>
        <v/>
      </c>
      <c r="R78" s="40" t="str">
        <f ca="1"/>
        <v/>
      </c>
      <c r="S78" s="44" t="str">
        <f ca="1"/>
        <v/>
      </c>
      <c r="T78" s="38" t="str">
        <f ca="1"/>
        <v/>
      </c>
      <c r="U78" s="40" t="str">
        <f ca="1"/>
        <v/>
      </c>
      <c r="V78" s="40" t="str">
        <f ca="1"/>
        <v/>
      </c>
      <c r="W78" s="39" t="str">
        <f ca="1"/>
        <v/>
      </c>
      <c r="X78" s="39" t="str">
        <f ca="1"/>
        <v/>
      </c>
      <c r="Y78" s="55" t="str">
        <f ca="1"/>
        <v/>
      </c>
      <c r="Z78" s="40" t="str">
        <f ca="1"/>
        <v/>
      </c>
      <c r="AA78" s="37" t="str">
        <f ca="1"/>
        <v/>
      </c>
      <c r="AB78" s="35" t="str">
        <f ca="1"/>
        <v/>
      </c>
    </row>
    <row r="79" spans="2:28">
      <c r="B79" s="38" t="str">
        <f ca="1"/>
        <v/>
      </c>
      <c r="C79" s="38" t="str">
        <f ca="1"/>
        <v/>
      </c>
      <c r="D79" s="40" t="str">
        <f ca="1"/>
        <v/>
      </c>
      <c r="E79" s="44" t="str">
        <f ca="1"/>
        <v/>
      </c>
      <c r="F79" s="38" t="str">
        <f ca="1"/>
        <v/>
      </c>
      <c r="G79" s="40" t="str">
        <f ca="1"/>
        <v/>
      </c>
      <c r="H79" s="40" t="str">
        <f ca="1"/>
        <v/>
      </c>
      <c r="I79" s="39" t="str">
        <f ca="1"/>
        <v/>
      </c>
      <c r="J79" s="41" t="str">
        <f ca="1"/>
        <v/>
      </c>
      <c r="K79" s="40" t="str">
        <f ca="1"/>
        <v/>
      </c>
      <c r="L79" s="42" t="str">
        <f ca="1"/>
        <v/>
      </c>
      <c r="M79" s="40" t="str">
        <f ca="1"/>
        <v/>
      </c>
      <c r="O79" s="38" t="str">
        <f ca="1"/>
        <v/>
      </c>
      <c r="P79" s="38" t="str">
        <f ca="1"/>
        <v/>
      </c>
      <c r="Q79" s="38" t="str">
        <f ca="1"/>
        <v/>
      </c>
      <c r="R79" s="40" t="str">
        <f ca="1"/>
        <v/>
      </c>
      <c r="S79" s="44" t="str">
        <f ca="1"/>
        <v/>
      </c>
      <c r="T79" s="38" t="str">
        <f ca="1"/>
        <v/>
      </c>
      <c r="U79" s="40" t="str">
        <f ca="1"/>
        <v/>
      </c>
      <c r="V79" s="40" t="str">
        <f ca="1"/>
        <v/>
      </c>
      <c r="W79" s="39" t="str">
        <f ca="1"/>
        <v/>
      </c>
      <c r="X79" s="39" t="str">
        <f ca="1"/>
        <v/>
      </c>
      <c r="Y79" s="55" t="str">
        <f ca="1"/>
        <v/>
      </c>
      <c r="Z79" s="40" t="str">
        <f ca="1"/>
        <v/>
      </c>
      <c r="AA79" s="37" t="str">
        <f ca="1"/>
        <v/>
      </c>
      <c r="AB79" s="35" t="str">
        <f ca="1"/>
        <v/>
      </c>
    </row>
    <row r="80" spans="2:28">
      <c r="B80" s="38" t="str">
        <f ca="1"/>
        <v/>
      </c>
      <c r="C80" s="38" t="str">
        <f ca="1"/>
        <v/>
      </c>
      <c r="D80" s="40" t="str">
        <f ca="1"/>
        <v/>
      </c>
      <c r="E80" s="44" t="str">
        <f ca="1"/>
        <v/>
      </c>
      <c r="F80" s="38" t="str">
        <f ca="1"/>
        <v/>
      </c>
      <c r="G80" s="40" t="str">
        <f ca="1"/>
        <v/>
      </c>
      <c r="H80" s="40" t="str">
        <f ca="1"/>
        <v/>
      </c>
      <c r="I80" s="39" t="str">
        <f ca="1"/>
        <v/>
      </c>
      <c r="J80" s="41" t="str">
        <f ca="1"/>
        <v/>
      </c>
      <c r="K80" s="40" t="str">
        <f ca="1"/>
        <v/>
      </c>
      <c r="L80" s="42" t="str">
        <f ca="1"/>
        <v/>
      </c>
      <c r="M80" s="40" t="str">
        <f ca="1"/>
        <v/>
      </c>
      <c r="O80" s="38" t="str">
        <f ca="1"/>
        <v/>
      </c>
      <c r="P80" s="38" t="str">
        <f ca="1"/>
        <v/>
      </c>
      <c r="Q80" s="38" t="str">
        <f ca="1"/>
        <v/>
      </c>
      <c r="R80" s="40" t="str">
        <f ca="1"/>
        <v/>
      </c>
      <c r="S80" s="44" t="str">
        <f ca="1"/>
        <v/>
      </c>
      <c r="T80" s="38" t="str">
        <f ca="1"/>
        <v/>
      </c>
      <c r="U80" s="40" t="str">
        <f ca="1"/>
        <v/>
      </c>
      <c r="V80" s="40" t="str">
        <f ca="1"/>
        <v/>
      </c>
      <c r="W80" s="39" t="str">
        <f ca="1"/>
        <v/>
      </c>
      <c r="X80" s="39" t="str">
        <f ca="1"/>
        <v/>
      </c>
      <c r="Y80" s="55" t="str">
        <f ca="1"/>
        <v/>
      </c>
      <c r="Z80" s="40" t="str">
        <f ca="1"/>
        <v/>
      </c>
      <c r="AA80" s="37" t="str">
        <f ca="1"/>
        <v/>
      </c>
      <c r="AB80" s="35" t="str">
        <f ca="1"/>
        <v/>
      </c>
    </row>
    <row r="81" spans="2:28">
      <c r="B81" s="38" t="str">
        <f ca="1"/>
        <v/>
      </c>
      <c r="C81" s="38" t="str">
        <f ca="1"/>
        <v/>
      </c>
      <c r="D81" s="40" t="str">
        <f ca="1"/>
        <v/>
      </c>
      <c r="E81" s="44" t="str">
        <f ca="1"/>
        <v/>
      </c>
      <c r="F81" s="38" t="str">
        <f ca="1"/>
        <v/>
      </c>
      <c r="G81" s="40" t="str">
        <f ca="1"/>
        <v/>
      </c>
      <c r="H81" s="40" t="str">
        <f ca="1"/>
        <v/>
      </c>
      <c r="I81" s="39" t="str">
        <f ca="1"/>
        <v/>
      </c>
      <c r="J81" s="41" t="str">
        <f ca="1"/>
        <v/>
      </c>
      <c r="K81" s="40" t="str">
        <f ca="1"/>
        <v/>
      </c>
      <c r="L81" s="42" t="str">
        <f ca="1"/>
        <v/>
      </c>
      <c r="M81" s="40" t="str">
        <f ca="1"/>
        <v/>
      </c>
      <c r="O81" s="38" t="str">
        <f ca="1"/>
        <v/>
      </c>
      <c r="P81" s="38" t="str">
        <f ca="1"/>
        <v/>
      </c>
      <c r="Q81" s="38" t="str">
        <f ca="1"/>
        <v/>
      </c>
      <c r="R81" s="40" t="str">
        <f ca="1"/>
        <v/>
      </c>
      <c r="S81" s="44" t="str">
        <f ca="1"/>
        <v/>
      </c>
      <c r="T81" s="38" t="str">
        <f ca="1"/>
        <v/>
      </c>
      <c r="U81" s="40" t="str">
        <f ca="1"/>
        <v/>
      </c>
      <c r="V81" s="40" t="str">
        <f ca="1"/>
        <v/>
      </c>
      <c r="W81" s="39" t="str">
        <f ca="1"/>
        <v/>
      </c>
      <c r="X81" s="39" t="str">
        <f ca="1"/>
        <v/>
      </c>
      <c r="Y81" s="55" t="str">
        <f ca="1"/>
        <v/>
      </c>
      <c r="Z81" s="40" t="str">
        <f ca="1"/>
        <v/>
      </c>
      <c r="AA81" s="37" t="str">
        <f ca="1"/>
        <v/>
      </c>
      <c r="AB81" s="35" t="str">
        <f ca="1"/>
        <v/>
      </c>
    </row>
    <row r="82" spans="2:28">
      <c r="B82" s="38" t="str">
        <f ca="1"/>
        <v/>
      </c>
      <c r="C82" s="38" t="str">
        <f ca="1"/>
        <v/>
      </c>
      <c r="D82" s="40" t="str">
        <f ca="1"/>
        <v/>
      </c>
      <c r="E82" s="44" t="str">
        <f ca="1"/>
        <v/>
      </c>
      <c r="F82" s="38" t="str">
        <f ca="1"/>
        <v/>
      </c>
      <c r="G82" s="40" t="str">
        <f ca="1"/>
        <v/>
      </c>
      <c r="H82" s="40" t="str">
        <f ca="1"/>
        <v/>
      </c>
      <c r="I82" s="39" t="str">
        <f ca="1"/>
        <v/>
      </c>
      <c r="J82" s="41" t="str">
        <f ca="1"/>
        <v/>
      </c>
      <c r="K82" s="40" t="str">
        <f ca="1"/>
        <v/>
      </c>
      <c r="L82" s="42" t="str">
        <f ca="1"/>
        <v/>
      </c>
      <c r="M82" s="40" t="str">
        <f ca="1"/>
        <v/>
      </c>
      <c r="O82" s="38" t="str">
        <f ca="1"/>
        <v/>
      </c>
      <c r="P82" s="38" t="str">
        <f ca="1"/>
        <v/>
      </c>
      <c r="Q82" s="38" t="str">
        <f ca="1"/>
        <v/>
      </c>
      <c r="R82" s="40" t="str">
        <f ca="1"/>
        <v/>
      </c>
      <c r="S82" s="44" t="str">
        <f ca="1"/>
        <v/>
      </c>
      <c r="T82" s="38" t="str">
        <f ca="1"/>
        <v/>
      </c>
      <c r="U82" s="40" t="str">
        <f ca="1"/>
        <v/>
      </c>
      <c r="V82" s="40" t="str">
        <f ca="1"/>
        <v/>
      </c>
      <c r="W82" s="39" t="str">
        <f ca="1"/>
        <v/>
      </c>
      <c r="X82" s="39" t="str">
        <f ca="1"/>
        <v/>
      </c>
      <c r="Y82" s="55" t="str">
        <f ca="1"/>
        <v/>
      </c>
      <c r="Z82" s="40" t="str">
        <f ca="1"/>
        <v/>
      </c>
      <c r="AA82" s="37" t="str">
        <f ca="1"/>
        <v/>
      </c>
      <c r="AB82" s="35" t="str">
        <f ca="1"/>
        <v/>
      </c>
    </row>
    <row r="83" spans="2:28">
      <c r="B83" s="38" t="str">
        <f ca="1"/>
        <v/>
      </c>
      <c r="C83" s="38" t="str">
        <f ca="1"/>
        <v/>
      </c>
      <c r="D83" s="40" t="str">
        <f ca="1"/>
        <v/>
      </c>
      <c r="E83" s="44" t="str">
        <f ca="1"/>
        <v/>
      </c>
      <c r="F83" s="38" t="str">
        <f ca="1"/>
        <v/>
      </c>
      <c r="G83" s="40" t="str">
        <f ca="1"/>
        <v/>
      </c>
      <c r="H83" s="40" t="str">
        <f ca="1"/>
        <v/>
      </c>
      <c r="I83" s="39" t="str">
        <f ca="1"/>
        <v/>
      </c>
      <c r="J83" s="41" t="str">
        <f ca="1"/>
        <v/>
      </c>
      <c r="K83" s="40" t="str">
        <f ca="1"/>
        <v/>
      </c>
      <c r="L83" s="42" t="str">
        <f ca="1"/>
        <v/>
      </c>
      <c r="M83" s="40" t="str">
        <f ca="1"/>
        <v/>
      </c>
      <c r="O83" s="38" t="str">
        <f ca="1"/>
        <v/>
      </c>
      <c r="P83" s="38" t="str">
        <f ca="1"/>
        <v/>
      </c>
      <c r="Q83" s="38" t="str">
        <f ca="1"/>
        <v/>
      </c>
      <c r="R83" s="40" t="str">
        <f ca="1"/>
        <v/>
      </c>
      <c r="S83" s="44" t="str">
        <f ca="1"/>
        <v/>
      </c>
      <c r="T83" s="38" t="str">
        <f ca="1"/>
        <v/>
      </c>
      <c r="U83" s="40" t="str">
        <f ca="1"/>
        <v/>
      </c>
      <c r="V83" s="40" t="str">
        <f ca="1"/>
        <v/>
      </c>
      <c r="W83" s="39" t="str">
        <f ca="1"/>
        <v/>
      </c>
      <c r="X83" s="39" t="str">
        <f ca="1"/>
        <v/>
      </c>
      <c r="Y83" s="55" t="str">
        <f ca="1"/>
        <v/>
      </c>
      <c r="Z83" s="40" t="str">
        <f ca="1"/>
        <v/>
      </c>
      <c r="AA83" s="37" t="str">
        <f ca="1"/>
        <v/>
      </c>
      <c r="AB83" s="35" t="str">
        <f ca="1"/>
        <v/>
      </c>
    </row>
    <row r="84" spans="2:28">
      <c r="B84" s="38" t="str">
        <f ca="1"/>
        <v/>
      </c>
      <c r="C84" s="38" t="str">
        <f ca="1"/>
        <v/>
      </c>
      <c r="D84" s="40" t="str">
        <f ca="1"/>
        <v/>
      </c>
      <c r="E84" s="44" t="str">
        <f ca="1"/>
        <v/>
      </c>
      <c r="F84" s="38" t="str">
        <f ca="1"/>
        <v/>
      </c>
      <c r="G84" s="40" t="str">
        <f ca="1"/>
        <v/>
      </c>
      <c r="H84" s="40" t="str">
        <f ca="1"/>
        <v/>
      </c>
      <c r="I84" s="39" t="str">
        <f ca="1"/>
        <v/>
      </c>
      <c r="J84" s="41" t="str">
        <f ca="1"/>
        <v/>
      </c>
      <c r="K84" s="40" t="str">
        <f ca="1"/>
        <v/>
      </c>
      <c r="L84" s="42" t="str">
        <f ca="1"/>
        <v/>
      </c>
      <c r="M84" s="40" t="str">
        <f ca="1"/>
        <v/>
      </c>
      <c r="O84" s="38" t="str">
        <f ca="1"/>
        <v/>
      </c>
      <c r="P84" s="38" t="str">
        <f ca="1"/>
        <v/>
      </c>
      <c r="Q84" s="38" t="str">
        <f ca="1"/>
        <v/>
      </c>
      <c r="R84" s="40" t="str">
        <f ca="1"/>
        <v/>
      </c>
      <c r="S84" s="44" t="str">
        <f ca="1"/>
        <v/>
      </c>
      <c r="T84" s="38" t="str">
        <f ca="1"/>
        <v/>
      </c>
      <c r="U84" s="40" t="str">
        <f ca="1"/>
        <v/>
      </c>
      <c r="V84" s="40" t="str">
        <f ca="1"/>
        <v/>
      </c>
      <c r="W84" s="39" t="str">
        <f ca="1"/>
        <v/>
      </c>
      <c r="X84" s="39" t="str">
        <f ca="1"/>
        <v/>
      </c>
      <c r="Y84" s="55" t="str">
        <f ca="1"/>
        <v/>
      </c>
      <c r="Z84" s="40" t="str">
        <f ca="1"/>
        <v/>
      </c>
      <c r="AA84" s="37" t="str">
        <f ca="1"/>
        <v/>
      </c>
      <c r="AB84" s="35" t="str">
        <f ca="1"/>
        <v/>
      </c>
    </row>
    <row r="85" spans="2:28">
      <c r="B85" s="38" t="str">
        <f ca="1"/>
        <v/>
      </c>
      <c r="C85" s="38" t="str">
        <f ca="1"/>
        <v/>
      </c>
      <c r="D85" s="40" t="str">
        <f ca="1"/>
        <v/>
      </c>
      <c r="E85" s="44" t="str">
        <f ca="1"/>
        <v/>
      </c>
      <c r="F85" s="38" t="str">
        <f ca="1"/>
        <v/>
      </c>
      <c r="G85" s="40" t="str">
        <f ca="1"/>
        <v/>
      </c>
      <c r="H85" s="40" t="str">
        <f ca="1"/>
        <v/>
      </c>
      <c r="I85" s="39" t="str">
        <f ca="1"/>
        <v/>
      </c>
      <c r="J85" s="41" t="str">
        <f ca="1"/>
        <v/>
      </c>
      <c r="K85" s="40" t="str">
        <f ca="1"/>
        <v/>
      </c>
      <c r="L85" s="42" t="str">
        <f ca="1"/>
        <v/>
      </c>
      <c r="M85" s="40" t="str">
        <f ca="1"/>
        <v/>
      </c>
      <c r="O85" s="38" t="str">
        <f ca="1"/>
        <v/>
      </c>
      <c r="P85" s="38" t="str">
        <f ca="1"/>
        <v/>
      </c>
      <c r="Q85" s="38" t="str">
        <f ca="1"/>
        <v/>
      </c>
      <c r="R85" s="40" t="str">
        <f ca="1"/>
        <v/>
      </c>
      <c r="S85" s="44" t="str">
        <f ca="1"/>
        <v/>
      </c>
      <c r="T85" s="38" t="str">
        <f ca="1"/>
        <v/>
      </c>
      <c r="U85" s="40" t="str">
        <f ca="1"/>
        <v/>
      </c>
      <c r="V85" s="40" t="str">
        <f ca="1"/>
        <v/>
      </c>
      <c r="W85" s="39" t="str">
        <f ca="1"/>
        <v/>
      </c>
      <c r="X85" s="39" t="str">
        <f ca="1"/>
        <v/>
      </c>
      <c r="Y85" s="55" t="str">
        <f ca="1"/>
        <v/>
      </c>
      <c r="Z85" s="40" t="str">
        <f ca="1"/>
        <v/>
      </c>
      <c r="AA85" s="37" t="str">
        <f ca="1"/>
        <v/>
      </c>
      <c r="AB85" s="35" t="str">
        <f ca="1"/>
        <v/>
      </c>
    </row>
    <row r="86" spans="2:28">
      <c r="B86" s="38" t="str">
        <f ca="1"/>
        <v/>
      </c>
      <c r="C86" s="38" t="str">
        <f ca="1"/>
        <v/>
      </c>
      <c r="D86" s="40" t="str">
        <f ca="1"/>
        <v/>
      </c>
      <c r="E86" s="44" t="str">
        <f ca="1"/>
        <v/>
      </c>
      <c r="F86" s="38" t="str">
        <f ca="1"/>
        <v/>
      </c>
      <c r="G86" s="40" t="str">
        <f ca="1"/>
        <v/>
      </c>
      <c r="H86" s="40" t="str">
        <f ca="1"/>
        <v/>
      </c>
      <c r="I86" s="39" t="str">
        <f ca="1"/>
        <v/>
      </c>
      <c r="J86" s="41" t="str">
        <f ca="1"/>
        <v/>
      </c>
      <c r="K86" s="40" t="str">
        <f ca="1"/>
        <v/>
      </c>
      <c r="L86" s="42" t="str">
        <f ca="1"/>
        <v/>
      </c>
      <c r="M86" s="40" t="str">
        <f ca="1"/>
        <v/>
      </c>
      <c r="O86" s="38" t="str">
        <f ca="1"/>
        <v/>
      </c>
      <c r="P86" s="38" t="str">
        <f ca="1"/>
        <v/>
      </c>
      <c r="Q86" s="38" t="str">
        <f ca="1"/>
        <v/>
      </c>
      <c r="R86" s="40" t="str">
        <f ca="1"/>
        <v/>
      </c>
      <c r="S86" s="44" t="str">
        <f ca="1"/>
        <v/>
      </c>
      <c r="T86" s="38" t="str">
        <f ca="1"/>
        <v/>
      </c>
      <c r="U86" s="40" t="str">
        <f ca="1"/>
        <v/>
      </c>
      <c r="V86" s="40" t="str">
        <f ca="1"/>
        <v/>
      </c>
      <c r="W86" s="39" t="str">
        <f ca="1"/>
        <v/>
      </c>
      <c r="X86" s="39" t="str">
        <f ca="1"/>
        <v/>
      </c>
      <c r="Y86" s="55" t="str">
        <f ca="1"/>
        <v/>
      </c>
      <c r="Z86" s="40" t="str">
        <f ca="1"/>
        <v/>
      </c>
      <c r="AA86" s="37" t="str">
        <f ca="1"/>
        <v/>
      </c>
      <c r="AB86" s="35" t="str">
        <f ca="1"/>
        <v/>
      </c>
    </row>
    <row r="87" spans="2:28">
      <c r="B87" s="38" t="str">
        <f ca="1"/>
        <v/>
      </c>
      <c r="C87" s="38" t="str">
        <f ca="1"/>
        <v/>
      </c>
      <c r="D87" s="40" t="str">
        <f ca="1"/>
        <v/>
      </c>
      <c r="E87" s="44" t="str">
        <f ca="1"/>
        <v/>
      </c>
      <c r="F87" s="38" t="str">
        <f ca="1"/>
        <v/>
      </c>
      <c r="G87" s="40" t="str">
        <f ca="1"/>
        <v/>
      </c>
      <c r="H87" s="40" t="str">
        <f ca="1"/>
        <v/>
      </c>
      <c r="I87" s="39" t="str">
        <f ca="1"/>
        <v/>
      </c>
      <c r="J87" s="41" t="str">
        <f ca="1"/>
        <v/>
      </c>
      <c r="K87" s="40" t="str">
        <f ca="1"/>
        <v/>
      </c>
      <c r="L87" s="42" t="str">
        <f ca="1"/>
        <v/>
      </c>
      <c r="M87" s="40" t="str">
        <f ca="1"/>
        <v/>
      </c>
      <c r="O87" s="38" t="str">
        <f ca="1"/>
        <v/>
      </c>
      <c r="P87" s="38" t="str">
        <f ca="1"/>
        <v/>
      </c>
      <c r="Q87" s="38" t="str">
        <f ca="1"/>
        <v/>
      </c>
      <c r="R87" s="40" t="str">
        <f ca="1"/>
        <v/>
      </c>
      <c r="S87" s="44" t="str">
        <f ca="1"/>
        <v/>
      </c>
      <c r="T87" s="38" t="str">
        <f ca="1"/>
        <v/>
      </c>
      <c r="U87" s="40" t="str">
        <f ca="1"/>
        <v/>
      </c>
      <c r="V87" s="40" t="str">
        <f ca="1"/>
        <v/>
      </c>
      <c r="W87" s="39" t="str">
        <f ca="1"/>
        <v/>
      </c>
      <c r="X87" s="39" t="str">
        <f ca="1"/>
        <v/>
      </c>
      <c r="Y87" s="55" t="str">
        <f ca="1"/>
        <v/>
      </c>
      <c r="Z87" s="40" t="str">
        <f ca="1"/>
        <v/>
      </c>
      <c r="AA87" s="37" t="str">
        <f ca="1"/>
        <v/>
      </c>
      <c r="AB87" s="35" t="str">
        <f ca="1"/>
        <v/>
      </c>
    </row>
    <row r="88" spans="2:28">
      <c r="B88" s="38" t="str">
        <f ca="1"/>
        <v/>
      </c>
      <c r="C88" s="38" t="str">
        <f ca="1"/>
        <v/>
      </c>
      <c r="D88" s="40" t="str">
        <f ca="1"/>
        <v/>
      </c>
      <c r="E88" s="44" t="str">
        <f ca="1"/>
        <v/>
      </c>
      <c r="F88" s="38" t="str">
        <f ca="1"/>
        <v/>
      </c>
      <c r="G88" s="40" t="str">
        <f ca="1"/>
        <v/>
      </c>
      <c r="H88" s="40" t="str">
        <f ca="1"/>
        <v/>
      </c>
      <c r="I88" s="39" t="str">
        <f ca="1"/>
        <v/>
      </c>
      <c r="J88" s="41" t="str">
        <f ca="1"/>
        <v/>
      </c>
      <c r="K88" s="40" t="str">
        <f ca="1"/>
        <v/>
      </c>
      <c r="L88" s="42" t="str">
        <f ca="1"/>
        <v/>
      </c>
      <c r="M88" s="40" t="str">
        <f ca="1"/>
        <v/>
      </c>
      <c r="O88" s="38" t="str">
        <f ca="1"/>
        <v/>
      </c>
      <c r="P88" s="38" t="str">
        <f ca="1"/>
        <v/>
      </c>
      <c r="Q88" s="38" t="str">
        <f ca="1"/>
        <v/>
      </c>
      <c r="R88" s="40" t="str">
        <f ca="1"/>
        <v/>
      </c>
      <c r="S88" s="44" t="str">
        <f ca="1"/>
        <v/>
      </c>
      <c r="T88" s="38" t="str">
        <f ca="1"/>
        <v/>
      </c>
      <c r="U88" s="40" t="str">
        <f ca="1"/>
        <v/>
      </c>
      <c r="V88" s="40" t="str">
        <f ca="1"/>
        <v/>
      </c>
      <c r="W88" s="39" t="str">
        <f ca="1"/>
        <v/>
      </c>
      <c r="X88" s="39" t="str">
        <f ca="1"/>
        <v/>
      </c>
      <c r="Y88" s="55" t="str">
        <f ca="1"/>
        <v/>
      </c>
      <c r="Z88" s="40" t="str">
        <f ca="1"/>
        <v/>
      </c>
      <c r="AA88" s="37" t="str">
        <f ca="1"/>
        <v/>
      </c>
      <c r="AB88" s="35" t="str">
        <f ca="1"/>
        <v/>
      </c>
    </row>
    <row r="89" spans="2:28">
      <c r="B89" s="38" t="str">
        <f ca="1"/>
        <v/>
      </c>
      <c r="C89" s="38" t="str">
        <f ca="1"/>
        <v/>
      </c>
      <c r="D89" s="40" t="str">
        <f ca="1"/>
        <v/>
      </c>
      <c r="E89" s="44" t="str">
        <f ca="1"/>
        <v/>
      </c>
      <c r="F89" s="38" t="str">
        <f ca="1"/>
        <v/>
      </c>
      <c r="G89" s="40" t="str">
        <f ca="1"/>
        <v/>
      </c>
      <c r="H89" s="40" t="str">
        <f ca="1"/>
        <v/>
      </c>
      <c r="I89" s="39" t="str">
        <f ca="1"/>
        <v/>
      </c>
      <c r="J89" s="41" t="str">
        <f ca="1"/>
        <v/>
      </c>
      <c r="K89" s="40" t="str">
        <f ca="1"/>
        <v/>
      </c>
      <c r="L89" s="42" t="str">
        <f ca="1"/>
        <v/>
      </c>
      <c r="M89" s="40" t="str">
        <f ca="1"/>
        <v/>
      </c>
      <c r="O89" s="38" t="str">
        <f ca="1"/>
        <v/>
      </c>
      <c r="P89" s="38" t="str">
        <f ca="1"/>
        <v/>
      </c>
      <c r="Q89" s="38" t="str">
        <f ca="1"/>
        <v/>
      </c>
      <c r="R89" s="40" t="str">
        <f ca="1"/>
        <v/>
      </c>
      <c r="S89" s="44" t="str">
        <f ca="1"/>
        <v/>
      </c>
      <c r="T89" s="38" t="str">
        <f ca="1"/>
        <v/>
      </c>
      <c r="U89" s="40" t="str">
        <f ca="1"/>
        <v/>
      </c>
      <c r="V89" s="40" t="str">
        <f ca="1"/>
        <v/>
      </c>
      <c r="W89" s="39" t="str">
        <f ca="1"/>
        <v/>
      </c>
      <c r="X89" s="39" t="str">
        <f ca="1"/>
        <v/>
      </c>
      <c r="Y89" s="55" t="str">
        <f ca="1"/>
        <v/>
      </c>
      <c r="Z89" s="40" t="str">
        <f ca="1"/>
        <v/>
      </c>
      <c r="AA89" s="37" t="str">
        <f ca="1"/>
        <v/>
      </c>
      <c r="AB89" s="35" t="str">
        <f ca="1"/>
        <v/>
      </c>
    </row>
    <row r="90" spans="2:28">
      <c r="B90" s="38" t="str">
        <f ca="1"/>
        <v/>
      </c>
      <c r="C90" s="38" t="str">
        <f ca="1"/>
        <v/>
      </c>
      <c r="D90" s="40" t="str">
        <f ca="1"/>
        <v/>
      </c>
      <c r="E90" s="44" t="str">
        <f ca="1"/>
        <v/>
      </c>
      <c r="F90" s="38" t="str">
        <f ca="1"/>
        <v/>
      </c>
      <c r="G90" s="40" t="str">
        <f ca="1"/>
        <v/>
      </c>
      <c r="H90" s="40" t="str">
        <f ca="1"/>
        <v/>
      </c>
      <c r="I90" s="39" t="str">
        <f ca="1"/>
        <v/>
      </c>
      <c r="J90" s="41" t="str">
        <f ca="1"/>
        <v/>
      </c>
      <c r="K90" s="40" t="str">
        <f ca="1"/>
        <v/>
      </c>
      <c r="L90" s="42" t="str">
        <f ca="1"/>
        <v/>
      </c>
      <c r="M90" s="40" t="str">
        <f ca="1"/>
        <v/>
      </c>
      <c r="O90" s="38" t="str">
        <f ca="1"/>
        <v/>
      </c>
      <c r="P90" s="38" t="str">
        <f ca="1"/>
        <v/>
      </c>
      <c r="Q90" s="38" t="str">
        <f ca="1"/>
        <v/>
      </c>
      <c r="R90" s="40" t="str">
        <f ca="1"/>
        <v/>
      </c>
      <c r="S90" s="44" t="str">
        <f ca="1"/>
        <v/>
      </c>
      <c r="T90" s="38" t="str">
        <f ca="1"/>
        <v/>
      </c>
      <c r="U90" s="40" t="str">
        <f ca="1"/>
        <v/>
      </c>
      <c r="V90" s="40" t="str">
        <f ca="1"/>
        <v/>
      </c>
      <c r="W90" s="39" t="str">
        <f ca="1"/>
        <v/>
      </c>
      <c r="X90" s="39" t="str">
        <f ca="1"/>
        <v/>
      </c>
      <c r="Y90" s="55" t="str">
        <f ca="1"/>
        <v/>
      </c>
      <c r="Z90" s="40" t="str">
        <f ca="1"/>
        <v/>
      </c>
      <c r="AA90" s="37" t="str">
        <f ca="1"/>
        <v/>
      </c>
      <c r="AB90" s="35" t="str">
        <f ca="1"/>
        <v/>
      </c>
    </row>
    <row r="91" spans="2:28">
      <c r="B91" s="38" t="str">
        <f ca="1"/>
        <v/>
      </c>
      <c r="C91" s="38" t="str">
        <f ca="1"/>
        <v/>
      </c>
      <c r="D91" s="40" t="str">
        <f ca="1"/>
        <v/>
      </c>
      <c r="E91" s="44" t="str">
        <f ca="1"/>
        <v/>
      </c>
      <c r="F91" s="38" t="str">
        <f ca="1"/>
        <v/>
      </c>
      <c r="G91" s="40" t="str">
        <f ca="1"/>
        <v/>
      </c>
      <c r="H91" s="40" t="str">
        <f ca="1"/>
        <v/>
      </c>
      <c r="I91" s="39" t="str">
        <f ca="1"/>
        <v/>
      </c>
      <c r="J91" s="41" t="str">
        <f ca="1"/>
        <v/>
      </c>
      <c r="K91" s="40" t="str">
        <f ca="1"/>
        <v/>
      </c>
      <c r="L91" s="42" t="str">
        <f ca="1"/>
        <v/>
      </c>
      <c r="M91" s="40" t="str">
        <f ca="1"/>
        <v/>
      </c>
      <c r="O91" s="38" t="str">
        <f ca="1"/>
        <v/>
      </c>
      <c r="P91" s="38" t="str">
        <f ca="1"/>
        <v/>
      </c>
      <c r="Q91" s="38" t="str">
        <f ca="1"/>
        <v/>
      </c>
      <c r="R91" s="40" t="str">
        <f ca="1"/>
        <v/>
      </c>
      <c r="S91" s="44" t="str">
        <f ca="1"/>
        <v/>
      </c>
      <c r="T91" s="38" t="str">
        <f ca="1"/>
        <v/>
      </c>
      <c r="U91" s="40" t="str">
        <f ca="1"/>
        <v/>
      </c>
      <c r="V91" s="40" t="str">
        <f ca="1"/>
        <v/>
      </c>
      <c r="W91" s="39" t="str">
        <f ca="1"/>
        <v/>
      </c>
      <c r="X91" s="39" t="str">
        <f ca="1"/>
        <v/>
      </c>
      <c r="Y91" s="55" t="str">
        <f ca="1"/>
        <v/>
      </c>
      <c r="Z91" s="40" t="str">
        <f ca="1"/>
        <v/>
      </c>
      <c r="AA91" s="37" t="str">
        <f ca="1"/>
        <v/>
      </c>
      <c r="AB91" s="35" t="str">
        <f ca="1"/>
        <v/>
      </c>
    </row>
    <row r="92" spans="2:28">
      <c r="B92" s="38" t="str">
        <f ca="1"/>
        <v/>
      </c>
      <c r="C92" s="38" t="str">
        <f ca="1"/>
        <v/>
      </c>
      <c r="D92" s="40" t="str">
        <f ca="1"/>
        <v/>
      </c>
      <c r="E92" s="44" t="str">
        <f ca="1"/>
        <v/>
      </c>
      <c r="F92" s="38" t="str">
        <f ca="1"/>
        <v/>
      </c>
      <c r="G92" s="40" t="str">
        <f ca="1"/>
        <v/>
      </c>
      <c r="H92" s="40" t="str">
        <f ca="1"/>
        <v/>
      </c>
      <c r="I92" s="39" t="str">
        <f ca="1"/>
        <v/>
      </c>
      <c r="J92" s="41" t="str">
        <f ca="1"/>
        <v/>
      </c>
      <c r="K92" s="40" t="str">
        <f ca="1"/>
        <v/>
      </c>
      <c r="L92" s="42" t="str">
        <f ca="1"/>
        <v/>
      </c>
      <c r="M92" s="40" t="str">
        <f ca="1"/>
        <v/>
      </c>
      <c r="O92" s="38" t="str">
        <f ca="1"/>
        <v/>
      </c>
      <c r="P92" s="38" t="str">
        <f ca="1"/>
        <v/>
      </c>
      <c r="Q92" s="38" t="str">
        <f ca="1"/>
        <v/>
      </c>
      <c r="R92" s="40" t="str">
        <f ca="1"/>
        <v/>
      </c>
      <c r="S92" s="44" t="str">
        <f ca="1"/>
        <v/>
      </c>
      <c r="T92" s="38" t="str">
        <f ca="1"/>
        <v/>
      </c>
      <c r="U92" s="40" t="str">
        <f ca="1"/>
        <v/>
      </c>
      <c r="V92" s="40" t="str">
        <f ca="1"/>
        <v/>
      </c>
      <c r="W92" s="39" t="str">
        <f ca="1"/>
        <v/>
      </c>
      <c r="X92" s="39" t="str">
        <f ca="1"/>
        <v/>
      </c>
      <c r="Y92" s="55" t="str">
        <f ca="1"/>
        <v/>
      </c>
      <c r="Z92" s="40" t="str">
        <f ca="1"/>
        <v/>
      </c>
      <c r="AA92" s="37" t="str">
        <f ca="1"/>
        <v/>
      </c>
      <c r="AB92" s="35" t="str">
        <f ca="1"/>
        <v/>
      </c>
    </row>
    <row r="93" spans="2:28">
      <c r="B93" s="38" t="str">
        <f ca="1"/>
        <v/>
      </c>
      <c r="C93" s="38" t="str">
        <f ca="1"/>
        <v/>
      </c>
      <c r="D93" s="40" t="str">
        <f ca="1"/>
        <v/>
      </c>
      <c r="E93" s="44" t="str">
        <f ca="1"/>
        <v/>
      </c>
      <c r="F93" s="38" t="str">
        <f ca="1"/>
        <v/>
      </c>
      <c r="G93" s="40" t="str">
        <f ca="1"/>
        <v/>
      </c>
      <c r="H93" s="40" t="str">
        <f ca="1"/>
        <v/>
      </c>
      <c r="I93" s="39" t="str">
        <f ca="1"/>
        <v/>
      </c>
      <c r="J93" s="41" t="str">
        <f ca="1"/>
        <v/>
      </c>
      <c r="K93" s="40" t="str">
        <f ca="1"/>
        <v/>
      </c>
      <c r="L93" s="42" t="str">
        <f ca="1"/>
        <v/>
      </c>
      <c r="M93" s="40" t="str">
        <f ca="1"/>
        <v/>
      </c>
      <c r="O93" s="38" t="str">
        <f ca="1"/>
        <v/>
      </c>
      <c r="P93" s="38" t="str">
        <f ca="1"/>
        <v/>
      </c>
      <c r="Q93" s="38" t="str">
        <f ca="1"/>
        <v/>
      </c>
      <c r="R93" s="40" t="str">
        <f ca="1"/>
        <v/>
      </c>
      <c r="S93" s="44" t="str">
        <f ca="1"/>
        <v/>
      </c>
      <c r="T93" s="38" t="str">
        <f ca="1"/>
        <v/>
      </c>
      <c r="U93" s="40" t="str">
        <f ca="1"/>
        <v/>
      </c>
      <c r="V93" s="40" t="str">
        <f ca="1"/>
        <v/>
      </c>
      <c r="W93" s="39" t="str">
        <f ca="1"/>
        <v/>
      </c>
      <c r="X93" s="39" t="str">
        <f ca="1"/>
        <v/>
      </c>
      <c r="Y93" s="55" t="str">
        <f ca="1"/>
        <v/>
      </c>
      <c r="Z93" s="40" t="str">
        <f ca="1"/>
        <v/>
      </c>
      <c r="AA93" s="37" t="str">
        <f ca="1"/>
        <v/>
      </c>
      <c r="AB93" s="35" t="str">
        <f ca="1"/>
        <v/>
      </c>
    </row>
    <row r="94" spans="2:28">
      <c r="B94" s="38" t="str">
        <f ca="1"/>
        <v/>
      </c>
      <c r="C94" s="38" t="str">
        <f ca="1"/>
        <v/>
      </c>
      <c r="D94" s="40" t="str">
        <f ca="1"/>
        <v/>
      </c>
      <c r="E94" s="44" t="str">
        <f ca="1"/>
        <v/>
      </c>
      <c r="F94" s="38" t="str">
        <f ca="1"/>
        <v/>
      </c>
      <c r="G94" s="40" t="str">
        <f ca="1"/>
        <v/>
      </c>
      <c r="H94" s="40" t="str">
        <f ca="1"/>
        <v/>
      </c>
      <c r="I94" s="39" t="str">
        <f ca="1"/>
        <v/>
      </c>
      <c r="J94" s="41" t="str">
        <f ca="1"/>
        <v/>
      </c>
      <c r="K94" s="40" t="str">
        <f ca="1"/>
        <v/>
      </c>
      <c r="L94" s="42" t="str">
        <f ca="1"/>
        <v/>
      </c>
      <c r="M94" s="40" t="str">
        <f ca="1"/>
        <v/>
      </c>
      <c r="O94" s="38" t="str">
        <f ca="1"/>
        <v/>
      </c>
      <c r="P94" s="38" t="str">
        <f ca="1"/>
        <v/>
      </c>
      <c r="Q94" s="38" t="str">
        <f ca="1"/>
        <v/>
      </c>
      <c r="R94" s="40" t="str">
        <f ca="1"/>
        <v/>
      </c>
      <c r="S94" s="44" t="str">
        <f ca="1"/>
        <v/>
      </c>
      <c r="T94" s="38" t="str">
        <f ca="1"/>
        <v/>
      </c>
      <c r="U94" s="40" t="str">
        <f ca="1"/>
        <v/>
      </c>
      <c r="V94" s="40" t="str">
        <f ca="1"/>
        <v/>
      </c>
      <c r="W94" s="39" t="str">
        <f ca="1"/>
        <v/>
      </c>
      <c r="X94" s="39" t="str">
        <f ca="1"/>
        <v/>
      </c>
      <c r="Y94" s="55" t="str">
        <f ca="1"/>
        <v/>
      </c>
      <c r="Z94" s="40" t="str">
        <f ca="1"/>
        <v/>
      </c>
      <c r="AA94" s="37" t="str">
        <f ca="1"/>
        <v/>
      </c>
      <c r="AB94" s="35" t="str">
        <f ca="1"/>
        <v/>
      </c>
    </row>
    <row r="95" spans="2:28">
      <c r="B95" s="38" t="str">
        <f ca="1"/>
        <v/>
      </c>
      <c r="C95" s="38" t="str">
        <f ca="1"/>
        <v/>
      </c>
      <c r="D95" s="40" t="str">
        <f ca="1"/>
        <v/>
      </c>
      <c r="E95" s="44" t="str">
        <f ca="1"/>
        <v/>
      </c>
      <c r="F95" s="38" t="str">
        <f ca="1"/>
        <v/>
      </c>
      <c r="G95" s="40" t="str">
        <f ca="1"/>
        <v/>
      </c>
      <c r="H95" s="40" t="str">
        <f ca="1"/>
        <v/>
      </c>
      <c r="I95" s="39" t="str">
        <f ca="1"/>
        <v/>
      </c>
      <c r="J95" s="41" t="str">
        <f ca="1"/>
        <v/>
      </c>
      <c r="K95" s="40" t="str">
        <f ca="1"/>
        <v/>
      </c>
      <c r="L95" s="42" t="str">
        <f ca="1"/>
        <v/>
      </c>
      <c r="M95" s="40" t="str">
        <f ca="1"/>
        <v/>
      </c>
      <c r="O95" s="38" t="str">
        <f ca="1"/>
        <v/>
      </c>
      <c r="P95" s="38" t="str">
        <f ca="1"/>
        <v/>
      </c>
      <c r="Q95" s="38" t="str">
        <f ca="1"/>
        <v/>
      </c>
      <c r="R95" s="40" t="str">
        <f ca="1"/>
        <v/>
      </c>
      <c r="S95" s="44" t="str">
        <f ca="1"/>
        <v/>
      </c>
      <c r="T95" s="38" t="str">
        <f ca="1"/>
        <v/>
      </c>
      <c r="U95" s="40" t="str">
        <f ca="1"/>
        <v/>
      </c>
      <c r="V95" s="40" t="str">
        <f ca="1"/>
        <v/>
      </c>
      <c r="W95" s="39" t="str">
        <f ca="1"/>
        <v/>
      </c>
      <c r="X95" s="39" t="str">
        <f ca="1"/>
        <v/>
      </c>
      <c r="Y95" s="55" t="str">
        <f ca="1"/>
        <v/>
      </c>
      <c r="Z95" s="40" t="str">
        <f ca="1"/>
        <v/>
      </c>
      <c r="AA95" s="37" t="str">
        <f ca="1"/>
        <v/>
      </c>
      <c r="AB95" s="35" t="str">
        <f ca="1"/>
        <v/>
      </c>
    </row>
    <row r="96" spans="2:28">
      <c r="B96" s="38" t="str">
        <f ca="1"/>
        <v/>
      </c>
      <c r="C96" s="38" t="str">
        <f ca="1"/>
        <v/>
      </c>
      <c r="D96" s="40" t="str">
        <f ca="1"/>
        <v/>
      </c>
      <c r="E96" s="44" t="str">
        <f ca="1"/>
        <v/>
      </c>
      <c r="F96" s="38" t="str">
        <f ca="1"/>
        <v/>
      </c>
      <c r="G96" s="40" t="str">
        <f ca="1"/>
        <v/>
      </c>
      <c r="H96" s="40" t="str">
        <f ca="1"/>
        <v/>
      </c>
      <c r="I96" s="39" t="str">
        <f ca="1"/>
        <v/>
      </c>
      <c r="J96" s="41" t="str">
        <f ca="1"/>
        <v/>
      </c>
      <c r="K96" s="40" t="str">
        <f ca="1"/>
        <v/>
      </c>
      <c r="L96" s="42" t="str">
        <f ca="1"/>
        <v/>
      </c>
      <c r="M96" s="40" t="str">
        <f ca="1"/>
        <v/>
      </c>
      <c r="O96" s="38" t="str">
        <f ca="1"/>
        <v/>
      </c>
      <c r="P96" s="38" t="str">
        <f ca="1"/>
        <v/>
      </c>
      <c r="Q96" s="38" t="str">
        <f ca="1"/>
        <v/>
      </c>
      <c r="R96" s="40" t="str">
        <f ca="1"/>
        <v/>
      </c>
      <c r="S96" s="44" t="str">
        <f ca="1"/>
        <v/>
      </c>
      <c r="T96" s="38" t="str">
        <f ca="1"/>
        <v/>
      </c>
      <c r="U96" s="40" t="str">
        <f ca="1"/>
        <v/>
      </c>
      <c r="V96" s="40" t="str">
        <f ca="1"/>
        <v/>
      </c>
      <c r="W96" s="39" t="str">
        <f ca="1"/>
        <v/>
      </c>
      <c r="X96" s="39" t="str">
        <f ca="1"/>
        <v/>
      </c>
      <c r="Y96" s="55" t="str">
        <f ca="1"/>
        <v/>
      </c>
      <c r="Z96" s="40" t="str">
        <f ca="1"/>
        <v/>
      </c>
      <c r="AA96" s="37" t="str">
        <f ca="1"/>
        <v/>
      </c>
      <c r="AB96" s="35" t="str">
        <f ca="1"/>
        <v/>
      </c>
    </row>
    <row r="97" spans="2:28">
      <c r="B97" s="38" t="str">
        <f ca="1"/>
        <v/>
      </c>
      <c r="C97" s="38" t="str">
        <f ca="1"/>
        <v/>
      </c>
      <c r="D97" s="40" t="str">
        <f ca="1"/>
        <v/>
      </c>
      <c r="E97" s="44" t="str">
        <f ca="1"/>
        <v/>
      </c>
      <c r="F97" s="38" t="str">
        <f ca="1"/>
        <v/>
      </c>
      <c r="G97" s="40" t="str">
        <f ca="1"/>
        <v/>
      </c>
      <c r="H97" s="40" t="str">
        <f ca="1"/>
        <v/>
      </c>
      <c r="I97" s="39" t="str">
        <f ca="1"/>
        <v/>
      </c>
      <c r="J97" s="41" t="str">
        <f ca="1"/>
        <v/>
      </c>
      <c r="K97" s="40" t="str">
        <f ca="1"/>
        <v/>
      </c>
      <c r="L97" s="42" t="str">
        <f ca="1"/>
        <v/>
      </c>
      <c r="M97" s="40" t="str">
        <f ca="1"/>
        <v/>
      </c>
      <c r="O97" s="38" t="str">
        <f ca="1"/>
        <v/>
      </c>
      <c r="P97" s="38" t="str">
        <f ca="1"/>
        <v/>
      </c>
      <c r="Q97" s="38" t="str">
        <f ca="1"/>
        <v/>
      </c>
      <c r="R97" s="40" t="str">
        <f ca="1"/>
        <v/>
      </c>
      <c r="S97" s="44" t="str">
        <f ca="1"/>
        <v/>
      </c>
      <c r="T97" s="38" t="str">
        <f ca="1"/>
        <v/>
      </c>
      <c r="U97" s="40" t="str">
        <f ca="1"/>
        <v/>
      </c>
      <c r="V97" s="40" t="str">
        <f ca="1"/>
        <v/>
      </c>
      <c r="W97" s="39" t="str">
        <f ca="1"/>
        <v/>
      </c>
      <c r="X97" s="39" t="str">
        <f ca="1"/>
        <v/>
      </c>
      <c r="Y97" s="55" t="str">
        <f ca="1"/>
        <v/>
      </c>
      <c r="Z97" s="40" t="str">
        <f ca="1"/>
        <v/>
      </c>
      <c r="AA97" s="37" t="str">
        <f ca="1"/>
        <v/>
      </c>
      <c r="AB97" s="35" t="str">
        <f ca="1"/>
        <v/>
      </c>
    </row>
    <row r="98" spans="2:28">
      <c r="B98" s="38" t="str">
        <f ca="1"/>
        <v/>
      </c>
      <c r="C98" s="38" t="str">
        <f ca="1"/>
        <v/>
      </c>
      <c r="D98" s="40" t="str">
        <f ca="1"/>
        <v/>
      </c>
      <c r="E98" s="44" t="str">
        <f ca="1"/>
        <v/>
      </c>
      <c r="F98" s="38" t="str">
        <f ca="1"/>
        <v/>
      </c>
      <c r="G98" s="40" t="str">
        <f ca="1"/>
        <v/>
      </c>
      <c r="H98" s="40" t="str">
        <f ca="1"/>
        <v/>
      </c>
      <c r="I98" s="39" t="str">
        <f ca="1"/>
        <v/>
      </c>
      <c r="J98" s="41" t="str">
        <f ca="1"/>
        <v/>
      </c>
      <c r="K98" s="40" t="str">
        <f ca="1"/>
        <v/>
      </c>
      <c r="L98" s="42" t="str">
        <f ca="1"/>
        <v/>
      </c>
      <c r="M98" s="40" t="str">
        <f ca="1"/>
        <v/>
      </c>
      <c r="O98" s="38" t="str">
        <f ca="1"/>
        <v/>
      </c>
      <c r="P98" s="38" t="str">
        <f ca="1"/>
        <v/>
      </c>
      <c r="Q98" s="38" t="str">
        <f ca="1"/>
        <v/>
      </c>
      <c r="R98" s="40" t="str">
        <f ca="1"/>
        <v/>
      </c>
      <c r="S98" s="44" t="str">
        <f ca="1"/>
        <v/>
      </c>
      <c r="T98" s="38" t="str">
        <f ca="1"/>
        <v/>
      </c>
      <c r="U98" s="40" t="str">
        <f ca="1"/>
        <v/>
      </c>
      <c r="V98" s="40" t="str">
        <f ca="1"/>
        <v/>
      </c>
      <c r="W98" s="39" t="str">
        <f ca="1"/>
        <v/>
      </c>
      <c r="X98" s="39" t="str">
        <f ca="1"/>
        <v/>
      </c>
      <c r="Y98" s="55" t="str">
        <f ca="1"/>
        <v/>
      </c>
      <c r="Z98" s="40" t="str">
        <f ca="1"/>
        <v/>
      </c>
      <c r="AA98" s="37" t="str">
        <f ca="1"/>
        <v/>
      </c>
      <c r="AB98" s="35" t="str">
        <f ca="1"/>
        <v/>
      </c>
    </row>
    <row r="99" spans="2:28">
      <c r="B99" s="38" t="str">
        <f ca="1"/>
        <v/>
      </c>
      <c r="C99" s="38" t="str">
        <f ca="1"/>
        <v/>
      </c>
      <c r="D99" s="40" t="str">
        <f ca="1"/>
        <v/>
      </c>
      <c r="E99" s="44" t="str">
        <f ca="1"/>
        <v/>
      </c>
      <c r="F99" s="38" t="str">
        <f ca="1"/>
        <v/>
      </c>
      <c r="G99" s="40" t="str">
        <f ca="1"/>
        <v/>
      </c>
      <c r="H99" s="40" t="str">
        <f ca="1"/>
        <v/>
      </c>
      <c r="I99" s="39" t="str">
        <f ca="1"/>
        <v/>
      </c>
      <c r="J99" s="41" t="str">
        <f ca="1"/>
        <v/>
      </c>
      <c r="K99" s="40" t="str">
        <f ca="1"/>
        <v/>
      </c>
      <c r="L99" s="42" t="str">
        <f ca="1"/>
        <v/>
      </c>
      <c r="M99" s="40" t="str">
        <f ca="1"/>
        <v/>
      </c>
      <c r="O99" s="38" t="str">
        <f ca="1"/>
        <v/>
      </c>
      <c r="P99" s="38" t="str">
        <f ca="1"/>
        <v/>
      </c>
      <c r="Q99" s="38" t="str">
        <f ca="1"/>
        <v/>
      </c>
      <c r="R99" s="40" t="str">
        <f ca="1"/>
        <v/>
      </c>
      <c r="S99" s="44" t="str">
        <f ca="1"/>
        <v/>
      </c>
      <c r="T99" s="38" t="str">
        <f ca="1"/>
        <v/>
      </c>
      <c r="U99" s="40" t="str">
        <f ca="1"/>
        <v/>
      </c>
      <c r="V99" s="40" t="str">
        <f ca="1"/>
        <v/>
      </c>
      <c r="W99" s="39" t="str">
        <f ca="1"/>
        <v/>
      </c>
      <c r="X99" s="39" t="str">
        <f ca="1"/>
        <v/>
      </c>
      <c r="Y99" s="55" t="str">
        <f ca="1"/>
        <v/>
      </c>
      <c r="Z99" s="40" t="str">
        <f ca="1"/>
        <v/>
      </c>
      <c r="AA99" s="37" t="str">
        <f ca="1"/>
        <v/>
      </c>
      <c r="AB99" s="35" t="str">
        <f ca="1"/>
        <v/>
      </c>
    </row>
    <row r="100" spans="2:28">
      <c r="B100" s="38" t="str">
        <f ca="1"/>
        <v/>
      </c>
      <c r="C100" s="38" t="str">
        <f ca="1"/>
        <v/>
      </c>
      <c r="D100" s="40" t="str">
        <f ca="1"/>
        <v/>
      </c>
      <c r="E100" s="44" t="str">
        <f ca="1"/>
        <v/>
      </c>
      <c r="F100" s="38" t="str">
        <f ca="1"/>
        <v/>
      </c>
      <c r="G100" s="40" t="str">
        <f ca="1"/>
        <v/>
      </c>
      <c r="H100" s="40" t="str">
        <f ca="1"/>
        <v/>
      </c>
      <c r="I100" s="39" t="str">
        <f ca="1"/>
        <v/>
      </c>
      <c r="J100" s="41" t="str">
        <f ca="1"/>
        <v/>
      </c>
      <c r="K100" s="40" t="str">
        <f ca="1"/>
        <v/>
      </c>
      <c r="L100" s="42" t="str">
        <f ca="1"/>
        <v/>
      </c>
      <c r="M100" s="40" t="str">
        <f ca="1"/>
        <v/>
      </c>
      <c r="O100" s="38" t="str">
        <f ca="1"/>
        <v/>
      </c>
      <c r="P100" s="38" t="str">
        <f ca="1"/>
        <v/>
      </c>
      <c r="Q100" s="38" t="str">
        <f ca="1"/>
        <v/>
      </c>
      <c r="R100" s="40" t="str">
        <f ca="1"/>
        <v/>
      </c>
      <c r="S100" s="44" t="str">
        <f ca="1"/>
        <v/>
      </c>
      <c r="T100" s="38" t="str">
        <f ca="1"/>
        <v/>
      </c>
      <c r="U100" s="40" t="str">
        <f ca="1"/>
        <v/>
      </c>
      <c r="V100" s="40" t="str">
        <f ca="1"/>
        <v/>
      </c>
      <c r="W100" s="39" t="str">
        <f ca="1"/>
        <v/>
      </c>
      <c r="X100" s="39" t="str">
        <f ca="1"/>
        <v/>
      </c>
      <c r="Y100" s="55" t="str">
        <f ca="1"/>
        <v/>
      </c>
      <c r="Z100" s="40" t="str">
        <f ca="1"/>
        <v/>
      </c>
      <c r="AA100" s="37" t="str">
        <f ca="1"/>
        <v/>
      </c>
      <c r="AB100" s="35" t="str">
        <f ca="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AUD ASW</vt:lpstr>
      <vt:lpstr>BOND CASHFLOWS</vt:lpstr>
      <vt:lpstr>ASW CASHFLOWS</vt:lpstr>
      <vt:lpstr>COB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2018-03-15T12:29:59Z</dcterms:created>
  <dcterms:modified xsi:type="dcterms:W3CDTF">2018-05-14T14:52:00Z</dcterms:modified>
</cp:coreProperties>
</file>