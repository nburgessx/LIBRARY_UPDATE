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165" windowWidth="20700" windowHeight="3765"/>
  </bookViews>
  <sheets>
    <sheet name="SETTINGS" sheetId="5" r:id="rId1"/>
    <sheet name="AUD CURVE TICKERS" sheetId="9" r:id="rId2"/>
    <sheet name="AUD CURVE" sheetId="4" r:id="rId3"/>
    <sheet name="AUD REPRICING" sheetId="10" r:id="rId4"/>
    <sheet name="SYNDICATE AUD IRS" sheetId="8" r:id="rId5"/>
    <sheet name="TAP AUD ASW" sheetId="11" r:id="rId6"/>
  </sheets>
  <definedNames>
    <definedName name="Settings.AllowCalibrationUpdates">SETTINGS!$C$10</definedName>
    <definedName name="Settings.BloombergPCS">SETTINGS!$C$6</definedName>
    <definedName name="Settings.COB">SETTINGS!$C$4</definedName>
    <definedName name="Settings.CurveSide.MidBidAsk">SETTINGS!$C$7</definedName>
    <definedName name="Settings.EnableCurveChart">SETTINGS!$C$9</definedName>
    <definedName name="Settings.Futures.Convexity.HW1F.Vol">SETTINGS!$C$8</definedName>
    <definedName name="Settings.isCOBToday">SETTINGS!$C$3</definedName>
    <definedName name="Settings.SwapCurve.Interpolation">SETTINGS!$C$11</definedName>
  </definedNames>
  <calcPr calcId="145621" calcOnSave="0" concurrentCalc="0"/>
</workbook>
</file>

<file path=xl/calcChain.xml><?xml version="1.0" encoding="utf-8"?>
<calcChain xmlns="http://schemas.openxmlformats.org/spreadsheetml/2006/main">
  <c r="H6" i="8" l="1"/>
  <c r="G6" i="8"/>
  <c r="I6" i="8"/>
  <c r="J4" i="8"/>
  <c r="J6" i="8"/>
  <c r="F6" i="8"/>
  <c r="G18" i="8"/>
  <c r="H18" i="8"/>
  <c r="I18" i="8"/>
  <c r="J11" i="8"/>
  <c r="J18" i="8"/>
  <c r="K18" i="8"/>
  <c r="G36" i="8"/>
  <c r="H36" i="8"/>
  <c r="I36" i="8"/>
  <c r="J29" i="8"/>
  <c r="J36" i="8"/>
  <c r="L18" i="8"/>
  <c r="G17" i="8"/>
  <c r="H17" i="8"/>
  <c r="I17" i="8"/>
  <c r="J17" i="8"/>
  <c r="K17" i="8"/>
  <c r="G35" i="8"/>
  <c r="H35" i="8"/>
  <c r="I35" i="8"/>
  <c r="J35" i="8"/>
  <c r="L17" i="8"/>
  <c r="G16" i="8"/>
  <c r="H16" i="8"/>
  <c r="I16" i="8"/>
  <c r="J16" i="8"/>
  <c r="K16" i="8"/>
  <c r="G34" i="8"/>
  <c r="H34" i="8"/>
  <c r="I34" i="8"/>
  <c r="J34" i="8"/>
  <c r="L16" i="8"/>
  <c r="AD6" i="4"/>
  <c r="D21" i="4"/>
  <c r="E14" i="9"/>
  <c r="G14" i="9"/>
  <c r="I14" i="9"/>
  <c r="E15" i="9"/>
  <c r="G15" i="9"/>
  <c r="I15" i="9"/>
  <c r="E16" i="9"/>
  <c r="G16" i="9"/>
  <c r="I16" i="9"/>
  <c r="E17" i="9"/>
  <c r="G17" i="9"/>
  <c r="I17" i="9"/>
  <c r="O14" i="9"/>
  <c r="Q14" i="9"/>
  <c r="S14" i="9"/>
  <c r="O15" i="9"/>
  <c r="Q15" i="9"/>
  <c r="S15" i="9"/>
  <c r="O16" i="9"/>
  <c r="Q16" i="9"/>
  <c r="S16" i="9"/>
  <c r="O17" i="9"/>
  <c r="Q17" i="9"/>
  <c r="S17" i="9"/>
  <c r="AL47" i="9"/>
  <c r="AN47" i="9"/>
  <c r="AP47" i="9"/>
  <c r="O18" i="9"/>
  <c r="Q18" i="9"/>
  <c r="S18" i="9"/>
  <c r="AL48" i="9"/>
  <c r="AN48" i="9"/>
  <c r="AP48" i="9"/>
  <c r="O19" i="9"/>
  <c r="Q19" i="9"/>
  <c r="S19" i="9"/>
  <c r="AL49" i="9"/>
  <c r="AN49" i="9"/>
  <c r="AP49" i="9"/>
  <c r="O20" i="9"/>
  <c r="Q20" i="9"/>
  <c r="S20" i="9"/>
  <c r="AL50" i="9"/>
  <c r="AN50" i="9"/>
  <c r="AP50" i="9"/>
  <c r="O21" i="9"/>
  <c r="Q21" i="9"/>
  <c r="S21" i="9"/>
  <c r="AL51" i="9"/>
  <c r="AN51" i="9"/>
  <c r="AP51" i="9"/>
  <c r="O22" i="9"/>
  <c r="Q22" i="9"/>
  <c r="S22" i="9"/>
  <c r="AL52" i="9"/>
  <c r="AN52" i="9"/>
  <c r="AP52" i="9"/>
  <c r="O23" i="9"/>
  <c r="Q23" i="9"/>
  <c r="S23" i="9"/>
  <c r="AL53" i="9"/>
  <c r="AN53" i="9"/>
  <c r="AP53" i="9"/>
  <c r="O24" i="9"/>
  <c r="Q24" i="9"/>
  <c r="S24" i="9"/>
  <c r="AL54" i="9"/>
  <c r="AN54" i="9"/>
  <c r="AP54" i="9"/>
  <c r="O25" i="9"/>
  <c r="Q25" i="9"/>
  <c r="S25" i="9"/>
  <c r="AL55" i="9"/>
  <c r="AN55" i="9"/>
  <c r="AP55" i="9"/>
  <c r="O26" i="9"/>
  <c r="Q26" i="9"/>
  <c r="S26" i="9"/>
  <c r="AL56" i="9"/>
  <c r="AN56" i="9"/>
  <c r="AP56" i="9"/>
  <c r="O27" i="9"/>
  <c r="Q27" i="9"/>
  <c r="S27" i="9"/>
  <c r="AL57" i="9"/>
  <c r="AN57" i="9"/>
  <c r="AP57" i="9"/>
  <c r="AB44" i="9"/>
  <c r="AD44" i="9"/>
  <c r="AF44" i="9"/>
  <c r="AB45" i="9"/>
  <c r="AD45" i="9"/>
  <c r="AF45" i="9"/>
  <c r="AB46" i="9"/>
  <c r="AD46" i="9"/>
  <c r="AF46" i="9"/>
  <c r="AB47" i="9"/>
  <c r="AD47" i="9"/>
  <c r="AF47" i="9"/>
  <c r="AB48" i="9"/>
  <c r="AD48" i="9"/>
  <c r="AF48" i="9"/>
  <c r="AB49" i="9"/>
  <c r="AD49" i="9"/>
  <c r="AF49" i="9"/>
  <c r="AB50" i="9"/>
  <c r="AD50" i="9"/>
  <c r="AF50" i="9"/>
  <c r="AB51" i="9"/>
  <c r="AD51" i="9"/>
  <c r="AF51" i="9"/>
  <c r="AB52" i="9"/>
  <c r="AD52" i="9"/>
  <c r="AF52" i="9"/>
  <c r="AB53" i="9"/>
  <c r="AD53" i="9"/>
  <c r="AF53" i="9"/>
  <c r="AB54" i="9"/>
  <c r="AD54" i="9"/>
  <c r="AF54" i="9"/>
  <c r="AB55" i="9"/>
  <c r="AD55" i="9"/>
  <c r="AF55" i="9"/>
  <c r="AB56" i="9"/>
  <c r="AD56" i="9"/>
  <c r="AF56" i="9"/>
  <c r="AB57" i="9"/>
  <c r="AD57" i="9"/>
  <c r="AF57" i="9"/>
  <c r="E18" i="9"/>
  <c r="G18" i="9"/>
  <c r="I18" i="9"/>
  <c r="E19" i="9"/>
  <c r="G19" i="9"/>
  <c r="I19" i="9"/>
  <c r="E20" i="9"/>
  <c r="G20" i="9"/>
  <c r="I20" i="9"/>
  <c r="E21" i="9"/>
  <c r="G21" i="9"/>
  <c r="I21" i="9"/>
  <c r="E22" i="9"/>
  <c r="G22" i="9"/>
  <c r="I22" i="9"/>
  <c r="E23" i="9"/>
  <c r="G23" i="9"/>
  <c r="I23" i="9"/>
  <c r="E24" i="9"/>
  <c r="G24" i="9"/>
  <c r="I24" i="9"/>
  <c r="E25" i="9"/>
  <c r="G25" i="9"/>
  <c r="I25" i="9"/>
  <c r="E26" i="9"/>
  <c r="G26" i="9"/>
  <c r="I26" i="9"/>
  <c r="E27" i="9"/>
  <c r="G27" i="9"/>
  <c r="I27" i="9"/>
  <c r="E28" i="9"/>
  <c r="G28" i="9"/>
  <c r="I28" i="9"/>
  <c r="E29" i="9"/>
  <c r="G29" i="9"/>
  <c r="I29" i="9"/>
  <c r="E30" i="9"/>
  <c r="G30" i="9"/>
  <c r="I30" i="9"/>
  <c r="E31" i="9"/>
  <c r="G31" i="9"/>
  <c r="I31" i="9"/>
  <c r="E32" i="9"/>
  <c r="G32" i="9"/>
  <c r="I32" i="9"/>
  <c r="E33" i="9"/>
  <c r="G33" i="9"/>
  <c r="I33" i="9"/>
  <c r="E34" i="9"/>
  <c r="G34" i="9"/>
  <c r="I34" i="9"/>
  <c r="E35" i="9"/>
  <c r="G35" i="9"/>
  <c r="I35" i="9"/>
  <c r="E36" i="9"/>
  <c r="G36" i="9"/>
  <c r="I36" i="9"/>
  <c r="F6" i="4"/>
  <c r="F7" i="4"/>
  <c r="F8" i="4"/>
  <c r="F9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AI14" i="4"/>
  <c r="AI15" i="4"/>
  <c r="AI18" i="4"/>
  <c r="AI6" i="4"/>
  <c r="D55" i="4"/>
  <c r="E45" i="9"/>
  <c r="G45" i="9"/>
  <c r="I45" i="9"/>
  <c r="O44" i="9"/>
  <c r="Q44" i="9"/>
  <c r="S44" i="9"/>
  <c r="AL45" i="9"/>
  <c r="AN45" i="9"/>
  <c r="AP45" i="9"/>
  <c r="AL46" i="9"/>
  <c r="AN46" i="9"/>
  <c r="AP46" i="9"/>
  <c r="O45" i="9"/>
  <c r="Q45" i="9"/>
  <c r="S45" i="9"/>
  <c r="O46" i="9"/>
  <c r="Q46" i="9"/>
  <c r="S46" i="9"/>
  <c r="O47" i="9"/>
  <c r="Q47" i="9"/>
  <c r="S47" i="9"/>
  <c r="O48" i="9"/>
  <c r="Q48" i="9"/>
  <c r="S48" i="9"/>
  <c r="O49" i="9"/>
  <c r="Q49" i="9"/>
  <c r="S49" i="9"/>
  <c r="F39" i="4"/>
  <c r="L39" i="4"/>
  <c r="P39" i="4"/>
  <c r="L40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P40" i="4"/>
  <c r="L41" i="4"/>
  <c r="P41" i="4"/>
  <c r="L42" i="4"/>
  <c r="P42" i="4"/>
  <c r="L43" i="4"/>
  <c r="P43" i="4"/>
  <c r="L44" i="4"/>
  <c r="P44" i="4"/>
  <c r="AN14" i="4"/>
  <c r="AN15" i="4"/>
  <c r="AN18" i="4"/>
  <c r="AN6" i="4"/>
  <c r="D89" i="4"/>
  <c r="E46" i="9"/>
  <c r="G46" i="9"/>
  <c r="I46" i="9"/>
  <c r="E74" i="9"/>
  <c r="G74" i="9"/>
  <c r="I74" i="9"/>
  <c r="E75" i="9"/>
  <c r="G75" i="9"/>
  <c r="I75" i="9"/>
  <c r="E76" i="9"/>
  <c r="G76" i="9"/>
  <c r="I76" i="9"/>
  <c r="O74" i="9"/>
  <c r="Q74" i="9"/>
  <c r="S74" i="9"/>
  <c r="O75" i="9"/>
  <c r="Q75" i="9"/>
  <c r="S75" i="9"/>
  <c r="O76" i="9"/>
  <c r="Q76" i="9"/>
  <c r="S76" i="9"/>
  <c r="O77" i="9"/>
  <c r="Q77" i="9"/>
  <c r="S77" i="9"/>
  <c r="O78" i="9"/>
  <c r="Q78" i="9"/>
  <c r="S78" i="9"/>
  <c r="O79" i="9"/>
  <c r="Q79" i="9"/>
  <c r="S79" i="9"/>
  <c r="O80" i="9"/>
  <c r="Q80" i="9"/>
  <c r="S80" i="9"/>
  <c r="O81" i="9"/>
  <c r="Q81" i="9"/>
  <c r="S81" i="9"/>
  <c r="O82" i="9"/>
  <c r="Q82" i="9"/>
  <c r="S82" i="9"/>
  <c r="O83" i="9"/>
  <c r="Q83" i="9"/>
  <c r="S83" i="9"/>
  <c r="O84" i="9"/>
  <c r="Q84" i="9"/>
  <c r="S84" i="9"/>
  <c r="O85" i="9"/>
  <c r="Q85" i="9"/>
  <c r="S85" i="9"/>
  <c r="O86" i="9"/>
  <c r="Q86" i="9"/>
  <c r="S86" i="9"/>
  <c r="O87" i="9"/>
  <c r="Q87" i="9"/>
  <c r="S87" i="9"/>
  <c r="O88" i="9"/>
  <c r="Q88" i="9"/>
  <c r="S88" i="9"/>
  <c r="F73" i="4"/>
  <c r="I73" i="4"/>
  <c r="I74" i="4"/>
  <c r="I75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F22" i="11"/>
  <c r="I15" i="11"/>
  <c r="F34" i="11"/>
  <c r="I21" i="11"/>
  <c r="F21" i="11"/>
  <c r="I22" i="11"/>
  <c r="J22" i="11"/>
  <c r="F35" i="11"/>
  <c r="I32" i="11"/>
  <c r="F20" i="11"/>
  <c r="I33" i="11"/>
  <c r="F31" i="11"/>
  <c r="I39" i="11"/>
  <c r="I8" i="11"/>
  <c r="J8" i="11"/>
  <c r="J9" i="11"/>
  <c r="J23" i="11"/>
  <c r="J11" i="11"/>
  <c r="J18" i="11"/>
  <c r="I23" i="11"/>
  <c r="I24" i="11"/>
  <c r="J24" i="11"/>
  <c r="F29" i="11"/>
  <c r="I25" i="11"/>
  <c r="I34" i="11"/>
  <c r="I40" i="11"/>
  <c r="I41" i="11"/>
  <c r="F17" i="11"/>
  <c r="F18" i="11"/>
  <c r="F19" i="11"/>
  <c r="F10" i="11"/>
  <c r="F3" i="11"/>
  <c r="F7" i="11"/>
  <c r="F12" i="11"/>
  <c r="F23" i="11"/>
  <c r="C13" i="11"/>
  <c r="C23" i="11"/>
  <c r="U24" i="8"/>
  <c r="O23" i="8"/>
  <c r="P23" i="8"/>
  <c r="U33" i="8"/>
  <c r="U32" i="8"/>
  <c r="O32" i="11"/>
  <c r="O31" i="11"/>
  <c r="O33" i="11"/>
  <c r="O30" i="11"/>
  <c r="O28" i="11"/>
  <c r="O27" i="11"/>
  <c r="O26" i="11"/>
  <c r="O24" i="11"/>
  <c r="O23" i="11"/>
  <c r="C36" i="11"/>
  <c r="O25" i="11"/>
  <c r="P40" i="11"/>
  <c r="P41" i="11"/>
  <c r="P39" i="11"/>
  <c r="P42" i="11"/>
  <c r="P38" i="11"/>
  <c r="P37" i="11"/>
  <c r="N11" i="11"/>
  <c r="C37" i="11"/>
  <c r="O22" i="11"/>
  <c r="E44" i="9"/>
  <c r="G44" i="9"/>
  <c r="I44" i="9"/>
  <c r="AP44" i="9"/>
  <c r="AL44" i="9"/>
  <c r="AN44" i="9"/>
  <c r="P19" i="8"/>
  <c r="O26" i="8"/>
  <c r="P9" i="8"/>
  <c r="O9" i="8"/>
  <c r="O24" i="8"/>
  <c r="O25" i="8"/>
  <c r="P21" i="8"/>
  <c r="U23" i="8"/>
  <c r="P24" i="8"/>
  <c r="U26" i="8"/>
  <c r="U34" i="8"/>
  <c r="U31" i="8"/>
  <c r="U29" i="8"/>
  <c r="U28" i="8"/>
  <c r="U27" i="8"/>
  <c r="U25" i="8"/>
  <c r="P25" i="8"/>
  <c r="J7" i="8"/>
  <c r="V41" i="8"/>
  <c r="V40" i="8"/>
  <c r="V43" i="8"/>
  <c r="V39" i="8"/>
  <c r="V38" i="8"/>
  <c r="V42" i="8"/>
  <c r="H42" i="8"/>
  <c r="G15" i="8"/>
  <c r="G32" i="8"/>
  <c r="H26" i="8"/>
  <c r="H41" i="8"/>
  <c r="H13" i="8"/>
  <c r="H38" i="8"/>
  <c r="G20" i="8"/>
  <c r="H39" i="8"/>
  <c r="G43" i="8"/>
  <c r="G42" i="8"/>
  <c r="G31" i="8"/>
  <c r="H14" i="8"/>
  <c r="H37" i="8"/>
  <c r="G40" i="8"/>
  <c r="G14" i="8"/>
  <c r="G25" i="8"/>
  <c r="G9" i="8"/>
  <c r="H23" i="8"/>
  <c r="H24" i="8"/>
  <c r="G38" i="8"/>
  <c r="H43" i="8"/>
  <c r="H33" i="8"/>
  <c r="H32" i="8"/>
  <c r="H15" i="8"/>
  <c r="G21" i="8"/>
  <c r="G24" i="8"/>
  <c r="G41" i="8"/>
  <c r="G39" i="8"/>
  <c r="G44" i="8"/>
  <c r="G27" i="8"/>
  <c r="G37" i="8"/>
  <c r="H27" i="8"/>
  <c r="G23" i="8"/>
  <c r="H19" i="8"/>
  <c r="H21" i="8"/>
  <c r="G26" i="8"/>
  <c r="G19" i="8"/>
  <c r="H9" i="8"/>
  <c r="H20" i="8"/>
  <c r="H45" i="8"/>
  <c r="H44" i="8"/>
  <c r="G22" i="8"/>
  <c r="G45" i="8"/>
  <c r="H40" i="8"/>
  <c r="G13" i="8"/>
  <c r="H31" i="8"/>
  <c r="H22" i="8"/>
  <c r="H25" i="8"/>
  <c r="G33" i="8"/>
  <c r="P12" i="8"/>
  <c r="T12" i="8"/>
  <c r="I43" i="8"/>
  <c r="J43" i="8"/>
  <c r="I19" i="8"/>
  <c r="J19" i="8"/>
  <c r="I23" i="8"/>
  <c r="J23" i="8"/>
  <c r="I31" i="8"/>
  <c r="J31" i="8"/>
  <c r="I42" i="8"/>
  <c r="J42" i="8"/>
  <c r="I15" i="8"/>
  <c r="J15" i="8"/>
  <c r="I37" i="8"/>
  <c r="J37" i="8"/>
  <c r="I41" i="8"/>
  <c r="J41" i="8"/>
  <c r="I45" i="8"/>
  <c r="J45" i="8"/>
  <c r="I9" i="8"/>
  <c r="J9" i="8"/>
  <c r="F9" i="8"/>
  <c r="I24" i="8"/>
  <c r="J24" i="8"/>
  <c r="I33" i="8"/>
  <c r="J33" i="8"/>
  <c r="I39" i="8"/>
  <c r="J39" i="8"/>
  <c r="I13" i="8"/>
  <c r="J13" i="8"/>
  <c r="I25" i="8"/>
  <c r="J25" i="8"/>
  <c r="I44" i="8"/>
  <c r="J44" i="8"/>
  <c r="I21" i="8"/>
  <c r="J21" i="8"/>
  <c r="I32" i="8"/>
  <c r="J32" i="8"/>
  <c r="I20" i="8"/>
  <c r="J20" i="8"/>
  <c r="I40" i="8"/>
  <c r="J40" i="8"/>
  <c r="I14" i="8"/>
  <c r="J14" i="8"/>
  <c r="I22" i="8"/>
  <c r="J22" i="8"/>
  <c r="I26" i="8"/>
  <c r="J26" i="8"/>
  <c r="I27" i="8"/>
  <c r="J27" i="8"/>
  <c r="I38" i="8"/>
  <c r="J38" i="8"/>
  <c r="L23" i="8"/>
  <c r="K23" i="8"/>
  <c r="L21" i="8"/>
  <c r="K21" i="8"/>
  <c r="L26" i="8"/>
  <c r="K26" i="8"/>
  <c r="L22" i="8"/>
  <c r="L24" i="8"/>
  <c r="K24" i="8"/>
  <c r="L20" i="8"/>
  <c r="K20" i="8"/>
  <c r="L19" i="8"/>
  <c r="K19" i="8"/>
  <c r="L27" i="8"/>
  <c r="K27" i="8"/>
  <c r="L25" i="8"/>
  <c r="K25" i="8"/>
  <c r="K15" i="8"/>
  <c r="L15" i="8"/>
  <c r="K13" i="8"/>
  <c r="L13" i="8"/>
  <c r="K14" i="8"/>
  <c r="L14" i="8"/>
  <c r="C34" i="8"/>
  <c r="C37" i="8"/>
  <c r="K22" i="8"/>
  <c r="C3" i="5"/>
  <c r="C4" i="5"/>
  <c r="D9" i="4"/>
  <c r="J14" i="9"/>
  <c r="G6" i="4"/>
  <c r="J15" i="9"/>
  <c r="G7" i="4"/>
  <c r="J16" i="9"/>
  <c r="G8" i="4"/>
  <c r="T14" i="9"/>
  <c r="O6" i="4"/>
  <c r="S6" i="4"/>
  <c r="T15" i="9"/>
  <c r="O7" i="4"/>
  <c r="S7" i="4"/>
  <c r="T16" i="9"/>
  <c r="O8" i="4"/>
  <c r="S8" i="4"/>
  <c r="T17" i="9"/>
  <c r="O9" i="4"/>
  <c r="AQ47" i="9"/>
  <c r="P9" i="4"/>
  <c r="S9" i="4"/>
  <c r="T18" i="9"/>
  <c r="O10" i="4"/>
  <c r="AQ48" i="9"/>
  <c r="P10" i="4"/>
  <c r="S10" i="4"/>
  <c r="T19" i="9"/>
  <c r="O11" i="4"/>
  <c r="AQ49" i="9"/>
  <c r="P11" i="4"/>
  <c r="S11" i="4"/>
  <c r="T20" i="9"/>
  <c r="O12" i="4"/>
  <c r="AQ50" i="9"/>
  <c r="P12" i="4"/>
  <c r="S12" i="4"/>
  <c r="T21" i="9"/>
  <c r="O13" i="4"/>
  <c r="AQ51" i="9"/>
  <c r="P13" i="4"/>
  <c r="S13" i="4"/>
  <c r="T22" i="9"/>
  <c r="O14" i="4"/>
  <c r="AQ52" i="9"/>
  <c r="P14" i="4"/>
  <c r="S14" i="4"/>
  <c r="T23" i="9"/>
  <c r="O15" i="4"/>
  <c r="AQ53" i="9"/>
  <c r="P15" i="4"/>
  <c r="S15" i="4"/>
  <c r="T24" i="9"/>
  <c r="O16" i="4"/>
  <c r="AQ54" i="9"/>
  <c r="P16" i="4"/>
  <c r="S16" i="4"/>
  <c r="T25" i="9"/>
  <c r="O17" i="4"/>
  <c r="AQ55" i="9"/>
  <c r="P17" i="4"/>
  <c r="S17" i="4"/>
  <c r="T26" i="9"/>
  <c r="O18" i="4"/>
  <c r="AQ56" i="9"/>
  <c r="P18" i="4"/>
  <c r="S18" i="4"/>
  <c r="T27" i="9"/>
  <c r="O19" i="4"/>
  <c r="AQ57" i="9"/>
  <c r="P19" i="4"/>
  <c r="S19" i="4"/>
  <c r="AG44" i="9"/>
  <c r="W6" i="4"/>
  <c r="AG45" i="9"/>
  <c r="W7" i="4"/>
  <c r="AG46" i="9"/>
  <c r="W8" i="4"/>
  <c r="AG47" i="9"/>
  <c r="W9" i="4"/>
  <c r="AG48" i="9"/>
  <c r="W10" i="4"/>
  <c r="AG49" i="9"/>
  <c r="W11" i="4"/>
  <c r="AG50" i="9"/>
  <c r="W12" i="4"/>
  <c r="AG51" i="9"/>
  <c r="W13" i="4"/>
  <c r="AG52" i="9"/>
  <c r="W14" i="4"/>
  <c r="AG53" i="9"/>
  <c r="W15" i="4"/>
  <c r="AG54" i="9"/>
  <c r="W16" i="4"/>
  <c r="AG55" i="9"/>
  <c r="W17" i="4"/>
  <c r="AG56" i="9"/>
  <c r="W18" i="4"/>
  <c r="AG57" i="9"/>
  <c r="W19" i="4"/>
  <c r="J17" i="9"/>
  <c r="G9" i="4"/>
  <c r="J18" i="9"/>
  <c r="G10" i="4"/>
  <c r="J19" i="9"/>
  <c r="G11" i="4"/>
  <c r="J20" i="9"/>
  <c r="G12" i="4"/>
  <c r="J21" i="9"/>
  <c r="G13" i="4"/>
  <c r="J22" i="9"/>
  <c r="G14" i="4"/>
  <c r="J23" i="9"/>
  <c r="G15" i="4"/>
  <c r="J24" i="9"/>
  <c r="G16" i="4"/>
  <c r="J25" i="9"/>
  <c r="G17" i="4"/>
  <c r="J26" i="9"/>
  <c r="G18" i="4"/>
  <c r="J27" i="9"/>
  <c r="G19" i="4"/>
  <c r="J28" i="9"/>
  <c r="G20" i="4"/>
  <c r="J29" i="9"/>
  <c r="G21" i="4"/>
  <c r="J30" i="9"/>
  <c r="G22" i="4"/>
  <c r="J31" i="9"/>
  <c r="G23" i="4"/>
  <c r="J32" i="9"/>
  <c r="G24" i="4"/>
  <c r="J33" i="9"/>
  <c r="G25" i="4"/>
  <c r="J34" i="9"/>
  <c r="G26" i="4"/>
  <c r="J35" i="9"/>
  <c r="G27" i="4"/>
  <c r="J36" i="9"/>
  <c r="G28" i="4"/>
  <c r="D14" i="4"/>
  <c r="D27" i="4" a="1"/>
  <c r="D27" i="4"/>
  <c r="D31" i="4"/>
  <c r="D41" i="4"/>
  <c r="J45" i="9"/>
  <c r="G39" i="4"/>
  <c r="V44" i="9"/>
  <c r="M39" i="4"/>
  <c r="W44" i="9"/>
  <c r="N39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AQ45" i="9"/>
  <c r="W39" i="4"/>
  <c r="AQ46" i="9"/>
  <c r="W40" i="4"/>
  <c r="W41" i="4"/>
  <c r="W42" i="4"/>
  <c r="W43" i="4"/>
  <c r="W44" i="4"/>
  <c r="W45" i="4"/>
  <c r="W46" i="4"/>
  <c r="W47" i="4"/>
  <c r="W48" i="4"/>
  <c r="W49" i="4"/>
  <c r="W50" i="4"/>
  <c r="W51" i="4"/>
  <c r="T44" i="9"/>
  <c r="O39" i="4"/>
  <c r="V45" i="9"/>
  <c r="M40" i="4"/>
  <c r="W45" i="9"/>
  <c r="N40" i="4"/>
  <c r="T45" i="9"/>
  <c r="O40" i="4"/>
  <c r="V46" i="9"/>
  <c r="M41" i="4"/>
  <c r="W46" i="9"/>
  <c r="N41" i="4"/>
  <c r="T46" i="9"/>
  <c r="O41" i="4"/>
  <c r="V47" i="9"/>
  <c r="M42" i="4"/>
  <c r="W47" i="9"/>
  <c r="N42" i="4"/>
  <c r="T47" i="9"/>
  <c r="O42" i="4"/>
  <c r="V48" i="9"/>
  <c r="M43" i="4"/>
  <c r="W48" i="9"/>
  <c r="N43" i="4"/>
  <c r="T48" i="9"/>
  <c r="O43" i="4"/>
  <c r="V49" i="9"/>
  <c r="M44" i="4"/>
  <c r="W49" i="9"/>
  <c r="N44" i="4"/>
  <c r="T49" i="9"/>
  <c r="O44" i="4"/>
  <c r="D47" i="4"/>
  <c r="D61" i="4" a="1"/>
  <c r="D61" i="4"/>
  <c r="D65" i="4"/>
  <c r="D75" i="4"/>
  <c r="J46" i="9"/>
  <c r="G73" i="4"/>
  <c r="J74" i="9"/>
  <c r="J73" i="4"/>
  <c r="J75" i="9"/>
  <c r="J74" i="4"/>
  <c r="T74" i="9"/>
  <c r="S73" i="4"/>
  <c r="T75" i="9"/>
  <c r="S74" i="4"/>
  <c r="T76" i="9"/>
  <c r="S75" i="4"/>
  <c r="T77" i="9"/>
  <c r="S76" i="4"/>
  <c r="T78" i="9"/>
  <c r="S77" i="4"/>
  <c r="T79" i="9"/>
  <c r="S78" i="4"/>
  <c r="T80" i="9"/>
  <c r="S79" i="4"/>
  <c r="T81" i="9"/>
  <c r="S80" i="4"/>
  <c r="T82" i="9"/>
  <c r="S81" i="4"/>
  <c r="T83" i="9"/>
  <c r="S82" i="4"/>
  <c r="T84" i="9"/>
  <c r="S83" i="4"/>
  <c r="T85" i="9"/>
  <c r="S84" i="4"/>
  <c r="T86" i="9"/>
  <c r="S85" i="4"/>
  <c r="T87" i="9"/>
  <c r="S86" i="4"/>
  <c r="T88" i="9"/>
  <c r="S87" i="4"/>
  <c r="J76" i="9"/>
  <c r="J75" i="4"/>
  <c r="D81" i="4"/>
  <c r="D95" i="4" a="1"/>
  <c r="D95" i="4"/>
  <c r="D99" i="4"/>
  <c r="F4" i="11"/>
  <c r="C3" i="11"/>
  <c r="C7" i="11"/>
  <c r="J21" i="11"/>
  <c r="I4" i="11"/>
  <c r="C24" i="11"/>
  <c r="C42" i="11"/>
  <c r="C43" i="11"/>
  <c r="C45" i="11"/>
  <c r="C46" i="11"/>
  <c r="C33" i="11"/>
  <c r="C34" i="11"/>
  <c r="C35" i="11"/>
  <c r="C38" i="11"/>
  <c r="C29" i="11"/>
  <c r="C30" i="11"/>
  <c r="C28" i="11"/>
  <c r="C25" i="11"/>
  <c r="C26" i="11"/>
  <c r="C27" i="11"/>
  <c r="C4" i="8"/>
  <c r="C8" i="8"/>
  <c r="C17" i="8"/>
  <c r="O22" i="8"/>
  <c r="P22" i="8"/>
  <c r="O5" i="8"/>
  <c r="C28" i="8"/>
  <c r="C40" i="8"/>
  <c r="Q2" i="5" a="1"/>
  <c r="S38" i="5"/>
  <c r="R53" i="5"/>
  <c r="Q24" i="5"/>
  <c r="S95" i="5"/>
  <c r="S4" i="5"/>
  <c r="R78" i="5"/>
  <c r="T49" i="5"/>
  <c r="R121" i="5"/>
  <c r="S144" i="5"/>
  <c r="Q18" i="5"/>
  <c r="T172" i="5"/>
  <c r="R25" i="5"/>
  <c r="R79" i="5"/>
  <c r="S124" i="5"/>
  <c r="R145" i="5"/>
  <c r="Q69" i="5"/>
  <c r="R76" i="5"/>
  <c r="Q119" i="5"/>
  <c r="R178" i="5"/>
  <c r="Q78" i="5"/>
  <c r="R75" i="5"/>
  <c r="R59" i="5"/>
  <c r="S169" i="5"/>
  <c r="T94" i="5"/>
  <c r="R127" i="5"/>
  <c r="S80" i="5"/>
  <c r="Q192" i="5"/>
  <c r="S164" i="5"/>
  <c r="T91" i="5"/>
  <c r="S154" i="5"/>
  <c r="S145" i="5"/>
  <c r="S175" i="5"/>
  <c r="Q40" i="5"/>
  <c r="S133" i="5"/>
  <c r="T167" i="5"/>
  <c r="Q146" i="5"/>
  <c r="R118" i="5"/>
  <c r="T124" i="5"/>
  <c r="R165" i="5"/>
  <c r="S27" i="5"/>
  <c r="S51" i="5"/>
  <c r="T187" i="5"/>
  <c r="S158" i="5"/>
  <c r="Q189" i="5"/>
  <c r="R184" i="5"/>
  <c r="Q84" i="5"/>
  <c r="S56" i="5"/>
  <c r="S91" i="5"/>
  <c r="S45" i="5"/>
  <c r="S196" i="5"/>
  <c r="Q54" i="5"/>
  <c r="Q35" i="5"/>
  <c r="T63" i="5"/>
  <c r="T161" i="5"/>
  <c r="R123" i="5"/>
  <c r="T56" i="5"/>
  <c r="T97" i="5"/>
  <c r="T157" i="5"/>
  <c r="Q197" i="5"/>
  <c r="Q85" i="5"/>
  <c r="T55" i="5"/>
  <c r="S99" i="5"/>
  <c r="R185" i="5"/>
  <c r="Q184" i="5"/>
  <c r="R102" i="5"/>
  <c r="T9" i="5"/>
  <c r="T104" i="5"/>
  <c r="Q67" i="5"/>
  <c r="Q199" i="5"/>
  <c r="R90" i="5"/>
  <c r="T61" i="5"/>
  <c r="T11" i="5"/>
  <c r="T93" i="5"/>
  <c r="Q118" i="5"/>
  <c r="S41" i="5"/>
  <c r="S22" i="5"/>
  <c r="Q155" i="5"/>
  <c r="R86" i="5"/>
  <c r="T4" i="5"/>
  <c r="Q193" i="5"/>
  <c r="R96" i="5"/>
  <c r="S184" i="5"/>
  <c r="Q34" i="5"/>
  <c r="S195" i="5"/>
  <c r="R164" i="5"/>
  <c r="Q167" i="5"/>
  <c r="T60" i="5"/>
  <c r="Q22" i="5"/>
  <c r="Q115" i="5"/>
  <c r="T162" i="5"/>
  <c r="T41" i="5"/>
  <c r="R63" i="5"/>
  <c r="R44" i="5"/>
  <c r="R22" i="5"/>
  <c r="R130" i="5"/>
  <c r="T18" i="5"/>
  <c r="R105" i="5"/>
  <c r="R82" i="5"/>
  <c r="R136" i="5"/>
  <c r="Q142" i="5"/>
  <c r="Q161" i="5"/>
  <c r="T29" i="5"/>
  <c r="S62" i="5"/>
  <c r="R56" i="5"/>
  <c r="R66" i="5"/>
  <c r="S44" i="5"/>
  <c r="R2" i="5"/>
  <c r="R24" i="5"/>
  <c r="R138" i="5"/>
  <c r="T38" i="5"/>
  <c r="T81" i="5"/>
  <c r="R125" i="5"/>
  <c r="Q43" i="5"/>
  <c r="S135" i="5"/>
  <c r="Q156" i="5"/>
  <c r="S188" i="5"/>
  <c r="Q99" i="5"/>
  <c r="S119" i="5"/>
  <c r="Q38" i="5"/>
  <c r="Q47" i="5"/>
  <c r="R87" i="5"/>
  <c r="Q137" i="5"/>
  <c r="T19" i="5"/>
  <c r="R143" i="5"/>
  <c r="T139" i="5"/>
  <c r="S178" i="5"/>
  <c r="Q159" i="5"/>
  <c r="S12" i="5"/>
  <c r="S73" i="5"/>
  <c r="T152" i="5"/>
  <c r="R40" i="5"/>
  <c r="T5" i="5"/>
  <c r="T54" i="5"/>
  <c r="S116" i="5"/>
  <c r="R48" i="5"/>
  <c r="R196" i="5"/>
  <c r="T107" i="5"/>
  <c r="Q129" i="5"/>
  <c r="R46" i="5"/>
  <c r="S3" i="5"/>
  <c r="T53" i="5"/>
  <c r="R36" i="5"/>
  <c r="Q109" i="5"/>
  <c r="Q100" i="5"/>
  <c r="S39" i="5"/>
  <c r="R173" i="5"/>
  <c r="R176" i="5"/>
  <c r="T34" i="5"/>
  <c r="Q185" i="5"/>
  <c r="Q20" i="5"/>
  <c r="Q61" i="5"/>
  <c r="R19" i="5"/>
  <c r="T130" i="5"/>
  <c r="T8" i="5"/>
  <c r="Q68" i="5"/>
  <c r="S11" i="5"/>
  <c r="S115" i="5"/>
  <c r="T178" i="5"/>
  <c r="Q103" i="5"/>
  <c r="R43" i="5"/>
  <c r="T193" i="5"/>
  <c r="Q172" i="5"/>
  <c r="S193" i="5"/>
  <c r="R142" i="5"/>
  <c r="R188" i="5"/>
  <c r="T189" i="5"/>
  <c r="S102" i="5"/>
  <c r="T24" i="5"/>
  <c r="T50" i="5"/>
  <c r="T89" i="5"/>
  <c r="Q130" i="5"/>
  <c r="Q182" i="5"/>
  <c r="S55" i="5"/>
  <c r="S104" i="5"/>
  <c r="S159" i="5"/>
  <c r="Q158" i="5"/>
  <c r="R124" i="5"/>
  <c r="S57" i="5"/>
  <c r="T125" i="5"/>
  <c r="R156" i="5"/>
  <c r="Q81" i="5"/>
  <c r="Q163" i="5"/>
  <c r="T101" i="5"/>
  <c r="S71" i="5"/>
  <c r="R61" i="5"/>
  <c r="Q49" i="5"/>
  <c r="R30" i="5"/>
  <c r="T181" i="5"/>
  <c r="T35" i="5"/>
  <c r="R148" i="5"/>
  <c r="S181" i="5"/>
  <c r="R52" i="5"/>
  <c r="S35" i="5"/>
  <c r="Q181" i="5"/>
  <c r="T164" i="5"/>
  <c r="S136" i="5"/>
  <c r="S111" i="5"/>
  <c r="R28" i="5"/>
  <c r="R108" i="5"/>
  <c r="S13" i="5"/>
  <c r="T110" i="5"/>
  <c r="Q133" i="5"/>
  <c r="Q36" i="5"/>
  <c r="S107" i="5"/>
  <c r="S49" i="5"/>
  <c r="Q16" i="5"/>
  <c r="R5" i="5"/>
  <c r="R12" i="5"/>
  <c r="Q71" i="5"/>
  <c r="Q4" i="5"/>
  <c r="S23" i="5"/>
  <c r="T72" i="5"/>
  <c r="S58" i="5"/>
  <c r="T31" i="5"/>
  <c r="R166" i="5"/>
  <c r="R150" i="5"/>
  <c r="R128" i="5"/>
  <c r="R109" i="5"/>
  <c r="S123" i="5"/>
  <c r="S187" i="5"/>
  <c r="Q170" i="5"/>
  <c r="S21" i="5"/>
  <c r="T70" i="5"/>
  <c r="T119" i="5"/>
  <c r="T57" i="5"/>
  <c r="S122" i="5"/>
  <c r="Q60" i="5"/>
  <c r="T37" i="5"/>
  <c r="R31" i="5"/>
  <c r="R152" i="5"/>
  <c r="Q152" i="5"/>
  <c r="Q76" i="5"/>
  <c r="T180" i="5"/>
  <c r="S85" i="5"/>
  <c r="R99" i="5"/>
  <c r="Q196" i="5"/>
  <c r="R74" i="5"/>
  <c r="T28" i="5"/>
  <c r="T27" i="5"/>
  <c r="Q15" i="5"/>
  <c r="R38" i="5"/>
  <c r="T154" i="5"/>
  <c r="T69" i="5"/>
  <c r="S186" i="5"/>
  <c r="T96" i="5"/>
  <c r="R41" i="5"/>
  <c r="T112" i="5"/>
  <c r="S172" i="5"/>
  <c r="Q52" i="5"/>
  <c r="R58" i="5"/>
  <c r="T134" i="5"/>
  <c r="Q59" i="5"/>
  <c r="Q171" i="5"/>
  <c r="R129" i="5"/>
  <c r="S167" i="5"/>
  <c r="S28" i="5"/>
  <c r="S101" i="5"/>
  <c r="R180" i="5"/>
  <c r="S126" i="5"/>
  <c r="R55" i="5"/>
  <c r="S25" i="5"/>
  <c r="T82" i="5"/>
  <c r="S63" i="5"/>
  <c r="Q56" i="5"/>
  <c r="S30" i="5"/>
  <c r="S48" i="5"/>
  <c r="S74" i="5"/>
  <c r="T129" i="5"/>
  <c r="T176" i="5"/>
  <c r="T133" i="5"/>
  <c r="S46" i="5"/>
  <c r="R106" i="5"/>
  <c r="R26" i="5"/>
  <c r="R151" i="5"/>
  <c r="R104" i="5"/>
  <c r="R194" i="5"/>
  <c r="S147" i="5"/>
  <c r="R17" i="5"/>
  <c r="R179" i="5"/>
  <c r="T33" i="5"/>
  <c r="R3" i="5"/>
  <c r="T190" i="5"/>
  <c r="S183" i="5"/>
  <c r="Q90" i="5"/>
  <c r="R10" i="5"/>
  <c r="R149" i="5"/>
  <c r="T199" i="5"/>
  <c r="Q166" i="5"/>
  <c r="R27" i="5"/>
  <c r="R144" i="5"/>
  <c r="R100" i="5"/>
  <c r="R68" i="5"/>
  <c r="R62" i="5"/>
  <c r="Q145" i="5"/>
  <c r="R168" i="5"/>
  <c r="S26" i="5"/>
  <c r="R120" i="5"/>
  <c r="R15" i="5"/>
  <c r="Q14" i="5"/>
  <c r="T25" i="5"/>
  <c r="T118" i="5"/>
  <c r="Q25" i="5"/>
  <c r="S54" i="5"/>
  <c r="S8" i="5"/>
  <c r="T153" i="5"/>
  <c r="S165" i="5"/>
  <c r="Q62" i="5"/>
  <c r="R175" i="5"/>
  <c r="T59" i="5"/>
  <c r="R16" i="5"/>
  <c r="Q112" i="5"/>
  <c r="Q87" i="5"/>
  <c r="Q176" i="5"/>
  <c r="S140" i="5"/>
  <c r="Q132" i="5"/>
  <c r="S36" i="5"/>
  <c r="T6" i="5"/>
  <c r="Q44" i="5"/>
  <c r="T78" i="5"/>
  <c r="T121" i="5"/>
  <c r="Q168" i="5"/>
  <c r="S174" i="5"/>
  <c r="Q75" i="5"/>
  <c r="R94" i="5"/>
  <c r="T141" i="5"/>
  <c r="S194" i="5"/>
  <c r="Q19" i="5"/>
  <c r="T126" i="5"/>
  <c r="R134" i="5"/>
  <c r="S180" i="5"/>
  <c r="T73" i="5"/>
  <c r="S118" i="5"/>
  <c r="Q177" i="5"/>
  <c r="Q116" i="5"/>
  <c r="T83" i="5"/>
  <c r="Q117" i="5"/>
  <c r="R190" i="5"/>
  <c r="R197" i="5"/>
  <c r="S89" i="5"/>
  <c r="S86" i="5"/>
  <c r="Q127" i="5"/>
  <c r="T137" i="5"/>
  <c r="Q74" i="5"/>
  <c r="R146" i="5"/>
  <c r="Q149" i="5"/>
  <c r="R182" i="5"/>
  <c r="Q94" i="5"/>
  <c r="Q31" i="5"/>
  <c r="S152" i="5"/>
  <c r="S163" i="5"/>
  <c r="R83" i="5"/>
  <c r="Q139" i="5"/>
  <c r="R112" i="5"/>
  <c r="R34" i="5"/>
  <c r="S142" i="5"/>
  <c r="Q120" i="5"/>
  <c r="T136" i="5"/>
  <c r="R20" i="5"/>
  <c r="R29" i="5"/>
  <c r="T13" i="5"/>
  <c r="S10" i="5"/>
  <c r="Q58" i="5"/>
  <c r="S29" i="5"/>
  <c r="T23" i="5"/>
  <c r="R154" i="5"/>
  <c r="T64" i="5"/>
  <c r="S50" i="5"/>
  <c r="R21" i="5"/>
  <c r="Q195" i="5"/>
  <c r="T155" i="5"/>
  <c r="S114" i="5"/>
  <c r="R117" i="5"/>
  <c r="T197" i="5"/>
  <c r="T21" i="5"/>
  <c r="S87" i="5"/>
  <c r="Q102" i="5"/>
  <c r="Q141" i="5"/>
  <c r="R186" i="5"/>
  <c r="S162" i="5"/>
  <c r="S43" i="5"/>
  <c r="S82" i="5"/>
  <c r="Q7" i="5"/>
  <c r="S171" i="5"/>
  <c r="S108" i="5"/>
  <c r="T44" i="5"/>
  <c r="Q8" i="5"/>
  <c r="T103" i="5"/>
  <c r="R81" i="5"/>
  <c r="S176" i="5"/>
  <c r="S24" i="5"/>
  <c r="T40" i="5"/>
  <c r="T76" i="5"/>
  <c r="Q150" i="5"/>
  <c r="Q104" i="5"/>
  <c r="R57" i="5"/>
  <c r="T142" i="5"/>
  <c r="T77" i="5"/>
  <c r="Q126" i="5"/>
  <c r="S61" i="5"/>
  <c r="S83" i="5"/>
  <c r="Q96" i="5"/>
  <c r="T185" i="5"/>
  <c r="S67" i="5"/>
  <c r="S191" i="5"/>
  <c r="Q154" i="5"/>
  <c r="T48" i="5"/>
  <c r="R174" i="5"/>
  <c r="S100" i="5"/>
  <c r="S128" i="5"/>
  <c r="R39" i="5"/>
  <c r="Q88" i="5"/>
  <c r="Q151" i="5"/>
  <c r="S199" i="5"/>
  <c r="S72" i="5"/>
  <c r="Q55" i="5"/>
  <c r="T111" i="5"/>
  <c r="R80" i="5"/>
  <c r="Q110" i="5"/>
  <c r="Q11" i="5"/>
  <c r="Q57" i="5"/>
  <c r="Q79" i="5"/>
  <c r="Q190" i="5"/>
  <c r="S64" i="5"/>
  <c r="Q179" i="5"/>
  <c r="Q178" i="5"/>
  <c r="T182" i="5"/>
  <c r="R65" i="5"/>
  <c r="T105" i="5"/>
  <c r="S179" i="5"/>
  <c r="T51" i="5"/>
  <c r="R72" i="5"/>
  <c r="T12" i="5"/>
  <c r="S153" i="5"/>
  <c r="T114" i="5"/>
  <c r="S70" i="5"/>
  <c r="R192" i="5"/>
  <c r="R101" i="5"/>
  <c r="T52" i="5"/>
  <c r="Q101" i="5"/>
  <c r="Q80" i="5"/>
  <c r="S189" i="5"/>
  <c r="R67" i="5"/>
  <c r="T177" i="5"/>
  <c r="S15" i="5"/>
  <c r="Q46" i="5"/>
  <c r="S92" i="5"/>
  <c r="Q108" i="5"/>
  <c r="S155" i="5"/>
  <c r="T7" i="5"/>
  <c r="Q10" i="5"/>
  <c r="S170" i="5"/>
  <c r="Q86" i="5"/>
  <c r="Q33" i="5"/>
  <c r="S120" i="5"/>
  <c r="R49" i="5"/>
  <c r="Q160" i="5"/>
  <c r="R73" i="5"/>
  <c r="R93" i="5"/>
  <c r="S6" i="5"/>
  <c r="Q42" i="5"/>
  <c r="S14" i="5"/>
  <c r="S65" i="5"/>
  <c r="T22" i="5"/>
  <c r="R153" i="5"/>
  <c r="S52" i="5"/>
  <c r="R89" i="5"/>
  <c r="Q125" i="5"/>
  <c r="T166" i="5"/>
  <c r="T2" i="5"/>
  <c r="R141" i="5"/>
  <c r="Q51" i="5"/>
  <c r="Q188" i="5"/>
  <c r="R135" i="5"/>
  <c r="R115" i="5"/>
  <c r="T71" i="5"/>
  <c r="T17" i="5"/>
  <c r="T84" i="5"/>
  <c r="S130" i="5"/>
  <c r="S105" i="5"/>
  <c r="S81" i="5"/>
  <c r="S40" i="5"/>
  <c r="Q157" i="5"/>
  <c r="S37" i="5"/>
  <c r="S53" i="5"/>
  <c r="S112" i="5"/>
  <c r="T20" i="5"/>
  <c r="R132" i="5"/>
  <c r="Q89" i="5"/>
  <c r="T86" i="5"/>
  <c r="Q13" i="5"/>
  <c r="Q121" i="5"/>
  <c r="R139" i="5"/>
  <c r="T159" i="5"/>
  <c r="S182" i="5"/>
  <c r="Q95" i="5"/>
  <c r="Q5" i="5"/>
  <c r="R111" i="5"/>
  <c r="R177" i="5"/>
  <c r="R160" i="5"/>
  <c r="T196" i="5"/>
  <c r="S146" i="5"/>
  <c r="S96" i="5"/>
  <c r="T115" i="5"/>
  <c r="Q138" i="5"/>
  <c r="Q72" i="5"/>
  <c r="S185" i="5"/>
  <c r="T62" i="5"/>
  <c r="S192" i="5"/>
  <c r="Q183" i="5"/>
  <c r="S129" i="5"/>
  <c r="R157" i="5"/>
  <c r="T132" i="5"/>
  <c r="Q134" i="5"/>
  <c r="Q53" i="5"/>
  <c r="T43" i="5"/>
  <c r="T66" i="5"/>
  <c r="Q6" i="5"/>
  <c r="S131" i="5"/>
  <c r="Q162" i="5"/>
  <c r="S177" i="5"/>
  <c r="Q194" i="5"/>
  <c r="T113" i="5"/>
  <c r="T147" i="5"/>
  <c r="Q122" i="5"/>
  <c r="T102" i="5"/>
  <c r="T117" i="5"/>
  <c r="T150" i="5"/>
  <c r="T170" i="5"/>
  <c r="S79" i="5"/>
  <c r="Q148" i="5"/>
  <c r="R110" i="5"/>
  <c r="R167" i="5"/>
  <c r="T145" i="5"/>
  <c r="T3" i="5"/>
  <c r="Q107" i="5"/>
  <c r="T92" i="5"/>
  <c r="Q165" i="5"/>
  <c r="S156" i="5"/>
  <c r="S76" i="5"/>
  <c r="Q3" i="5"/>
  <c r="S157" i="5"/>
  <c r="Q77" i="5"/>
  <c r="R14" i="5"/>
  <c r="R77" i="5"/>
  <c r="R183" i="5"/>
  <c r="T67" i="5"/>
  <c r="T100" i="5"/>
  <c r="Q153" i="5"/>
  <c r="Q174" i="5"/>
  <c r="Q91" i="5"/>
  <c r="T140" i="5"/>
  <c r="S110" i="5"/>
  <c r="Q37" i="5"/>
  <c r="T30" i="5"/>
  <c r="T175" i="5"/>
  <c r="S160" i="5"/>
  <c r="R8" i="5"/>
  <c r="T79" i="5"/>
  <c r="Q169" i="5"/>
  <c r="S42" i="5"/>
  <c r="R98" i="5"/>
  <c r="R88" i="5"/>
  <c r="T179" i="5"/>
  <c r="S31" i="5"/>
  <c r="S20" i="5"/>
  <c r="S68" i="5"/>
  <c r="R71" i="5"/>
  <c r="S137" i="5"/>
  <c r="T99" i="5"/>
  <c r="R116" i="5"/>
  <c r="Q83" i="5"/>
  <c r="Q123" i="5"/>
  <c r="T131" i="5"/>
  <c r="S125" i="5"/>
  <c r="R162" i="5"/>
  <c r="T151" i="5"/>
  <c r="T146" i="5"/>
  <c r="T191" i="5"/>
  <c r="Q98" i="5"/>
  <c r="T163" i="5"/>
  <c r="T198" i="5"/>
  <c r="S132" i="5"/>
  <c r="R54" i="5"/>
  <c r="Q198" i="5"/>
  <c r="S94" i="5"/>
  <c r="T98" i="5"/>
  <c r="R7" i="5"/>
  <c r="S60" i="5"/>
  <c r="R161" i="5"/>
  <c r="R23" i="5"/>
  <c r="T184" i="5"/>
  <c r="R47" i="5"/>
  <c r="S19" i="5"/>
  <c r="R131" i="5"/>
  <c r="T127" i="5"/>
  <c r="R69" i="5"/>
  <c r="S84" i="5"/>
  <c r="T32" i="5"/>
  <c r="T192" i="5"/>
  <c r="R158" i="5"/>
  <c r="Q45" i="5"/>
  <c r="T106" i="5"/>
  <c r="R32" i="5"/>
  <c r="S138" i="5"/>
  <c r="Q73" i="5"/>
  <c r="R199" i="5"/>
  <c r="T138" i="5"/>
  <c r="R84" i="5"/>
  <c r="R9" i="5"/>
  <c r="Q124" i="5"/>
  <c r="T149" i="5"/>
  <c r="T186" i="5"/>
  <c r="Q143" i="5"/>
  <c r="S103" i="5"/>
  <c r="S117" i="5"/>
  <c r="Q29" i="5"/>
  <c r="Q93" i="5"/>
  <c r="R103" i="5"/>
  <c r="R42" i="5"/>
  <c r="S69" i="5"/>
  <c r="T95" i="5"/>
  <c r="S141" i="5"/>
  <c r="S66" i="5"/>
  <c r="R181" i="5"/>
  <c r="T47" i="5"/>
  <c r="Q97" i="5"/>
  <c r="S97" i="5"/>
  <c r="T87" i="5"/>
  <c r="T195" i="5"/>
  <c r="Q187" i="5"/>
  <c r="T42" i="5"/>
  <c r="S148" i="5"/>
  <c r="T39" i="5"/>
  <c r="S190" i="5"/>
  <c r="Q140" i="5"/>
  <c r="R97" i="5"/>
  <c r="Q41" i="5"/>
  <c r="Q26" i="5"/>
  <c r="S151" i="5"/>
  <c r="Q28" i="5"/>
  <c r="T188" i="5"/>
  <c r="S127" i="5"/>
  <c r="R64" i="5"/>
  <c r="Q66" i="5"/>
  <c r="Q23" i="5"/>
  <c r="R51" i="5"/>
  <c r="T165" i="5"/>
  <c r="R114" i="5"/>
  <c r="S166" i="5"/>
  <c r="T116" i="5"/>
  <c r="R45" i="5"/>
  <c r="Q50" i="5"/>
  <c r="R147" i="5"/>
  <c r="Q32" i="5"/>
  <c r="T16" i="5"/>
  <c r="T135" i="5"/>
  <c r="R50" i="5"/>
  <c r="Q131" i="5"/>
  <c r="S139" i="5"/>
  <c r="R95" i="5"/>
  <c r="Q173" i="5"/>
  <c r="S198" i="5"/>
  <c r="Q2" i="5"/>
  <c r="S18" i="5"/>
  <c r="Q144" i="5"/>
  <c r="R13" i="5"/>
  <c r="Q147" i="5"/>
  <c r="T65" i="5"/>
  <c r="T144" i="5"/>
  <c r="S150" i="5"/>
  <c r="R187" i="5"/>
  <c r="S78" i="5"/>
  <c r="R4" i="5"/>
  <c r="T168" i="5"/>
  <c r="Q48" i="5"/>
  <c r="T194" i="5"/>
  <c r="R122" i="5"/>
  <c r="R92" i="5"/>
  <c r="Q12" i="5"/>
  <c r="R107" i="5"/>
  <c r="T122" i="5"/>
  <c r="T160" i="5"/>
  <c r="R33" i="5"/>
  <c r="S77" i="5"/>
  <c r="Q39" i="5"/>
  <c r="T143" i="5"/>
  <c r="Q106" i="5"/>
  <c r="T36" i="5"/>
  <c r="R85" i="5"/>
  <c r="T158" i="5"/>
  <c r="R133" i="5"/>
  <c r="S168" i="5"/>
  <c r="Q128" i="5"/>
  <c r="T68" i="5"/>
  <c r="Q17" i="5"/>
  <c r="S161" i="5"/>
  <c r="T173" i="5"/>
  <c r="R6" i="5"/>
  <c r="S197" i="5"/>
  <c r="R169" i="5"/>
  <c r="Q191" i="5"/>
  <c r="Q21" i="5"/>
  <c r="Q180" i="5"/>
  <c r="R170" i="5"/>
  <c r="S34" i="5"/>
  <c r="Q30" i="5"/>
  <c r="R195" i="5"/>
  <c r="T75" i="5"/>
  <c r="R172" i="5"/>
  <c r="S173" i="5"/>
  <c r="R193" i="5"/>
  <c r="T58" i="5"/>
  <c r="Q64" i="5"/>
  <c r="T26" i="5"/>
  <c r="Q175" i="5"/>
  <c r="S121" i="5"/>
  <c r="T174" i="5"/>
  <c r="R126" i="5"/>
  <c r="T183" i="5"/>
  <c r="Q65" i="5"/>
  <c r="R140" i="5"/>
  <c r="S109" i="5"/>
  <c r="Q113" i="5"/>
  <c r="S98" i="5"/>
  <c r="R119" i="5"/>
  <c r="T46" i="5"/>
  <c r="S75" i="5"/>
  <c r="Q70" i="5"/>
  <c r="R198" i="5"/>
  <c r="R35" i="5"/>
  <c r="S134" i="5"/>
  <c r="T123" i="5"/>
  <c r="T15" i="5"/>
  <c r="Q164" i="5"/>
  <c r="S5" i="5"/>
  <c r="S16" i="5"/>
  <c r="R163" i="5"/>
  <c r="T148" i="5"/>
  <c r="T156" i="5"/>
  <c r="T128" i="5"/>
  <c r="R11" i="5"/>
  <c r="Q9" i="5"/>
  <c r="S7" i="5"/>
  <c r="S17" i="5"/>
  <c r="Q114" i="5"/>
  <c r="S59" i="5"/>
  <c r="T85" i="5"/>
  <c r="S32" i="5"/>
  <c r="T120" i="5"/>
  <c r="Q135" i="5"/>
  <c r="S2" i="5"/>
  <c r="R113" i="5"/>
  <c r="T171" i="5"/>
  <c r="T80" i="5"/>
  <c r="Q136" i="5"/>
  <c r="Q82" i="5"/>
  <c r="Q111" i="5"/>
  <c r="R155" i="5"/>
  <c r="Q63" i="5"/>
  <c r="S106" i="5"/>
  <c r="Q186" i="5"/>
  <c r="R37" i="5"/>
  <c r="S113" i="5"/>
  <c r="T10" i="5"/>
  <c r="Q92" i="5"/>
  <c r="S143" i="5"/>
  <c r="T14" i="5"/>
  <c r="S9" i="5"/>
  <c r="T88" i="5"/>
  <c r="R60" i="5"/>
  <c r="R18" i="5"/>
  <c r="R189" i="5"/>
  <c r="S88" i="5"/>
  <c r="R91" i="5"/>
  <c r="S47" i="5"/>
  <c r="T109" i="5"/>
  <c r="T90" i="5"/>
  <c r="R191" i="5"/>
  <c r="S90" i="5"/>
  <c r="T108" i="5"/>
  <c r="T45" i="5"/>
  <c r="R137" i="5"/>
  <c r="R171" i="5"/>
  <c r="S33" i="5"/>
  <c r="Q27" i="5"/>
  <c r="Q105" i="5"/>
  <c r="R159" i="5"/>
  <c r="T74" i="5"/>
  <c r="S93" i="5"/>
  <c r="T169" i="5"/>
  <c r="S149" i="5"/>
  <c r="R70" i="5"/>
  <c r="U22" i="8"/>
  <c r="R22" i="8"/>
  <c r="O21" i="11"/>
  <c r="L21" i="11"/>
  <c r="D96" i="4"/>
  <c r="D98" i="4"/>
  <c r="D97" i="4"/>
  <c r="D63" i="4"/>
  <c r="D64" i="4"/>
  <c r="D62" i="4"/>
  <c r="T15" i="8"/>
  <c r="T16" i="8"/>
  <c r="R16" i="8"/>
  <c r="D30" i="4"/>
  <c r="D29" i="4"/>
  <c r="D28" i="4"/>
  <c r="N14" i="11"/>
  <c r="N15" i="11"/>
  <c r="L15" i="11"/>
  <c r="B33" i="10"/>
  <c r="C33" i="10"/>
  <c r="M33" i="10"/>
  <c r="O33" i="10"/>
  <c r="P33" i="10"/>
  <c r="Q33" i="10"/>
  <c r="B25" i="10"/>
  <c r="C25" i="10"/>
  <c r="M25" i="10"/>
  <c r="O25" i="10"/>
  <c r="P25" i="10"/>
  <c r="Q25" i="10"/>
  <c r="B11" i="10"/>
  <c r="C11" i="10"/>
  <c r="M11" i="10"/>
  <c r="O11" i="10"/>
  <c r="P11" i="10"/>
  <c r="Q11" i="10"/>
  <c r="B21" i="10"/>
  <c r="C21" i="10"/>
  <c r="M21" i="10"/>
  <c r="O21" i="10"/>
  <c r="P21" i="10"/>
  <c r="Q21" i="10"/>
  <c r="B22" i="10"/>
  <c r="C22" i="10"/>
  <c r="M22" i="10"/>
  <c r="O22" i="10"/>
  <c r="P22" i="10"/>
  <c r="Q22" i="10"/>
  <c r="B14" i="10"/>
  <c r="C14" i="10"/>
  <c r="M14" i="10"/>
  <c r="O14" i="10"/>
  <c r="P14" i="10"/>
  <c r="Q14" i="10"/>
  <c r="B9" i="10"/>
  <c r="C9" i="10"/>
  <c r="M9" i="10"/>
  <c r="O9" i="10"/>
  <c r="P9" i="10"/>
  <c r="Q9" i="10"/>
  <c r="B28" i="10"/>
  <c r="C28" i="10"/>
  <c r="M28" i="10"/>
  <c r="O28" i="10"/>
  <c r="P28" i="10"/>
  <c r="Q28" i="10"/>
  <c r="B7" i="10"/>
  <c r="C7" i="10"/>
  <c r="M7" i="10"/>
  <c r="O7" i="10"/>
  <c r="P7" i="10"/>
  <c r="Q7" i="10"/>
  <c r="B27" i="10"/>
  <c r="C27" i="10"/>
  <c r="M27" i="10"/>
  <c r="O27" i="10"/>
  <c r="P27" i="10"/>
  <c r="Q27" i="10"/>
  <c r="B5" i="10"/>
  <c r="C5" i="10"/>
  <c r="M5" i="10"/>
  <c r="O5" i="10"/>
  <c r="P5" i="10"/>
  <c r="Q5" i="10"/>
  <c r="B8" i="10"/>
  <c r="C8" i="10"/>
  <c r="M8" i="10"/>
  <c r="O8" i="10"/>
  <c r="P8" i="10"/>
  <c r="Q8" i="10"/>
  <c r="B36" i="10"/>
  <c r="C36" i="10"/>
  <c r="M36" i="10"/>
  <c r="O36" i="10"/>
  <c r="P36" i="10"/>
  <c r="Q36" i="10"/>
  <c r="B24" i="10"/>
  <c r="C24" i="10"/>
  <c r="M24" i="10"/>
  <c r="O24" i="10"/>
  <c r="P24" i="10"/>
  <c r="Q24" i="10"/>
  <c r="B20" i="10"/>
  <c r="C20" i="10"/>
  <c r="M20" i="10"/>
  <c r="O20" i="10"/>
  <c r="P20" i="10"/>
  <c r="Q20" i="10"/>
  <c r="B6" i="10"/>
  <c r="C6" i="10"/>
  <c r="M6" i="10"/>
  <c r="O6" i="10"/>
  <c r="P6" i="10"/>
  <c r="Q6" i="10"/>
  <c r="B31" i="10"/>
  <c r="C31" i="10"/>
  <c r="M31" i="10"/>
  <c r="O31" i="10"/>
  <c r="P31" i="10"/>
  <c r="Q31" i="10"/>
  <c r="B35" i="10"/>
  <c r="C35" i="10"/>
  <c r="M35" i="10"/>
  <c r="O35" i="10"/>
  <c r="P35" i="10"/>
  <c r="Q35" i="10"/>
  <c r="B12" i="10"/>
  <c r="C12" i="10"/>
  <c r="M12" i="10"/>
  <c r="O12" i="10"/>
  <c r="P12" i="10"/>
  <c r="Q12" i="10"/>
  <c r="B10" i="10"/>
  <c r="C10" i="10"/>
  <c r="M10" i="10"/>
  <c r="O10" i="10"/>
  <c r="P10" i="10"/>
  <c r="Q10" i="10"/>
  <c r="B29" i="10"/>
  <c r="C29" i="10"/>
  <c r="M29" i="10"/>
  <c r="O29" i="10"/>
  <c r="P29" i="10"/>
  <c r="Q29" i="10"/>
  <c r="B32" i="10"/>
  <c r="C32" i="10"/>
  <c r="M32" i="10"/>
  <c r="O32" i="10"/>
  <c r="P32" i="10"/>
  <c r="Q32" i="10"/>
  <c r="B34" i="10"/>
  <c r="C34" i="10"/>
  <c r="M34" i="10"/>
  <c r="O34" i="10"/>
  <c r="P34" i="10"/>
  <c r="Q34" i="10"/>
  <c r="B13" i="10"/>
  <c r="C13" i="10"/>
  <c r="M13" i="10"/>
  <c r="O13" i="10"/>
  <c r="P13" i="10"/>
  <c r="Q13" i="10"/>
  <c r="B26" i="10"/>
  <c r="C26" i="10"/>
  <c r="M26" i="10"/>
  <c r="O26" i="10"/>
  <c r="P26" i="10"/>
  <c r="Q26" i="10"/>
  <c r="B30" i="10"/>
  <c r="C30" i="10"/>
  <c r="M30" i="10"/>
  <c r="O30" i="10"/>
  <c r="P30" i="10"/>
  <c r="Q30" i="10"/>
  <c r="B23" i="10"/>
  <c r="C23" i="10"/>
  <c r="M23" i="10"/>
  <c r="O23" i="10"/>
  <c r="P23" i="10"/>
  <c r="Q23" i="10"/>
  <c r="C5" i="9"/>
  <c r="C6" i="9"/>
  <c r="AQ44" i="9"/>
  <c r="C7" i="9"/>
  <c r="C8" i="9"/>
  <c r="C4" i="9"/>
  <c r="C16" i="5"/>
  <c r="J44" i="9"/>
  <c r="F5" i="9"/>
  <c r="F6" i="9"/>
  <c r="F7" i="9"/>
  <c r="F8" i="9"/>
  <c r="F9" i="9"/>
  <c r="F4" i="9"/>
  <c r="C17" i="5"/>
  <c r="I5" i="9"/>
  <c r="I6" i="9"/>
  <c r="I7" i="9"/>
  <c r="I4" i="9"/>
  <c r="C18" i="5"/>
  <c r="C20" i="5"/>
  <c r="C22" i="5"/>
  <c r="P7" i="4"/>
  <c r="P8" i="4"/>
  <c r="C21" i="5"/>
  <c r="P6" i="4"/>
</calcChain>
</file>

<file path=xl/sharedStrings.xml><?xml version="1.0" encoding="utf-8"?>
<sst xmlns="http://schemas.openxmlformats.org/spreadsheetml/2006/main" count="2232" uniqueCount="583">
  <si>
    <t>Yield</t>
  </si>
  <si>
    <t>BOND SPECIFICATION</t>
  </si>
  <si>
    <t>BondDescription</t>
  </si>
  <si>
    <t>BondType</t>
  </si>
  <si>
    <t>FIXED</t>
  </si>
  <si>
    <t>Currency</t>
  </si>
  <si>
    <t>ISIN</t>
  </si>
  <si>
    <t>YieldType</t>
  </si>
  <si>
    <t>YIELD-TO-MATURITY</t>
  </si>
  <si>
    <t>IsCleanPrice</t>
  </si>
  <si>
    <t>BondQuoteConvention</t>
  </si>
  <si>
    <t>PayReceive</t>
  </si>
  <si>
    <t>RECEIVE</t>
  </si>
  <si>
    <t>NotionalExchange</t>
  </si>
  <si>
    <t>START_AND_END</t>
  </si>
  <si>
    <t>FaceValue</t>
  </si>
  <si>
    <t>FirstCouponDate</t>
  </si>
  <si>
    <t>LastCouponDate</t>
  </si>
  <si>
    <t>MaturityDate</t>
  </si>
  <si>
    <t>Coupon</t>
  </si>
  <si>
    <t>Frequency</t>
  </si>
  <si>
    <t>AccrualBusinessDayAdjustment</t>
  </si>
  <si>
    <t>NO_CHANGE</t>
  </si>
  <si>
    <t>AccrualCalendar</t>
  </si>
  <si>
    <t>PaymentBusinessDayAdjustment</t>
  </si>
  <si>
    <t>PaymentCalendar</t>
  </si>
  <si>
    <t>PaymentLag</t>
  </si>
  <si>
    <t>0D</t>
  </si>
  <si>
    <t>DayCount</t>
  </si>
  <si>
    <t>ACT/ACT</t>
  </si>
  <si>
    <t>Rollday</t>
  </si>
  <si>
    <t>CalculationType</t>
  </si>
  <si>
    <t>LegType</t>
  </si>
  <si>
    <t>Leg2:Float</t>
  </si>
  <si>
    <t>Notional</t>
  </si>
  <si>
    <t>PAY</t>
  </si>
  <si>
    <t>ForecastCurve</t>
  </si>
  <si>
    <t>DiscountCurve</t>
  </si>
  <si>
    <t>Leverage</t>
  </si>
  <si>
    <t>FixedRate</t>
  </si>
  <si>
    <t>FirstStubCurveIndex</t>
  </si>
  <si>
    <t>LastStubCurveIndex</t>
  </si>
  <si>
    <t>FirstFixing</t>
  </si>
  <si>
    <t>LastFixing</t>
  </si>
  <si>
    <t>FloatSpread</t>
  </si>
  <si>
    <t>EffectiveDate</t>
  </si>
  <si>
    <t>QUARTERLY</t>
  </si>
  <si>
    <t>Daycount</t>
  </si>
  <si>
    <t>FixingBusinessDayAdjustment</t>
  </si>
  <si>
    <t>MOD_FOLLOWING</t>
  </si>
  <si>
    <t>FixingCalendar</t>
  </si>
  <si>
    <t>FirstStubDate</t>
  </si>
  <si>
    <t>LastStubDate</t>
  </si>
  <si>
    <t>RollDay</t>
  </si>
  <si>
    <t>FixingLag</t>
  </si>
  <si>
    <t>2D</t>
  </si>
  <si>
    <t>FirstFixingLag</t>
  </si>
  <si>
    <t>StubType</t>
  </si>
  <si>
    <t>ASSET SWAP</t>
  </si>
  <si>
    <t>BOND LEG</t>
  </si>
  <si>
    <t>FUNDING LEG</t>
  </si>
  <si>
    <t>SHORTSTART</t>
  </si>
  <si>
    <t>BOND</t>
  </si>
  <si>
    <t xml:space="preserve"> </t>
  </si>
  <si>
    <t>Create Asset Swap</t>
  </si>
  <si>
    <t>Create Bond</t>
  </si>
  <si>
    <t>Handle Name</t>
  </si>
  <si>
    <t>BOND RESULTS</t>
  </si>
  <si>
    <t>SettlementDate</t>
  </si>
  <si>
    <t>1D</t>
  </si>
  <si>
    <t>SettlementLag</t>
  </si>
  <si>
    <t>Calendar</t>
  </si>
  <si>
    <t>ValuationDate</t>
  </si>
  <si>
    <t>BusDayAdjustment</t>
  </si>
  <si>
    <t>SETTLEMENT DATE</t>
  </si>
  <si>
    <t>Clean Price</t>
  </si>
  <si>
    <t>Dirty Price</t>
  </si>
  <si>
    <t>AccruedInterestDays</t>
  </si>
  <si>
    <t>AccruedInterest</t>
  </si>
  <si>
    <t>Quote Price</t>
  </si>
  <si>
    <t>DV01</t>
  </si>
  <si>
    <t>ModifiedDuration</t>
  </si>
  <si>
    <t>IssueDate</t>
  </si>
  <si>
    <t>AccrualStartDate</t>
  </si>
  <si>
    <t>CurveCollection</t>
  </si>
  <si>
    <t>ResetRate</t>
  </si>
  <si>
    <t>RESET LOOKUP</t>
  </si>
  <si>
    <t>Leg1:FixedBond</t>
  </si>
  <si>
    <t>ValuationLag</t>
  </si>
  <si>
    <t>NATURAL</t>
  </si>
  <si>
    <t>Tenor</t>
  </si>
  <si>
    <t>CurveIndex</t>
  </si>
  <si>
    <t>1M</t>
  </si>
  <si>
    <t>2M</t>
  </si>
  <si>
    <t>3M</t>
  </si>
  <si>
    <t>6M</t>
  </si>
  <si>
    <t>12M</t>
  </si>
  <si>
    <t>UseCurveIndex</t>
  </si>
  <si>
    <t>FloatFrequency</t>
  </si>
  <si>
    <t>FloatDaycount</t>
  </si>
  <si>
    <t>FloatBusinessDayAdjustment</t>
  </si>
  <si>
    <t>FloatCalendar</t>
  </si>
  <si>
    <t>FloatRollDay</t>
  </si>
  <si>
    <t>FloatFixingLag</t>
  </si>
  <si>
    <t>FloatFirstStubDate</t>
  </si>
  <si>
    <t>FloatLastStubDate</t>
  </si>
  <si>
    <t>FloatStubType</t>
  </si>
  <si>
    <t>FIXING OVERRIDE</t>
  </si>
  <si>
    <t>STUB RATE</t>
  </si>
  <si>
    <t>STUB RATE TABLE</t>
  </si>
  <si>
    <t>STUB RATE FLOAT LEG LVB</t>
  </si>
  <si>
    <t>AUDYC</t>
  </si>
  <si>
    <t>SYB</t>
  </si>
  <si>
    <t>AUD</t>
  </si>
  <si>
    <t>AUDOIS</t>
  </si>
  <si>
    <t>AUD3ML</t>
  </si>
  <si>
    <t>AUD1ML</t>
  </si>
  <si>
    <t>AUD2ML</t>
  </si>
  <si>
    <t>AUD6ML</t>
  </si>
  <si>
    <t>AUD12ML</t>
  </si>
  <si>
    <t>ACT/365</t>
  </si>
  <si>
    <t>NONE</t>
  </si>
  <si>
    <t>RBACOR Index</t>
  </si>
  <si>
    <t>ADBB1M CMPN Curncy</t>
  </si>
  <si>
    <t>ADBB2M CMPN Curncy</t>
  </si>
  <si>
    <t>ADBB3M CMPN Curncy</t>
  </si>
  <si>
    <t>ADBB6M CMPN Curncy</t>
  </si>
  <si>
    <t>ADBB12M CMPN Curncy</t>
  </si>
  <si>
    <t>PX_LAST</t>
  </si>
  <si>
    <t>PX_ASK</t>
  </si>
  <si>
    <t>BloombergTicker</t>
  </si>
  <si>
    <t>Field</t>
  </si>
  <si>
    <t>STUB TICKERS</t>
  </si>
  <si>
    <t>BondIdentifier</t>
  </si>
  <si>
    <t>IncludeAccrued</t>
  </si>
  <si>
    <t>MYNEWBOND</t>
  </si>
  <si>
    <t>PRICING INPUTS</t>
  </si>
  <si>
    <t>RESET RATE</t>
  </si>
  <si>
    <t>AUD_ASSET_SWAP</t>
  </si>
  <si>
    <t>… FIXING INFO</t>
  </si>
  <si>
    <t>10Y Bond Future</t>
  </si>
  <si>
    <t>XMA Comdty</t>
  </si>
  <si>
    <t>3Y Bond Future</t>
  </si>
  <si>
    <t>YMA Comdty</t>
  </si>
  <si>
    <t>Exchange for Physical, EFP</t>
  </si>
  <si>
    <t>ADSF2Q IAUS Curncy</t>
  </si>
  <si>
    <t>ADSF3Q IAUS Curncy</t>
  </si>
  <si>
    <t>ADSF4 IAUS Curncy</t>
  </si>
  <si>
    <t>ADSF5 IAUS Curncy</t>
  </si>
  <si>
    <t>ADSF6 IAUS Curncy</t>
  </si>
  <si>
    <t>ADSF7 IAUS Curncy</t>
  </si>
  <si>
    <t>ADSF8 IAUS Curncy</t>
  </si>
  <si>
    <t>ADSF9 IAUS Curncy</t>
  </si>
  <si>
    <t>ADSF10 IAUS Curncy</t>
  </si>
  <si>
    <t>ADSF12 IAUS Curncy</t>
  </si>
  <si>
    <t>ADSF15 IAUS Curncy</t>
  </si>
  <si>
    <t>ADSF20 IAUS Curncy</t>
  </si>
  <si>
    <t>ADSF25 IAUS Curncy</t>
  </si>
  <si>
    <t>ADSF30 IAUS Curncy</t>
  </si>
  <si>
    <t>Bid</t>
  </si>
  <si>
    <t>Ask</t>
  </si>
  <si>
    <t>Ticker</t>
  </si>
  <si>
    <t>Mid</t>
  </si>
  <si>
    <t>MID</t>
  </si>
  <si>
    <t>Use</t>
  </si>
  <si>
    <t>Rate</t>
  </si>
  <si>
    <t>ADBBCF1 IAUS Curncy</t>
  </si>
  <si>
    <t>ADBBCF2 IAUS Curncy</t>
  </si>
  <si>
    <t>ADBBCF3 IAUS Curncy</t>
  </si>
  <si>
    <t>ADBBCF4 IAUS Curncy</t>
  </si>
  <si>
    <t>ADBBCF5 IAUS Curncy</t>
  </si>
  <si>
    <t>ADBBCF6 IAUS Curncy</t>
  </si>
  <si>
    <t>ADBBCF7 IAUS Curncy</t>
  </si>
  <si>
    <t>ADBBCF8 IAUS Curncy</t>
  </si>
  <si>
    <t>ADBBCF9 IAUS Curncy</t>
  </si>
  <si>
    <t>ADBBCF10 IAUS Curncy</t>
  </si>
  <si>
    <t>ADBBCF12 IAUS Curncy</t>
  </si>
  <si>
    <t>ADBBCF15 IAUS Curncy</t>
  </si>
  <si>
    <t>ADBBCF20 IAUS Curncy</t>
  </si>
  <si>
    <t>ADBBCF25 IAUS Curncy</t>
  </si>
  <si>
    <t>ADBBCF30 IAUS Curncy</t>
  </si>
  <si>
    <t>2Y</t>
  </si>
  <si>
    <t>3Y</t>
  </si>
  <si>
    <t>4Y</t>
  </si>
  <si>
    <t>5Y</t>
  </si>
  <si>
    <t>6Y</t>
  </si>
  <si>
    <t>7Y</t>
  </si>
  <si>
    <t>8Y</t>
  </si>
  <si>
    <t>9Y</t>
  </si>
  <si>
    <t>12Y</t>
  </si>
  <si>
    <t>10Y</t>
  </si>
  <si>
    <t>15Y</t>
  </si>
  <si>
    <t>20Y</t>
  </si>
  <si>
    <t>25Y</t>
  </si>
  <si>
    <t>30Y</t>
  </si>
  <si>
    <t>Tenor Basis 3M vs 6M</t>
  </si>
  <si>
    <t>1Y</t>
  </si>
  <si>
    <r>
      <t xml:space="preserve">ADSF1Q </t>
    </r>
    <r>
      <rPr>
        <b/>
        <sz val="11"/>
        <color rgb="FFC00000"/>
        <rFont val="Calibri"/>
        <family val="2"/>
        <scheme val="minor"/>
      </rPr>
      <t>WBCA</t>
    </r>
    <r>
      <rPr>
        <sz val="11"/>
        <color theme="1"/>
        <rFont val="Calibri"/>
        <family val="2"/>
        <scheme val="minor"/>
      </rPr>
      <t xml:space="preserve"> Curncy</t>
    </r>
  </si>
  <si>
    <t>Benchmark Side</t>
  </si>
  <si>
    <t>Benchmark Tenor</t>
  </si>
  <si>
    <t>… BENCHMARK LEVEL</t>
  </si>
  <si>
    <t>BondFrequency</t>
  </si>
  <si>
    <t>Benchmark Level (%)</t>
  </si>
  <si>
    <t>Override Benchmark (%)</t>
  </si>
  <si>
    <t>BENCHMARK LEVEL</t>
  </si>
  <si>
    <t>SWP Q</t>
  </si>
  <si>
    <t>SWP S</t>
  </si>
  <si>
    <t>MARKETDATAPROPERTIES</t>
  </si>
  <si>
    <t>OIS</t>
  </si>
  <si>
    <t>OISFIXINGS</t>
  </si>
  <si>
    <t>LIBOROISBASISSPREADS</t>
  </si>
  <si>
    <t>SWAPS</t>
  </si>
  <si>
    <t>Term</t>
  </si>
  <si>
    <t>StartDate</t>
  </si>
  <si>
    <t>EndDate</t>
  </si>
  <si>
    <t>BaseDate</t>
  </si>
  <si>
    <t>3ML</t>
  </si>
  <si>
    <t>CurveType</t>
  </si>
  <si>
    <t>CurveIndexFrequency</t>
  </si>
  <si>
    <t>DAILY</t>
  </si>
  <si>
    <t>AsOfDate</t>
  </si>
  <si>
    <t>6ML</t>
  </si>
  <si>
    <t>Create Market Data Handle</t>
  </si>
  <si>
    <t>AUD_OIS_CURVE_MARKETDATA</t>
  </si>
  <si>
    <t>Market Data Handle</t>
  </si>
  <si>
    <t>Curve Dictionary</t>
  </si>
  <si>
    <t>AUD_OIS_CURVE</t>
  </si>
  <si>
    <t>Curve Generator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</si>
  <si>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</si>
  <si>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</si>
  <si>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</si>
  <si>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</si>
  <si>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</si>
  <si>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</si>
  <si>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</si>
  <si>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ON</t>
  </si>
  <si>
    <t>1W</t>
  </si>
  <si>
    <t>4M</t>
  </si>
  <si>
    <t>5M</t>
  </si>
  <si>
    <t>9M</t>
  </si>
  <si>
    <t>Start</t>
  </si>
  <si>
    <t>Maturity</t>
  </si>
  <si>
    <t>Create Curve Generator</t>
  </si>
  <si>
    <t>CURVEPROPERTIES</t>
  </si>
  <si>
    <t>StaticDataTable</t>
  </si>
  <si>
    <t>IndexName</t>
  </si>
  <si>
    <t>OIS:AUDOIS:AUDDF:AUDDF_AUDCSA:AUDDF_NOCSA</t>
  </si>
  <si>
    <t>interpolation</t>
  </si>
  <si>
    <t>FN_SPLINEINTERPOLATION</t>
  </si>
  <si>
    <t>yieldgen.interpolation</t>
  </si>
  <si>
    <t>calendar</t>
  </si>
  <si>
    <t>SYB:LNB</t>
  </si>
  <si>
    <t>daycount</t>
  </si>
  <si>
    <t>frequency</t>
  </si>
  <si>
    <t>ANNUAL</t>
  </si>
  <si>
    <t>generatemethod</t>
  </si>
  <si>
    <t>DAILYCOMPOUNDING</t>
  </si>
  <si>
    <t>resetlag</t>
  </si>
  <si>
    <t>firstrate</t>
  </si>
  <si>
    <t>SHORTMARKET</t>
  </si>
  <si>
    <t>slidingrule</t>
  </si>
  <si>
    <t>eomday</t>
  </si>
  <si>
    <t>iseomroll</t>
  </si>
  <si>
    <t>shorttermconvention</t>
  </si>
  <si>
    <t>ARITHMETICAVERAGE</t>
  </si>
  <si>
    <t>longtermconvention</t>
  </si>
  <si>
    <t>longterm</t>
  </si>
  <si>
    <t>longterm.generatemethod</t>
  </si>
  <si>
    <t>Epsilon</t>
  </si>
  <si>
    <t>MaxLoop</t>
  </si>
  <si>
    <t>CompoundingMethod</t>
  </si>
  <si>
    <t>GEOMETRIC</t>
  </si>
  <si>
    <t>SmoothShortEnd</t>
  </si>
  <si>
    <t>LIBOROISBASIS</t>
  </si>
  <si>
    <t>OIS FLOAT LEG CONVENTIONS</t>
  </si>
  <si>
    <t>slidingRule</t>
  </si>
  <si>
    <t>LIBOR SWAP CONVENTIONS - FIXED LEG</t>
  </si>
  <si>
    <t>SYB:LnB</t>
  </si>
  <si>
    <t>daycountfix</t>
  </si>
  <si>
    <t>frequencyfix</t>
  </si>
  <si>
    <t>Semi-Annual</t>
  </si>
  <si>
    <t>frequencyfix.1y</t>
  </si>
  <si>
    <t>frequencyfix.2y</t>
  </si>
  <si>
    <t>frequencyfix.3y</t>
  </si>
  <si>
    <t>HandleName</t>
  </si>
  <si>
    <t>AUD_OIS_CURVE_GENERATOR</t>
  </si>
  <si>
    <t>CREATE GENERATOR</t>
  </si>
  <si>
    <t>LIBORFIXINGS</t>
  </si>
  <si>
    <t>FRAS</t>
  </si>
  <si>
    <t>FUTURES</t>
  </si>
  <si>
    <t>Volatility</t>
  </si>
  <si>
    <t>SWAP</t>
  </si>
  <si>
    <t>AUD OIS</t>
  </si>
  <si>
    <t>AUD 3ML</t>
  </si>
  <si>
    <t>BASISSWAPS</t>
  </si>
  <si>
    <t>STD</t>
  </si>
  <si>
    <t>STD:AUD3ML</t>
  </si>
  <si>
    <t>FN_LINEARSPLINEINTERPOLATION</t>
  </si>
  <si>
    <t>isfrause</t>
  </si>
  <si>
    <t>isfutureuse</t>
  </si>
  <si>
    <t>future.interpolation</t>
  </si>
  <si>
    <t>SIMPLE</t>
  </si>
  <si>
    <t>dfcurvename</t>
  </si>
  <si>
    <t>IsSwapTenorAdjust</t>
  </si>
  <si>
    <t>TenorSwapName</t>
  </si>
  <si>
    <t>3M6MBasis</t>
  </si>
  <si>
    <t>FastRebuild</t>
  </si>
  <si>
    <t>MONEYMARKET</t>
  </si>
  <si>
    <t>Slidingrule</t>
  </si>
  <si>
    <t>FOLLOWING</t>
  </si>
  <si>
    <t>Simple</t>
  </si>
  <si>
    <t>Resetlag</t>
  </si>
  <si>
    <t>SlidingRule</t>
  </si>
  <si>
    <t>ResetLag</t>
  </si>
  <si>
    <t>ApplyTension</t>
  </si>
  <si>
    <t>TensionGap</t>
  </si>
  <si>
    <t>Act/360</t>
  </si>
  <si>
    <t>2</t>
  </si>
  <si>
    <t>MeanReversion</t>
  </si>
  <si>
    <t>DayCountFix</t>
  </si>
  <si>
    <t>DayCountFloat</t>
  </si>
  <si>
    <t>SEMI-ANNUAL</t>
  </si>
  <si>
    <t>FrequencyFix.1y</t>
  </si>
  <si>
    <t>FrequencyFix.2y</t>
  </si>
  <si>
    <t>FrequencyFix.3y</t>
  </si>
  <si>
    <t>FrequencyFloat</t>
  </si>
  <si>
    <t>FrequencyFloat.1y</t>
  </si>
  <si>
    <t>FrequencyFloat.2y</t>
  </si>
  <si>
    <t>FrequencyFloat.3y</t>
  </si>
  <si>
    <t>IsNewtonraphson</t>
  </si>
  <si>
    <t>issimultaneouseq</t>
  </si>
  <si>
    <t>BaseFrequencyFloat</t>
  </si>
  <si>
    <t>IsEomRoll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</si>
  <si>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</si>
  <si>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</si>
  <si>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</si>
  <si>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</si>
  <si>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</si>
  <si>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</si>
  <si>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Leg1discount</t>
  </si>
  <si>
    <t>Leg1forecast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</si>
  <si>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</si>
  <si>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</si>
  <si>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</si>
  <si>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</si>
  <si>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</si>
  <si>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</si>
  <si>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</si>
  <si>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</si>
  <si>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</si>
  <si>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</si>
  <si>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Quarterly</t>
  </si>
  <si>
    <t>Leg2cashlet.slidingrule</t>
  </si>
  <si>
    <t>Leg2cashlet.spotlag</t>
  </si>
  <si>
    <t>Leg2discount</t>
  </si>
  <si>
    <t>Leg2forecast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</si>
  <si>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</si>
  <si>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</si>
  <si>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</si>
  <si>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</si>
  <si>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</si>
  <si>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</si>
  <si>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</si>
  <si>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</si>
  <si>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Leg2Forecast</t>
  </si>
  <si>
    <t>issamegridindex</t>
  </si>
  <si>
    <t>AUD3ML - GENERATOR TEMPLATE</t>
  </si>
  <si>
    <t>AUDOIS - GENERATOR TEMPLATE</t>
  </si>
  <si>
    <t>AUD_3ML_CURVE_GENERATOR</t>
  </si>
  <si>
    <t>AUD_SWAP_3M_CURVE</t>
  </si>
  <si>
    <t>AUD_SWAP_3ML_CURVE_MARKETDATA</t>
  </si>
  <si>
    <t>LOBASIS</t>
  </si>
  <si>
    <t>0Y</t>
  </si>
  <si>
    <t>Libor-OIS Q</t>
  </si>
  <si>
    <t>Basis 3X6</t>
  </si>
  <si>
    <t>Credit Spread (bps)</t>
  </si>
  <si>
    <t>New Issue Yield Approx (%)</t>
  </si>
  <si>
    <t>AUD 6ML</t>
  </si>
  <si>
    <t>AUD_SWAP_6ML_CURVE_MARKETDATA</t>
  </si>
  <si>
    <t>AUD_6ML_CURVE_GENERATOR</t>
  </si>
  <si>
    <t>isfraUse</t>
  </si>
  <si>
    <t>isfutureUse</t>
  </si>
  <si>
    <t>1x7</t>
  </si>
  <si>
    <t>2x8</t>
  </si>
  <si>
    <t>3x9</t>
  </si>
  <si>
    <t>AccrualFrequency</t>
  </si>
  <si>
    <t>PaymentFrequency</t>
  </si>
  <si>
    <t>FundingAccrualFrequency</t>
  </si>
  <si>
    <t>FundingPaymentFrequency</t>
  </si>
  <si>
    <t>PRICING PARAMETERS</t>
  </si>
  <si>
    <t>Side: Bid/Ask</t>
  </si>
  <si>
    <t>Type: Govt/Corp</t>
  </si>
  <si>
    <t>GOVT</t>
  </si>
  <si>
    <t>Bloomberg ID</t>
  </si>
  <si>
    <t>AU000XCLWAR9 Govt</t>
  </si>
  <si>
    <t>Bloomberg Yield</t>
  </si>
  <si>
    <t>Yield Override</t>
  </si>
  <si>
    <t>BOND Z-SPREAD</t>
  </si>
  <si>
    <t>BondName</t>
  </si>
  <si>
    <t>BondPrice</t>
  </si>
  <si>
    <t>Z-Spread</t>
  </si>
  <si>
    <t>PrevCouponDate</t>
  </si>
  <si>
    <t>NextCouponDate</t>
  </si>
  <si>
    <t>ASSET SWAP RESULTS</t>
  </si>
  <si>
    <t>Asset Swap Spread (Bps)</t>
  </si>
  <si>
    <t>Override ASW Spread (Bps)</t>
  </si>
  <si>
    <t>FromAssetSwapToBondCleanPrice</t>
  </si>
  <si>
    <t>BondYield</t>
  </si>
  <si>
    <t>SWAP SPECIFICATION</t>
  </si>
  <si>
    <t>Create Swap</t>
  </si>
  <si>
    <t>CompoundMethod</t>
  </si>
  <si>
    <t>FLAT</t>
  </si>
  <si>
    <t>Leg1:Fixed</t>
  </si>
  <si>
    <t>AUD_SWAP</t>
  </si>
  <si>
    <t>BondAccrualFrequency</t>
  </si>
  <si>
    <t>BondPaymentFrequency</t>
  </si>
  <si>
    <t>PX_MID</t>
  </si>
  <si>
    <t>BGN</t>
  </si>
  <si>
    <t>PricingSource (PCS)</t>
  </si>
  <si>
    <t>Broker</t>
  </si>
  <si>
    <t>Database</t>
  </si>
  <si>
    <t>Index</t>
  </si>
  <si>
    <t>Curncy</t>
  </si>
  <si>
    <t>RBACOR</t>
  </si>
  <si>
    <t>ADSO1Z</t>
  </si>
  <si>
    <t>ADSOA</t>
  </si>
  <si>
    <t>ADSOB</t>
  </si>
  <si>
    <t>ADSOC</t>
  </si>
  <si>
    <t>ADSOD</t>
  </si>
  <si>
    <t>ADSOE</t>
  </si>
  <si>
    <t>ADSOF</t>
  </si>
  <si>
    <t>ADSOI</t>
  </si>
  <si>
    <t>ADSO1</t>
  </si>
  <si>
    <t>ADSO2</t>
  </si>
  <si>
    <t>ADSO3</t>
  </si>
  <si>
    <t>ADSO4</t>
  </si>
  <si>
    <t>ADSO5</t>
  </si>
  <si>
    <t>ADSO6</t>
  </si>
  <si>
    <t>ADSO7</t>
  </si>
  <si>
    <t>ADSO8</t>
  </si>
  <si>
    <t>ADSO9</t>
  </si>
  <si>
    <t>ADSO10</t>
  </si>
  <si>
    <t>ADSO15</t>
  </si>
  <si>
    <t>ADSO20</t>
  </si>
  <si>
    <t>ADSO25</t>
  </si>
  <si>
    <t>ADSO30</t>
  </si>
  <si>
    <t>Used</t>
  </si>
  <si>
    <t>InstrumentID</t>
  </si>
  <si>
    <t>CloseOfBusiness (COB)</t>
  </si>
  <si>
    <t>isCOBToday</t>
  </si>
  <si>
    <t>Result</t>
  </si>
  <si>
    <t>Side</t>
  </si>
  <si>
    <t>ADBBCO1</t>
  </si>
  <si>
    <t>ADBBCO2</t>
  </si>
  <si>
    <t>ADBBCO3</t>
  </si>
  <si>
    <t>ADBBCO4</t>
  </si>
  <si>
    <t>ADBBCO5</t>
  </si>
  <si>
    <t>ADBBCO6</t>
  </si>
  <si>
    <t>ADBBCO7</t>
  </si>
  <si>
    <t>ADBBCO8</t>
  </si>
  <si>
    <t>ADBBCO9</t>
  </si>
  <si>
    <t>ADBBCO10</t>
  </si>
  <si>
    <t>ADBBCO15</t>
  </si>
  <si>
    <t>ADBBCO20</t>
  </si>
  <si>
    <t>ADBBCO25</t>
  </si>
  <si>
    <t>ADBBCO30</t>
  </si>
  <si>
    <t>ADBBCF1</t>
  </si>
  <si>
    <t>ADBBCF2</t>
  </si>
  <si>
    <t>ADBBCF3</t>
  </si>
  <si>
    <t>ADBBCF4</t>
  </si>
  <si>
    <t>ADBBCF5</t>
  </si>
  <si>
    <t>ADBBCF6</t>
  </si>
  <si>
    <t>ADBBCF7</t>
  </si>
  <si>
    <t>ADBBCF8</t>
  </si>
  <si>
    <t>ADBBCF9</t>
  </si>
  <si>
    <t>ADBBCF10</t>
  </si>
  <si>
    <t>ADBBCF15</t>
  </si>
  <si>
    <t>ADBBCF20</t>
  </si>
  <si>
    <t>ADBBCF25</t>
  </si>
  <si>
    <t>ADBBCF30</t>
  </si>
  <si>
    <t xml:space="preserve">OIS </t>
  </si>
  <si>
    <t>ADSW1Q</t>
  </si>
  <si>
    <t>ADSW2Q</t>
  </si>
  <si>
    <t>ADSW3Q</t>
  </si>
  <si>
    <t>ADSW4</t>
  </si>
  <si>
    <t>ADSW5</t>
  </si>
  <si>
    <t>ADSW6</t>
  </si>
  <si>
    <t>ADSW7</t>
  </si>
  <si>
    <t>ADSW8</t>
  </si>
  <si>
    <t>ADSW9</t>
  </si>
  <si>
    <t>ADSW10</t>
  </si>
  <si>
    <t>ADSW15</t>
  </si>
  <si>
    <t>ADSW20</t>
  </si>
  <si>
    <t>ADSW25</t>
  </si>
  <si>
    <t>ADSW30</t>
  </si>
  <si>
    <t>OIS.Outrights</t>
  </si>
  <si>
    <t>OIS.LiborOIS</t>
  </si>
  <si>
    <t>Check for Missing Instrument Data</t>
  </si>
  <si>
    <t>Settings</t>
  </si>
  <si>
    <t>OIS.TenorBasis</t>
  </si>
  <si>
    <t>OIS.IRS</t>
  </si>
  <si>
    <t>Curve</t>
  </si>
  <si>
    <t>MissingDataPts</t>
  </si>
  <si>
    <t>ADBB1M</t>
  </si>
  <si>
    <t>ADBB3M</t>
  </si>
  <si>
    <t>ADBB6M</t>
  </si>
  <si>
    <t>Comdty</t>
  </si>
  <si>
    <t>IR1</t>
  </si>
  <si>
    <t>IR2</t>
  </si>
  <si>
    <t>IR3</t>
  </si>
  <si>
    <t>IR4</t>
  </si>
  <si>
    <t>IR5</t>
  </si>
  <si>
    <t>IR6</t>
  </si>
  <si>
    <t>INT_RATE_FUT_START_DT</t>
  </si>
  <si>
    <t>INT_RATE_FUT_END_DT</t>
  </si>
  <si>
    <t>FUTURES.DATES</t>
  </si>
  <si>
    <t>Swap3M.LiborFixings</t>
  </si>
  <si>
    <t>Swap3M.Futures</t>
  </si>
  <si>
    <t>Swap3M.Futures.Dates</t>
  </si>
  <si>
    <t>Swap3M.IRS</t>
  </si>
  <si>
    <t>Swap3M.TenorBasis</t>
  </si>
  <si>
    <t>ADFR0AG</t>
  </si>
  <si>
    <t>ADFR0BH</t>
  </si>
  <si>
    <t>ADFR0CI</t>
  </si>
  <si>
    <t>Swap6M.Fixings</t>
  </si>
  <si>
    <t>Swap6M.FRAs</t>
  </si>
  <si>
    <t>Swap6M.IRS</t>
  </si>
  <si>
    <t>Futures.Data</t>
  </si>
  <si>
    <t>Futures.Dates</t>
  </si>
  <si>
    <t>Fixing.Data</t>
  </si>
  <si>
    <t>ADSW1</t>
  </si>
  <si>
    <t>ADSW2</t>
  </si>
  <si>
    <t xml:space="preserve">ADSW3 </t>
  </si>
  <si>
    <t>ADSW12</t>
  </si>
  <si>
    <t>Curve Data Monitor</t>
  </si>
  <si>
    <t>Curve Display Settings</t>
  </si>
  <si>
    <t>CurveIndices</t>
  </si>
  <si>
    <t>EnableCurveChart</t>
  </si>
  <si>
    <t>… Curve Generator Templtes</t>
  </si>
  <si>
    <t>AUD Curve Chart</t>
  </si>
  <si>
    <t>… Curve Display</t>
  </si>
  <si>
    <t>RESULT</t>
  </si>
  <si>
    <t>ParRate (%)</t>
  </si>
  <si>
    <t>&lt;&lt; AUDOIS</t>
  </si>
  <si>
    <t>&lt;&lt; AUD3ML</t>
  </si>
  <si>
    <t>CurveSide (Bid-Offer)</t>
  </si>
  <si>
    <t>Futures.Convexity.HW1F.Vol (%)</t>
  </si>
  <si>
    <t>MaturityOrTenor</t>
  </si>
  <si>
    <t>&lt;&lt; AUD6ML</t>
  </si>
  <si>
    <t>AUD6ML - GENERATOR TEMPLATE</t>
  </si>
  <si>
    <t>Trade Dates</t>
  </si>
  <si>
    <t>Generator</t>
  </si>
  <si>
    <t>PayRec</t>
  </si>
  <si>
    <t>Spread</t>
  </si>
  <si>
    <t>AUD_OIS</t>
  </si>
  <si>
    <t>SWAPS: AUDOIS</t>
  </si>
  <si>
    <t>CreateSwap</t>
  </si>
  <si>
    <t>ParRate</t>
  </si>
  <si>
    <t>+/- (Bps)</t>
  </si>
  <si>
    <t>Unadjusted</t>
  </si>
  <si>
    <t>SWAPS:AUD3ML/AUD6ML</t>
  </si>
  <si>
    <t>AUD_3ML</t>
  </si>
  <si>
    <t>AUD_6ML</t>
  </si>
  <si>
    <t>AllowCalibrationUpdates</t>
  </si>
  <si>
    <t>* Bug fix required for recalibration of final calibration instrument</t>
  </si>
  <si>
    <t>*</t>
  </si>
  <si>
    <t>OverrideDate</t>
  </si>
  <si>
    <t>ForwardStartTenor</t>
  </si>
  <si>
    <t>BondDaycount</t>
  </si>
  <si>
    <t>BondQuoteCleanOrDirty</t>
  </si>
  <si>
    <t>CLEAN</t>
  </si>
  <si>
    <t>FundingIncludeAccrued</t>
  </si>
  <si>
    <t>AsOfDay</t>
  </si>
  <si>
    <t>ExdividendTenor</t>
  </si>
  <si>
    <t>ExdividendBusinessDayAdjustment</t>
  </si>
  <si>
    <t>7D</t>
  </si>
  <si>
    <t>VALUATION SETTINGS</t>
  </si>
  <si>
    <t>SwapCurve.Interpolation</t>
  </si>
  <si>
    <t>SPLINE</t>
  </si>
  <si>
    <t>LNB:SYB</t>
  </si>
  <si>
    <t>PRECEDING</t>
  </si>
  <si>
    <t>QUOTE_TO_3_DECIMAL_PLACES</t>
  </si>
  <si>
    <t>AUD_SWAP_6M_CURVE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</si>
</sst>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#,##0.000"/>
    <numFmt numFmtId="168" formatCode="0.000000%"/>
    <numFmt numFmtId="169" formatCode="ddd\ d\-mmm\-yy"/>
    <numFmt numFmtId="170" formatCode="#,##0.0000"/>
    <numFmt numFmtId="171" formatCode="ddd\,\ d\-mmm\-yy"/>
    <numFmt numFmtId="172" formatCode="0.00000%"/>
    <numFmt numFmtId="173" formatCode="0.000%"/>
    <numFmt numFmtId="174" formatCode="0.0000%"/>
    <numFmt numFmtId="175" formatCode="_(&quot;$&quot;* #,##0.00_);_(&quot;$&quot;* \(#,##0.00\);_(&quot;$&quot;* &quot;-&quot;??_);_(@_)"/>
    <numFmt numFmtId="176" formatCode="0\ &quot; days&quot;"/>
    <numFmt numFmtId="177" formatCode="mmm\-yyyy"/>
    <numFmt numFmtId="178" formatCode="0.000"/>
    <numFmt numFmtId="179" formatCode="dd/m/yy"/>
    <numFmt numFmtId="180" formatCode="_(&quot;$&quot;* #,##0_);_(&quot;$&quot;* \(#,##0\);_(&quot;$&quot;* &quot;-&quot;_);_(@_)"/>
    <numFmt numFmtId="181" formatCode="0.00_)"/>
    <numFmt numFmtId="182" formatCode="dd\-mmm\-yy;dd\-mmm\-yy;"/>
    <numFmt numFmtId="183" formatCode="_ * #,##0_ ;_ * \-#,##0_ ;_ * &quot;-&quot;_ ;_ @_ "/>
    <numFmt numFmtId="184" formatCode="0.00000"/>
    <numFmt numFmtId="185" formatCode="#,##0.00000"/>
  </numFmts>
  <fonts count="1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9933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7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</borders>
  <cellStyleXfs count="8444">
    <xf numFmtId="0" fontId="0" fillId="0" borderId="0"/>
    <xf numFmtId="164" fontId="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>
      <alignment horizontal="left" wrapText="1"/>
    </xf>
    <xf numFmtId="0" fontId="12" fillId="0" borderId="0"/>
    <xf numFmtId="0" fontId="13" fillId="0" borderId="0">
      <alignment vertical="center"/>
    </xf>
    <xf numFmtId="9" fontId="14" fillId="0" borderId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13" borderId="0" applyNumberFormat="0" applyBorder="0" applyAlignment="0" applyProtection="0"/>
    <xf numFmtId="0" fontId="15" fillId="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1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8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8" borderId="0" applyNumberFormat="0" applyBorder="0" applyAlignment="0" applyProtection="0"/>
    <xf numFmtId="0" fontId="16" fillId="29" borderId="0" applyNumberFormat="0" applyBorder="0" applyAlignment="0" applyProtection="0"/>
    <xf numFmtId="0" fontId="16" fillId="1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5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30" borderId="0" applyNumberFormat="0" applyBorder="0" applyAlignment="0" applyProtection="0"/>
    <xf numFmtId="0" fontId="16" fillId="19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7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1" borderId="0" applyNumberFormat="0" applyBorder="0" applyAlignment="0" applyProtection="0"/>
    <xf numFmtId="0" fontId="16" fillId="29" borderId="0" applyNumberFormat="0" applyBorder="0" applyAlignment="0" applyProtection="0"/>
    <xf numFmtId="0" fontId="16" fillId="37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38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7" fillId="0" borderId="10" applyNumberFormat="0" applyFill="0" applyAlignment="0" applyProtection="0">
      <alignment horizontal="left"/>
    </xf>
    <xf numFmtId="0" fontId="18" fillId="0" borderId="10">
      <protection hidden="1"/>
    </xf>
    <xf numFmtId="0" fontId="19" fillId="40" borderId="0" applyNumberFormat="0" applyFont="0" applyBorder="0" applyAlignment="0" applyProtection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12" fillId="18" borderId="0"/>
    <xf numFmtId="0" fontId="20" fillId="41" borderId="0" applyNumberFormat="0" applyBorder="0" applyAlignment="0" applyProtection="0"/>
    <xf numFmtId="0" fontId="21" fillId="9" borderId="0" applyNumberFormat="0" applyBorder="0" applyAlignment="0" applyProtection="0"/>
    <xf numFmtId="0" fontId="22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3" fillId="42" borderId="0"/>
    <xf numFmtId="0" fontId="24" fillId="43" borderId="0" applyNumberFormat="0" applyFont="0" applyBorder="0" applyAlignment="0" applyProtection="0">
      <alignment horizontal="center"/>
    </xf>
    <xf numFmtId="0" fontId="25" fillId="0" borderId="0">
      <alignment horizontal="right"/>
    </xf>
    <xf numFmtId="173" fontId="26" fillId="44" borderId="0"/>
    <xf numFmtId="0" fontId="27" fillId="45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7" fillId="45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8" fillId="17" borderId="11" applyNumberFormat="0" applyAlignment="0" applyProtection="0"/>
    <xf numFmtId="0" fontId="23" fillId="35" borderId="12" applyNumberFormat="0" applyAlignment="0" applyProtection="0"/>
    <xf numFmtId="0" fontId="23" fillId="46" borderId="12" applyNumberFormat="0" applyAlignment="0" applyProtection="0"/>
    <xf numFmtId="0" fontId="23" fillId="46" borderId="12" applyNumberFormat="0" applyAlignment="0" applyProtection="0"/>
    <xf numFmtId="0" fontId="23" fillId="46" borderId="12" applyNumberFormat="0" applyAlignment="0" applyProtection="0"/>
    <xf numFmtId="0" fontId="29" fillId="0" borderId="10" applyNumberFormat="0" applyBorder="0" applyAlignment="0" applyProtection="0">
      <alignment horizontal="left"/>
    </xf>
    <xf numFmtId="38" fontId="30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40" fontId="31" fillId="0" borderId="0" applyFont="0" applyFill="0" applyBorder="0" applyAlignment="0" applyProtection="0">
      <alignment vertical="center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32" fillId="0" borderId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3" fillId="0" borderId="0">
      <alignment horizontal="right"/>
    </xf>
    <xf numFmtId="0" fontId="14" fillId="47" borderId="13" applyNumberFormat="0" applyFont="0" applyBorder="0" applyAlignment="0" applyProtection="0">
      <alignment horizontal="centerContinuous"/>
    </xf>
    <xf numFmtId="0" fontId="34" fillId="48" borderId="0" applyNumberFormat="0" applyBorder="0" applyAlignment="0">
      <alignment horizontal="center"/>
    </xf>
    <xf numFmtId="0" fontId="35" fillId="49" borderId="14">
      <alignment horizontal="center"/>
      <protection locked="0"/>
    </xf>
    <xf numFmtId="15" fontId="36" fillId="50" borderId="15" applyFont="0" applyFill="0" applyBorder="0" applyAlignment="0" applyProtection="0">
      <alignment horizontal="left"/>
    </xf>
    <xf numFmtId="17" fontId="36" fillId="50" borderId="15" applyFont="0" applyFill="0" applyBorder="0" applyAlignment="0" applyProtection="0">
      <alignment horizontal="left"/>
    </xf>
    <xf numFmtId="0" fontId="36" fillId="50" borderId="0">
      <alignment vertical="center"/>
    </xf>
    <xf numFmtId="176" fontId="36" fillId="0" borderId="0" applyFont="0" applyFill="0" applyBorder="0" applyAlignment="0" applyProtection="0"/>
    <xf numFmtId="0" fontId="19" fillId="1" borderId="16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5" borderId="0"/>
    <xf numFmtId="177" fontId="39" fillId="51" borderId="17" applyBorder="0"/>
    <xf numFmtId="0" fontId="12" fillId="20" borderId="16"/>
    <xf numFmtId="0" fontId="12" fillId="20" borderId="16"/>
    <xf numFmtId="0" fontId="12" fillId="20" borderId="16"/>
    <xf numFmtId="0" fontId="12" fillId="20" borderId="16"/>
    <xf numFmtId="178" fontId="40" fillId="45" borderId="0"/>
    <xf numFmtId="0" fontId="41" fillId="52" borderId="16"/>
    <xf numFmtId="177" fontId="39" fillId="0" borderId="16"/>
    <xf numFmtId="177" fontId="39" fillId="53" borderId="16"/>
    <xf numFmtId="177" fontId="39" fillId="54" borderId="18" applyBorder="0"/>
    <xf numFmtId="177" fontId="39" fillId="55" borderId="16"/>
    <xf numFmtId="0" fontId="42" fillId="45" borderId="16"/>
    <xf numFmtId="0" fontId="38" fillId="56" borderId="16"/>
    <xf numFmtId="0" fontId="43" fillId="57" borderId="19" applyBorder="0">
      <alignment horizontal="right"/>
    </xf>
    <xf numFmtId="38" fontId="12" fillId="0" borderId="16"/>
    <xf numFmtId="0" fontId="12" fillId="0" borderId="16"/>
    <xf numFmtId="0" fontId="12" fillId="8" borderId="16"/>
    <xf numFmtId="0" fontId="12" fillId="8" borderId="16"/>
    <xf numFmtId="0" fontId="12" fillId="8" borderId="16"/>
    <xf numFmtId="0" fontId="12" fillId="8" borderId="16"/>
    <xf numFmtId="177" fontId="39" fillId="53" borderId="16"/>
    <xf numFmtId="0" fontId="44" fillId="51" borderId="20">
      <alignment horizontal="center"/>
    </xf>
    <xf numFmtId="177" fontId="39" fillId="45" borderId="16"/>
    <xf numFmtId="0" fontId="45" fillId="58" borderId="0"/>
    <xf numFmtId="0" fontId="46" fillId="0" borderId="0"/>
    <xf numFmtId="0" fontId="47" fillId="0" borderId="0" applyNumberFormat="0" applyFill="0" applyBorder="0" applyAlignment="0" applyProtection="0"/>
    <xf numFmtId="0" fontId="48" fillId="35" borderId="0">
      <alignment horizontal="center"/>
    </xf>
    <xf numFmtId="0" fontId="49" fillId="20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50" fillId="59" borderId="21" applyNumberFormat="0" applyFont="0" applyBorder="0" applyAlignment="0">
      <alignment horizontal="centerContinuous"/>
    </xf>
    <xf numFmtId="0" fontId="51" fillId="18" borderId="16" applyProtection="0">
      <alignment horizontal="center"/>
      <protection locked="0"/>
    </xf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2" fillId="0" borderId="24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3" fillId="0" borderId="23" applyNumberFormat="0" applyFill="0" applyAlignment="0" applyProtection="0"/>
    <xf numFmtId="0" fontId="54" fillId="0" borderId="25" applyNumberFormat="0" applyFill="0" applyAlignment="0" applyProtection="0"/>
    <xf numFmtId="0" fontId="55" fillId="0" borderId="26" applyNumberFormat="0" applyFill="0" applyAlignment="0" applyProtection="0"/>
    <xf numFmtId="0" fontId="54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5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8" applyNumberFormat="0" applyFill="0" applyAlignment="0" applyProtection="0"/>
    <xf numFmtId="0" fontId="56" fillId="0" borderId="29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7" fillId="0" borderId="28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60" borderId="0" applyNumberFormat="0" applyFont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1" fillId="23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23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0" fontId="61" fillId="10" borderId="11" applyNumberFormat="0" applyAlignment="0" applyProtection="0"/>
    <xf numFmtId="2" fontId="12" fillId="61" borderId="30" applyNumberFormat="0" applyBorder="0">
      <alignment horizontal="right" vertical="center"/>
    </xf>
    <xf numFmtId="2" fontId="62" fillId="62" borderId="31" applyBorder="0">
      <alignment horizontal="left" vertical="center"/>
    </xf>
    <xf numFmtId="10" fontId="63" fillId="45" borderId="0" applyBorder="0">
      <alignment horizontal="right"/>
      <protection locked="0"/>
    </xf>
    <xf numFmtId="15" fontId="63" fillId="45" borderId="16" applyBorder="0">
      <alignment horizontal="center"/>
      <protection locked="0"/>
    </xf>
    <xf numFmtId="15" fontId="63" fillId="45" borderId="0" applyBorder="0">
      <alignment horizontal="left"/>
      <protection locked="0"/>
    </xf>
    <xf numFmtId="0" fontId="64" fillId="63" borderId="0" applyFont="0" applyFill="0" applyBorder="0" applyAlignment="0" applyProtection="0">
      <alignment horizontal="right" vertical="center"/>
    </xf>
    <xf numFmtId="2" fontId="65" fillId="64" borderId="31" applyNumberFormat="0">
      <alignment horizontal="center" vertical="center"/>
    </xf>
    <xf numFmtId="0" fontId="66" fillId="0" borderId="10" applyNumberFormat="0" applyFill="0" applyBorder="0" applyAlignment="0" applyProtection="0"/>
    <xf numFmtId="179" fontId="67" fillId="18" borderId="21" applyBorder="0">
      <alignment horizontal="left"/>
      <protection locked="0"/>
    </xf>
    <xf numFmtId="179" fontId="67" fillId="18" borderId="32" applyBorder="0">
      <alignment horizontal="right"/>
      <protection locked="0"/>
    </xf>
    <xf numFmtId="0" fontId="68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69" fillId="0" borderId="33" applyNumberFormat="0" applyFill="0" applyAlignment="0" applyProtection="0"/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70" fillId="45" borderId="34" applyFont="0">
      <alignment horizontal="center" vertical="center"/>
    </xf>
    <xf numFmtId="0" fontId="43" fillId="0" borderId="20"/>
    <xf numFmtId="0" fontId="19" fillId="0" borderId="0"/>
    <xf numFmtId="0" fontId="71" fillId="0" borderId="10">
      <alignment horizontal="left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80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0" fontId="72" fillId="65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0" fontId="73" fillId="22" borderId="0" applyNumberFormat="0" applyBorder="0" applyAlignment="0" applyProtection="0"/>
    <xf numFmtId="181" fontId="7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30" fillId="0" borderId="0">
      <alignment vertical="center"/>
    </xf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8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8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12" fillId="12" borderId="34" applyNumberFormat="0" applyFont="0" applyAlignment="0" applyProtection="0"/>
    <xf numFmtId="0" fontId="75" fillId="0" borderId="10" applyNumberFormat="0" applyFill="0" applyBorder="0" applyAlignment="0" applyProtection="0">
      <alignment horizontal="left"/>
      <protection locked="0"/>
    </xf>
    <xf numFmtId="0" fontId="76" fillId="45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45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6" fillId="17" borderId="35" applyNumberFormat="0" applyAlignment="0" applyProtection="0"/>
    <xf numFmtId="0" fontId="77" fillId="66" borderId="0" applyNumberFormat="0" applyFont="0" applyBorder="0" applyAlignment="0" applyProtection="0"/>
    <xf numFmtId="0" fontId="77" fillId="67" borderId="0" applyNumberFormat="0" applyFont="0" applyBorder="0" applyAlignment="0" applyProtection="0"/>
    <xf numFmtId="0" fontId="77" fillId="68" borderId="0" applyNumberFormat="0" applyFont="0" applyBorder="0" applyAlignment="0" applyProtection="0">
      <alignment horizontal="center"/>
    </xf>
    <xf numFmtId="0" fontId="77" fillId="69" borderId="36" applyNumberFormat="0" applyFont="0" applyBorder="0" applyAlignment="0" applyProtection="0"/>
    <xf numFmtId="0" fontId="77" fillId="70" borderId="36" applyNumberFormat="0" applyFont="0" applyBorder="0" applyAlignment="0"/>
    <xf numFmtId="0" fontId="77" fillId="71" borderId="36" applyNumberFormat="0" applyFont="0" applyBorder="0" applyAlignment="0"/>
    <xf numFmtId="0" fontId="19" fillId="72" borderId="0" applyNumberFormat="0" applyFont="0" applyBorder="0" applyAlignment="0" applyProtection="0">
      <alignment horizontal="center"/>
      <protection hidden="1"/>
    </xf>
    <xf numFmtId="0" fontId="12" fillId="40" borderId="0" applyNumberFormat="0" applyFont="0" applyBorder="0" applyAlignment="0" applyProtection="0">
      <protection hidden="1"/>
    </xf>
    <xf numFmtId="0" fontId="12" fillId="73" borderId="0" applyNumberFormat="0" applyFont="0" applyBorder="0" applyAlignment="0" applyProtection="0">
      <protection hidden="1"/>
    </xf>
    <xf numFmtId="0" fontId="12" fillId="74" borderId="0" applyNumberFormat="0" applyFont="0" applyBorder="0" applyAlignment="0" applyProtection="0">
      <protection hidden="1"/>
    </xf>
    <xf numFmtId="0" fontId="12" fillId="75" borderId="0" applyNumberFormat="0" applyFont="0" applyBorder="0" applyAlignment="0" applyProtection="0">
      <protection hidden="1"/>
    </xf>
    <xf numFmtId="0" fontId="12" fillId="76" borderId="0" applyNumberFormat="0" applyFont="0" applyBorder="0" applyAlignment="0" applyProtection="0">
      <protection hidden="1"/>
    </xf>
    <xf numFmtId="0" fontId="12" fillId="77" borderId="0" applyNumberFormat="0" applyFont="0" applyBorder="0" applyAlignment="0" applyProtection="0">
      <protection hidden="1"/>
    </xf>
    <xf numFmtId="9" fontId="12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36" fillId="50" borderId="15" applyFont="0" applyFill="0" applyBorder="0" applyAlignment="0" applyProtection="0">
      <alignment horizontal="left"/>
    </xf>
    <xf numFmtId="0" fontId="78" fillId="0" borderId="37" applyBorder="0"/>
    <xf numFmtId="0" fontId="36" fillId="78" borderId="0" applyFont="0" applyFill="0" applyBorder="0">
      <alignment horizontal="left"/>
    </xf>
    <xf numFmtId="0" fontId="79" fillId="0" borderId="0"/>
    <xf numFmtId="182" fontId="80" fillId="0" borderId="37" applyBorder="0">
      <alignment horizontal="center"/>
      <protection locked="0"/>
    </xf>
    <xf numFmtId="0" fontId="12" fillId="0" borderId="0">
      <alignment horizontal="left" wrapText="1"/>
    </xf>
    <xf numFmtId="0" fontId="12" fillId="0" borderId="0"/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81" fillId="45" borderId="34">
      <alignment horizontal="center" vertical="center"/>
    </xf>
    <xf numFmtId="0" fontId="12" fillId="0" borderId="0"/>
    <xf numFmtId="0" fontId="12" fillId="0" borderId="0"/>
    <xf numFmtId="0" fontId="12" fillId="0" borderId="0"/>
    <xf numFmtId="0" fontId="12" fillId="0" borderId="0">
      <alignment horizontal="left" wrapText="1"/>
    </xf>
    <xf numFmtId="0" fontId="12" fillId="0" borderId="0" applyNumberFormat="0" applyFill="0" applyBorder="0" applyAlignment="0" applyProtection="0"/>
    <xf numFmtId="0" fontId="12" fillId="45" borderId="16" applyAlignment="0">
      <alignment horizontal="right"/>
    </xf>
    <xf numFmtId="0" fontId="12" fillId="45" borderId="16" applyAlignment="0">
      <alignment horizontal="right"/>
    </xf>
    <xf numFmtId="0" fontId="82" fillId="0" borderId="0"/>
    <xf numFmtId="0" fontId="83" fillId="0" borderId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7" fillId="0" borderId="0">
      <alignment horizontal="center"/>
    </xf>
    <xf numFmtId="0" fontId="88" fillId="17" borderId="10"/>
    <xf numFmtId="0" fontId="89" fillId="0" borderId="38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38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40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89" fillId="0" borderId="39" applyNumberFormat="0" applyFill="0" applyAlignment="0" applyProtection="0"/>
    <xf numFmtId="0" fontId="90" fillId="18" borderId="0" applyNumberFormat="0" applyFont="0" applyBorder="0" applyAlignment="0" applyProtection="0">
      <alignment horizontal="left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83" fontId="12" fillId="0" borderId="0" applyFont="0" applyFill="0" applyBorder="0" applyAlignment="0" applyProtection="0"/>
    <xf numFmtId="0" fontId="30" fillId="0" borderId="0">
      <alignment vertical="center"/>
    </xf>
    <xf numFmtId="0" fontId="92" fillId="0" borderId="0">
      <alignment vertical="center"/>
    </xf>
    <xf numFmtId="0" fontId="11" fillId="0" borderId="0">
      <alignment vertical="center"/>
    </xf>
    <xf numFmtId="0" fontId="30" fillId="0" borderId="0">
      <alignment vertical="center"/>
    </xf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46" applyNumberFormat="0" applyFill="0" applyAlignment="0" applyProtection="0"/>
    <xf numFmtId="0" fontId="95" fillId="0" borderId="47" applyNumberFormat="0" applyFill="0" applyAlignment="0" applyProtection="0"/>
    <xf numFmtId="0" fontId="96" fillId="0" borderId="48" applyNumberFormat="0" applyFill="0" applyAlignment="0" applyProtection="0"/>
    <xf numFmtId="0" fontId="96" fillId="0" borderId="0" applyNumberFormat="0" applyFill="0" applyBorder="0" applyAlignment="0" applyProtection="0"/>
    <xf numFmtId="0" fontId="97" fillId="80" borderId="0" applyNumberFormat="0" applyBorder="0" applyAlignment="0" applyProtection="0"/>
    <xf numFmtId="0" fontId="98" fillId="81" borderId="0" applyNumberFormat="0" applyBorder="0" applyAlignment="0" applyProtection="0"/>
    <xf numFmtId="0" fontId="99" fillId="82" borderId="0" applyNumberFormat="0" applyBorder="0" applyAlignment="0" applyProtection="0"/>
    <xf numFmtId="0" fontId="100" fillId="83" borderId="49" applyNumberFormat="0" applyAlignment="0" applyProtection="0"/>
    <xf numFmtId="0" fontId="101" fillId="84" borderId="50" applyNumberFormat="0" applyAlignment="0" applyProtection="0"/>
    <xf numFmtId="0" fontId="102" fillId="84" borderId="49" applyNumberFormat="0" applyAlignment="0" applyProtection="0"/>
    <xf numFmtId="0" fontId="103" fillId="0" borderId="51" applyNumberFormat="0" applyFill="0" applyAlignment="0" applyProtection="0"/>
    <xf numFmtId="0" fontId="1" fillId="85" borderId="52" applyNumberFormat="0" applyAlignment="0" applyProtection="0"/>
    <xf numFmtId="0" fontId="104" fillId="0" borderId="0" applyNumberFormat="0" applyFill="0" applyBorder="0" applyAlignment="0" applyProtection="0"/>
    <xf numFmtId="0" fontId="9" fillId="86" borderId="53" applyNumberFormat="0" applyFont="0" applyAlignment="0" applyProtection="0"/>
    <xf numFmtId="0" fontId="105" fillId="0" borderId="0" applyNumberFormat="0" applyFill="0" applyBorder="0" applyAlignment="0" applyProtection="0"/>
    <xf numFmtId="0" fontId="2" fillId="0" borderId="54" applyNumberFormat="0" applyFill="0" applyAlignment="0" applyProtection="0"/>
    <xf numFmtId="0" fontId="10" fillId="87" borderId="0" applyNumberFormat="0" applyBorder="0" applyAlignment="0" applyProtection="0"/>
    <xf numFmtId="0" fontId="9" fillId="88" borderId="0" applyNumberFormat="0" applyBorder="0" applyAlignment="0" applyProtection="0"/>
    <xf numFmtId="0" fontId="9" fillId="89" borderId="0" applyNumberFormat="0" applyBorder="0" applyAlignment="0" applyProtection="0"/>
    <xf numFmtId="0" fontId="10" fillId="90" borderId="0" applyNumberFormat="0" applyBorder="0" applyAlignment="0" applyProtection="0"/>
    <xf numFmtId="0" fontId="10" fillId="91" borderId="0" applyNumberFormat="0" applyBorder="0" applyAlignment="0" applyProtection="0"/>
    <xf numFmtId="0" fontId="9" fillId="92" borderId="0" applyNumberFormat="0" applyBorder="0" applyAlignment="0" applyProtection="0"/>
    <xf numFmtId="0" fontId="9" fillId="93" borderId="0" applyNumberFormat="0" applyBorder="0" applyAlignment="0" applyProtection="0"/>
    <xf numFmtId="0" fontId="10" fillId="94" borderId="0" applyNumberFormat="0" applyBorder="0" applyAlignment="0" applyProtection="0"/>
    <xf numFmtId="0" fontId="10" fillId="95" borderId="0" applyNumberFormat="0" applyBorder="0" applyAlignment="0" applyProtection="0"/>
    <xf numFmtId="0" fontId="9" fillId="96" borderId="0" applyNumberFormat="0" applyBorder="0" applyAlignment="0" applyProtection="0"/>
    <xf numFmtId="0" fontId="9" fillId="97" borderId="0" applyNumberFormat="0" applyBorder="0" applyAlignment="0" applyProtection="0"/>
    <xf numFmtId="0" fontId="10" fillId="98" borderId="0" applyNumberFormat="0" applyBorder="0" applyAlignment="0" applyProtection="0"/>
    <xf numFmtId="0" fontId="10" fillId="99" borderId="0" applyNumberFormat="0" applyBorder="0" applyAlignment="0" applyProtection="0"/>
    <xf numFmtId="0" fontId="9" fillId="100" borderId="0" applyNumberFormat="0" applyBorder="0" applyAlignment="0" applyProtection="0"/>
    <xf numFmtId="0" fontId="9" fillId="101" borderId="0" applyNumberFormat="0" applyBorder="0" applyAlignment="0" applyProtection="0"/>
    <xf numFmtId="0" fontId="10" fillId="102" borderId="0" applyNumberFormat="0" applyBorder="0" applyAlignment="0" applyProtection="0"/>
    <xf numFmtId="0" fontId="10" fillId="103" borderId="0" applyNumberFormat="0" applyBorder="0" applyAlignment="0" applyProtection="0"/>
    <xf numFmtId="0" fontId="9" fillId="104" borderId="0" applyNumberFormat="0" applyBorder="0" applyAlignment="0" applyProtection="0"/>
    <xf numFmtId="0" fontId="9" fillId="105" borderId="0" applyNumberFormat="0" applyBorder="0" applyAlignment="0" applyProtection="0"/>
    <xf numFmtId="0" fontId="10" fillId="106" borderId="0" applyNumberFormat="0" applyBorder="0" applyAlignment="0" applyProtection="0"/>
    <xf numFmtId="0" fontId="10" fillId="107" borderId="0" applyNumberFormat="0" applyBorder="0" applyAlignment="0" applyProtection="0"/>
    <xf numFmtId="0" fontId="9" fillId="108" borderId="0" applyNumberFormat="0" applyBorder="0" applyAlignment="0" applyProtection="0"/>
    <xf numFmtId="0" fontId="9" fillId="109" borderId="0" applyNumberFormat="0" applyBorder="0" applyAlignment="0" applyProtection="0"/>
    <xf numFmtId="0" fontId="10" fillId="110" borderId="0" applyNumberFormat="0" applyBorder="0" applyAlignment="0" applyProtection="0"/>
    <xf numFmtId="166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>
      <alignment vertical="center"/>
    </xf>
    <xf numFmtId="164" fontId="9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</cellStyleXfs>
  <cellXfs count="433">
    <xf numFmtId="0" fontId="0" fillId="0" borderId="0" xfId="0"/>
    <xf numFmtId="0" fontId="2" fillId="0" borderId="0" xfId="0" applyFont="1"/>
    <xf numFmtId="167" fontId="3" fillId="0" borderId="0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171" fontId="6" fillId="2" borderId="1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70" fontId="6" fillId="0" borderId="1" xfId="0" applyNumberFormat="1" applyFont="1" applyFill="1" applyBorder="1" applyAlignment="1">
      <alignment horizontal="center"/>
    </xf>
    <xf numFmtId="3" fontId="6" fillId="0" borderId="3" xfId="0" applyNumberFormat="1" applyFont="1" applyFill="1" applyBorder="1" applyAlignment="1">
      <alignment horizontal="center" vertical="center"/>
    </xf>
    <xf numFmtId="170" fontId="6" fillId="0" borderId="1" xfId="0" applyNumberFormat="1" applyFont="1" applyFill="1" applyBorder="1" applyAlignment="1">
      <alignment horizontal="center" vertical="center"/>
    </xf>
    <xf numFmtId="171" fontId="6" fillId="0" borderId="3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2" fillId="0" borderId="0" xfId="0" applyFont="1" applyAlignment="1">
      <alignment horizontal="center" vertical="center"/>
    </xf>
    <xf numFmtId="0" fontId="7" fillId="0" borderId="0" xfId="0" applyFont="1"/>
    <xf numFmtId="173" fontId="0" fillId="0" borderId="0" xfId="0" applyNumberFormat="1"/>
    <xf numFmtId="0" fontId="0" fillId="0" borderId="0" xfId="0" applyAlignment="1">
      <alignment horizontal="center" vertical="center"/>
    </xf>
    <xf numFmtId="171" fontId="6" fillId="2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71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0" xfId="0"/>
    <xf numFmtId="171" fontId="4" fillId="111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center" vertical="center"/>
    </xf>
    <xf numFmtId="167" fontId="4" fillId="111" borderId="2" xfId="0" applyNumberFormat="1" applyFont="1" applyFill="1" applyBorder="1" applyAlignment="1">
      <alignment horizontal="center" vertical="center"/>
    </xf>
    <xf numFmtId="169" fontId="4" fillId="111" borderId="1" xfId="0" applyNumberFormat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 vertical="center"/>
    </xf>
    <xf numFmtId="169" fontId="4" fillId="111" borderId="9" xfId="0" applyNumberFormat="1" applyFont="1" applyFill="1" applyBorder="1" applyAlignment="1">
      <alignment horizontal="center" vertical="center"/>
    </xf>
    <xf numFmtId="0" fontId="4" fillId="111" borderId="1" xfId="0" applyFont="1" applyFill="1" applyBorder="1" applyAlignment="1">
      <alignment horizontal="center" vertical="center"/>
    </xf>
    <xf numFmtId="170" fontId="4" fillId="111" borderId="1" xfId="0" applyNumberFormat="1" applyFont="1" applyFill="1" applyBorder="1" applyAlignment="1">
      <alignment horizontal="center" vertical="center"/>
    </xf>
    <xf numFmtId="0" fontId="4" fillId="111" borderId="1" xfId="0" quotePrefix="1" applyFont="1" applyFill="1" applyBorder="1" applyAlignment="1">
      <alignment horizontal="center" vertical="center"/>
    </xf>
    <xf numFmtId="0" fontId="3" fillId="111" borderId="1" xfId="0" applyFont="1" applyFill="1" applyBorder="1" applyAlignment="1">
      <alignment horizontal="center"/>
    </xf>
    <xf numFmtId="15" fontId="4" fillId="111" borderId="1" xfId="0" applyNumberFormat="1" applyFont="1" applyFill="1" applyBorder="1" applyAlignment="1">
      <alignment horizontal="center" vertical="center"/>
    </xf>
    <xf numFmtId="0" fontId="4" fillId="111" borderId="3" xfId="0" applyFont="1" applyFill="1" applyBorder="1" applyAlignment="1">
      <alignment horizontal="center" vertical="center"/>
    </xf>
    <xf numFmtId="171" fontId="6" fillId="111" borderId="1" xfId="0" applyNumberFormat="1" applyFont="1" applyFill="1" applyBorder="1" applyAlignment="1">
      <alignment horizontal="center" vertical="center"/>
    </xf>
    <xf numFmtId="169" fontId="6" fillId="111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172" fontId="3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0" fontId="5" fillId="111" borderId="1" xfId="0" applyFont="1" applyFill="1" applyBorder="1" applyAlignment="1">
      <alignment horizontal="center" vertical="center"/>
    </xf>
    <xf numFmtId="0" fontId="4" fillId="111" borderId="4" xfId="0" applyFont="1" applyFill="1" applyBorder="1" applyAlignment="1">
      <alignment horizontal="center" vertical="center"/>
    </xf>
    <xf numFmtId="15" fontId="6" fillId="111" borderId="1" xfId="0" applyNumberFormat="1" applyFont="1" applyFill="1" applyBorder="1" applyAlignment="1">
      <alignment horizontal="center" vertical="center"/>
    </xf>
    <xf numFmtId="0" fontId="6" fillId="111" borderId="1" xfId="0" applyFont="1" applyFill="1" applyBorder="1" applyAlignment="1">
      <alignment horizontal="center" vertical="center"/>
    </xf>
    <xf numFmtId="168" fontId="6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2" fontId="5" fillId="2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7" xfId="0" applyFill="1" applyBorder="1"/>
    <xf numFmtId="0" fontId="0" fillId="2" borderId="8" xfId="0" applyFill="1" applyBorder="1"/>
    <xf numFmtId="0" fontId="0" fillId="2" borderId="43" xfId="0" applyFill="1" applyBorder="1"/>
    <xf numFmtId="0" fontId="0" fillId="2" borderId="44" xfId="0" applyFill="1" applyBorder="1"/>
    <xf numFmtId="0" fontId="0" fillId="2" borderId="5" xfId="0" applyFill="1" applyBorder="1"/>
    <xf numFmtId="0" fontId="0" fillId="2" borderId="6" xfId="0" applyFill="1" applyBorder="1"/>
    <xf numFmtId="15" fontId="0" fillId="0" borderId="0" xfId="0" applyNumberFormat="1"/>
    <xf numFmtId="172" fontId="6" fillId="79" borderId="1" xfId="0" applyNumberFormat="1" applyFont="1" applyFill="1" applyBorder="1" applyAlignment="1">
      <alignment horizontal="center" vertical="center"/>
    </xf>
    <xf numFmtId="172" fontId="6" fillId="111" borderId="1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74" fontId="5" fillId="2" borderId="8" xfId="0" applyNumberFormat="1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74" fontId="5" fillId="2" borderId="44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174" fontId="5" fillId="2" borderId="6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3" fontId="6" fillId="111" borderId="1" xfId="0" applyNumberFormat="1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172" fontId="3" fillId="3" borderId="55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1" fontId="0" fillId="3" borderId="3" xfId="0" applyNumberFormat="1" applyFill="1" applyBorder="1" applyAlignment="1">
      <alignment horizontal="center" vertical="center"/>
    </xf>
    <xf numFmtId="0" fontId="2" fillId="112" borderId="3" xfId="0" applyFont="1" applyFill="1" applyBorder="1" applyAlignment="1">
      <alignment horizontal="center" vertical="center"/>
    </xf>
    <xf numFmtId="184" fontId="5" fillId="2" borderId="3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74" fontId="6" fillId="2" borderId="44" xfId="0" applyNumberFormat="1" applyFont="1" applyFill="1" applyBorder="1" applyAlignment="1">
      <alignment horizontal="center" vertical="center"/>
    </xf>
    <xf numFmtId="174" fontId="6" fillId="2" borderId="0" xfId="0" applyNumberFormat="1" applyFont="1" applyFill="1" applyBorder="1" applyAlignment="1">
      <alignment horizontal="center" vertical="center"/>
    </xf>
    <xf numFmtId="167" fontId="0" fillId="2" borderId="0" xfId="0" applyNumberFormat="1" applyFill="1" applyBorder="1" applyAlignment="1">
      <alignment horizontal="center" vertical="center"/>
    </xf>
    <xf numFmtId="167" fontId="6" fillId="2" borderId="0" xfId="0" applyNumberFormat="1" applyFont="1" applyFill="1" applyBorder="1" applyAlignment="1">
      <alignment horizontal="center" vertical="center"/>
    </xf>
    <xf numFmtId="167" fontId="0" fillId="2" borderId="42" xfId="0" applyNumberFormat="1" applyFill="1" applyBorder="1" applyAlignment="1">
      <alignment horizontal="center" vertical="center"/>
    </xf>
    <xf numFmtId="167" fontId="2" fillId="2" borderId="44" xfId="0" applyNumberFormat="1" applyFont="1" applyFill="1" applyBorder="1" applyAlignment="1">
      <alignment horizontal="center" vertical="center"/>
    </xf>
    <xf numFmtId="167" fontId="2" fillId="2" borderId="8" xfId="0" applyNumberFormat="1" applyFont="1" applyFill="1" applyBorder="1" applyAlignment="1">
      <alignment horizontal="center" vertical="center"/>
    </xf>
    <xf numFmtId="0" fontId="0" fillId="2" borderId="7" xfId="0" applyFill="1" applyBorder="1" applyAlignment="1"/>
    <xf numFmtId="0" fontId="0" fillId="2" borderId="42" xfId="0" applyFill="1" applyBorder="1" applyAlignment="1"/>
    <xf numFmtId="0" fontId="2" fillId="2" borderId="43" xfId="0" applyFont="1" applyFill="1" applyBorder="1" applyAlignment="1"/>
    <xf numFmtId="0" fontId="0" fillId="2" borderId="0" xfId="0" applyFill="1" applyBorder="1" applyAlignment="1"/>
    <xf numFmtId="0" fontId="0" fillId="2" borderId="43" xfId="0" applyFill="1" applyBorder="1" applyAlignment="1"/>
    <xf numFmtId="0" fontId="0" fillId="2" borderId="43" xfId="0" applyFill="1" applyBorder="1" applyAlignment="1">
      <alignment vertical="center"/>
    </xf>
    <xf numFmtId="0" fontId="0" fillId="2" borderId="5" xfId="0" applyFill="1" applyBorder="1" applyAlignment="1"/>
    <xf numFmtId="0" fontId="0" fillId="2" borderId="45" xfId="0" applyFill="1" applyBorder="1" applyAlignment="1"/>
    <xf numFmtId="0" fontId="2" fillId="2" borderId="43" xfId="0" applyFont="1" applyFill="1" applyBorder="1" applyAlignment="1">
      <alignment horizontal="left" vertical="center"/>
    </xf>
    <xf numFmtId="167" fontId="6" fillId="2" borderId="45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Border="1" applyAlignment="1">
      <alignment horizontal="center" vertical="center"/>
    </xf>
    <xf numFmtId="167" fontId="2" fillId="2" borderId="42" xfId="0" applyNumberFormat="1" applyFont="1" applyFill="1" applyBorder="1" applyAlignment="1">
      <alignment horizontal="center" vertical="center"/>
    </xf>
    <xf numFmtId="167" fontId="6" fillId="112" borderId="0" xfId="0" applyNumberFormat="1" applyFont="1" applyFill="1" applyBorder="1" applyAlignment="1">
      <alignment horizontal="center" vertical="center"/>
    </xf>
    <xf numFmtId="174" fontId="6" fillId="2" borderId="1" xfId="0" applyNumberFormat="1" applyFont="1" applyFill="1" applyBorder="1" applyAlignment="1">
      <alignment horizontal="center" vertical="center"/>
    </xf>
    <xf numFmtId="170" fontId="3" fillId="112" borderId="1" xfId="0" applyNumberFormat="1" applyFont="1" applyFill="1" applyBorder="1" applyAlignment="1">
      <alignment horizontal="center" vertical="center"/>
    </xf>
    <xf numFmtId="167" fontId="6" fillId="112" borderId="42" xfId="0" applyNumberFormat="1" applyFont="1" applyFill="1" applyBorder="1" applyAlignment="1">
      <alignment horizontal="center" vertical="center"/>
    </xf>
    <xf numFmtId="174" fontId="6" fillId="2" borderId="6" xfId="0" applyNumberFormat="1" applyFont="1" applyFill="1" applyBorder="1" applyAlignment="1">
      <alignment horizontal="center" vertical="center"/>
    </xf>
    <xf numFmtId="174" fontId="6" fillId="2" borderId="45" xfId="0" applyNumberFormat="1" applyFont="1" applyFill="1" applyBorder="1" applyAlignment="1">
      <alignment horizontal="center" vertical="center"/>
    </xf>
    <xf numFmtId="174" fontId="7" fillId="2" borderId="44" xfId="0" applyNumberFormat="1" applyFont="1" applyFill="1" applyBorder="1" applyAlignment="1">
      <alignment horizontal="center" vertical="center"/>
    </xf>
    <xf numFmtId="174" fontId="106" fillId="2" borderId="0" xfId="0" applyNumberFormat="1" applyFont="1" applyFill="1" applyBorder="1" applyAlignment="1">
      <alignment horizontal="center" vertical="center"/>
    </xf>
    <xf numFmtId="167" fontId="2" fillId="2" borderId="56" xfId="0" applyNumberFormat="1" applyFont="1" applyFill="1" applyBorder="1" applyAlignment="1">
      <alignment horizontal="center" vertical="center"/>
    </xf>
    <xf numFmtId="174" fontId="6" fillId="2" borderId="56" xfId="0" applyNumberFormat="1" applyFont="1" applyFill="1" applyBorder="1" applyAlignment="1">
      <alignment horizontal="center" vertical="center"/>
    </xf>
    <xf numFmtId="174" fontId="7" fillId="2" borderId="56" xfId="0" applyNumberFormat="1" applyFont="1" applyFill="1" applyBorder="1" applyAlignment="1">
      <alignment horizontal="center" vertical="center"/>
    </xf>
    <xf numFmtId="170" fontId="4" fillId="3" borderId="2" xfId="0" applyNumberFormat="1" applyFont="1" applyFill="1" applyBorder="1" applyAlignment="1">
      <alignment horizontal="center" vertical="center"/>
    </xf>
    <xf numFmtId="174" fontId="0" fillId="3" borderId="1" xfId="0" applyNumberFormat="1" applyFont="1" applyFill="1" applyBorder="1" applyAlignment="1">
      <alignment horizontal="center" vertical="center"/>
    </xf>
    <xf numFmtId="0" fontId="107" fillId="2" borderId="42" xfId="0" applyFont="1" applyFill="1" applyBorder="1"/>
    <xf numFmtId="0" fontId="106" fillId="2" borderId="42" xfId="0" applyFont="1" applyFill="1" applyBorder="1" applyAlignment="1">
      <alignment horizontal="center" vertical="center"/>
    </xf>
    <xf numFmtId="0" fontId="0" fillId="2" borderId="42" xfId="0" applyFill="1" applyBorder="1"/>
    <xf numFmtId="0" fontId="107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0" fillId="111" borderId="2" xfId="0" applyFont="1" applyFill="1" applyBorder="1"/>
    <xf numFmtId="0" fontId="0" fillId="111" borderId="2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172" fontId="6" fillId="0" borderId="42" xfId="0" applyNumberFormat="1" applyFont="1" applyFill="1" applyBorder="1" applyAlignment="1">
      <alignment horizontal="center" vertical="center"/>
    </xf>
    <xf numFmtId="15" fontId="6" fillId="0" borderId="42" xfId="0" applyNumberFormat="1" applyFont="1" applyFill="1" applyBorder="1" applyAlignment="1">
      <alignment horizontal="center" vertical="center"/>
    </xf>
    <xf numFmtId="15" fontId="6" fillId="0" borderId="0" xfId="0" applyNumberFormat="1" applyFont="1" applyFill="1" applyBorder="1" applyAlignment="1">
      <alignment horizontal="center" vertical="center"/>
    </xf>
    <xf numFmtId="15" fontId="4" fillId="0" borderId="44" xfId="0" applyNumberFormat="1" applyFont="1" applyFill="1" applyBorder="1" applyAlignment="1">
      <alignment horizontal="center" vertical="center"/>
    </xf>
    <xf numFmtId="15" fontId="6" fillId="0" borderId="43" xfId="0" applyNumberFormat="1" applyFont="1" applyFill="1" applyBorder="1" applyAlignment="1">
      <alignment horizontal="center" vertical="center"/>
    </xf>
    <xf numFmtId="173" fontId="6" fillId="0" borderId="44" xfId="0" applyNumberFormat="1" applyFont="1" applyFill="1" applyBorder="1" applyAlignment="1">
      <alignment horizontal="center" vertical="center"/>
    </xf>
    <xf numFmtId="174" fontId="6" fillId="0" borderId="8" xfId="0" applyNumberFormat="1" applyFont="1" applyFill="1" applyBorder="1" applyAlignment="1">
      <alignment horizontal="center" vertical="center"/>
    </xf>
    <xf numFmtId="172" fontId="6" fillId="0" borderId="8" xfId="0" applyNumberFormat="1" applyFont="1" applyFill="1" applyBorder="1" applyAlignment="1">
      <alignment horizontal="center" vertical="center"/>
    </xf>
    <xf numFmtId="0" fontId="7" fillId="2" borderId="44" xfId="0" applyFont="1" applyFill="1" applyBorder="1"/>
    <xf numFmtId="0" fontId="0" fillId="111" borderId="1" xfId="0" applyFont="1" applyFill="1" applyBorder="1"/>
    <xf numFmtId="0" fontId="0" fillId="111" borderId="1" xfId="0" applyFont="1" applyFill="1" applyBorder="1" applyAlignment="1">
      <alignment horizontal="left" vertical="center"/>
    </xf>
    <xf numFmtId="0" fontId="6" fillId="0" borderId="43" xfId="0" applyFont="1" applyFill="1" applyBorder="1" applyAlignment="1">
      <alignment horizontal="center" vertical="center"/>
    </xf>
    <xf numFmtId="172" fontId="6" fillId="0" borderId="0" xfId="0" applyNumberFormat="1" applyFont="1" applyFill="1" applyBorder="1" applyAlignment="1">
      <alignment horizontal="center" vertical="center"/>
    </xf>
    <xf numFmtId="174" fontId="6" fillId="0" borderId="44" xfId="0" applyNumberFormat="1" applyFont="1" applyFill="1" applyBorder="1" applyAlignment="1">
      <alignment horizontal="center" vertical="center"/>
    </xf>
    <xf numFmtId="172" fontId="6" fillId="0" borderId="44" xfId="0" applyNumberFormat="1" applyFont="1" applyFill="1" applyBorder="1" applyAlignment="1">
      <alignment horizontal="center" vertical="center"/>
    </xf>
    <xf numFmtId="0" fontId="0" fillId="111" borderId="3" xfId="0" applyFont="1" applyFill="1" applyBorder="1"/>
    <xf numFmtId="0" fontId="106" fillId="2" borderId="44" xfId="0" applyFont="1" applyFill="1" applyBorder="1"/>
    <xf numFmtId="0" fontId="0" fillId="111" borderId="2" xfId="0" applyFill="1" applyBorder="1"/>
    <xf numFmtId="0" fontId="0" fillId="111" borderId="3" xfId="0" applyFill="1" applyBorder="1"/>
    <xf numFmtId="0" fontId="0" fillId="2" borderId="0" xfId="0" applyFont="1" applyFill="1" applyBorder="1"/>
    <xf numFmtId="0" fontId="2" fillId="2" borderId="0" xfId="0" applyFont="1" applyFill="1" applyBorder="1"/>
    <xf numFmtId="0" fontId="0" fillId="0" borderId="2" xfId="0" applyFont="1" applyFill="1" applyBorder="1"/>
    <xf numFmtId="0" fontId="0" fillId="0" borderId="2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106" fillId="2" borderId="0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172" fontId="6" fillId="0" borderId="45" xfId="0" applyNumberFormat="1" applyFont="1" applyFill="1" applyBorder="1" applyAlignment="1">
      <alignment horizontal="center" vertical="center"/>
    </xf>
    <xf numFmtId="15" fontId="6" fillId="0" borderId="45" xfId="0" applyNumberFormat="1" applyFont="1" applyFill="1" applyBorder="1" applyAlignment="1">
      <alignment horizontal="center" vertical="center"/>
    </xf>
    <xf numFmtId="15" fontId="4" fillId="0" borderId="6" xfId="0" applyNumberFormat="1" applyFont="1" applyFill="1" applyBorder="1" applyAlignment="1">
      <alignment horizontal="center" vertical="center"/>
    </xf>
    <xf numFmtId="15" fontId="6" fillId="0" borderId="5" xfId="0" applyNumberFormat="1" applyFont="1" applyFill="1" applyBorder="1" applyAlignment="1">
      <alignment horizontal="center" vertical="center"/>
    </xf>
    <xf numFmtId="173" fontId="6" fillId="0" borderId="6" xfId="0" applyNumberFormat="1" applyFont="1" applyFill="1" applyBorder="1" applyAlignment="1">
      <alignment horizontal="center" vertical="center"/>
    </xf>
    <xf numFmtId="172" fontId="6" fillId="0" borderId="6" xfId="0" applyNumberFormat="1" applyFont="1" applyFill="1" applyBorder="1" applyAlignment="1">
      <alignment horizontal="center" vertical="center"/>
    </xf>
    <xf numFmtId="0" fontId="7" fillId="2" borderId="0" xfId="0" applyFont="1" applyFill="1" applyBorder="1"/>
    <xf numFmtId="0" fontId="106" fillId="2" borderId="0" xfId="0" applyFont="1" applyFill="1" applyBorder="1"/>
    <xf numFmtId="0" fontId="0" fillId="2" borderId="45" xfId="0" applyFill="1" applyBorder="1"/>
    <xf numFmtId="0" fontId="3" fillId="2" borderId="0" xfId="0" applyFont="1" applyFill="1" applyBorder="1"/>
    <xf numFmtId="0" fontId="4" fillId="0" borderId="0" xfId="0" applyFont="1"/>
    <xf numFmtId="0" fontId="4" fillId="2" borderId="42" xfId="0" applyFont="1" applyFill="1" applyBorder="1"/>
    <xf numFmtId="0" fontId="4" fillId="2" borderId="45" xfId="0" applyFont="1" applyFill="1" applyBorder="1"/>
    <xf numFmtId="14" fontId="0" fillId="3" borderId="2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0" borderId="2" xfId="0" applyFont="1" applyFill="1" applyBorder="1"/>
    <xf numFmtId="15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1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/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0" fontId="4" fillId="0" borderId="44" xfId="0" applyNumberFormat="1" applyFont="1" applyFill="1" applyBorder="1" applyAlignment="1">
      <alignment horizontal="center" vertical="center"/>
    </xf>
    <xf numFmtId="3" fontId="4" fillId="0" borderId="44" xfId="0" applyNumberFormat="1" applyFont="1" applyFill="1" applyBorder="1" applyAlignment="1">
      <alignment horizontal="center" vertical="center"/>
    </xf>
    <xf numFmtId="3" fontId="3" fillId="112" borderId="44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0" fillId="2" borderId="0" xfId="0" applyNumberFormat="1" applyFill="1" applyBorder="1"/>
    <xf numFmtId="173" fontId="0" fillId="2" borderId="0" xfId="0" applyNumberFormat="1" applyFill="1" applyBorder="1"/>
    <xf numFmtId="0" fontId="6" fillId="111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111" borderId="0" xfId="0" applyFill="1"/>
    <xf numFmtId="0" fontId="0" fillId="2" borderId="57" xfId="0" applyFill="1" applyBorder="1"/>
    <xf numFmtId="0" fontId="0" fillId="2" borderId="58" xfId="0" applyFill="1" applyBorder="1"/>
    <xf numFmtId="0" fontId="0" fillId="2" borderId="59" xfId="0" applyFill="1" applyBorder="1"/>
    <xf numFmtId="0" fontId="107" fillId="2" borderId="0" xfId="0" applyFont="1" applyFill="1"/>
    <xf numFmtId="0" fontId="0" fillId="2" borderId="0" xfId="0" applyFill="1"/>
    <xf numFmtId="0" fontId="4" fillId="111" borderId="2" xfId="0" applyFont="1" applyFill="1" applyBorder="1"/>
    <xf numFmtId="15" fontId="4" fillId="111" borderId="2" xfId="0" applyNumberFormat="1" applyFont="1" applyFill="1" applyBorder="1" applyAlignment="1">
      <alignment horizontal="left" vertical="center"/>
    </xf>
    <xf numFmtId="0" fontId="0" fillId="2" borderId="4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111" borderId="1" xfId="0" applyFont="1" applyFill="1" applyBorder="1"/>
    <xf numFmtId="15" fontId="4" fillId="111" borderId="1" xfId="0" applyNumberFormat="1" applyFont="1" applyFill="1" applyBorder="1" applyAlignment="1">
      <alignment horizontal="left" vertical="center"/>
    </xf>
    <xf numFmtId="0" fontId="6" fillId="111" borderId="7" xfId="0" applyFont="1" applyFill="1" applyBorder="1" applyAlignment="1">
      <alignment horizontal="center" vertical="center"/>
    </xf>
    <xf numFmtId="174" fontId="6" fillId="111" borderId="8" xfId="0" applyNumberFormat="1" applyFont="1" applyFill="1" applyBorder="1" applyAlignment="1">
      <alignment horizontal="center" vertical="center"/>
    </xf>
    <xf numFmtId="15" fontId="6" fillId="111" borderId="7" xfId="0" applyNumberFormat="1" applyFont="1" applyFill="1" applyBorder="1" applyAlignment="1">
      <alignment horizontal="center" vertical="center"/>
    </xf>
    <xf numFmtId="15" fontId="6" fillId="111" borderId="42" xfId="7666" quotePrefix="1" applyNumberFormat="1" applyFont="1" applyFill="1" applyBorder="1" applyAlignment="1">
      <alignment horizontal="center" vertical="center"/>
    </xf>
    <xf numFmtId="173" fontId="4" fillId="111" borderId="8" xfId="1" quotePrefix="1" applyNumberFormat="1" applyFont="1" applyFill="1" applyBorder="1" applyAlignment="1">
      <alignment horizontal="center" vertical="center"/>
    </xf>
    <xf numFmtId="0" fontId="4" fillId="111" borderId="8" xfId="0" applyFont="1" applyFill="1" applyBorder="1" applyAlignment="1">
      <alignment horizontal="center" vertical="center"/>
    </xf>
    <xf numFmtId="0" fontId="6" fillId="111" borderId="43" xfId="0" applyFont="1" applyFill="1" applyBorder="1" applyAlignment="1">
      <alignment horizontal="center" vertical="center"/>
    </xf>
    <xf numFmtId="174" fontId="6" fillId="111" borderId="44" xfId="0" applyNumberFormat="1" applyFont="1" applyFill="1" applyBorder="1" applyAlignment="1">
      <alignment horizontal="center" vertical="center"/>
    </xf>
    <xf numFmtId="15" fontId="6" fillId="111" borderId="0" xfId="7666" quotePrefix="1" applyNumberFormat="1" applyFont="1" applyFill="1" applyBorder="1" applyAlignment="1">
      <alignment horizontal="center" vertical="center"/>
    </xf>
    <xf numFmtId="167" fontId="6" fillId="111" borderId="0" xfId="0" applyNumberFormat="1" applyFont="1" applyFill="1" applyBorder="1" applyAlignment="1">
      <alignment horizontal="center" vertical="center"/>
    </xf>
    <xf numFmtId="173" fontId="4" fillId="111" borderId="44" xfId="1" quotePrefix="1" applyNumberFormat="1" applyFont="1" applyFill="1" applyBorder="1" applyAlignment="1">
      <alignment horizontal="center" vertical="center"/>
    </xf>
    <xf numFmtId="174" fontId="6" fillId="111" borderId="0" xfId="0" applyNumberFormat="1" applyFont="1" applyFill="1" applyBorder="1" applyAlignment="1">
      <alignment horizontal="center" vertical="center"/>
    </xf>
    <xf numFmtId="0" fontId="4" fillId="111" borderId="44" xfId="0" applyFont="1" applyFill="1" applyBorder="1" applyAlignment="1">
      <alignment horizontal="center" vertical="center"/>
    </xf>
    <xf numFmtId="15" fontId="6" fillId="111" borderId="0" xfId="7666" applyNumberFormat="1" applyFont="1" applyFill="1" applyBorder="1" applyAlignment="1">
      <alignment horizontal="center" vertical="center"/>
    </xf>
    <xf numFmtId="173" fontId="4" fillId="111" borderId="44" xfId="1" applyNumberFormat="1" applyFont="1" applyFill="1" applyBorder="1" applyAlignment="1">
      <alignment horizontal="center" vertical="center"/>
    </xf>
    <xf numFmtId="0" fontId="0" fillId="111" borderId="1" xfId="0" applyFill="1" applyBorder="1"/>
    <xf numFmtId="0" fontId="4" fillId="111" borderId="1" xfId="0" applyFont="1" applyFill="1" applyBorder="1" applyAlignment="1">
      <alignment horizontal="left"/>
    </xf>
    <xf numFmtId="0" fontId="4" fillId="111" borderId="3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 vertical="center"/>
    </xf>
    <xf numFmtId="0" fontId="2" fillId="2" borderId="0" xfId="0" applyFont="1" applyFill="1"/>
    <xf numFmtId="0" fontId="108" fillId="2" borderId="0" xfId="0" applyFont="1" applyFill="1" applyBorder="1" applyAlignment="1">
      <alignment horizontal="left" vertical="center"/>
    </xf>
    <xf numFmtId="0" fontId="6" fillId="111" borderId="5" xfId="0" applyFont="1" applyFill="1" applyBorder="1" applyAlignment="1">
      <alignment horizontal="center" vertical="center"/>
    </xf>
    <xf numFmtId="174" fontId="6" fillId="111" borderId="6" xfId="0" applyNumberFormat="1" applyFont="1" applyFill="1" applyBorder="1" applyAlignment="1">
      <alignment horizontal="center" vertical="center"/>
    </xf>
    <xf numFmtId="15" fontId="6" fillId="111" borderId="45" xfId="7666" applyNumberFormat="1" applyFont="1" applyFill="1" applyBorder="1" applyAlignment="1">
      <alignment horizontal="center" vertical="center"/>
    </xf>
    <xf numFmtId="167" fontId="6" fillId="111" borderId="45" xfId="0" applyNumberFormat="1" applyFont="1" applyFill="1" applyBorder="1" applyAlignment="1">
      <alignment horizontal="center" vertical="center"/>
    </xf>
    <xf numFmtId="173" fontId="4" fillId="111" borderId="6" xfId="1" applyNumberFormat="1" applyFont="1" applyFill="1" applyBorder="1" applyAlignment="1">
      <alignment horizontal="center" vertical="center"/>
    </xf>
    <xf numFmtId="174" fontId="6" fillId="111" borderId="45" xfId="0" applyNumberFormat="1" applyFont="1" applyFill="1" applyBorder="1" applyAlignment="1">
      <alignment horizontal="center" vertical="center"/>
    </xf>
    <xf numFmtId="0" fontId="4" fillId="111" borderId="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15" fontId="6" fillId="111" borderId="43" xfId="0" applyNumberFormat="1" applyFont="1" applyFill="1" applyBorder="1" applyAlignment="1">
      <alignment horizontal="center" vertical="center"/>
    </xf>
    <xf numFmtId="170" fontId="6" fillId="0" borderId="42" xfId="0" applyNumberFormat="1" applyFont="1" applyFill="1" applyBorder="1" applyAlignment="1">
      <alignment horizontal="center" vertical="center"/>
    </xf>
    <xf numFmtId="170" fontId="6" fillId="0" borderId="0" xfId="0" applyNumberFormat="1" applyFont="1" applyFill="1" applyBorder="1" applyAlignment="1">
      <alignment horizontal="center" vertical="center"/>
    </xf>
    <xf numFmtId="0" fontId="0" fillId="2" borderId="60" xfId="0" applyFill="1" applyBorder="1"/>
    <xf numFmtId="0" fontId="0" fillId="2" borderId="61" xfId="0" applyFill="1" applyBorder="1"/>
    <xf numFmtId="0" fontId="0" fillId="2" borderId="62" xfId="0" applyFill="1" applyBorder="1"/>
    <xf numFmtId="0" fontId="0" fillId="2" borderId="63" xfId="0" applyFill="1" applyBorder="1"/>
    <xf numFmtId="0" fontId="0" fillId="2" borderId="64" xfId="0" applyFill="1" applyBorder="1"/>
    <xf numFmtId="171" fontId="109" fillId="2" borderId="7" xfId="0" applyNumberFormat="1" applyFont="1" applyFill="1" applyBorder="1" applyAlignment="1">
      <alignment horizontal="center" vertical="center"/>
    </xf>
    <xf numFmtId="172" fontId="109" fillId="2" borderId="42" xfId="0" applyNumberFormat="1" applyFont="1" applyFill="1" applyBorder="1" applyAlignment="1">
      <alignment horizontal="center" vertical="center"/>
    </xf>
    <xf numFmtId="172" fontId="109" fillId="2" borderId="8" xfId="0" applyNumberFormat="1" applyFont="1" applyFill="1" applyBorder="1" applyAlignment="1">
      <alignment horizontal="center" vertical="center"/>
    </xf>
    <xf numFmtId="171" fontId="109" fillId="2" borderId="43" xfId="0" applyNumberFormat="1" applyFont="1" applyFill="1" applyBorder="1" applyAlignment="1">
      <alignment horizontal="center" vertical="center"/>
    </xf>
    <xf numFmtId="172" fontId="109" fillId="2" borderId="0" xfId="0" applyNumberFormat="1" applyFont="1" applyFill="1" applyBorder="1" applyAlignment="1">
      <alignment horizontal="center" vertical="center"/>
    </xf>
    <xf numFmtId="172" fontId="109" fillId="2" borderId="44" xfId="0" applyNumberFormat="1" applyFont="1" applyFill="1" applyBorder="1" applyAlignment="1">
      <alignment horizontal="center" vertical="center"/>
    </xf>
    <xf numFmtId="171" fontId="109" fillId="2" borderId="5" xfId="0" applyNumberFormat="1" applyFont="1" applyFill="1" applyBorder="1" applyAlignment="1">
      <alignment horizontal="center" vertical="center"/>
    </xf>
    <xf numFmtId="172" fontId="109" fillId="2" borderId="45" xfId="0" applyNumberFormat="1" applyFont="1" applyFill="1" applyBorder="1" applyAlignment="1">
      <alignment horizontal="center" vertical="center"/>
    </xf>
    <xf numFmtId="172" fontId="109" fillId="2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/>
    <xf numFmtId="0" fontId="4" fillId="0" borderId="4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4" fillId="111" borderId="2" xfId="0" applyFont="1" applyFill="1" applyBorder="1" applyAlignment="1">
      <alignment horizontal="center" vertical="center"/>
    </xf>
    <xf numFmtId="10" fontId="4" fillId="0" borderId="44" xfId="0" applyNumberFormat="1" applyFont="1" applyFill="1" applyBorder="1" applyAlignment="1">
      <alignment horizontal="center" vertical="center"/>
    </xf>
    <xf numFmtId="11" fontId="4" fillId="0" borderId="44" xfId="0" applyNumberFormat="1" applyFont="1" applyFill="1" applyBorder="1" applyAlignment="1">
      <alignment horizontal="center" vertical="center"/>
    </xf>
    <xf numFmtId="0" fontId="6" fillId="0" borderId="3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11" fontId="4" fillId="0" borderId="0" xfId="0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6" fillId="0" borderId="45" xfId="0" applyFont="1" applyFill="1" applyBorder="1"/>
    <xf numFmtId="0" fontId="4" fillId="0" borderId="42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0" xfId="0" applyFont="1"/>
    <xf numFmtId="0" fontId="6" fillId="111" borderId="3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2" borderId="45" xfId="0" applyFont="1" applyFill="1" applyBorder="1"/>
    <xf numFmtId="0" fontId="0" fillId="2" borderId="58" xfId="0" applyFont="1" applyFill="1" applyBorder="1"/>
    <xf numFmtId="0" fontId="0" fillId="2" borderId="0" xfId="0" applyFont="1" applyFill="1"/>
    <xf numFmtId="171" fontId="6" fillId="111" borderId="1" xfId="0" applyNumberFormat="1" applyFont="1" applyFill="1" applyBorder="1" applyAlignment="1">
      <alignment horizontal="left" vertical="center"/>
    </xf>
    <xf numFmtId="0" fontId="0" fillId="2" borderId="63" xfId="0" applyFont="1" applyFill="1" applyBorder="1"/>
    <xf numFmtId="174" fontId="109" fillId="0" borderId="42" xfId="0" applyNumberFormat="1" applyFont="1" applyFill="1" applyBorder="1" applyAlignment="1">
      <alignment horizontal="center" vertical="center"/>
    </xf>
    <xf numFmtId="174" fontId="109" fillId="111" borderId="0" xfId="0" applyNumberFormat="1" applyFont="1" applyFill="1" applyBorder="1" applyAlignment="1">
      <alignment horizontal="center" vertical="center"/>
    </xf>
    <xf numFmtId="0" fontId="109" fillId="111" borderId="7" xfId="0" applyFont="1" applyFill="1" applyBorder="1" applyAlignment="1">
      <alignment horizontal="center" vertical="center"/>
    </xf>
    <xf numFmtId="0" fontId="109" fillId="111" borderId="43" xfId="0" applyFont="1" applyFill="1" applyBorder="1" applyAlignment="1">
      <alignment horizontal="center" vertical="center"/>
    </xf>
    <xf numFmtId="171" fontId="109" fillId="111" borderId="3" xfId="0" applyNumberFormat="1" applyFont="1" applyFill="1" applyBorder="1" applyAlignment="1">
      <alignment horizontal="left" vertical="center"/>
    </xf>
    <xf numFmtId="172" fontId="6" fillId="2" borderId="0" xfId="0" applyNumberFormat="1" applyFont="1" applyFill="1" applyBorder="1" applyAlignment="1">
      <alignment horizontal="center" vertical="center"/>
    </xf>
    <xf numFmtId="174" fontId="7" fillId="2" borderId="0" xfId="0" applyNumberFormat="1" applyFont="1" applyFill="1" applyBorder="1" applyAlignment="1">
      <alignment horizontal="center" vertical="center"/>
    </xf>
    <xf numFmtId="168" fontId="0" fillId="0" borderId="0" xfId="0" applyNumberFormat="1"/>
    <xf numFmtId="171" fontId="6" fillId="3" borderId="2" xfId="0" applyNumberFormat="1" applyFont="1" applyFill="1" applyBorder="1" applyAlignment="1">
      <alignment horizontal="center" vertical="center"/>
    </xf>
    <xf numFmtId="170" fontId="0" fillId="3" borderId="2" xfId="0" applyNumberFormat="1" applyFont="1" applyFill="1" applyBorder="1" applyAlignment="1">
      <alignment horizontal="center" vertical="center"/>
    </xf>
    <xf numFmtId="170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3" fontId="4" fillId="111" borderId="1" xfId="0" applyNumberFormat="1" applyFont="1" applyFill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170" fontId="6" fillId="0" borderId="3" xfId="0" applyNumberFormat="1" applyFont="1" applyBorder="1" applyAlignment="1">
      <alignment horizontal="center" vertical="center"/>
    </xf>
    <xf numFmtId="0" fontId="0" fillId="111" borderId="2" xfId="0" applyFont="1" applyFill="1" applyBorder="1" applyAlignment="1">
      <alignment horizontal="center" vertical="center"/>
    </xf>
    <xf numFmtId="0" fontId="7" fillId="2" borderId="7" xfId="0" applyFont="1" applyFill="1" applyBorder="1"/>
    <xf numFmtId="0" fontId="7" fillId="2" borderId="8" xfId="0" applyFont="1" applyFill="1" applyBorder="1"/>
    <xf numFmtId="0" fontId="7" fillId="2" borderId="43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0" fillId="0" borderId="0" xfId="0"/>
    <xf numFmtId="0" fontId="0" fillId="2" borderId="1" xfId="0" applyFill="1" applyBorder="1"/>
    <xf numFmtId="0" fontId="0" fillId="2" borderId="3" xfId="0" applyFill="1" applyBorder="1"/>
    <xf numFmtId="0" fontId="4" fillId="111" borderId="3" xfId="0" applyFont="1" applyFill="1" applyBorder="1" applyAlignment="1">
      <alignment horizontal="center" vertical="center"/>
    </xf>
    <xf numFmtId="171" fontId="6" fillId="111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14" fontId="0" fillId="0" borderId="0" xfId="0" applyNumberFormat="1"/>
    <xf numFmtId="170" fontId="6" fillId="2" borderId="1" xfId="0" applyNumberFormat="1" applyFont="1" applyFill="1" applyBorder="1" applyAlignment="1">
      <alignment horizontal="center" vertical="center"/>
    </xf>
    <xf numFmtId="172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73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111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65" xfId="0" applyFont="1" applyFill="1" applyBorder="1"/>
    <xf numFmtId="0" fontId="0" fillId="2" borderId="66" xfId="0" applyFont="1" applyFill="1" applyBorder="1" applyAlignment="1">
      <alignment horizontal="left" vertical="center"/>
    </xf>
    <xf numFmtId="0" fontId="0" fillId="2" borderId="66" xfId="0" applyFont="1" applyFill="1" applyBorder="1"/>
    <xf numFmtId="0" fontId="0" fillId="3" borderId="68" xfId="0" applyFill="1" applyBorder="1" applyAlignment="1">
      <alignment horizontal="center" vertical="center"/>
    </xf>
    <xf numFmtId="185" fontId="6" fillId="0" borderId="0" xfId="0" applyNumberFormat="1" applyFont="1" applyAlignment="1">
      <alignment horizontal="center" vertical="center"/>
    </xf>
    <xf numFmtId="0" fontId="107" fillId="0" borderId="0" xfId="0" applyFont="1" applyAlignment="1">
      <alignment horizontal="left" vertical="center"/>
    </xf>
    <xf numFmtId="0" fontId="6" fillId="111" borderId="0" xfId="0" applyFont="1" applyFill="1" applyBorder="1"/>
    <xf numFmtId="0" fontId="0" fillId="111" borderId="0" xfId="0" applyFill="1" applyAlignment="1">
      <alignment horizontal="center" vertical="center"/>
    </xf>
    <xf numFmtId="0" fontId="0" fillId="79" borderId="0" xfId="0" applyFill="1"/>
    <xf numFmtId="0" fontId="0" fillId="79" borderId="0" xfId="0" applyFill="1" applyAlignment="1">
      <alignment horizontal="center" vertical="center"/>
    </xf>
    <xf numFmtId="0" fontId="107" fillId="111" borderId="0" xfId="0" applyFont="1" applyFill="1"/>
    <xf numFmtId="3" fontId="6" fillId="2" borderId="44" xfId="0" applyNumberFormat="1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3" fontId="6" fillId="111" borderId="8" xfId="1" quotePrefix="1" applyNumberFormat="1" applyFont="1" applyFill="1" applyBorder="1" applyAlignment="1">
      <alignment horizontal="center" vertical="center"/>
    </xf>
    <xf numFmtId="173" fontId="6" fillId="111" borderId="44" xfId="1" quotePrefix="1" applyNumberFormat="1" applyFont="1" applyFill="1" applyBorder="1" applyAlignment="1">
      <alignment horizontal="center" vertical="center"/>
    </xf>
    <xf numFmtId="173" fontId="6" fillId="111" borderId="44" xfId="1" applyNumberFormat="1" applyFont="1" applyFill="1" applyBorder="1" applyAlignment="1">
      <alignment horizontal="center" vertical="center"/>
    </xf>
    <xf numFmtId="174" fontId="10" fillId="4" borderId="3" xfId="0" applyNumberFormat="1" applyFont="1" applyFill="1" applyBorder="1" applyAlignment="1">
      <alignment horizontal="center" vertical="center"/>
    </xf>
    <xf numFmtId="0" fontId="2" fillId="111" borderId="0" xfId="0" applyFont="1" applyFill="1" applyBorder="1"/>
    <xf numFmtId="0" fontId="0" fillId="2" borderId="41" xfId="0" applyFill="1" applyBorder="1"/>
    <xf numFmtId="174" fontId="10" fillId="4" borderId="41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1" fontId="6" fillId="111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0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1" fontId="6" fillId="2" borderId="7" xfId="0" applyNumberFormat="1" applyFont="1" applyFill="1" applyBorder="1" applyAlignment="1">
      <alignment horizontal="center" vertical="center"/>
    </xf>
    <xf numFmtId="171" fontId="6" fillId="2" borderId="8" xfId="0" applyNumberFormat="1" applyFont="1" applyFill="1" applyBorder="1" applyAlignment="1">
      <alignment horizontal="center" vertical="center"/>
    </xf>
    <xf numFmtId="171" fontId="0" fillId="3" borderId="7" xfId="0" quotePrefix="1" applyNumberFormat="1" applyFill="1" applyBorder="1" applyAlignment="1">
      <alignment horizontal="center" vertical="center"/>
    </xf>
    <xf numFmtId="171" fontId="0" fillId="3" borderId="42" xfId="0" applyNumberForma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3" fontId="0" fillId="3" borderId="42" xfId="0" applyNumberFormat="1" applyFill="1" applyBorder="1" applyAlignment="1">
      <alignment horizontal="center" vertical="center"/>
    </xf>
    <xf numFmtId="172" fontId="0" fillId="3" borderId="42" xfId="0" applyNumberFormat="1" applyFill="1" applyBorder="1" applyAlignment="1">
      <alignment horizontal="center" vertical="center"/>
    </xf>
    <xf numFmtId="170" fontId="0" fillId="3" borderId="8" xfId="0" applyNumberFormat="1" applyFill="1" applyBorder="1" applyAlignment="1">
      <alignment horizontal="center" vertical="center"/>
    </xf>
    <xf numFmtId="171" fontId="6" fillId="2" borderId="43" xfId="0" applyNumberFormat="1" applyFont="1" applyFill="1" applyBorder="1" applyAlignment="1">
      <alignment horizontal="center" vertical="center"/>
    </xf>
    <xf numFmtId="171" fontId="6" fillId="2" borderId="44" xfId="0" applyNumberFormat="1" applyFont="1" applyFill="1" applyBorder="1" applyAlignment="1">
      <alignment horizontal="center" vertical="center"/>
    </xf>
    <xf numFmtId="171" fontId="0" fillId="3" borderId="43" xfId="0" quotePrefix="1" applyNumberFormat="1" applyFill="1" applyBorder="1" applyAlignment="1">
      <alignment horizontal="center" vertical="center"/>
    </xf>
    <xf numFmtId="171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3" fontId="0" fillId="3" borderId="0" xfId="0" applyNumberFormat="1" applyFill="1" applyBorder="1" applyAlignment="1">
      <alignment horizontal="center" vertical="center"/>
    </xf>
    <xf numFmtId="172" fontId="0" fillId="3" borderId="0" xfId="0" applyNumberFormat="1" applyFill="1" applyBorder="1" applyAlignment="1">
      <alignment horizontal="center" vertical="center"/>
    </xf>
    <xf numFmtId="170" fontId="0" fillId="3" borderId="44" xfId="0" applyNumberFormat="1" applyFill="1" applyBorder="1" applyAlignment="1">
      <alignment horizontal="center" vertical="center"/>
    </xf>
    <xf numFmtId="171" fontId="6" fillId="2" borderId="5" xfId="0" applyNumberFormat="1" applyFont="1" applyFill="1" applyBorder="1" applyAlignment="1">
      <alignment horizontal="center" vertical="center"/>
    </xf>
    <xf numFmtId="171" fontId="6" fillId="2" borderId="6" xfId="0" applyNumberFormat="1" applyFont="1" applyFill="1" applyBorder="1" applyAlignment="1">
      <alignment horizontal="center" vertical="center"/>
    </xf>
    <xf numFmtId="171" fontId="0" fillId="3" borderId="5" xfId="0" quotePrefix="1" applyNumberFormat="1" applyFill="1" applyBorder="1" applyAlignment="1">
      <alignment horizontal="center" vertical="center"/>
    </xf>
    <xf numFmtId="171" fontId="0" fillId="3" borderId="45" xfId="0" applyNumberForma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3" fontId="0" fillId="3" borderId="45" xfId="0" applyNumberFormat="1" applyFill="1" applyBorder="1" applyAlignment="1">
      <alignment horizontal="center" vertical="center"/>
    </xf>
    <xf numFmtId="172" fontId="0" fillId="3" borderId="45" xfId="0" applyNumberFormat="1" applyFill="1" applyBorder="1" applyAlignment="1">
      <alignment horizontal="center" vertical="center"/>
    </xf>
    <xf numFmtId="170" fontId="0" fillId="3" borderId="6" xfId="0" applyNumberFormat="1" applyFill="1" applyBorder="1" applyAlignment="1">
      <alignment horizontal="center" vertical="center"/>
    </xf>
    <xf numFmtId="0" fontId="106" fillId="0" borderId="0" xfId="0" applyFont="1"/>
    <xf numFmtId="0" fontId="2" fillId="0" borderId="0" xfId="0" quotePrefix="1" applyFont="1" applyAlignment="1">
      <alignment horizontal="center" vertical="center"/>
    </xf>
    <xf numFmtId="0" fontId="111" fillId="0" borderId="0" xfId="0" applyFont="1"/>
    <xf numFmtId="0" fontId="6" fillId="2" borderId="7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172" fontId="6" fillId="2" borderId="42" xfId="0" applyNumberFormat="1" applyFont="1" applyFill="1" applyBorder="1" applyAlignment="1">
      <alignment horizontal="center" vertical="center"/>
    </xf>
    <xf numFmtId="170" fontId="6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70" fontId="6" fillId="2" borderId="4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/>
    </xf>
    <xf numFmtId="0" fontId="6" fillId="2" borderId="45" xfId="0" applyFont="1" applyFill="1" applyBorder="1" applyAlignment="1">
      <alignment horizontal="center"/>
    </xf>
    <xf numFmtId="172" fontId="6" fillId="2" borderId="45" xfId="0" applyNumberFormat="1" applyFont="1" applyFill="1" applyBorder="1" applyAlignment="1">
      <alignment horizontal="center" vertical="center"/>
    </xf>
    <xf numFmtId="170" fontId="6" fillId="2" borderId="6" xfId="0" applyNumberFormat="1" applyFont="1" applyFill="1" applyBorder="1" applyAlignment="1">
      <alignment horizontal="center" vertical="center"/>
    </xf>
    <xf numFmtId="172" fontId="4" fillId="111" borderId="1" xfId="0" applyNumberFormat="1" applyFont="1" applyFill="1" applyBorder="1" applyAlignment="1">
      <alignment horizontal="center" vertical="center"/>
    </xf>
    <xf numFmtId="170" fontId="2" fillId="112" borderId="1" xfId="0" applyNumberFormat="1" applyFont="1" applyFill="1" applyBorder="1" applyAlignment="1">
      <alignment horizontal="center" vertical="center"/>
    </xf>
    <xf numFmtId="170" fontId="2" fillId="0" borderId="0" xfId="0" quotePrefix="1" applyNumberFormat="1" applyFont="1" applyAlignment="1">
      <alignment horizontal="center" vertical="center"/>
    </xf>
    <xf numFmtId="0" fontId="106" fillId="113" borderId="69" xfId="0" applyFont="1" applyFill="1" applyBorder="1" applyAlignment="1">
      <alignment horizontal="center" vertical="center"/>
    </xf>
    <xf numFmtId="0" fontId="106" fillId="113" borderId="70" xfId="0" applyFont="1" applyFill="1" applyBorder="1" applyAlignment="1">
      <alignment horizontal="center" vertical="center"/>
    </xf>
    <xf numFmtId="0" fontId="7" fillId="113" borderId="70" xfId="0" applyFont="1" applyFill="1" applyBorder="1" applyAlignment="1">
      <alignment horizontal="center" vertical="center"/>
    </xf>
    <xf numFmtId="0" fontId="7" fillId="113" borderId="71" xfId="0" applyFont="1" applyFill="1" applyBorder="1" applyAlignment="1">
      <alignment horizontal="center" vertical="center"/>
    </xf>
    <xf numFmtId="0" fontId="4" fillId="113" borderId="69" xfId="0" applyFont="1" applyFill="1" applyBorder="1" applyAlignment="1">
      <alignment horizontal="center" vertical="center"/>
    </xf>
    <xf numFmtId="0" fontId="4" fillId="113" borderId="70" xfId="0" applyFont="1" applyFill="1" applyBorder="1" applyAlignment="1">
      <alignment horizontal="center" vertical="center"/>
    </xf>
    <xf numFmtId="0" fontId="4" fillId="113" borderId="71" xfId="0" applyFont="1" applyFill="1" applyBorder="1" applyAlignment="1">
      <alignment horizontal="center" vertical="center"/>
    </xf>
    <xf numFmtId="171" fontId="109" fillId="2" borderId="68" xfId="0" applyNumberFormat="1" applyFont="1" applyFill="1" applyBorder="1" applyAlignment="1">
      <alignment horizontal="center" vertical="center"/>
    </xf>
    <xf numFmtId="0" fontId="6" fillId="2" borderId="67" xfId="0" applyFont="1" applyFill="1" applyBorder="1" applyAlignment="1">
      <alignment horizontal="center" vertical="center"/>
    </xf>
    <xf numFmtId="174" fontId="0" fillId="3" borderId="68" xfId="0" applyNumberFormat="1" applyFill="1" applyBorder="1" applyAlignment="1">
      <alignment horizontal="center" vertical="center"/>
    </xf>
    <xf numFmtId="0" fontId="4" fillId="3" borderId="68" xfId="0" applyFont="1" applyFill="1" applyBorder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171" fontId="109" fillId="112" borderId="68" xfId="0" applyNumberFormat="1" applyFont="1" applyFill="1" applyBorder="1" applyAlignment="1">
      <alignment horizontal="center" vertical="center"/>
    </xf>
    <xf numFmtId="0" fontId="3" fillId="112" borderId="1" xfId="0" applyFont="1" applyFill="1" applyBorder="1" applyAlignment="1">
      <alignment horizontal="center" vertical="center"/>
    </xf>
    <xf numFmtId="185" fontId="6" fillId="2" borderId="1" xfId="0" applyNumberFormat="1" applyFont="1" applyFill="1" applyBorder="1" applyAlignment="1">
      <alignment horizontal="center" vertical="center"/>
    </xf>
    <xf numFmtId="0" fontId="0" fillId="113" borderId="1" xfId="0" applyFont="1" applyFill="1" applyBorder="1" applyAlignment="1">
      <alignment horizontal="center" vertical="center"/>
    </xf>
    <xf numFmtId="185" fontId="4" fillId="3" borderId="1" xfId="0" applyNumberFormat="1" applyFont="1" applyFill="1" applyBorder="1" applyAlignment="1">
      <alignment horizontal="center" vertical="center"/>
    </xf>
    <xf numFmtId="171" fontId="2" fillId="112" borderId="3" xfId="0" applyNumberFormat="1" applyFont="1" applyFill="1" applyBorder="1" applyAlignment="1">
      <alignment horizontal="center" vertical="center"/>
    </xf>
    <xf numFmtId="172" fontId="6" fillId="0" borderId="3" xfId="0" applyNumberFormat="1" applyFont="1" applyBorder="1" applyAlignment="1">
      <alignment horizontal="center" vertical="center"/>
    </xf>
    <xf numFmtId="172" fontId="0" fillId="0" borderId="0" xfId="0" applyNumberFormat="1"/>
    <xf numFmtId="170" fontId="10" fillId="4" borderId="1" xfId="0" applyNumberFormat="1" applyFont="1" applyFill="1" applyBorder="1" applyAlignment="1">
      <alignment horizontal="center"/>
    </xf>
    <xf numFmtId="172" fontId="6" fillId="0" borderId="2" xfId="0" applyNumberFormat="1" applyFont="1" applyFill="1" applyBorder="1" applyAlignment="1">
      <alignment horizontal="center"/>
    </xf>
    <xf numFmtId="0" fontId="0" fillId="2" borderId="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11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4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2" borderId="73" xfId="0" applyFont="1" applyFill="1" applyBorder="1"/>
    <xf numFmtId="0" fontId="6" fillId="1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71" fontId="6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8444">
    <cellStyle name="_ADN" xfId="2"/>
    <cellStyle name="_Apollo" xfId="3"/>
    <cellStyle name="_Book2" xfId="4"/>
    <cellStyle name="_Book2_ValuationViewer" xfId="5"/>
    <cellStyle name="_btec" xfId="6"/>
    <cellStyle name="_Composite Page" xfId="7"/>
    <cellStyle name="_Composite Page_Composite Page" xfId="8"/>
    <cellStyle name="_Composite Page_Config" xfId="9"/>
    <cellStyle name="_Config" xfId="10"/>
    <cellStyle name="_Config_apollo_curves" xfId="11"/>
    <cellStyle name="_Config_Apollo_Spread" xfId="12"/>
    <cellStyle name="_config_db" xfId="13"/>
    <cellStyle name="_Cprty" xfId="14"/>
    <cellStyle name="_data" xfId="15"/>
    <cellStyle name="_DISPLAY" xfId="16"/>
    <cellStyle name="_DISPLAY 2" xfId="17"/>
    <cellStyle name="_DISPLAY_121Fut_View" xfId="18"/>
    <cellStyle name="_DISPLAY_121Fut_View 2" xfId="19"/>
    <cellStyle name="_DISPLAY_Apollo" xfId="20"/>
    <cellStyle name="_DISPLAY_AssetSwap" xfId="21"/>
    <cellStyle name="_DISPLAY_Closes" xfId="22"/>
    <cellStyle name="_DISPLAY_Composite Page" xfId="23"/>
    <cellStyle name="_DISPLAY_Config" xfId="24"/>
    <cellStyle name="_DISPLAY_Config_Composite Page" xfId="25"/>
    <cellStyle name="_DISPLAY_Convexity" xfId="26"/>
    <cellStyle name="_DISPLAY_Core" xfId="27"/>
    <cellStyle name="_DISPLAY_Core 2" xfId="28"/>
    <cellStyle name="_DISPLAY_Core_Composite Page" xfId="29"/>
    <cellStyle name="_DISPLAY_Core_Config" xfId="30"/>
    <cellStyle name="_DISPLAY_cp_Closes" xfId="31"/>
    <cellStyle name="_DISPLAY_DISPLAY" xfId="32"/>
    <cellStyle name="_DISPLAY_EOD_Closes" xfId="33"/>
    <cellStyle name="_DISPLAY_EOD_Closes_1" xfId="34"/>
    <cellStyle name="_DISPLAY_EOD_Curve" xfId="35"/>
    <cellStyle name="_DISPLAY_EOD_Curve 2" xfId="36"/>
    <cellStyle name="_DISPLAY_EOD_Curve 3" xfId="37"/>
    <cellStyle name="_DISPLAY_EOD_Curve_Composite Page" xfId="38"/>
    <cellStyle name="_DISPLAY_EOD_Curve_Core" xfId="39"/>
    <cellStyle name="_DISPLAY_EOD_Curve_Core 2" xfId="40"/>
    <cellStyle name="_DISPLAY_EOD_Curve_Futures" xfId="41"/>
    <cellStyle name="_DISPLAY_EOD_Curve_Swaps" xfId="42"/>
    <cellStyle name="_DISPLAY_Futures" xfId="43"/>
    <cellStyle name="_DISPLAY_Futures 2" xfId="44"/>
    <cellStyle name="_DISPLAY_Futures_Composite Page" xfId="45"/>
    <cellStyle name="_DISPLAY_Futures_Config" xfId="46"/>
    <cellStyle name="_DISPLAY_Gamma" xfId="47"/>
    <cellStyle name="_DISPLAY_Gamma_1" xfId="48"/>
    <cellStyle name="_DISPLAY_Gamma_Composite Page" xfId="49"/>
    <cellStyle name="_DISPLAY_Gamma_Core" xfId="50"/>
    <cellStyle name="_DISPLAY_Gamma_Futures" xfId="51"/>
    <cellStyle name="_DISPLAY_Gamma_Futures_1" xfId="52"/>
    <cellStyle name="_DISPLAY_Gamma_Swaps" xfId="53"/>
    <cellStyle name="_DISPLAY_Gamma_Treasuries" xfId="54"/>
    <cellStyle name="_DISPLAY_holidays" xfId="55"/>
    <cellStyle name="_DISPLAY_Real_Time" xfId="56"/>
    <cellStyle name="_DISPLAY_Real-Time" xfId="57"/>
    <cellStyle name="_DISPLAY_Real-Time 2" xfId="58"/>
    <cellStyle name="_DISPLAY_Real-Time_1" xfId="59"/>
    <cellStyle name="_DISPLAY_Real-Time_Composite Page" xfId="60"/>
    <cellStyle name="_DISPLAY_Real-Time_Core" xfId="61"/>
    <cellStyle name="_DISPLAY_Real-Time_Futures" xfId="62"/>
    <cellStyle name="_DISPLAY_Real-Time_Futures_1" xfId="63"/>
    <cellStyle name="_DISPLAY_Real-Time_Swaps" xfId="64"/>
    <cellStyle name="_DISPLAY_Real-Time_Treasuries" xfId="65"/>
    <cellStyle name="_DISPLAY_Sheet1" xfId="66"/>
    <cellStyle name="_DISPLAY_Swaps" xfId="67"/>
    <cellStyle name="_DISPLAY_Swaps 2" xfId="68"/>
    <cellStyle name="_DISPLAY_Swaps_Composite Page" xfId="69"/>
    <cellStyle name="_DISPLAY_Swaps_Config" xfId="70"/>
    <cellStyle name="_DISPLAY_T-Notes" xfId="71"/>
    <cellStyle name="_DISPLAY_T-Notes 2" xfId="72"/>
    <cellStyle name="_DISPLAY_T-Notes_Composite Page" xfId="73"/>
    <cellStyle name="_DISPLAY_T-Notes_Config" xfId="74"/>
    <cellStyle name="_DISPLAY_ToDo" xfId="75"/>
    <cellStyle name="_DISPLAY_ToDo 2" xfId="76"/>
    <cellStyle name="_DISPLAY_ToDoList" xfId="77"/>
    <cellStyle name="_DISPLAY_ToDoList 2" xfId="78"/>
    <cellStyle name="_DISPLAY_Treasuries" xfId="79"/>
    <cellStyle name="_DISPLAY_Treasuries 2" xfId="80"/>
    <cellStyle name="_DISPLAY_Treasuries_Composite Page" xfId="81"/>
    <cellStyle name="_DISPLAY_Treasuries_Config" xfId="82"/>
    <cellStyle name="_FRA_Map" xfId="83"/>
    <cellStyle name="_FRA_Map 2" xfId="84"/>
    <cellStyle name="_FRA_Map_121Fut_View" xfId="85"/>
    <cellStyle name="_FRA_Map_121Fut_View 2" xfId="86"/>
    <cellStyle name="_FRA_Map_Apollo" xfId="87"/>
    <cellStyle name="_FRA_Map_AssetSwap" xfId="88"/>
    <cellStyle name="_FRA_Map_Closes" xfId="89"/>
    <cellStyle name="_FRA_Map_Composite Page" xfId="90"/>
    <cellStyle name="_FRA_Map_Config" xfId="91"/>
    <cellStyle name="_FRA_Map_Config_Composite Page" xfId="92"/>
    <cellStyle name="_FRA_Map_Convexity" xfId="93"/>
    <cellStyle name="_FRA_Map_Core" xfId="94"/>
    <cellStyle name="_FRA_Map_Core 2" xfId="95"/>
    <cellStyle name="_FRA_Map_Core_Composite Page" xfId="96"/>
    <cellStyle name="_FRA_Map_Core_Config" xfId="97"/>
    <cellStyle name="_FRA_Map_cp_Closes" xfId="98"/>
    <cellStyle name="_FRA_Map_DISPLAY" xfId="99"/>
    <cellStyle name="_FRA_Map_EOD_Closes" xfId="100"/>
    <cellStyle name="_FRA_Map_EOD_Closes_1" xfId="101"/>
    <cellStyle name="_FRA_Map_EOD_Curve" xfId="102"/>
    <cellStyle name="_FRA_Map_EOD_Curve 2" xfId="103"/>
    <cellStyle name="_FRA_Map_EOD_Curve 3" xfId="104"/>
    <cellStyle name="_FRA_Map_EOD_Curve_Composite Page" xfId="105"/>
    <cellStyle name="_FRA_Map_EOD_Curve_Core" xfId="106"/>
    <cellStyle name="_FRA_Map_EOD_Curve_Core 2" xfId="107"/>
    <cellStyle name="_FRA_Map_EOD_Curve_Futures" xfId="108"/>
    <cellStyle name="_FRA_Map_EOD_Curve_Swaps" xfId="109"/>
    <cellStyle name="_FRA_Map_Futures" xfId="110"/>
    <cellStyle name="_FRA_Map_Futures 2" xfId="111"/>
    <cellStyle name="_FRA_Map_Futures_Composite Page" xfId="112"/>
    <cellStyle name="_FRA_Map_Futures_Config" xfId="113"/>
    <cellStyle name="_FRA_Map_Gamma" xfId="114"/>
    <cellStyle name="_FRA_Map_Gamma_1" xfId="115"/>
    <cellStyle name="_FRA_Map_Gamma_Composite Page" xfId="116"/>
    <cellStyle name="_FRA_Map_Gamma_Core" xfId="117"/>
    <cellStyle name="_FRA_Map_Gamma_Futures" xfId="118"/>
    <cellStyle name="_FRA_Map_Gamma_Futures_1" xfId="119"/>
    <cellStyle name="_FRA_Map_Gamma_Swaps" xfId="120"/>
    <cellStyle name="_FRA_Map_Gamma_Treasuries" xfId="121"/>
    <cellStyle name="_FRA_Map_holidays" xfId="122"/>
    <cellStyle name="_FRA_Map_Real_Time" xfId="123"/>
    <cellStyle name="_FRA_Map_Real-Time" xfId="124"/>
    <cellStyle name="_FRA_Map_Real-Time 2" xfId="125"/>
    <cellStyle name="_FRA_Map_Real-Time_1" xfId="126"/>
    <cellStyle name="_FRA_Map_Real-Time_Composite Page" xfId="127"/>
    <cellStyle name="_FRA_Map_Real-Time_Core" xfId="128"/>
    <cellStyle name="_FRA_Map_Real-Time_Futures" xfId="129"/>
    <cellStyle name="_FRA_Map_Real-Time_Futures_1" xfId="130"/>
    <cellStyle name="_FRA_Map_Real-Time_Swaps" xfId="131"/>
    <cellStyle name="_FRA_Map_Real-Time_Treasuries" xfId="132"/>
    <cellStyle name="_FRA_Map_Sheet1" xfId="133"/>
    <cellStyle name="_FRA_Map_Swaps" xfId="134"/>
    <cellStyle name="_FRA_Map_Swaps 2" xfId="135"/>
    <cellStyle name="_FRA_Map_Swaps_Composite Page" xfId="136"/>
    <cellStyle name="_FRA_Map_Swaps_Config" xfId="137"/>
    <cellStyle name="_FRA_Map_T-Notes" xfId="138"/>
    <cellStyle name="_FRA_Map_T-Notes 2" xfId="139"/>
    <cellStyle name="_FRA_Map_T-Notes_Composite Page" xfId="140"/>
    <cellStyle name="_FRA_Map_T-Notes_Config" xfId="141"/>
    <cellStyle name="_FRA_Map_ToDo" xfId="142"/>
    <cellStyle name="_FRA_Map_ToDo 2" xfId="143"/>
    <cellStyle name="_FRA_Map_ToDoList" xfId="144"/>
    <cellStyle name="_FRA_Map_ToDoList 2" xfId="145"/>
    <cellStyle name="_FRA_Map_Treasuries" xfId="146"/>
    <cellStyle name="_FRA_Map_Treasuries 2" xfId="147"/>
    <cellStyle name="_FRA_Map_Treasuries_Composite Page" xfId="148"/>
    <cellStyle name="_FRA_Map_Treasuries_Config" xfId="149"/>
    <cellStyle name="_Front" xfId="150"/>
    <cellStyle name="_Front_ADN" xfId="151"/>
    <cellStyle name="_Front_ImportBonds" xfId="152"/>
    <cellStyle name="_Front_Sheet1" xfId="153"/>
    <cellStyle name="_Front_Today" xfId="154"/>
    <cellStyle name="_Front_Yesterday" xfId="155"/>
    <cellStyle name="_Futures" xfId="156"/>
    <cellStyle name="_Gamma" xfId="157"/>
    <cellStyle name="_Gamma 2" xfId="158"/>
    <cellStyle name="_Gamma_Composite Page" xfId="159"/>
    <cellStyle name="_Gamma_Config" xfId="160"/>
    <cellStyle name="_Home" xfId="161"/>
    <cellStyle name="_Home 2" xfId="162"/>
    <cellStyle name="_Home_Composite Page" xfId="163"/>
    <cellStyle name="_Home_Config" xfId="164"/>
    <cellStyle name="_Hong Kong" xfId="165"/>
    <cellStyle name="_ImportBonds" xfId="166"/>
    <cellStyle name="_London" xfId="167"/>
    <cellStyle name="_London 2" xfId="168"/>
    <cellStyle name="_London_Composite Page" xfId="169"/>
    <cellStyle name="_London_Config" xfId="170"/>
    <cellStyle name="_LynxTrader" xfId="171"/>
    <cellStyle name="_LynxTrader_LynxTrader" xfId="172"/>
    <cellStyle name="_LynxTrader_Trade" xfId="173"/>
    <cellStyle name="_LynxTrader_Vector Editor" xfId="174"/>
    <cellStyle name="_Main" xfId="175"/>
    <cellStyle name="_manual" xfId="176"/>
    <cellStyle name="_manual_ADN" xfId="177"/>
    <cellStyle name="_manual_ImportBonds" xfId="178"/>
    <cellStyle name="_manual_Sheet1" xfId="179"/>
    <cellStyle name="_manual_Today" xfId="180"/>
    <cellStyle name="_manual_Yesterday" xfId="181"/>
    <cellStyle name="_New York" xfId="182"/>
    <cellStyle name="_NoteFuts" xfId="183"/>
    <cellStyle name="_Past 10 yr" xfId="184"/>
    <cellStyle name="_Past 10 yr 2" xfId="185"/>
    <cellStyle name="_Past 10 yr_Composite Page" xfId="186"/>
    <cellStyle name="_Past 10 yr_Config" xfId="187"/>
    <cellStyle name="_PnL" xfId="188"/>
    <cellStyle name="_PnL 2" xfId="189"/>
    <cellStyle name="_PnL Predictor" xfId="190"/>
    <cellStyle name="_PnL Predictor 2" xfId="191"/>
    <cellStyle name="_PnL Predictor_Composite Page" xfId="192"/>
    <cellStyle name="_PnL Predictor_Config" xfId="193"/>
    <cellStyle name="_PnL_Composite Page" xfId="194"/>
    <cellStyle name="_PnL_Config" xfId="195"/>
    <cellStyle name="_Positions" xfId="196"/>
    <cellStyle name="_Repo Blotter" xfId="197"/>
    <cellStyle name="_Repo Blotter_ADN" xfId="198"/>
    <cellStyle name="_Repo Blotter_ImportBonds" xfId="199"/>
    <cellStyle name="_Repo Blotter_Sheet1" xfId="200"/>
    <cellStyle name="_Repo Blotter_Today" xfId="201"/>
    <cellStyle name="_Repo Blotter_Yesterday" xfId="202"/>
    <cellStyle name="_Setup" xfId="203"/>
    <cellStyle name="_Setup_ADN" xfId="204"/>
    <cellStyle name="_Setup_ImportBonds" xfId="205"/>
    <cellStyle name="_Setup_Sheet1" xfId="206"/>
    <cellStyle name="_Setup_Today" xfId="207"/>
    <cellStyle name="_Setup_Yesterday" xfId="208"/>
    <cellStyle name="_Sheet1" xfId="209"/>
    <cellStyle name="_Strip_ZCurve" xfId="210"/>
    <cellStyle name="_Strip_ZCurve 2" xfId="211"/>
    <cellStyle name="_Strip_ZCurve_121Fut_View" xfId="212"/>
    <cellStyle name="_Strip_ZCurve_121Fut_View 2" xfId="213"/>
    <cellStyle name="_Strip_ZCurve_Apollo" xfId="214"/>
    <cellStyle name="_Strip_ZCurve_AssetSwap" xfId="215"/>
    <cellStyle name="_Strip_ZCurve_Closes" xfId="216"/>
    <cellStyle name="_Strip_ZCurve_Composite Page" xfId="217"/>
    <cellStyle name="_Strip_ZCurve_Config" xfId="218"/>
    <cellStyle name="_Strip_ZCurve_Config_Composite Page" xfId="219"/>
    <cellStyle name="_Strip_ZCurve_Convexity" xfId="220"/>
    <cellStyle name="_Strip_ZCurve_Core" xfId="221"/>
    <cellStyle name="_Strip_ZCurve_Core 2" xfId="222"/>
    <cellStyle name="_Strip_ZCurve_Core_Composite Page" xfId="223"/>
    <cellStyle name="_Strip_ZCurve_Core_Config" xfId="224"/>
    <cellStyle name="_Strip_ZCurve_cp_Closes" xfId="225"/>
    <cellStyle name="_Strip_ZCurve_DISPLAY" xfId="226"/>
    <cellStyle name="_Strip_ZCurve_EOD_Closes" xfId="227"/>
    <cellStyle name="_Strip_ZCurve_EOD_Closes_1" xfId="228"/>
    <cellStyle name="_Strip_ZCurve_EOD_Curve" xfId="229"/>
    <cellStyle name="_Strip_ZCurve_EOD_Curve 2" xfId="230"/>
    <cellStyle name="_Strip_ZCurve_EOD_Curve 3" xfId="231"/>
    <cellStyle name="_Strip_ZCurve_EOD_Curve_Composite Page" xfId="232"/>
    <cellStyle name="_Strip_ZCurve_EOD_Curve_Core" xfId="233"/>
    <cellStyle name="_Strip_ZCurve_EOD_Curve_Core 2" xfId="234"/>
    <cellStyle name="_Strip_ZCurve_EOD_Curve_Futures" xfId="235"/>
    <cellStyle name="_Strip_ZCurve_EOD_Curve_Swaps" xfId="236"/>
    <cellStyle name="_Strip_ZCurve_Futures" xfId="237"/>
    <cellStyle name="_Strip_ZCurve_Futures 2" xfId="238"/>
    <cellStyle name="_Strip_ZCurve_Futures_Composite Page" xfId="239"/>
    <cellStyle name="_Strip_ZCurve_Futures_Config" xfId="240"/>
    <cellStyle name="_Strip_ZCurve_Gamma" xfId="241"/>
    <cellStyle name="_Strip_ZCurve_Gamma_1" xfId="242"/>
    <cellStyle name="_Strip_ZCurve_Gamma_Composite Page" xfId="243"/>
    <cellStyle name="_Strip_ZCurve_Gamma_Core" xfId="244"/>
    <cellStyle name="_Strip_ZCurve_Gamma_Futures" xfId="245"/>
    <cellStyle name="_Strip_ZCurve_Gamma_Futures_1" xfId="246"/>
    <cellStyle name="_Strip_ZCurve_Gamma_Swaps" xfId="247"/>
    <cellStyle name="_Strip_ZCurve_Gamma_Treasuries" xfId="248"/>
    <cellStyle name="_Strip_ZCurve_holidays" xfId="249"/>
    <cellStyle name="_Strip_ZCurve_Real_Time" xfId="250"/>
    <cellStyle name="_Strip_ZCurve_Real-Time" xfId="251"/>
    <cellStyle name="_Strip_ZCurve_Real-Time 2" xfId="252"/>
    <cellStyle name="_Strip_ZCurve_Real-Time_1" xfId="253"/>
    <cellStyle name="_Strip_ZCurve_Real-Time_Composite Page" xfId="254"/>
    <cellStyle name="_Strip_ZCurve_Real-Time_Core" xfId="255"/>
    <cellStyle name="_Strip_ZCurve_Real-Time_Futures" xfId="256"/>
    <cellStyle name="_Strip_ZCurve_Real-Time_Futures_1" xfId="257"/>
    <cellStyle name="_Strip_ZCurve_Real-Time_Swaps" xfId="258"/>
    <cellStyle name="_Strip_ZCurve_Real-Time_Treasuries" xfId="259"/>
    <cellStyle name="_Strip_ZCurve_Sheet1" xfId="260"/>
    <cellStyle name="_Strip_ZCurve_Swaps" xfId="261"/>
    <cellStyle name="_Strip_ZCurve_Swaps 2" xfId="262"/>
    <cellStyle name="_Strip_ZCurve_Swaps_Composite Page" xfId="263"/>
    <cellStyle name="_Strip_ZCurve_Swaps_Config" xfId="264"/>
    <cellStyle name="_Strip_ZCurve_T-Notes" xfId="265"/>
    <cellStyle name="_Strip_ZCurve_T-Notes 2" xfId="266"/>
    <cellStyle name="_Strip_ZCurve_T-Notes_Composite Page" xfId="267"/>
    <cellStyle name="_Strip_ZCurve_T-Notes_Config" xfId="268"/>
    <cellStyle name="_Strip_ZCurve_ToDo" xfId="269"/>
    <cellStyle name="_Strip_ZCurve_ToDo 2" xfId="270"/>
    <cellStyle name="_Strip_ZCurve_ToDoList" xfId="271"/>
    <cellStyle name="_Strip_ZCurve_ToDoList 2" xfId="272"/>
    <cellStyle name="_Strip_ZCurve_Treasuries" xfId="273"/>
    <cellStyle name="_Strip_ZCurve_Treasuries 2" xfId="274"/>
    <cellStyle name="_Strip_ZCurve_Treasuries_Composite Page" xfId="275"/>
    <cellStyle name="_Strip_ZCurve_Treasuries_Config" xfId="276"/>
    <cellStyle name="_Summary" xfId="277"/>
    <cellStyle name="_Summary 2" xfId="278"/>
    <cellStyle name="_Summary_Composite Page" xfId="279"/>
    <cellStyle name="_Summary_Config" xfId="280"/>
    <cellStyle name="_Today" xfId="281"/>
    <cellStyle name="_Trade Blotter" xfId="282"/>
    <cellStyle name="_Treasuries" xfId="283"/>
    <cellStyle name="_Treasuries 2" xfId="284"/>
    <cellStyle name="_Treasuries_Composite Page" xfId="285"/>
    <cellStyle name="_Treasuries_Config" xfId="286"/>
    <cellStyle name="_Turn" xfId="287"/>
    <cellStyle name="_Turn 2" xfId="288"/>
    <cellStyle name="_Turn_121Fut_View" xfId="289"/>
    <cellStyle name="_Turn_121Fut_View 2" xfId="290"/>
    <cellStyle name="_Turn_Apollo" xfId="291"/>
    <cellStyle name="_Turn_apollo_curves" xfId="292"/>
    <cellStyle name="_Turn_Apollo_Spread" xfId="293"/>
    <cellStyle name="_Turn_AssetSwap" xfId="294"/>
    <cellStyle name="_Turn_Composite Page" xfId="295"/>
    <cellStyle name="_Turn_Config" xfId="296"/>
    <cellStyle name="_Turn_Config_Composite Page" xfId="297"/>
    <cellStyle name="_Turn_Convexity" xfId="298"/>
    <cellStyle name="_Turn_Core" xfId="299"/>
    <cellStyle name="_Turn_Core 2" xfId="300"/>
    <cellStyle name="_Turn_Core_Composite Page" xfId="301"/>
    <cellStyle name="_Turn_Core_Config" xfId="302"/>
    <cellStyle name="_Turn_cp_Closes" xfId="303"/>
    <cellStyle name="_Turn_DISPLAY" xfId="304"/>
    <cellStyle name="_Turn_EOD_Closes" xfId="305"/>
    <cellStyle name="_Turn_EOD_Curve" xfId="306"/>
    <cellStyle name="_Turn_EOD_Curve 2" xfId="307"/>
    <cellStyle name="_Turn_EOD_Curve 3" xfId="308"/>
    <cellStyle name="_Turn_EOD_Curve_Composite Page" xfId="309"/>
    <cellStyle name="_Turn_EOD_Curve_Core" xfId="310"/>
    <cellStyle name="_Turn_EOD_Curve_Core 2" xfId="311"/>
    <cellStyle name="_Turn_EOD_Curve_Futures" xfId="312"/>
    <cellStyle name="_Turn_EOD_Curve_Swaps" xfId="313"/>
    <cellStyle name="_Turn_Futures" xfId="314"/>
    <cellStyle name="_Turn_Futures 2" xfId="315"/>
    <cellStyle name="_Turn_Futures_Composite Page" xfId="316"/>
    <cellStyle name="_Turn_Futures_Config" xfId="317"/>
    <cellStyle name="_Turn_Gamma" xfId="318"/>
    <cellStyle name="_Turn_Gamma_1" xfId="319"/>
    <cellStyle name="_Turn_Gamma_Composite Page" xfId="320"/>
    <cellStyle name="_Turn_Gamma_Core" xfId="321"/>
    <cellStyle name="_Turn_Gamma_Futures" xfId="322"/>
    <cellStyle name="_Turn_Gamma_Futures_1" xfId="323"/>
    <cellStyle name="_Turn_Gamma_Swaps" xfId="324"/>
    <cellStyle name="_Turn_Gamma_Treasuries" xfId="325"/>
    <cellStyle name="_Turn_holidays" xfId="326"/>
    <cellStyle name="_Turn_Real_Time" xfId="327"/>
    <cellStyle name="_Turn_Real-Time" xfId="328"/>
    <cellStyle name="_Turn_Real-Time 2" xfId="329"/>
    <cellStyle name="_Turn_Real-Time_1" xfId="330"/>
    <cellStyle name="_Turn_Real-Time_Composite Page" xfId="331"/>
    <cellStyle name="_Turn_Real-Time_Core" xfId="332"/>
    <cellStyle name="_Turn_Real-Time_Futures" xfId="333"/>
    <cellStyle name="_Turn_Real-Time_Futures_1" xfId="334"/>
    <cellStyle name="_Turn_Real-Time_Swaps" xfId="335"/>
    <cellStyle name="_Turn_Real-Time_Treasuries" xfId="336"/>
    <cellStyle name="_Turn_Swaps" xfId="337"/>
    <cellStyle name="_Turn_Swaps 2" xfId="338"/>
    <cellStyle name="_Turn_Swaps_Composite Page" xfId="339"/>
    <cellStyle name="_Turn_Swaps_Config" xfId="340"/>
    <cellStyle name="_Turn_T-Notes" xfId="341"/>
    <cellStyle name="_Turn_T-Notes 2" xfId="342"/>
    <cellStyle name="_Turn_T-Notes_Composite Page" xfId="343"/>
    <cellStyle name="_Turn_T-Notes_Config" xfId="344"/>
    <cellStyle name="_Turn_ToDo" xfId="345"/>
    <cellStyle name="_Turn_ToDo 2" xfId="346"/>
    <cellStyle name="_Turn_ToDoList" xfId="347"/>
    <cellStyle name="_Turn_ToDoList 2" xfId="348"/>
    <cellStyle name="_Turn_Treasuries" xfId="349"/>
    <cellStyle name="_Turn_Treasuries 2" xfId="350"/>
    <cellStyle name="_Turn_Treasuries_Composite Page" xfId="351"/>
    <cellStyle name="_Turn_Treasuries_Config" xfId="352"/>
    <cellStyle name="_ValuationViewer" xfId="353"/>
    <cellStyle name="_ValuationViewer_ValuationViewer" xfId="354"/>
    <cellStyle name="_Yesterday" xfId="355"/>
    <cellStyle name="=C:\WINNT35\SYSTEM32\COMMAND.COM" xfId="356"/>
    <cellStyle name="0.0000%" xfId="357"/>
    <cellStyle name="20% - Accent1" xfId="7641" builtinId="30" customBuiltin="1"/>
    <cellStyle name="20% - Accent1 2" xfId="358"/>
    <cellStyle name="20% - Accent1 2 2" xfId="359"/>
    <cellStyle name="20% - Accent1 3" xfId="360"/>
    <cellStyle name="20% - Accent1 4" xfId="361"/>
    <cellStyle name="20% - Accent1 5" xfId="362"/>
    <cellStyle name="20% - Accent1 6" xfId="363"/>
    <cellStyle name="20% - Accent2" xfId="7645" builtinId="34" customBuiltin="1"/>
    <cellStyle name="20% - Accent2 2" xfId="364"/>
    <cellStyle name="20% - Accent2 2 2" xfId="365"/>
    <cellStyle name="20% - Accent2 3" xfId="366"/>
    <cellStyle name="20% - Accent2 4" xfId="367"/>
    <cellStyle name="20% - Accent2 5" xfId="368"/>
    <cellStyle name="20% - Accent2 6" xfId="369"/>
    <cellStyle name="20% - Accent3" xfId="7649" builtinId="38" customBuiltin="1"/>
    <cellStyle name="20% - Accent3 2" xfId="370"/>
    <cellStyle name="20% - Accent3 2 2" xfId="371"/>
    <cellStyle name="20% - Accent3 3" xfId="372"/>
    <cellStyle name="20% - Accent3 4" xfId="373"/>
    <cellStyle name="20% - Accent3 5" xfId="374"/>
    <cellStyle name="20% - Accent3 6" xfId="375"/>
    <cellStyle name="20% - Accent4" xfId="7653" builtinId="42" customBuiltin="1"/>
    <cellStyle name="20% - Accent4 2" xfId="376"/>
    <cellStyle name="20% - Accent4 2 2" xfId="377"/>
    <cellStyle name="20% - Accent4 3" xfId="378"/>
    <cellStyle name="20% - Accent4 4" xfId="379"/>
    <cellStyle name="20% - Accent4 5" xfId="380"/>
    <cellStyle name="20% - Accent4 6" xfId="381"/>
    <cellStyle name="20% - Accent5" xfId="7657" builtinId="46" customBuiltin="1"/>
    <cellStyle name="20% - Accent5 2" xfId="382"/>
    <cellStyle name="20% - Accent5 2 2" xfId="383"/>
    <cellStyle name="20% - Accent5 3" xfId="384"/>
    <cellStyle name="20% - Accent5 4" xfId="385"/>
    <cellStyle name="20% - Accent6" xfId="7661" builtinId="50" customBuiltin="1"/>
    <cellStyle name="20% - Accent6 2" xfId="386"/>
    <cellStyle name="20% - Accent6 2 2" xfId="387"/>
    <cellStyle name="20% - Accent6 3" xfId="388"/>
    <cellStyle name="20% - Accent6 4" xfId="389"/>
    <cellStyle name="40% - Accent1" xfId="7642" builtinId="31" customBuiltin="1"/>
    <cellStyle name="40% - Accent1 2" xfId="390"/>
    <cellStyle name="40% - Accent1 2 2" xfId="391"/>
    <cellStyle name="40% - Accent1 3" xfId="392"/>
    <cellStyle name="40% - Accent1 4" xfId="393"/>
    <cellStyle name="40% - Accent1 5" xfId="394"/>
    <cellStyle name="40% - Accent1 6" xfId="395"/>
    <cellStyle name="40% - Accent2" xfId="7646" builtinId="35" customBuiltin="1"/>
    <cellStyle name="40% - Accent2 2" xfId="396"/>
    <cellStyle name="40% - Accent2 2 2" xfId="397"/>
    <cellStyle name="40% - Accent2 3" xfId="398"/>
    <cellStyle name="40% - Accent2 4" xfId="399"/>
    <cellStyle name="40% - Accent3" xfId="7650" builtinId="39" customBuiltin="1"/>
    <cellStyle name="40% - Accent3 2" xfId="400"/>
    <cellStyle name="40% - Accent3 2 2" xfId="401"/>
    <cellStyle name="40% - Accent3 3" xfId="402"/>
    <cellStyle name="40% - Accent3 4" xfId="403"/>
    <cellStyle name="40% - Accent3 5" xfId="404"/>
    <cellStyle name="40% - Accent3 6" xfId="405"/>
    <cellStyle name="40% - Accent4" xfId="7654" builtinId="43" customBuiltin="1"/>
    <cellStyle name="40% - Accent4 2" xfId="406"/>
    <cellStyle name="40% - Accent4 2 2" xfId="407"/>
    <cellStyle name="40% - Accent4 3" xfId="408"/>
    <cellStyle name="40% - Accent4 4" xfId="409"/>
    <cellStyle name="40% - Accent4 5" xfId="410"/>
    <cellStyle name="40% - Accent4 6" xfId="411"/>
    <cellStyle name="40% - Accent5" xfId="7658" builtinId="47" customBuiltin="1"/>
    <cellStyle name="40% - Accent5 2" xfId="412"/>
    <cellStyle name="40% - Accent5 2 2" xfId="413"/>
    <cellStyle name="40% - Accent5 3" xfId="414"/>
    <cellStyle name="40% - Accent5 4" xfId="415"/>
    <cellStyle name="40% - Accent6" xfId="7662" builtinId="51" customBuiltin="1"/>
    <cellStyle name="40% - Accent6 2" xfId="416"/>
    <cellStyle name="40% - Accent6 2 2" xfId="417"/>
    <cellStyle name="40% - Accent6 3" xfId="418"/>
    <cellStyle name="40% - Accent6 4" xfId="419"/>
    <cellStyle name="40% - Accent6 5" xfId="420"/>
    <cellStyle name="40% - Accent6 6" xfId="421"/>
    <cellStyle name="60% - Accent1" xfId="7643" builtinId="32" customBuiltin="1"/>
    <cellStyle name="60% - Accent1 2" xfId="422"/>
    <cellStyle name="60% - Accent1 2 2" xfId="423"/>
    <cellStyle name="60% - Accent1 3" xfId="424"/>
    <cellStyle name="60% - Accent1 4" xfId="425"/>
    <cellStyle name="60% - Accent1 5" xfId="426"/>
    <cellStyle name="60% - Accent1 6" xfId="427"/>
    <cellStyle name="60% - Accent2" xfId="7647" builtinId="36" customBuiltin="1"/>
    <cellStyle name="60% - Accent2 2" xfId="428"/>
    <cellStyle name="60% - Accent2 2 2" xfId="429"/>
    <cellStyle name="60% - Accent2 3" xfId="430"/>
    <cellStyle name="60% - Accent2 4" xfId="431"/>
    <cellStyle name="60% - Accent3" xfId="7651" builtinId="40" customBuiltin="1"/>
    <cellStyle name="60% - Accent3 2" xfId="432"/>
    <cellStyle name="60% - Accent3 2 2" xfId="433"/>
    <cellStyle name="60% - Accent3 3" xfId="434"/>
    <cellStyle name="60% - Accent3 4" xfId="435"/>
    <cellStyle name="60% - Accent3 5" xfId="436"/>
    <cellStyle name="60% - Accent3 6" xfId="437"/>
    <cellStyle name="60% - Accent4" xfId="7655" builtinId="44" customBuiltin="1"/>
    <cellStyle name="60% - Accent4 2" xfId="438"/>
    <cellStyle name="60% - Accent4 2 2" xfId="439"/>
    <cellStyle name="60% - Accent4 3" xfId="440"/>
    <cellStyle name="60% - Accent4 4" xfId="441"/>
    <cellStyle name="60% - Accent4 5" xfId="442"/>
    <cellStyle name="60% - Accent4 6" xfId="443"/>
    <cellStyle name="60% - Accent5" xfId="7659" builtinId="48" customBuiltin="1"/>
    <cellStyle name="60% - Accent5 2" xfId="444"/>
    <cellStyle name="60% - Accent5 2 2" xfId="445"/>
    <cellStyle name="60% - Accent5 3" xfId="446"/>
    <cellStyle name="60% - Accent5 4" xfId="447"/>
    <cellStyle name="60% - Accent6" xfId="7663" builtinId="52" customBuiltin="1"/>
    <cellStyle name="60% - Accent6 2" xfId="448"/>
    <cellStyle name="60% - Accent6 2 2" xfId="449"/>
    <cellStyle name="60% - Accent6 3" xfId="450"/>
    <cellStyle name="60% - Accent6 4" xfId="451"/>
    <cellStyle name="60% - Accent6 5" xfId="452"/>
    <cellStyle name="60% - Accent6 6" xfId="453"/>
    <cellStyle name="Accent1" xfId="7640" builtinId="29" customBuiltin="1"/>
    <cellStyle name="Accent1 2" xfId="454"/>
    <cellStyle name="Accent1 2 2" xfId="455"/>
    <cellStyle name="Accent1 3" xfId="456"/>
    <cellStyle name="Accent1 4" xfId="457"/>
    <cellStyle name="Accent1 5" xfId="458"/>
    <cellStyle name="Accent1 6" xfId="459"/>
    <cellStyle name="Accent2" xfId="7644" builtinId="33" customBuiltin="1"/>
    <cellStyle name="Accent2 2" xfId="460"/>
    <cellStyle name="Accent2 2 2" xfId="461"/>
    <cellStyle name="Accent2 3" xfId="462"/>
    <cellStyle name="Accent2 4" xfId="463"/>
    <cellStyle name="Accent3" xfId="7648" builtinId="37" customBuiltin="1"/>
    <cellStyle name="Accent3 2" xfId="464"/>
    <cellStyle name="Accent3 2 2" xfId="465"/>
    <cellStyle name="Accent3 3" xfId="466"/>
    <cellStyle name="Accent3 4" xfId="467"/>
    <cellStyle name="Accent4" xfId="7652" builtinId="41" customBuiltin="1"/>
    <cellStyle name="Accent4 2" xfId="468"/>
    <cellStyle name="Accent4 2 2" xfId="469"/>
    <cellStyle name="Accent4 3" xfId="470"/>
    <cellStyle name="Accent4 4" xfId="471"/>
    <cellStyle name="Accent4 5" xfId="472"/>
    <cellStyle name="Accent4 6" xfId="473"/>
    <cellStyle name="Accent5" xfId="7656" builtinId="45" customBuiltin="1"/>
    <cellStyle name="Accent5 2" xfId="474"/>
    <cellStyle name="Accent5 2 2" xfId="475"/>
    <cellStyle name="Accent5 3" xfId="476"/>
    <cellStyle name="Accent5 4" xfId="477"/>
    <cellStyle name="Accent6" xfId="7660" builtinId="49" customBuiltin="1"/>
    <cellStyle name="Accent6 2" xfId="478"/>
    <cellStyle name="Accent6 2 2" xfId="479"/>
    <cellStyle name="Accent6 3" xfId="480"/>
    <cellStyle name="Accent6 4" xfId="481"/>
    <cellStyle name="AppSvrCode" xfId="482"/>
    <cellStyle name="Array" xfId="483"/>
    <cellStyle name="Background" xfId="484"/>
    <cellStyle name="BackGround 2" xfId="485"/>
    <cellStyle name="Background 3" xfId="486"/>
    <cellStyle name="Background 4" xfId="487"/>
    <cellStyle name="Background 5" xfId="488"/>
    <cellStyle name="Background 6" xfId="489"/>
    <cellStyle name="Background 7" xfId="490"/>
    <cellStyle name="Background_apollo_curves" xfId="491"/>
    <cellStyle name="Bad" xfId="7629" builtinId="27" customBuiltin="1"/>
    <cellStyle name="Bad 2" xfId="492"/>
    <cellStyle name="Bad 2 2" xfId="493"/>
    <cellStyle name="Bad 3" xfId="494"/>
    <cellStyle name="Bad 4" xfId="495"/>
    <cellStyle name="Bad 5" xfId="496"/>
    <cellStyle name="Bad 6" xfId="497"/>
    <cellStyle name="blp_column_header" xfId="498"/>
    <cellStyle name="Border" xfId="499"/>
    <cellStyle name="bullet" xfId="500"/>
    <cellStyle name="calc" xfId="501"/>
    <cellStyle name="Calculation" xfId="7633" builtinId="22" customBuiltin="1"/>
    <cellStyle name="Calculation 2" xfId="502"/>
    <cellStyle name="Calculation 2 2" xfId="503"/>
    <cellStyle name="Calculation 2 2 2" xfId="504"/>
    <cellStyle name="Calculation 2 2 2 2" xfId="505"/>
    <cellStyle name="Calculation 2 2 2 2 2" xfId="506"/>
    <cellStyle name="Calculation 2 2 2 2 2 2" xfId="507"/>
    <cellStyle name="Calculation 2 2 2 2 2 2 2" xfId="508"/>
    <cellStyle name="Calculation 2 2 2 2 2 2 2 2" xfId="509"/>
    <cellStyle name="Calculation 2 2 2 2 2 2 2 2 2" xfId="510"/>
    <cellStyle name="Calculation 2 2 2 2 2 2 2 3" xfId="511"/>
    <cellStyle name="Calculation 2 2 2 2 2 2 3" xfId="512"/>
    <cellStyle name="Calculation 2 2 2 2 2 2 3 2" xfId="513"/>
    <cellStyle name="Calculation 2 2 2 2 2 2 4" xfId="514"/>
    <cellStyle name="Calculation 2 2 2 2 2 3" xfId="515"/>
    <cellStyle name="Calculation 2 2 2 2 2 3 2" xfId="516"/>
    <cellStyle name="Calculation 2 2 2 2 2 3 2 2" xfId="517"/>
    <cellStyle name="Calculation 2 2 2 2 2 3 3" xfId="518"/>
    <cellStyle name="Calculation 2 2 2 2 2 3 4" xfId="519"/>
    <cellStyle name="Calculation 2 2 2 2 2 4" xfId="520"/>
    <cellStyle name="Calculation 2 2 2 2 2 4 2" xfId="521"/>
    <cellStyle name="Calculation 2 2 2 2 2 4 2 2" xfId="522"/>
    <cellStyle name="Calculation 2 2 2 2 2 4 3" xfId="523"/>
    <cellStyle name="Calculation 2 2 2 2 2 5" xfId="524"/>
    <cellStyle name="Calculation 2 2 2 2 2 5 2" xfId="525"/>
    <cellStyle name="Calculation 2 2 2 2 2 6" xfId="526"/>
    <cellStyle name="Calculation 2 2 2 2 3" xfId="527"/>
    <cellStyle name="Calculation 2 2 2 2 3 2" xfId="528"/>
    <cellStyle name="Calculation 2 2 2 2 3 2 2" xfId="529"/>
    <cellStyle name="Calculation 2 2 2 2 3 2 2 2" xfId="530"/>
    <cellStyle name="Calculation 2 2 2 2 3 2 2 2 2" xfId="531"/>
    <cellStyle name="Calculation 2 2 2 2 3 2 2 3" xfId="532"/>
    <cellStyle name="Calculation 2 2 2 2 3 2 3" xfId="533"/>
    <cellStyle name="Calculation 2 2 2 2 3 2 3 2" xfId="534"/>
    <cellStyle name="Calculation 2 2 2 2 3 2 4" xfId="535"/>
    <cellStyle name="Calculation 2 2 2 2 3 3" xfId="536"/>
    <cellStyle name="Calculation 2 2 2 2 3 3 2" xfId="537"/>
    <cellStyle name="Calculation 2 2 2 2 3 3 2 2" xfId="538"/>
    <cellStyle name="Calculation 2 2 2 2 3 3 3" xfId="539"/>
    <cellStyle name="Calculation 2 2 2 2 3 3 4" xfId="540"/>
    <cellStyle name="Calculation 2 2 2 2 3 4" xfId="541"/>
    <cellStyle name="Calculation 2 2 2 2 3 4 2" xfId="542"/>
    <cellStyle name="Calculation 2 2 2 2 3 4 2 2" xfId="543"/>
    <cellStyle name="Calculation 2 2 2 2 3 4 3" xfId="544"/>
    <cellStyle name="Calculation 2 2 2 2 3 5" xfId="545"/>
    <cellStyle name="Calculation 2 2 2 2 3 5 2" xfId="546"/>
    <cellStyle name="Calculation 2 2 2 2 3 6" xfId="547"/>
    <cellStyle name="Calculation 2 2 2 2 4" xfId="548"/>
    <cellStyle name="Calculation 2 2 2 2 4 2" xfId="549"/>
    <cellStyle name="Calculation 2 2 2 2 4 2 2" xfId="550"/>
    <cellStyle name="Calculation 2 2 2 2 4 2 2 2" xfId="551"/>
    <cellStyle name="Calculation 2 2 2 2 4 2 2 2 2" xfId="552"/>
    <cellStyle name="Calculation 2 2 2 2 4 2 2 3" xfId="553"/>
    <cellStyle name="Calculation 2 2 2 2 4 2 3" xfId="554"/>
    <cellStyle name="Calculation 2 2 2 2 4 2 3 2" xfId="555"/>
    <cellStyle name="Calculation 2 2 2 2 4 2 4" xfId="556"/>
    <cellStyle name="Calculation 2 2 2 2 4 3" xfId="557"/>
    <cellStyle name="Calculation 2 2 2 2 4 3 2" xfId="558"/>
    <cellStyle name="Calculation 2 2 2 2 4 3 2 2" xfId="559"/>
    <cellStyle name="Calculation 2 2 2 2 4 3 3" xfId="560"/>
    <cellStyle name="Calculation 2 2 2 2 4 3 4" xfId="561"/>
    <cellStyle name="Calculation 2 2 2 2 4 4" xfId="562"/>
    <cellStyle name="Calculation 2 2 2 2 4 4 2" xfId="563"/>
    <cellStyle name="Calculation 2 2 2 2 4 4 2 2" xfId="564"/>
    <cellStyle name="Calculation 2 2 2 2 4 4 3" xfId="565"/>
    <cellStyle name="Calculation 2 2 2 2 4 5" xfId="566"/>
    <cellStyle name="Calculation 2 2 2 2 4 5 2" xfId="567"/>
    <cellStyle name="Calculation 2 2 2 2 4 6" xfId="568"/>
    <cellStyle name="Calculation 2 2 2 2 5" xfId="569"/>
    <cellStyle name="Calculation 2 2 2 2 5 2" xfId="570"/>
    <cellStyle name="Calculation 2 2 2 3" xfId="571"/>
    <cellStyle name="Calculation 2 2 2 3 2" xfId="572"/>
    <cellStyle name="Calculation 2 2 2 3 2 2" xfId="573"/>
    <cellStyle name="Calculation 2 2 2 3 2 2 2" xfId="574"/>
    <cellStyle name="Calculation 2 2 2 3 2 2 2 2" xfId="575"/>
    <cellStyle name="Calculation 2 2 2 3 2 2 3" xfId="576"/>
    <cellStyle name="Calculation 2 2 2 3 2 3" xfId="577"/>
    <cellStyle name="Calculation 2 2 2 3 2 3 2" xfId="578"/>
    <cellStyle name="Calculation 2 2 2 3 2 4" xfId="579"/>
    <cellStyle name="Calculation 2 2 2 3 3" xfId="580"/>
    <cellStyle name="Calculation 2 2 2 3 3 2" xfId="581"/>
    <cellStyle name="Calculation 2 2 2 3 3 2 2" xfId="582"/>
    <cellStyle name="Calculation 2 2 2 3 3 3" xfId="583"/>
    <cellStyle name="Calculation 2 2 2 3 3 4" xfId="584"/>
    <cellStyle name="Calculation 2 2 2 3 4" xfId="585"/>
    <cellStyle name="Calculation 2 2 2 3 4 2" xfId="586"/>
    <cellStyle name="Calculation 2 2 2 3 4 2 2" xfId="587"/>
    <cellStyle name="Calculation 2 2 2 3 4 3" xfId="588"/>
    <cellStyle name="Calculation 2 2 2 3 5" xfId="589"/>
    <cellStyle name="Calculation 2 2 2 3 5 2" xfId="590"/>
    <cellStyle name="Calculation 2 2 2 3 6" xfId="591"/>
    <cellStyle name="Calculation 2 2 2 4" xfId="592"/>
    <cellStyle name="Calculation 2 2 2 4 2" xfId="593"/>
    <cellStyle name="Calculation 2 2 2 4 2 2" xfId="594"/>
    <cellStyle name="Calculation 2 2 2 4 2 2 2" xfId="595"/>
    <cellStyle name="Calculation 2 2 2 4 2 2 2 2" xfId="596"/>
    <cellStyle name="Calculation 2 2 2 4 2 2 3" xfId="597"/>
    <cellStyle name="Calculation 2 2 2 4 2 3" xfId="598"/>
    <cellStyle name="Calculation 2 2 2 4 2 3 2" xfId="599"/>
    <cellStyle name="Calculation 2 2 2 4 2 4" xfId="600"/>
    <cellStyle name="Calculation 2 2 2 4 3" xfId="601"/>
    <cellStyle name="Calculation 2 2 2 4 3 2" xfId="602"/>
    <cellStyle name="Calculation 2 2 2 4 3 2 2" xfId="603"/>
    <cellStyle name="Calculation 2 2 2 4 3 3" xfId="604"/>
    <cellStyle name="Calculation 2 2 2 4 3 4" xfId="605"/>
    <cellStyle name="Calculation 2 2 2 4 4" xfId="606"/>
    <cellStyle name="Calculation 2 2 2 4 4 2" xfId="607"/>
    <cellStyle name="Calculation 2 2 2 4 4 2 2" xfId="608"/>
    <cellStyle name="Calculation 2 2 2 4 4 3" xfId="609"/>
    <cellStyle name="Calculation 2 2 2 4 5" xfId="610"/>
    <cellStyle name="Calculation 2 2 2 4 5 2" xfId="611"/>
    <cellStyle name="Calculation 2 2 2 4 6" xfId="612"/>
    <cellStyle name="Calculation 2 2 2 5" xfId="613"/>
    <cellStyle name="Calculation 2 2 2 5 2" xfId="614"/>
    <cellStyle name="Calculation 2 2 2 5 2 2" xfId="615"/>
    <cellStyle name="Calculation 2 2 2 5 2 2 2" xfId="616"/>
    <cellStyle name="Calculation 2 2 2 5 2 2 2 2" xfId="617"/>
    <cellStyle name="Calculation 2 2 2 5 2 2 3" xfId="618"/>
    <cellStyle name="Calculation 2 2 2 5 2 3" xfId="619"/>
    <cellStyle name="Calculation 2 2 2 5 2 3 2" xfId="620"/>
    <cellStyle name="Calculation 2 2 2 5 2 4" xfId="621"/>
    <cellStyle name="Calculation 2 2 2 5 3" xfId="622"/>
    <cellStyle name="Calculation 2 2 2 5 3 2" xfId="623"/>
    <cellStyle name="Calculation 2 2 2 5 3 2 2" xfId="624"/>
    <cellStyle name="Calculation 2 2 2 5 3 3" xfId="625"/>
    <cellStyle name="Calculation 2 2 2 5 3 4" xfId="626"/>
    <cellStyle name="Calculation 2 2 2 5 4" xfId="627"/>
    <cellStyle name="Calculation 2 2 2 5 4 2" xfId="628"/>
    <cellStyle name="Calculation 2 2 2 5 4 2 2" xfId="629"/>
    <cellStyle name="Calculation 2 2 2 5 4 3" xfId="630"/>
    <cellStyle name="Calculation 2 2 2 5 5" xfId="631"/>
    <cellStyle name="Calculation 2 2 2 5 5 2" xfId="632"/>
    <cellStyle name="Calculation 2 2 2 5 6" xfId="633"/>
    <cellStyle name="Calculation 2 2 3" xfId="634"/>
    <cellStyle name="Calculation 2 2 3 2" xfId="635"/>
    <cellStyle name="Calculation 2 2 3 2 2" xfId="636"/>
    <cellStyle name="Calculation 2 2 3 2 2 2" xfId="637"/>
    <cellStyle name="Calculation 2 2 3 2 2 2 2" xfId="638"/>
    <cellStyle name="Calculation 2 2 3 2 2 2 2 2" xfId="639"/>
    <cellStyle name="Calculation 2 2 3 2 2 2 3" xfId="640"/>
    <cellStyle name="Calculation 2 2 3 2 2 3" xfId="641"/>
    <cellStyle name="Calculation 2 2 3 2 2 3 2" xfId="642"/>
    <cellStyle name="Calculation 2 2 3 2 2 4" xfId="643"/>
    <cellStyle name="Calculation 2 2 3 2 3" xfId="644"/>
    <cellStyle name="Calculation 2 2 3 2 3 2" xfId="645"/>
    <cellStyle name="Calculation 2 2 3 2 3 2 2" xfId="646"/>
    <cellStyle name="Calculation 2 2 3 2 3 3" xfId="647"/>
    <cellStyle name="Calculation 2 2 3 2 3 4" xfId="648"/>
    <cellStyle name="Calculation 2 2 3 2 4" xfId="649"/>
    <cellStyle name="Calculation 2 2 3 2 4 2" xfId="650"/>
    <cellStyle name="Calculation 2 2 3 2 4 2 2" xfId="651"/>
    <cellStyle name="Calculation 2 2 3 2 4 3" xfId="652"/>
    <cellStyle name="Calculation 2 2 3 2 5" xfId="653"/>
    <cellStyle name="Calculation 2 2 3 2 5 2" xfId="654"/>
    <cellStyle name="Calculation 2 2 3 2 6" xfId="655"/>
    <cellStyle name="Calculation 2 2 3 3" xfId="656"/>
    <cellStyle name="Calculation 2 2 3 3 2" xfId="657"/>
    <cellStyle name="Calculation 2 2 3 3 2 2" xfId="658"/>
    <cellStyle name="Calculation 2 2 3 3 2 2 2" xfId="659"/>
    <cellStyle name="Calculation 2 2 3 3 2 2 2 2" xfId="660"/>
    <cellStyle name="Calculation 2 2 3 3 2 2 3" xfId="661"/>
    <cellStyle name="Calculation 2 2 3 3 2 3" xfId="662"/>
    <cellStyle name="Calculation 2 2 3 3 2 3 2" xfId="663"/>
    <cellStyle name="Calculation 2 2 3 3 2 4" xfId="664"/>
    <cellStyle name="Calculation 2 2 3 3 3" xfId="665"/>
    <cellStyle name="Calculation 2 2 3 3 3 2" xfId="666"/>
    <cellStyle name="Calculation 2 2 3 3 3 2 2" xfId="667"/>
    <cellStyle name="Calculation 2 2 3 3 3 3" xfId="668"/>
    <cellStyle name="Calculation 2 2 3 3 3 4" xfId="669"/>
    <cellStyle name="Calculation 2 2 3 3 4" xfId="670"/>
    <cellStyle name="Calculation 2 2 3 3 4 2" xfId="671"/>
    <cellStyle name="Calculation 2 2 3 3 4 2 2" xfId="672"/>
    <cellStyle name="Calculation 2 2 3 3 4 3" xfId="673"/>
    <cellStyle name="Calculation 2 2 3 3 5" xfId="674"/>
    <cellStyle name="Calculation 2 2 3 3 5 2" xfId="675"/>
    <cellStyle name="Calculation 2 2 3 3 6" xfId="676"/>
    <cellStyle name="Calculation 2 2 3 4" xfId="677"/>
    <cellStyle name="Calculation 2 2 3 4 2" xfId="678"/>
    <cellStyle name="Calculation 2 2 3 4 2 2" xfId="679"/>
    <cellStyle name="Calculation 2 2 3 4 2 2 2" xfId="680"/>
    <cellStyle name="Calculation 2 2 3 4 2 2 2 2" xfId="681"/>
    <cellStyle name="Calculation 2 2 3 4 2 2 3" xfId="682"/>
    <cellStyle name="Calculation 2 2 3 4 2 3" xfId="683"/>
    <cellStyle name="Calculation 2 2 3 4 2 3 2" xfId="684"/>
    <cellStyle name="Calculation 2 2 3 4 2 4" xfId="685"/>
    <cellStyle name="Calculation 2 2 3 4 3" xfId="686"/>
    <cellStyle name="Calculation 2 2 3 4 3 2" xfId="687"/>
    <cellStyle name="Calculation 2 2 3 4 3 2 2" xfId="688"/>
    <cellStyle name="Calculation 2 2 3 4 3 3" xfId="689"/>
    <cellStyle name="Calculation 2 2 3 4 3 4" xfId="690"/>
    <cellStyle name="Calculation 2 2 3 4 4" xfId="691"/>
    <cellStyle name="Calculation 2 2 3 4 4 2" xfId="692"/>
    <cellStyle name="Calculation 2 2 3 4 4 2 2" xfId="693"/>
    <cellStyle name="Calculation 2 2 3 4 4 3" xfId="694"/>
    <cellStyle name="Calculation 2 2 3 4 5" xfId="695"/>
    <cellStyle name="Calculation 2 2 3 4 5 2" xfId="696"/>
    <cellStyle name="Calculation 2 2 3 4 6" xfId="697"/>
    <cellStyle name="Calculation 2 2 3 5" xfId="698"/>
    <cellStyle name="Calculation 2 2 3 5 2" xfId="699"/>
    <cellStyle name="Calculation 2 2 4" xfId="700"/>
    <cellStyle name="Calculation 2 2 4 2" xfId="701"/>
    <cellStyle name="Calculation 2 2 4 2 2" xfId="702"/>
    <cellStyle name="Calculation 2 2 4 2 2 2" xfId="703"/>
    <cellStyle name="Calculation 2 2 4 2 2 2 2" xfId="704"/>
    <cellStyle name="Calculation 2 2 4 2 2 2 2 2" xfId="705"/>
    <cellStyle name="Calculation 2 2 4 2 2 2 3" xfId="706"/>
    <cellStyle name="Calculation 2 2 4 2 2 3" xfId="707"/>
    <cellStyle name="Calculation 2 2 4 2 2 3 2" xfId="708"/>
    <cellStyle name="Calculation 2 2 4 2 2 4" xfId="709"/>
    <cellStyle name="Calculation 2 2 4 2 3" xfId="710"/>
    <cellStyle name="Calculation 2 2 4 2 3 2" xfId="711"/>
    <cellStyle name="Calculation 2 2 4 2 3 2 2" xfId="712"/>
    <cellStyle name="Calculation 2 2 4 2 3 3" xfId="713"/>
    <cellStyle name="Calculation 2 2 4 2 3 4" xfId="714"/>
    <cellStyle name="Calculation 2 2 4 2 4" xfId="715"/>
    <cellStyle name="Calculation 2 2 4 2 4 2" xfId="716"/>
    <cellStyle name="Calculation 2 2 4 2 4 2 2" xfId="717"/>
    <cellStyle name="Calculation 2 2 4 2 4 3" xfId="718"/>
    <cellStyle name="Calculation 2 2 4 2 5" xfId="719"/>
    <cellStyle name="Calculation 2 2 4 2 5 2" xfId="720"/>
    <cellStyle name="Calculation 2 2 4 2 6" xfId="721"/>
    <cellStyle name="Calculation 2 2 4 3" xfId="722"/>
    <cellStyle name="Calculation 2 2 4 3 2" xfId="723"/>
    <cellStyle name="Calculation 2 2 4 3 2 2" xfId="724"/>
    <cellStyle name="Calculation 2 2 4 3 2 2 2" xfId="725"/>
    <cellStyle name="Calculation 2 2 4 3 2 2 2 2" xfId="726"/>
    <cellStyle name="Calculation 2 2 4 3 2 2 3" xfId="727"/>
    <cellStyle name="Calculation 2 2 4 3 2 3" xfId="728"/>
    <cellStyle name="Calculation 2 2 4 3 2 3 2" xfId="729"/>
    <cellStyle name="Calculation 2 2 4 3 2 4" xfId="730"/>
    <cellStyle name="Calculation 2 2 4 3 3" xfId="731"/>
    <cellStyle name="Calculation 2 2 4 3 3 2" xfId="732"/>
    <cellStyle name="Calculation 2 2 4 3 3 2 2" xfId="733"/>
    <cellStyle name="Calculation 2 2 4 3 3 3" xfId="734"/>
    <cellStyle name="Calculation 2 2 4 3 3 4" xfId="735"/>
    <cellStyle name="Calculation 2 2 4 3 4" xfId="736"/>
    <cellStyle name="Calculation 2 2 4 3 4 2" xfId="737"/>
    <cellStyle name="Calculation 2 2 4 3 4 2 2" xfId="738"/>
    <cellStyle name="Calculation 2 2 4 3 4 3" xfId="739"/>
    <cellStyle name="Calculation 2 2 4 3 5" xfId="740"/>
    <cellStyle name="Calculation 2 2 4 3 5 2" xfId="741"/>
    <cellStyle name="Calculation 2 2 4 3 6" xfId="742"/>
    <cellStyle name="Calculation 2 2 4 4" xfId="743"/>
    <cellStyle name="Calculation 2 2 4 4 2" xfId="744"/>
    <cellStyle name="Calculation 2 2 4 4 2 2" xfId="745"/>
    <cellStyle name="Calculation 2 2 4 4 2 2 2" xfId="746"/>
    <cellStyle name="Calculation 2 2 4 4 2 3" xfId="747"/>
    <cellStyle name="Calculation 2 2 4 4 3" xfId="748"/>
    <cellStyle name="Calculation 2 2 4 4 3 2" xfId="749"/>
    <cellStyle name="Calculation 2 2 4 4 4" xfId="750"/>
    <cellStyle name="Calculation 2 2 4 5" xfId="751"/>
    <cellStyle name="Calculation 2 2 4 5 2" xfId="752"/>
    <cellStyle name="Calculation 2 2 4 5 2 2" xfId="753"/>
    <cellStyle name="Calculation 2 2 4 5 3" xfId="754"/>
    <cellStyle name="Calculation 2 2 4 5 4" xfId="755"/>
    <cellStyle name="Calculation 2 2 4 6" xfId="756"/>
    <cellStyle name="Calculation 2 2 4 6 2" xfId="757"/>
    <cellStyle name="Calculation 2 2 4 6 2 2" xfId="758"/>
    <cellStyle name="Calculation 2 2 4 6 3" xfId="759"/>
    <cellStyle name="Calculation 2 2 4 7" xfId="760"/>
    <cellStyle name="Calculation 2 2 4 7 2" xfId="761"/>
    <cellStyle name="Calculation 2 2 4 8" xfId="762"/>
    <cellStyle name="Calculation 2 2 5" xfId="763"/>
    <cellStyle name="Calculation 2 2 5 2" xfId="764"/>
    <cellStyle name="Calculation 2 2 5 2 2" xfId="765"/>
    <cellStyle name="Calculation 2 2 5 2 2 2" xfId="766"/>
    <cellStyle name="Calculation 2 2 5 2 2 2 2" xfId="767"/>
    <cellStyle name="Calculation 2 2 5 2 2 3" xfId="768"/>
    <cellStyle name="Calculation 2 2 5 2 3" xfId="769"/>
    <cellStyle name="Calculation 2 2 5 2 3 2" xfId="770"/>
    <cellStyle name="Calculation 2 2 5 2 4" xfId="771"/>
    <cellStyle name="Calculation 2 2 5 3" xfId="772"/>
    <cellStyle name="Calculation 2 2 5 3 2" xfId="773"/>
    <cellStyle name="Calculation 2 2 5 3 2 2" xfId="774"/>
    <cellStyle name="Calculation 2 2 5 3 3" xfId="775"/>
    <cellStyle name="Calculation 2 2 5 3 4" xfId="776"/>
    <cellStyle name="Calculation 2 2 5 4" xfId="777"/>
    <cellStyle name="Calculation 2 2 5 4 2" xfId="778"/>
    <cellStyle name="Calculation 2 2 5 4 2 2" xfId="779"/>
    <cellStyle name="Calculation 2 2 5 4 3" xfId="780"/>
    <cellStyle name="Calculation 2 2 5 5" xfId="781"/>
    <cellStyle name="Calculation 2 2 5 5 2" xfId="782"/>
    <cellStyle name="Calculation 2 2 5 6" xfId="783"/>
    <cellStyle name="Calculation 2 3" xfId="784"/>
    <cellStyle name="Calculation 2 3 2" xfId="785"/>
    <cellStyle name="Calculation 2 3 2 2" xfId="786"/>
    <cellStyle name="Calculation 2 3 2 2 2" xfId="787"/>
    <cellStyle name="Calculation 2 3 2 2 2 2" xfId="788"/>
    <cellStyle name="Calculation 2 3 2 2 2 2 2" xfId="789"/>
    <cellStyle name="Calculation 2 3 2 2 2 2 2 2" xfId="790"/>
    <cellStyle name="Calculation 2 3 2 2 2 2 3" xfId="791"/>
    <cellStyle name="Calculation 2 3 2 2 2 3" xfId="792"/>
    <cellStyle name="Calculation 2 3 2 2 2 3 2" xfId="793"/>
    <cellStyle name="Calculation 2 3 2 2 2 4" xfId="794"/>
    <cellStyle name="Calculation 2 3 2 2 3" xfId="795"/>
    <cellStyle name="Calculation 2 3 2 2 3 2" xfId="796"/>
    <cellStyle name="Calculation 2 3 2 2 3 2 2" xfId="797"/>
    <cellStyle name="Calculation 2 3 2 2 3 3" xfId="798"/>
    <cellStyle name="Calculation 2 3 2 2 3 4" xfId="799"/>
    <cellStyle name="Calculation 2 3 2 2 4" xfId="800"/>
    <cellStyle name="Calculation 2 3 2 2 4 2" xfId="801"/>
    <cellStyle name="Calculation 2 3 2 2 4 2 2" xfId="802"/>
    <cellStyle name="Calculation 2 3 2 2 4 3" xfId="803"/>
    <cellStyle name="Calculation 2 3 2 2 5" xfId="804"/>
    <cellStyle name="Calculation 2 3 2 2 5 2" xfId="805"/>
    <cellStyle name="Calculation 2 3 2 2 6" xfId="806"/>
    <cellStyle name="Calculation 2 3 2 3" xfId="807"/>
    <cellStyle name="Calculation 2 3 2 3 2" xfId="808"/>
    <cellStyle name="Calculation 2 3 2 3 2 2" xfId="809"/>
    <cellStyle name="Calculation 2 3 2 3 2 2 2" xfId="810"/>
    <cellStyle name="Calculation 2 3 2 3 2 2 2 2" xfId="811"/>
    <cellStyle name="Calculation 2 3 2 3 2 2 3" xfId="812"/>
    <cellStyle name="Calculation 2 3 2 3 2 3" xfId="813"/>
    <cellStyle name="Calculation 2 3 2 3 2 3 2" xfId="814"/>
    <cellStyle name="Calculation 2 3 2 3 2 4" xfId="815"/>
    <cellStyle name="Calculation 2 3 2 3 3" xfId="816"/>
    <cellStyle name="Calculation 2 3 2 3 3 2" xfId="817"/>
    <cellStyle name="Calculation 2 3 2 3 3 2 2" xfId="818"/>
    <cellStyle name="Calculation 2 3 2 3 3 3" xfId="819"/>
    <cellStyle name="Calculation 2 3 2 3 3 4" xfId="820"/>
    <cellStyle name="Calculation 2 3 2 3 4" xfId="821"/>
    <cellStyle name="Calculation 2 3 2 3 4 2" xfId="822"/>
    <cellStyle name="Calculation 2 3 2 3 4 2 2" xfId="823"/>
    <cellStyle name="Calculation 2 3 2 3 4 3" xfId="824"/>
    <cellStyle name="Calculation 2 3 2 3 5" xfId="825"/>
    <cellStyle name="Calculation 2 3 2 3 5 2" xfId="826"/>
    <cellStyle name="Calculation 2 3 2 3 6" xfId="827"/>
    <cellStyle name="Calculation 2 3 2 4" xfId="828"/>
    <cellStyle name="Calculation 2 3 2 4 2" xfId="829"/>
    <cellStyle name="Calculation 2 3 2 4 2 2" xfId="830"/>
    <cellStyle name="Calculation 2 3 2 4 2 2 2" xfId="831"/>
    <cellStyle name="Calculation 2 3 2 4 2 2 2 2" xfId="832"/>
    <cellStyle name="Calculation 2 3 2 4 2 2 3" xfId="833"/>
    <cellStyle name="Calculation 2 3 2 4 2 3" xfId="834"/>
    <cellStyle name="Calculation 2 3 2 4 2 3 2" xfId="835"/>
    <cellStyle name="Calculation 2 3 2 4 2 4" xfId="836"/>
    <cellStyle name="Calculation 2 3 2 4 3" xfId="837"/>
    <cellStyle name="Calculation 2 3 2 4 3 2" xfId="838"/>
    <cellStyle name="Calculation 2 3 2 4 3 2 2" xfId="839"/>
    <cellStyle name="Calculation 2 3 2 4 3 3" xfId="840"/>
    <cellStyle name="Calculation 2 3 2 4 3 4" xfId="841"/>
    <cellStyle name="Calculation 2 3 2 4 4" xfId="842"/>
    <cellStyle name="Calculation 2 3 2 4 4 2" xfId="843"/>
    <cellStyle name="Calculation 2 3 2 4 4 2 2" xfId="844"/>
    <cellStyle name="Calculation 2 3 2 4 4 3" xfId="845"/>
    <cellStyle name="Calculation 2 3 2 4 5" xfId="846"/>
    <cellStyle name="Calculation 2 3 2 4 5 2" xfId="847"/>
    <cellStyle name="Calculation 2 3 2 4 6" xfId="848"/>
    <cellStyle name="Calculation 2 3 2 5" xfId="849"/>
    <cellStyle name="Calculation 2 3 2 5 2" xfId="850"/>
    <cellStyle name="Calculation 2 3 3" xfId="851"/>
    <cellStyle name="Calculation 2 3 3 2" xfId="852"/>
    <cellStyle name="Calculation 2 3 3 2 2" xfId="853"/>
    <cellStyle name="Calculation 2 3 3 2 2 2" xfId="854"/>
    <cellStyle name="Calculation 2 3 3 2 2 2 2" xfId="855"/>
    <cellStyle name="Calculation 2 3 3 2 2 3" xfId="856"/>
    <cellStyle name="Calculation 2 3 3 2 3" xfId="857"/>
    <cellStyle name="Calculation 2 3 3 2 3 2" xfId="858"/>
    <cellStyle name="Calculation 2 3 3 2 4" xfId="859"/>
    <cellStyle name="Calculation 2 3 3 3" xfId="860"/>
    <cellStyle name="Calculation 2 3 3 3 2" xfId="861"/>
    <cellStyle name="Calculation 2 3 3 3 2 2" xfId="862"/>
    <cellStyle name="Calculation 2 3 3 3 3" xfId="863"/>
    <cellStyle name="Calculation 2 3 3 3 4" xfId="864"/>
    <cellStyle name="Calculation 2 3 3 4" xfId="865"/>
    <cellStyle name="Calculation 2 3 3 4 2" xfId="866"/>
    <cellStyle name="Calculation 2 3 3 4 2 2" xfId="867"/>
    <cellStyle name="Calculation 2 3 3 4 3" xfId="868"/>
    <cellStyle name="Calculation 2 3 3 5" xfId="869"/>
    <cellStyle name="Calculation 2 3 3 5 2" xfId="870"/>
    <cellStyle name="Calculation 2 3 3 6" xfId="871"/>
    <cellStyle name="Calculation 2 3 4" xfId="872"/>
    <cellStyle name="Calculation 2 3 4 2" xfId="873"/>
    <cellStyle name="Calculation 2 3 4 2 2" xfId="874"/>
    <cellStyle name="Calculation 2 3 4 2 2 2" xfId="875"/>
    <cellStyle name="Calculation 2 3 4 2 2 2 2" xfId="876"/>
    <cellStyle name="Calculation 2 3 4 2 2 3" xfId="877"/>
    <cellStyle name="Calculation 2 3 4 2 3" xfId="878"/>
    <cellStyle name="Calculation 2 3 4 2 3 2" xfId="879"/>
    <cellStyle name="Calculation 2 3 4 2 4" xfId="880"/>
    <cellStyle name="Calculation 2 3 4 3" xfId="881"/>
    <cellStyle name="Calculation 2 3 4 3 2" xfId="882"/>
    <cellStyle name="Calculation 2 3 4 3 2 2" xfId="883"/>
    <cellStyle name="Calculation 2 3 4 3 3" xfId="884"/>
    <cellStyle name="Calculation 2 3 4 3 4" xfId="885"/>
    <cellStyle name="Calculation 2 3 4 4" xfId="886"/>
    <cellStyle name="Calculation 2 3 4 4 2" xfId="887"/>
    <cellStyle name="Calculation 2 3 4 4 2 2" xfId="888"/>
    <cellStyle name="Calculation 2 3 4 4 3" xfId="889"/>
    <cellStyle name="Calculation 2 3 4 5" xfId="890"/>
    <cellStyle name="Calculation 2 3 4 5 2" xfId="891"/>
    <cellStyle name="Calculation 2 3 4 6" xfId="892"/>
    <cellStyle name="Calculation 2 3 5" xfId="893"/>
    <cellStyle name="Calculation 2 3 5 2" xfId="894"/>
    <cellStyle name="Calculation 2 3 5 2 2" xfId="895"/>
    <cellStyle name="Calculation 2 3 5 2 2 2" xfId="896"/>
    <cellStyle name="Calculation 2 3 5 2 2 2 2" xfId="897"/>
    <cellStyle name="Calculation 2 3 5 2 2 3" xfId="898"/>
    <cellStyle name="Calculation 2 3 5 2 3" xfId="899"/>
    <cellStyle name="Calculation 2 3 5 2 3 2" xfId="900"/>
    <cellStyle name="Calculation 2 3 5 2 4" xfId="901"/>
    <cellStyle name="Calculation 2 3 5 3" xfId="902"/>
    <cellStyle name="Calculation 2 3 5 3 2" xfId="903"/>
    <cellStyle name="Calculation 2 3 5 3 2 2" xfId="904"/>
    <cellStyle name="Calculation 2 3 5 3 3" xfId="905"/>
    <cellStyle name="Calculation 2 3 5 3 4" xfId="906"/>
    <cellStyle name="Calculation 2 3 5 4" xfId="907"/>
    <cellStyle name="Calculation 2 3 5 4 2" xfId="908"/>
    <cellStyle name="Calculation 2 3 5 4 2 2" xfId="909"/>
    <cellStyle name="Calculation 2 3 5 4 3" xfId="910"/>
    <cellStyle name="Calculation 2 3 5 5" xfId="911"/>
    <cellStyle name="Calculation 2 3 5 5 2" xfId="912"/>
    <cellStyle name="Calculation 2 3 5 6" xfId="913"/>
    <cellStyle name="Calculation 2 4" xfId="914"/>
    <cellStyle name="Calculation 2 4 2" xfId="915"/>
    <cellStyle name="Calculation 2 4 2 2" xfId="916"/>
    <cellStyle name="Calculation 2 4 2 2 2" xfId="917"/>
    <cellStyle name="Calculation 2 4 2 2 2 2" xfId="918"/>
    <cellStyle name="Calculation 2 4 2 2 2 2 2" xfId="919"/>
    <cellStyle name="Calculation 2 4 2 2 2 3" xfId="920"/>
    <cellStyle name="Calculation 2 4 2 2 3" xfId="921"/>
    <cellStyle name="Calculation 2 4 2 2 3 2" xfId="922"/>
    <cellStyle name="Calculation 2 4 2 2 4" xfId="923"/>
    <cellStyle name="Calculation 2 4 2 3" xfId="924"/>
    <cellStyle name="Calculation 2 4 2 3 2" xfId="925"/>
    <cellStyle name="Calculation 2 4 2 3 2 2" xfId="926"/>
    <cellStyle name="Calculation 2 4 2 3 3" xfId="927"/>
    <cellStyle name="Calculation 2 4 2 3 4" xfId="928"/>
    <cellStyle name="Calculation 2 4 2 4" xfId="929"/>
    <cellStyle name="Calculation 2 4 2 4 2" xfId="930"/>
    <cellStyle name="Calculation 2 4 2 4 2 2" xfId="931"/>
    <cellStyle name="Calculation 2 4 2 4 3" xfId="932"/>
    <cellStyle name="Calculation 2 4 2 5" xfId="933"/>
    <cellStyle name="Calculation 2 4 2 5 2" xfId="934"/>
    <cellStyle name="Calculation 2 4 2 6" xfId="935"/>
    <cellStyle name="Calculation 2 4 3" xfId="936"/>
    <cellStyle name="Calculation 2 4 3 2" xfId="937"/>
    <cellStyle name="Calculation 2 4 3 2 2" xfId="938"/>
    <cellStyle name="Calculation 2 4 3 2 2 2" xfId="939"/>
    <cellStyle name="Calculation 2 4 3 2 2 2 2" xfId="940"/>
    <cellStyle name="Calculation 2 4 3 2 2 3" xfId="941"/>
    <cellStyle name="Calculation 2 4 3 2 3" xfId="942"/>
    <cellStyle name="Calculation 2 4 3 2 3 2" xfId="943"/>
    <cellStyle name="Calculation 2 4 3 2 4" xfId="944"/>
    <cellStyle name="Calculation 2 4 3 3" xfId="945"/>
    <cellStyle name="Calculation 2 4 3 3 2" xfId="946"/>
    <cellStyle name="Calculation 2 4 3 3 2 2" xfId="947"/>
    <cellStyle name="Calculation 2 4 3 3 3" xfId="948"/>
    <cellStyle name="Calculation 2 4 3 3 4" xfId="949"/>
    <cellStyle name="Calculation 2 4 3 4" xfId="950"/>
    <cellStyle name="Calculation 2 4 3 4 2" xfId="951"/>
    <cellStyle name="Calculation 2 4 3 4 2 2" xfId="952"/>
    <cellStyle name="Calculation 2 4 3 4 3" xfId="953"/>
    <cellStyle name="Calculation 2 4 3 5" xfId="954"/>
    <cellStyle name="Calculation 2 4 3 5 2" xfId="955"/>
    <cellStyle name="Calculation 2 4 3 6" xfId="956"/>
    <cellStyle name="Calculation 2 4 4" xfId="957"/>
    <cellStyle name="Calculation 2 4 4 2" xfId="958"/>
    <cellStyle name="Calculation 2 4 4 2 2" xfId="959"/>
    <cellStyle name="Calculation 2 4 4 2 2 2" xfId="960"/>
    <cellStyle name="Calculation 2 4 4 2 2 2 2" xfId="961"/>
    <cellStyle name="Calculation 2 4 4 2 2 3" xfId="962"/>
    <cellStyle name="Calculation 2 4 4 2 3" xfId="963"/>
    <cellStyle name="Calculation 2 4 4 2 3 2" xfId="964"/>
    <cellStyle name="Calculation 2 4 4 2 4" xfId="965"/>
    <cellStyle name="Calculation 2 4 4 3" xfId="966"/>
    <cellStyle name="Calculation 2 4 4 3 2" xfId="967"/>
    <cellStyle name="Calculation 2 4 4 3 2 2" xfId="968"/>
    <cellStyle name="Calculation 2 4 4 3 3" xfId="969"/>
    <cellStyle name="Calculation 2 4 4 3 4" xfId="970"/>
    <cellStyle name="Calculation 2 4 4 4" xfId="971"/>
    <cellStyle name="Calculation 2 4 4 4 2" xfId="972"/>
    <cellStyle name="Calculation 2 4 4 4 2 2" xfId="973"/>
    <cellStyle name="Calculation 2 4 4 4 3" xfId="974"/>
    <cellStyle name="Calculation 2 4 4 5" xfId="975"/>
    <cellStyle name="Calculation 2 4 4 5 2" xfId="976"/>
    <cellStyle name="Calculation 2 4 4 6" xfId="977"/>
    <cellStyle name="Calculation 2 4 5" xfId="978"/>
    <cellStyle name="Calculation 2 4 5 2" xfId="979"/>
    <cellStyle name="Calculation 2 5" xfId="980"/>
    <cellStyle name="Calculation 2 5 2" xfId="981"/>
    <cellStyle name="Calculation 2 5 2 2" xfId="982"/>
    <cellStyle name="Calculation 2 5 2 2 2" xfId="983"/>
    <cellStyle name="Calculation 2 5 2 2 2 2" xfId="984"/>
    <cellStyle name="Calculation 2 5 2 2 2 2 2" xfId="985"/>
    <cellStyle name="Calculation 2 5 2 2 2 3" xfId="986"/>
    <cellStyle name="Calculation 2 5 2 2 3" xfId="987"/>
    <cellStyle name="Calculation 2 5 2 2 3 2" xfId="988"/>
    <cellStyle name="Calculation 2 5 2 2 4" xfId="989"/>
    <cellStyle name="Calculation 2 5 2 3" xfId="990"/>
    <cellStyle name="Calculation 2 5 2 3 2" xfId="991"/>
    <cellStyle name="Calculation 2 5 2 3 2 2" xfId="992"/>
    <cellStyle name="Calculation 2 5 2 3 3" xfId="993"/>
    <cellStyle name="Calculation 2 5 2 3 4" xfId="994"/>
    <cellStyle name="Calculation 2 5 2 4" xfId="995"/>
    <cellStyle name="Calculation 2 5 2 4 2" xfId="996"/>
    <cellStyle name="Calculation 2 5 2 4 2 2" xfId="997"/>
    <cellStyle name="Calculation 2 5 2 4 3" xfId="998"/>
    <cellStyle name="Calculation 2 5 2 5" xfId="999"/>
    <cellStyle name="Calculation 2 5 2 5 2" xfId="1000"/>
    <cellStyle name="Calculation 2 5 2 6" xfId="1001"/>
    <cellStyle name="Calculation 2 5 3" xfId="1002"/>
    <cellStyle name="Calculation 2 5 3 2" xfId="1003"/>
    <cellStyle name="Calculation 2 5 3 2 2" xfId="1004"/>
    <cellStyle name="Calculation 2 5 3 2 2 2" xfId="1005"/>
    <cellStyle name="Calculation 2 5 3 2 2 2 2" xfId="1006"/>
    <cellStyle name="Calculation 2 5 3 2 2 3" xfId="1007"/>
    <cellStyle name="Calculation 2 5 3 2 3" xfId="1008"/>
    <cellStyle name="Calculation 2 5 3 2 3 2" xfId="1009"/>
    <cellStyle name="Calculation 2 5 3 2 4" xfId="1010"/>
    <cellStyle name="Calculation 2 5 3 3" xfId="1011"/>
    <cellStyle name="Calculation 2 5 3 3 2" xfId="1012"/>
    <cellStyle name="Calculation 2 5 3 3 2 2" xfId="1013"/>
    <cellStyle name="Calculation 2 5 3 3 3" xfId="1014"/>
    <cellStyle name="Calculation 2 5 3 3 4" xfId="1015"/>
    <cellStyle name="Calculation 2 5 3 4" xfId="1016"/>
    <cellStyle name="Calculation 2 5 3 4 2" xfId="1017"/>
    <cellStyle name="Calculation 2 5 3 4 2 2" xfId="1018"/>
    <cellStyle name="Calculation 2 5 3 4 3" xfId="1019"/>
    <cellStyle name="Calculation 2 5 3 5" xfId="1020"/>
    <cellStyle name="Calculation 2 5 3 5 2" xfId="1021"/>
    <cellStyle name="Calculation 2 5 3 6" xfId="1022"/>
    <cellStyle name="Calculation 2 5 4" xfId="1023"/>
    <cellStyle name="Calculation 2 5 4 2" xfId="1024"/>
    <cellStyle name="Calculation 2 5 4 2 2" xfId="1025"/>
    <cellStyle name="Calculation 2 5 4 2 2 2" xfId="1026"/>
    <cellStyle name="Calculation 2 5 4 2 3" xfId="1027"/>
    <cellStyle name="Calculation 2 5 4 3" xfId="1028"/>
    <cellStyle name="Calculation 2 5 4 3 2" xfId="1029"/>
    <cellStyle name="Calculation 2 5 4 4" xfId="1030"/>
    <cellStyle name="Calculation 2 5 5" xfId="1031"/>
    <cellStyle name="Calculation 2 5 5 2" xfId="1032"/>
    <cellStyle name="Calculation 2 5 5 2 2" xfId="1033"/>
    <cellStyle name="Calculation 2 5 5 3" xfId="1034"/>
    <cellStyle name="Calculation 2 5 5 4" xfId="1035"/>
    <cellStyle name="Calculation 2 5 6" xfId="1036"/>
    <cellStyle name="Calculation 2 5 6 2" xfId="1037"/>
    <cellStyle name="Calculation 2 5 6 2 2" xfId="1038"/>
    <cellStyle name="Calculation 2 5 6 3" xfId="1039"/>
    <cellStyle name="Calculation 2 5 7" xfId="1040"/>
    <cellStyle name="Calculation 2 5 7 2" xfId="1041"/>
    <cellStyle name="Calculation 2 5 8" xfId="1042"/>
    <cellStyle name="Calculation 2 6" xfId="1043"/>
    <cellStyle name="Calculation 2 6 2" xfId="1044"/>
    <cellStyle name="Calculation 2 6 2 2" xfId="1045"/>
    <cellStyle name="Calculation 2 6 2 2 2" xfId="1046"/>
    <cellStyle name="Calculation 2 6 2 2 2 2" xfId="1047"/>
    <cellStyle name="Calculation 2 6 2 2 3" xfId="1048"/>
    <cellStyle name="Calculation 2 6 2 3" xfId="1049"/>
    <cellStyle name="Calculation 2 6 2 3 2" xfId="1050"/>
    <cellStyle name="Calculation 2 6 2 4" xfId="1051"/>
    <cellStyle name="Calculation 2 6 3" xfId="1052"/>
    <cellStyle name="Calculation 2 6 3 2" xfId="1053"/>
    <cellStyle name="Calculation 2 6 3 2 2" xfId="1054"/>
    <cellStyle name="Calculation 2 6 3 3" xfId="1055"/>
    <cellStyle name="Calculation 2 6 3 4" xfId="1056"/>
    <cellStyle name="Calculation 2 6 4" xfId="1057"/>
    <cellStyle name="Calculation 2 6 4 2" xfId="1058"/>
    <cellStyle name="Calculation 2 6 4 2 2" xfId="1059"/>
    <cellStyle name="Calculation 2 6 4 3" xfId="1060"/>
    <cellStyle name="Calculation 2 6 5" xfId="1061"/>
    <cellStyle name="Calculation 2 6 5 2" xfId="1062"/>
    <cellStyle name="Calculation 2 6 6" xfId="1063"/>
    <cellStyle name="Calculation 3" xfId="1064"/>
    <cellStyle name="Calculation 3 2" xfId="1065"/>
    <cellStyle name="Calculation 3 2 2" xfId="1066"/>
    <cellStyle name="Calculation 3 2 2 2" xfId="1067"/>
    <cellStyle name="Calculation 3 2 2 2 2" xfId="1068"/>
    <cellStyle name="Calculation 3 2 2 2 2 2" xfId="1069"/>
    <cellStyle name="Calculation 3 2 2 2 2 2 2" xfId="1070"/>
    <cellStyle name="Calculation 3 2 2 2 2 2 2 2" xfId="1071"/>
    <cellStyle name="Calculation 3 2 2 2 2 2 3" xfId="1072"/>
    <cellStyle name="Calculation 3 2 2 2 2 3" xfId="1073"/>
    <cellStyle name="Calculation 3 2 2 2 2 3 2" xfId="1074"/>
    <cellStyle name="Calculation 3 2 2 2 2 4" xfId="1075"/>
    <cellStyle name="Calculation 3 2 2 2 3" xfId="1076"/>
    <cellStyle name="Calculation 3 2 2 2 3 2" xfId="1077"/>
    <cellStyle name="Calculation 3 2 2 2 3 2 2" xfId="1078"/>
    <cellStyle name="Calculation 3 2 2 2 3 3" xfId="1079"/>
    <cellStyle name="Calculation 3 2 2 2 3 4" xfId="1080"/>
    <cellStyle name="Calculation 3 2 2 2 4" xfId="1081"/>
    <cellStyle name="Calculation 3 2 2 2 4 2" xfId="1082"/>
    <cellStyle name="Calculation 3 2 2 2 4 2 2" xfId="1083"/>
    <cellStyle name="Calculation 3 2 2 2 4 3" xfId="1084"/>
    <cellStyle name="Calculation 3 2 2 2 5" xfId="1085"/>
    <cellStyle name="Calculation 3 2 2 2 5 2" xfId="1086"/>
    <cellStyle name="Calculation 3 2 2 2 6" xfId="1087"/>
    <cellStyle name="Calculation 3 2 2 3" xfId="1088"/>
    <cellStyle name="Calculation 3 2 2 3 2" xfId="1089"/>
    <cellStyle name="Calculation 3 2 2 3 2 2" xfId="1090"/>
    <cellStyle name="Calculation 3 2 2 3 2 2 2" xfId="1091"/>
    <cellStyle name="Calculation 3 2 2 3 2 2 2 2" xfId="1092"/>
    <cellStyle name="Calculation 3 2 2 3 2 2 3" xfId="1093"/>
    <cellStyle name="Calculation 3 2 2 3 2 3" xfId="1094"/>
    <cellStyle name="Calculation 3 2 2 3 2 3 2" xfId="1095"/>
    <cellStyle name="Calculation 3 2 2 3 2 4" xfId="1096"/>
    <cellStyle name="Calculation 3 2 2 3 3" xfId="1097"/>
    <cellStyle name="Calculation 3 2 2 3 3 2" xfId="1098"/>
    <cellStyle name="Calculation 3 2 2 3 3 2 2" xfId="1099"/>
    <cellStyle name="Calculation 3 2 2 3 3 3" xfId="1100"/>
    <cellStyle name="Calculation 3 2 2 3 3 4" xfId="1101"/>
    <cellStyle name="Calculation 3 2 2 3 4" xfId="1102"/>
    <cellStyle name="Calculation 3 2 2 3 4 2" xfId="1103"/>
    <cellStyle name="Calculation 3 2 2 3 4 2 2" xfId="1104"/>
    <cellStyle name="Calculation 3 2 2 3 4 3" xfId="1105"/>
    <cellStyle name="Calculation 3 2 2 3 5" xfId="1106"/>
    <cellStyle name="Calculation 3 2 2 3 5 2" xfId="1107"/>
    <cellStyle name="Calculation 3 2 2 3 6" xfId="1108"/>
    <cellStyle name="Calculation 3 2 2 4" xfId="1109"/>
    <cellStyle name="Calculation 3 2 2 4 2" xfId="1110"/>
    <cellStyle name="Calculation 3 2 2 4 2 2" xfId="1111"/>
    <cellStyle name="Calculation 3 2 2 4 2 2 2" xfId="1112"/>
    <cellStyle name="Calculation 3 2 2 4 2 2 2 2" xfId="1113"/>
    <cellStyle name="Calculation 3 2 2 4 2 2 3" xfId="1114"/>
    <cellStyle name="Calculation 3 2 2 4 2 3" xfId="1115"/>
    <cellStyle name="Calculation 3 2 2 4 2 3 2" xfId="1116"/>
    <cellStyle name="Calculation 3 2 2 4 2 4" xfId="1117"/>
    <cellStyle name="Calculation 3 2 2 4 3" xfId="1118"/>
    <cellStyle name="Calculation 3 2 2 4 3 2" xfId="1119"/>
    <cellStyle name="Calculation 3 2 2 4 3 2 2" xfId="1120"/>
    <cellStyle name="Calculation 3 2 2 4 3 3" xfId="1121"/>
    <cellStyle name="Calculation 3 2 2 4 3 4" xfId="1122"/>
    <cellStyle name="Calculation 3 2 2 4 4" xfId="1123"/>
    <cellStyle name="Calculation 3 2 2 4 4 2" xfId="1124"/>
    <cellStyle name="Calculation 3 2 2 4 4 2 2" xfId="1125"/>
    <cellStyle name="Calculation 3 2 2 4 4 3" xfId="1126"/>
    <cellStyle name="Calculation 3 2 2 4 5" xfId="1127"/>
    <cellStyle name="Calculation 3 2 2 4 5 2" xfId="1128"/>
    <cellStyle name="Calculation 3 2 2 4 6" xfId="1129"/>
    <cellStyle name="Calculation 3 2 2 5" xfId="1130"/>
    <cellStyle name="Calculation 3 2 2 5 2" xfId="1131"/>
    <cellStyle name="Calculation 3 2 3" xfId="1132"/>
    <cellStyle name="Calculation 3 2 3 2" xfId="1133"/>
    <cellStyle name="Calculation 3 2 3 2 2" xfId="1134"/>
    <cellStyle name="Calculation 3 2 3 2 2 2" xfId="1135"/>
    <cellStyle name="Calculation 3 2 3 2 2 2 2" xfId="1136"/>
    <cellStyle name="Calculation 3 2 3 2 2 3" xfId="1137"/>
    <cellStyle name="Calculation 3 2 3 2 3" xfId="1138"/>
    <cellStyle name="Calculation 3 2 3 2 3 2" xfId="1139"/>
    <cellStyle name="Calculation 3 2 3 2 4" xfId="1140"/>
    <cellStyle name="Calculation 3 2 3 3" xfId="1141"/>
    <cellStyle name="Calculation 3 2 3 3 2" xfId="1142"/>
    <cellStyle name="Calculation 3 2 3 3 2 2" xfId="1143"/>
    <cellStyle name="Calculation 3 2 3 3 3" xfId="1144"/>
    <cellStyle name="Calculation 3 2 3 3 4" xfId="1145"/>
    <cellStyle name="Calculation 3 2 3 4" xfId="1146"/>
    <cellStyle name="Calculation 3 2 3 4 2" xfId="1147"/>
    <cellStyle name="Calculation 3 2 3 4 2 2" xfId="1148"/>
    <cellStyle name="Calculation 3 2 3 4 3" xfId="1149"/>
    <cellStyle name="Calculation 3 2 3 5" xfId="1150"/>
    <cellStyle name="Calculation 3 2 3 5 2" xfId="1151"/>
    <cellStyle name="Calculation 3 2 3 6" xfId="1152"/>
    <cellStyle name="Calculation 3 2 4" xfId="1153"/>
    <cellStyle name="Calculation 3 2 4 2" xfId="1154"/>
    <cellStyle name="Calculation 3 2 4 2 2" xfId="1155"/>
    <cellStyle name="Calculation 3 2 4 2 2 2" xfId="1156"/>
    <cellStyle name="Calculation 3 2 4 2 2 2 2" xfId="1157"/>
    <cellStyle name="Calculation 3 2 4 2 2 3" xfId="1158"/>
    <cellStyle name="Calculation 3 2 4 2 3" xfId="1159"/>
    <cellStyle name="Calculation 3 2 4 2 3 2" xfId="1160"/>
    <cellStyle name="Calculation 3 2 4 2 4" xfId="1161"/>
    <cellStyle name="Calculation 3 2 4 3" xfId="1162"/>
    <cellStyle name="Calculation 3 2 4 3 2" xfId="1163"/>
    <cellStyle name="Calculation 3 2 4 3 2 2" xfId="1164"/>
    <cellStyle name="Calculation 3 2 4 3 3" xfId="1165"/>
    <cellStyle name="Calculation 3 2 4 3 4" xfId="1166"/>
    <cellStyle name="Calculation 3 2 4 4" xfId="1167"/>
    <cellStyle name="Calculation 3 2 4 4 2" xfId="1168"/>
    <cellStyle name="Calculation 3 2 4 4 2 2" xfId="1169"/>
    <cellStyle name="Calculation 3 2 4 4 3" xfId="1170"/>
    <cellStyle name="Calculation 3 2 4 5" xfId="1171"/>
    <cellStyle name="Calculation 3 2 4 5 2" xfId="1172"/>
    <cellStyle name="Calculation 3 2 4 6" xfId="1173"/>
    <cellStyle name="Calculation 3 2 5" xfId="1174"/>
    <cellStyle name="Calculation 3 2 5 2" xfId="1175"/>
    <cellStyle name="Calculation 3 2 5 2 2" xfId="1176"/>
    <cellStyle name="Calculation 3 2 5 2 2 2" xfId="1177"/>
    <cellStyle name="Calculation 3 2 5 2 2 2 2" xfId="1178"/>
    <cellStyle name="Calculation 3 2 5 2 2 3" xfId="1179"/>
    <cellStyle name="Calculation 3 2 5 2 3" xfId="1180"/>
    <cellStyle name="Calculation 3 2 5 2 3 2" xfId="1181"/>
    <cellStyle name="Calculation 3 2 5 2 4" xfId="1182"/>
    <cellStyle name="Calculation 3 2 5 3" xfId="1183"/>
    <cellStyle name="Calculation 3 2 5 3 2" xfId="1184"/>
    <cellStyle name="Calculation 3 2 5 3 2 2" xfId="1185"/>
    <cellStyle name="Calculation 3 2 5 3 3" xfId="1186"/>
    <cellStyle name="Calculation 3 2 5 3 4" xfId="1187"/>
    <cellStyle name="Calculation 3 2 5 4" xfId="1188"/>
    <cellStyle name="Calculation 3 2 5 4 2" xfId="1189"/>
    <cellStyle name="Calculation 3 2 5 4 2 2" xfId="1190"/>
    <cellStyle name="Calculation 3 2 5 4 3" xfId="1191"/>
    <cellStyle name="Calculation 3 2 5 5" xfId="1192"/>
    <cellStyle name="Calculation 3 2 5 5 2" xfId="1193"/>
    <cellStyle name="Calculation 3 2 5 6" xfId="1194"/>
    <cellStyle name="Calculation 3 3" xfId="1195"/>
    <cellStyle name="Calculation 3 3 2" xfId="1196"/>
    <cellStyle name="Calculation 3 3 2 2" xfId="1197"/>
    <cellStyle name="Calculation 3 3 2 2 2" xfId="1198"/>
    <cellStyle name="Calculation 3 3 2 2 2 2" xfId="1199"/>
    <cellStyle name="Calculation 3 3 2 2 2 2 2" xfId="1200"/>
    <cellStyle name="Calculation 3 3 2 2 2 3" xfId="1201"/>
    <cellStyle name="Calculation 3 3 2 2 3" xfId="1202"/>
    <cellStyle name="Calculation 3 3 2 2 3 2" xfId="1203"/>
    <cellStyle name="Calculation 3 3 2 2 4" xfId="1204"/>
    <cellStyle name="Calculation 3 3 2 3" xfId="1205"/>
    <cellStyle name="Calculation 3 3 2 3 2" xfId="1206"/>
    <cellStyle name="Calculation 3 3 2 3 2 2" xfId="1207"/>
    <cellStyle name="Calculation 3 3 2 3 3" xfId="1208"/>
    <cellStyle name="Calculation 3 3 2 3 4" xfId="1209"/>
    <cellStyle name="Calculation 3 3 2 4" xfId="1210"/>
    <cellStyle name="Calculation 3 3 2 4 2" xfId="1211"/>
    <cellStyle name="Calculation 3 3 2 4 2 2" xfId="1212"/>
    <cellStyle name="Calculation 3 3 2 4 3" xfId="1213"/>
    <cellStyle name="Calculation 3 3 2 5" xfId="1214"/>
    <cellStyle name="Calculation 3 3 2 5 2" xfId="1215"/>
    <cellStyle name="Calculation 3 3 2 6" xfId="1216"/>
    <cellStyle name="Calculation 3 3 3" xfId="1217"/>
    <cellStyle name="Calculation 3 3 3 2" xfId="1218"/>
    <cellStyle name="Calculation 3 3 3 2 2" xfId="1219"/>
    <cellStyle name="Calculation 3 3 3 2 2 2" xfId="1220"/>
    <cellStyle name="Calculation 3 3 3 2 2 2 2" xfId="1221"/>
    <cellStyle name="Calculation 3 3 3 2 2 3" xfId="1222"/>
    <cellStyle name="Calculation 3 3 3 2 3" xfId="1223"/>
    <cellStyle name="Calculation 3 3 3 2 3 2" xfId="1224"/>
    <cellStyle name="Calculation 3 3 3 2 4" xfId="1225"/>
    <cellStyle name="Calculation 3 3 3 3" xfId="1226"/>
    <cellStyle name="Calculation 3 3 3 3 2" xfId="1227"/>
    <cellStyle name="Calculation 3 3 3 3 2 2" xfId="1228"/>
    <cellStyle name="Calculation 3 3 3 3 3" xfId="1229"/>
    <cellStyle name="Calculation 3 3 3 3 4" xfId="1230"/>
    <cellStyle name="Calculation 3 3 3 4" xfId="1231"/>
    <cellStyle name="Calculation 3 3 3 4 2" xfId="1232"/>
    <cellStyle name="Calculation 3 3 3 4 2 2" xfId="1233"/>
    <cellStyle name="Calculation 3 3 3 4 3" xfId="1234"/>
    <cellStyle name="Calculation 3 3 3 5" xfId="1235"/>
    <cellStyle name="Calculation 3 3 3 5 2" xfId="1236"/>
    <cellStyle name="Calculation 3 3 3 6" xfId="1237"/>
    <cellStyle name="Calculation 3 3 4" xfId="1238"/>
    <cellStyle name="Calculation 3 3 4 2" xfId="1239"/>
    <cellStyle name="Calculation 3 3 4 2 2" xfId="1240"/>
    <cellStyle name="Calculation 3 3 4 2 2 2" xfId="1241"/>
    <cellStyle name="Calculation 3 3 4 2 2 2 2" xfId="1242"/>
    <cellStyle name="Calculation 3 3 4 2 2 3" xfId="1243"/>
    <cellStyle name="Calculation 3 3 4 2 3" xfId="1244"/>
    <cellStyle name="Calculation 3 3 4 2 3 2" xfId="1245"/>
    <cellStyle name="Calculation 3 3 4 2 4" xfId="1246"/>
    <cellStyle name="Calculation 3 3 4 3" xfId="1247"/>
    <cellStyle name="Calculation 3 3 4 3 2" xfId="1248"/>
    <cellStyle name="Calculation 3 3 4 3 2 2" xfId="1249"/>
    <cellStyle name="Calculation 3 3 4 3 3" xfId="1250"/>
    <cellStyle name="Calculation 3 3 4 3 4" xfId="1251"/>
    <cellStyle name="Calculation 3 3 4 4" xfId="1252"/>
    <cellStyle name="Calculation 3 3 4 4 2" xfId="1253"/>
    <cellStyle name="Calculation 3 3 4 4 2 2" xfId="1254"/>
    <cellStyle name="Calculation 3 3 4 4 3" xfId="1255"/>
    <cellStyle name="Calculation 3 3 4 5" xfId="1256"/>
    <cellStyle name="Calculation 3 3 4 5 2" xfId="1257"/>
    <cellStyle name="Calculation 3 3 4 6" xfId="1258"/>
    <cellStyle name="Calculation 3 3 5" xfId="1259"/>
    <cellStyle name="Calculation 3 3 5 2" xfId="1260"/>
    <cellStyle name="Calculation 3 4" xfId="1261"/>
    <cellStyle name="Calculation 3 4 2" xfId="1262"/>
    <cellStyle name="Calculation 3 4 2 2" xfId="1263"/>
    <cellStyle name="Calculation 3 4 2 2 2" xfId="1264"/>
    <cellStyle name="Calculation 3 4 2 2 2 2" xfId="1265"/>
    <cellStyle name="Calculation 3 4 2 2 2 2 2" xfId="1266"/>
    <cellStyle name="Calculation 3 4 2 2 2 3" xfId="1267"/>
    <cellStyle name="Calculation 3 4 2 2 3" xfId="1268"/>
    <cellStyle name="Calculation 3 4 2 2 3 2" xfId="1269"/>
    <cellStyle name="Calculation 3 4 2 2 4" xfId="1270"/>
    <cellStyle name="Calculation 3 4 2 3" xfId="1271"/>
    <cellStyle name="Calculation 3 4 2 3 2" xfId="1272"/>
    <cellStyle name="Calculation 3 4 2 3 2 2" xfId="1273"/>
    <cellStyle name="Calculation 3 4 2 3 3" xfId="1274"/>
    <cellStyle name="Calculation 3 4 2 3 4" xfId="1275"/>
    <cellStyle name="Calculation 3 4 2 4" xfId="1276"/>
    <cellStyle name="Calculation 3 4 2 4 2" xfId="1277"/>
    <cellStyle name="Calculation 3 4 2 4 2 2" xfId="1278"/>
    <cellStyle name="Calculation 3 4 2 4 3" xfId="1279"/>
    <cellStyle name="Calculation 3 4 2 5" xfId="1280"/>
    <cellStyle name="Calculation 3 4 2 5 2" xfId="1281"/>
    <cellStyle name="Calculation 3 4 2 6" xfId="1282"/>
    <cellStyle name="Calculation 3 4 3" xfId="1283"/>
    <cellStyle name="Calculation 3 4 3 2" xfId="1284"/>
    <cellStyle name="Calculation 3 4 3 2 2" xfId="1285"/>
    <cellStyle name="Calculation 3 4 3 2 2 2" xfId="1286"/>
    <cellStyle name="Calculation 3 4 3 2 2 2 2" xfId="1287"/>
    <cellStyle name="Calculation 3 4 3 2 2 3" xfId="1288"/>
    <cellStyle name="Calculation 3 4 3 2 3" xfId="1289"/>
    <cellStyle name="Calculation 3 4 3 2 3 2" xfId="1290"/>
    <cellStyle name="Calculation 3 4 3 2 4" xfId="1291"/>
    <cellStyle name="Calculation 3 4 3 3" xfId="1292"/>
    <cellStyle name="Calculation 3 4 3 3 2" xfId="1293"/>
    <cellStyle name="Calculation 3 4 3 3 2 2" xfId="1294"/>
    <cellStyle name="Calculation 3 4 3 3 3" xfId="1295"/>
    <cellStyle name="Calculation 3 4 3 3 4" xfId="1296"/>
    <cellStyle name="Calculation 3 4 3 4" xfId="1297"/>
    <cellStyle name="Calculation 3 4 3 4 2" xfId="1298"/>
    <cellStyle name="Calculation 3 4 3 4 2 2" xfId="1299"/>
    <cellStyle name="Calculation 3 4 3 4 3" xfId="1300"/>
    <cellStyle name="Calculation 3 4 3 5" xfId="1301"/>
    <cellStyle name="Calculation 3 4 3 5 2" xfId="1302"/>
    <cellStyle name="Calculation 3 4 3 6" xfId="1303"/>
    <cellStyle name="Calculation 3 4 4" xfId="1304"/>
    <cellStyle name="Calculation 3 4 4 2" xfId="1305"/>
    <cellStyle name="Calculation 3 4 4 2 2" xfId="1306"/>
    <cellStyle name="Calculation 3 4 4 2 2 2" xfId="1307"/>
    <cellStyle name="Calculation 3 4 4 2 3" xfId="1308"/>
    <cellStyle name="Calculation 3 4 4 3" xfId="1309"/>
    <cellStyle name="Calculation 3 4 4 3 2" xfId="1310"/>
    <cellStyle name="Calculation 3 4 4 4" xfId="1311"/>
    <cellStyle name="Calculation 3 4 5" xfId="1312"/>
    <cellStyle name="Calculation 3 4 5 2" xfId="1313"/>
    <cellStyle name="Calculation 3 4 5 2 2" xfId="1314"/>
    <cellStyle name="Calculation 3 4 5 3" xfId="1315"/>
    <cellStyle name="Calculation 3 4 5 4" xfId="1316"/>
    <cellStyle name="Calculation 3 4 6" xfId="1317"/>
    <cellStyle name="Calculation 3 4 6 2" xfId="1318"/>
    <cellStyle name="Calculation 3 4 6 2 2" xfId="1319"/>
    <cellStyle name="Calculation 3 4 6 3" xfId="1320"/>
    <cellStyle name="Calculation 3 4 7" xfId="1321"/>
    <cellStyle name="Calculation 3 4 7 2" xfId="1322"/>
    <cellStyle name="Calculation 3 4 8" xfId="1323"/>
    <cellStyle name="Calculation 3 5" xfId="1324"/>
    <cellStyle name="Calculation 3 5 2" xfId="1325"/>
    <cellStyle name="Calculation 3 5 2 2" xfId="1326"/>
    <cellStyle name="Calculation 3 5 2 2 2" xfId="1327"/>
    <cellStyle name="Calculation 3 5 2 2 2 2" xfId="1328"/>
    <cellStyle name="Calculation 3 5 2 2 3" xfId="1329"/>
    <cellStyle name="Calculation 3 5 2 3" xfId="1330"/>
    <cellStyle name="Calculation 3 5 2 3 2" xfId="1331"/>
    <cellStyle name="Calculation 3 5 2 4" xfId="1332"/>
    <cellStyle name="Calculation 3 5 3" xfId="1333"/>
    <cellStyle name="Calculation 3 5 3 2" xfId="1334"/>
    <cellStyle name="Calculation 3 5 3 2 2" xfId="1335"/>
    <cellStyle name="Calculation 3 5 3 3" xfId="1336"/>
    <cellStyle name="Calculation 3 5 3 4" xfId="1337"/>
    <cellStyle name="Calculation 3 5 4" xfId="1338"/>
    <cellStyle name="Calculation 3 5 4 2" xfId="1339"/>
    <cellStyle name="Calculation 3 5 4 2 2" xfId="1340"/>
    <cellStyle name="Calculation 3 5 4 3" xfId="1341"/>
    <cellStyle name="Calculation 3 5 5" xfId="1342"/>
    <cellStyle name="Calculation 3 5 5 2" xfId="1343"/>
    <cellStyle name="Calculation 3 5 6" xfId="1344"/>
    <cellStyle name="Calculation 4" xfId="1345"/>
    <cellStyle name="Calculation 4 2" xfId="1346"/>
    <cellStyle name="Calculation 4 2 2" xfId="1347"/>
    <cellStyle name="Calculation 4 2 2 2" xfId="1348"/>
    <cellStyle name="Calculation 4 2 2 2 2" xfId="1349"/>
    <cellStyle name="Calculation 4 2 2 2 2 2" xfId="1350"/>
    <cellStyle name="Calculation 4 2 2 2 2 2 2" xfId="1351"/>
    <cellStyle name="Calculation 4 2 2 2 2 3" xfId="1352"/>
    <cellStyle name="Calculation 4 2 2 2 3" xfId="1353"/>
    <cellStyle name="Calculation 4 2 2 2 3 2" xfId="1354"/>
    <cellStyle name="Calculation 4 2 2 2 4" xfId="1355"/>
    <cellStyle name="Calculation 4 2 2 3" xfId="1356"/>
    <cellStyle name="Calculation 4 2 2 3 2" xfId="1357"/>
    <cellStyle name="Calculation 4 2 2 3 2 2" xfId="1358"/>
    <cellStyle name="Calculation 4 2 2 3 3" xfId="1359"/>
    <cellStyle name="Calculation 4 2 2 3 4" xfId="1360"/>
    <cellStyle name="Calculation 4 2 2 4" xfId="1361"/>
    <cellStyle name="Calculation 4 2 2 4 2" xfId="1362"/>
    <cellStyle name="Calculation 4 2 2 4 2 2" xfId="1363"/>
    <cellStyle name="Calculation 4 2 2 4 3" xfId="1364"/>
    <cellStyle name="Calculation 4 2 2 5" xfId="1365"/>
    <cellStyle name="Calculation 4 2 2 5 2" xfId="1366"/>
    <cellStyle name="Calculation 4 2 2 6" xfId="1367"/>
    <cellStyle name="Calculation 4 2 3" xfId="1368"/>
    <cellStyle name="Calculation 4 2 3 2" xfId="1369"/>
    <cellStyle name="Calculation 4 2 3 2 2" xfId="1370"/>
    <cellStyle name="Calculation 4 2 3 2 2 2" xfId="1371"/>
    <cellStyle name="Calculation 4 2 3 2 2 2 2" xfId="1372"/>
    <cellStyle name="Calculation 4 2 3 2 2 3" xfId="1373"/>
    <cellStyle name="Calculation 4 2 3 2 3" xfId="1374"/>
    <cellStyle name="Calculation 4 2 3 2 3 2" xfId="1375"/>
    <cellStyle name="Calculation 4 2 3 2 4" xfId="1376"/>
    <cellStyle name="Calculation 4 2 3 3" xfId="1377"/>
    <cellStyle name="Calculation 4 2 3 3 2" xfId="1378"/>
    <cellStyle name="Calculation 4 2 3 3 2 2" xfId="1379"/>
    <cellStyle name="Calculation 4 2 3 3 3" xfId="1380"/>
    <cellStyle name="Calculation 4 2 3 3 4" xfId="1381"/>
    <cellStyle name="Calculation 4 2 3 4" xfId="1382"/>
    <cellStyle name="Calculation 4 2 3 4 2" xfId="1383"/>
    <cellStyle name="Calculation 4 2 3 4 2 2" xfId="1384"/>
    <cellStyle name="Calculation 4 2 3 4 3" xfId="1385"/>
    <cellStyle name="Calculation 4 2 3 5" xfId="1386"/>
    <cellStyle name="Calculation 4 2 3 5 2" xfId="1387"/>
    <cellStyle name="Calculation 4 2 3 6" xfId="1388"/>
    <cellStyle name="Calculation 4 2 4" xfId="1389"/>
    <cellStyle name="Calculation 4 2 4 2" xfId="1390"/>
    <cellStyle name="Calculation 4 2 4 2 2" xfId="1391"/>
    <cellStyle name="Calculation 4 2 4 2 2 2" xfId="1392"/>
    <cellStyle name="Calculation 4 2 4 2 2 2 2" xfId="1393"/>
    <cellStyle name="Calculation 4 2 4 2 2 3" xfId="1394"/>
    <cellStyle name="Calculation 4 2 4 2 3" xfId="1395"/>
    <cellStyle name="Calculation 4 2 4 2 3 2" xfId="1396"/>
    <cellStyle name="Calculation 4 2 4 2 4" xfId="1397"/>
    <cellStyle name="Calculation 4 2 4 3" xfId="1398"/>
    <cellStyle name="Calculation 4 2 4 3 2" xfId="1399"/>
    <cellStyle name="Calculation 4 2 4 3 2 2" xfId="1400"/>
    <cellStyle name="Calculation 4 2 4 3 3" xfId="1401"/>
    <cellStyle name="Calculation 4 2 4 3 4" xfId="1402"/>
    <cellStyle name="Calculation 4 2 4 4" xfId="1403"/>
    <cellStyle name="Calculation 4 2 4 4 2" xfId="1404"/>
    <cellStyle name="Calculation 4 2 4 4 2 2" xfId="1405"/>
    <cellStyle name="Calculation 4 2 4 4 3" xfId="1406"/>
    <cellStyle name="Calculation 4 2 4 5" xfId="1407"/>
    <cellStyle name="Calculation 4 2 4 5 2" xfId="1408"/>
    <cellStyle name="Calculation 4 2 4 6" xfId="1409"/>
    <cellStyle name="Calculation 4 2 5" xfId="1410"/>
    <cellStyle name="Calculation 4 2 5 2" xfId="1411"/>
    <cellStyle name="Calculation 4 3" xfId="1412"/>
    <cellStyle name="Calculation 4 3 2" xfId="1413"/>
    <cellStyle name="Calculation 4 3 2 2" xfId="1414"/>
    <cellStyle name="Calculation 4 3 2 2 2" xfId="1415"/>
    <cellStyle name="Calculation 4 3 2 2 2 2" xfId="1416"/>
    <cellStyle name="Calculation 4 3 2 2 2 2 2" xfId="1417"/>
    <cellStyle name="Calculation 4 3 2 2 2 3" xfId="1418"/>
    <cellStyle name="Calculation 4 3 2 2 3" xfId="1419"/>
    <cellStyle name="Calculation 4 3 2 2 3 2" xfId="1420"/>
    <cellStyle name="Calculation 4 3 2 2 4" xfId="1421"/>
    <cellStyle name="Calculation 4 3 2 3" xfId="1422"/>
    <cellStyle name="Calculation 4 3 2 3 2" xfId="1423"/>
    <cellStyle name="Calculation 4 3 2 3 2 2" xfId="1424"/>
    <cellStyle name="Calculation 4 3 2 3 3" xfId="1425"/>
    <cellStyle name="Calculation 4 3 2 3 4" xfId="1426"/>
    <cellStyle name="Calculation 4 3 2 4" xfId="1427"/>
    <cellStyle name="Calculation 4 3 2 4 2" xfId="1428"/>
    <cellStyle name="Calculation 4 3 2 4 2 2" xfId="1429"/>
    <cellStyle name="Calculation 4 3 2 4 3" xfId="1430"/>
    <cellStyle name="Calculation 4 3 2 5" xfId="1431"/>
    <cellStyle name="Calculation 4 3 2 5 2" xfId="1432"/>
    <cellStyle name="Calculation 4 3 2 6" xfId="1433"/>
    <cellStyle name="Calculation 4 3 3" xfId="1434"/>
    <cellStyle name="Calculation 4 3 3 2" xfId="1435"/>
    <cellStyle name="Calculation 4 3 3 2 2" xfId="1436"/>
    <cellStyle name="Calculation 4 3 3 2 2 2" xfId="1437"/>
    <cellStyle name="Calculation 4 3 3 2 2 2 2" xfId="1438"/>
    <cellStyle name="Calculation 4 3 3 2 2 3" xfId="1439"/>
    <cellStyle name="Calculation 4 3 3 2 3" xfId="1440"/>
    <cellStyle name="Calculation 4 3 3 2 3 2" xfId="1441"/>
    <cellStyle name="Calculation 4 3 3 2 4" xfId="1442"/>
    <cellStyle name="Calculation 4 3 3 3" xfId="1443"/>
    <cellStyle name="Calculation 4 3 3 3 2" xfId="1444"/>
    <cellStyle name="Calculation 4 3 3 3 2 2" xfId="1445"/>
    <cellStyle name="Calculation 4 3 3 3 3" xfId="1446"/>
    <cellStyle name="Calculation 4 3 3 3 4" xfId="1447"/>
    <cellStyle name="Calculation 4 3 3 4" xfId="1448"/>
    <cellStyle name="Calculation 4 3 3 4 2" xfId="1449"/>
    <cellStyle name="Calculation 4 3 3 4 2 2" xfId="1450"/>
    <cellStyle name="Calculation 4 3 3 4 3" xfId="1451"/>
    <cellStyle name="Calculation 4 3 3 5" xfId="1452"/>
    <cellStyle name="Calculation 4 3 3 5 2" xfId="1453"/>
    <cellStyle name="Calculation 4 3 3 6" xfId="1454"/>
    <cellStyle name="Calculation 4 3 4" xfId="1455"/>
    <cellStyle name="Calculation 4 3 4 2" xfId="1456"/>
    <cellStyle name="Calculation 4 3 4 2 2" xfId="1457"/>
    <cellStyle name="Calculation 4 3 4 2 2 2" xfId="1458"/>
    <cellStyle name="Calculation 4 3 4 2 3" xfId="1459"/>
    <cellStyle name="Calculation 4 3 4 3" xfId="1460"/>
    <cellStyle name="Calculation 4 3 4 3 2" xfId="1461"/>
    <cellStyle name="Calculation 4 3 4 4" xfId="1462"/>
    <cellStyle name="Calculation 4 3 5" xfId="1463"/>
    <cellStyle name="Calculation 4 3 5 2" xfId="1464"/>
    <cellStyle name="Calculation 4 3 5 2 2" xfId="1465"/>
    <cellStyle name="Calculation 4 3 5 3" xfId="1466"/>
    <cellStyle name="Calculation 4 3 5 4" xfId="1467"/>
    <cellStyle name="Calculation 4 3 6" xfId="1468"/>
    <cellStyle name="Calculation 4 3 6 2" xfId="1469"/>
    <cellStyle name="Calculation 4 3 6 2 2" xfId="1470"/>
    <cellStyle name="Calculation 4 3 6 3" xfId="1471"/>
    <cellStyle name="Calculation 4 3 7" xfId="1472"/>
    <cellStyle name="Calculation 4 3 7 2" xfId="1473"/>
    <cellStyle name="Calculation 4 3 8" xfId="1474"/>
    <cellStyle name="Calculation 4 4" xfId="1475"/>
    <cellStyle name="Calculation 4 4 2" xfId="1476"/>
    <cellStyle name="Calculation 4 4 2 2" xfId="1477"/>
    <cellStyle name="Calculation 4 4 2 2 2" xfId="1478"/>
    <cellStyle name="Calculation 4 4 2 2 2 2" xfId="1479"/>
    <cellStyle name="Calculation 4 4 2 2 3" xfId="1480"/>
    <cellStyle name="Calculation 4 4 2 3" xfId="1481"/>
    <cellStyle name="Calculation 4 4 2 3 2" xfId="1482"/>
    <cellStyle name="Calculation 4 4 2 4" xfId="1483"/>
    <cellStyle name="Calculation 4 4 3" xfId="1484"/>
    <cellStyle name="Calculation 4 4 3 2" xfId="1485"/>
    <cellStyle name="Calculation 4 4 3 2 2" xfId="1486"/>
    <cellStyle name="Calculation 4 4 3 3" xfId="1487"/>
    <cellStyle name="Calculation 4 4 3 4" xfId="1488"/>
    <cellStyle name="Calculation 4 4 4" xfId="1489"/>
    <cellStyle name="Calculation 4 4 4 2" xfId="1490"/>
    <cellStyle name="Calculation 4 4 4 2 2" xfId="1491"/>
    <cellStyle name="Calculation 4 4 4 3" xfId="1492"/>
    <cellStyle name="Calculation 4 4 5" xfId="1493"/>
    <cellStyle name="Calculation 4 4 5 2" xfId="1494"/>
    <cellStyle name="Calculation 4 4 6" xfId="1495"/>
    <cellStyle name="Calculation 5" xfId="1496"/>
    <cellStyle name="Calculation 5 2" xfId="1497"/>
    <cellStyle name="Calculation 5 2 2" xfId="1498"/>
    <cellStyle name="Calculation 5 2 2 2" xfId="1499"/>
    <cellStyle name="Calculation 5 2 2 2 2" xfId="1500"/>
    <cellStyle name="Calculation 5 2 2 2 2 2" xfId="1501"/>
    <cellStyle name="Calculation 5 2 2 2 2 2 2" xfId="1502"/>
    <cellStyle name="Calculation 5 2 2 2 2 3" xfId="1503"/>
    <cellStyle name="Calculation 5 2 2 2 3" xfId="1504"/>
    <cellStyle name="Calculation 5 2 2 2 3 2" xfId="1505"/>
    <cellStyle name="Calculation 5 2 2 2 4" xfId="1506"/>
    <cellStyle name="Calculation 5 2 2 3" xfId="1507"/>
    <cellStyle name="Calculation 5 2 2 3 2" xfId="1508"/>
    <cellStyle name="Calculation 5 2 2 3 2 2" xfId="1509"/>
    <cellStyle name="Calculation 5 2 2 3 3" xfId="1510"/>
    <cellStyle name="Calculation 5 2 2 3 4" xfId="1511"/>
    <cellStyle name="Calculation 5 2 2 4" xfId="1512"/>
    <cellStyle name="Calculation 5 2 2 4 2" xfId="1513"/>
    <cellStyle name="Calculation 5 2 2 4 2 2" xfId="1514"/>
    <cellStyle name="Calculation 5 2 2 4 3" xfId="1515"/>
    <cellStyle name="Calculation 5 2 2 5" xfId="1516"/>
    <cellStyle name="Calculation 5 2 2 5 2" xfId="1517"/>
    <cellStyle name="Calculation 5 2 2 6" xfId="1518"/>
    <cellStyle name="Calculation 5 2 3" xfId="1519"/>
    <cellStyle name="Calculation 5 2 3 2" xfId="1520"/>
    <cellStyle name="Calculation 5 2 3 2 2" xfId="1521"/>
    <cellStyle name="Calculation 5 2 3 2 2 2" xfId="1522"/>
    <cellStyle name="Calculation 5 2 3 2 2 2 2" xfId="1523"/>
    <cellStyle name="Calculation 5 2 3 2 2 3" xfId="1524"/>
    <cellStyle name="Calculation 5 2 3 2 3" xfId="1525"/>
    <cellStyle name="Calculation 5 2 3 2 3 2" xfId="1526"/>
    <cellStyle name="Calculation 5 2 3 2 4" xfId="1527"/>
    <cellStyle name="Calculation 5 2 3 3" xfId="1528"/>
    <cellStyle name="Calculation 5 2 3 3 2" xfId="1529"/>
    <cellStyle name="Calculation 5 2 3 3 2 2" xfId="1530"/>
    <cellStyle name="Calculation 5 2 3 3 3" xfId="1531"/>
    <cellStyle name="Calculation 5 2 3 3 4" xfId="1532"/>
    <cellStyle name="Calculation 5 2 3 4" xfId="1533"/>
    <cellStyle name="Calculation 5 2 3 4 2" xfId="1534"/>
    <cellStyle name="Calculation 5 2 3 4 2 2" xfId="1535"/>
    <cellStyle name="Calculation 5 2 3 4 3" xfId="1536"/>
    <cellStyle name="Calculation 5 2 3 5" xfId="1537"/>
    <cellStyle name="Calculation 5 2 3 5 2" xfId="1538"/>
    <cellStyle name="Calculation 5 2 3 6" xfId="1539"/>
    <cellStyle name="Calculation 5 2 4" xfId="1540"/>
    <cellStyle name="Calculation 5 2 4 2" xfId="1541"/>
    <cellStyle name="Calculation 5 2 4 2 2" xfId="1542"/>
    <cellStyle name="Calculation 5 2 4 2 2 2" xfId="1543"/>
    <cellStyle name="Calculation 5 2 4 2 2 2 2" xfId="1544"/>
    <cellStyle name="Calculation 5 2 4 2 2 3" xfId="1545"/>
    <cellStyle name="Calculation 5 2 4 2 3" xfId="1546"/>
    <cellStyle name="Calculation 5 2 4 2 3 2" xfId="1547"/>
    <cellStyle name="Calculation 5 2 4 2 4" xfId="1548"/>
    <cellStyle name="Calculation 5 2 4 3" xfId="1549"/>
    <cellStyle name="Calculation 5 2 4 3 2" xfId="1550"/>
    <cellStyle name="Calculation 5 2 4 3 2 2" xfId="1551"/>
    <cellStyle name="Calculation 5 2 4 3 3" xfId="1552"/>
    <cellStyle name="Calculation 5 2 4 3 4" xfId="1553"/>
    <cellStyle name="Calculation 5 2 4 4" xfId="1554"/>
    <cellStyle name="Calculation 5 2 4 4 2" xfId="1555"/>
    <cellStyle name="Calculation 5 2 4 4 2 2" xfId="1556"/>
    <cellStyle name="Calculation 5 2 4 4 3" xfId="1557"/>
    <cellStyle name="Calculation 5 2 4 5" xfId="1558"/>
    <cellStyle name="Calculation 5 2 4 5 2" xfId="1559"/>
    <cellStyle name="Calculation 5 2 4 6" xfId="1560"/>
    <cellStyle name="Calculation 5 2 5" xfId="1561"/>
    <cellStyle name="Calculation 5 2 5 2" xfId="1562"/>
    <cellStyle name="Calculation 5 3" xfId="1563"/>
    <cellStyle name="Calculation 5 3 2" xfId="1564"/>
    <cellStyle name="Calculation 5 3 2 2" xfId="1565"/>
    <cellStyle name="Calculation 5 3 2 2 2" xfId="1566"/>
    <cellStyle name="Calculation 5 3 2 2 2 2" xfId="1567"/>
    <cellStyle name="Calculation 5 3 2 2 2 2 2" xfId="1568"/>
    <cellStyle name="Calculation 5 3 2 2 2 3" xfId="1569"/>
    <cellStyle name="Calculation 5 3 2 2 3" xfId="1570"/>
    <cellStyle name="Calculation 5 3 2 2 3 2" xfId="1571"/>
    <cellStyle name="Calculation 5 3 2 2 4" xfId="1572"/>
    <cellStyle name="Calculation 5 3 2 3" xfId="1573"/>
    <cellStyle name="Calculation 5 3 2 3 2" xfId="1574"/>
    <cellStyle name="Calculation 5 3 2 3 2 2" xfId="1575"/>
    <cellStyle name="Calculation 5 3 2 3 3" xfId="1576"/>
    <cellStyle name="Calculation 5 3 2 3 4" xfId="1577"/>
    <cellStyle name="Calculation 5 3 2 4" xfId="1578"/>
    <cellStyle name="Calculation 5 3 2 4 2" xfId="1579"/>
    <cellStyle name="Calculation 5 3 2 4 2 2" xfId="1580"/>
    <cellStyle name="Calculation 5 3 2 4 3" xfId="1581"/>
    <cellStyle name="Calculation 5 3 2 5" xfId="1582"/>
    <cellStyle name="Calculation 5 3 2 5 2" xfId="1583"/>
    <cellStyle name="Calculation 5 3 2 6" xfId="1584"/>
    <cellStyle name="Calculation 5 3 3" xfId="1585"/>
    <cellStyle name="Calculation 5 3 3 2" xfId="1586"/>
    <cellStyle name="Calculation 5 3 3 2 2" xfId="1587"/>
    <cellStyle name="Calculation 5 3 3 2 2 2" xfId="1588"/>
    <cellStyle name="Calculation 5 3 3 2 2 2 2" xfId="1589"/>
    <cellStyle name="Calculation 5 3 3 2 2 3" xfId="1590"/>
    <cellStyle name="Calculation 5 3 3 2 3" xfId="1591"/>
    <cellStyle name="Calculation 5 3 3 2 3 2" xfId="1592"/>
    <cellStyle name="Calculation 5 3 3 2 4" xfId="1593"/>
    <cellStyle name="Calculation 5 3 3 3" xfId="1594"/>
    <cellStyle name="Calculation 5 3 3 3 2" xfId="1595"/>
    <cellStyle name="Calculation 5 3 3 3 2 2" xfId="1596"/>
    <cellStyle name="Calculation 5 3 3 3 3" xfId="1597"/>
    <cellStyle name="Calculation 5 3 3 3 4" xfId="1598"/>
    <cellStyle name="Calculation 5 3 3 4" xfId="1599"/>
    <cellStyle name="Calculation 5 3 3 4 2" xfId="1600"/>
    <cellStyle name="Calculation 5 3 3 4 2 2" xfId="1601"/>
    <cellStyle name="Calculation 5 3 3 4 3" xfId="1602"/>
    <cellStyle name="Calculation 5 3 3 5" xfId="1603"/>
    <cellStyle name="Calculation 5 3 3 5 2" xfId="1604"/>
    <cellStyle name="Calculation 5 3 3 6" xfId="1605"/>
    <cellStyle name="Calculation 5 3 4" xfId="1606"/>
    <cellStyle name="Calculation 5 3 4 2" xfId="1607"/>
    <cellStyle name="Calculation 5 3 4 2 2" xfId="1608"/>
    <cellStyle name="Calculation 5 3 4 2 2 2" xfId="1609"/>
    <cellStyle name="Calculation 5 3 4 2 3" xfId="1610"/>
    <cellStyle name="Calculation 5 3 4 3" xfId="1611"/>
    <cellStyle name="Calculation 5 3 4 3 2" xfId="1612"/>
    <cellStyle name="Calculation 5 3 4 4" xfId="1613"/>
    <cellStyle name="Calculation 5 3 5" xfId="1614"/>
    <cellStyle name="Calculation 5 3 5 2" xfId="1615"/>
    <cellStyle name="Calculation 5 3 5 2 2" xfId="1616"/>
    <cellStyle name="Calculation 5 3 5 3" xfId="1617"/>
    <cellStyle name="Calculation 5 3 5 4" xfId="1618"/>
    <cellStyle name="Calculation 5 3 6" xfId="1619"/>
    <cellStyle name="Calculation 5 3 6 2" xfId="1620"/>
    <cellStyle name="Calculation 5 3 6 2 2" xfId="1621"/>
    <cellStyle name="Calculation 5 3 6 3" xfId="1622"/>
    <cellStyle name="Calculation 5 3 7" xfId="1623"/>
    <cellStyle name="Calculation 5 3 7 2" xfId="1624"/>
    <cellStyle name="Calculation 5 3 8" xfId="1625"/>
    <cellStyle name="Calculation 5 4" xfId="1626"/>
    <cellStyle name="Calculation 5 4 2" xfId="1627"/>
    <cellStyle name="Calculation 5 4 2 2" xfId="1628"/>
    <cellStyle name="Calculation 5 4 2 2 2" xfId="1629"/>
    <cellStyle name="Calculation 5 4 2 2 2 2" xfId="1630"/>
    <cellStyle name="Calculation 5 4 2 2 3" xfId="1631"/>
    <cellStyle name="Calculation 5 4 2 3" xfId="1632"/>
    <cellStyle name="Calculation 5 4 2 3 2" xfId="1633"/>
    <cellStyle name="Calculation 5 4 2 4" xfId="1634"/>
    <cellStyle name="Calculation 5 4 3" xfId="1635"/>
    <cellStyle name="Calculation 5 4 3 2" xfId="1636"/>
    <cellStyle name="Calculation 5 4 3 2 2" xfId="1637"/>
    <cellStyle name="Calculation 5 4 3 3" xfId="1638"/>
    <cellStyle name="Calculation 5 4 3 4" xfId="1639"/>
    <cellStyle name="Calculation 5 4 4" xfId="1640"/>
    <cellStyle name="Calculation 5 4 4 2" xfId="1641"/>
    <cellStyle name="Calculation 5 4 4 2 2" xfId="1642"/>
    <cellStyle name="Calculation 5 4 4 3" xfId="1643"/>
    <cellStyle name="Calculation 5 4 5" xfId="1644"/>
    <cellStyle name="Calculation 5 4 5 2" xfId="1645"/>
    <cellStyle name="Calculation 5 4 6" xfId="1646"/>
    <cellStyle name="Calculation 6" xfId="1647"/>
    <cellStyle name="Calculation 6 2" xfId="1648"/>
    <cellStyle name="Calculation 6 2 2" xfId="1649"/>
    <cellStyle name="Calculation 6 2 2 2" xfId="1650"/>
    <cellStyle name="Calculation 6 2 2 2 2" xfId="1651"/>
    <cellStyle name="Calculation 6 2 2 2 2 2" xfId="1652"/>
    <cellStyle name="Calculation 6 2 2 2 2 2 2" xfId="1653"/>
    <cellStyle name="Calculation 6 2 2 2 2 3" xfId="1654"/>
    <cellStyle name="Calculation 6 2 2 2 3" xfId="1655"/>
    <cellStyle name="Calculation 6 2 2 2 3 2" xfId="1656"/>
    <cellStyle name="Calculation 6 2 2 2 4" xfId="1657"/>
    <cellStyle name="Calculation 6 2 2 3" xfId="1658"/>
    <cellStyle name="Calculation 6 2 2 3 2" xfId="1659"/>
    <cellStyle name="Calculation 6 2 2 3 2 2" xfId="1660"/>
    <cellStyle name="Calculation 6 2 2 3 3" xfId="1661"/>
    <cellStyle name="Calculation 6 2 2 3 4" xfId="1662"/>
    <cellStyle name="Calculation 6 2 2 4" xfId="1663"/>
    <cellStyle name="Calculation 6 2 2 4 2" xfId="1664"/>
    <cellStyle name="Calculation 6 2 2 4 2 2" xfId="1665"/>
    <cellStyle name="Calculation 6 2 2 4 3" xfId="1666"/>
    <cellStyle name="Calculation 6 2 2 5" xfId="1667"/>
    <cellStyle name="Calculation 6 2 2 5 2" xfId="1668"/>
    <cellStyle name="Calculation 6 2 2 6" xfId="1669"/>
    <cellStyle name="Calculation 6 2 3" xfId="1670"/>
    <cellStyle name="Calculation 6 2 3 2" xfId="1671"/>
    <cellStyle name="Calculation 6 2 3 2 2" xfId="1672"/>
    <cellStyle name="Calculation 6 2 3 2 2 2" xfId="1673"/>
    <cellStyle name="Calculation 6 2 3 2 2 2 2" xfId="1674"/>
    <cellStyle name="Calculation 6 2 3 2 2 3" xfId="1675"/>
    <cellStyle name="Calculation 6 2 3 2 3" xfId="1676"/>
    <cellStyle name="Calculation 6 2 3 2 3 2" xfId="1677"/>
    <cellStyle name="Calculation 6 2 3 2 4" xfId="1678"/>
    <cellStyle name="Calculation 6 2 3 3" xfId="1679"/>
    <cellStyle name="Calculation 6 2 3 3 2" xfId="1680"/>
    <cellStyle name="Calculation 6 2 3 3 2 2" xfId="1681"/>
    <cellStyle name="Calculation 6 2 3 3 3" xfId="1682"/>
    <cellStyle name="Calculation 6 2 3 3 4" xfId="1683"/>
    <cellStyle name="Calculation 6 2 3 4" xfId="1684"/>
    <cellStyle name="Calculation 6 2 3 4 2" xfId="1685"/>
    <cellStyle name="Calculation 6 2 3 4 2 2" xfId="1686"/>
    <cellStyle name="Calculation 6 2 3 4 3" xfId="1687"/>
    <cellStyle name="Calculation 6 2 3 5" xfId="1688"/>
    <cellStyle name="Calculation 6 2 3 5 2" xfId="1689"/>
    <cellStyle name="Calculation 6 2 3 6" xfId="1690"/>
    <cellStyle name="Calculation 6 2 4" xfId="1691"/>
    <cellStyle name="Calculation 6 2 4 2" xfId="1692"/>
    <cellStyle name="Calculation 6 2 4 2 2" xfId="1693"/>
    <cellStyle name="Calculation 6 2 4 2 2 2" xfId="1694"/>
    <cellStyle name="Calculation 6 2 4 2 3" xfId="1695"/>
    <cellStyle name="Calculation 6 2 4 3" xfId="1696"/>
    <cellStyle name="Calculation 6 2 4 3 2" xfId="1697"/>
    <cellStyle name="Calculation 6 2 4 4" xfId="1698"/>
    <cellStyle name="Calculation 6 2 5" xfId="1699"/>
    <cellStyle name="Calculation 6 2 5 2" xfId="1700"/>
    <cellStyle name="Calculation 6 2 5 2 2" xfId="1701"/>
    <cellStyle name="Calculation 6 2 5 3" xfId="1702"/>
    <cellStyle name="Calculation 6 2 5 4" xfId="1703"/>
    <cellStyle name="Calculation 6 2 6" xfId="1704"/>
    <cellStyle name="Calculation 6 2 6 2" xfId="1705"/>
    <cellStyle name="Calculation 6 2 6 2 2" xfId="1706"/>
    <cellStyle name="Calculation 6 2 6 3" xfId="1707"/>
    <cellStyle name="Calculation 6 2 7" xfId="1708"/>
    <cellStyle name="Calculation 6 2 7 2" xfId="1709"/>
    <cellStyle name="Calculation 6 2 8" xfId="1710"/>
    <cellStyle name="Calculation 6 3" xfId="1711"/>
    <cellStyle name="Calculation 6 3 2" xfId="1712"/>
    <cellStyle name="Calculation 6 3 2 2" xfId="1713"/>
    <cellStyle name="Calculation 6 3 2 2 2" xfId="1714"/>
    <cellStyle name="Calculation 6 3 2 2 2 2" xfId="1715"/>
    <cellStyle name="Calculation 6 3 2 2 3" xfId="1716"/>
    <cellStyle name="Calculation 6 3 2 3" xfId="1717"/>
    <cellStyle name="Calculation 6 3 2 3 2" xfId="1718"/>
    <cellStyle name="Calculation 6 3 2 4" xfId="1719"/>
    <cellStyle name="Calculation 6 3 3" xfId="1720"/>
    <cellStyle name="Calculation 6 3 3 2" xfId="1721"/>
    <cellStyle name="Calculation 6 3 3 2 2" xfId="1722"/>
    <cellStyle name="Calculation 6 3 3 3" xfId="1723"/>
    <cellStyle name="Calculation 6 3 3 4" xfId="1724"/>
    <cellStyle name="Calculation 6 3 4" xfId="1725"/>
    <cellStyle name="Calculation 6 3 4 2" xfId="1726"/>
    <cellStyle name="Calculation 6 3 4 2 2" xfId="1727"/>
    <cellStyle name="Calculation 6 3 4 3" xfId="1728"/>
    <cellStyle name="Calculation 6 3 5" xfId="1729"/>
    <cellStyle name="Calculation 6 3 5 2" xfId="1730"/>
    <cellStyle name="Calculation 6 3 6" xfId="1731"/>
    <cellStyle name="Calculation 6 4" xfId="1732"/>
    <cellStyle name="Calculation 6 4 2" xfId="1733"/>
    <cellStyle name="Calculation 7" xfId="1734"/>
    <cellStyle name="Calculation 7 2" xfId="1735"/>
    <cellStyle name="Calculation 7 2 2" xfId="1736"/>
    <cellStyle name="Calculation 7 2 2 2" xfId="1737"/>
    <cellStyle name="Calculation 7 2 2 2 2" xfId="1738"/>
    <cellStyle name="Calculation 7 2 2 2 2 2" xfId="1739"/>
    <cellStyle name="Calculation 7 2 2 2 3" xfId="1740"/>
    <cellStyle name="Calculation 7 2 2 3" xfId="1741"/>
    <cellStyle name="Calculation 7 2 2 3 2" xfId="1742"/>
    <cellStyle name="Calculation 7 2 2 4" xfId="1743"/>
    <cellStyle name="Calculation 7 2 3" xfId="1744"/>
    <cellStyle name="Calculation 7 2 3 2" xfId="1745"/>
    <cellStyle name="Calculation 7 2 3 2 2" xfId="1746"/>
    <cellStyle name="Calculation 7 2 3 3" xfId="1747"/>
    <cellStyle name="Calculation 7 2 3 4" xfId="1748"/>
    <cellStyle name="Calculation 7 2 4" xfId="1749"/>
    <cellStyle name="Calculation 7 2 4 2" xfId="1750"/>
    <cellStyle name="Calculation 7 2 4 2 2" xfId="1751"/>
    <cellStyle name="Calculation 7 2 4 3" xfId="1752"/>
    <cellStyle name="Calculation 7 2 5" xfId="1753"/>
    <cellStyle name="Calculation 7 2 5 2" xfId="1754"/>
    <cellStyle name="Calculation 7 2 6" xfId="1755"/>
    <cellStyle name="Calculation 7 3" xfId="1756"/>
    <cellStyle name="Calculation 7 3 2" xfId="1757"/>
    <cellStyle name="Calculation 7 3 2 2" xfId="1758"/>
    <cellStyle name="Calculation 7 3 2 2 2" xfId="1759"/>
    <cellStyle name="Calculation 7 3 2 2 2 2" xfId="1760"/>
    <cellStyle name="Calculation 7 3 2 2 3" xfId="1761"/>
    <cellStyle name="Calculation 7 3 2 3" xfId="1762"/>
    <cellStyle name="Calculation 7 3 2 3 2" xfId="1763"/>
    <cellStyle name="Calculation 7 3 2 4" xfId="1764"/>
    <cellStyle name="Calculation 7 3 3" xfId="1765"/>
    <cellStyle name="Calculation 7 3 3 2" xfId="1766"/>
    <cellStyle name="Calculation 7 3 3 2 2" xfId="1767"/>
    <cellStyle name="Calculation 7 3 3 3" xfId="1768"/>
    <cellStyle name="Calculation 7 3 3 4" xfId="1769"/>
    <cellStyle name="Calculation 7 3 4" xfId="1770"/>
    <cellStyle name="Calculation 7 3 4 2" xfId="1771"/>
    <cellStyle name="Calculation 7 3 4 2 2" xfId="1772"/>
    <cellStyle name="Calculation 7 3 4 3" xfId="1773"/>
    <cellStyle name="Calculation 7 3 5" xfId="1774"/>
    <cellStyle name="Calculation 7 3 5 2" xfId="1775"/>
    <cellStyle name="Calculation 7 3 6" xfId="1776"/>
    <cellStyle name="Calculation 7 4" xfId="1777"/>
    <cellStyle name="Calculation 7 4 2" xfId="1778"/>
    <cellStyle name="Calculation 7 4 2 2" xfId="1779"/>
    <cellStyle name="Calculation 7 4 2 2 2" xfId="1780"/>
    <cellStyle name="Calculation 7 4 2 3" xfId="1781"/>
    <cellStyle name="Calculation 7 4 3" xfId="1782"/>
    <cellStyle name="Calculation 7 4 3 2" xfId="1783"/>
    <cellStyle name="Calculation 7 4 4" xfId="1784"/>
    <cellStyle name="Calculation 7 5" xfId="1785"/>
    <cellStyle name="Calculation 7 5 2" xfId="1786"/>
    <cellStyle name="Calculation 7 5 2 2" xfId="1787"/>
    <cellStyle name="Calculation 7 5 3" xfId="1788"/>
    <cellStyle name="Calculation 7 5 4" xfId="1789"/>
    <cellStyle name="Calculation 7 6" xfId="1790"/>
    <cellStyle name="Calculation 7 6 2" xfId="1791"/>
    <cellStyle name="Calculation 7 6 2 2" xfId="1792"/>
    <cellStyle name="Calculation 7 6 3" xfId="1793"/>
    <cellStyle name="Calculation 7 7" xfId="1794"/>
    <cellStyle name="Calculation 7 7 2" xfId="1795"/>
    <cellStyle name="Calculation 7 8" xfId="1796"/>
    <cellStyle name="Check Cell" xfId="7635" builtinId="23" customBuiltin="1"/>
    <cellStyle name="Check Cell 2" xfId="1797"/>
    <cellStyle name="Check Cell 2 2" xfId="1798"/>
    <cellStyle name="Check Cell 3" xfId="1799"/>
    <cellStyle name="Check Cell 4" xfId="1800"/>
    <cellStyle name="code" xfId="1801"/>
    <cellStyle name="Comma [0] 2" xfId="1802"/>
    <cellStyle name="Comma [0] 2 2" xfId="1803"/>
    <cellStyle name="Comma [0] 2 2 2" xfId="1804"/>
    <cellStyle name="Comma [0] 2 2 2 2" xfId="7361"/>
    <cellStyle name="Comma [0] 2 2 2 2 2" xfId="7925"/>
    <cellStyle name="Comma [0] 2 2 2 3" xfId="8285"/>
    <cellStyle name="Comma [0] 2 2 2 4" xfId="7669"/>
    <cellStyle name="Comma [0] 2 2 3" xfId="7360"/>
    <cellStyle name="Comma [0] 2 2 3 2" xfId="7924"/>
    <cellStyle name="Comma [0] 2 2 4" xfId="8190"/>
    <cellStyle name="Comma [0] 2 2 5" xfId="7668"/>
    <cellStyle name="Comma [0] 3" xfId="1805"/>
    <cellStyle name="Comma [0] 3 2" xfId="1806"/>
    <cellStyle name="Comma [0] 3 2 2" xfId="1807"/>
    <cellStyle name="Comma [0] 3 2 2 2" xfId="7363"/>
    <cellStyle name="Comma [0] 3 2 2 2 2" xfId="7927"/>
    <cellStyle name="Comma [0] 3 2 2 3" xfId="8286"/>
    <cellStyle name="Comma [0] 3 2 2 4" xfId="7671"/>
    <cellStyle name="Comma [0] 3 2 3" xfId="7362"/>
    <cellStyle name="Comma [0] 3 2 3 2" xfId="7926"/>
    <cellStyle name="Comma [0] 3 2 4" xfId="8191"/>
    <cellStyle name="Comma [0] 3 2 5" xfId="7670"/>
    <cellStyle name="Comma [0] 4" xfId="1808"/>
    <cellStyle name="Comma [0] 4 2" xfId="1809"/>
    <cellStyle name="Comma [0] 4 2 2" xfId="7365"/>
    <cellStyle name="Comma [0] 4 2 2 2" xfId="7929"/>
    <cellStyle name="Comma [0] 4 2 3" xfId="8282"/>
    <cellStyle name="Comma [0] 4 2 4" xfId="7673"/>
    <cellStyle name="Comma [0] 4 3" xfId="7364"/>
    <cellStyle name="Comma [0] 4 3 2" xfId="7928"/>
    <cellStyle name="Comma [0] 4 4" xfId="8188"/>
    <cellStyle name="Comma [0] 4 5" xfId="7672"/>
    <cellStyle name="Comma [0] 5" xfId="1"/>
    <cellStyle name="Comma [0] 5 2" xfId="7366"/>
    <cellStyle name="Comma [0] 5 2 2" xfId="7930"/>
    <cellStyle name="Comma [0] 5 3" xfId="8341"/>
    <cellStyle name="Comma [0] 5 4" xfId="7667"/>
    <cellStyle name="Comma 10" xfId="1810"/>
    <cellStyle name="Comma 10 2" xfId="1811"/>
    <cellStyle name="Comma 10 2 2" xfId="1812"/>
    <cellStyle name="Comma 10 2 2 2" xfId="1813"/>
    <cellStyle name="Comma 10 2 2 2 2" xfId="1814"/>
    <cellStyle name="Comma 10 2 2 2 2 2" xfId="7371"/>
    <cellStyle name="Comma 10 2 2 2 2 2 2" xfId="7935"/>
    <cellStyle name="Comma 10 2 2 2 2 3" xfId="8290"/>
    <cellStyle name="Comma 10 2 2 2 2 4" xfId="7678"/>
    <cellStyle name="Comma 10 2 2 2 3" xfId="7370"/>
    <cellStyle name="Comma 10 2 2 2 3 2" xfId="7934"/>
    <cellStyle name="Comma 10 2 2 2 4" xfId="8195"/>
    <cellStyle name="Comma 10 2 2 2 5" xfId="7677"/>
    <cellStyle name="Comma 10 2 2 3" xfId="1815"/>
    <cellStyle name="Comma 10 2 2 3 2" xfId="7372"/>
    <cellStyle name="Comma 10 2 2 3 2 2" xfId="7936"/>
    <cellStyle name="Comma 10 2 2 3 3" xfId="8289"/>
    <cellStyle name="Comma 10 2 2 3 4" xfId="7679"/>
    <cellStyle name="Comma 10 2 2 4" xfId="7369"/>
    <cellStyle name="Comma 10 2 2 4 2" xfId="7933"/>
    <cellStyle name="Comma 10 2 2 5" xfId="8194"/>
    <cellStyle name="Comma 10 2 2 6" xfId="7676"/>
    <cellStyle name="Comma 10 2 3" xfId="1816"/>
    <cellStyle name="Comma 10 2 3 2" xfId="1817"/>
    <cellStyle name="Comma 10 2 3 2 2" xfId="7374"/>
    <cellStyle name="Comma 10 2 3 2 2 2" xfId="7938"/>
    <cellStyle name="Comma 10 2 3 2 3" xfId="8291"/>
    <cellStyle name="Comma 10 2 3 2 4" xfId="7681"/>
    <cellStyle name="Comma 10 2 3 3" xfId="7373"/>
    <cellStyle name="Comma 10 2 3 3 2" xfId="7937"/>
    <cellStyle name="Comma 10 2 3 4" xfId="8196"/>
    <cellStyle name="Comma 10 2 3 5" xfId="7680"/>
    <cellStyle name="Comma 10 2 4" xfId="1818"/>
    <cellStyle name="Comma 10 2 4 2" xfId="7375"/>
    <cellStyle name="Comma 10 2 4 2 2" xfId="7939"/>
    <cellStyle name="Comma 10 2 4 3" xfId="8288"/>
    <cellStyle name="Comma 10 2 4 4" xfId="7682"/>
    <cellStyle name="Comma 10 2 5" xfId="7368"/>
    <cellStyle name="Comma 10 2 5 2" xfId="7932"/>
    <cellStyle name="Comma 10 2 6" xfId="8193"/>
    <cellStyle name="Comma 10 2 7" xfId="7675"/>
    <cellStyle name="Comma 10 3" xfId="1819"/>
    <cellStyle name="Comma 10 3 2" xfId="1820"/>
    <cellStyle name="Comma 10 3 2 2" xfId="1821"/>
    <cellStyle name="Comma 10 3 2 2 2" xfId="7378"/>
    <cellStyle name="Comma 10 3 2 2 2 2" xfId="7942"/>
    <cellStyle name="Comma 10 3 2 2 3" xfId="8293"/>
    <cellStyle name="Comma 10 3 2 2 4" xfId="7685"/>
    <cellStyle name="Comma 10 3 2 3" xfId="7377"/>
    <cellStyle name="Comma 10 3 2 3 2" xfId="7941"/>
    <cellStyle name="Comma 10 3 2 4" xfId="8198"/>
    <cellStyle name="Comma 10 3 2 5" xfId="7684"/>
    <cellStyle name="Comma 10 3 3" xfId="1822"/>
    <cellStyle name="Comma 10 3 3 2" xfId="7379"/>
    <cellStyle name="Comma 10 3 3 2 2" xfId="7943"/>
    <cellStyle name="Comma 10 3 3 3" xfId="8292"/>
    <cellStyle name="Comma 10 3 3 4" xfId="7686"/>
    <cellStyle name="Comma 10 3 4" xfId="7376"/>
    <cellStyle name="Comma 10 3 4 2" xfId="7940"/>
    <cellStyle name="Comma 10 3 5" xfId="8197"/>
    <cellStyle name="Comma 10 3 6" xfId="7683"/>
    <cellStyle name="Comma 10 4" xfId="1823"/>
    <cellStyle name="Comma 10 4 2" xfId="1824"/>
    <cellStyle name="Comma 10 4 2 2" xfId="7381"/>
    <cellStyle name="Comma 10 4 2 2 2" xfId="7945"/>
    <cellStyle name="Comma 10 4 2 3" xfId="8294"/>
    <cellStyle name="Comma 10 4 2 4" xfId="7688"/>
    <cellStyle name="Comma 10 4 3" xfId="7380"/>
    <cellStyle name="Comma 10 4 3 2" xfId="7944"/>
    <cellStyle name="Comma 10 4 4" xfId="8199"/>
    <cellStyle name="Comma 10 4 5" xfId="7687"/>
    <cellStyle name="Comma 10 5" xfId="1825"/>
    <cellStyle name="Comma 10 5 2" xfId="1826"/>
    <cellStyle name="Comma 10 5 2 2" xfId="7383"/>
    <cellStyle name="Comma 10 5 2 2 2" xfId="7947"/>
    <cellStyle name="Comma 10 5 2 3" xfId="8295"/>
    <cellStyle name="Comma 10 5 2 4" xfId="7690"/>
    <cellStyle name="Comma 10 5 3" xfId="7382"/>
    <cellStyle name="Comma 10 5 3 2" xfId="7946"/>
    <cellStyle name="Comma 10 5 4" xfId="8200"/>
    <cellStyle name="Comma 10 5 5" xfId="7689"/>
    <cellStyle name="Comma 10 6" xfId="1827"/>
    <cellStyle name="Comma 10 6 2" xfId="7384"/>
    <cellStyle name="Comma 10 6 2 2" xfId="7948"/>
    <cellStyle name="Comma 10 6 3" xfId="8287"/>
    <cellStyle name="Comma 10 6 4" xfId="7691"/>
    <cellStyle name="Comma 10 7" xfId="7367"/>
    <cellStyle name="Comma 10 7 2" xfId="7931"/>
    <cellStyle name="Comma 10 8" xfId="8192"/>
    <cellStyle name="Comma 10 9" xfId="7674"/>
    <cellStyle name="Comma 100" xfId="1828"/>
    <cellStyle name="Comma 100 2" xfId="7385"/>
    <cellStyle name="Comma 100 2 2" xfId="7949"/>
    <cellStyle name="Comma 100 3" xfId="8409"/>
    <cellStyle name="Comma 100 4" xfId="7692"/>
    <cellStyle name="Comma 101" xfId="1829"/>
    <cellStyle name="Comma 101 2" xfId="7386"/>
    <cellStyle name="Comma 101 2 2" xfId="7950"/>
    <cellStyle name="Comma 101 3" xfId="8415"/>
    <cellStyle name="Comma 101 4" xfId="7693"/>
    <cellStyle name="Comma 102" xfId="1830"/>
    <cellStyle name="Comma 102 2" xfId="7387"/>
    <cellStyle name="Comma 102 2 2" xfId="7951"/>
    <cellStyle name="Comma 102 3" xfId="8418"/>
    <cellStyle name="Comma 102 4" xfId="7694"/>
    <cellStyle name="Comma 103" xfId="1831"/>
    <cellStyle name="Comma 103 2" xfId="7388"/>
    <cellStyle name="Comma 103 2 2" xfId="7952"/>
    <cellStyle name="Comma 103 3" xfId="8420"/>
    <cellStyle name="Comma 103 4" xfId="7695"/>
    <cellStyle name="Comma 104" xfId="1832"/>
    <cellStyle name="Comma 104 2" xfId="7389"/>
    <cellStyle name="Comma 104 2 2" xfId="7953"/>
    <cellStyle name="Comma 104 3" xfId="8413"/>
    <cellStyle name="Comma 104 4" xfId="7696"/>
    <cellStyle name="Comma 105" xfId="1833"/>
    <cellStyle name="Comma 105 2" xfId="7390"/>
    <cellStyle name="Comma 105 2 2" xfId="7954"/>
    <cellStyle name="Comma 105 3" xfId="8426"/>
    <cellStyle name="Comma 105 4" xfId="7697"/>
    <cellStyle name="Comma 106" xfId="1834"/>
    <cellStyle name="Comma 106 2" xfId="7391"/>
    <cellStyle name="Comma 106 2 2" xfId="7955"/>
    <cellStyle name="Comma 106 3" xfId="8428"/>
    <cellStyle name="Comma 106 4" xfId="7698"/>
    <cellStyle name="Comma 107" xfId="1835"/>
    <cellStyle name="Comma 107 2" xfId="7392"/>
    <cellStyle name="Comma 107 2 2" xfId="7956"/>
    <cellStyle name="Comma 107 3" xfId="8414"/>
    <cellStyle name="Comma 107 4" xfId="7699"/>
    <cellStyle name="Comma 108" xfId="1836"/>
    <cellStyle name="Comma 108 2" xfId="7393"/>
    <cellStyle name="Comma 108 2 2" xfId="7957"/>
    <cellStyle name="Comma 108 3" xfId="8421"/>
    <cellStyle name="Comma 108 4" xfId="7700"/>
    <cellStyle name="Comma 109" xfId="1837"/>
    <cellStyle name="Comma 109 2" xfId="7394"/>
    <cellStyle name="Comma 109 2 2" xfId="7958"/>
    <cellStyle name="Comma 109 3" xfId="8412"/>
    <cellStyle name="Comma 109 4" xfId="7701"/>
    <cellStyle name="Comma 11" xfId="1838"/>
    <cellStyle name="Comma 11 2" xfId="1839"/>
    <cellStyle name="Comma 11 2 2" xfId="1840"/>
    <cellStyle name="Comma 11 2 2 2" xfId="1841"/>
    <cellStyle name="Comma 11 2 2 2 2" xfId="7398"/>
    <cellStyle name="Comma 11 2 2 2 2 2" xfId="7962"/>
    <cellStyle name="Comma 11 2 2 2 3" xfId="8298"/>
    <cellStyle name="Comma 11 2 2 2 4" xfId="7705"/>
    <cellStyle name="Comma 11 2 2 3" xfId="7397"/>
    <cellStyle name="Comma 11 2 2 3 2" xfId="7961"/>
    <cellStyle name="Comma 11 2 2 4" xfId="8203"/>
    <cellStyle name="Comma 11 2 2 5" xfId="7704"/>
    <cellStyle name="Comma 11 2 3" xfId="1842"/>
    <cellStyle name="Comma 11 2 3 2" xfId="7399"/>
    <cellStyle name="Comma 11 2 3 2 2" xfId="7963"/>
    <cellStyle name="Comma 11 2 3 3" xfId="8297"/>
    <cellStyle name="Comma 11 2 3 4" xfId="7706"/>
    <cellStyle name="Comma 11 2 4" xfId="7396"/>
    <cellStyle name="Comma 11 2 4 2" xfId="7960"/>
    <cellStyle name="Comma 11 2 5" xfId="8202"/>
    <cellStyle name="Comma 11 2 6" xfId="7703"/>
    <cellStyle name="Comma 11 3" xfId="1843"/>
    <cellStyle name="Comma 11 3 2" xfId="1844"/>
    <cellStyle name="Comma 11 3 2 2" xfId="7401"/>
    <cellStyle name="Comma 11 3 2 2 2" xfId="7965"/>
    <cellStyle name="Comma 11 3 2 3" xfId="8299"/>
    <cellStyle name="Comma 11 3 2 4" xfId="7708"/>
    <cellStyle name="Comma 11 3 3" xfId="7400"/>
    <cellStyle name="Comma 11 3 3 2" xfId="7964"/>
    <cellStyle name="Comma 11 3 4" xfId="8204"/>
    <cellStyle name="Comma 11 3 5" xfId="7707"/>
    <cellStyle name="Comma 11 4" xfId="1845"/>
    <cellStyle name="Comma 11 4 2" xfId="1846"/>
    <cellStyle name="Comma 11 4 2 2" xfId="7403"/>
    <cellStyle name="Comma 11 4 2 2 2" xfId="7967"/>
    <cellStyle name="Comma 11 4 2 3" xfId="8300"/>
    <cellStyle name="Comma 11 4 2 4" xfId="7710"/>
    <cellStyle name="Comma 11 4 3" xfId="7402"/>
    <cellStyle name="Comma 11 4 3 2" xfId="7966"/>
    <cellStyle name="Comma 11 4 4" xfId="8205"/>
    <cellStyle name="Comma 11 4 5" xfId="7709"/>
    <cellStyle name="Comma 11 5" xfId="1847"/>
    <cellStyle name="Comma 11 5 2" xfId="7404"/>
    <cellStyle name="Comma 11 5 2 2" xfId="7968"/>
    <cellStyle name="Comma 11 5 3" xfId="8296"/>
    <cellStyle name="Comma 11 5 4" xfId="7711"/>
    <cellStyle name="Comma 11 6" xfId="7395"/>
    <cellStyle name="Comma 11 6 2" xfId="7959"/>
    <cellStyle name="Comma 11 7" xfId="8201"/>
    <cellStyle name="Comma 11 8" xfId="7702"/>
    <cellStyle name="Comma 110" xfId="1848"/>
    <cellStyle name="Comma 110 2" xfId="7405"/>
    <cellStyle name="Comma 110 2 2" xfId="7969"/>
    <cellStyle name="Comma 110 3" xfId="8427"/>
    <cellStyle name="Comma 110 4" xfId="7712"/>
    <cellStyle name="Comma 111" xfId="1849"/>
    <cellStyle name="Comma 111 2" xfId="7406"/>
    <cellStyle name="Comma 111 2 2" xfId="7970"/>
    <cellStyle name="Comma 111 3" xfId="8424"/>
    <cellStyle name="Comma 111 4" xfId="7713"/>
    <cellStyle name="Comma 112" xfId="1850"/>
    <cellStyle name="Comma 112 2" xfId="7407"/>
    <cellStyle name="Comma 112 2 2" xfId="7971"/>
    <cellStyle name="Comma 112 3" xfId="8408"/>
    <cellStyle name="Comma 112 4" xfId="7714"/>
    <cellStyle name="Comma 113" xfId="1851"/>
    <cellStyle name="Comma 113 2" xfId="7408"/>
    <cellStyle name="Comma 113 2 2" xfId="7972"/>
    <cellStyle name="Comma 113 3" xfId="8422"/>
    <cellStyle name="Comma 113 4" xfId="7715"/>
    <cellStyle name="Comma 114" xfId="1852"/>
    <cellStyle name="Comma 114 2" xfId="7409"/>
    <cellStyle name="Comma 114 2 2" xfId="7973"/>
    <cellStyle name="Comma 114 3" xfId="8411"/>
    <cellStyle name="Comma 114 4" xfId="7716"/>
    <cellStyle name="Comma 115" xfId="1853"/>
    <cellStyle name="Comma 115 2" xfId="7410"/>
    <cellStyle name="Comma 115 2 2" xfId="7974"/>
    <cellStyle name="Comma 115 3" xfId="8423"/>
    <cellStyle name="Comma 115 4" xfId="7717"/>
    <cellStyle name="Comma 116" xfId="1854"/>
    <cellStyle name="Comma 116 2" xfId="7411"/>
    <cellStyle name="Comma 116 2 2" xfId="7975"/>
    <cellStyle name="Comma 116 3" xfId="8443"/>
    <cellStyle name="Comma 116 4" xfId="7718"/>
    <cellStyle name="Comma 117" xfId="1855"/>
    <cellStyle name="Comma 117 2" xfId="7412"/>
    <cellStyle name="Comma 117 2 2" xfId="7976"/>
    <cellStyle name="Comma 117 3" xfId="8431"/>
    <cellStyle name="Comma 117 4" xfId="7719"/>
    <cellStyle name="Comma 118" xfId="1856"/>
    <cellStyle name="Comma 118 2" xfId="7413"/>
    <cellStyle name="Comma 118 2 2" xfId="7977"/>
    <cellStyle name="Comma 118 3" xfId="8439"/>
    <cellStyle name="Comma 118 4" xfId="7720"/>
    <cellStyle name="Comma 119" xfId="1857"/>
    <cellStyle name="Comma 119 2" xfId="7414"/>
    <cellStyle name="Comma 119 2 2" xfId="7978"/>
    <cellStyle name="Comma 119 3" xfId="8436"/>
    <cellStyle name="Comma 119 4" xfId="7721"/>
    <cellStyle name="Comma 12" xfId="1858"/>
    <cellStyle name="Comma 12 2" xfId="1859"/>
    <cellStyle name="Comma 12 2 2" xfId="1860"/>
    <cellStyle name="Comma 12 2 2 2" xfId="1861"/>
    <cellStyle name="Comma 12 2 2 2 2" xfId="7418"/>
    <cellStyle name="Comma 12 2 2 2 2 2" xfId="7982"/>
    <cellStyle name="Comma 12 2 2 2 3" xfId="8303"/>
    <cellStyle name="Comma 12 2 2 2 4" xfId="7725"/>
    <cellStyle name="Comma 12 2 2 3" xfId="7417"/>
    <cellStyle name="Comma 12 2 2 3 2" xfId="7981"/>
    <cellStyle name="Comma 12 2 2 4" xfId="8208"/>
    <cellStyle name="Comma 12 2 2 5" xfId="7724"/>
    <cellStyle name="Comma 12 2 3" xfId="1862"/>
    <cellStyle name="Comma 12 2 3 2" xfId="7419"/>
    <cellStyle name="Comma 12 2 3 2 2" xfId="7983"/>
    <cellStyle name="Comma 12 2 3 3" xfId="8302"/>
    <cellStyle name="Comma 12 2 3 4" xfId="7726"/>
    <cellStyle name="Comma 12 2 4" xfId="7416"/>
    <cellStyle name="Comma 12 2 4 2" xfId="7980"/>
    <cellStyle name="Comma 12 2 5" xfId="8207"/>
    <cellStyle name="Comma 12 2 6" xfId="7723"/>
    <cellStyle name="Comma 12 3" xfId="1863"/>
    <cellStyle name="Comma 12 3 2" xfId="1864"/>
    <cellStyle name="Comma 12 3 2 2" xfId="7421"/>
    <cellStyle name="Comma 12 3 2 2 2" xfId="7985"/>
    <cellStyle name="Comma 12 3 2 3" xfId="8304"/>
    <cellStyle name="Comma 12 3 2 4" xfId="7728"/>
    <cellStyle name="Comma 12 3 3" xfId="7420"/>
    <cellStyle name="Comma 12 3 3 2" xfId="7984"/>
    <cellStyle name="Comma 12 3 4" xfId="8209"/>
    <cellStyle name="Comma 12 3 5" xfId="7727"/>
    <cellStyle name="Comma 12 4" xfId="1865"/>
    <cellStyle name="Comma 12 4 2" xfId="1866"/>
    <cellStyle name="Comma 12 4 2 2" xfId="7423"/>
    <cellStyle name="Comma 12 4 2 2 2" xfId="7987"/>
    <cellStyle name="Comma 12 4 2 3" xfId="8305"/>
    <cellStyle name="Comma 12 4 2 4" xfId="7730"/>
    <cellStyle name="Comma 12 4 3" xfId="7422"/>
    <cellStyle name="Comma 12 4 3 2" xfId="7986"/>
    <cellStyle name="Comma 12 4 4" xfId="8210"/>
    <cellStyle name="Comma 12 4 5" xfId="7729"/>
    <cellStyle name="Comma 12 5" xfId="1867"/>
    <cellStyle name="Comma 12 5 2" xfId="7424"/>
    <cellStyle name="Comma 12 5 2 2" xfId="7988"/>
    <cellStyle name="Comma 12 5 3" xfId="8301"/>
    <cellStyle name="Comma 12 5 4" xfId="7731"/>
    <cellStyle name="Comma 12 6" xfId="7415"/>
    <cellStyle name="Comma 12 6 2" xfId="7979"/>
    <cellStyle name="Comma 12 7" xfId="8206"/>
    <cellStyle name="Comma 12 8" xfId="7722"/>
    <cellStyle name="Comma 120" xfId="1868"/>
    <cellStyle name="Comma 120 2" xfId="7425"/>
    <cellStyle name="Comma 120 2 2" xfId="7989"/>
    <cellStyle name="Comma 120 3" xfId="8437"/>
    <cellStyle name="Comma 120 4" xfId="7732"/>
    <cellStyle name="Comma 121" xfId="1869"/>
    <cellStyle name="Comma 121 2" xfId="7426"/>
    <cellStyle name="Comma 121 2 2" xfId="7990"/>
    <cellStyle name="Comma 121 3" xfId="8442"/>
    <cellStyle name="Comma 121 4" xfId="7733"/>
    <cellStyle name="Comma 122" xfId="1870"/>
    <cellStyle name="Comma 122 2" xfId="7427"/>
    <cellStyle name="Comma 122 2 2" xfId="7991"/>
    <cellStyle name="Comma 122 3" xfId="8441"/>
    <cellStyle name="Comma 122 4" xfId="7734"/>
    <cellStyle name="Comma 123" xfId="1871"/>
    <cellStyle name="Comma 123 2" xfId="7428"/>
    <cellStyle name="Comma 123 2 2" xfId="7992"/>
    <cellStyle name="Comma 123 3" xfId="8433"/>
    <cellStyle name="Comma 123 4" xfId="7735"/>
    <cellStyle name="Comma 124" xfId="1872"/>
    <cellStyle name="Comma 124 2" xfId="7429"/>
    <cellStyle name="Comma 124 2 2" xfId="7993"/>
    <cellStyle name="Comma 124 3" xfId="8432"/>
    <cellStyle name="Comma 124 4" xfId="7736"/>
    <cellStyle name="Comma 125" xfId="1873"/>
    <cellStyle name="Comma 125 2" xfId="7430"/>
    <cellStyle name="Comma 125 2 2" xfId="7994"/>
    <cellStyle name="Comma 125 3" xfId="8435"/>
    <cellStyle name="Comma 125 4" xfId="7737"/>
    <cellStyle name="Comma 126" xfId="1874"/>
    <cellStyle name="Comma 126 2" xfId="7431"/>
    <cellStyle name="Comma 126 2 2" xfId="7995"/>
    <cellStyle name="Comma 126 3" xfId="8438"/>
    <cellStyle name="Comma 126 4" xfId="7738"/>
    <cellStyle name="Comma 127" xfId="1875"/>
    <cellStyle name="Comma 127 2" xfId="7432"/>
    <cellStyle name="Comma 127 2 2" xfId="7996"/>
    <cellStyle name="Comma 127 3" xfId="8440"/>
    <cellStyle name="Comma 127 4" xfId="7739"/>
    <cellStyle name="Comma 128" xfId="1876"/>
    <cellStyle name="Comma 128 2" xfId="7433"/>
    <cellStyle name="Comma 128 2 2" xfId="7997"/>
    <cellStyle name="Comma 128 3" xfId="8434"/>
    <cellStyle name="Comma 128 4" xfId="7740"/>
    <cellStyle name="Comma 129" xfId="7617"/>
    <cellStyle name="Comma 129 2" xfId="8181"/>
    <cellStyle name="Comma 13" xfId="1877"/>
    <cellStyle name="Comma 13 2" xfId="1878"/>
    <cellStyle name="Comma 13 2 2" xfId="7435"/>
    <cellStyle name="Comma 13 2 2 2" xfId="7999"/>
    <cellStyle name="Comma 13 2 3" xfId="8306"/>
    <cellStyle name="Comma 13 2 4" xfId="7742"/>
    <cellStyle name="Comma 13 3" xfId="7434"/>
    <cellStyle name="Comma 13 3 2" xfId="7998"/>
    <cellStyle name="Comma 13 4" xfId="8211"/>
    <cellStyle name="Comma 13 5" xfId="7741"/>
    <cellStyle name="Comma 130" xfId="7618"/>
    <cellStyle name="Comma 130 2" xfId="8182"/>
    <cellStyle name="Comma 131" xfId="7619"/>
    <cellStyle name="Comma 131 2" xfId="8183"/>
    <cellStyle name="Comma 132" xfId="7620"/>
    <cellStyle name="Comma 132 2" xfId="8184"/>
    <cellStyle name="Comma 133" xfId="7621"/>
    <cellStyle name="Comma 133 2" xfId="8185"/>
    <cellStyle name="Comma 14" xfId="1879"/>
    <cellStyle name="Comma 14 2" xfId="1880"/>
    <cellStyle name="Comma 14 2 2" xfId="7437"/>
    <cellStyle name="Comma 14 2 2 2" xfId="8001"/>
    <cellStyle name="Comma 14 2 3" xfId="8307"/>
    <cellStyle name="Comma 14 2 4" xfId="7744"/>
    <cellStyle name="Comma 14 3" xfId="7436"/>
    <cellStyle name="Comma 14 3 2" xfId="8000"/>
    <cellStyle name="Comma 14 4" xfId="8212"/>
    <cellStyle name="Comma 14 5" xfId="7743"/>
    <cellStyle name="Comma 15" xfId="1881"/>
    <cellStyle name="Comma 15 2" xfId="1882"/>
    <cellStyle name="Comma 15 2 2" xfId="7439"/>
    <cellStyle name="Comma 15 2 2 2" xfId="8003"/>
    <cellStyle name="Comma 15 2 3" xfId="8308"/>
    <cellStyle name="Comma 15 2 4" xfId="7746"/>
    <cellStyle name="Comma 15 3" xfId="7438"/>
    <cellStyle name="Comma 15 3 2" xfId="8002"/>
    <cellStyle name="Comma 15 4" xfId="8213"/>
    <cellStyle name="Comma 15 5" xfId="7745"/>
    <cellStyle name="Comma 16" xfId="1883"/>
    <cellStyle name="Comma 16 2" xfId="1884"/>
    <cellStyle name="Comma 16 2 2" xfId="7441"/>
    <cellStyle name="Comma 16 2 2 2" xfId="8005"/>
    <cellStyle name="Comma 16 2 3" xfId="8284"/>
    <cellStyle name="Comma 16 2 4" xfId="7748"/>
    <cellStyle name="Comma 16 3" xfId="7440"/>
    <cellStyle name="Comma 16 3 2" xfId="8004"/>
    <cellStyle name="Comma 16 4" xfId="8189"/>
    <cellStyle name="Comma 16 5" xfId="7747"/>
    <cellStyle name="Comma 17" xfId="1885"/>
    <cellStyle name="Comma 17 2" xfId="1886"/>
    <cellStyle name="Comma 17 2 2" xfId="7443"/>
    <cellStyle name="Comma 17 2 2 2" xfId="8007"/>
    <cellStyle name="Comma 17 2 3" xfId="8309"/>
    <cellStyle name="Comma 17 2 4" xfId="7750"/>
    <cellStyle name="Comma 17 3" xfId="7442"/>
    <cellStyle name="Comma 17 3 2" xfId="8006"/>
    <cellStyle name="Comma 17 4" xfId="8214"/>
    <cellStyle name="Comma 17 5" xfId="7749"/>
    <cellStyle name="Comma 18" xfId="1887"/>
    <cellStyle name="Comma 18 2" xfId="1888"/>
    <cellStyle name="Comma 18 2 2" xfId="7445"/>
    <cellStyle name="Comma 18 2 2 2" xfId="8009"/>
    <cellStyle name="Comma 18 2 3" xfId="8310"/>
    <cellStyle name="Comma 18 2 4" xfId="7752"/>
    <cellStyle name="Comma 18 3" xfId="7444"/>
    <cellStyle name="Comma 18 3 2" xfId="8008"/>
    <cellStyle name="Comma 18 4" xfId="8215"/>
    <cellStyle name="Comma 18 5" xfId="7751"/>
    <cellStyle name="Comma 19" xfId="1889"/>
    <cellStyle name="Comma 19 2" xfId="1890"/>
    <cellStyle name="Comma 19 2 2" xfId="7447"/>
    <cellStyle name="Comma 19 2 2 2" xfId="8011"/>
    <cellStyle name="Comma 19 2 3" xfId="8311"/>
    <cellStyle name="Comma 19 2 4" xfId="7754"/>
    <cellStyle name="Comma 19 3" xfId="7446"/>
    <cellStyle name="Comma 19 3 2" xfId="8010"/>
    <cellStyle name="Comma 19 4" xfId="8216"/>
    <cellStyle name="Comma 19 5" xfId="7753"/>
    <cellStyle name="Comma 2" xfId="1891"/>
    <cellStyle name="Comma 2 2" xfId="1892"/>
    <cellStyle name="Comma 2 2 2" xfId="1893"/>
    <cellStyle name="Comma 2 2 2 2" xfId="7450"/>
    <cellStyle name="Comma 2 2 2 2 2" xfId="8014"/>
    <cellStyle name="Comma 2 2 2 3" xfId="8283"/>
    <cellStyle name="Comma 2 2 2 4" xfId="7757"/>
    <cellStyle name="Comma 2 2 3" xfId="7449"/>
    <cellStyle name="Comma 2 2 3 2" xfId="8013"/>
    <cellStyle name="Comma 2 2 4" xfId="8249"/>
    <cellStyle name="Comma 2 2 5" xfId="7756"/>
    <cellStyle name="Comma 2 3" xfId="1894"/>
    <cellStyle name="Comma 2 3 2" xfId="7451"/>
    <cellStyle name="Comma 2 3 2 2" xfId="8015"/>
    <cellStyle name="Comma 2 3 3" xfId="8281"/>
    <cellStyle name="Comma 2 3 4" xfId="7758"/>
    <cellStyle name="Comma 2 4" xfId="7448"/>
    <cellStyle name="Comma 2 4 2" xfId="8012"/>
    <cellStyle name="Comma 2 5" xfId="8187"/>
    <cellStyle name="Comma 2 6" xfId="7755"/>
    <cellStyle name="Comma 20" xfId="1895"/>
    <cellStyle name="Comma 20 2" xfId="1896"/>
    <cellStyle name="Comma 20 2 2" xfId="7453"/>
    <cellStyle name="Comma 20 2 2 2" xfId="8017"/>
    <cellStyle name="Comma 20 2 3" xfId="8312"/>
    <cellStyle name="Comma 20 2 4" xfId="7760"/>
    <cellStyle name="Comma 20 3" xfId="7452"/>
    <cellStyle name="Comma 20 3 2" xfId="8016"/>
    <cellStyle name="Comma 20 4" xfId="8217"/>
    <cellStyle name="Comma 20 5" xfId="7759"/>
    <cellStyle name="Comma 21" xfId="1897"/>
    <cellStyle name="Comma 21 2" xfId="1898"/>
    <cellStyle name="Comma 21 2 2" xfId="7455"/>
    <cellStyle name="Comma 21 2 2 2" xfId="8019"/>
    <cellStyle name="Comma 21 2 3" xfId="8313"/>
    <cellStyle name="Comma 21 2 4" xfId="7762"/>
    <cellStyle name="Comma 21 3" xfId="7454"/>
    <cellStyle name="Comma 21 3 2" xfId="8018"/>
    <cellStyle name="Comma 21 4" xfId="8218"/>
    <cellStyle name="Comma 21 5" xfId="7761"/>
    <cellStyle name="Comma 22" xfId="1899"/>
    <cellStyle name="Comma 23" xfId="1900"/>
    <cellStyle name="Comma 24" xfId="1901"/>
    <cellStyle name="Comma 25" xfId="1902"/>
    <cellStyle name="Comma 26" xfId="1903"/>
    <cellStyle name="Comma 26 2" xfId="1904"/>
    <cellStyle name="Comma 26 2 2" xfId="7457"/>
    <cellStyle name="Comma 26 2 2 2" xfId="8021"/>
    <cellStyle name="Comma 26 2 3" xfId="8343"/>
    <cellStyle name="Comma 26 2 4" xfId="7764"/>
    <cellStyle name="Comma 26 3" xfId="7456"/>
    <cellStyle name="Comma 26 3 2" xfId="8020"/>
    <cellStyle name="Comma 26 4" xfId="8245"/>
    <cellStyle name="Comma 26 5" xfId="7763"/>
    <cellStyle name="Comma 27" xfId="1905"/>
    <cellStyle name="Comma 27 2" xfId="1906"/>
    <cellStyle name="Comma 27 2 2" xfId="7459"/>
    <cellStyle name="Comma 27 2 2 2" xfId="8023"/>
    <cellStyle name="Comma 27 2 3" xfId="8344"/>
    <cellStyle name="Comma 27 2 4" xfId="7766"/>
    <cellStyle name="Comma 27 3" xfId="7458"/>
    <cellStyle name="Comma 27 3 2" xfId="8022"/>
    <cellStyle name="Comma 27 4" xfId="8267"/>
    <cellStyle name="Comma 27 5" xfId="7765"/>
    <cellStyle name="Comma 28" xfId="1907"/>
    <cellStyle name="Comma 28 2" xfId="1908"/>
    <cellStyle name="Comma 28 2 2" xfId="7461"/>
    <cellStyle name="Comma 28 2 2 2" xfId="8025"/>
    <cellStyle name="Comma 28 2 3" xfId="8350"/>
    <cellStyle name="Comma 28 2 4" xfId="7768"/>
    <cellStyle name="Comma 28 3" xfId="7460"/>
    <cellStyle name="Comma 28 3 2" xfId="8024"/>
    <cellStyle name="Comma 28 4" xfId="8246"/>
    <cellStyle name="Comma 28 5" xfId="7767"/>
    <cellStyle name="Comma 29" xfId="1909"/>
    <cellStyle name="Comma 29 2" xfId="1910"/>
    <cellStyle name="Comma 29 2 2" xfId="7463"/>
    <cellStyle name="Comma 29 2 2 2" xfId="8027"/>
    <cellStyle name="Comma 29 2 3" xfId="8345"/>
    <cellStyle name="Comma 29 2 4" xfId="7770"/>
    <cellStyle name="Comma 29 3" xfId="7462"/>
    <cellStyle name="Comma 29 3 2" xfId="8026"/>
    <cellStyle name="Comma 29 4" xfId="8266"/>
    <cellStyle name="Comma 29 5" xfId="7769"/>
    <cellStyle name="Comma 3" xfId="1911"/>
    <cellStyle name="Comma 3 2" xfId="1912"/>
    <cellStyle name="Comma 3 2 2" xfId="7465"/>
    <cellStyle name="Comma 3 2 2 2" xfId="8029"/>
    <cellStyle name="Comma 3 2 3" xfId="8314"/>
    <cellStyle name="Comma 3 2 4" xfId="7772"/>
    <cellStyle name="Comma 3 3" xfId="7464"/>
    <cellStyle name="Comma 3 3 2" xfId="8028"/>
    <cellStyle name="Comma 3 4" xfId="7664"/>
    <cellStyle name="Comma 3 4 2" xfId="8186"/>
    <cellStyle name="Comma 3 5" xfId="8219"/>
    <cellStyle name="Comma 3 6" xfId="7771"/>
    <cellStyle name="Comma 30" xfId="1913"/>
    <cellStyle name="Comma 30 2" xfId="1914"/>
    <cellStyle name="Comma 30 2 2" xfId="7467"/>
    <cellStyle name="Comma 30 2 2 2" xfId="8031"/>
    <cellStyle name="Comma 30 2 3" xfId="8348"/>
    <cellStyle name="Comma 30 2 4" xfId="7774"/>
    <cellStyle name="Comma 30 3" xfId="7466"/>
    <cellStyle name="Comma 30 3 2" xfId="8030"/>
    <cellStyle name="Comma 30 4" xfId="8257"/>
    <cellStyle name="Comma 30 5" xfId="7773"/>
    <cellStyle name="Comma 31" xfId="1915"/>
    <cellStyle name="Comma 31 2" xfId="1916"/>
    <cellStyle name="Comma 31 2 2" xfId="7469"/>
    <cellStyle name="Comma 31 2 2 2" xfId="8033"/>
    <cellStyle name="Comma 31 2 3" xfId="8346"/>
    <cellStyle name="Comma 31 2 4" xfId="7776"/>
    <cellStyle name="Comma 31 3" xfId="7468"/>
    <cellStyle name="Comma 31 3 2" xfId="8032"/>
    <cellStyle name="Comma 31 4" xfId="8251"/>
    <cellStyle name="Comma 31 5" xfId="7775"/>
    <cellStyle name="Comma 32" xfId="1917"/>
    <cellStyle name="Comma 32 2" xfId="1918"/>
    <cellStyle name="Comma 32 2 2" xfId="7471"/>
    <cellStyle name="Comma 32 2 2 2" xfId="8035"/>
    <cellStyle name="Comma 32 2 3" xfId="8347"/>
    <cellStyle name="Comma 32 2 4" xfId="7778"/>
    <cellStyle name="Comma 32 3" xfId="7470"/>
    <cellStyle name="Comma 32 3 2" xfId="8034"/>
    <cellStyle name="Comma 32 4" xfId="8250"/>
    <cellStyle name="Comma 32 5" xfId="7777"/>
    <cellStyle name="Comma 33" xfId="1919"/>
    <cellStyle name="Comma 33 2" xfId="1920"/>
    <cellStyle name="Comma 33 2 2" xfId="7473"/>
    <cellStyle name="Comma 33 2 2 2" xfId="8037"/>
    <cellStyle name="Comma 33 2 3" xfId="8349"/>
    <cellStyle name="Comma 33 2 4" xfId="7780"/>
    <cellStyle name="Comma 33 3" xfId="7472"/>
    <cellStyle name="Comma 33 3 2" xfId="8036"/>
    <cellStyle name="Comma 33 4" xfId="8255"/>
    <cellStyle name="Comma 33 5" xfId="7779"/>
    <cellStyle name="Comma 34" xfId="1921"/>
    <cellStyle name="Comma 34 2" xfId="1922"/>
    <cellStyle name="Comma 34 2 2" xfId="7475"/>
    <cellStyle name="Comma 34 2 2 2" xfId="8039"/>
    <cellStyle name="Comma 34 2 3" xfId="8356"/>
    <cellStyle name="Comma 34 2 4" xfId="7782"/>
    <cellStyle name="Comma 34 3" xfId="7474"/>
    <cellStyle name="Comma 34 3 2" xfId="8038"/>
    <cellStyle name="Comma 34 4" xfId="8268"/>
    <cellStyle name="Comma 34 5" xfId="7781"/>
    <cellStyle name="Comma 35" xfId="1923"/>
    <cellStyle name="Comma 35 2" xfId="1924"/>
    <cellStyle name="Comma 35 2 2" xfId="7477"/>
    <cellStyle name="Comma 35 2 2 2" xfId="8041"/>
    <cellStyle name="Comma 35 2 3" xfId="8351"/>
    <cellStyle name="Comma 35 2 4" xfId="7784"/>
    <cellStyle name="Comma 35 3" xfId="7476"/>
    <cellStyle name="Comma 35 3 2" xfId="8040"/>
    <cellStyle name="Comma 35 4" xfId="8256"/>
    <cellStyle name="Comma 35 5" xfId="7783"/>
    <cellStyle name="Comma 36" xfId="1925"/>
    <cellStyle name="Comma 36 2" xfId="1926"/>
    <cellStyle name="Comma 36 2 2" xfId="7479"/>
    <cellStyle name="Comma 36 2 2 2" xfId="8043"/>
    <cellStyle name="Comma 36 2 3" xfId="8353"/>
    <cellStyle name="Comma 36 2 4" xfId="7786"/>
    <cellStyle name="Comma 36 3" xfId="7478"/>
    <cellStyle name="Comma 36 3 2" xfId="8042"/>
    <cellStyle name="Comma 36 4" xfId="8260"/>
    <cellStyle name="Comma 36 5" xfId="7785"/>
    <cellStyle name="Comma 37" xfId="1927"/>
    <cellStyle name="Comma 37 2" xfId="1928"/>
    <cellStyle name="Comma 37 2 2" xfId="7481"/>
    <cellStyle name="Comma 37 2 2 2" xfId="8045"/>
    <cellStyle name="Comma 37 2 3" xfId="8355"/>
    <cellStyle name="Comma 37 2 4" xfId="7788"/>
    <cellStyle name="Comma 37 3" xfId="7480"/>
    <cellStyle name="Comma 37 3 2" xfId="8044"/>
    <cellStyle name="Comma 37 4" xfId="8253"/>
    <cellStyle name="Comma 37 5" xfId="7787"/>
    <cellStyle name="Comma 38" xfId="1929"/>
    <cellStyle name="Comma 38 2" xfId="1930"/>
    <cellStyle name="Comma 38 2 2" xfId="7483"/>
    <cellStyle name="Comma 38 2 2 2" xfId="8047"/>
    <cellStyle name="Comma 38 2 3" xfId="8354"/>
    <cellStyle name="Comma 38 2 4" xfId="7790"/>
    <cellStyle name="Comma 38 3" xfId="7482"/>
    <cellStyle name="Comma 38 3 2" xfId="8046"/>
    <cellStyle name="Comma 38 4" xfId="8254"/>
    <cellStyle name="Comma 38 5" xfId="7789"/>
    <cellStyle name="Comma 39" xfId="1931"/>
    <cellStyle name="Comma 39 2" xfId="1932"/>
    <cellStyle name="Comma 39 2 2" xfId="7485"/>
    <cellStyle name="Comma 39 2 2 2" xfId="8049"/>
    <cellStyle name="Comma 39 2 3" xfId="8352"/>
    <cellStyle name="Comma 39 2 4" xfId="7792"/>
    <cellStyle name="Comma 39 3" xfId="7484"/>
    <cellStyle name="Comma 39 3 2" xfId="8048"/>
    <cellStyle name="Comma 39 4" xfId="8248"/>
    <cellStyle name="Comma 39 5" xfId="7791"/>
    <cellStyle name="Comma 4" xfId="1933"/>
    <cellStyle name="Comma 4 2" xfId="1934"/>
    <cellStyle name="Comma 4 2 2" xfId="7487"/>
    <cellStyle name="Comma 4 2 2 2" xfId="8051"/>
    <cellStyle name="Comma 4 2 3" xfId="8315"/>
    <cellStyle name="Comma 4 2 4" xfId="7794"/>
    <cellStyle name="Comma 4 3" xfId="7486"/>
    <cellStyle name="Comma 4 3 2" xfId="8050"/>
    <cellStyle name="Comma 4 4" xfId="8220"/>
    <cellStyle name="Comma 4 5" xfId="7793"/>
    <cellStyle name="Comma 40" xfId="1935"/>
    <cellStyle name="Comma 40 2" xfId="1936"/>
    <cellStyle name="Comma 40 2 2" xfId="7489"/>
    <cellStyle name="Comma 40 2 2 2" xfId="8053"/>
    <cellStyle name="Comma 40 2 3" xfId="8381"/>
    <cellStyle name="Comma 40 2 4" xfId="7796"/>
    <cellStyle name="Comma 40 3" xfId="7488"/>
    <cellStyle name="Comma 40 3 2" xfId="8052"/>
    <cellStyle name="Comma 40 4" xfId="8264"/>
    <cellStyle name="Comma 40 5" xfId="7795"/>
    <cellStyle name="Comma 41" xfId="1937"/>
    <cellStyle name="Comma 41 2" xfId="1938"/>
    <cellStyle name="Comma 41 2 2" xfId="7491"/>
    <cellStyle name="Comma 41 2 2 2" xfId="8055"/>
    <cellStyle name="Comma 41 2 3" xfId="8357"/>
    <cellStyle name="Comma 41 2 4" xfId="7798"/>
    <cellStyle name="Comma 41 3" xfId="7490"/>
    <cellStyle name="Comma 41 3 2" xfId="8054"/>
    <cellStyle name="Comma 41 4" xfId="8258"/>
    <cellStyle name="Comma 41 5" xfId="7797"/>
    <cellStyle name="Comma 42" xfId="1939"/>
    <cellStyle name="Comma 42 2" xfId="1940"/>
    <cellStyle name="Comma 42 2 2" xfId="7493"/>
    <cellStyle name="Comma 42 2 2 2" xfId="8057"/>
    <cellStyle name="Comma 42 2 3" xfId="8364"/>
    <cellStyle name="Comma 42 2 4" xfId="7800"/>
    <cellStyle name="Comma 42 3" xfId="7492"/>
    <cellStyle name="Comma 42 3 2" xfId="8056"/>
    <cellStyle name="Comma 42 4" xfId="8261"/>
    <cellStyle name="Comma 42 5" xfId="7799"/>
    <cellStyle name="Comma 43" xfId="1941"/>
    <cellStyle name="Comma 43 2" xfId="1942"/>
    <cellStyle name="Comma 43 2 2" xfId="7495"/>
    <cellStyle name="Comma 43 2 2 2" xfId="8059"/>
    <cellStyle name="Comma 43 2 3" xfId="8372"/>
    <cellStyle name="Comma 43 2 4" xfId="7802"/>
    <cellStyle name="Comma 43 3" xfId="7494"/>
    <cellStyle name="Comma 43 3 2" xfId="8058"/>
    <cellStyle name="Comma 43 4" xfId="8252"/>
    <cellStyle name="Comma 43 5" xfId="7801"/>
    <cellStyle name="Comma 44" xfId="1943"/>
    <cellStyle name="Comma 44 2" xfId="1944"/>
    <cellStyle name="Comma 44 2 2" xfId="7497"/>
    <cellStyle name="Comma 44 2 2 2" xfId="8061"/>
    <cellStyle name="Comma 44 2 3" xfId="8371"/>
    <cellStyle name="Comma 44 2 4" xfId="7804"/>
    <cellStyle name="Comma 44 3" xfId="7496"/>
    <cellStyle name="Comma 44 3 2" xfId="8060"/>
    <cellStyle name="Comma 44 4" xfId="8274"/>
    <cellStyle name="Comma 44 5" xfId="7803"/>
    <cellStyle name="Comma 45" xfId="1945"/>
    <cellStyle name="Comma 45 2" xfId="1946"/>
    <cellStyle name="Comma 45 2 2" xfId="7499"/>
    <cellStyle name="Comma 45 2 2 2" xfId="8063"/>
    <cellStyle name="Comma 45 2 3" xfId="8362"/>
    <cellStyle name="Comma 45 2 4" xfId="7806"/>
    <cellStyle name="Comma 45 3" xfId="7498"/>
    <cellStyle name="Comma 45 3 2" xfId="8062"/>
    <cellStyle name="Comma 45 4" xfId="8247"/>
    <cellStyle name="Comma 45 5" xfId="7805"/>
    <cellStyle name="Comma 46" xfId="1947"/>
    <cellStyle name="Comma 46 2" xfId="1948"/>
    <cellStyle name="Comma 46 2 2" xfId="7501"/>
    <cellStyle name="Comma 46 2 2 2" xfId="8065"/>
    <cellStyle name="Comma 46 2 3" xfId="8363"/>
    <cellStyle name="Comma 46 2 4" xfId="7808"/>
    <cellStyle name="Comma 46 3" xfId="7500"/>
    <cellStyle name="Comma 46 3 2" xfId="8064"/>
    <cellStyle name="Comma 46 4" xfId="8269"/>
    <cellStyle name="Comma 46 5" xfId="7807"/>
    <cellStyle name="Comma 47" xfId="1949"/>
    <cellStyle name="Comma 47 2" xfId="1950"/>
    <cellStyle name="Comma 47 2 2" xfId="7503"/>
    <cellStyle name="Comma 47 2 2 2" xfId="8067"/>
    <cellStyle name="Comma 47 2 3" xfId="8374"/>
    <cellStyle name="Comma 47 2 4" xfId="7810"/>
    <cellStyle name="Comma 47 3" xfId="7502"/>
    <cellStyle name="Comma 47 3 2" xfId="8066"/>
    <cellStyle name="Comma 47 4" xfId="8263"/>
    <cellStyle name="Comma 47 5" xfId="7809"/>
    <cellStyle name="Comma 48" xfId="1951"/>
    <cellStyle name="Comma 48 2" xfId="1952"/>
    <cellStyle name="Comma 48 2 2" xfId="7505"/>
    <cellStyle name="Comma 48 2 2 2" xfId="8069"/>
    <cellStyle name="Comma 48 2 3" xfId="8379"/>
    <cellStyle name="Comma 48 2 4" xfId="7812"/>
    <cellStyle name="Comma 48 3" xfId="7504"/>
    <cellStyle name="Comma 48 3 2" xfId="8068"/>
    <cellStyle name="Comma 48 4" xfId="8262"/>
    <cellStyle name="Comma 48 5" xfId="7811"/>
    <cellStyle name="Comma 49" xfId="1953"/>
    <cellStyle name="Comma 49 2" xfId="1954"/>
    <cellStyle name="Comma 49 2 2" xfId="7507"/>
    <cellStyle name="Comma 49 2 2 2" xfId="8071"/>
    <cellStyle name="Comma 49 2 3" xfId="8377"/>
    <cellStyle name="Comma 49 2 4" xfId="7814"/>
    <cellStyle name="Comma 49 3" xfId="7506"/>
    <cellStyle name="Comma 49 3 2" xfId="8070"/>
    <cellStyle name="Comma 49 4" xfId="8275"/>
    <cellStyle name="Comma 49 5" xfId="7813"/>
    <cellStyle name="Comma 5" xfId="1955"/>
    <cellStyle name="Comma 5 2" xfId="1956"/>
    <cellStyle name="Comma 5 2 2" xfId="1957"/>
    <cellStyle name="Comma 5 2 2 2" xfId="7510"/>
    <cellStyle name="Comma 5 2 2 2 2" xfId="8074"/>
    <cellStyle name="Comma 5 2 2 3" xfId="8317"/>
    <cellStyle name="Comma 5 2 2 4" xfId="7817"/>
    <cellStyle name="Comma 5 2 3" xfId="7509"/>
    <cellStyle name="Comma 5 2 3 2" xfId="8073"/>
    <cellStyle name="Comma 5 2 4" xfId="8222"/>
    <cellStyle name="Comma 5 2 5" xfId="7816"/>
    <cellStyle name="Comma 5 3" xfId="1958"/>
    <cellStyle name="Comma 5 3 2" xfId="7511"/>
    <cellStyle name="Comma 5 3 2 2" xfId="8075"/>
    <cellStyle name="Comma 5 3 3" xfId="8316"/>
    <cellStyle name="Comma 5 3 4" xfId="7818"/>
    <cellStyle name="Comma 5 4" xfId="7508"/>
    <cellStyle name="Comma 5 4 2" xfId="8072"/>
    <cellStyle name="Comma 5 5" xfId="8221"/>
    <cellStyle name="Comma 5 6" xfId="7815"/>
    <cellStyle name="Comma 50" xfId="1959"/>
    <cellStyle name="Comma 50 2" xfId="1960"/>
    <cellStyle name="Comma 50 2 2" xfId="7513"/>
    <cellStyle name="Comma 50 2 2 2" xfId="8077"/>
    <cellStyle name="Comma 50 2 3" xfId="8360"/>
    <cellStyle name="Comma 50 2 4" xfId="7820"/>
    <cellStyle name="Comma 50 3" xfId="7512"/>
    <cellStyle name="Comma 50 3 2" xfId="8076"/>
    <cellStyle name="Comma 50 4" xfId="8271"/>
    <cellStyle name="Comma 50 5" xfId="7819"/>
    <cellStyle name="Comma 51" xfId="1961"/>
    <cellStyle name="Comma 51 2" xfId="1962"/>
    <cellStyle name="Comma 51 2 2" xfId="7515"/>
    <cellStyle name="Comma 51 2 2 2" xfId="8079"/>
    <cellStyle name="Comma 51 2 3" xfId="8366"/>
    <cellStyle name="Comma 51 2 4" xfId="7822"/>
    <cellStyle name="Comma 51 3" xfId="7514"/>
    <cellStyle name="Comma 51 3 2" xfId="8078"/>
    <cellStyle name="Comma 51 4" xfId="8265"/>
    <cellStyle name="Comma 51 5" xfId="7821"/>
    <cellStyle name="Comma 52" xfId="1963"/>
    <cellStyle name="Comma 52 2" xfId="1964"/>
    <cellStyle name="Comma 52 2 2" xfId="7517"/>
    <cellStyle name="Comma 52 2 2 2" xfId="8081"/>
    <cellStyle name="Comma 52 2 3" xfId="8373"/>
    <cellStyle name="Comma 52 2 4" xfId="7824"/>
    <cellStyle name="Comma 52 3" xfId="7516"/>
    <cellStyle name="Comma 52 3 2" xfId="8080"/>
    <cellStyle name="Comma 52 4" xfId="8259"/>
    <cellStyle name="Comma 52 5" xfId="7823"/>
    <cellStyle name="Comma 53" xfId="1965"/>
    <cellStyle name="Comma 53 2" xfId="1966"/>
    <cellStyle name="Comma 53 2 2" xfId="7519"/>
    <cellStyle name="Comma 53 2 2 2" xfId="8083"/>
    <cellStyle name="Comma 53 2 3" xfId="8380"/>
    <cellStyle name="Comma 53 2 4" xfId="7826"/>
    <cellStyle name="Comma 53 3" xfId="7518"/>
    <cellStyle name="Comma 53 3 2" xfId="8082"/>
    <cellStyle name="Comma 53 4" xfId="8276"/>
    <cellStyle name="Comma 53 5" xfId="7825"/>
    <cellStyle name="Comma 54" xfId="1967"/>
    <cellStyle name="Comma 54 2" xfId="1968"/>
    <cellStyle name="Comma 54 2 2" xfId="7521"/>
    <cellStyle name="Comma 54 2 2 2" xfId="8085"/>
    <cellStyle name="Comma 54 2 3" xfId="8378"/>
    <cellStyle name="Comma 54 2 4" xfId="7828"/>
    <cellStyle name="Comma 54 3" xfId="7520"/>
    <cellStyle name="Comma 54 3 2" xfId="8084"/>
    <cellStyle name="Comma 54 4" xfId="8277"/>
    <cellStyle name="Comma 54 5" xfId="7827"/>
    <cellStyle name="Comma 55" xfId="1969"/>
    <cellStyle name="Comma 55 2" xfId="1970"/>
    <cellStyle name="Comma 55 2 2" xfId="7523"/>
    <cellStyle name="Comma 55 2 2 2" xfId="8087"/>
    <cellStyle name="Comma 55 2 3" xfId="8359"/>
    <cellStyle name="Comma 55 2 4" xfId="7830"/>
    <cellStyle name="Comma 55 3" xfId="7522"/>
    <cellStyle name="Comma 55 3 2" xfId="8086"/>
    <cellStyle name="Comma 55 4" xfId="8278"/>
    <cellStyle name="Comma 55 5" xfId="7829"/>
    <cellStyle name="Comma 56" xfId="1971"/>
    <cellStyle name="Comma 56 2" xfId="1972"/>
    <cellStyle name="Comma 56 2 2" xfId="7525"/>
    <cellStyle name="Comma 56 2 2 2" xfId="8089"/>
    <cellStyle name="Comma 56 2 3" xfId="8367"/>
    <cellStyle name="Comma 56 2 4" xfId="7832"/>
    <cellStyle name="Comma 56 3" xfId="7524"/>
    <cellStyle name="Comma 56 3 2" xfId="8088"/>
    <cellStyle name="Comma 56 4" xfId="8272"/>
    <cellStyle name="Comma 56 5" xfId="7831"/>
    <cellStyle name="Comma 57" xfId="1973"/>
    <cellStyle name="Comma 57 2" xfId="1974"/>
    <cellStyle name="Comma 57 2 2" xfId="7527"/>
    <cellStyle name="Comma 57 2 2 2" xfId="8091"/>
    <cellStyle name="Comma 57 2 3" xfId="8375"/>
    <cellStyle name="Comma 57 2 4" xfId="7834"/>
    <cellStyle name="Comma 57 3" xfId="7526"/>
    <cellStyle name="Comma 57 3 2" xfId="8090"/>
    <cellStyle name="Comma 57 4" xfId="8279"/>
    <cellStyle name="Comma 57 5" xfId="7833"/>
    <cellStyle name="Comma 58" xfId="1975"/>
    <cellStyle name="Comma 58 2" xfId="1976"/>
    <cellStyle name="Comma 58 2 2" xfId="7529"/>
    <cellStyle name="Comma 58 2 2 2" xfId="8093"/>
    <cellStyle name="Comma 58 2 3" xfId="8370"/>
    <cellStyle name="Comma 58 2 4" xfId="7836"/>
    <cellStyle name="Comma 58 3" xfId="7528"/>
    <cellStyle name="Comma 58 3 2" xfId="8092"/>
    <cellStyle name="Comma 58 4" xfId="8273"/>
    <cellStyle name="Comma 58 5" xfId="7835"/>
    <cellStyle name="Comma 59" xfId="1977"/>
    <cellStyle name="Comma 59 2" xfId="1978"/>
    <cellStyle name="Comma 59 2 2" xfId="7531"/>
    <cellStyle name="Comma 59 2 2 2" xfId="8095"/>
    <cellStyle name="Comma 59 2 3" xfId="8358"/>
    <cellStyle name="Comma 59 2 4" xfId="7838"/>
    <cellStyle name="Comma 59 3" xfId="7530"/>
    <cellStyle name="Comma 59 3 2" xfId="8094"/>
    <cellStyle name="Comma 59 4" xfId="8270"/>
    <cellStyle name="Comma 59 5" xfId="7837"/>
    <cellStyle name="Comma 6" xfId="1979"/>
    <cellStyle name="Comma 6 2" xfId="1980"/>
    <cellStyle name="Comma 6 2 2" xfId="1981"/>
    <cellStyle name="Comma 6 2 2 2" xfId="7534"/>
    <cellStyle name="Comma 6 2 2 2 2" xfId="8098"/>
    <cellStyle name="Comma 6 2 2 3" xfId="8319"/>
    <cellStyle name="Comma 6 2 2 4" xfId="7841"/>
    <cellStyle name="Comma 6 2 3" xfId="7533"/>
    <cellStyle name="Comma 6 2 3 2" xfId="8097"/>
    <cellStyle name="Comma 6 2 4" xfId="8224"/>
    <cellStyle name="Comma 6 2 5" xfId="7840"/>
    <cellStyle name="Comma 6 3" xfId="1982"/>
    <cellStyle name="Comma 6 3 2" xfId="7535"/>
    <cellStyle name="Comma 6 3 2 2" xfId="8099"/>
    <cellStyle name="Comma 6 3 3" xfId="8318"/>
    <cellStyle name="Comma 6 3 4" xfId="7842"/>
    <cellStyle name="Comma 6 4" xfId="7532"/>
    <cellStyle name="Comma 6 4 2" xfId="8096"/>
    <cellStyle name="Comma 6 5" xfId="8223"/>
    <cellStyle name="Comma 6 6" xfId="7839"/>
    <cellStyle name="Comma 60" xfId="1983"/>
    <cellStyle name="Comma 60 2" xfId="1984"/>
    <cellStyle name="Comma 60 2 2" xfId="7537"/>
    <cellStyle name="Comma 60 2 2 2" xfId="8101"/>
    <cellStyle name="Comma 60 2 3" xfId="8369"/>
    <cellStyle name="Comma 60 2 4" xfId="7844"/>
    <cellStyle name="Comma 60 3" xfId="7536"/>
    <cellStyle name="Comma 60 3 2" xfId="8100"/>
    <cellStyle name="Comma 60 4" xfId="8280"/>
    <cellStyle name="Comma 60 5" xfId="7843"/>
    <cellStyle name="Comma 61" xfId="1985"/>
    <cellStyle name="Comma 61 2" xfId="7538"/>
    <cellStyle name="Comma 61 2 2" xfId="8102"/>
    <cellStyle name="Comma 61 3" xfId="8361"/>
    <cellStyle name="Comma 61 4" xfId="7845"/>
    <cellStyle name="Comma 62" xfId="1986"/>
    <cellStyle name="Comma 62 2" xfId="7539"/>
    <cellStyle name="Comma 62 2 2" xfId="8103"/>
    <cellStyle name="Comma 62 3" xfId="8376"/>
    <cellStyle name="Comma 62 4" xfId="7846"/>
    <cellStyle name="Comma 63" xfId="1987"/>
    <cellStyle name="Comma 63 2" xfId="7540"/>
    <cellStyle name="Comma 63 2 2" xfId="8104"/>
    <cellStyle name="Comma 63 3" xfId="8365"/>
    <cellStyle name="Comma 63 4" xfId="7847"/>
    <cellStyle name="Comma 64" xfId="1988"/>
    <cellStyle name="Comma 64 2" xfId="7541"/>
    <cellStyle name="Comma 64 2 2" xfId="8105"/>
    <cellStyle name="Comma 64 3" xfId="8368"/>
    <cellStyle name="Comma 64 4" xfId="7848"/>
    <cellStyle name="Comma 65" xfId="1989"/>
    <cellStyle name="Comma 65 2" xfId="7542"/>
    <cellStyle name="Comma 65 2 2" xfId="8106"/>
    <cellStyle name="Comma 65 3" xfId="8387"/>
    <cellStyle name="Comma 65 4" xfId="7849"/>
    <cellStyle name="Comma 66" xfId="1990"/>
    <cellStyle name="Comma 66 2" xfId="7543"/>
    <cellStyle name="Comma 66 2 2" xfId="8107"/>
    <cellStyle name="Comma 66 3" xfId="8389"/>
    <cellStyle name="Comma 66 4" xfId="7850"/>
    <cellStyle name="Comma 67" xfId="1991"/>
    <cellStyle name="Comma 67 2" xfId="7544"/>
    <cellStyle name="Comma 67 2 2" xfId="8108"/>
    <cellStyle name="Comma 67 3" xfId="8388"/>
    <cellStyle name="Comma 67 4" xfId="7851"/>
    <cellStyle name="Comma 68" xfId="1992"/>
    <cellStyle name="Comma 68 2" xfId="7545"/>
    <cellStyle name="Comma 68 2 2" xfId="8109"/>
    <cellStyle name="Comma 68 3" xfId="8382"/>
    <cellStyle name="Comma 68 4" xfId="7852"/>
    <cellStyle name="Comma 69" xfId="1993"/>
    <cellStyle name="Comma 69 2" xfId="7546"/>
    <cellStyle name="Comma 69 2 2" xfId="8110"/>
    <cellStyle name="Comma 69 3" xfId="8384"/>
    <cellStyle name="Comma 69 4" xfId="7853"/>
    <cellStyle name="Comma 7" xfId="1994"/>
    <cellStyle name="Comma 7 2" xfId="1995"/>
    <cellStyle name="Comma 7 2 2" xfId="1996"/>
    <cellStyle name="Comma 7 2 2 2" xfId="1997"/>
    <cellStyle name="Comma 7 2 2 2 2" xfId="7550"/>
    <cellStyle name="Comma 7 2 2 2 2 2" xfId="8114"/>
    <cellStyle name="Comma 7 2 2 2 3" xfId="8322"/>
    <cellStyle name="Comma 7 2 2 2 4" xfId="7857"/>
    <cellStyle name="Comma 7 2 2 3" xfId="7549"/>
    <cellStyle name="Comma 7 2 2 3 2" xfId="8113"/>
    <cellStyle name="Comma 7 2 2 4" xfId="8227"/>
    <cellStyle name="Comma 7 2 2 5" xfId="7856"/>
    <cellStyle name="Comma 7 2 3" xfId="1998"/>
    <cellStyle name="Comma 7 2 3 2" xfId="7551"/>
    <cellStyle name="Comma 7 2 3 2 2" xfId="8115"/>
    <cellStyle name="Comma 7 2 3 3" xfId="8321"/>
    <cellStyle name="Comma 7 2 3 4" xfId="7858"/>
    <cellStyle name="Comma 7 2 4" xfId="7548"/>
    <cellStyle name="Comma 7 2 4 2" xfId="8112"/>
    <cellStyle name="Comma 7 2 5" xfId="8226"/>
    <cellStyle name="Comma 7 2 6" xfId="7855"/>
    <cellStyle name="Comma 7 3" xfId="1999"/>
    <cellStyle name="Comma 7 3 2" xfId="2000"/>
    <cellStyle name="Comma 7 3 2 2" xfId="7553"/>
    <cellStyle name="Comma 7 3 2 2 2" xfId="8117"/>
    <cellStyle name="Comma 7 3 2 3" xfId="8323"/>
    <cellStyle name="Comma 7 3 2 4" xfId="7860"/>
    <cellStyle name="Comma 7 3 3" xfId="7552"/>
    <cellStyle name="Comma 7 3 3 2" xfId="8116"/>
    <cellStyle name="Comma 7 3 4" xfId="8228"/>
    <cellStyle name="Comma 7 3 5" xfId="7859"/>
    <cellStyle name="Comma 7 4" xfId="2001"/>
    <cellStyle name="Comma 7 4 2" xfId="2002"/>
    <cellStyle name="Comma 7 4 2 2" xfId="7555"/>
    <cellStyle name="Comma 7 4 2 2 2" xfId="8119"/>
    <cellStyle name="Comma 7 4 2 3" xfId="8324"/>
    <cellStyle name="Comma 7 4 2 4" xfId="7862"/>
    <cellStyle name="Comma 7 4 3" xfId="7554"/>
    <cellStyle name="Comma 7 4 3 2" xfId="8118"/>
    <cellStyle name="Comma 7 4 4" xfId="8229"/>
    <cellStyle name="Comma 7 4 5" xfId="7861"/>
    <cellStyle name="Comma 7 5" xfId="2003"/>
    <cellStyle name="Comma 7 5 2" xfId="7556"/>
    <cellStyle name="Comma 7 5 2 2" xfId="8120"/>
    <cellStyle name="Comma 7 5 3" xfId="8320"/>
    <cellStyle name="Comma 7 5 4" xfId="7863"/>
    <cellStyle name="Comma 7 6" xfId="7547"/>
    <cellStyle name="Comma 7 6 2" xfId="8111"/>
    <cellStyle name="Comma 7 7" xfId="8225"/>
    <cellStyle name="Comma 7 8" xfId="7854"/>
    <cellStyle name="Comma 70" xfId="2004"/>
    <cellStyle name="Comma 70 2" xfId="7557"/>
    <cellStyle name="Comma 70 2 2" xfId="8121"/>
    <cellStyle name="Comma 70 3" xfId="8386"/>
    <cellStyle name="Comma 70 4" xfId="7864"/>
    <cellStyle name="Comma 71" xfId="2005"/>
    <cellStyle name="Comma 71 2" xfId="7558"/>
    <cellStyle name="Comma 71 2 2" xfId="8122"/>
    <cellStyle name="Comma 71 3" xfId="8383"/>
    <cellStyle name="Comma 71 4" xfId="7865"/>
    <cellStyle name="Comma 72" xfId="2006"/>
    <cellStyle name="Comma 72 2" xfId="7559"/>
    <cellStyle name="Comma 72 2 2" xfId="8123"/>
    <cellStyle name="Comma 72 3" xfId="8385"/>
    <cellStyle name="Comma 72 4" xfId="7866"/>
    <cellStyle name="Comma 73" xfId="2007"/>
    <cellStyle name="Comma 73 2" xfId="7560"/>
    <cellStyle name="Comma 73 2 2" xfId="8124"/>
    <cellStyle name="Comma 73 3" xfId="8394"/>
    <cellStyle name="Comma 73 4" xfId="7867"/>
    <cellStyle name="Comma 74" xfId="2008"/>
    <cellStyle name="Comma 74 2" xfId="7561"/>
    <cellStyle name="Comma 74 2 2" xfId="8125"/>
    <cellStyle name="Comma 74 3" xfId="8393"/>
    <cellStyle name="Comma 74 4" xfId="7868"/>
    <cellStyle name="Comma 75" xfId="2009"/>
    <cellStyle name="Comma 75 2" xfId="7562"/>
    <cellStyle name="Comma 75 2 2" xfId="8126"/>
    <cellStyle name="Comma 75 3" xfId="8395"/>
    <cellStyle name="Comma 75 4" xfId="7869"/>
    <cellStyle name="Comma 76" xfId="2010"/>
    <cellStyle name="Comma 76 2" xfId="7563"/>
    <cellStyle name="Comma 76 2 2" xfId="8127"/>
    <cellStyle name="Comma 76 3" xfId="8401"/>
    <cellStyle name="Comma 76 4" xfId="7870"/>
    <cellStyle name="Comma 77" xfId="2011"/>
    <cellStyle name="Comma 77 2" xfId="7564"/>
    <cellStyle name="Comma 77 2 2" xfId="8128"/>
    <cellStyle name="Comma 77 3" xfId="8405"/>
    <cellStyle name="Comma 77 4" xfId="7871"/>
    <cellStyle name="Comma 78" xfId="2012"/>
    <cellStyle name="Comma 78 2" xfId="7565"/>
    <cellStyle name="Comma 78 2 2" xfId="8129"/>
    <cellStyle name="Comma 78 3" xfId="8340"/>
    <cellStyle name="Comma 78 4" xfId="7872"/>
    <cellStyle name="Comma 79" xfId="2013"/>
    <cellStyle name="Comma 79 2" xfId="7566"/>
    <cellStyle name="Comma 79 2 2" xfId="8130"/>
    <cellStyle name="Comma 79 3" xfId="8397"/>
    <cellStyle name="Comma 79 4" xfId="7873"/>
    <cellStyle name="Comma 8" xfId="2014"/>
    <cellStyle name="Comma 8 2" xfId="2015"/>
    <cellStyle name="Comma 8 2 2" xfId="2016"/>
    <cellStyle name="Comma 8 2 2 2" xfId="2017"/>
    <cellStyle name="Comma 8 2 2 2 2" xfId="7570"/>
    <cellStyle name="Comma 8 2 2 2 2 2" xfId="8134"/>
    <cellStyle name="Comma 8 2 2 2 3" xfId="8327"/>
    <cellStyle name="Comma 8 2 2 2 4" xfId="7877"/>
    <cellStyle name="Comma 8 2 2 3" xfId="7569"/>
    <cellStyle name="Comma 8 2 2 3 2" xfId="8133"/>
    <cellStyle name="Comma 8 2 2 4" xfId="8232"/>
    <cellStyle name="Comma 8 2 2 5" xfId="7876"/>
    <cellStyle name="Comma 8 2 3" xfId="2018"/>
    <cellStyle name="Comma 8 2 3 2" xfId="7571"/>
    <cellStyle name="Comma 8 2 3 2 2" xfId="8135"/>
    <cellStyle name="Comma 8 2 3 3" xfId="8326"/>
    <cellStyle name="Comma 8 2 3 4" xfId="7878"/>
    <cellStyle name="Comma 8 2 4" xfId="7568"/>
    <cellStyle name="Comma 8 2 4 2" xfId="8132"/>
    <cellStyle name="Comma 8 2 5" xfId="8231"/>
    <cellStyle name="Comma 8 2 6" xfId="7875"/>
    <cellStyle name="Comma 8 3" xfId="2019"/>
    <cellStyle name="Comma 8 3 2" xfId="2020"/>
    <cellStyle name="Comma 8 3 2 2" xfId="7573"/>
    <cellStyle name="Comma 8 3 2 2 2" xfId="8137"/>
    <cellStyle name="Comma 8 3 2 3" xfId="8328"/>
    <cellStyle name="Comma 8 3 2 4" xfId="7880"/>
    <cellStyle name="Comma 8 3 3" xfId="7572"/>
    <cellStyle name="Comma 8 3 3 2" xfId="8136"/>
    <cellStyle name="Comma 8 3 4" xfId="8233"/>
    <cellStyle name="Comma 8 3 5" xfId="7879"/>
    <cellStyle name="Comma 8 4" xfId="2021"/>
    <cellStyle name="Comma 8 4 2" xfId="2022"/>
    <cellStyle name="Comma 8 4 2 2" xfId="7575"/>
    <cellStyle name="Comma 8 4 2 2 2" xfId="8139"/>
    <cellStyle name="Comma 8 4 2 3" xfId="8329"/>
    <cellStyle name="Comma 8 4 2 4" xfId="7882"/>
    <cellStyle name="Comma 8 4 3" xfId="7574"/>
    <cellStyle name="Comma 8 4 3 2" xfId="8138"/>
    <cellStyle name="Comma 8 4 4" xfId="8234"/>
    <cellStyle name="Comma 8 4 5" xfId="7881"/>
    <cellStyle name="Comma 8 5" xfId="2023"/>
    <cellStyle name="Comma 8 5 2" xfId="7576"/>
    <cellStyle name="Comma 8 5 2 2" xfId="8140"/>
    <cellStyle name="Comma 8 5 3" xfId="8325"/>
    <cellStyle name="Comma 8 5 4" xfId="7883"/>
    <cellStyle name="Comma 8 6" xfId="7567"/>
    <cellStyle name="Comma 8 6 2" xfId="8131"/>
    <cellStyle name="Comma 8 7" xfId="8230"/>
    <cellStyle name="Comma 8 8" xfId="7874"/>
    <cellStyle name="Comma 80" xfId="2024"/>
    <cellStyle name="Comma 80 2" xfId="7577"/>
    <cellStyle name="Comma 80 2 2" xfId="8141"/>
    <cellStyle name="Comma 80 3" xfId="8391"/>
    <cellStyle name="Comma 80 4" xfId="7884"/>
    <cellStyle name="Comma 81" xfId="2025"/>
    <cellStyle name="Comma 81 2" xfId="7578"/>
    <cellStyle name="Comma 81 2 2" xfId="8142"/>
    <cellStyle name="Comma 81 3" xfId="8390"/>
    <cellStyle name="Comma 81 4" xfId="7885"/>
    <cellStyle name="Comma 82" xfId="2026"/>
    <cellStyle name="Comma 82 2" xfId="7579"/>
    <cellStyle name="Comma 82 2 2" xfId="8143"/>
    <cellStyle name="Comma 82 3" xfId="8400"/>
    <cellStyle name="Comma 82 4" xfId="7886"/>
    <cellStyle name="Comma 83" xfId="2027"/>
    <cellStyle name="Comma 83 2" xfId="7580"/>
    <cellStyle name="Comma 83 2 2" xfId="8144"/>
    <cellStyle name="Comma 83 3" xfId="8402"/>
    <cellStyle name="Comma 83 4" xfId="7887"/>
    <cellStyle name="Comma 84" xfId="2028"/>
    <cellStyle name="Comma 84 2" xfId="7581"/>
    <cellStyle name="Comma 84 2 2" xfId="8145"/>
    <cellStyle name="Comma 84 3" xfId="8398"/>
    <cellStyle name="Comma 84 4" xfId="7888"/>
    <cellStyle name="Comma 85" xfId="2029"/>
    <cellStyle name="Comma 85 2" xfId="7582"/>
    <cellStyle name="Comma 85 2 2" xfId="8146"/>
    <cellStyle name="Comma 85 3" xfId="8404"/>
    <cellStyle name="Comma 85 4" xfId="7889"/>
    <cellStyle name="Comma 86" xfId="2030"/>
    <cellStyle name="Comma 86 2" xfId="7583"/>
    <cellStyle name="Comma 86 2 2" xfId="8147"/>
    <cellStyle name="Comma 86 3" xfId="8406"/>
    <cellStyle name="Comma 86 4" xfId="7890"/>
    <cellStyle name="Comma 87" xfId="2031"/>
    <cellStyle name="Comma 87 2" xfId="7584"/>
    <cellStyle name="Comma 87 2 2" xfId="8148"/>
    <cellStyle name="Comma 87 3" xfId="8403"/>
    <cellStyle name="Comma 87 4" xfId="7891"/>
    <cellStyle name="Comma 88" xfId="2032"/>
    <cellStyle name="Comma 88 2" xfId="7585"/>
    <cellStyle name="Comma 88 2 2" xfId="8149"/>
    <cellStyle name="Comma 88 3" xfId="8392"/>
    <cellStyle name="Comma 88 4" xfId="7892"/>
    <cellStyle name="Comma 89" xfId="2033"/>
    <cellStyle name="Comma 89 2" xfId="7586"/>
    <cellStyle name="Comma 89 2 2" xfId="8150"/>
    <cellStyle name="Comma 89 3" xfId="8396"/>
    <cellStyle name="Comma 89 4" xfId="7893"/>
    <cellStyle name="Comma 9" xfId="2034"/>
    <cellStyle name="Comma 9 2" xfId="2035"/>
    <cellStyle name="Comma 9 2 2" xfId="2036"/>
    <cellStyle name="Comma 9 2 2 2" xfId="2037"/>
    <cellStyle name="Comma 9 2 2 2 2" xfId="7590"/>
    <cellStyle name="Comma 9 2 2 2 2 2" xfId="8154"/>
    <cellStyle name="Comma 9 2 2 2 3" xfId="8332"/>
    <cellStyle name="Comma 9 2 2 2 4" xfId="7897"/>
    <cellStyle name="Comma 9 2 2 3" xfId="7589"/>
    <cellStyle name="Comma 9 2 2 3 2" xfId="8153"/>
    <cellStyle name="Comma 9 2 2 4" xfId="8237"/>
    <cellStyle name="Comma 9 2 2 5" xfId="7896"/>
    <cellStyle name="Comma 9 2 3" xfId="2038"/>
    <cellStyle name="Comma 9 2 3 2" xfId="7591"/>
    <cellStyle name="Comma 9 2 3 2 2" xfId="8155"/>
    <cellStyle name="Comma 9 2 3 3" xfId="8331"/>
    <cellStyle name="Comma 9 2 3 4" xfId="7898"/>
    <cellStyle name="Comma 9 2 4" xfId="7588"/>
    <cellStyle name="Comma 9 2 4 2" xfId="8152"/>
    <cellStyle name="Comma 9 2 5" xfId="8236"/>
    <cellStyle name="Comma 9 2 6" xfId="7895"/>
    <cellStyle name="Comma 9 3" xfId="2039"/>
    <cellStyle name="Comma 9 3 2" xfId="2040"/>
    <cellStyle name="Comma 9 3 2 2" xfId="7593"/>
    <cellStyle name="Comma 9 3 2 2 2" xfId="8157"/>
    <cellStyle name="Comma 9 3 2 3" xfId="8333"/>
    <cellStyle name="Comma 9 3 2 4" xfId="7900"/>
    <cellStyle name="Comma 9 3 3" xfId="7592"/>
    <cellStyle name="Comma 9 3 3 2" xfId="8156"/>
    <cellStyle name="Comma 9 3 4" xfId="8238"/>
    <cellStyle name="Comma 9 3 5" xfId="7899"/>
    <cellStyle name="Comma 9 4" xfId="2041"/>
    <cellStyle name="Comma 9 4 2" xfId="2042"/>
    <cellStyle name="Comma 9 4 2 2" xfId="7595"/>
    <cellStyle name="Comma 9 4 2 2 2" xfId="8159"/>
    <cellStyle name="Comma 9 4 2 3" xfId="8334"/>
    <cellStyle name="Comma 9 4 2 4" xfId="7902"/>
    <cellStyle name="Comma 9 4 3" xfId="7594"/>
    <cellStyle name="Comma 9 4 3 2" xfId="8158"/>
    <cellStyle name="Comma 9 4 4" xfId="8239"/>
    <cellStyle name="Comma 9 4 5" xfId="7901"/>
    <cellStyle name="Comma 9 5" xfId="2043"/>
    <cellStyle name="Comma 9 5 2" xfId="7596"/>
    <cellStyle name="Comma 9 5 2 2" xfId="8160"/>
    <cellStyle name="Comma 9 5 3" xfId="8330"/>
    <cellStyle name="Comma 9 5 4" xfId="7903"/>
    <cellStyle name="Comma 9 6" xfId="7587"/>
    <cellStyle name="Comma 9 6 2" xfId="8151"/>
    <cellStyle name="Comma 9 7" xfId="8235"/>
    <cellStyle name="Comma 9 8" xfId="7894"/>
    <cellStyle name="Comma 90" xfId="2044"/>
    <cellStyle name="Comma 90 2" xfId="7597"/>
    <cellStyle name="Comma 90 2 2" xfId="8161"/>
    <cellStyle name="Comma 90 3" xfId="8342"/>
    <cellStyle name="Comma 90 4" xfId="7904"/>
    <cellStyle name="Comma 91" xfId="2045"/>
    <cellStyle name="Comma 91 2" xfId="7598"/>
    <cellStyle name="Comma 91 2 2" xfId="8162"/>
    <cellStyle name="Comma 91 3" xfId="8399"/>
    <cellStyle name="Comma 91 4" xfId="7905"/>
    <cellStyle name="Comma 92" xfId="2046"/>
    <cellStyle name="Comma 92 2" xfId="7599"/>
    <cellStyle name="Comma 92 2 2" xfId="8163"/>
    <cellStyle name="Comma 92 3" xfId="8430"/>
    <cellStyle name="Comma 92 4" xfId="7906"/>
    <cellStyle name="Comma 93" xfId="2047"/>
    <cellStyle name="Comma 93 2" xfId="7600"/>
    <cellStyle name="Comma 93 2 2" xfId="8164"/>
    <cellStyle name="Comma 93 3" xfId="8407"/>
    <cellStyle name="Comma 93 4" xfId="7907"/>
    <cellStyle name="Comma 94" xfId="2048"/>
    <cellStyle name="Comma 94 2" xfId="7601"/>
    <cellStyle name="Comma 94 2 2" xfId="8165"/>
    <cellStyle name="Comma 94 3" xfId="8419"/>
    <cellStyle name="Comma 94 4" xfId="7908"/>
    <cellStyle name="Comma 95" xfId="2049"/>
    <cellStyle name="Comma 95 2" xfId="7602"/>
    <cellStyle name="Comma 95 2 2" xfId="8166"/>
    <cellStyle name="Comma 95 3" xfId="8416"/>
    <cellStyle name="Comma 95 4" xfId="7909"/>
    <cellStyle name="Comma 96" xfId="2050"/>
    <cellStyle name="Comma 96 2" xfId="7603"/>
    <cellStyle name="Comma 96 2 2" xfId="8167"/>
    <cellStyle name="Comma 96 3" xfId="8417"/>
    <cellStyle name="Comma 96 4" xfId="7910"/>
    <cellStyle name="Comma 97" xfId="2051"/>
    <cellStyle name="Comma 97 2" xfId="7604"/>
    <cellStyle name="Comma 97 2 2" xfId="8168"/>
    <cellStyle name="Comma 97 3" xfId="8429"/>
    <cellStyle name="Comma 97 4" xfId="7911"/>
    <cellStyle name="Comma 98" xfId="2052"/>
    <cellStyle name="Comma 98 2" xfId="7605"/>
    <cellStyle name="Comma 98 2 2" xfId="8169"/>
    <cellStyle name="Comma 98 3" xfId="8425"/>
    <cellStyle name="Comma 98 4" xfId="7912"/>
    <cellStyle name="Comma 99" xfId="2053"/>
    <cellStyle name="Comma 99 2" xfId="7606"/>
    <cellStyle name="Comma 99 2 2" xfId="8170"/>
    <cellStyle name="Comma 99 3" xfId="8410"/>
    <cellStyle name="Comma 99 4" xfId="7913"/>
    <cellStyle name="COMMENTS" xfId="2054"/>
    <cellStyle name="Currency 2" xfId="2055"/>
    <cellStyle name="Currency 2 2" xfId="2056"/>
    <cellStyle name="Currency 2 2 2" xfId="7608"/>
    <cellStyle name="Currency 2 2 2 2" xfId="8172"/>
    <cellStyle name="Currency 2 2 3" xfId="8335"/>
    <cellStyle name="Currency 2 2 4" xfId="7915"/>
    <cellStyle name="Currency 2 3" xfId="7607"/>
    <cellStyle name="Currency 2 3 2" xfId="8171"/>
    <cellStyle name="Currency 2 4" xfId="8240"/>
    <cellStyle name="Currency 2 5" xfId="7914"/>
    <cellStyle name="Currency 3" xfId="2057"/>
    <cellStyle name="Currency 3 2" xfId="2058"/>
    <cellStyle name="Currency 3 2 2" xfId="7610"/>
    <cellStyle name="Currency 3 2 2 2" xfId="8174"/>
    <cellStyle name="Currency 3 2 3" xfId="8336"/>
    <cellStyle name="Currency 3 2 4" xfId="7917"/>
    <cellStyle name="Currency 3 3" xfId="7609"/>
    <cellStyle name="Currency 3 3 2" xfId="8173"/>
    <cellStyle name="Currency 3 4" xfId="8241"/>
    <cellStyle name="Currency 3 5" xfId="7916"/>
    <cellStyle name="Currency 4" xfId="2059"/>
    <cellStyle name="Currency 4 2" xfId="2060"/>
    <cellStyle name="Currency 4 2 2" xfId="7612"/>
    <cellStyle name="Currency 4 2 2 2" xfId="8176"/>
    <cellStyle name="Currency 4 2 3" xfId="8337"/>
    <cellStyle name="Currency 4 2 4" xfId="7919"/>
    <cellStyle name="Currency 4 3" xfId="7611"/>
    <cellStyle name="Currency 4 3 2" xfId="8175"/>
    <cellStyle name="Currency 4 4" xfId="8242"/>
    <cellStyle name="Currency 4 5" xfId="7918"/>
    <cellStyle name="Currency 5" xfId="2061"/>
    <cellStyle name="Currency 5 2" xfId="2062"/>
    <cellStyle name="Currency 5 2 2" xfId="7614"/>
    <cellStyle name="Currency 5 2 2 2" xfId="8178"/>
    <cellStyle name="Currency 5 2 3" xfId="8338"/>
    <cellStyle name="Currency 5 2 4" xfId="7921"/>
    <cellStyle name="Currency 5 3" xfId="7613"/>
    <cellStyle name="Currency 5 3 2" xfId="8177"/>
    <cellStyle name="Currency 5 4" xfId="8243"/>
    <cellStyle name="Currency 5 5" xfId="7920"/>
    <cellStyle name="Currency 6" xfId="2063"/>
    <cellStyle name="Currency 6 2" xfId="2064"/>
    <cellStyle name="Currency 6 2 2" xfId="7616"/>
    <cellStyle name="Currency 6 2 2 2" xfId="8180"/>
    <cellStyle name="Currency 6 2 3" xfId="8339"/>
    <cellStyle name="Currency 6 2 4" xfId="7923"/>
    <cellStyle name="Currency 6 3" xfId="7615"/>
    <cellStyle name="Currency 6 3 2" xfId="8179"/>
    <cellStyle name="Currency 6 4" xfId="8244"/>
    <cellStyle name="Currency 6 5" xfId="7922"/>
    <cellStyle name="Currency 7" xfId="2065"/>
    <cellStyle name="dash" xfId="2066"/>
    <cellStyle name="Data" xfId="2067"/>
    <cellStyle name="Data2" xfId="2068"/>
    <cellStyle name="Data5" xfId="2069"/>
    <cellStyle name="date" xfId="2070"/>
    <cellStyle name="date 2" xfId="2071"/>
    <cellStyle name="Daymethod" xfId="2072"/>
    <cellStyle name="days" xfId="2073"/>
    <cellStyle name="Dialog" xfId="2074"/>
    <cellStyle name="Explanatory Text" xfId="7638" builtinId="53" customBuiltin="1"/>
    <cellStyle name="Explanatory Text 2" xfId="2075"/>
    <cellStyle name="Explanatory Text 3" xfId="2076"/>
    <cellStyle name="FcBackground" xfId="2077"/>
    <cellStyle name="FcBluesFuts" xfId="2078"/>
    <cellStyle name="FcCalculated" xfId="2079"/>
    <cellStyle name="FcCalculated 2" xfId="2080"/>
    <cellStyle name="FcCalculated 3" xfId="2081"/>
    <cellStyle name="FcCalculated_apollo_curves" xfId="2082"/>
    <cellStyle name="FcCalculated2" xfId="2083"/>
    <cellStyle name="FcExtData" xfId="2084"/>
    <cellStyle name="FcFrontFut" xfId="2085"/>
    <cellStyle name="FcFrontRed" xfId="2086"/>
    <cellStyle name="FcGoldFuts" xfId="2087"/>
    <cellStyle name="FcGreenFuts" xfId="2088"/>
    <cellStyle name="FcInput" xfId="2089"/>
    <cellStyle name="FcLabel1" xfId="2090"/>
    <cellStyle name="FcLabel2" xfId="2091"/>
    <cellStyle name="FcNumeric" xfId="2092"/>
    <cellStyle name="FcNumeric 2" xfId="2093"/>
    <cellStyle name="FcRealTime" xfId="2094"/>
    <cellStyle name="FcRealTime 2" xfId="2095"/>
    <cellStyle name="FcRealTime 3" xfId="2096"/>
    <cellStyle name="FcRealTime_apollo_curves" xfId="2097"/>
    <cellStyle name="FcRedFuts" xfId="2098"/>
    <cellStyle name="FcSubHeading" xfId="2099"/>
    <cellStyle name="FcTechHackers" xfId="2100"/>
    <cellStyle name="FcTopLine" xfId="2101"/>
    <cellStyle name="footnote" xfId="2102"/>
    <cellStyle name="footnote2" xfId="2103"/>
    <cellStyle name="GeneralText" xfId="2104"/>
    <cellStyle name="Good" xfId="7628" builtinId="26" customBuiltin="1"/>
    <cellStyle name="Good 2" xfId="2105"/>
    <cellStyle name="Good 2 2" xfId="2106"/>
    <cellStyle name="Good 3" xfId="2107"/>
    <cellStyle name="Good 4" xfId="2108"/>
    <cellStyle name="Header" xfId="2109"/>
    <cellStyle name="Header 2" xfId="2110"/>
    <cellStyle name="Heading 1" xfId="7624" builtinId="16" customBuiltin="1"/>
    <cellStyle name="Heading 1 2" xfId="2111"/>
    <cellStyle name="Heading 1 2 2" xfId="2112"/>
    <cellStyle name="Heading 1 3" xfId="2113"/>
    <cellStyle name="Heading 1 3 2" xfId="2114"/>
    <cellStyle name="Heading 1 4" xfId="2115"/>
    <cellStyle name="Heading 1 5" xfId="2116"/>
    <cellStyle name="Heading 1 6" xfId="2117"/>
    <cellStyle name="Heading 2" xfId="7625" builtinId="17" customBuiltin="1"/>
    <cellStyle name="Heading 2 2" xfId="2118"/>
    <cellStyle name="Heading 2 2 2" xfId="2119"/>
    <cellStyle name="Heading 2 3" xfId="2120"/>
    <cellStyle name="Heading 2 4" xfId="2121"/>
    <cellStyle name="Heading 2 5" xfId="2122"/>
    <cellStyle name="Heading 2 6" xfId="2123"/>
    <cellStyle name="Heading 3" xfId="7626" builtinId="18" customBuiltin="1"/>
    <cellStyle name="Heading 3 2" xfId="2124"/>
    <cellStyle name="Heading 3 2 2" xfId="2125"/>
    <cellStyle name="Heading 3 3" xfId="2126"/>
    <cellStyle name="Heading 3 3 2" xfId="2127"/>
    <cellStyle name="Heading 3 4" xfId="2128"/>
    <cellStyle name="Heading 3 5" xfId="2129"/>
    <cellStyle name="Heading 3 6" xfId="2130"/>
    <cellStyle name="Heading 4" xfId="7627" builtinId="19" customBuiltin="1"/>
    <cellStyle name="Heading 4 2" xfId="2131"/>
    <cellStyle name="Heading 4 2 2" xfId="2132"/>
    <cellStyle name="Heading 4 3" xfId="2133"/>
    <cellStyle name="Heading 4 4" xfId="2134"/>
    <cellStyle name="Heading 4 5" xfId="2135"/>
    <cellStyle name="Hidden" xfId="2136"/>
    <cellStyle name="Hyperlink 2" xfId="2137"/>
    <cellStyle name="Hyperlink 2 2" xfId="2138"/>
    <cellStyle name="Hyperlink 2_Instructions and Positions" xfId="2139"/>
    <cellStyle name="implemented" xfId="2140"/>
    <cellStyle name="Input" xfId="7631" builtinId="20" customBuiltin="1"/>
    <cellStyle name="Input 2" xfId="2141"/>
    <cellStyle name="Input 2 2" xfId="2142"/>
    <cellStyle name="Input 2 2 2" xfId="2143"/>
    <cellStyle name="Input 2 2 2 2" xfId="2144"/>
    <cellStyle name="Input 2 2 2 2 2" xfId="2145"/>
    <cellStyle name="Input 2 2 2 2 2 2" xfId="2146"/>
    <cellStyle name="Input 2 2 2 2 2 2 2" xfId="2147"/>
    <cellStyle name="Input 2 2 2 2 2 2 2 2" xfId="2148"/>
    <cellStyle name="Input 2 2 2 2 2 2 2 2 2" xfId="2149"/>
    <cellStyle name="Input 2 2 2 2 2 2 2 3" xfId="2150"/>
    <cellStyle name="Input 2 2 2 2 2 2 3" xfId="2151"/>
    <cellStyle name="Input 2 2 2 2 2 2 3 2" xfId="2152"/>
    <cellStyle name="Input 2 2 2 2 2 2 4" xfId="2153"/>
    <cellStyle name="Input 2 2 2 2 2 3" xfId="2154"/>
    <cellStyle name="Input 2 2 2 2 2 3 2" xfId="2155"/>
    <cellStyle name="Input 2 2 2 2 2 3 2 2" xfId="2156"/>
    <cellStyle name="Input 2 2 2 2 2 3 3" xfId="2157"/>
    <cellStyle name="Input 2 2 2 2 2 3 4" xfId="2158"/>
    <cellStyle name="Input 2 2 2 2 2 4" xfId="2159"/>
    <cellStyle name="Input 2 2 2 2 2 4 2" xfId="2160"/>
    <cellStyle name="Input 2 2 2 2 2 4 2 2" xfId="2161"/>
    <cellStyle name="Input 2 2 2 2 2 4 3" xfId="2162"/>
    <cellStyle name="Input 2 2 2 2 2 5" xfId="2163"/>
    <cellStyle name="Input 2 2 2 2 2 5 2" xfId="2164"/>
    <cellStyle name="Input 2 2 2 2 2 6" xfId="2165"/>
    <cellStyle name="Input 2 2 2 2 3" xfId="2166"/>
    <cellStyle name="Input 2 2 2 2 3 2" xfId="2167"/>
    <cellStyle name="Input 2 2 2 2 3 2 2" xfId="2168"/>
    <cellStyle name="Input 2 2 2 2 3 2 2 2" xfId="2169"/>
    <cellStyle name="Input 2 2 2 2 3 2 2 2 2" xfId="2170"/>
    <cellStyle name="Input 2 2 2 2 3 2 2 3" xfId="2171"/>
    <cellStyle name="Input 2 2 2 2 3 2 3" xfId="2172"/>
    <cellStyle name="Input 2 2 2 2 3 2 3 2" xfId="2173"/>
    <cellStyle name="Input 2 2 2 2 3 2 4" xfId="2174"/>
    <cellStyle name="Input 2 2 2 2 3 3" xfId="2175"/>
    <cellStyle name="Input 2 2 2 2 3 3 2" xfId="2176"/>
    <cellStyle name="Input 2 2 2 2 3 3 2 2" xfId="2177"/>
    <cellStyle name="Input 2 2 2 2 3 3 3" xfId="2178"/>
    <cellStyle name="Input 2 2 2 2 3 3 4" xfId="2179"/>
    <cellStyle name="Input 2 2 2 2 3 4" xfId="2180"/>
    <cellStyle name="Input 2 2 2 2 3 4 2" xfId="2181"/>
    <cellStyle name="Input 2 2 2 2 3 4 2 2" xfId="2182"/>
    <cellStyle name="Input 2 2 2 2 3 4 3" xfId="2183"/>
    <cellStyle name="Input 2 2 2 2 3 5" xfId="2184"/>
    <cellStyle name="Input 2 2 2 2 3 5 2" xfId="2185"/>
    <cellStyle name="Input 2 2 2 2 3 6" xfId="2186"/>
    <cellStyle name="Input 2 2 2 2 4" xfId="2187"/>
    <cellStyle name="Input 2 2 2 2 4 2" xfId="2188"/>
    <cellStyle name="Input 2 2 2 2 4 2 2" xfId="2189"/>
    <cellStyle name="Input 2 2 2 2 4 2 2 2" xfId="2190"/>
    <cellStyle name="Input 2 2 2 2 4 2 2 2 2" xfId="2191"/>
    <cellStyle name="Input 2 2 2 2 4 2 2 3" xfId="2192"/>
    <cellStyle name="Input 2 2 2 2 4 2 3" xfId="2193"/>
    <cellStyle name="Input 2 2 2 2 4 2 3 2" xfId="2194"/>
    <cellStyle name="Input 2 2 2 2 4 2 4" xfId="2195"/>
    <cellStyle name="Input 2 2 2 2 4 3" xfId="2196"/>
    <cellStyle name="Input 2 2 2 2 4 3 2" xfId="2197"/>
    <cellStyle name="Input 2 2 2 2 4 3 2 2" xfId="2198"/>
    <cellStyle name="Input 2 2 2 2 4 3 3" xfId="2199"/>
    <cellStyle name="Input 2 2 2 2 4 3 4" xfId="2200"/>
    <cellStyle name="Input 2 2 2 2 4 4" xfId="2201"/>
    <cellStyle name="Input 2 2 2 2 4 4 2" xfId="2202"/>
    <cellStyle name="Input 2 2 2 2 4 4 2 2" xfId="2203"/>
    <cellStyle name="Input 2 2 2 2 4 4 3" xfId="2204"/>
    <cellStyle name="Input 2 2 2 2 4 5" xfId="2205"/>
    <cellStyle name="Input 2 2 2 2 4 5 2" xfId="2206"/>
    <cellStyle name="Input 2 2 2 2 4 6" xfId="2207"/>
    <cellStyle name="Input 2 2 2 2 5" xfId="2208"/>
    <cellStyle name="Input 2 2 2 2 5 2" xfId="2209"/>
    <cellStyle name="Input 2 2 2 3" xfId="2210"/>
    <cellStyle name="Input 2 2 2 3 2" xfId="2211"/>
    <cellStyle name="Input 2 2 2 3 2 2" xfId="2212"/>
    <cellStyle name="Input 2 2 2 3 2 2 2" xfId="2213"/>
    <cellStyle name="Input 2 2 2 3 2 2 2 2" xfId="2214"/>
    <cellStyle name="Input 2 2 2 3 2 2 3" xfId="2215"/>
    <cellStyle name="Input 2 2 2 3 2 3" xfId="2216"/>
    <cellStyle name="Input 2 2 2 3 2 3 2" xfId="2217"/>
    <cellStyle name="Input 2 2 2 3 2 4" xfId="2218"/>
    <cellStyle name="Input 2 2 2 3 3" xfId="2219"/>
    <cellStyle name="Input 2 2 2 3 3 2" xfId="2220"/>
    <cellStyle name="Input 2 2 2 3 3 2 2" xfId="2221"/>
    <cellStyle name="Input 2 2 2 3 3 3" xfId="2222"/>
    <cellStyle name="Input 2 2 2 3 3 4" xfId="2223"/>
    <cellStyle name="Input 2 2 2 3 4" xfId="2224"/>
    <cellStyle name="Input 2 2 2 3 4 2" xfId="2225"/>
    <cellStyle name="Input 2 2 2 3 4 2 2" xfId="2226"/>
    <cellStyle name="Input 2 2 2 3 4 3" xfId="2227"/>
    <cellStyle name="Input 2 2 2 3 5" xfId="2228"/>
    <cellStyle name="Input 2 2 2 3 5 2" xfId="2229"/>
    <cellStyle name="Input 2 2 2 3 6" xfId="2230"/>
    <cellStyle name="Input 2 2 2 4" xfId="2231"/>
    <cellStyle name="Input 2 2 2 4 2" xfId="2232"/>
    <cellStyle name="Input 2 2 2 4 2 2" xfId="2233"/>
    <cellStyle name="Input 2 2 2 4 2 2 2" xfId="2234"/>
    <cellStyle name="Input 2 2 2 4 2 2 2 2" xfId="2235"/>
    <cellStyle name="Input 2 2 2 4 2 2 3" xfId="2236"/>
    <cellStyle name="Input 2 2 2 4 2 3" xfId="2237"/>
    <cellStyle name="Input 2 2 2 4 2 3 2" xfId="2238"/>
    <cellStyle name="Input 2 2 2 4 2 4" xfId="2239"/>
    <cellStyle name="Input 2 2 2 4 3" xfId="2240"/>
    <cellStyle name="Input 2 2 2 4 3 2" xfId="2241"/>
    <cellStyle name="Input 2 2 2 4 3 2 2" xfId="2242"/>
    <cellStyle name="Input 2 2 2 4 3 3" xfId="2243"/>
    <cellStyle name="Input 2 2 2 4 3 4" xfId="2244"/>
    <cellStyle name="Input 2 2 2 4 4" xfId="2245"/>
    <cellStyle name="Input 2 2 2 4 4 2" xfId="2246"/>
    <cellStyle name="Input 2 2 2 4 4 2 2" xfId="2247"/>
    <cellStyle name="Input 2 2 2 4 4 3" xfId="2248"/>
    <cellStyle name="Input 2 2 2 4 5" xfId="2249"/>
    <cellStyle name="Input 2 2 2 4 5 2" xfId="2250"/>
    <cellStyle name="Input 2 2 2 4 6" xfId="2251"/>
    <cellStyle name="Input 2 2 2 5" xfId="2252"/>
    <cellStyle name="Input 2 2 2 5 2" xfId="2253"/>
    <cellStyle name="Input 2 2 2 5 2 2" xfId="2254"/>
    <cellStyle name="Input 2 2 2 5 2 2 2" xfId="2255"/>
    <cellStyle name="Input 2 2 2 5 2 2 2 2" xfId="2256"/>
    <cellStyle name="Input 2 2 2 5 2 2 3" xfId="2257"/>
    <cellStyle name="Input 2 2 2 5 2 3" xfId="2258"/>
    <cellStyle name="Input 2 2 2 5 2 3 2" xfId="2259"/>
    <cellStyle name="Input 2 2 2 5 2 4" xfId="2260"/>
    <cellStyle name="Input 2 2 2 5 3" xfId="2261"/>
    <cellStyle name="Input 2 2 2 5 3 2" xfId="2262"/>
    <cellStyle name="Input 2 2 2 5 3 2 2" xfId="2263"/>
    <cellStyle name="Input 2 2 2 5 3 3" xfId="2264"/>
    <cellStyle name="Input 2 2 2 5 3 4" xfId="2265"/>
    <cellStyle name="Input 2 2 2 5 4" xfId="2266"/>
    <cellStyle name="Input 2 2 2 5 4 2" xfId="2267"/>
    <cellStyle name="Input 2 2 2 5 4 2 2" xfId="2268"/>
    <cellStyle name="Input 2 2 2 5 4 3" xfId="2269"/>
    <cellStyle name="Input 2 2 2 5 5" xfId="2270"/>
    <cellStyle name="Input 2 2 2 5 5 2" xfId="2271"/>
    <cellStyle name="Input 2 2 2 5 6" xfId="2272"/>
    <cellStyle name="Input 2 2 3" xfId="2273"/>
    <cellStyle name="Input 2 2 3 2" xfId="2274"/>
    <cellStyle name="Input 2 2 3 2 2" xfId="2275"/>
    <cellStyle name="Input 2 2 3 2 2 2" xfId="2276"/>
    <cellStyle name="Input 2 2 3 2 2 2 2" xfId="2277"/>
    <cellStyle name="Input 2 2 3 2 2 2 2 2" xfId="2278"/>
    <cellStyle name="Input 2 2 3 2 2 2 3" xfId="2279"/>
    <cellStyle name="Input 2 2 3 2 2 3" xfId="2280"/>
    <cellStyle name="Input 2 2 3 2 2 3 2" xfId="2281"/>
    <cellStyle name="Input 2 2 3 2 2 4" xfId="2282"/>
    <cellStyle name="Input 2 2 3 2 3" xfId="2283"/>
    <cellStyle name="Input 2 2 3 2 3 2" xfId="2284"/>
    <cellStyle name="Input 2 2 3 2 3 2 2" xfId="2285"/>
    <cellStyle name="Input 2 2 3 2 3 3" xfId="2286"/>
    <cellStyle name="Input 2 2 3 2 3 4" xfId="2287"/>
    <cellStyle name="Input 2 2 3 2 4" xfId="2288"/>
    <cellStyle name="Input 2 2 3 2 4 2" xfId="2289"/>
    <cellStyle name="Input 2 2 3 2 4 2 2" xfId="2290"/>
    <cellStyle name="Input 2 2 3 2 4 3" xfId="2291"/>
    <cellStyle name="Input 2 2 3 2 5" xfId="2292"/>
    <cellStyle name="Input 2 2 3 2 5 2" xfId="2293"/>
    <cellStyle name="Input 2 2 3 2 6" xfId="2294"/>
    <cellStyle name="Input 2 2 3 3" xfId="2295"/>
    <cellStyle name="Input 2 2 3 3 2" xfId="2296"/>
    <cellStyle name="Input 2 2 3 3 2 2" xfId="2297"/>
    <cellStyle name="Input 2 2 3 3 2 2 2" xfId="2298"/>
    <cellStyle name="Input 2 2 3 3 2 2 2 2" xfId="2299"/>
    <cellStyle name="Input 2 2 3 3 2 2 3" xfId="2300"/>
    <cellStyle name="Input 2 2 3 3 2 3" xfId="2301"/>
    <cellStyle name="Input 2 2 3 3 2 3 2" xfId="2302"/>
    <cellStyle name="Input 2 2 3 3 2 4" xfId="2303"/>
    <cellStyle name="Input 2 2 3 3 3" xfId="2304"/>
    <cellStyle name="Input 2 2 3 3 3 2" xfId="2305"/>
    <cellStyle name="Input 2 2 3 3 3 2 2" xfId="2306"/>
    <cellStyle name="Input 2 2 3 3 3 3" xfId="2307"/>
    <cellStyle name="Input 2 2 3 3 3 4" xfId="2308"/>
    <cellStyle name="Input 2 2 3 3 4" xfId="2309"/>
    <cellStyle name="Input 2 2 3 3 4 2" xfId="2310"/>
    <cellStyle name="Input 2 2 3 3 4 2 2" xfId="2311"/>
    <cellStyle name="Input 2 2 3 3 4 3" xfId="2312"/>
    <cellStyle name="Input 2 2 3 3 5" xfId="2313"/>
    <cellStyle name="Input 2 2 3 3 5 2" xfId="2314"/>
    <cellStyle name="Input 2 2 3 3 6" xfId="2315"/>
    <cellStyle name="Input 2 2 3 4" xfId="2316"/>
    <cellStyle name="Input 2 2 3 4 2" xfId="2317"/>
    <cellStyle name="Input 2 2 3 4 2 2" xfId="2318"/>
    <cellStyle name="Input 2 2 3 4 2 2 2" xfId="2319"/>
    <cellStyle name="Input 2 2 3 4 2 2 2 2" xfId="2320"/>
    <cellStyle name="Input 2 2 3 4 2 2 3" xfId="2321"/>
    <cellStyle name="Input 2 2 3 4 2 3" xfId="2322"/>
    <cellStyle name="Input 2 2 3 4 2 3 2" xfId="2323"/>
    <cellStyle name="Input 2 2 3 4 2 4" xfId="2324"/>
    <cellStyle name="Input 2 2 3 4 3" xfId="2325"/>
    <cellStyle name="Input 2 2 3 4 3 2" xfId="2326"/>
    <cellStyle name="Input 2 2 3 4 3 2 2" xfId="2327"/>
    <cellStyle name="Input 2 2 3 4 3 3" xfId="2328"/>
    <cellStyle name="Input 2 2 3 4 3 4" xfId="2329"/>
    <cellStyle name="Input 2 2 3 4 4" xfId="2330"/>
    <cellStyle name="Input 2 2 3 4 4 2" xfId="2331"/>
    <cellStyle name="Input 2 2 3 4 4 2 2" xfId="2332"/>
    <cellStyle name="Input 2 2 3 4 4 3" xfId="2333"/>
    <cellStyle name="Input 2 2 3 4 5" xfId="2334"/>
    <cellStyle name="Input 2 2 3 4 5 2" xfId="2335"/>
    <cellStyle name="Input 2 2 3 4 6" xfId="2336"/>
    <cellStyle name="Input 2 2 3 5" xfId="2337"/>
    <cellStyle name="Input 2 2 3 5 2" xfId="2338"/>
    <cellStyle name="Input 2 2 4" xfId="2339"/>
    <cellStyle name="Input 2 2 4 2" xfId="2340"/>
    <cellStyle name="Input 2 2 4 2 2" xfId="2341"/>
    <cellStyle name="Input 2 2 4 2 2 2" xfId="2342"/>
    <cellStyle name="Input 2 2 4 2 2 2 2" xfId="2343"/>
    <cellStyle name="Input 2 2 4 2 2 2 2 2" xfId="2344"/>
    <cellStyle name="Input 2 2 4 2 2 2 3" xfId="2345"/>
    <cellStyle name="Input 2 2 4 2 2 3" xfId="2346"/>
    <cellStyle name="Input 2 2 4 2 2 3 2" xfId="2347"/>
    <cellStyle name="Input 2 2 4 2 2 4" xfId="2348"/>
    <cellStyle name="Input 2 2 4 2 3" xfId="2349"/>
    <cellStyle name="Input 2 2 4 2 3 2" xfId="2350"/>
    <cellStyle name="Input 2 2 4 2 3 2 2" xfId="2351"/>
    <cellStyle name="Input 2 2 4 2 3 3" xfId="2352"/>
    <cellStyle name="Input 2 2 4 2 3 4" xfId="2353"/>
    <cellStyle name="Input 2 2 4 2 4" xfId="2354"/>
    <cellStyle name="Input 2 2 4 2 4 2" xfId="2355"/>
    <cellStyle name="Input 2 2 4 2 4 2 2" xfId="2356"/>
    <cellStyle name="Input 2 2 4 2 4 3" xfId="2357"/>
    <cellStyle name="Input 2 2 4 2 5" xfId="2358"/>
    <cellStyle name="Input 2 2 4 2 5 2" xfId="2359"/>
    <cellStyle name="Input 2 2 4 2 6" xfId="2360"/>
    <cellStyle name="Input 2 2 4 3" xfId="2361"/>
    <cellStyle name="Input 2 2 4 3 2" xfId="2362"/>
    <cellStyle name="Input 2 2 4 3 2 2" xfId="2363"/>
    <cellStyle name="Input 2 2 4 3 2 2 2" xfId="2364"/>
    <cellStyle name="Input 2 2 4 3 2 2 2 2" xfId="2365"/>
    <cellStyle name="Input 2 2 4 3 2 2 3" xfId="2366"/>
    <cellStyle name="Input 2 2 4 3 2 3" xfId="2367"/>
    <cellStyle name="Input 2 2 4 3 2 3 2" xfId="2368"/>
    <cellStyle name="Input 2 2 4 3 2 4" xfId="2369"/>
    <cellStyle name="Input 2 2 4 3 3" xfId="2370"/>
    <cellStyle name="Input 2 2 4 3 3 2" xfId="2371"/>
    <cellStyle name="Input 2 2 4 3 3 2 2" xfId="2372"/>
    <cellStyle name="Input 2 2 4 3 3 3" xfId="2373"/>
    <cellStyle name="Input 2 2 4 3 3 4" xfId="2374"/>
    <cellStyle name="Input 2 2 4 3 4" xfId="2375"/>
    <cellStyle name="Input 2 2 4 3 4 2" xfId="2376"/>
    <cellStyle name="Input 2 2 4 3 4 2 2" xfId="2377"/>
    <cellStyle name="Input 2 2 4 3 4 3" xfId="2378"/>
    <cellStyle name="Input 2 2 4 3 5" xfId="2379"/>
    <cellStyle name="Input 2 2 4 3 5 2" xfId="2380"/>
    <cellStyle name="Input 2 2 4 3 6" xfId="2381"/>
    <cellStyle name="Input 2 2 4 4" xfId="2382"/>
    <cellStyle name="Input 2 2 4 4 2" xfId="2383"/>
    <cellStyle name="Input 2 2 4 4 2 2" xfId="2384"/>
    <cellStyle name="Input 2 2 4 4 2 2 2" xfId="2385"/>
    <cellStyle name="Input 2 2 4 4 2 3" xfId="2386"/>
    <cellStyle name="Input 2 2 4 4 3" xfId="2387"/>
    <cellStyle name="Input 2 2 4 4 3 2" xfId="2388"/>
    <cellStyle name="Input 2 2 4 4 4" xfId="2389"/>
    <cellStyle name="Input 2 2 4 5" xfId="2390"/>
    <cellStyle name="Input 2 2 4 5 2" xfId="2391"/>
    <cellStyle name="Input 2 2 4 5 2 2" xfId="2392"/>
    <cellStyle name="Input 2 2 4 5 3" xfId="2393"/>
    <cellStyle name="Input 2 2 4 5 4" xfId="2394"/>
    <cellStyle name="Input 2 2 4 6" xfId="2395"/>
    <cellStyle name="Input 2 2 4 6 2" xfId="2396"/>
    <cellStyle name="Input 2 2 4 6 2 2" xfId="2397"/>
    <cellStyle name="Input 2 2 4 6 3" xfId="2398"/>
    <cellStyle name="Input 2 2 4 7" xfId="2399"/>
    <cellStyle name="Input 2 2 4 7 2" xfId="2400"/>
    <cellStyle name="Input 2 2 4 8" xfId="2401"/>
    <cellStyle name="Input 2 2 5" xfId="2402"/>
    <cellStyle name="Input 2 2 5 2" xfId="2403"/>
    <cellStyle name="Input 2 2 5 2 2" xfId="2404"/>
    <cellStyle name="Input 2 2 5 2 2 2" xfId="2405"/>
    <cellStyle name="Input 2 2 5 2 2 2 2" xfId="2406"/>
    <cellStyle name="Input 2 2 5 2 2 3" xfId="2407"/>
    <cellStyle name="Input 2 2 5 2 3" xfId="2408"/>
    <cellStyle name="Input 2 2 5 2 3 2" xfId="2409"/>
    <cellStyle name="Input 2 2 5 2 4" xfId="2410"/>
    <cellStyle name="Input 2 2 5 3" xfId="2411"/>
    <cellStyle name="Input 2 2 5 3 2" xfId="2412"/>
    <cellStyle name="Input 2 2 5 3 2 2" xfId="2413"/>
    <cellStyle name="Input 2 2 5 3 3" xfId="2414"/>
    <cellStyle name="Input 2 2 5 3 4" xfId="2415"/>
    <cellStyle name="Input 2 2 5 4" xfId="2416"/>
    <cellStyle name="Input 2 2 5 4 2" xfId="2417"/>
    <cellStyle name="Input 2 2 5 4 2 2" xfId="2418"/>
    <cellStyle name="Input 2 2 5 4 3" xfId="2419"/>
    <cellStyle name="Input 2 2 5 5" xfId="2420"/>
    <cellStyle name="Input 2 2 5 5 2" xfId="2421"/>
    <cellStyle name="Input 2 2 5 6" xfId="2422"/>
    <cellStyle name="Input 2 3" xfId="2423"/>
    <cellStyle name="Input 2 3 2" xfId="2424"/>
    <cellStyle name="Input 2 3 2 2" xfId="2425"/>
    <cellStyle name="Input 2 3 2 2 2" xfId="2426"/>
    <cellStyle name="Input 2 3 2 2 2 2" xfId="2427"/>
    <cellStyle name="Input 2 3 2 2 2 2 2" xfId="2428"/>
    <cellStyle name="Input 2 3 2 2 2 2 2 2" xfId="2429"/>
    <cellStyle name="Input 2 3 2 2 2 2 3" xfId="2430"/>
    <cellStyle name="Input 2 3 2 2 2 3" xfId="2431"/>
    <cellStyle name="Input 2 3 2 2 2 3 2" xfId="2432"/>
    <cellStyle name="Input 2 3 2 2 2 4" xfId="2433"/>
    <cellStyle name="Input 2 3 2 2 3" xfId="2434"/>
    <cellStyle name="Input 2 3 2 2 3 2" xfId="2435"/>
    <cellStyle name="Input 2 3 2 2 3 2 2" xfId="2436"/>
    <cellStyle name="Input 2 3 2 2 3 3" xfId="2437"/>
    <cellStyle name="Input 2 3 2 2 3 4" xfId="2438"/>
    <cellStyle name="Input 2 3 2 2 4" xfId="2439"/>
    <cellStyle name="Input 2 3 2 2 4 2" xfId="2440"/>
    <cellStyle name="Input 2 3 2 2 4 2 2" xfId="2441"/>
    <cellStyle name="Input 2 3 2 2 4 3" xfId="2442"/>
    <cellStyle name="Input 2 3 2 2 5" xfId="2443"/>
    <cellStyle name="Input 2 3 2 2 5 2" xfId="2444"/>
    <cellStyle name="Input 2 3 2 2 6" xfId="2445"/>
    <cellStyle name="Input 2 3 2 3" xfId="2446"/>
    <cellStyle name="Input 2 3 2 3 2" xfId="2447"/>
    <cellStyle name="Input 2 3 2 3 2 2" xfId="2448"/>
    <cellStyle name="Input 2 3 2 3 2 2 2" xfId="2449"/>
    <cellStyle name="Input 2 3 2 3 2 2 2 2" xfId="2450"/>
    <cellStyle name="Input 2 3 2 3 2 2 3" xfId="2451"/>
    <cellStyle name="Input 2 3 2 3 2 3" xfId="2452"/>
    <cellStyle name="Input 2 3 2 3 2 3 2" xfId="2453"/>
    <cellStyle name="Input 2 3 2 3 2 4" xfId="2454"/>
    <cellStyle name="Input 2 3 2 3 3" xfId="2455"/>
    <cellStyle name="Input 2 3 2 3 3 2" xfId="2456"/>
    <cellStyle name="Input 2 3 2 3 3 2 2" xfId="2457"/>
    <cellStyle name="Input 2 3 2 3 3 3" xfId="2458"/>
    <cellStyle name="Input 2 3 2 3 3 4" xfId="2459"/>
    <cellStyle name="Input 2 3 2 3 4" xfId="2460"/>
    <cellStyle name="Input 2 3 2 3 4 2" xfId="2461"/>
    <cellStyle name="Input 2 3 2 3 4 2 2" xfId="2462"/>
    <cellStyle name="Input 2 3 2 3 4 3" xfId="2463"/>
    <cellStyle name="Input 2 3 2 3 5" xfId="2464"/>
    <cellStyle name="Input 2 3 2 3 5 2" xfId="2465"/>
    <cellStyle name="Input 2 3 2 3 6" xfId="2466"/>
    <cellStyle name="Input 2 3 2 4" xfId="2467"/>
    <cellStyle name="Input 2 3 2 4 2" xfId="2468"/>
    <cellStyle name="Input 2 3 2 4 2 2" xfId="2469"/>
    <cellStyle name="Input 2 3 2 4 2 2 2" xfId="2470"/>
    <cellStyle name="Input 2 3 2 4 2 2 2 2" xfId="2471"/>
    <cellStyle name="Input 2 3 2 4 2 2 3" xfId="2472"/>
    <cellStyle name="Input 2 3 2 4 2 3" xfId="2473"/>
    <cellStyle name="Input 2 3 2 4 2 3 2" xfId="2474"/>
    <cellStyle name="Input 2 3 2 4 2 4" xfId="2475"/>
    <cellStyle name="Input 2 3 2 4 3" xfId="2476"/>
    <cellStyle name="Input 2 3 2 4 3 2" xfId="2477"/>
    <cellStyle name="Input 2 3 2 4 3 2 2" xfId="2478"/>
    <cellStyle name="Input 2 3 2 4 3 3" xfId="2479"/>
    <cellStyle name="Input 2 3 2 4 3 4" xfId="2480"/>
    <cellStyle name="Input 2 3 2 4 4" xfId="2481"/>
    <cellStyle name="Input 2 3 2 4 4 2" xfId="2482"/>
    <cellStyle name="Input 2 3 2 4 4 2 2" xfId="2483"/>
    <cellStyle name="Input 2 3 2 4 4 3" xfId="2484"/>
    <cellStyle name="Input 2 3 2 4 5" xfId="2485"/>
    <cellStyle name="Input 2 3 2 4 5 2" xfId="2486"/>
    <cellStyle name="Input 2 3 2 4 6" xfId="2487"/>
    <cellStyle name="Input 2 3 2 5" xfId="2488"/>
    <cellStyle name="Input 2 3 2 5 2" xfId="2489"/>
    <cellStyle name="Input 2 3 3" xfId="2490"/>
    <cellStyle name="Input 2 3 3 2" xfId="2491"/>
    <cellStyle name="Input 2 3 3 2 2" xfId="2492"/>
    <cellStyle name="Input 2 3 3 2 2 2" xfId="2493"/>
    <cellStyle name="Input 2 3 3 2 2 2 2" xfId="2494"/>
    <cellStyle name="Input 2 3 3 2 2 3" xfId="2495"/>
    <cellStyle name="Input 2 3 3 2 3" xfId="2496"/>
    <cellStyle name="Input 2 3 3 2 3 2" xfId="2497"/>
    <cellStyle name="Input 2 3 3 2 4" xfId="2498"/>
    <cellStyle name="Input 2 3 3 3" xfId="2499"/>
    <cellStyle name="Input 2 3 3 3 2" xfId="2500"/>
    <cellStyle name="Input 2 3 3 3 2 2" xfId="2501"/>
    <cellStyle name="Input 2 3 3 3 3" xfId="2502"/>
    <cellStyle name="Input 2 3 3 3 4" xfId="2503"/>
    <cellStyle name="Input 2 3 3 4" xfId="2504"/>
    <cellStyle name="Input 2 3 3 4 2" xfId="2505"/>
    <cellStyle name="Input 2 3 3 4 2 2" xfId="2506"/>
    <cellStyle name="Input 2 3 3 4 3" xfId="2507"/>
    <cellStyle name="Input 2 3 3 5" xfId="2508"/>
    <cellStyle name="Input 2 3 3 5 2" xfId="2509"/>
    <cellStyle name="Input 2 3 3 6" xfId="2510"/>
    <cellStyle name="Input 2 3 4" xfId="2511"/>
    <cellStyle name="Input 2 3 4 2" xfId="2512"/>
    <cellStyle name="Input 2 3 4 2 2" xfId="2513"/>
    <cellStyle name="Input 2 3 4 2 2 2" xfId="2514"/>
    <cellStyle name="Input 2 3 4 2 2 2 2" xfId="2515"/>
    <cellStyle name="Input 2 3 4 2 2 3" xfId="2516"/>
    <cellStyle name="Input 2 3 4 2 3" xfId="2517"/>
    <cellStyle name="Input 2 3 4 2 3 2" xfId="2518"/>
    <cellStyle name="Input 2 3 4 2 4" xfId="2519"/>
    <cellStyle name="Input 2 3 4 3" xfId="2520"/>
    <cellStyle name="Input 2 3 4 3 2" xfId="2521"/>
    <cellStyle name="Input 2 3 4 3 2 2" xfId="2522"/>
    <cellStyle name="Input 2 3 4 3 3" xfId="2523"/>
    <cellStyle name="Input 2 3 4 3 4" xfId="2524"/>
    <cellStyle name="Input 2 3 4 4" xfId="2525"/>
    <cellStyle name="Input 2 3 4 4 2" xfId="2526"/>
    <cellStyle name="Input 2 3 4 4 2 2" xfId="2527"/>
    <cellStyle name="Input 2 3 4 4 3" xfId="2528"/>
    <cellStyle name="Input 2 3 4 5" xfId="2529"/>
    <cellStyle name="Input 2 3 4 5 2" xfId="2530"/>
    <cellStyle name="Input 2 3 4 6" xfId="2531"/>
    <cellStyle name="Input 2 3 5" xfId="2532"/>
    <cellStyle name="Input 2 3 5 2" xfId="2533"/>
    <cellStyle name="Input 2 3 5 2 2" xfId="2534"/>
    <cellStyle name="Input 2 3 5 2 2 2" xfId="2535"/>
    <cellStyle name="Input 2 3 5 2 2 2 2" xfId="2536"/>
    <cellStyle name="Input 2 3 5 2 2 3" xfId="2537"/>
    <cellStyle name="Input 2 3 5 2 3" xfId="2538"/>
    <cellStyle name="Input 2 3 5 2 3 2" xfId="2539"/>
    <cellStyle name="Input 2 3 5 2 4" xfId="2540"/>
    <cellStyle name="Input 2 3 5 3" xfId="2541"/>
    <cellStyle name="Input 2 3 5 3 2" xfId="2542"/>
    <cellStyle name="Input 2 3 5 3 2 2" xfId="2543"/>
    <cellStyle name="Input 2 3 5 3 3" xfId="2544"/>
    <cellStyle name="Input 2 3 5 3 4" xfId="2545"/>
    <cellStyle name="Input 2 3 5 4" xfId="2546"/>
    <cellStyle name="Input 2 3 5 4 2" xfId="2547"/>
    <cellStyle name="Input 2 3 5 4 2 2" xfId="2548"/>
    <cellStyle name="Input 2 3 5 4 3" xfId="2549"/>
    <cellStyle name="Input 2 3 5 5" xfId="2550"/>
    <cellStyle name="Input 2 3 5 5 2" xfId="2551"/>
    <cellStyle name="Input 2 3 5 6" xfId="2552"/>
    <cellStyle name="Input 2 4" xfId="2553"/>
    <cellStyle name="Input 2 4 2" xfId="2554"/>
    <cellStyle name="Input 2 4 2 2" xfId="2555"/>
    <cellStyle name="Input 2 4 2 2 2" xfId="2556"/>
    <cellStyle name="Input 2 4 2 2 2 2" xfId="2557"/>
    <cellStyle name="Input 2 4 2 2 2 2 2" xfId="2558"/>
    <cellStyle name="Input 2 4 2 2 2 3" xfId="2559"/>
    <cellStyle name="Input 2 4 2 2 3" xfId="2560"/>
    <cellStyle name="Input 2 4 2 2 3 2" xfId="2561"/>
    <cellStyle name="Input 2 4 2 2 4" xfId="2562"/>
    <cellStyle name="Input 2 4 2 3" xfId="2563"/>
    <cellStyle name="Input 2 4 2 3 2" xfId="2564"/>
    <cellStyle name="Input 2 4 2 3 2 2" xfId="2565"/>
    <cellStyle name="Input 2 4 2 3 3" xfId="2566"/>
    <cellStyle name="Input 2 4 2 3 4" xfId="2567"/>
    <cellStyle name="Input 2 4 2 4" xfId="2568"/>
    <cellStyle name="Input 2 4 2 4 2" xfId="2569"/>
    <cellStyle name="Input 2 4 2 4 2 2" xfId="2570"/>
    <cellStyle name="Input 2 4 2 4 3" xfId="2571"/>
    <cellStyle name="Input 2 4 2 5" xfId="2572"/>
    <cellStyle name="Input 2 4 2 5 2" xfId="2573"/>
    <cellStyle name="Input 2 4 2 6" xfId="2574"/>
    <cellStyle name="Input 2 4 3" xfId="2575"/>
    <cellStyle name="Input 2 4 3 2" xfId="2576"/>
    <cellStyle name="Input 2 4 3 2 2" xfId="2577"/>
    <cellStyle name="Input 2 4 3 2 2 2" xfId="2578"/>
    <cellStyle name="Input 2 4 3 2 2 2 2" xfId="2579"/>
    <cellStyle name="Input 2 4 3 2 2 3" xfId="2580"/>
    <cellStyle name="Input 2 4 3 2 3" xfId="2581"/>
    <cellStyle name="Input 2 4 3 2 3 2" xfId="2582"/>
    <cellStyle name="Input 2 4 3 2 4" xfId="2583"/>
    <cellStyle name="Input 2 4 3 3" xfId="2584"/>
    <cellStyle name="Input 2 4 3 3 2" xfId="2585"/>
    <cellStyle name="Input 2 4 3 3 2 2" xfId="2586"/>
    <cellStyle name="Input 2 4 3 3 3" xfId="2587"/>
    <cellStyle name="Input 2 4 3 3 4" xfId="2588"/>
    <cellStyle name="Input 2 4 3 4" xfId="2589"/>
    <cellStyle name="Input 2 4 3 4 2" xfId="2590"/>
    <cellStyle name="Input 2 4 3 4 2 2" xfId="2591"/>
    <cellStyle name="Input 2 4 3 4 3" xfId="2592"/>
    <cellStyle name="Input 2 4 3 5" xfId="2593"/>
    <cellStyle name="Input 2 4 3 5 2" xfId="2594"/>
    <cellStyle name="Input 2 4 3 6" xfId="2595"/>
    <cellStyle name="Input 2 4 4" xfId="2596"/>
    <cellStyle name="Input 2 4 4 2" xfId="2597"/>
    <cellStyle name="Input 2 4 4 2 2" xfId="2598"/>
    <cellStyle name="Input 2 4 4 2 2 2" xfId="2599"/>
    <cellStyle name="Input 2 4 4 2 2 2 2" xfId="2600"/>
    <cellStyle name="Input 2 4 4 2 2 3" xfId="2601"/>
    <cellStyle name="Input 2 4 4 2 3" xfId="2602"/>
    <cellStyle name="Input 2 4 4 2 3 2" xfId="2603"/>
    <cellStyle name="Input 2 4 4 2 4" xfId="2604"/>
    <cellStyle name="Input 2 4 4 3" xfId="2605"/>
    <cellStyle name="Input 2 4 4 3 2" xfId="2606"/>
    <cellStyle name="Input 2 4 4 3 2 2" xfId="2607"/>
    <cellStyle name="Input 2 4 4 3 3" xfId="2608"/>
    <cellStyle name="Input 2 4 4 3 4" xfId="2609"/>
    <cellStyle name="Input 2 4 4 4" xfId="2610"/>
    <cellStyle name="Input 2 4 4 4 2" xfId="2611"/>
    <cellStyle name="Input 2 4 4 4 2 2" xfId="2612"/>
    <cellStyle name="Input 2 4 4 4 3" xfId="2613"/>
    <cellStyle name="Input 2 4 4 5" xfId="2614"/>
    <cellStyle name="Input 2 4 4 5 2" xfId="2615"/>
    <cellStyle name="Input 2 4 4 6" xfId="2616"/>
    <cellStyle name="Input 2 4 5" xfId="2617"/>
    <cellStyle name="Input 2 4 5 2" xfId="2618"/>
    <cellStyle name="Input 2 5" xfId="2619"/>
    <cellStyle name="Input 2 5 2" xfId="2620"/>
    <cellStyle name="Input 2 5 2 2" xfId="2621"/>
    <cellStyle name="Input 2 5 2 2 2" xfId="2622"/>
    <cellStyle name="Input 2 5 2 2 2 2" xfId="2623"/>
    <cellStyle name="Input 2 5 2 2 2 2 2" xfId="2624"/>
    <cellStyle name="Input 2 5 2 2 2 3" xfId="2625"/>
    <cellStyle name="Input 2 5 2 2 3" xfId="2626"/>
    <cellStyle name="Input 2 5 2 2 3 2" xfId="2627"/>
    <cellStyle name="Input 2 5 2 2 4" xfId="2628"/>
    <cellStyle name="Input 2 5 2 3" xfId="2629"/>
    <cellStyle name="Input 2 5 2 3 2" xfId="2630"/>
    <cellStyle name="Input 2 5 2 3 2 2" xfId="2631"/>
    <cellStyle name="Input 2 5 2 3 3" xfId="2632"/>
    <cellStyle name="Input 2 5 2 3 4" xfId="2633"/>
    <cellStyle name="Input 2 5 2 4" xfId="2634"/>
    <cellStyle name="Input 2 5 2 4 2" xfId="2635"/>
    <cellStyle name="Input 2 5 2 4 2 2" xfId="2636"/>
    <cellStyle name="Input 2 5 2 4 3" xfId="2637"/>
    <cellStyle name="Input 2 5 2 5" xfId="2638"/>
    <cellStyle name="Input 2 5 2 5 2" xfId="2639"/>
    <cellStyle name="Input 2 5 2 6" xfId="2640"/>
    <cellStyle name="Input 2 5 3" xfId="2641"/>
    <cellStyle name="Input 2 5 3 2" xfId="2642"/>
    <cellStyle name="Input 2 5 3 2 2" xfId="2643"/>
    <cellStyle name="Input 2 5 3 2 2 2" xfId="2644"/>
    <cellStyle name="Input 2 5 3 2 2 2 2" xfId="2645"/>
    <cellStyle name="Input 2 5 3 2 2 3" xfId="2646"/>
    <cellStyle name="Input 2 5 3 2 3" xfId="2647"/>
    <cellStyle name="Input 2 5 3 2 3 2" xfId="2648"/>
    <cellStyle name="Input 2 5 3 2 4" xfId="2649"/>
    <cellStyle name="Input 2 5 3 3" xfId="2650"/>
    <cellStyle name="Input 2 5 3 3 2" xfId="2651"/>
    <cellStyle name="Input 2 5 3 3 2 2" xfId="2652"/>
    <cellStyle name="Input 2 5 3 3 3" xfId="2653"/>
    <cellStyle name="Input 2 5 3 3 4" xfId="2654"/>
    <cellStyle name="Input 2 5 3 4" xfId="2655"/>
    <cellStyle name="Input 2 5 3 4 2" xfId="2656"/>
    <cellStyle name="Input 2 5 3 4 2 2" xfId="2657"/>
    <cellStyle name="Input 2 5 3 4 3" xfId="2658"/>
    <cellStyle name="Input 2 5 3 5" xfId="2659"/>
    <cellStyle name="Input 2 5 3 5 2" xfId="2660"/>
    <cellStyle name="Input 2 5 3 6" xfId="2661"/>
    <cellStyle name="Input 2 5 4" xfId="2662"/>
    <cellStyle name="Input 2 5 4 2" xfId="2663"/>
    <cellStyle name="Input 2 5 4 2 2" xfId="2664"/>
    <cellStyle name="Input 2 5 4 2 2 2" xfId="2665"/>
    <cellStyle name="Input 2 5 4 2 3" xfId="2666"/>
    <cellStyle name="Input 2 5 4 3" xfId="2667"/>
    <cellStyle name="Input 2 5 4 3 2" xfId="2668"/>
    <cellStyle name="Input 2 5 4 4" xfId="2669"/>
    <cellStyle name="Input 2 5 5" xfId="2670"/>
    <cellStyle name="Input 2 5 5 2" xfId="2671"/>
    <cellStyle name="Input 2 5 5 2 2" xfId="2672"/>
    <cellStyle name="Input 2 5 5 3" xfId="2673"/>
    <cellStyle name="Input 2 5 5 4" xfId="2674"/>
    <cellStyle name="Input 2 5 6" xfId="2675"/>
    <cellStyle name="Input 2 5 6 2" xfId="2676"/>
    <cellStyle name="Input 2 5 6 2 2" xfId="2677"/>
    <cellStyle name="Input 2 5 6 3" xfId="2678"/>
    <cellStyle name="Input 2 5 7" xfId="2679"/>
    <cellStyle name="Input 2 5 7 2" xfId="2680"/>
    <cellStyle name="Input 2 5 8" xfId="2681"/>
    <cellStyle name="Input 2 6" xfId="2682"/>
    <cellStyle name="Input 2 6 2" xfId="2683"/>
    <cellStyle name="Input 2 6 2 2" xfId="2684"/>
    <cellStyle name="Input 2 6 2 2 2" xfId="2685"/>
    <cellStyle name="Input 2 6 2 2 2 2" xfId="2686"/>
    <cellStyle name="Input 2 6 2 2 3" xfId="2687"/>
    <cellStyle name="Input 2 6 2 3" xfId="2688"/>
    <cellStyle name="Input 2 6 2 3 2" xfId="2689"/>
    <cellStyle name="Input 2 6 2 4" xfId="2690"/>
    <cellStyle name="Input 2 6 3" xfId="2691"/>
    <cellStyle name="Input 2 6 3 2" xfId="2692"/>
    <cellStyle name="Input 2 6 3 2 2" xfId="2693"/>
    <cellStyle name="Input 2 6 3 3" xfId="2694"/>
    <cellStyle name="Input 2 6 3 4" xfId="2695"/>
    <cellStyle name="Input 2 6 4" xfId="2696"/>
    <cellStyle name="Input 2 6 4 2" xfId="2697"/>
    <cellStyle name="Input 2 6 4 2 2" xfId="2698"/>
    <cellStyle name="Input 2 6 4 3" xfId="2699"/>
    <cellStyle name="Input 2 6 5" xfId="2700"/>
    <cellStyle name="Input 2 6 5 2" xfId="2701"/>
    <cellStyle name="Input 2 6 6" xfId="2702"/>
    <cellStyle name="Input 3" xfId="2703"/>
    <cellStyle name="Input 3 2" xfId="2704"/>
    <cellStyle name="Input 3 2 2" xfId="2705"/>
    <cellStyle name="Input 3 2 2 2" xfId="2706"/>
    <cellStyle name="Input 3 2 2 2 2" xfId="2707"/>
    <cellStyle name="Input 3 2 2 2 2 2" xfId="2708"/>
    <cellStyle name="Input 3 2 2 2 2 2 2" xfId="2709"/>
    <cellStyle name="Input 3 2 2 2 2 3" xfId="2710"/>
    <cellStyle name="Input 3 2 2 2 3" xfId="2711"/>
    <cellStyle name="Input 3 2 2 2 3 2" xfId="2712"/>
    <cellStyle name="Input 3 2 2 2 4" xfId="2713"/>
    <cellStyle name="Input 3 2 2 3" xfId="2714"/>
    <cellStyle name="Input 3 2 2 3 2" xfId="2715"/>
    <cellStyle name="Input 3 2 2 3 2 2" xfId="2716"/>
    <cellStyle name="Input 3 2 2 3 3" xfId="2717"/>
    <cellStyle name="Input 3 2 2 3 4" xfId="2718"/>
    <cellStyle name="Input 3 2 2 4" xfId="2719"/>
    <cellStyle name="Input 3 2 2 4 2" xfId="2720"/>
    <cellStyle name="Input 3 2 2 4 2 2" xfId="2721"/>
    <cellStyle name="Input 3 2 2 4 3" xfId="2722"/>
    <cellStyle name="Input 3 2 2 5" xfId="2723"/>
    <cellStyle name="Input 3 2 2 5 2" xfId="2724"/>
    <cellStyle name="Input 3 2 2 6" xfId="2725"/>
    <cellStyle name="Input 3 2 3" xfId="2726"/>
    <cellStyle name="Input 3 2 3 2" xfId="2727"/>
    <cellStyle name="Input 3 2 3 2 2" xfId="2728"/>
    <cellStyle name="Input 3 2 3 2 2 2" xfId="2729"/>
    <cellStyle name="Input 3 2 3 2 2 2 2" xfId="2730"/>
    <cellStyle name="Input 3 2 3 2 2 3" xfId="2731"/>
    <cellStyle name="Input 3 2 3 2 3" xfId="2732"/>
    <cellStyle name="Input 3 2 3 2 3 2" xfId="2733"/>
    <cellStyle name="Input 3 2 3 2 4" xfId="2734"/>
    <cellStyle name="Input 3 2 3 3" xfId="2735"/>
    <cellStyle name="Input 3 2 3 3 2" xfId="2736"/>
    <cellStyle name="Input 3 2 3 3 2 2" xfId="2737"/>
    <cellStyle name="Input 3 2 3 3 3" xfId="2738"/>
    <cellStyle name="Input 3 2 3 3 4" xfId="2739"/>
    <cellStyle name="Input 3 2 3 4" xfId="2740"/>
    <cellStyle name="Input 3 2 3 4 2" xfId="2741"/>
    <cellStyle name="Input 3 2 3 4 2 2" xfId="2742"/>
    <cellStyle name="Input 3 2 3 4 3" xfId="2743"/>
    <cellStyle name="Input 3 2 3 5" xfId="2744"/>
    <cellStyle name="Input 3 2 3 5 2" xfId="2745"/>
    <cellStyle name="Input 3 2 3 6" xfId="2746"/>
    <cellStyle name="Input 3 2 4" xfId="2747"/>
    <cellStyle name="Input 3 2 4 2" xfId="2748"/>
    <cellStyle name="Input 3 2 4 2 2" xfId="2749"/>
    <cellStyle name="Input 3 2 4 2 2 2" xfId="2750"/>
    <cellStyle name="Input 3 2 4 2 2 2 2" xfId="2751"/>
    <cellStyle name="Input 3 2 4 2 2 3" xfId="2752"/>
    <cellStyle name="Input 3 2 4 2 3" xfId="2753"/>
    <cellStyle name="Input 3 2 4 2 3 2" xfId="2754"/>
    <cellStyle name="Input 3 2 4 2 4" xfId="2755"/>
    <cellStyle name="Input 3 2 4 3" xfId="2756"/>
    <cellStyle name="Input 3 2 4 3 2" xfId="2757"/>
    <cellStyle name="Input 3 2 4 3 2 2" xfId="2758"/>
    <cellStyle name="Input 3 2 4 3 3" xfId="2759"/>
    <cellStyle name="Input 3 2 4 3 4" xfId="2760"/>
    <cellStyle name="Input 3 2 4 4" xfId="2761"/>
    <cellStyle name="Input 3 2 4 4 2" xfId="2762"/>
    <cellStyle name="Input 3 2 4 4 2 2" xfId="2763"/>
    <cellStyle name="Input 3 2 4 4 3" xfId="2764"/>
    <cellStyle name="Input 3 2 4 5" xfId="2765"/>
    <cellStyle name="Input 3 2 4 5 2" xfId="2766"/>
    <cellStyle name="Input 3 2 4 6" xfId="2767"/>
    <cellStyle name="Input 3 2 5" xfId="2768"/>
    <cellStyle name="Input 3 2 5 2" xfId="2769"/>
    <cellStyle name="Input 3 3" xfId="2770"/>
    <cellStyle name="Input 3 3 2" xfId="2771"/>
    <cellStyle name="Input 3 3 2 2" xfId="2772"/>
    <cellStyle name="Input 3 3 2 2 2" xfId="2773"/>
    <cellStyle name="Input 3 3 2 2 2 2" xfId="2774"/>
    <cellStyle name="Input 3 3 2 2 2 2 2" xfId="2775"/>
    <cellStyle name="Input 3 3 2 2 2 3" xfId="2776"/>
    <cellStyle name="Input 3 3 2 2 3" xfId="2777"/>
    <cellStyle name="Input 3 3 2 2 3 2" xfId="2778"/>
    <cellStyle name="Input 3 3 2 2 4" xfId="2779"/>
    <cellStyle name="Input 3 3 2 3" xfId="2780"/>
    <cellStyle name="Input 3 3 2 3 2" xfId="2781"/>
    <cellStyle name="Input 3 3 2 3 2 2" xfId="2782"/>
    <cellStyle name="Input 3 3 2 3 3" xfId="2783"/>
    <cellStyle name="Input 3 3 2 3 4" xfId="2784"/>
    <cellStyle name="Input 3 3 2 4" xfId="2785"/>
    <cellStyle name="Input 3 3 2 4 2" xfId="2786"/>
    <cellStyle name="Input 3 3 2 4 2 2" xfId="2787"/>
    <cellStyle name="Input 3 3 2 4 3" xfId="2788"/>
    <cellStyle name="Input 3 3 2 5" xfId="2789"/>
    <cellStyle name="Input 3 3 2 5 2" xfId="2790"/>
    <cellStyle name="Input 3 3 2 6" xfId="2791"/>
    <cellStyle name="Input 3 3 3" xfId="2792"/>
    <cellStyle name="Input 3 3 3 2" xfId="2793"/>
    <cellStyle name="Input 3 3 3 2 2" xfId="2794"/>
    <cellStyle name="Input 3 3 3 2 2 2" xfId="2795"/>
    <cellStyle name="Input 3 3 3 2 2 2 2" xfId="2796"/>
    <cellStyle name="Input 3 3 3 2 2 3" xfId="2797"/>
    <cellStyle name="Input 3 3 3 2 3" xfId="2798"/>
    <cellStyle name="Input 3 3 3 2 3 2" xfId="2799"/>
    <cellStyle name="Input 3 3 3 2 4" xfId="2800"/>
    <cellStyle name="Input 3 3 3 3" xfId="2801"/>
    <cellStyle name="Input 3 3 3 3 2" xfId="2802"/>
    <cellStyle name="Input 3 3 3 3 2 2" xfId="2803"/>
    <cellStyle name="Input 3 3 3 3 3" xfId="2804"/>
    <cellStyle name="Input 3 3 3 3 4" xfId="2805"/>
    <cellStyle name="Input 3 3 3 4" xfId="2806"/>
    <cellStyle name="Input 3 3 3 4 2" xfId="2807"/>
    <cellStyle name="Input 3 3 3 4 2 2" xfId="2808"/>
    <cellStyle name="Input 3 3 3 4 3" xfId="2809"/>
    <cellStyle name="Input 3 3 3 5" xfId="2810"/>
    <cellStyle name="Input 3 3 3 5 2" xfId="2811"/>
    <cellStyle name="Input 3 3 3 6" xfId="2812"/>
    <cellStyle name="Input 3 3 4" xfId="2813"/>
    <cellStyle name="Input 3 3 4 2" xfId="2814"/>
    <cellStyle name="Input 3 3 4 2 2" xfId="2815"/>
    <cellStyle name="Input 3 3 4 2 2 2" xfId="2816"/>
    <cellStyle name="Input 3 3 4 2 3" xfId="2817"/>
    <cellStyle name="Input 3 3 4 3" xfId="2818"/>
    <cellStyle name="Input 3 3 4 3 2" xfId="2819"/>
    <cellStyle name="Input 3 3 4 4" xfId="2820"/>
    <cellStyle name="Input 3 3 5" xfId="2821"/>
    <cellStyle name="Input 3 3 5 2" xfId="2822"/>
    <cellStyle name="Input 3 3 5 2 2" xfId="2823"/>
    <cellStyle name="Input 3 3 5 3" xfId="2824"/>
    <cellStyle name="Input 3 3 5 4" xfId="2825"/>
    <cellStyle name="Input 3 3 6" xfId="2826"/>
    <cellStyle name="Input 3 3 6 2" xfId="2827"/>
    <cellStyle name="Input 3 3 6 2 2" xfId="2828"/>
    <cellStyle name="Input 3 3 6 3" xfId="2829"/>
    <cellStyle name="Input 3 3 7" xfId="2830"/>
    <cellStyle name="Input 3 3 7 2" xfId="2831"/>
    <cellStyle name="Input 3 3 8" xfId="2832"/>
    <cellStyle name="Input 3 4" xfId="2833"/>
    <cellStyle name="Input 3 4 2" xfId="2834"/>
    <cellStyle name="Input 3 4 2 2" xfId="2835"/>
    <cellStyle name="Input 3 4 2 2 2" xfId="2836"/>
    <cellStyle name="Input 3 4 2 2 2 2" xfId="2837"/>
    <cellStyle name="Input 3 4 2 2 3" xfId="2838"/>
    <cellStyle name="Input 3 4 2 3" xfId="2839"/>
    <cellStyle name="Input 3 4 2 3 2" xfId="2840"/>
    <cellStyle name="Input 3 4 2 4" xfId="2841"/>
    <cellStyle name="Input 3 4 3" xfId="2842"/>
    <cellStyle name="Input 3 4 3 2" xfId="2843"/>
    <cellStyle name="Input 3 4 3 2 2" xfId="2844"/>
    <cellStyle name="Input 3 4 3 3" xfId="2845"/>
    <cellStyle name="Input 3 4 3 4" xfId="2846"/>
    <cellStyle name="Input 3 4 4" xfId="2847"/>
    <cellStyle name="Input 3 4 4 2" xfId="2848"/>
    <cellStyle name="Input 3 4 4 2 2" xfId="2849"/>
    <cellStyle name="Input 3 4 4 3" xfId="2850"/>
    <cellStyle name="Input 3 4 5" xfId="2851"/>
    <cellStyle name="Input 3 4 5 2" xfId="2852"/>
    <cellStyle name="Input 3 4 6" xfId="2853"/>
    <cellStyle name="Input 4" xfId="2854"/>
    <cellStyle name="Input 4 2" xfId="2855"/>
    <cellStyle name="Input 4 2 2" xfId="2856"/>
    <cellStyle name="Input 4 2 2 2" xfId="2857"/>
    <cellStyle name="Input 4 2 2 2 2" xfId="2858"/>
    <cellStyle name="Input 4 2 2 2 2 2" xfId="2859"/>
    <cellStyle name="Input 4 2 2 2 2 2 2" xfId="2860"/>
    <cellStyle name="Input 4 2 2 2 2 3" xfId="2861"/>
    <cellStyle name="Input 4 2 2 2 3" xfId="2862"/>
    <cellStyle name="Input 4 2 2 2 3 2" xfId="2863"/>
    <cellStyle name="Input 4 2 2 2 4" xfId="2864"/>
    <cellStyle name="Input 4 2 2 3" xfId="2865"/>
    <cellStyle name="Input 4 2 2 3 2" xfId="2866"/>
    <cellStyle name="Input 4 2 2 3 2 2" xfId="2867"/>
    <cellStyle name="Input 4 2 2 3 3" xfId="2868"/>
    <cellStyle name="Input 4 2 2 3 4" xfId="2869"/>
    <cellStyle name="Input 4 2 2 4" xfId="2870"/>
    <cellStyle name="Input 4 2 2 4 2" xfId="2871"/>
    <cellStyle name="Input 4 2 2 4 2 2" xfId="2872"/>
    <cellStyle name="Input 4 2 2 4 3" xfId="2873"/>
    <cellStyle name="Input 4 2 2 5" xfId="2874"/>
    <cellStyle name="Input 4 2 2 5 2" xfId="2875"/>
    <cellStyle name="Input 4 2 2 6" xfId="2876"/>
    <cellStyle name="Input 4 2 3" xfId="2877"/>
    <cellStyle name="Input 4 2 3 2" xfId="2878"/>
    <cellStyle name="Input 4 2 3 2 2" xfId="2879"/>
    <cellStyle name="Input 4 2 3 2 2 2" xfId="2880"/>
    <cellStyle name="Input 4 2 3 2 2 2 2" xfId="2881"/>
    <cellStyle name="Input 4 2 3 2 2 3" xfId="2882"/>
    <cellStyle name="Input 4 2 3 2 3" xfId="2883"/>
    <cellStyle name="Input 4 2 3 2 3 2" xfId="2884"/>
    <cellStyle name="Input 4 2 3 2 4" xfId="2885"/>
    <cellStyle name="Input 4 2 3 3" xfId="2886"/>
    <cellStyle name="Input 4 2 3 3 2" xfId="2887"/>
    <cellStyle name="Input 4 2 3 3 2 2" xfId="2888"/>
    <cellStyle name="Input 4 2 3 3 3" xfId="2889"/>
    <cellStyle name="Input 4 2 3 3 4" xfId="2890"/>
    <cellStyle name="Input 4 2 3 4" xfId="2891"/>
    <cellStyle name="Input 4 2 3 4 2" xfId="2892"/>
    <cellStyle name="Input 4 2 3 4 2 2" xfId="2893"/>
    <cellStyle name="Input 4 2 3 4 3" xfId="2894"/>
    <cellStyle name="Input 4 2 3 5" xfId="2895"/>
    <cellStyle name="Input 4 2 3 5 2" xfId="2896"/>
    <cellStyle name="Input 4 2 3 6" xfId="2897"/>
    <cellStyle name="Input 4 2 4" xfId="2898"/>
    <cellStyle name="Input 4 2 4 2" xfId="2899"/>
    <cellStyle name="Input 4 2 4 2 2" xfId="2900"/>
    <cellStyle name="Input 4 2 4 2 2 2" xfId="2901"/>
    <cellStyle name="Input 4 2 4 2 2 2 2" xfId="2902"/>
    <cellStyle name="Input 4 2 4 2 2 3" xfId="2903"/>
    <cellStyle name="Input 4 2 4 2 3" xfId="2904"/>
    <cellStyle name="Input 4 2 4 2 3 2" xfId="2905"/>
    <cellStyle name="Input 4 2 4 2 4" xfId="2906"/>
    <cellStyle name="Input 4 2 4 3" xfId="2907"/>
    <cellStyle name="Input 4 2 4 3 2" xfId="2908"/>
    <cellStyle name="Input 4 2 4 3 2 2" xfId="2909"/>
    <cellStyle name="Input 4 2 4 3 3" xfId="2910"/>
    <cellStyle name="Input 4 2 4 3 4" xfId="2911"/>
    <cellStyle name="Input 4 2 4 4" xfId="2912"/>
    <cellStyle name="Input 4 2 4 4 2" xfId="2913"/>
    <cellStyle name="Input 4 2 4 4 2 2" xfId="2914"/>
    <cellStyle name="Input 4 2 4 4 3" xfId="2915"/>
    <cellStyle name="Input 4 2 4 5" xfId="2916"/>
    <cellStyle name="Input 4 2 4 5 2" xfId="2917"/>
    <cellStyle name="Input 4 2 4 6" xfId="2918"/>
    <cellStyle name="Input 4 2 5" xfId="2919"/>
    <cellStyle name="Input 4 2 5 2" xfId="2920"/>
    <cellStyle name="Input 4 3" xfId="2921"/>
    <cellStyle name="Input 4 3 2" xfId="2922"/>
    <cellStyle name="Input 4 3 2 2" xfId="2923"/>
    <cellStyle name="Input 4 3 2 2 2" xfId="2924"/>
    <cellStyle name="Input 4 3 2 2 2 2" xfId="2925"/>
    <cellStyle name="Input 4 3 2 2 2 2 2" xfId="2926"/>
    <cellStyle name="Input 4 3 2 2 2 3" xfId="2927"/>
    <cellStyle name="Input 4 3 2 2 3" xfId="2928"/>
    <cellStyle name="Input 4 3 2 2 3 2" xfId="2929"/>
    <cellStyle name="Input 4 3 2 2 4" xfId="2930"/>
    <cellStyle name="Input 4 3 2 3" xfId="2931"/>
    <cellStyle name="Input 4 3 2 3 2" xfId="2932"/>
    <cellStyle name="Input 4 3 2 3 2 2" xfId="2933"/>
    <cellStyle name="Input 4 3 2 3 3" xfId="2934"/>
    <cellStyle name="Input 4 3 2 3 4" xfId="2935"/>
    <cellStyle name="Input 4 3 2 4" xfId="2936"/>
    <cellStyle name="Input 4 3 2 4 2" xfId="2937"/>
    <cellStyle name="Input 4 3 2 4 2 2" xfId="2938"/>
    <cellStyle name="Input 4 3 2 4 3" xfId="2939"/>
    <cellStyle name="Input 4 3 2 5" xfId="2940"/>
    <cellStyle name="Input 4 3 2 5 2" xfId="2941"/>
    <cellStyle name="Input 4 3 2 6" xfId="2942"/>
    <cellStyle name="Input 4 3 3" xfId="2943"/>
    <cellStyle name="Input 4 3 3 2" xfId="2944"/>
    <cellStyle name="Input 4 3 3 2 2" xfId="2945"/>
    <cellStyle name="Input 4 3 3 2 2 2" xfId="2946"/>
    <cellStyle name="Input 4 3 3 2 2 2 2" xfId="2947"/>
    <cellStyle name="Input 4 3 3 2 2 3" xfId="2948"/>
    <cellStyle name="Input 4 3 3 2 3" xfId="2949"/>
    <cellStyle name="Input 4 3 3 2 3 2" xfId="2950"/>
    <cellStyle name="Input 4 3 3 2 4" xfId="2951"/>
    <cellStyle name="Input 4 3 3 3" xfId="2952"/>
    <cellStyle name="Input 4 3 3 3 2" xfId="2953"/>
    <cellStyle name="Input 4 3 3 3 2 2" xfId="2954"/>
    <cellStyle name="Input 4 3 3 3 3" xfId="2955"/>
    <cellStyle name="Input 4 3 3 3 4" xfId="2956"/>
    <cellStyle name="Input 4 3 3 4" xfId="2957"/>
    <cellStyle name="Input 4 3 3 4 2" xfId="2958"/>
    <cellStyle name="Input 4 3 3 4 2 2" xfId="2959"/>
    <cellStyle name="Input 4 3 3 4 3" xfId="2960"/>
    <cellStyle name="Input 4 3 3 5" xfId="2961"/>
    <cellStyle name="Input 4 3 3 5 2" xfId="2962"/>
    <cellStyle name="Input 4 3 3 6" xfId="2963"/>
    <cellStyle name="Input 4 3 4" xfId="2964"/>
    <cellStyle name="Input 4 3 4 2" xfId="2965"/>
    <cellStyle name="Input 4 3 4 2 2" xfId="2966"/>
    <cellStyle name="Input 4 3 4 2 2 2" xfId="2967"/>
    <cellStyle name="Input 4 3 4 2 3" xfId="2968"/>
    <cellStyle name="Input 4 3 4 3" xfId="2969"/>
    <cellStyle name="Input 4 3 4 3 2" xfId="2970"/>
    <cellStyle name="Input 4 3 4 4" xfId="2971"/>
    <cellStyle name="Input 4 3 5" xfId="2972"/>
    <cellStyle name="Input 4 3 5 2" xfId="2973"/>
    <cellStyle name="Input 4 3 5 2 2" xfId="2974"/>
    <cellStyle name="Input 4 3 5 3" xfId="2975"/>
    <cellStyle name="Input 4 3 5 4" xfId="2976"/>
    <cellStyle name="Input 4 3 6" xfId="2977"/>
    <cellStyle name="Input 4 3 6 2" xfId="2978"/>
    <cellStyle name="Input 4 3 6 2 2" xfId="2979"/>
    <cellStyle name="Input 4 3 6 3" xfId="2980"/>
    <cellStyle name="Input 4 3 7" xfId="2981"/>
    <cellStyle name="Input 4 3 7 2" xfId="2982"/>
    <cellStyle name="Input 4 3 8" xfId="2983"/>
    <cellStyle name="Input 4 4" xfId="2984"/>
    <cellStyle name="Input 4 4 2" xfId="2985"/>
    <cellStyle name="Input 4 4 2 2" xfId="2986"/>
    <cellStyle name="Input 4 4 2 2 2" xfId="2987"/>
    <cellStyle name="Input 4 4 2 2 2 2" xfId="2988"/>
    <cellStyle name="Input 4 4 2 2 3" xfId="2989"/>
    <cellStyle name="Input 4 4 2 3" xfId="2990"/>
    <cellStyle name="Input 4 4 2 3 2" xfId="2991"/>
    <cellStyle name="Input 4 4 2 4" xfId="2992"/>
    <cellStyle name="Input 4 4 3" xfId="2993"/>
    <cellStyle name="Input 4 4 3 2" xfId="2994"/>
    <cellStyle name="Input 4 4 3 2 2" xfId="2995"/>
    <cellStyle name="Input 4 4 3 3" xfId="2996"/>
    <cellStyle name="Input 4 4 3 4" xfId="2997"/>
    <cellStyle name="Input 4 4 4" xfId="2998"/>
    <cellStyle name="Input 4 4 4 2" xfId="2999"/>
    <cellStyle name="Input 4 4 4 2 2" xfId="3000"/>
    <cellStyle name="Input 4 4 4 3" xfId="3001"/>
    <cellStyle name="Input 4 4 5" xfId="3002"/>
    <cellStyle name="Input 4 4 5 2" xfId="3003"/>
    <cellStyle name="Input 4 4 6" xfId="3004"/>
    <cellStyle name="Input 5" xfId="3005"/>
    <cellStyle name="Input 5 2" xfId="3006"/>
    <cellStyle name="Input 5 2 2" xfId="3007"/>
    <cellStyle name="Input 5 2 2 2" xfId="3008"/>
    <cellStyle name="Input 5 2 2 2 2" xfId="3009"/>
    <cellStyle name="Input 5 2 2 2 2 2" xfId="3010"/>
    <cellStyle name="Input 5 2 2 2 3" xfId="3011"/>
    <cellStyle name="Input 5 2 2 3" xfId="3012"/>
    <cellStyle name="Input 5 2 2 3 2" xfId="3013"/>
    <cellStyle name="Input 5 2 2 4" xfId="3014"/>
    <cellStyle name="Input 5 2 3" xfId="3015"/>
    <cellStyle name="Input 5 2 3 2" xfId="3016"/>
    <cellStyle name="Input 5 2 3 2 2" xfId="3017"/>
    <cellStyle name="Input 5 2 3 3" xfId="3018"/>
    <cellStyle name="Input 5 2 3 4" xfId="3019"/>
    <cellStyle name="Input 5 2 4" xfId="3020"/>
    <cellStyle name="Input 5 2 4 2" xfId="3021"/>
    <cellStyle name="Input 5 2 4 2 2" xfId="3022"/>
    <cellStyle name="Input 5 2 4 3" xfId="3023"/>
    <cellStyle name="Input 5 2 5" xfId="3024"/>
    <cellStyle name="Input 5 2 5 2" xfId="3025"/>
    <cellStyle name="Input 5 2 6" xfId="3026"/>
    <cellStyle name="Input 5 3" xfId="3027"/>
    <cellStyle name="Input 5 3 2" xfId="3028"/>
    <cellStyle name="Input 5 3 2 2" xfId="3029"/>
    <cellStyle name="Input 5 3 2 2 2" xfId="3030"/>
    <cellStyle name="Input 5 3 2 2 2 2" xfId="3031"/>
    <cellStyle name="Input 5 3 2 2 3" xfId="3032"/>
    <cellStyle name="Input 5 3 2 3" xfId="3033"/>
    <cellStyle name="Input 5 3 2 3 2" xfId="3034"/>
    <cellStyle name="Input 5 3 2 4" xfId="3035"/>
    <cellStyle name="Input 5 3 3" xfId="3036"/>
    <cellStyle name="Input 5 3 3 2" xfId="3037"/>
    <cellStyle name="Input 5 3 3 2 2" xfId="3038"/>
    <cellStyle name="Input 5 3 3 3" xfId="3039"/>
    <cellStyle name="Input 5 3 3 4" xfId="3040"/>
    <cellStyle name="Input 5 3 4" xfId="3041"/>
    <cellStyle name="Input 5 3 4 2" xfId="3042"/>
    <cellStyle name="Input 5 3 4 2 2" xfId="3043"/>
    <cellStyle name="Input 5 3 4 3" xfId="3044"/>
    <cellStyle name="Input 5 3 5" xfId="3045"/>
    <cellStyle name="Input 5 3 5 2" xfId="3046"/>
    <cellStyle name="Input 5 3 6" xfId="3047"/>
    <cellStyle name="Input 5 4" xfId="3048"/>
    <cellStyle name="Input 5 4 2" xfId="3049"/>
    <cellStyle name="Input 5 4 2 2" xfId="3050"/>
    <cellStyle name="Input 5 4 2 2 2" xfId="3051"/>
    <cellStyle name="Input 5 4 2 2 2 2" xfId="3052"/>
    <cellStyle name="Input 5 4 2 2 3" xfId="3053"/>
    <cellStyle name="Input 5 4 2 3" xfId="3054"/>
    <cellStyle name="Input 5 4 2 3 2" xfId="3055"/>
    <cellStyle name="Input 5 4 2 4" xfId="3056"/>
    <cellStyle name="Input 5 4 3" xfId="3057"/>
    <cellStyle name="Input 5 4 3 2" xfId="3058"/>
    <cellStyle name="Input 5 4 3 2 2" xfId="3059"/>
    <cellStyle name="Input 5 4 3 3" xfId="3060"/>
    <cellStyle name="Input 5 4 3 4" xfId="3061"/>
    <cellStyle name="Input 5 4 4" xfId="3062"/>
    <cellStyle name="Input 5 4 4 2" xfId="3063"/>
    <cellStyle name="Input 5 4 4 2 2" xfId="3064"/>
    <cellStyle name="Input 5 4 4 3" xfId="3065"/>
    <cellStyle name="Input 5 4 5" xfId="3066"/>
    <cellStyle name="Input 5 4 5 2" xfId="3067"/>
    <cellStyle name="Input 5 4 6" xfId="3068"/>
    <cellStyle name="Input 5 5" xfId="3069"/>
    <cellStyle name="Input 5 5 2" xfId="3070"/>
    <cellStyle name="Input 6" xfId="3071"/>
    <cellStyle name="Input 6 2" xfId="3072"/>
    <cellStyle name="Input 6 2 2" xfId="3073"/>
    <cellStyle name="Input 6 2 2 2" xfId="3074"/>
    <cellStyle name="Input 6 2 2 2 2" xfId="3075"/>
    <cellStyle name="Input 6 2 2 2 2 2" xfId="3076"/>
    <cellStyle name="Input 6 2 2 2 3" xfId="3077"/>
    <cellStyle name="Input 6 2 2 3" xfId="3078"/>
    <cellStyle name="Input 6 2 2 3 2" xfId="3079"/>
    <cellStyle name="Input 6 2 2 4" xfId="3080"/>
    <cellStyle name="Input 6 2 3" xfId="3081"/>
    <cellStyle name="Input 6 2 3 2" xfId="3082"/>
    <cellStyle name="Input 6 2 3 2 2" xfId="3083"/>
    <cellStyle name="Input 6 2 3 3" xfId="3084"/>
    <cellStyle name="Input 6 2 3 4" xfId="3085"/>
    <cellStyle name="Input 6 2 4" xfId="3086"/>
    <cellStyle name="Input 6 2 4 2" xfId="3087"/>
    <cellStyle name="Input 6 2 4 2 2" xfId="3088"/>
    <cellStyle name="Input 6 2 4 3" xfId="3089"/>
    <cellStyle name="Input 6 2 5" xfId="3090"/>
    <cellStyle name="Input 6 2 5 2" xfId="3091"/>
    <cellStyle name="Input 6 2 6" xfId="3092"/>
    <cellStyle name="Input 6 3" xfId="3093"/>
    <cellStyle name="Input 6 3 2" xfId="3094"/>
    <cellStyle name="Input 6 3 2 2" xfId="3095"/>
    <cellStyle name="Input 6 3 2 2 2" xfId="3096"/>
    <cellStyle name="Input 6 3 2 2 2 2" xfId="3097"/>
    <cellStyle name="Input 6 3 2 2 3" xfId="3098"/>
    <cellStyle name="Input 6 3 2 3" xfId="3099"/>
    <cellStyle name="Input 6 3 2 3 2" xfId="3100"/>
    <cellStyle name="Input 6 3 2 4" xfId="3101"/>
    <cellStyle name="Input 6 3 3" xfId="3102"/>
    <cellStyle name="Input 6 3 3 2" xfId="3103"/>
    <cellStyle name="Input 6 3 3 2 2" xfId="3104"/>
    <cellStyle name="Input 6 3 3 3" xfId="3105"/>
    <cellStyle name="Input 6 3 3 4" xfId="3106"/>
    <cellStyle name="Input 6 3 4" xfId="3107"/>
    <cellStyle name="Input 6 3 4 2" xfId="3108"/>
    <cellStyle name="Input 6 3 4 2 2" xfId="3109"/>
    <cellStyle name="Input 6 3 4 3" xfId="3110"/>
    <cellStyle name="Input 6 3 5" xfId="3111"/>
    <cellStyle name="Input 6 3 5 2" xfId="3112"/>
    <cellStyle name="Input 6 3 6" xfId="3113"/>
    <cellStyle name="Input 6 4" xfId="3114"/>
    <cellStyle name="Input 6 4 2" xfId="3115"/>
    <cellStyle name="Input 6 4 2 2" xfId="3116"/>
    <cellStyle name="Input 6 4 2 2 2" xfId="3117"/>
    <cellStyle name="Input 6 4 2 3" xfId="3118"/>
    <cellStyle name="Input 6 4 3" xfId="3119"/>
    <cellStyle name="Input 6 4 3 2" xfId="3120"/>
    <cellStyle name="Input 6 4 4" xfId="3121"/>
    <cellStyle name="Input 6 5" xfId="3122"/>
    <cellStyle name="Input 6 5 2" xfId="3123"/>
    <cellStyle name="Input 6 5 2 2" xfId="3124"/>
    <cellStyle name="Input 6 5 3" xfId="3125"/>
    <cellStyle name="Input 6 5 4" xfId="3126"/>
    <cellStyle name="Input 6 6" xfId="3127"/>
    <cellStyle name="Input 6 6 2" xfId="3128"/>
    <cellStyle name="Input 6 6 2 2" xfId="3129"/>
    <cellStyle name="Input 6 6 3" xfId="3130"/>
    <cellStyle name="Input 6 7" xfId="3131"/>
    <cellStyle name="Input 6 7 2" xfId="3132"/>
    <cellStyle name="Input 6 8" xfId="3133"/>
    <cellStyle name="InputDataRow" xfId="3134"/>
    <cellStyle name="InputLabelRow" xfId="3135"/>
    <cellStyle name="InputPc2Right" xfId="3136"/>
    <cellStyle name="InputShortText" xfId="3137"/>
    <cellStyle name="InputTextLeft" xfId="3138"/>
    <cellStyle name="Int.conven" xfId="3139"/>
    <cellStyle name="IntermediateLabelColumn" xfId="3140"/>
    <cellStyle name="JG" xfId="3141"/>
    <cellStyle name="LabelLeft" xfId="3142"/>
    <cellStyle name="LabelRight" xfId="3143"/>
    <cellStyle name="Linked Cell" xfId="7634" builtinId="24" customBuiltin="1"/>
    <cellStyle name="Linked Cell 2" xfId="3144"/>
    <cellStyle name="Linked Cell 2 2" xfId="3145"/>
    <cellStyle name="Linked Cell 3" xfId="3146"/>
    <cellStyle name="Linked Cell 4" xfId="3147"/>
    <cellStyle name="LocalFormat" xfId="3148"/>
    <cellStyle name="LocalFormat 2" xfId="3149"/>
    <cellStyle name="LocalFormat 2 2" xfId="3150"/>
    <cellStyle name="LocalFormat 2 2 2" xfId="3151"/>
    <cellStyle name="LocalFormat 2 2 2 2" xfId="3152"/>
    <cellStyle name="LocalFormat 2 2 2 2 2" xfId="3153"/>
    <cellStyle name="LocalFormat 2 2 2 2 2 2" xfId="3154"/>
    <cellStyle name="LocalFormat 2 2 2 2 2 2 2" xfId="3155"/>
    <cellStyle name="LocalFormat 2 2 2 2 2 3" xfId="3156"/>
    <cellStyle name="LocalFormat 2 2 2 2 3" xfId="3157"/>
    <cellStyle name="LocalFormat 2 2 2 2 3 2" xfId="3158"/>
    <cellStyle name="LocalFormat 2 2 2 2 4" xfId="3159"/>
    <cellStyle name="LocalFormat 2 2 2 3" xfId="3160"/>
    <cellStyle name="LocalFormat 2 2 2 3 2" xfId="3161"/>
    <cellStyle name="LocalFormat 2 2 2 3 2 2" xfId="3162"/>
    <cellStyle name="LocalFormat 2 2 2 3 3" xfId="3163"/>
    <cellStyle name="LocalFormat 2 2 2 3 4" xfId="3164"/>
    <cellStyle name="LocalFormat 2 2 2 4" xfId="3165"/>
    <cellStyle name="LocalFormat 2 2 2 4 2" xfId="3166"/>
    <cellStyle name="LocalFormat 2 2 2 4 2 2" xfId="3167"/>
    <cellStyle name="LocalFormat 2 2 2 4 3" xfId="3168"/>
    <cellStyle name="LocalFormat 2 2 2 5" xfId="3169"/>
    <cellStyle name="LocalFormat 2 2 3" xfId="3170"/>
    <cellStyle name="LocalFormat 2 2 3 2" xfId="3171"/>
    <cellStyle name="LocalFormat 2 2 3 2 2" xfId="3172"/>
    <cellStyle name="LocalFormat 2 2 3 2 2 2" xfId="3173"/>
    <cellStyle name="LocalFormat 2 2 3 2 2 2 2" xfId="3174"/>
    <cellStyle name="LocalFormat 2 2 3 2 2 3" xfId="3175"/>
    <cellStyle name="LocalFormat 2 2 3 2 3" xfId="3176"/>
    <cellStyle name="LocalFormat 2 2 3 2 3 2" xfId="3177"/>
    <cellStyle name="LocalFormat 2 2 3 2 4" xfId="3178"/>
    <cellStyle name="LocalFormat 2 2 3 3" xfId="3179"/>
    <cellStyle name="LocalFormat 2 2 3 3 2" xfId="3180"/>
    <cellStyle name="LocalFormat 2 2 3 3 2 2" xfId="3181"/>
    <cellStyle name="LocalFormat 2 2 3 3 3" xfId="3182"/>
    <cellStyle name="LocalFormat 2 2 3 3 4" xfId="3183"/>
    <cellStyle name="LocalFormat 2 2 3 4" xfId="3184"/>
    <cellStyle name="LocalFormat 2 2 3 4 2" xfId="3185"/>
    <cellStyle name="LocalFormat 2 2 3 4 2 2" xfId="3186"/>
    <cellStyle name="LocalFormat 2 2 3 4 3" xfId="3187"/>
    <cellStyle name="LocalFormat 2 2 3 5" xfId="3188"/>
    <cellStyle name="LocalFormat 2 2 3 5 2" xfId="3189"/>
    <cellStyle name="LocalFormat 2 2 3 6" xfId="3190"/>
    <cellStyle name="LocalFormat 2 2 4" xfId="3191"/>
    <cellStyle name="LocalFormat 2 2 4 2" xfId="3192"/>
    <cellStyle name="LocalFormat 2 2 4 2 2" xfId="3193"/>
    <cellStyle name="LocalFormat 2 2 4 2 2 2" xfId="3194"/>
    <cellStyle name="LocalFormat 2 2 4 2 2 2 2" xfId="3195"/>
    <cellStyle name="LocalFormat 2 2 4 2 2 3" xfId="3196"/>
    <cellStyle name="LocalFormat 2 2 4 2 3" xfId="3197"/>
    <cellStyle name="LocalFormat 2 2 4 2 3 2" xfId="3198"/>
    <cellStyle name="LocalFormat 2 2 4 2 4" xfId="3199"/>
    <cellStyle name="LocalFormat 2 2 4 3" xfId="3200"/>
    <cellStyle name="LocalFormat 2 2 4 3 2" xfId="3201"/>
    <cellStyle name="LocalFormat 2 2 4 3 2 2" xfId="3202"/>
    <cellStyle name="LocalFormat 2 2 4 3 3" xfId="3203"/>
    <cellStyle name="LocalFormat 2 2 4 3 4" xfId="3204"/>
    <cellStyle name="LocalFormat 2 2 4 4" xfId="3205"/>
    <cellStyle name="LocalFormat 2 2 4 4 2" xfId="3206"/>
    <cellStyle name="LocalFormat 2 2 4 4 2 2" xfId="3207"/>
    <cellStyle name="LocalFormat 2 2 4 4 3" xfId="3208"/>
    <cellStyle name="LocalFormat 2 2 4 5" xfId="3209"/>
    <cellStyle name="LocalFormat 2 2 4 5 2" xfId="3210"/>
    <cellStyle name="LocalFormat 2 2 4 6" xfId="3211"/>
    <cellStyle name="LocalFormat 2 2 5" xfId="3212"/>
    <cellStyle name="LocalFormat 2 2 5 2" xfId="3213"/>
    <cellStyle name="LocalFormat 2 3" xfId="3214"/>
    <cellStyle name="LocalFormat 2 3 2" xfId="3215"/>
    <cellStyle name="LocalFormat 2 3 2 2" xfId="3216"/>
    <cellStyle name="LocalFormat 2 3 2 2 2" xfId="3217"/>
    <cellStyle name="LocalFormat 2 3 2 2 2 2" xfId="3218"/>
    <cellStyle name="LocalFormat 2 3 2 2 3" xfId="3219"/>
    <cellStyle name="LocalFormat 2 3 2 3" xfId="3220"/>
    <cellStyle name="LocalFormat 2 3 2 3 2" xfId="3221"/>
    <cellStyle name="LocalFormat 2 3 2 4" xfId="3222"/>
    <cellStyle name="LocalFormat 2 3 3" xfId="3223"/>
    <cellStyle name="LocalFormat 2 3 3 2" xfId="3224"/>
    <cellStyle name="LocalFormat 2 3 3 2 2" xfId="3225"/>
    <cellStyle name="LocalFormat 2 3 3 3" xfId="3226"/>
    <cellStyle name="LocalFormat 2 3 3 4" xfId="3227"/>
    <cellStyle name="LocalFormat 2 3 4" xfId="3228"/>
    <cellStyle name="LocalFormat 2 3 4 2" xfId="3229"/>
    <cellStyle name="LocalFormat 2 3 4 2 2" xfId="3230"/>
    <cellStyle name="LocalFormat 2 3 4 3" xfId="3231"/>
    <cellStyle name="LocalFormat 2 3 5" xfId="3232"/>
    <cellStyle name="LocalFormat 2 4" xfId="3233"/>
    <cellStyle name="LocalFormat 2 4 2" xfId="3234"/>
    <cellStyle name="LocalFormat 2 4 2 2" xfId="3235"/>
    <cellStyle name="LocalFormat 2 4 2 2 2" xfId="3236"/>
    <cellStyle name="LocalFormat 2 4 2 2 2 2" xfId="3237"/>
    <cellStyle name="LocalFormat 2 4 2 2 3" xfId="3238"/>
    <cellStyle name="LocalFormat 2 4 2 3" xfId="3239"/>
    <cellStyle name="LocalFormat 2 4 2 3 2" xfId="3240"/>
    <cellStyle name="LocalFormat 2 4 2 4" xfId="3241"/>
    <cellStyle name="LocalFormat 2 4 3" xfId="3242"/>
    <cellStyle name="LocalFormat 2 4 3 2" xfId="3243"/>
    <cellStyle name="LocalFormat 2 4 3 2 2" xfId="3244"/>
    <cellStyle name="LocalFormat 2 4 3 3" xfId="3245"/>
    <cellStyle name="LocalFormat 2 4 3 4" xfId="3246"/>
    <cellStyle name="LocalFormat 2 4 4" xfId="3247"/>
    <cellStyle name="LocalFormat 2 4 4 2" xfId="3248"/>
    <cellStyle name="LocalFormat 2 4 4 2 2" xfId="3249"/>
    <cellStyle name="LocalFormat 2 4 4 3" xfId="3250"/>
    <cellStyle name="LocalFormat 2 4 5" xfId="3251"/>
    <cellStyle name="LocalFormat 2 4 5 2" xfId="3252"/>
    <cellStyle name="LocalFormat 2 4 6" xfId="3253"/>
    <cellStyle name="LocalFormat 2 5" xfId="3254"/>
    <cellStyle name="LocalFormat 2 5 2" xfId="3255"/>
    <cellStyle name="LocalFormat 2 5 2 2" xfId="3256"/>
    <cellStyle name="LocalFormat 2 5 2 2 2" xfId="3257"/>
    <cellStyle name="LocalFormat 2 5 2 2 2 2" xfId="3258"/>
    <cellStyle name="LocalFormat 2 5 2 2 3" xfId="3259"/>
    <cellStyle name="LocalFormat 2 5 2 3" xfId="3260"/>
    <cellStyle name="LocalFormat 2 5 2 3 2" xfId="3261"/>
    <cellStyle name="LocalFormat 2 5 2 4" xfId="3262"/>
    <cellStyle name="LocalFormat 2 5 3" xfId="3263"/>
    <cellStyle name="LocalFormat 2 5 3 2" xfId="3264"/>
    <cellStyle name="LocalFormat 2 5 3 2 2" xfId="3265"/>
    <cellStyle name="LocalFormat 2 5 3 3" xfId="3266"/>
    <cellStyle name="LocalFormat 2 5 3 4" xfId="3267"/>
    <cellStyle name="LocalFormat 2 5 4" xfId="3268"/>
    <cellStyle name="LocalFormat 2 5 4 2" xfId="3269"/>
    <cellStyle name="LocalFormat 2 5 4 2 2" xfId="3270"/>
    <cellStyle name="LocalFormat 2 5 4 3" xfId="3271"/>
    <cellStyle name="LocalFormat 2 5 5" xfId="3272"/>
    <cellStyle name="LocalFormat 2 5 5 2" xfId="3273"/>
    <cellStyle name="LocalFormat 2 5 6" xfId="3274"/>
    <cellStyle name="LocalFormat 3" xfId="3275"/>
    <cellStyle name="LocalFormat 3 2" xfId="3276"/>
    <cellStyle name="LocalFormat 3 2 2" xfId="3277"/>
    <cellStyle name="LocalFormat 3 2 2 2" xfId="3278"/>
    <cellStyle name="LocalFormat 3 2 2 2 2" xfId="3279"/>
    <cellStyle name="LocalFormat 3 2 2 2 2 2" xfId="3280"/>
    <cellStyle name="LocalFormat 3 2 2 2 3" xfId="3281"/>
    <cellStyle name="LocalFormat 3 2 2 3" xfId="3282"/>
    <cellStyle name="LocalFormat 3 2 2 3 2" xfId="3283"/>
    <cellStyle name="LocalFormat 3 2 2 4" xfId="3284"/>
    <cellStyle name="LocalFormat 3 2 3" xfId="3285"/>
    <cellStyle name="LocalFormat 3 2 3 2" xfId="3286"/>
    <cellStyle name="LocalFormat 3 2 3 2 2" xfId="3287"/>
    <cellStyle name="LocalFormat 3 2 3 3" xfId="3288"/>
    <cellStyle name="LocalFormat 3 2 3 4" xfId="3289"/>
    <cellStyle name="LocalFormat 3 2 4" xfId="3290"/>
    <cellStyle name="LocalFormat 3 2 4 2" xfId="3291"/>
    <cellStyle name="LocalFormat 3 2 4 2 2" xfId="3292"/>
    <cellStyle name="LocalFormat 3 2 4 3" xfId="3293"/>
    <cellStyle name="LocalFormat 3 2 5" xfId="3294"/>
    <cellStyle name="LocalFormat 3 3" xfId="3295"/>
    <cellStyle name="LocalFormat 3 3 2" xfId="3296"/>
    <cellStyle name="LocalFormat 3 3 2 2" xfId="3297"/>
    <cellStyle name="LocalFormat 3 3 2 2 2" xfId="3298"/>
    <cellStyle name="LocalFormat 3 3 2 2 2 2" xfId="3299"/>
    <cellStyle name="LocalFormat 3 3 2 2 3" xfId="3300"/>
    <cellStyle name="LocalFormat 3 3 2 3" xfId="3301"/>
    <cellStyle name="LocalFormat 3 3 2 3 2" xfId="3302"/>
    <cellStyle name="LocalFormat 3 3 2 4" xfId="3303"/>
    <cellStyle name="LocalFormat 3 3 3" xfId="3304"/>
    <cellStyle name="LocalFormat 3 3 3 2" xfId="3305"/>
    <cellStyle name="LocalFormat 3 3 3 2 2" xfId="3306"/>
    <cellStyle name="LocalFormat 3 3 3 3" xfId="3307"/>
    <cellStyle name="LocalFormat 3 3 3 4" xfId="3308"/>
    <cellStyle name="LocalFormat 3 3 4" xfId="3309"/>
    <cellStyle name="LocalFormat 3 3 4 2" xfId="3310"/>
    <cellStyle name="LocalFormat 3 3 4 2 2" xfId="3311"/>
    <cellStyle name="LocalFormat 3 3 4 3" xfId="3312"/>
    <cellStyle name="LocalFormat 3 3 5" xfId="3313"/>
    <cellStyle name="LocalFormat 3 3 5 2" xfId="3314"/>
    <cellStyle name="LocalFormat 3 3 6" xfId="3315"/>
    <cellStyle name="LocalFormat 3 4" xfId="3316"/>
    <cellStyle name="LocalFormat 3 4 2" xfId="3317"/>
    <cellStyle name="LocalFormat 3 4 2 2" xfId="3318"/>
    <cellStyle name="LocalFormat 3 4 2 2 2" xfId="3319"/>
    <cellStyle name="LocalFormat 3 4 2 2 2 2" xfId="3320"/>
    <cellStyle name="LocalFormat 3 4 2 2 3" xfId="3321"/>
    <cellStyle name="LocalFormat 3 4 2 3" xfId="3322"/>
    <cellStyle name="LocalFormat 3 4 2 3 2" xfId="3323"/>
    <cellStyle name="LocalFormat 3 4 2 4" xfId="3324"/>
    <cellStyle name="LocalFormat 3 4 3" xfId="3325"/>
    <cellStyle name="LocalFormat 3 4 3 2" xfId="3326"/>
    <cellStyle name="LocalFormat 3 4 3 2 2" xfId="3327"/>
    <cellStyle name="LocalFormat 3 4 3 3" xfId="3328"/>
    <cellStyle name="LocalFormat 3 4 3 4" xfId="3329"/>
    <cellStyle name="LocalFormat 3 4 4" xfId="3330"/>
    <cellStyle name="LocalFormat 3 4 4 2" xfId="3331"/>
    <cellStyle name="LocalFormat 3 4 4 2 2" xfId="3332"/>
    <cellStyle name="LocalFormat 3 4 4 3" xfId="3333"/>
    <cellStyle name="LocalFormat 3 4 5" xfId="3334"/>
    <cellStyle name="LocalFormat 3 4 5 2" xfId="3335"/>
    <cellStyle name="LocalFormat 3 4 6" xfId="3336"/>
    <cellStyle name="LocalFormat 3 5" xfId="3337"/>
    <cellStyle name="LocalFormat 3 5 2" xfId="3338"/>
    <cellStyle name="LocalFormat 4" xfId="3339"/>
    <cellStyle name="LocalFormat 4 2" xfId="3340"/>
    <cellStyle name="LocalFormat 4 2 2" xfId="3341"/>
    <cellStyle name="LocalFormat 4 2 2 2" xfId="3342"/>
    <cellStyle name="LocalFormat 4 2 2 2 2" xfId="3343"/>
    <cellStyle name="LocalFormat 4 2 2 2 2 2" xfId="3344"/>
    <cellStyle name="LocalFormat 4 2 2 2 3" xfId="3345"/>
    <cellStyle name="LocalFormat 4 2 2 3" xfId="3346"/>
    <cellStyle name="LocalFormat 4 2 2 3 2" xfId="3347"/>
    <cellStyle name="LocalFormat 4 2 2 4" xfId="3348"/>
    <cellStyle name="LocalFormat 4 2 3" xfId="3349"/>
    <cellStyle name="LocalFormat 4 2 3 2" xfId="3350"/>
    <cellStyle name="LocalFormat 4 2 3 2 2" xfId="3351"/>
    <cellStyle name="LocalFormat 4 2 3 3" xfId="3352"/>
    <cellStyle name="LocalFormat 4 2 3 4" xfId="3353"/>
    <cellStyle name="LocalFormat 4 2 4" xfId="3354"/>
    <cellStyle name="LocalFormat 4 2 4 2" xfId="3355"/>
    <cellStyle name="LocalFormat 4 2 4 2 2" xfId="3356"/>
    <cellStyle name="LocalFormat 4 2 4 3" xfId="3357"/>
    <cellStyle name="LocalFormat 4 2 5" xfId="3358"/>
    <cellStyle name="LocalFormat 4 2 5 2" xfId="3359"/>
    <cellStyle name="LocalFormat 4 2 6" xfId="3360"/>
    <cellStyle name="LocalFormat 4 3" xfId="3361"/>
    <cellStyle name="LocalFormat 4 3 2" xfId="3362"/>
    <cellStyle name="LocalFormat 4 3 2 2" xfId="3363"/>
    <cellStyle name="LocalFormat 4 3 2 2 2" xfId="3364"/>
    <cellStyle name="LocalFormat 4 3 2 2 2 2" xfId="3365"/>
    <cellStyle name="LocalFormat 4 3 2 2 3" xfId="3366"/>
    <cellStyle name="LocalFormat 4 3 2 3" xfId="3367"/>
    <cellStyle name="LocalFormat 4 3 2 3 2" xfId="3368"/>
    <cellStyle name="LocalFormat 4 3 2 4" xfId="3369"/>
    <cellStyle name="LocalFormat 4 3 3" xfId="3370"/>
    <cellStyle name="LocalFormat 4 3 3 2" xfId="3371"/>
    <cellStyle name="LocalFormat 4 3 3 2 2" xfId="3372"/>
    <cellStyle name="LocalFormat 4 3 3 3" xfId="3373"/>
    <cellStyle name="LocalFormat 4 3 3 4" xfId="3374"/>
    <cellStyle name="LocalFormat 4 3 4" xfId="3375"/>
    <cellStyle name="LocalFormat 4 3 4 2" xfId="3376"/>
    <cellStyle name="LocalFormat 4 3 4 2 2" xfId="3377"/>
    <cellStyle name="LocalFormat 4 3 4 3" xfId="3378"/>
    <cellStyle name="LocalFormat 4 3 5" xfId="3379"/>
    <cellStyle name="LocalFormat 4 3 5 2" xfId="3380"/>
    <cellStyle name="LocalFormat 4 3 6" xfId="3381"/>
    <cellStyle name="LocalFormat 4 4" xfId="3382"/>
    <cellStyle name="LocalFormat 4 4 2" xfId="3383"/>
    <cellStyle name="LocalFormat 4 4 2 2" xfId="3384"/>
    <cellStyle name="LocalFormat 4 4 2 2 2" xfId="3385"/>
    <cellStyle name="LocalFormat 4 4 2 3" xfId="3386"/>
    <cellStyle name="LocalFormat 4 4 3" xfId="3387"/>
    <cellStyle name="LocalFormat 4 4 3 2" xfId="3388"/>
    <cellStyle name="LocalFormat 4 4 4" xfId="3389"/>
    <cellStyle name="LocalFormat 4 5" xfId="3390"/>
    <cellStyle name="LocalFormat 4 5 2" xfId="3391"/>
    <cellStyle name="LocalFormat 4 5 2 2" xfId="3392"/>
    <cellStyle name="LocalFormat 4 5 3" xfId="3393"/>
    <cellStyle name="LocalFormat 4 5 4" xfId="3394"/>
    <cellStyle name="LocalFormat 4 6" xfId="3395"/>
    <cellStyle name="LocalFormat 4 6 2" xfId="3396"/>
    <cellStyle name="LocalFormat 4 6 2 2" xfId="3397"/>
    <cellStyle name="LocalFormat 4 6 3" xfId="3398"/>
    <cellStyle name="LocalFormat 4 7" xfId="3399"/>
    <cellStyle name="LocalFormat 5" xfId="3400"/>
    <cellStyle name="LocalFormat 5 2" xfId="3401"/>
    <cellStyle name="LocalFormat 5 2 2" xfId="3402"/>
    <cellStyle name="LocalFormat 5 2 2 2" xfId="3403"/>
    <cellStyle name="LocalFormat 5 2 2 2 2" xfId="3404"/>
    <cellStyle name="LocalFormat 5 2 2 3" xfId="3405"/>
    <cellStyle name="LocalFormat 5 2 3" xfId="3406"/>
    <cellStyle name="LocalFormat 5 2 3 2" xfId="3407"/>
    <cellStyle name="LocalFormat 5 2 4" xfId="3408"/>
    <cellStyle name="LocalFormat 5 3" xfId="3409"/>
    <cellStyle name="LocalFormat 5 3 2" xfId="3410"/>
    <cellStyle name="LocalFormat 5 3 2 2" xfId="3411"/>
    <cellStyle name="LocalFormat 5 3 3" xfId="3412"/>
    <cellStyle name="LocalFormat 5 3 4" xfId="3413"/>
    <cellStyle name="LocalFormat 5 4" xfId="3414"/>
    <cellStyle name="LocalFormat 5 4 2" xfId="3415"/>
    <cellStyle name="LocalFormat 5 4 2 2" xfId="3416"/>
    <cellStyle name="LocalFormat 5 4 3" xfId="3417"/>
    <cellStyle name="LocalFormat 5 5" xfId="3418"/>
    <cellStyle name="Macro Header" xfId="3419"/>
    <cellStyle name="Macro Text" xfId="3420"/>
    <cellStyle name="MacroCode" xfId="3421"/>
    <cellStyle name="Millares [0]_2AV_M_M " xfId="3422"/>
    <cellStyle name="Millares_2AV_M_M " xfId="3423"/>
    <cellStyle name="Milliers [0]_Open&amp;Close" xfId="3424"/>
    <cellStyle name="Milliers_Open&amp;Close" xfId="3425"/>
    <cellStyle name="Mon?taire [0]_Open&amp;Close" xfId="3426"/>
    <cellStyle name="Mon?taire_Open&amp;Close" xfId="3427"/>
    <cellStyle name="Moneda [0]_2AV_M_M " xfId="3428"/>
    <cellStyle name="Moneda_2AV_M_M " xfId="3429"/>
    <cellStyle name="Monétaire [0]_Open&amp;Close" xfId="3430"/>
    <cellStyle name="Monétaire_Open&amp;Close" xfId="3431"/>
    <cellStyle name="Neutral" xfId="7630" builtinId="28" customBuiltin="1"/>
    <cellStyle name="Neutral 2" xfId="3432"/>
    <cellStyle name="Neutral 2 2" xfId="3433"/>
    <cellStyle name="Neutral 3" xfId="3434"/>
    <cellStyle name="Neutral 4" xfId="3435"/>
    <cellStyle name="Normal" xfId="0" builtinId="0"/>
    <cellStyle name="Normal - Style1" xfId="3436"/>
    <cellStyle name="Normal 10" xfId="3437"/>
    <cellStyle name="Normal 10 2" xfId="3438"/>
    <cellStyle name="Normal 10 2 2" xfId="3439"/>
    <cellStyle name="Normal 10 2 2 2" xfId="3440"/>
    <cellStyle name="Normal 10 2 2 2 2" xfId="3441"/>
    <cellStyle name="Normal 10 2 2 3" xfId="3442"/>
    <cellStyle name="Normal 10 2 3" xfId="3443"/>
    <cellStyle name="Normal 10 2 3 2" xfId="3444"/>
    <cellStyle name="Normal 10 2 4" xfId="3445"/>
    <cellStyle name="Normal 10 3" xfId="3446"/>
    <cellStyle name="Normal 10 3 2" xfId="3447"/>
    <cellStyle name="Normal 10 3 2 2" xfId="3448"/>
    <cellStyle name="Normal 10 3 2 2 2" xfId="3449"/>
    <cellStyle name="Normal 10 3 2 3" xfId="3450"/>
    <cellStyle name="Normal 10 3 3" xfId="3451"/>
    <cellStyle name="Normal 10 3 3 2" xfId="3452"/>
    <cellStyle name="Normal 10 3 4" xfId="3453"/>
    <cellStyle name="Normal 10 4" xfId="3454"/>
    <cellStyle name="Normal 10 4 2" xfId="3455"/>
    <cellStyle name="Normal 10 4 2 2" xfId="3456"/>
    <cellStyle name="Normal 10 4 3" xfId="3457"/>
    <cellStyle name="Normal 10 5" xfId="3458"/>
    <cellStyle name="Normal 10 5 2" xfId="3459"/>
    <cellStyle name="Normal 10 6" xfId="3460"/>
    <cellStyle name="Normal 11" xfId="3461"/>
    <cellStyle name="Normal 11 2" xfId="3462"/>
    <cellStyle name="Normal 11 2 2" xfId="3463"/>
    <cellStyle name="Normal 12" xfId="3464"/>
    <cellStyle name="Normal 12 2" xfId="3465"/>
    <cellStyle name="Normal 12 2 2" xfId="3466"/>
    <cellStyle name="Normal 13" xfId="3467"/>
    <cellStyle name="Normal 13 2" xfId="3468"/>
    <cellStyle name="Normal 13 2 2" xfId="3469"/>
    <cellStyle name="Normal 13 3" xfId="3470"/>
    <cellStyle name="Normal 13 4" xfId="3471"/>
    <cellStyle name="Normal 14" xfId="3472"/>
    <cellStyle name="Normal 14 2" xfId="3473"/>
    <cellStyle name="Normal 14 2 2" xfId="3474"/>
    <cellStyle name="Normal 14 3" xfId="3475"/>
    <cellStyle name="Normal 14 4" xfId="3476"/>
    <cellStyle name="Normal 15" xfId="3477"/>
    <cellStyle name="Normal 15 2" xfId="3478"/>
    <cellStyle name="Normal 15 2 2" xfId="3479"/>
    <cellStyle name="Normal 15 3" xfId="3480"/>
    <cellStyle name="Normal 15 4" xfId="3481"/>
    <cellStyle name="Normal 16" xfId="3482"/>
    <cellStyle name="Normal 16 2" xfId="3483"/>
    <cellStyle name="Normal 17" xfId="3484"/>
    <cellStyle name="Normal 17 2" xfId="3485"/>
    <cellStyle name="Normal 18" xfId="3486"/>
    <cellStyle name="Normal 18 2" xfId="3487"/>
    <cellStyle name="Normal 19" xfId="3488"/>
    <cellStyle name="Normal 19 2" xfId="3489"/>
    <cellStyle name="Normal 2" xfId="3490"/>
    <cellStyle name="Normal 2 2" xfId="3491"/>
    <cellStyle name="Normal 2 3" xfId="3492"/>
    <cellStyle name="Normal 20" xfId="3493"/>
    <cellStyle name="Normal 20 2" xfId="3494"/>
    <cellStyle name="Normal 21" xfId="3495"/>
    <cellStyle name="Normal 21 2" xfId="3496"/>
    <cellStyle name="Normal 22" xfId="3497"/>
    <cellStyle name="Normal 22 2" xfId="3498"/>
    <cellStyle name="Normal 22 2 2" xfId="3499"/>
    <cellStyle name="Normal 22 3" xfId="3500"/>
    <cellStyle name="Normal 22 4" xfId="3501"/>
    <cellStyle name="Normal 23" xfId="3502"/>
    <cellStyle name="Normal 23 2" xfId="3503"/>
    <cellStyle name="Normal 24" xfId="3504"/>
    <cellStyle name="Normal 24 2" xfId="3505"/>
    <cellStyle name="Normal 25" xfId="3506"/>
    <cellStyle name="Normal 25 2" xfId="3507"/>
    <cellStyle name="Normal 25 2 2" xfId="3508"/>
    <cellStyle name="Normal 25 3" xfId="3509"/>
    <cellStyle name="Normal 26" xfId="3510"/>
    <cellStyle name="Normal 26 2" xfId="3511"/>
    <cellStyle name="Normal 26 2 2" xfId="3512"/>
    <cellStyle name="Normal 26 3" xfId="3513"/>
    <cellStyle name="Normal 27" xfId="3514"/>
    <cellStyle name="Normal 27 2" xfId="3515"/>
    <cellStyle name="Normal 28" xfId="3516"/>
    <cellStyle name="Normal 28 2" xfId="3517"/>
    <cellStyle name="Normal 29" xfId="3518"/>
    <cellStyle name="Normal 29 2" xfId="3519"/>
    <cellStyle name="Normal 3" xfId="3520"/>
    <cellStyle name="Normal 3 2" xfId="3521"/>
    <cellStyle name="Normal 3 3" xfId="3522"/>
    <cellStyle name="Normal 3 3 2" xfId="3523"/>
    <cellStyle name="Normal 3 3 2 2" xfId="3524"/>
    <cellStyle name="Normal 3 3 2 2 2" xfId="3525"/>
    <cellStyle name="Normal 3 3 2 2 2 2" xfId="3526"/>
    <cellStyle name="Normal 3 3 2 2 3" xfId="3527"/>
    <cellStyle name="Normal 3 3 2 3" xfId="3528"/>
    <cellStyle name="Normal 3 3 2 3 2" xfId="3529"/>
    <cellStyle name="Normal 3 3 2 4" xfId="3530"/>
    <cellStyle name="Normal 3 3 3" xfId="3531"/>
    <cellStyle name="Normal 3 3 3 2" xfId="3532"/>
    <cellStyle name="Normal 3 3 3 2 2" xfId="3533"/>
    <cellStyle name="Normal 3 3 3 2 2 2" xfId="3534"/>
    <cellStyle name="Normal 3 3 3 2 3" xfId="3535"/>
    <cellStyle name="Normal 3 3 3 3" xfId="3536"/>
    <cellStyle name="Normal 3 3 3 3 2" xfId="3537"/>
    <cellStyle name="Normal 3 3 3 4" xfId="3538"/>
    <cellStyle name="Normal 3 3 4" xfId="3539"/>
    <cellStyle name="Normal 3 3 4 2" xfId="3540"/>
    <cellStyle name="Normal 3 3 4 2 2" xfId="3541"/>
    <cellStyle name="Normal 3 3 4 3" xfId="3542"/>
    <cellStyle name="Normal 3 3 5" xfId="3543"/>
    <cellStyle name="Normal 3 3 5 2" xfId="3544"/>
    <cellStyle name="Normal 3 3 6" xfId="3545"/>
    <cellStyle name="Normal 3 4" xfId="3546"/>
    <cellStyle name="Normal 3 4 2" xfId="3547"/>
    <cellStyle name="Normal 3 4 2 2" xfId="3548"/>
    <cellStyle name="Normal 3 4 2 2 2" xfId="3549"/>
    <cellStyle name="Normal 3 4 2 2 2 2" xfId="3550"/>
    <cellStyle name="Normal 3 4 2 2 3" xfId="3551"/>
    <cellStyle name="Normal 3 4 2 3" xfId="3552"/>
    <cellStyle name="Normal 3 4 2 3 2" xfId="3553"/>
    <cellStyle name="Normal 3 4 2 4" xfId="3554"/>
    <cellStyle name="Normal 3 4 3" xfId="3555"/>
    <cellStyle name="Normal 3 4 3 2" xfId="3556"/>
    <cellStyle name="Normal 3 4 3 2 2" xfId="3557"/>
    <cellStyle name="Normal 3 4 3 2 2 2" xfId="3558"/>
    <cellStyle name="Normal 3 4 3 2 3" xfId="3559"/>
    <cellStyle name="Normal 3 4 3 3" xfId="3560"/>
    <cellStyle name="Normal 3 4 3 3 2" xfId="3561"/>
    <cellStyle name="Normal 3 4 3 4" xfId="3562"/>
    <cellStyle name="Normal 3 4 4" xfId="3563"/>
    <cellStyle name="Normal 3 4 4 2" xfId="3564"/>
    <cellStyle name="Normal 3 4 4 2 2" xfId="3565"/>
    <cellStyle name="Normal 3 4 4 3" xfId="3566"/>
    <cellStyle name="Normal 3 4 5" xfId="3567"/>
    <cellStyle name="Normal 3 4 5 2" xfId="3568"/>
    <cellStyle name="Normal 3 4 6" xfId="3569"/>
    <cellStyle name="Normal 3 5" xfId="3570"/>
    <cellStyle name="Normal 30" xfId="3571"/>
    <cellStyle name="Normal 30 2" xfId="3572"/>
    <cellStyle name="Normal 30 2 2" xfId="3573"/>
    <cellStyle name="Normal 30 3" xfId="3574"/>
    <cellStyle name="Normal 31" xfId="3575"/>
    <cellStyle name="Normal 31 2" xfId="3576"/>
    <cellStyle name="Normal 32" xfId="3577"/>
    <cellStyle name="Normal 32 2" xfId="3578"/>
    <cellStyle name="Normal 33" xfId="3579"/>
    <cellStyle name="Normal 33 2" xfId="3580"/>
    <cellStyle name="Normal 34" xfId="3581"/>
    <cellStyle name="Normal 34 2" xfId="3582"/>
    <cellStyle name="Normal 35" xfId="3583"/>
    <cellStyle name="Normal 35 2" xfId="3584"/>
    <cellStyle name="Normal 36" xfId="3585"/>
    <cellStyle name="Normal 36 2" xfId="3586"/>
    <cellStyle name="Normal 37" xfId="3587"/>
    <cellStyle name="Normal 37 2" xfId="3588"/>
    <cellStyle name="Normal 38" xfId="3589"/>
    <cellStyle name="Normal 38 2" xfId="3590"/>
    <cellStyle name="Normal 39" xfId="3591"/>
    <cellStyle name="Normal 39 2" xfId="3592"/>
    <cellStyle name="Normal 4" xfId="3593"/>
    <cellStyle name="Normal 4 2" xfId="3594"/>
    <cellStyle name="Normal 4 3" xfId="3595"/>
    <cellStyle name="Normal 40" xfId="3596"/>
    <cellStyle name="Normal 40 2" xfId="3597"/>
    <cellStyle name="Normal 41" xfId="3598"/>
    <cellStyle name="Normal 41 2" xfId="3599"/>
    <cellStyle name="Normal 41 2 2" xfId="3600"/>
    <cellStyle name="Normal 41 3" xfId="3601"/>
    <cellStyle name="Normal 42" xfId="3602"/>
    <cellStyle name="Normal 42 2" xfId="3603"/>
    <cellStyle name="Normal 42 2 2" xfId="3604"/>
    <cellStyle name="Normal 42 3" xfId="3605"/>
    <cellStyle name="Normal 43" xfId="3606"/>
    <cellStyle name="Normal 43 2" xfId="3607"/>
    <cellStyle name="Normal 44" xfId="3608"/>
    <cellStyle name="Normal 44 2" xfId="3609"/>
    <cellStyle name="Normal 45" xfId="3610"/>
    <cellStyle name="Normal 45 2" xfId="3611"/>
    <cellStyle name="Normal 46" xfId="3612"/>
    <cellStyle name="Normal 47" xfId="3613"/>
    <cellStyle name="Normal 48" xfId="3614"/>
    <cellStyle name="Normal 49" xfId="3615"/>
    <cellStyle name="Normal 49 2" xfId="3616"/>
    <cellStyle name="Normal 5" xfId="3617"/>
    <cellStyle name="Normal 5 2" xfId="3618"/>
    <cellStyle name="Normal 5 3" xfId="3619"/>
    <cellStyle name="Normal 50" xfId="3620"/>
    <cellStyle name="Normal 50 2" xfId="3621"/>
    <cellStyle name="Normal 51" xfId="3622"/>
    <cellStyle name="Normal 51 2" xfId="3623"/>
    <cellStyle name="Normal 52" xfId="3624"/>
    <cellStyle name="Normal 52 2" xfId="3625"/>
    <cellStyle name="Normal 53" xfId="3626"/>
    <cellStyle name="Normal 53 2" xfId="3627"/>
    <cellStyle name="Normal 54" xfId="3628"/>
    <cellStyle name="Normal 54 2" xfId="3629"/>
    <cellStyle name="Normal 55" xfId="3630"/>
    <cellStyle name="Normal 55 2" xfId="3631"/>
    <cellStyle name="Normal 56" xfId="3632"/>
    <cellStyle name="Normal 56 2" xfId="3633"/>
    <cellStyle name="Normal 57" xfId="3634"/>
    <cellStyle name="Normal 57 2" xfId="3635"/>
    <cellStyle name="Normal 58" xfId="3636"/>
    <cellStyle name="Normal 59" xfId="3637"/>
    <cellStyle name="Normal 6" xfId="3638"/>
    <cellStyle name="Normal 60" xfId="3639"/>
    <cellStyle name="Normal 61" xfId="3640"/>
    <cellStyle name="Normal 62" xfId="3641"/>
    <cellStyle name="Normal 63" xfId="3642"/>
    <cellStyle name="Normal 64" xfId="3643"/>
    <cellStyle name="Normal 65" xfId="3644"/>
    <cellStyle name="Normal 66" xfId="3645"/>
    <cellStyle name="Normal 67" xfId="3646"/>
    <cellStyle name="Normal 68" xfId="3647"/>
    <cellStyle name="Normal 7" xfId="3648"/>
    <cellStyle name="Normal 8" xfId="3649"/>
    <cellStyle name="Normal 9" xfId="3650"/>
    <cellStyle name="Normal 9 2" xfId="3651"/>
    <cellStyle name="Normal 9 2 2" xfId="3652"/>
    <cellStyle name="Normal 9 2 2 2" xfId="3653"/>
    <cellStyle name="Normal 9 2 2 2 2" xfId="3654"/>
    <cellStyle name="Normal 9 2 2 3" xfId="3655"/>
    <cellStyle name="Normal 9 2 3" xfId="3656"/>
    <cellStyle name="Normal 9 2 3 2" xfId="3657"/>
    <cellStyle name="Normal 9 2 4" xfId="3658"/>
    <cellStyle name="Normal 9 3" xfId="3659"/>
    <cellStyle name="Normal 9 3 2" xfId="3660"/>
    <cellStyle name="Normal 9 3 2 2" xfId="3661"/>
    <cellStyle name="Normal 9 3 2 2 2" xfId="3662"/>
    <cellStyle name="Normal 9 3 2 3" xfId="3663"/>
    <cellStyle name="Normal 9 3 3" xfId="3664"/>
    <cellStyle name="Normal 9 3 3 2" xfId="3665"/>
    <cellStyle name="Normal 9 3 4" xfId="3666"/>
    <cellStyle name="Normal 9 4" xfId="3667"/>
    <cellStyle name="Normal 9 4 2" xfId="3668"/>
    <cellStyle name="Normal 9 4 2 2" xfId="3669"/>
    <cellStyle name="Normal 9 4 3" xfId="3670"/>
    <cellStyle name="Normal 9 5" xfId="3671"/>
    <cellStyle name="Normal 9 5 2" xfId="3672"/>
    <cellStyle name="Normal 9 6" xfId="3673"/>
    <cellStyle name="Note" xfId="7637" builtinId="10" customBuiltin="1"/>
    <cellStyle name="Note 2" xfId="3674"/>
    <cellStyle name="Note 2 2" xfId="3675"/>
    <cellStyle name="Note 2 2 2" xfId="3676"/>
    <cellStyle name="Note 2 2 2 2" xfId="3677"/>
    <cellStyle name="Note 2 2 2 2 2" xfId="3678"/>
    <cellStyle name="Note 2 2 2 2 2 2" xfId="3679"/>
    <cellStyle name="Note 2 2 2 2 2 2 2" xfId="3680"/>
    <cellStyle name="Note 2 2 2 2 2 2 2 2" xfId="3681"/>
    <cellStyle name="Note 2 2 2 2 2 2 2 2 2" xfId="3682"/>
    <cellStyle name="Note 2 2 2 2 2 2 2 3" xfId="3683"/>
    <cellStyle name="Note 2 2 2 2 2 2 3" xfId="3684"/>
    <cellStyle name="Note 2 2 2 2 2 2 3 2" xfId="3685"/>
    <cellStyle name="Note 2 2 2 2 2 2 4" xfId="3686"/>
    <cellStyle name="Note 2 2 2 2 2 3" xfId="3687"/>
    <cellStyle name="Note 2 2 2 2 2 3 2" xfId="3688"/>
    <cellStyle name="Note 2 2 2 2 2 3 2 2" xfId="3689"/>
    <cellStyle name="Note 2 2 2 2 2 3 3" xfId="3690"/>
    <cellStyle name="Note 2 2 2 2 2 3 4" xfId="3691"/>
    <cellStyle name="Note 2 2 2 2 2 4" xfId="3692"/>
    <cellStyle name="Note 2 2 2 2 2 4 2" xfId="3693"/>
    <cellStyle name="Note 2 2 2 2 2 4 2 2" xfId="3694"/>
    <cellStyle name="Note 2 2 2 2 2 4 3" xfId="3695"/>
    <cellStyle name="Note 2 2 2 2 2 5" xfId="3696"/>
    <cellStyle name="Note 2 2 2 2 3" xfId="3697"/>
    <cellStyle name="Note 2 2 2 2 3 2" xfId="3698"/>
    <cellStyle name="Note 2 2 2 2 3 2 2" xfId="3699"/>
    <cellStyle name="Note 2 2 2 2 3 2 2 2" xfId="3700"/>
    <cellStyle name="Note 2 2 2 2 3 2 2 2 2" xfId="3701"/>
    <cellStyle name="Note 2 2 2 2 3 2 2 3" xfId="3702"/>
    <cellStyle name="Note 2 2 2 2 3 2 3" xfId="3703"/>
    <cellStyle name="Note 2 2 2 2 3 2 3 2" xfId="3704"/>
    <cellStyle name="Note 2 2 2 2 3 2 4" xfId="3705"/>
    <cellStyle name="Note 2 2 2 2 3 3" xfId="3706"/>
    <cellStyle name="Note 2 2 2 2 3 3 2" xfId="3707"/>
    <cellStyle name="Note 2 2 2 2 3 3 2 2" xfId="3708"/>
    <cellStyle name="Note 2 2 2 2 3 3 3" xfId="3709"/>
    <cellStyle name="Note 2 2 2 2 3 3 4" xfId="3710"/>
    <cellStyle name="Note 2 2 2 2 3 4" xfId="3711"/>
    <cellStyle name="Note 2 2 2 2 3 4 2" xfId="3712"/>
    <cellStyle name="Note 2 2 2 2 3 4 2 2" xfId="3713"/>
    <cellStyle name="Note 2 2 2 2 3 4 3" xfId="3714"/>
    <cellStyle name="Note 2 2 2 2 3 5" xfId="3715"/>
    <cellStyle name="Note 2 2 2 2 3 5 2" xfId="3716"/>
    <cellStyle name="Note 2 2 2 2 3 6" xfId="3717"/>
    <cellStyle name="Note 2 2 2 2 4" xfId="3718"/>
    <cellStyle name="Note 2 2 2 2 4 2" xfId="3719"/>
    <cellStyle name="Note 2 2 2 2 4 2 2" xfId="3720"/>
    <cellStyle name="Note 2 2 2 2 4 2 2 2" xfId="3721"/>
    <cellStyle name="Note 2 2 2 2 4 2 2 2 2" xfId="3722"/>
    <cellStyle name="Note 2 2 2 2 4 2 2 3" xfId="3723"/>
    <cellStyle name="Note 2 2 2 2 4 2 3" xfId="3724"/>
    <cellStyle name="Note 2 2 2 2 4 2 3 2" xfId="3725"/>
    <cellStyle name="Note 2 2 2 2 4 2 4" xfId="3726"/>
    <cellStyle name="Note 2 2 2 2 4 3" xfId="3727"/>
    <cellStyle name="Note 2 2 2 2 4 3 2" xfId="3728"/>
    <cellStyle name="Note 2 2 2 2 4 3 2 2" xfId="3729"/>
    <cellStyle name="Note 2 2 2 2 4 3 3" xfId="3730"/>
    <cellStyle name="Note 2 2 2 2 4 3 4" xfId="3731"/>
    <cellStyle name="Note 2 2 2 2 4 4" xfId="3732"/>
    <cellStyle name="Note 2 2 2 2 4 4 2" xfId="3733"/>
    <cellStyle name="Note 2 2 2 2 4 4 2 2" xfId="3734"/>
    <cellStyle name="Note 2 2 2 2 4 4 3" xfId="3735"/>
    <cellStyle name="Note 2 2 2 2 4 5" xfId="3736"/>
    <cellStyle name="Note 2 2 2 2 4 5 2" xfId="3737"/>
    <cellStyle name="Note 2 2 2 2 4 6" xfId="3738"/>
    <cellStyle name="Note 2 2 2 2 5" xfId="3739"/>
    <cellStyle name="Note 2 2 2 2 5 2" xfId="3740"/>
    <cellStyle name="Note 2 2 2 3" xfId="3741"/>
    <cellStyle name="Note 2 2 2 3 2" xfId="3742"/>
    <cellStyle name="Note 2 2 2 3 2 2" xfId="3743"/>
    <cellStyle name="Note 2 2 2 3 2 2 2" xfId="3744"/>
    <cellStyle name="Note 2 2 2 3 2 2 2 2" xfId="3745"/>
    <cellStyle name="Note 2 2 2 3 2 2 3" xfId="3746"/>
    <cellStyle name="Note 2 2 2 3 2 3" xfId="3747"/>
    <cellStyle name="Note 2 2 2 3 2 3 2" xfId="3748"/>
    <cellStyle name="Note 2 2 2 3 2 4" xfId="3749"/>
    <cellStyle name="Note 2 2 2 3 3" xfId="3750"/>
    <cellStyle name="Note 2 2 2 3 3 2" xfId="3751"/>
    <cellStyle name="Note 2 2 2 3 3 2 2" xfId="3752"/>
    <cellStyle name="Note 2 2 2 3 3 3" xfId="3753"/>
    <cellStyle name="Note 2 2 2 3 3 4" xfId="3754"/>
    <cellStyle name="Note 2 2 2 3 4" xfId="3755"/>
    <cellStyle name="Note 2 2 2 3 4 2" xfId="3756"/>
    <cellStyle name="Note 2 2 2 3 4 2 2" xfId="3757"/>
    <cellStyle name="Note 2 2 2 3 4 3" xfId="3758"/>
    <cellStyle name="Note 2 2 2 3 5" xfId="3759"/>
    <cellStyle name="Note 2 2 2 4" xfId="3760"/>
    <cellStyle name="Note 2 2 2 4 2" xfId="3761"/>
    <cellStyle name="Note 2 2 2 4 2 2" xfId="3762"/>
    <cellStyle name="Note 2 2 2 4 2 2 2" xfId="3763"/>
    <cellStyle name="Note 2 2 2 4 2 2 2 2" xfId="3764"/>
    <cellStyle name="Note 2 2 2 4 2 2 3" xfId="3765"/>
    <cellStyle name="Note 2 2 2 4 2 3" xfId="3766"/>
    <cellStyle name="Note 2 2 2 4 2 3 2" xfId="3767"/>
    <cellStyle name="Note 2 2 2 4 2 4" xfId="3768"/>
    <cellStyle name="Note 2 2 2 4 3" xfId="3769"/>
    <cellStyle name="Note 2 2 2 4 3 2" xfId="3770"/>
    <cellStyle name="Note 2 2 2 4 3 2 2" xfId="3771"/>
    <cellStyle name="Note 2 2 2 4 3 3" xfId="3772"/>
    <cellStyle name="Note 2 2 2 4 3 4" xfId="3773"/>
    <cellStyle name="Note 2 2 2 4 4" xfId="3774"/>
    <cellStyle name="Note 2 2 2 4 4 2" xfId="3775"/>
    <cellStyle name="Note 2 2 2 4 4 2 2" xfId="3776"/>
    <cellStyle name="Note 2 2 2 4 4 3" xfId="3777"/>
    <cellStyle name="Note 2 2 2 4 5" xfId="3778"/>
    <cellStyle name="Note 2 2 2 4 5 2" xfId="3779"/>
    <cellStyle name="Note 2 2 2 4 6" xfId="3780"/>
    <cellStyle name="Note 2 2 2 5" xfId="3781"/>
    <cellStyle name="Note 2 2 2 5 2" xfId="3782"/>
    <cellStyle name="Note 2 2 2 5 2 2" xfId="3783"/>
    <cellStyle name="Note 2 2 2 5 2 2 2" xfId="3784"/>
    <cellStyle name="Note 2 2 2 5 2 2 2 2" xfId="3785"/>
    <cellStyle name="Note 2 2 2 5 2 2 3" xfId="3786"/>
    <cellStyle name="Note 2 2 2 5 2 3" xfId="3787"/>
    <cellStyle name="Note 2 2 2 5 2 3 2" xfId="3788"/>
    <cellStyle name="Note 2 2 2 5 2 4" xfId="3789"/>
    <cellStyle name="Note 2 2 2 5 3" xfId="3790"/>
    <cellStyle name="Note 2 2 2 5 3 2" xfId="3791"/>
    <cellStyle name="Note 2 2 2 5 3 2 2" xfId="3792"/>
    <cellStyle name="Note 2 2 2 5 3 3" xfId="3793"/>
    <cellStyle name="Note 2 2 2 5 3 4" xfId="3794"/>
    <cellStyle name="Note 2 2 2 5 4" xfId="3795"/>
    <cellStyle name="Note 2 2 2 5 4 2" xfId="3796"/>
    <cellStyle name="Note 2 2 2 5 4 2 2" xfId="3797"/>
    <cellStyle name="Note 2 2 2 5 4 3" xfId="3798"/>
    <cellStyle name="Note 2 2 2 5 5" xfId="3799"/>
    <cellStyle name="Note 2 2 2 5 5 2" xfId="3800"/>
    <cellStyle name="Note 2 2 2 5 6" xfId="3801"/>
    <cellStyle name="Note 2 2 3" xfId="3802"/>
    <cellStyle name="Note 2 2 3 2" xfId="3803"/>
    <cellStyle name="Note 2 2 3 2 2" xfId="3804"/>
    <cellStyle name="Note 2 2 3 2 2 2" xfId="3805"/>
    <cellStyle name="Note 2 2 3 2 2 2 2" xfId="3806"/>
    <cellStyle name="Note 2 2 3 2 2 2 2 2" xfId="3807"/>
    <cellStyle name="Note 2 2 3 2 2 2 3" xfId="3808"/>
    <cellStyle name="Note 2 2 3 2 2 3" xfId="3809"/>
    <cellStyle name="Note 2 2 3 2 2 3 2" xfId="3810"/>
    <cellStyle name="Note 2 2 3 2 2 4" xfId="3811"/>
    <cellStyle name="Note 2 2 3 2 3" xfId="3812"/>
    <cellStyle name="Note 2 2 3 2 3 2" xfId="3813"/>
    <cellStyle name="Note 2 2 3 2 3 2 2" xfId="3814"/>
    <cellStyle name="Note 2 2 3 2 3 3" xfId="3815"/>
    <cellStyle name="Note 2 2 3 2 3 4" xfId="3816"/>
    <cellStyle name="Note 2 2 3 2 4" xfId="3817"/>
    <cellStyle name="Note 2 2 3 2 4 2" xfId="3818"/>
    <cellStyle name="Note 2 2 3 2 4 2 2" xfId="3819"/>
    <cellStyle name="Note 2 2 3 2 4 3" xfId="3820"/>
    <cellStyle name="Note 2 2 3 2 5" xfId="3821"/>
    <cellStyle name="Note 2 2 3 3" xfId="3822"/>
    <cellStyle name="Note 2 2 3 3 2" xfId="3823"/>
    <cellStyle name="Note 2 2 3 3 2 2" xfId="3824"/>
    <cellStyle name="Note 2 2 3 3 2 2 2" xfId="3825"/>
    <cellStyle name="Note 2 2 3 3 2 2 2 2" xfId="3826"/>
    <cellStyle name="Note 2 2 3 3 2 2 3" xfId="3827"/>
    <cellStyle name="Note 2 2 3 3 2 3" xfId="3828"/>
    <cellStyle name="Note 2 2 3 3 2 3 2" xfId="3829"/>
    <cellStyle name="Note 2 2 3 3 2 4" xfId="3830"/>
    <cellStyle name="Note 2 2 3 3 3" xfId="3831"/>
    <cellStyle name="Note 2 2 3 3 3 2" xfId="3832"/>
    <cellStyle name="Note 2 2 3 3 3 2 2" xfId="3833"/>
    <cellStyle name="Note 2 2 3 3 3 3" xfId="3834"/>
    <cellStyle name="Note 2 2 3 3 3 4" xfId="3835"/>
    <cellStyle name="Note 2 2 3 3 4" xfId="3836"/>
    <cellStyle name="Note 2 2 3 3 4 2" xfId="3837"/>
    <cellStyle name="Note 2 2 3 3 4 2 2" xfId="3838"/>
    <cellStyle name="Note 2 2 3 3 4 3" xfId="3839"/>
    <cellStyle name="Note 2 2 3 3 5" xfId="3840"/>
    <cellStyle name="Note 2 2 3 3 5 2" xfId="3841"/>
    <cellStyle name="Note 2 2 3 3 6" xfId="3842"/>
    <cellStyle name="Note 2 2 3 4" xfId="3843"/>
    <cellStyle name="Note 2 2 3 4 2" xfId="3844"/>
    <cellStyle name="Note 2 2 3 4 2 2" xfId="3845"/>
    <cellStyle name="Note 2 2 3 4 2 2 2" xfId="3846"/>
    <cellStyle name="Note 2 2 3 4 2 2 2 2" xfId="3847"/>
    <cellStyle name="Note 2 2 3 4 2 2 3" xfId="3848"/>
    <cellStyle name="Note 2 2 3 4 2 3" xfId="3849"/>
    <cellStyle name="Note 2 2 3 4 2 3 2" xfId="3850"/>
    <cellStyle name="Note 2 2 3 4 2 4" xfId="3851"/>
    <cellStyle name="Note 2 2 3 4 3" xfId="3852"/>
    <cellStyle name="Note 2 2 3 4 3 2" xfId="3853"/>
    <cellStyle name="Note 2 2 3 4 3 2 2" xfId="3854"/>
    <cellStyle name="Note 2 2 3 4 3 3" xfId="3855"/>
    <cellStyle name="Note 2 2 3 4 3 4" xfId="3856"/>
    <cellStyle name="Note 2 2 3 4 4" xfId="3857"/>
    <cellStyle name="Note 2 2 3 4 4 2" xfId="3858"/>
    <cellStyle name="Note 2 2 3 4 4 2 2" xfId="3859"/>
    <cellStyle name="Note 2 2 3 4 4 3" xfId="3860"/>
    <cellStyle name="Note 2 2 3 4 5" xfId="3861"/>
    <cellStyle name="Note 2 2 3 4 5 2" xfId="3862"/>
    <cellStyle name="Note 2 2 3 4 6" xfId="3863"/>
    <cellStyle name="Note 2 2 3 5" xfId="3864"/>
    <cellStyle name="Note 2 2 3 5 2" xfId="3865"/>
    <cellStyle name="Note 2 2 4" xfId="3866"/>
    <cellStyle name="Note 2 2 4 2" xfId="3867"/>
    <cellStyle name="Note 2 2 4 2 2" xfId="3868"/>
    <cellStyle name="Note 2 2 4 2 2 2" xfId="3869"/>
    <cellStyle name="Note 2 2 4 2 2 2 2" xfId="3870"/>
    <cellStyle name="Note 2 2 4 2 2 2 2 2" xfId="3871"/>
    <cellStyle name="Note 2 2 4 2 2 2 3" xfId="3872"/>
    <cellStyle name="Note 2 2 4 2 2 3" xfId="3873"/>
    <cellStyle name="Note 2 2 4 2 2 3 2" xfId="3874"/>
    <cellStyle name="Note 2 2 4 2 2 4" xfId="3875"/>
    <cellStyle name="Note 2 2 4 2 3" xfId="3876"/>
    <cellStyle name="Note 2 2 4 2 3 2" xfId="3877"/>
    <cellStyle name="Note 2 2 4 2 3 2 2" xfId="3878"/>
    <cellStyle name="Note 2 2 4 2 3 3" xfId="3879"/>
    <cellStyle name="Note 2 2 4 2 3 4" xfId="3880"/>
    <cellStyle name="Note 2 2 4 2 4" xfId="3881"/>
    <cellStyle name="Note 2 2 4 2 4 2" xfId="3882"/>
    <cellStyle name="Note 2 2 4 2 4 2 2" xfId="3883"/>
    <cellStyle name="Note 2 2 4 2 4 3" xfId="3884"/>
    <cellStyle name="Note 2 2 4 2 5" xfId="3885"/>
    <cellStyle name="Note 2 2 4 2 5 2" xfId="3886"/>
    <cellStyle name="Note 2 2 4 2 6" xfId="3887"/>
    <cellStyle name="Note 2 2 4 3" xfId="3888"/>
    <cellStyle name="Note 2 2 4 3 2" xfId="3889"/>
    <cellStyle name="Note 2 2 4 3 2 2" xfId="3890"/>
    <cellStyle name="Note 2 2 4 3 2 2 2" xfId="3891"/>
    <cellStyle name="Note 2 2 4 3 2 2 2 2" xfId="3892"/>
    <cellStyle name="Note 2 2 4 3 2 2 3" xfId="3893"/>
    <cellStyle name="Note 2 2 4 3 2 3" xfId="3894"/>
    <cellStyle name="Note 2 2 4 3 2 3 2" xfId="3895"/>
    <cellStyle name="Note 2 2 4 3 2 4" xfId="3896"/>
    <cellStyle name="Note 2 2 4 3 3" xfId="3897"/>
    <cellStyle name="Note 2 2 4 3 3 2" xfId="3898"/>
    <cellStyle name="Note 2 2 4 3 3 2 2" xfId="3899"/>
    <cellStyle name="Note 2 2 4 3 3 3" xfId="3900"/>
    <cellStyle name="Note 2 2 4 3 3 4" xfId="3901"/>
    <cellStyle name="Note 2 2 4 3 4" xfId="3902"/>
    <cellStyle name="Note 2 2 4 3 4 2" xfId="3903"/>
    <cellStyle name="Note 2 2 4 3 4 2 2" xfId="3904"/>
    <cellStyle name="Note 2 2 4 3 4 3" xfId="3905"/>
    <cellStyle name="Note 2 2 4 3 5" xfId="3906"/>
    <cellStyle name="Note 2 2 4 3 5 2" xfId="3907"/>
    <cellStyle name="Note 2 2 4 3 6" xfId="3908"/>
    <cellStyle name="Note 2 2 4 4" xfId="3909"/>
    <cellStyle name="Note 2 2 4 4 2" xfId="3910"/>
    <cellStyle name="Note 2 2 4 4 2 2" xfId="3911"/>
    <cellStyle name="Note 2 2 4 4 2 2 2" xfId="3912"/>
    <cellStyle name="Note 2 2 4 4 2 3" xfId="3913"/>
    <cellStyle name="Note 2 2 4 4 3" xfId="3914"/>
    <cellStyle name="Note 2 2 4 4 3 2" xfId="3915"/>
    <cellStyle name="Note 2 2 4 4 4" xfId="3916"/>
    <cellStyle name="Note 2 2 4 5" xfId="3917"/>
    <cellStyle name="Note 2 2 4 5 2" xfId="3918"/>
    <cellStyle name="Note 2 2 4 5 2 2" xfId="3919"/>
    <cellStyle name="Note 2 2 4 5 3" xfId="3920"/>
    <cellStyle name="Note 2 2 4 5 4" xfId="3921"/>
    <cellStyle name="Note 2 2 4 6" xfId="3922"/>
    <cellStyle name="Note 2 2 4 6 2" xfId="3923"/>
    <cellStyle name="Note 2 2 4 6 2 2" xfId="3924"/>
    <cellStyle name="Note 2 2 4 6 3" xfId="3925"/>
    <cellStyle name="Note 2 2 4 7" xfId="3926"/>
    <cellStyle name="Note 2 2 5" xfId="3927"/>
    <cellStyle name="Note 2 2 5 2" xfId="3928"/>
    <cellStyle name="Note 2 2 5 2 2" xfId="3929"/>
    <cellStyle name="Note 2 2 5 2 2 2" xfId="3930"/>
    <cellStyle name="Note 2 2 5 2 2 2 2" xfId="3931"/>
    <cellStyle name="Note 2 2 5 2 2 3" xfId="3932"/>
    <cellStyle name="Note 2 2 5 2 3" xfId="3933"/>
    <cellStyle name="Note 2 2 5 2 3 2" xfId="3934"/>
    <cellStyle name="Note 2 2 5 2 4" xfId="3935"/>
    <cellStyle name="Note 2 2 5 3" xfId="3936"/>
    <cellStyle name="Note 2 2 5 3 2" xfId="3937"/>
    <cellStyle name="Note 2 2 5 3 2 2" xfId="3938"/>
    <cellStyle name="Note 2 2 5 3 3" xfId="3939"/>
    <cellStyle name="Note 2 2 5 3 4" xfId="3940"/>
    <cellStyle name="Note 2 2 5 4" xfId="3941"/>
    <cellStyle name="Note 2 2 5 4 2" xfId="3942"/>
    <cellStyle name="Note 2 2 5 4 2 2" xfId="3943"/>
    <cellStyle name="Note 2 2 5 4 3" xfId="3944"/>
    <cellStyle name="Note 2 2 5 5" xfId="3945"/>
    <cellStyle name="Note 2 3" xfId="3946"/>
    <cellStyle name="Note 2 3 2" xfId="3947"/>
    <cellStyle name="Note 2 3 2 2" xfId="3948"/>
    <cellStyle name="Note 2 3 2 2 2" xfId="3949"/>
    <cellStyle name="Note 2 3 2 2 2 2" xfId="3950"/>
    <cellStyle name="Note 2 3 2 2 2 2 2" xfId="3951"/>
    <cellStyle name="Note 2 3 2 2 2 2 2 2" xfId="3952"/>
    <cellStyle name="Note 2 3 2 2 2 2 3" xfId="3953"/>
    <cellStyle name="Note 2 3 2 2 2 3" xfId="3954"/>
    <cellStyle name="Note 2 3 2 2 2 3 2" xfId="3955"/>
    <cellStyle name="Note 2 3 2 2 2 4" xfId="3956"/>
    <cellStyle name="Note 2 3 2 2 3" xfId="3957"/>
    <cellStyle name="Note 2 3 2 2 3 2" xfId="3958"/>
    <cellStyle name="Note 2 3 2 2 3 2 2" xfId="3959"/>
    <cellStyle name="Note 2 3 2 2 3 3" xfId="3960"/>
    <cellStyle name="Note 2 3 2 2 3 4" xfId="3961"/>
    <cellStyle name="Note 2 3 2 2 4" xfId="3962"/>
    <cellStyle name="Note 2 3 2 2 4 2" xfId="3963"/>
    <cellStyle name="Note 2 3 2 2 4 2 2" xfId="3964"/>
    <cellStyle name="Note 2 3 2 2 4 3" xfId="3965"/>
    <cellStyle name="Note 2 3 2 2 5" xfId="3966"/>
    <cellStyle name="Note 2 3 2 3" xfId="3967"/>
    <cellStyle name="Note 2 3 2 3 2" xfId="3968"/>
    <cellStyle name="Note 2 3 2 3 2 2" xfId="3969"/>
    <cellStyle name="Note 2 3 2 3 2 2 2" xfId="3970"/>
    <cellStyle name="Note 2 3 2 3 2 2 2 2" xfId="3971"/>
    <cellStyle name="Note 2 3 2 3 2 2 3" xfId="3972"/>
    <cellStyle name="Note 2 3 2 3 2 3" xfId="3973"/>
    <cellStyle name="Note 2 3 2 3 2 3 2" xfId="3974"/>
    <cellStyle name="Note 2 3 2 3 2 4" xfId="3975"/>
    <cellStyle name="Note 2 3 2 3 3" xfId="3976"/>
    <cellStyle name="Note 2 3 2 3 3 2" xfId="3977"/>
    <cellStyle name="Note 2 3 2 3 3 2 2" xfId="3978"/>
    <cellStyle name="Note 2 3 2 3 3 3" xfId="3979"/>
    <cellStyle name="Note 2 3 2 3 3 4" xfId="3980"/>
    <cellStyle name="Note 2 3 2 3 4" xfId="3981"/>
    <cellStyle name="Note 2 3 2 3 4 2" xfId="3982"/>
    <cellStyle name="Note 2 3 2 3 4 2 2" xfId="3983"/>
    <cellStyle name="Note 2 3 2 3 4 3" xfId="3984"/>
    <cellStyle name="Note 2 3 2 3 5" xfId="3985"/>
    <cellStyle name="Note 2 3 2 3 5 2" xfId="3986"/>
    <cellStyle name="Note 2 3 2 3 6" xfId="3987"/>
    <cellStyle name="Note 2 3 2 4" xfId="3988"/>
    <cellStyle name="Note 2 3 2 4 2" xfId="3989"/>
    <cellStyle name="Note 2 3 2 4 2 2" xfId="3990"/>
    <cellStyle name="Note 2 3 2 4 2 2 2" xfId="3991"/>
    <cellStyle name="Note 2 3 2 4 2 2 2 2" xfId="3992"/>
    <cellStyle name="Note 2 3 2 4 2 2 3" xfId="3993"/>
    <cellStyle name="Note 2 3 2 4 2 3" xfId="3994"/>
    <cellStyle name="Note 2 3 2 4 2 3 2" xfId="3995"/>
    <cellStyle name="Note 2 3 2 4 2 4" xfId="3996"/>
    <cellStyle name="Note 2 3 2 4 3" xfId="3997"/>
    <cellStyle name="Note 2 3 2 4 3 2" xfId="3998"/>
    <cellStyle name="Note 2 3 2 4 3 2 2" xfId="3999"/>
    <cellStyle name="Note 2 3 2 4 3 3" xfId="4000"/>
    <cellStyle name="Note 2 3 2 4 3 4" xfId="4001"/>
    <cellStyle name="Note 2 3 2 4 4" xfId="4002"/>
    <cellStyle name="Note 2 3 2 4 4 2" xfId="4003"/>
    <cellStyle name="Note 2 3 2 4 4 2 2" xfId="4004"/>
    <cellStyle name="Note 2 3 2 4 4 3" xfId="4005"/>
    <cellStyle name="Note 2 3 2 4 5" xfId="4006"/>
    <cellStyle name="Note 2 3 2 4 5 2" xfId="4007"/>
    <cellStyle name="Note 2 3 2 4 6" xfId="4008"/>
    <cellStyle name="Note 2 3 2 5" xfId="4009"/>
    <cellStyle name="Note 2 3 2 5 2" xfId="4010"/>
    <cellStyle name="Note 2 3 3" xfId="4011"/>
    <cellStyle name="Note 2 3 3 2" xfId="4012"/>
    <cellStyle name="Note 2 3 3 2 2" xfId="4013"/>
    <cellStyle name="Note 2 3 3 2 2 2" xfId="4014"/>
    <cellStyle name="Note 2 3 3 2 2 2 2" xfId="4015"/>
    <cellStyle name="Note 2 3 3 2 2 3" xfId="4016"/>
    <cellStyle name="Note 2 3 3 2 3" xfId="4017"/>
    <cellStyle name="Note 2 3 3 2 3 2" xfId="4018"/>
    <cellStyle name="Note 2 3 3 2 4" xfId="4019"/>
    <cellStyle name="Note 2 3 3 3" xfId="4020"/>
    <cellStyle name="Note 2 3 3 3 2" xfId="4021"/>
    <cellStyle name="Note 2 3 3 3 2 2" xfId="4022"/>
    <cellStyle name="Note 2 3 3 3 3" xfId="4023"/>
    <cellStyle name="Note 2 3 3 3 4" xfId="4024"/>
    <cellStyle name="Note 2 3 3 4" xfId="4025"/>
    <cellStyle name="Note 2 3 3 4 2" xfId="4026"/>
    <cellStyle name="Note 2 3 3 4 2 2" xfId="4027"/>
    <cellStyle name="Note 2 3 3 4 3" xfId="4028"/>
    <cellStyle name="Note 2 3 3 5" xfId="4029"/>
    <cellStyle name="Note 2 3 4" xfId="4030"/>
    <cellStyle name="Note 2 3 4 2" xfId="4031"/>
    <cellStyle name="Note 2 3 4 2 2" xfId="4032"/>
    <cellStyle name="Note 2 3 4 2 2 2" xfId="4033"/>
    <cellStyle name="Note 2 3 4 2 2 2 2" xfId="4034"/>
    <cellStyle name="Note 2 3 4 2 2 3" xfId="4035"/>
    <cellStyle name="Note 2 3 4 2 3" xfId="4036"/>
    <cellStyle name="Note 2 3 4 2 3 2" xfId="4037"/>
    <cellStyle name="Note 2 3 4 2 4" xfId="4038"/>
    <cellStyle name="Note 2 3 4 3" xfId="4039"/>
    <cellStyle name="Note 2 3 4 3 2" xfId="4040"/>
    <cellStyle name="Note 2 3 4 3 2 2" xfId="4041"/>
    <cellStyle name="Note 2 3 4 3 3" xfId="4042"/>
    <cellStyle name="Note 2 3 4 3 4" xfId="4043"/>
    <cellStyle name="Note 2 3 4 4" xfId="4044"/>
    <cellStyle name="Note 2 3 4 4 2" xfId="4045"/>
    <cellStyle name="Note 2 3 4 4 2 2" xfId="4046"/>
    <cellStyle name="Note 2 3 4 4 3" xfId="4047"/>
    <cellStyle name="Note 2 3 4 5" xfId="4048"/>
    <cellStyle name="Note 2 3 4 5 2" xfId="4049"/>
    <cellStyle name="Note 2 3 4 6" xfId="4050"/>
    <cellStyle name="Note 2 3 5" xfId="4051"/>
    <cellStyle name="Note 2 3 5 2" xfId="4052"/>
    <cellStyle name="Note 2 3 5 2 2" xfId="4053"/>
    <cellStyle name="Note 2 3 5 2 2 2" xfId="4054"/>
    <cellStyle name="Note 2 3 5 2 2 2 2" xfId="4055"/>
    <cellStyle name="Note 2 3 5 2 2 3" xfId="4056"/>
    <cellStyle name="Note 2 3 5 2 3" xfId="4057"/>
    <cellStyle name="Note 2 3 5 2 3 2" xfId="4058"/>
    <cellStyle name="Note 2 3 5 2 4" xfId="4059"/>
    <cellStyle name="Note 2 3 5 3" xfId="4060"/>
    <cellStyle name="Note 2 3 5 3 2" xfId="4061"/>
    <cellStyle name="Note 2 3 5 3 2 2" xfId="4062"/>
    <cellStyle name="Note 2 3 5 3 3" xfId="4063"/>
    <cellStyle name="Note 2 3 5 3 4" xfId="4064"/>
    <cellStyle name="Note 2 3 5 4" xfId="4065"/>
    <cellStyle name="Note 2 3 5 4 2" xfId="4066"/>
    <cellStyle name="Note 2 3 5 4 2 2" xfId="4067"/>
    <cellStyle name="Note 2 3 5 4 3" xfId="4068"/>
    <cellStyle name="Note 2 3 5 5" xfId="4069"/>
    <cellStyle name="Note 2 3 5 5 2" xfId="4070"/>
    <cellStyle name="Note 2 3 5 6" xfId="4071"/>
    <cellStyle name="Note 2 4" xfId="4072"/>
    <cellStyle name="Note 2 4 2" xfId="4073"/>
    <cellStyle name="Note 2 4 2 2" xfId="4074"/>
    <cellStyle name="Note 2 4 2 2 2" xfId="4075"/>
    <cellStyle name="Note 2 4 2 2 2 2" xfId="4076"/>
    <cellStyle name="Note 2 4 2 2 2 2 2" xfId="4077"/>
    <cellStyle name="Note 2 4 2 2 2 3" xfId="4078"/>
    <cellStyle name="Note 2 4 2 2 3" xfId="4079"/>
    <cellStyle name="Note 2 4 2 2 3 2" xfId="4080"/>
    <cellStyle name="Note 2 4 2 2 4" xfId="4081"/>
    <cellStyle name="Note 2 4 2 3" xfId="4082"/>
    <cellStyle name="Note 2 4 2 3 2" xfId="4083"/>
    <cellStyle name="Note 2 4 2 3 2 2" xfId="4084"/>
    <cellStyle name="Note 2 4 2 3 3" xfId="4085"/>
    <cellStyle name="Note 2 4 2 3 4" xfId="4086"/>
    <cellStyle name="Note 2 4 2 4" xfId="4087"/>
    <cellStyle name="Note 2 4 2 4 2" xfId="4088"/>
    <cellStyle name="Note 2 4 2 4 2 2" xfId="4089"/>
    <cellStyle name="Note 2 4 2 4 3" xfId="4090"/>
    <cellStyle name="Note 2 4 2 5" xfId="4091"/>
    <cellStyle name="Note 2 4 3" xfId="4092"/>
    <cellStyle name="Note 2 4 3 2" xfId="4093"/>
    <cellStyle name="Note 2 4 3 2 2" xfId="4094"/>
    <cellStyle name="Note 2 4 3 2 2 2" xfId="4095"/>
    <cellStyle name="Note 2 4 3 2 2 2 2" xfId="4096"/>
    <cellStyle name="Note 2 4 3 2 2 3" xfId="4097"/>
    <cellStyle name="Note 2 4 3 2 3" xfId="4098"/>
    <cellStyle name="Note 2 4 3 2 3 2" xfId="4099"/>
    <cellStyle name="Note 2 4 3 2 4" xfId="4100"/>
    <cellStyle name="Note 2 4 3 3" xfId="4101"/>
    <cellStyle name="Note 2 4 3 3 2" xfId="4102"/>
    <cellStyle name="Note 2 4 3 3 2 2" xfId="4103"/>
    <cellStyle name="Note 2 4 3 3 3" xfId="4104"/>
    <cellStyle name="Note 2 4 3 3 4" xfId="4105"/>
    <cellStyle name="Note 2 4 3 4" xfId="4106"/>
    <cellStyle name="Note 2 4 3 4 2" xfId="4107"/>
    <cellStyle name="Note 2 4 3 4 2 2" xfId="4108"/>
    <cellStyle name="Note 2 4 3 4 3" xfId="4109"/>
    <cellStyle name="Note 2 4 3 5" xfId="4110"/>
    <cellStyle name="Note 2 4 3 5 2" xfId="4111"/>
    <cellStyle name="Note 2 4 3 6" xfId="4112"/>
    <cellStyle name="Note 2 4 4" xfId="4113"/>
    <cellStyle name="Note 2 4 4 2" xfId="4114"/>
    <cellStyle name="Note 2 4 4 2 2" xfId="4115"/>
    <cellStyle name="Note 2 4 4 2 2 2" xfId="4116"/>
    <cellStyle name="Note 2 4 4 2 2 2 2" xfId="4117"/>
    <cellStyle name="Note 2 4 4 2 2 3" xfId="4118"/>
    <cellStyle name="Note 2 4 4 2 3" xfId="4119"/>
    <cellStyle name="Note 2 4 4 2 3 2" xfId="4120"/>
    <cellStyle name="Note 2 4 4 2 4" xfId="4121"/>
    <cellStyle name="Note 2 4 4 3" xfId="4122"/>
    <cellStyle name="Note 2 4 4 3 2" xfId="4123"/>
    <cellStyle name="Note 2 4 4 3 2 2" xfId="4124"/>
    <cellStyle name="Note 2 4 4 3 3" xfId="4125"/>
    <cellStyle name="Note 2 4 4 3 4" xfId="4126"/>
    <cellStyle name="Note 2 4 4 4" xfId="4127"/>
    <cellStyle name="Note 2 4 4 4 2" xfId="4128"/>
    <cellStyle name="Note 2 4 4 4 2 2" xfId="4129"/>
    <cellStyle name="Note 2 4 4 4 3" xfId="4130"/>
    <cellStyle name="Note 2 4 4 5" xfId="4131"/>
    <cellStyle name="Note 2 4 4 5 2" xfId="4132"/>
    <cellStyle name="Note 2 4 4 6" xfId="4133"/>
    <cellStyle name="Note 2 4 5" xfId="4134"/>
    <cellStyle name="Note 2 4 5 2" xfId="4135"/>
    <cellStyle name="Note 2 5" xfId="4136"/>
    <cellStyle name="Note 2 5 2" xfId="4137"/>
    <cellStyle name="Note 2 5 2 2" xfId="4138"/>
    <cellStyle name="Note 2 5 2 2 2" xfId="4139"/>
    <cellStyle name="Note 2 5 2 2 2 2" xfId="4140"/>
    <cellStyle name="Note 2 5 2 2 2 2 2" xfId="4141"/>
    <cellStyle name="Note 2 5 2 2 2 3" xfId="4142"/>
    <cellStyle name="Note 2 5 2 2 3" xfId="4143"/>
    <cellStyle name="Note 2 5 2 2 3 2" xfId="4144"/>
    <cellStyle name="Note 2 5 2 2 4" xfId="4145"/>
    <cellStyle name="Note 2 5 2 3" xfId="4146"/>
    <cellStyle name="Note 2 5 2 3 2" xfId="4147"/>
    <cellStyle name="Note 2 5 2 3 2 2" xfId="4148"/>
    <cellStyle name="Note 2 5 2 3 3" xfId="4149"/>
    <cellStyle name="Note 2 5 2 3 4" xfId="4150"/>
    <cellStyle name="Note 2 5 2 4" xfId="4151"/>
    <cellStyle name="Note 2 5 2 4 2" xfId="4152"/>
    <cellStyle name="Note 2 5 2 4 2 2" xfId="4153"/>
    <cellStyle name="Note 2 5 2 4 3" xfId="4154"/>
    <cellStyle name="Note 2 5 2 5" xfId="4155"/>
    <cellStyle name="Note 2 5 2 5 2" xfId="4156"/>
    <cellStyle name="Note 2 5 2 6" xfId="4157"/>
    <cellStyle name="Note 2 5 3" xfId="4158"/>
    <cellStyle name="Note 2 5 3 2" xfId="4159"/>
    <cellStyle name="Note 2 5 3 2 2" xfId="4160"/>
    <cellStyle name="Note 2 5 3 2 2 2" xfId="4161"/>
    <cellStyle name="Note 2 5 3 2 2 2 2" xfId="4162"/>
    <cellStyle name="Note 2 5 3 2 2 3" xfId="4163"/>
    <cellStyle name="Note 2 5 3 2 3" xfId="4164"/>
    <cellStyle name="Note 2 5 3 2 3 2" xfId="4165"/>
    <cellStyle name="Note 2 5 3 2 4" xfId="4166"/>
    <cellStyle name="Note 2 5 3 3" xfId="4167"/>
    <cellStyle name="Note 2 5 3 3 2" xfId="4168"/>
    <cellStyle name="Note 2 5 3 3 2 2" xfId="4169"/>
    <cellStyle name="Note 2 5 3 3 3" xfId="4170"/>
    <cellStyle name="Note 2 5 3 3 4" xfId="4171"/>
    <cellStyle name="Note 2 5 3 4" xfId="4172"/>
    <cellStyle name="Note 2 5 3 4 2" xfId="4173"/>
    <cellStyle name="Note 2 5 3 4 2 2" xfId="4174"/>
    <cellStyle name="Note 2 5 3 4 3" xfId="4175"/>
    <cellStyle name="Note 2 5 3 5" xfId="4176"/>
    <cellStyle name="Note 2 5 3 5 2" xfId="4177"/>
    <cellStyle name="Note 2 5 3 6" xfId="4178"/>
    <cellStyle name="Note 2 5 4" xfId="4179"/>
    <cellStyle name="Note 2 5 4 2" xfId="4180"/>
    <cellStyle name="Note 2 5 4 2 2" xfId="4181"/>
    <cellStyle name="Note 2 5 4 2 2 2" xfId="4182"/>
    <cellStyle name="Note 2 5 4 2 3" xfId="4183"/>
    <cellStyle name="Note 2 5 4 3" xfId="4184"/>
    <cellStyle name="Note 2 5 4 3 2" xfId="4185"/>
    <cellStyle name="Note 2 5 4 4" xfId="4186"/>
    <cellStyle name="Note 2 5 5" xfId="4187"/>
    <cellStyle name="Note 2 5 5 2" xfId="4188"/>
    <cellStyle name="Note 2 5 5 2 2" xfId="4189"/>
    <cellStyle name="Note 2 5 5 3" xfId="4190"/>
    <cellStyle name="Note 2 5 5 4" xfId="4191"/>
    <cellStyle name="Note 2 5 6" xfId="4192"/>
    <cellStyle name="Note 2 5 6 2" xfId="4193"/>
    <cellStyle name="Note 2 5 6 2 2" xfId="4194"/>
    <cellStyle name="Note 2 5 6 3" xfId="4195"/>
    <cellStyle name="Note 2 5 7" xfId="4196"/>
    <cellStyle name="Note 2 6" xfId="4197"/>
    <cellStyle name="Note 2 6 2" xfId="4198"/>
    <cellStyle name="Note 2 6 2 2" xfId="4199"/>
    <cellStyle name="Note 2 6 2 2 2" xfId="4200"/>
    <cellStyle name="Note 2 6 2 2 2 2" xfId="4201"/>
    <cellStyle name="Note 2 6 2 2 3" xfId="4202"/>
    <cellStyle name="Note 2 6 2 3" xfId="4203"/>
    <cellStyle name="Note 2 6 2 3 2" xfId="4204"/>
    <cellStyle name="Note 2 6 2 4" xfId="4205"/>
    <cellStyle name="Note 2 6 3" xfId="4206"/>
    <cellStyle name="Note 2 6 3 2" xfId="4207"/>
    <cellStyle name="Note 2 6 3 2 2" xfId="4208"/>
    <cellStyle name="Note 2 6 3 3" xfId="4209"/>
    <cellStyle name="Note 2 6 3 4" xfId="4210"/>
    <cellStyle name="Note 2 6 4" xfId="4211"/>
    <cellStyle name="Note 2 6 4 2" xfId="4212"/>
    <cellStyle name="Note 2 6 4 2 2" xfId="4213"/>
    <cellStyle name="Note 2 6 4 3" xfId="4214"/>
    <cellStyle name="Note 2 6 5" xfId="4215"/>
    <cellStyle name="Note 3" xfId="4216"/>
    <cellStyle name="Note 3 2" xfId="4217"/>
    <cellStyle name="Note 3 2 2" xfId="4218"/>
    <cellStyle name="Note 3 2 2 2" xfId="4219"/>
    <cellStyle name="Note 3 2 2 2 2" xfId="4220"/>
    <cellStyle name="Note 3 2 2 2 2 2" xfId="4221"/>
    <cellStyle name="Note 3 2 2 2 2 2 2" xfId="4222"/>
    <cellStyle name="Note 3 2 2 2 2 3" xfId="4223"/>
    <cellStyle name="Note 3 2 2 2 3" xfId="4224"/>
    <cellStyle name="Note 3 2 2 2 3 2" xfId="4225"/>
    <cellStyle name="Note 3 2 2 2 4" xfId="4226"/>
    <cellStyle name="Note 3 2 2 3" xfId="4227"/>
    <cellStyle name="Note 3 2 2 3 2" xfId="4228"/>
    <cellStyle name="Note 3 2 2 3 2 2" xfId="4229"/>
    <cellStyle name="Note 3 2 2 3 3" xfId="4230"/>
    <cellStyle name="Note 3 2 2 3 4" xfId="4231"/>
    <cellStyle name="Note 3 2 2 4" xfId="4232"/>
    <cellStyle name="Note 3 2 2 4 2" xfId="4233"/>
    <cellStyle name="Note 3 2 2 4 2 2" xfId="4234"/>
    <cellStyle name="Note 3 2 2 4 3" xfId="4235"/>
    <cellStyle name="Note 3 2 2 5" xfId="4236"/>
    <cellStyle name="Note 3 2 3" xfId="4237"/>
    <cellStyle name="Note 3 2 3 2" xfId="4238"/>
    <cellStyle name="Note 3 2 3 2 2" xfId="4239"/>
    <cellStyle name="Note 3 2 3 2 2 2" xfId="4240"/>
    <cellStyle name="Note 3 2 3 2 2 2 2" xfId="4241"/>
    <cellStyle name="Note 3 2 3 2 2 3" xfId="4242"/>
    <cellStyle name="Note 3 2 3 2 3" xfId="4243"/>
    <cellStyle name="Note 3 2 3 2 3 2" xfId="4244"/>
    <cellStyle name="Note 3 2 3 2 4" xfId="4245"/>
    <cellStyle name="Note 3 2 3 3" xfId="4246"/>
    <cellStyle name="Note 3 2 3 3 2" xfId="4247"/>
    <cellStyle name="Note 3 2 3 3 2 2" xfId="4248"/>
    <cellStyle name="Note 3 2 3 3 3" xfId="4249"/>
    <cellStyle name="Note 3 2 3 3 4" xfId="4250"/>
    <cellStyle name="Note 3 2 3 4" xfId="4251"/>
    <cellStyle name="Note 3 2 3 4 2" xfId="4252"/>
    <cellStyle name="Note 3 2 3 4 2 2" xfId="4253"/>
    <cellStyle name="Note 3 2 3 4 3" xfId="4254"/>
    <cellStyle name="Note 3 2 3 5" xfId="4255"/>
    <cellStyle name="Note 3 2 3 5 2" xfId="4256"/>
    <cellStyle name="Note 3 2 3 6" xfId="4257"/>
    <cellStyle name="Note 3 2 4" xfId="4258"/>
    <cellStyle name="Note 3 2 4 2" xfId="4259"/>
    <cellStyle name="Note 3 2 4 2 2" xfId="4260"/>
    <cellStyle name="Note 3 2 4 2 2 2" xfId="4261"/>
    <cellStyle name="Note 3 2 4 2 2 2 2" xfId="4262"/>
    <cellStyle name="Note 3 2 4 2 2 3" xfId="4263"/>
    <cellStyle name="Note 3 2 4 2 3" xfId="4264"/>
    <cellStyle name="Note 3 2 4 2 3 2" xfId="4265"/>
    <cellStyle name="Note 3 2 4 2 4" xfId="4266"/>
    <cellStyle name="Note 3 2 4 3" xfId="4267"/>
    <cellStyle name="Note 3 2 4 3 2" xfId="4268"/>
    <cellStyle name="Note 3 2 4 3 2 2" xfId="4269"/>
    <cellStyle name="Note 3 2 4 3 3" xfId="4270"/>
    <cellStyle name="Note 3 2 4 3 4" xfId="4271"/>
    <cellStyle name="Note 3 2 4 4" xfId="4272"/>
    <cellStyle name="Note 3 2 4 4 2" xfId="4273"/>
    <cellStyle name="Note 3 2 4 4 2 2" xfId="4274"/>
    <cellStyle name="Note 3 2 4 4 3" xfId="4275"/>
    <cellStyle name="Note 3 2 4 5" xfId="4276"/>
    <cellStyle name="Note 3 2 4 5 2" xfId="4277"/>
    <cellStyle name="Note 3 2 4 6" xfId="4278"/>
    <cellStyle name="Note 3 2 5" xfId="4279"/>
    <cellStyle name="Note 3 2 5 2" xfId="4280"/>
    <cellStyle name="Note 3 3" xfId="4281"/>
    <cellStyle name="Note 3 3 2" xfId="4282"/>
    <cellStyle name="Note 3 3 2 2" xfId="4283"/>
    <cellStyle name="Note 3 3 2 2 2" xfId="4284"/>
    <cellStyle name="Note 3 3 2 2 2 2" xfId="4285"/>
    <cellStyle name="Note 3 3 2 2 2 2 2" xfId="4286"/>
    <cellStyle name="Note 3 3 2 2 2 3" xfId="4287"/>
    <cellStyle name="Note 3 3 2 2 3" xfId="4288"/>
    <cellStyle name="Note 3 3 2 2 3 2" xfId="4289"/>
    <cellStyle name="Note 3 3 2 2 4" xfId="4290"/>
    <cellStyle name="Note 3 3 2 3" xfId="4291"/>
    <cellStyle name="Note 3 3 2 3 2" xfId="4292"/>
    <cellStyle name="Note 3 3 2 3 2 2" xfId="4293"/>
    <cellStyle name="Note 3 3 2 3 3" xfId="4294"/>
    <cellStyle name="Note 3 3 2 3 4" xfId="4295"/>
    <cellStyle name="Note 3 3 2 4" xfId="4296"/>
    <cellStyle name="Note 3 3 2 4 2" xfId="4297"/>
    <cellStyle name="Note 3 3 2 4 2 2" xfId="4298"/>
    <cellStyle name="Note 3 3 2 4 3" xfId="4299"/>
    <cellStyle name="Note 3 3 2 5" xfId="4300"/>
    <cellStyle name="Note 3 3 2 5 2" xfId="4301"/>
    <cellStyle name="Note 3 3 2 6" xfId="4302"/>
    <cellStyle name="Note 3 3 3" xfId="4303"/>
    <cellStyle name="Note 3 3 3 2" xfId="4304"/>
    <cellStyle name="Note 3 3 3 2 2" xfId="4305"/>
    <cellStyle name="Note 3 3 3 2 2 2" xfId="4306"/>
    <cellStyle name="Note 3 3 3 2 2 2 2" xfId="4307"/>
    <cellStyle name="Note 3 3 3 2 2 3" xfId="4308"/>
    <cellStyle name="Note 3 3 3 2 3" xfId="4309"/>
    <cellStyle name="Note 3 3 3 2 3 2" xfId="4310"/>
    <cellStyle name="Note 3 3 3 2 4" xfId="4311"/>
    <cellStyle name="Note 3 3 3 3" xfId="4312"/>
    <cellStyle name="Note 3 3 3 3 2" xfId="4313"/>
    <cellStyle name="Note 3 3 3 3 2 2" xfId="4314"/>
    <cellStyle name="Note 3 3 3 3 3" xfId="4315"/>
    <cellStyle name="Note 3 3 3 3 4" xfId="4316"/>
    <cellStyle name="Note 3 3 3 4" xfId="4317"/>
    <cellStyle name="Note 3 3 3 4 2" xfId="4318"/>
    <cellStyle name="Note 3 3 3 4 2 2" xfId="4319"/>
    <cellStyle name="Note 3 3 3 4 3" xfId="4320"/>
    <cellStyle name="Note 3 3 3 5" xfId="4321"/>
    <cellStyle name="Note 3 3 3 5 2" xfId="4322"/>
    <cellStyle name="Note 3 3 3 6" xfId="4323"/>
    <cellStyle name="Note 3 3 4" xfId="4324"/>
    <cellStyle name="Note 3 3 4 2" xfId="4325"/>
    <cellStyle name="Note 3 3 4 2 2" xfId="4326"/>
    <cellStyle name="Note 3 3 4 2 2 2" xfId="4327"/>
    <cellStyle name="Note 3 3 4 2 3" xfId="4328"/>
    <cellStyle name="Note 3 3 4 3" xfId="4329"/>
    <cellStyle name="Note 3 3 4 3 2" xfId="4330"/>
    <cellStyle name="Note 3 3 4 4" xfId="4331"/>
    <cellStyle name="Note 3 3 5" xfId="4332"/>
    <cellStyle name="Note 3 3 5 2" xfId="4333"/>
    <cellStyle name="Note 3 3 5 2 2" xfId="4334"/>
    <cellStyle name="Note 3 3 5 3" xfId="4335"/>
    <cellStyle name="Note 3 3 5 4" xfId="4336"/>
    <cellStyle name="Note 3 3 6" xfId="4337"/>
    <cellStyle name="Note 3 3 6 2" xfId="4338"/>
    <cellStyle name="Note 3 3 6 2 2" xfId="4339"/>
    <cellStyle name="Note 3 3 6 3" xfId="4340"/>
    <cellStyle name="Note 3 3 7" xfId="4341"/>
    <cellStyle name="Note 3 4" xfId="4342"/>
    <cellStyle name="Note 3 4 2" xfId="4343"/>
    <cellStyle name="Note 3 4 2 2" xfId="4344"/>
    <cellStyle name="Note 3 4 2 2 2" xfId="4345"/>
    <cellStyle name="Note 3 4 2 2 2 2" xfId="4346"/>
    <cellStyle name="Note 3 4 2 2 3" xfId="4347"/>
    <cellStyle name="Note 3 4 2 3" xfId="4348"/>
    <cellStyle name="Note 3 4 2 3 2" xfId="4349"/>
    <cellStyle name="Note 3 4 2 4" xfId="4350"/>
    <cellStyle name="Note 3 4 3" xfId="4351"/>
    <cellStyle name="Note 3 4 3 2" xfId="4352"/>
    <cellStyle name="Note 3 4 3 2 2" xfId="4353"/>
    <cellStyle name="Note 3 4 3 3" xfId="4354"/>
    <cellStyle name="Note 3 4 3 4" xfId="4355"/>
    <cellStyle name="Note 3 4 4" xfId="4356"/>
    <cellStyle name="Note 3 4 4 2" xfId="4357"/>
    <cellStyle name="Note 3 4 4 2 2" xfId="4358"/>
    <cellStyle name="Note 3 4 4 3" xfId="4359"/>
    <cellStyle name="Note 3 4 5" xfId="4360"/>
    <cellStyle name="Note 4" xfId="4361"/>
    <cellStyle name="Note 4 2" xfId="4362"/>
    <cellStyle name="Note 4 2 2" xfId="4363"/>
    <cellStyle name="Note 4 2 2 2" xfId="4364"/>
    <cellStyle name="Note 4 2 2 2 2" xfId="4365"/>
    <cellStyle name="Note 4 2 2 2 2 2" xfId="4366"/>
    <cellStyle name="Note 4 2 2 2 2 2 2" xfId="4367"/>
    <cellStyle name="Note 4 2 2 2 2 3" xfId="4368"/>
    <cellStyle name="Note 4 2 2 2 3" xfId="4369"/>
    <cellStyle name="Note 4 2 2 2 3 2" xfId="4370"/>
    <cellStyle name="Note 4 2 2 2 4" xfId="4371"/>
    <cellStyle name="Note 4 2 2 3" xfId="4372"/>
    <cellStyle name="Note 4 2 2 3 2" xfId="4373"/>
    <cellStyle name="Note 4 2 2 3 2 2" xfId="4374"/>
    <cellStyle name="Note 4 2 2 3 3" xfId="4375"/>
    <cellStyle name="Note 4 2 2 3 4" xfId="4376"/>
    <cellStyle name="Note 4 2 2 4" xfId="4377"/>
    <cellStyle name="Note 4 2 2 4 2" xfId="4378"/>
    <cellStyle name="Note 4 2 2 4 2 2" xfId="4379"/>
    <cellStyle name="Note 4 2 2 4 3" xfId="4380"/>
    <cellStyle name="Note 4 2 2 5" xfId="4381"/>
    <cellStyle name="Note 4 2 3" xfId="4382"/>
    <cellStyle name="Note 4 2 3 2" xfId="4383"/>
    <cellStyle name="Note 4 2 3 2 2" xfId="4384"/>
    <cellStyle name="Note 4 2 3 2 2 2" xfId="4385"/>
    <cellStyle name="Note 4 2 3 2 2 2 2" xfId="4386"/>
    <cellStyle name="Note 4 2 3 2 2 3" xfId="4387"/>
    <cellStyle name="Note 4 2 3 2 3" xfId="4388"/>
    <cellStyle name="Note 4 2 3 2 3 2" xfId="4389"/>
    <cellStyle name="Note 4 2 3 2 4" xfId="4390"/>
    <cellStyle name="Note 4 2 3 3" xfId="4391"/>
    <cellStyle name="Note 4 2 3 3 2" xfId="4392"/>
    <cellStyle name="Note 4 2 3 3 2 2" xfId="4393"/>
    <cellStyle name="Note 4 2 3 3 3" xfId="4394"/>
    <cellStyle name="Note 4 2 3 3 4" xfId="4395"/>
    <cellStyle name="Note 4 2 3 4" xfId="4396"/>
    <cellStyle name="Note 4 2 3 4 2" xfId="4397"/>
    <cellStyle name="Note 4 2 3 4 2 2" xfId="4398"/>
    <cellStyle name="Note 4 2 3 4 3" xfId="4399"/>
    <cellStyle name="Note 4 2 3 5" xfId="4400"/>
    <cellStyle name="Note 4 2 3 5 2" xfId="4401"/>
    <cellStyle name="Note 4 2 3 6" xfId="4402"/>
    <cellStyle name="Note 4 2 4" xfId="4403"/>
    <cellStyle name="Note 4 2 4 2" xfId="4404"/>
    <cellStyle name="Note 4 2 4 2 2" xfId="4405"/>
    <cellStyle name="Note 4 2 4 2 2 2" xfId="4406"/>
    <cellStyle name="Note 4 2 4 2 2 2 2" xfId="4407"/>
    <cellStyle name="Note 4 2 4 2 2 3" xfId="4408"/>
    <cellStyle name="Note 4 2 4 2 3" xfId="4409"/>
    <cellStyle name="Note 4 2 4 2 3 2" xfId="4410"/>
    <cellStyle name="Note 4 2 4 2 4" xfId="4411"/>
    <cellStyle name="Note 4 2 4 3" xfId="4412"/>
    <cellStyle name="Note 4 2 4 3 2" xfId="4413"/>
    <cellStyle name="Note 4 2 4 3 2 2" xfId="4414"/>
    <cellStyle name="Note 4 2 4 3 3" xfId="4415"/>
    <cellStyle name="Note 4 2 4 3 4" xfId="4416"/>
    <cellStyle name="Note 4 2 4 4" xfId="4417"/>
    <cellStyle name="Note 4 2 4 4 2" xfId="4418"/>
    <cellStyle name="Note 4 2 4 4 2 2" xfId="4419"/>
    <cellStyle name="Note 4 2 4 4 3" xfId="4420"/>
    <cellStyle name="Note 4 2 4 5" xfId="4421"/>
    <cellStyle name="Note 4 2 4 5 2" xfId="4422"/>
    <cellStyle name="Note 4 2 4 6" xfId="4423"/>
    <cellStyle name="Note 4 2 5" xfId="4424"/>
    <cellStyle name="Note 4 2 5 2" xfId="4425"/>
    <cellStyle name="Note 4 3" xfId="4426"/>
    <cellStyle name="Note 4 3 2" xfId="4427"/>
    <cellStyle name="Note 4 3 2 2" xfId="4428"/>
    <cellStyle name="Note 4 3 2 2 2" xfId="4429"/>
    <cellStyle name="Note 4 3 2 2 2 2" xfId="4430"/>
    <cellStyle name="Note 4 3 2 2 2 2 2" xfId="4431"/>
    <cellStyle name="Note 4 3 2 2 2 3" xfId="4432"/>
    <cellStyle name="Note 4 3 2 2 3" xfId="4433"/>
    <cellStyle name="Note 4 3 2 2 3 2" xfId="4434"/>
    <cellStyle name="Note 4 3 2 2 4" xfId="4435"/>
    <cellStyle name="Note 4 3 2 3" xfId="4436"/>
    <cellStyle name="Note 4 3 2 3 2" xfId="4437"/>
    <cellStyle name="Note 4 3 2 3 2 2" xfId="4438"/>
    <cellStyle name="Note 4 3 2 3 3" xfId="4439"/>
    <cellStyle name="Note 4 3 2 3 4" xfId="4440"/>
    <cellStyle name="Note 4 3 2 4" xfId="4441"/>
    <cellStyle name="Note 4 3 2 4 2" xfId="4442"/>
    <cellStyle name="Note 4 3 2 4 2 2" xfId="4443"/>
    <cellStyle name="Note 4 3 2 4 3" xfId="4444"/>
    <cellStyle name="Note 4 3 2 5" xfId="4445"/>
    <cellStyle name="Note 4 3 2 5 2" xfId="4446"/>
    <cellStyle name="Note 4 3 2 6" xfId="4447"/>
    <cellStyle name="Note 4 3 3" xfId="4448"/>
    <cellStyle name="Note 4 3 3 2" xfId="4449"/>
    <cellStyle name="Note 4 3 3 2 2" xfId="4450"/>
    <cellStyle name="Note 4 3 3 2 2 2" xfId="4451"/>
    <cellStyle name="Note 4 3 3 2 2 2 2" xfId="4452"/>
    <cellStyle name="Note 4 3 3 2 2 3" xfId="4453"/>
    <cellStyle name="Note 4 3 3 2 3" xfId="4454"/>
    <cellStyle name="Note 4 3 3 2 3 2" xfId="4455"/>
    <cellStyle name="Note 4 3 3 2 4" xfId="4456"/>
    <cellStyle name="Note 4 3 3 3" xfId="4457"/>
    <cellStyle name="Note 4 3 3 3 2" xfId="4458"/>
    <cellStyle name="Note 4 3 3 3 2 2" xfId="4459"/>
    <cellStyle name="Note 4 3 3 3 3" xfId="4460"/>
    <cellStyle name="Note 4 3 3 3 4" xfId="4461"/>
    <cellStyle name="Note 4 3 3 4" xfId="4462"/>
    <cellStyle name="Note 4 3 3 4 2" xfId="4463"/>
    <cellStyle name="Note 4 3 3 4 2 2" xfId="4464"/>
    <cellStyle name="Note 4 3 3 4 3" xfId="4465"/>
    <cellStyle name="Note 4 3 3 5" xfId="4466"/>
    <cellStyle name="Note 4 3 3 5 2" xfId="4467"/>
    <cellStyle name="Note 4 3 3 6" xfId="4468"/>
    <cellStyle name="Note 4 3 4" xfId="4469"/>
    <cellStyle name="Note 4 3 4 2" xfId="4470"/>
    <cellStyle name="Note 4 3 4 2 2" xfId="4471"/>
    <cellStyle name="Note 4 3 4 2 2 2" xfId="4472"/>
    <cellStyle name="Note 4 3 4 2 3" xfId="4473"/>
    <cellStyle name="Note 4 3 4 3" xfId="4474"/>
    <cellStyle name="Note 4 3 4 3 2" xfId="4475"/>
    <cellStyle name="Note 4 3 4 4" xfId="4476"/>
    <cellStyle name="Note 4 3 5" xfId="4477"/>
    <cellStyle name="Note 4 3 5 2" xfId="4478"/>
    <cellStyle name="Note 4 3 5 2 2" xfId="4479"/>
    <cellStyle name="Note 4 3 5 3" xfId="4480"/>
    <cellStyle name="Note 4 3 5 4" xfId="4481"/>
    <cellStyle name="Note 4 3 6" xfId="4482"/>
    <cellStyle name="Note 4 3 6 2" xfId="4483"/>
    <cellStyle name="Note 4 3 6 2 2" xfId="4484"/>
    <cellStyle name="Note 4 3 6 3" xfId="4485"/>
    <cellStyle name="Note 4 3 7" xfId="4486"/>
    <cellStyle name="Note 4 4" xfId="4487"/>
    <cellStyle name="Note 4 4 2" xfId="4488"/>
    <cellStyle name="Note 4 4 2 2" xfId="4489"/>
    <cellStyle name="Note 4 4 2 2 2" xfId="4490"/>
    <cellStyle name="Note 4 4 2 2 2 2" xfId="4491"/>
    <cellStyle name="Note 4 4 2 2 3" xfId="4492"/>
    <cellStyle name="Note 4 4 2 3" xfId="4493"/>
    <cellStyle name="Note 4 4 2 3 2" xfId="4494"/>
    <cellStyle name="Note 4 4 2 4" xfId="4495"/>
    <cellStyle name="Note 4 4 3" xfId="4496"/>
    <cellStyle name="Note 4 4 3 2" xfId="4497"/>
    <cellStyle name="Note 4 4 3 2 2" xfId="4498"/>
    <cellStyle name="Note 4 4 3 3" xfId="4499"/>
    <cellStyle name="Note 4 4 3 4" xfId="4500"/>
    <cellStyle name="Note 4 4 4" xfId="4501"/>
    <cellStyle name="Note 4 4 4 2" xfId="4502"/>
    <cellStyle name="Note 4 4 4 2 2" xfId="4503"/>
    <cellStyle name="Note 4 4 4 3" xfId="4504"/>
    <cellStyle name="Note 4 4 5" xfId="4505"/>
    <cellStyle name="Note 5" xfId="4506"/>
    <cellStyle name="Note 5 2" xfId="4507"/>
    <cellStyle name="Note 5 2 2" xfId="4508"/>
    <cellStyle name="Note 5 2 2 2" xfId="4509"/>
    <cellStyle name="Note 5 2 2 2 2" xfId="4510"/>
    <cellStyle name="Note 5 2 2 2 2 2" xfId="4511"/>
    <cellStyle name="Note 5 2 2 2 3" xfId="4512"/>
    <cellStyle name="Note 5 2 2 3" xfId="4513"/>
    <cellStyle name="Note 5 2 2 3 2" xfId="4514"/>
    <cellStyle name="Note 5 2 2 4" xfId="4515"/>
    <cellStyle name="Note 5 2 3" xfId="4516"/>
    <cellStyle name="Note 5 2 3 2" xfId="4517"/>
    <cellStyle name="Note 5 2 3 2 2" xfId="4518"/>
    <cellStyle name="Note 5 2 3 3" xfId="4519"/>
    <cellStyle name="Note 5 2 3 4" xfId="4520"/>
    <cellStyle name="Note 5 2 4" xfId="4521"/>
    <cellStyle name="Note 5 2 4 2" xfId="4522"/>
    <cellStyle name="Note 5 2 4 2 2" xfId="4523"/>
    <cellStyle name="Note 5 2 4 3" xfId="4524"/>
    <cellStyle name="Note 5 2 5" xfId="4525"/>
    <cellStyle name="Note 5 3" xfId="4526"/>
    <cellStyle name="Note 5 3 2" xfId="4527"/>
    <cellStyle name="Note 5 3 2 2" xfId="4528"/>
    <cellStyle name="Note 5 3 2 2 2" xfId="4529"/>
    <cellStyle name="Note 5 3 2 2 2 2" xfId="4530"/>
    <cellStyle name="Note 5 3 2 2 3" xfId="4531"/>
    <cellStyle name="Note 5 3 2 3" xfId="4532"/>
    <cellStyle name="Note 5 3 2 3 2" xfId="4533"/>
    <cellStyle name="Note 5 3 2 4" xfId="4534"/>
    <cellStyle name="Note 5 3 3" xfId="4535"/>
    <cellStyle name="Note 5 3 3 2" xfId="4536"/>
    <cellStyle name="Note 5 3 3 2 2" xfId="4537"/>
    <cellStyle name="Note 5 3 3 3" xfId="4538"/>
    <cellStyle name="Note 5 3 3 4" xfId="4539"/>
    <cellStyle name="Note 5 3 4" xfId="4540"/>
    <cellStyle name="Note 5 3 4 2" xfId="4541"/>
    <cellStyle name="Note 5 3 4 2 2" xfId="4542"/>
    <cellStyle name="Note 5 3 4 3" xfId="4543"/>
    <cellStyle name="Note 5 3 5" xfId="4544"/>
    <cellStyle name="Note 5 3 5 2" xfId="4545"/>
    <cellStyle name="Note 5 3 6" xfId="4546"/>
    <cellStyle name="Note 5 4" xfId="4547"/>
    <cellStyle name="Note 5 4 2" xfId="4548"/>
    <cellStyle name="Note 5 4 2 2" xfId="4549"/>
    <cellStyle name="Note 5 4 2 2 2" xfId="4550"/>
    <cellStyle name="Note 5 4 2 2 2 2" xfId="4551"/>
    <cellStyle name="Note 5 4 2 2 3" xfId="4552"/>
    <cellStyle name="Note 5 4 2 3" xfId="4553"/>
    <cellStyle name="Note 5 4 2 3 2" xfId="4554"/>
    <cellStyle name="Note 5 4 2 4" xfId="4555"/>
    <cellStyle name="Note 5 4 3" xfId="4556"/>
    <cellStyle name="Note 5 4 3 2" xfId="4557"/>
    <cellStyle name="Note 5 4 3 2 2" xfId="4558"/>
    <cellStyle name="Note 5 4 3 3" xfId="4559"/>
    <cellStyle name="Note 5 4 3 4" xfId="4560"/>
    <cellStyle name="Note 5 4 4" xfId="4561"/>
    <cellStyle name="Note 5 4 4 2" xfId="4562"/>
    <cellStyle name="Note 5 4 4 2 2" xfId="4563"/>
    <cellStyle name="Note 5 4 4 3" xfId="4564"/>
    <cellStyle name="Note 5 4 5" xfId="4565"/>
    <cellStyle name="Note 5 4 5 2" xfId="4566"/>
    <cellStyle name="Note 5 4 6" xfId="4567"/>
    <cellStyle name="Note 5 5" xfId="4568"/>
    <cellStyle name="Note 5 5 2" xfId="4569"/>
    <cellStyle name="Note 6" xfId="4570"/>
    <cellStyle name="Note 6 2" xfId="4571"/>
    <cellStyle name="Note 6 2 2" xfId="4572"/>
    <cellStyle name="Note 6 2 2 2" xfId="4573"/>
    <cellStyle name="Note 6 2 2 2 2" xfId="4574"/>
    <cellStyle name="Note 6 2 2 2 2 2" xfId="4575"/>
    <cellStyle name="Note 6 2 2 2 3" xfId="4576"/>
    <cellStyle name="Note 6 2 2 3" xfId="4577"/>
    <cellStyle name="Note 6 2 2 3 2" xfId="4578"/>
    <cellStyle name="Note 6 2 2 4" xfId="4579"/>
    <cellStyle name="Note 6 2 3" xfId="4580"/>
    <cellStyle name="Note 6 2 3 2" xfId="4581"/>
    <cellStyle name="Note 6 2 3 2 2" xfId="4582"/>
    <cellStyle name="Note 6 2 3 3" xfId="4583"/>
    <cellStyle name="Note 6 2 3 4" xfId="4584"/>
    <cellStyle name="Note 6 2 4" xfId="4585"/>
    <cellStyle name="Note 6 2 4 2" xfId="4586"/>
    <cellStyle name="Note 6 2 4 2 2" xfId="4587"/>
    <cellStyle name="Note 6 2 4 3" xfId="4588"/>
    <cellStyle name="Note 6 2 5" xfId="4589"/>
    <cellStyle name="Note 6 2 5 2" xfId="4590"/>
    <cellStyle name="Note 6 2 6" xfId="4591"/>
    <cellStyle name="Note 6 3" xfId="4592"/>
    <cellStyle name="Note 6 3 2" xfId="4593"/>
    <cellStyle name="Note 6 3 2 2" xfId="4594"/>
    <cellStyle name="Note 6 3 2 2 2" xfId="4595"/>
    <cellStyle name="Note 6 3 2 2 2 2" xfId="4596"/>
    <cellStyle name="Note 6 3 2 2 3" xfId="4597"/>
    <cellStyle name="Note 6 3 2 3" xfId="4598"/>
    <cellStyle name="Note 6 3 2 3 2" xfId="4599"/>
    <cellStyle name="Note 6 3 2 4" xfId="4600"/>
    <cellStyle name="Note 6 3 3" xfId="4601"/>
    <cellStyle name="Note 6 3 3 2" xfId="4602"/>
    <cellStyle name="Note 6 3 3 2 2" xfId="4603"/>
    <cellStyle name="Note 6 3 3 3" xfId="4604"/>
    <cellStyle name="Note 6 3 3 4" xfId="4605"/>
    <cellStyle name="Note 6 3 4" xfId="4606"/>
    <cellStyle name="Note 6 3 4 2" xfId="4607"/>
    <cellStyle name="Note 6 3 4 2 2" xfId="4608"/>
    <cellStyle name="Note 6 3 4 3" xfId="4609"/>
    <cellStyle name="Note 6 3 5" xfId="4610"/>
    <cellStyle name="Note 6 3 5 2" xfId="4611"/>
    <cellStyle name="Note 6 3 6" xfId="4612"/>
    <cellStyle name="Note 6 4" xfId="4613"/>
    <cellStyle name="Note 6 4 2" xfId="4614"/>
    <cellStyle name="Note 6 4 2 2" xfId="4615"/>
    <cellStyle name="Note 6 4 2 2 2" xfId="4616"/>
    <cellStyle name="Note 6 4 2 3" xfId="4617"/>
    <cellStyle name="Note 6 4 3" xfId="4618"/>
    <cellStyle name="Note 6 4 3 2" xfId="4619"/>
    <cellStyle name="Note 6 4 4" xfId="4620"/>
    <cellStyle name="Note 6 5" xfId="4621"/>
    <cellStyle name="Note 6 5 2" xfId="4622"/>
    <cellStyle name="Note 6 5 2 2" xfId="4623"/>
    <cellStyle name="Note 6 5 3" xfId="4624"/>
    <cellStyle name="Note 6 5 4" xfId="4625"/>
    <cellStyle name="Note 6 6" xfId="4626"/>
    <cellStyle name="Note 6 6 2" xfId="4627"/>
    <cellStyle name="Note 6 6 2 2" xfId="4628"/>
    <cellStyle name="Note 6 6 3" xfId="4629"/>
    <cellStyle name="Note 6 7" xfId="4630"/>
    <cellStyle name="Notes" xfId="4631"/>
    <cellStyle name="Output" xfId="7632" builtinId="21" customBuiltin="1"/>
    <cellStyle name="Output 2" xfId="4632"/>
    <cellStyle name="Output 2 2" xfId="4633"/>
    <cellStyle name="Output 2 2 2" xfId="4634"/>
    <cellStyle name="Output 2 2 2 2" xfId="4635"/>
    <cellStyle name="Output 2 2 2 2 2" xfId="4636"/>
    <cellStyle name="Output 2 2 2 2 2 2" xfId="4637"/>
    <cellStyle name="Output 2 2 2 2 2 2 2" xfId="4638"/>
    <cellStyle name="Output 2 2 2 2 2 2 2 2" xfId="4639"/>
    <cellStyle name="Output 2 2 2 2 2 2 2 2 2" xfId="4640"/>
    <cellStyle name="Output 2 2 2 2 2 2 2 3" xfId="4641"/>
    <cellStyle name="Output 2 2 2 2 2 2 3" xfId="4642"/>
    <cellStyle name="Output 2 2 2 2 2 2 3 2" xfId="4643"/>
    <cellStyle name="Output 2 2 2 2 2 2 4" xfId="4644"/>
    <cellStyle name="Output 2 2 2 2 2 3" xfId="4645"/>
    <cellStyle name="Output 2 2 2 2 2 3 2" xfId="4646"/>
    <cellStyle name="Output 2 2 2 2 2 3 2 2" xfId="4647"/>
    <cellStyle name="Output 2 2 2 2 2 3 3" xfId="4648"/>
    <cellStyle name="Output 2 2 2 2 2 3 4" xfId="4649"/>
    <cellStyle name="Output 2 2 2 2 2 4" xfId="4650"/>
    <cellStyle name="Output 2 2 2 2 2 4 2" xfId="4651"/>
    <cellStyle name="Output 2 2 2 2 2 4 2 2" xfId="4652"/>
    <cellStyle name="Output 2 2 2 2 2 4 3" xfId="4653"/>
    <cellStyle name="Output 2 2 2 2 2 5" xfId="4654"/>
    <cellStyle name="Output 2 2 2 2 2 5 2" xfId="4655"/>
    <cellStyle name="Output 2 2 2 2 2 6" xfId="4656"/>
    <cellStyle name="Output 2 2 2 2 3" xfId="4657"/>
    <cellStyle name="Output 2 2 2 2 3 2" xfId="4658"/>
    <cellStyle name="Output 2 2 2 2 3 2 2" xfId="4659"/>
    <cellStyle name="Output 2 2 2 2 3 2 2 2" xfId="4660"/>
    <cellStyle name="Output 2 2 2 2 3 2 2 2 2" xfId="4661"/>
    <cellStyle name="Output 2 2 2 2 3 2 2 3" xfId="4662"/>
    <cellStyle name="Output 2 2 2 2 3 2 3" xfId="4663"/>
    <cellStyle name="Output 2 2 2 2 3 2 3 2" xfId="4664"/>
    <cellStyle name="Output 2 2 2 2 3 2 4" xfId="4665"/>
    <cellStyle name="Output 2 2 2 2 3 3" xfId="4666"/>
    <cellStyle name="Output 2 2 2 2 3 3 2" xfId="4667"/>
    <cellStyle name="Output 2 2 2 2 3 3 2 2" xfId="4668"/>
    <cellStyle name="Output 2 2 2 2 3 3 3" xfId="4669"/>
    <cellStyle name="Output 2 2 2 2 3 3 4" xfId="4670"/>
    <cellStyle name="Output 2 2 2 2 3 4" xfId="4671"/>
    <cellStyle name="Output 2 2 2 2 3 4 2" xfId="4672"/>
    <cellStyle name="Output 2 2 2 2 3 4 2 2" xfId="4673"/>
    <cellStyle name="Output 2 2 2 2 3 4 3" xfId="4674"/>
    <cellStyle name="Output 2 2 2 2 3 5" xfId="4675"/>
    <cellStyle name="Output 2 2 2 2 3 5 2" xfId="4676"/>
    <cellStyle name="Output 2 2 2 2 3 6" xfId="4677"/>
    <cellStyle name="Output 2 2 2 2 4" xfId="4678"/>
    <cellStyle name="Output 2 2 2 2 4 2" xfId="4679"/>
    <cellStyle name="Output 2 2 2 3" xfId="4680"/>
    <cellStyle name="Output 2 2 2 3 2" xfId="4681"/>
    <cellStyle name="Output 2 2 2 3 2 2" xfId="4682"/>
    <cellStyle name="Output 2 2 2 3 2 2 2" xfId="4683"/>
    <cellStyle name="Output 2 2 2 3 2 2 2 2" xfId="4684"/>
    <cellStyle name="Output 2 2 2 3 2 2 3" xfId="4685"/>
    <cellStyle name="Output 2 2 2 3 2 3" xfId="4686"/>
    <cellStyle name="Output 2 2 2 3 2 3 2" xfId="4687"/>
    <cellStyle name="Output 2 2 2 3 2 4" xfId="4688"/>
    <cellStyle name="Output 2 2 2 3 3" xfId="4689"/>
    <cellStyle name="Output 2 2 2 3 3 2" xfId="4690"/>
    <cellStyle name="Output 2 2 2 3 3 2 2" xfId="4691"/>
    <cellStyle name="Output 2 2 2 3 3 3" xfId="4692"/>
    <cellStyle name="Output 2 2 2 3 3 4" xfId="4693"/>
    <cellStyle name="Output 2 2 2 3 4" xfId="4694"/>
    <cellStyle name="Output 2 2 2 3 4 2" xfId="4695"/>
    <cellStyle name="Output 2 2 2 3 4 2 2" xfId="4696"/>
    <cellStyle name="Output 2 2 2 3 4 3" xfId="4697"/>
    <cellStyle name="Output 2 2 2 3 5" xfId="4698"/>
    <cellStyle name="Output 2 2 2 3 5 2" xfId="4699"/>
    <cellStyle name="Output 2 2 2 3 6" xfId="4700"/>
    <cellStyle name="Output 2 2 2 4" xfId="4701"/>
    <cellStyle name="Output 2 2 2 4 2" xfId="4702"/>
    <cellStyle name="Output 2 2 2 4 2 2" xfId="4703"/>
    <cellStyle name="Output 2 2 2 4 2 2 2" xfId="4704"/>
    <cellStyle name="Output 2 2 2 4 2 2 2 2" xfId="4705"/>
    <cellStyle name="Output 2 2 2 4 2 2 3" xfId="4706"/>
    <cellStyle name="Output 2 2 2 4 2 3" xfId="4707"/>
    <cellStyle name="Output 2 2 2 4 2 3 2" xfId="4708"/>
    <cellStyle name="Output 2 2 2 4 2 4" xfId="4709"/>
    <cellStyle name="Output 2 2 2 4 3" xfId="4710"/>
    <cellStyle name="Output 2 2 2 4 3 2" xfId="4711"/>
    <cellStyle name="Output 2 2 2 4 3 2 2" xfId="4712"/>
    <cellStyle name="Output 2 2 2 4 3 3" xfId="4713"/>
    <cellStyle name="Output 2 2 2 4 3 4" xfId="4714"/>
    <cellStyle name="Output 2 2 2 4 4" xfId="4715"/>
    <cellStyle name="Output 2 2 2 4 4 2" xfId="4716"/>
    <cellStyle name="Output 2 2 2 4 4 2 2" xfId="4717"/>
    <cellStyle name="Output 2 2 2 4 4 3" xfId="4718"/>
    <cellStyle name="Output 2 2 2 4 5" xfId="4719"/>
    <cellStyle name="Output 2 2 2 4 5 2" xfId="4720"/>
    <cellStyle name="Output 2 2 2 4 6" xfId="4721"/>
    <cellStyle name="Output 2 2 2 5" xfId="4722"/>
    <cellStyle name="Output 2 2 2 5 2" xfId="4723"/>
    <cellStyle name="Output 2 2 3" xfId="4724"/>
    <cellStyle name="Output 2 2 3 2" xfId="4725"/>
    <cellStyle name="Output 2 2 3 2 2" xfId="4726"/>
    <cellStyle name="Output 2 2 3 2 2 2" xfId="4727"/>
    <cellStyle name="Output 2 2 3 2 2 2 2" xfId="4728"/>
    <cellStyle name="Output 2 2 3 2 2 2 2 2" xfId="4729"/>
    <cellStyle name="Output 2 2 3 2 2 2 3" xfId="4730"/>
    <cellStyle name="Output 2 2 3 2 2 3" xfId="4731"/>
    <cellStyle name="Output 2 2 3 2 2 3 2" xfId="4732"/>
    <cellStyle name="Output 2 2 3 2 2 4" xfId="4733"/>
    <cellStyle name="Output 2 2 3 2 3" xfId="4734"/>
    <cellStyle name="Output 2 2 3 2 3 2" xfId="4735"/>
    <cellStyle name="Output 2 2 3 2 3 2 2" xfId="4736"/>
    <cellStyle name="Output 2 2 3 2 3 3" xfId="4737"/>
    <cellStyle name="Output 2 2 3 2 3 4" xfId="4738"/>
    <cellStyle name="Output 2 2 3 2 4" xfId="4739"/>
    <cellStyle name="Output 2 2 3 2 4 2" xfId="4740"/>
    <cellStyle name="Output 2 2 3 2 4 2 2" xfId="4741"/>
    <cellStyle name="Output 2 2 3 2 4 3" xfId="4742"/>
    <cellStyle name="Output 2 2 3 2 5" xfId="4743"/>
    <cellStyle name="Output 2 2 3 2 5 2" xfId="4744"/>
    <cellStyle name="Output 2 2 3 2 6" xfId="4745"/>
    <cellStyle name="Output 2 2 3 3" xfId="4746"/>
    <cellStyle name="Output 2 2 3 3 2" xfId="4747"/>
    <cellStyle name="Output 2 2 3 3 2 2" xfId="4748"/>
    <cellStyle name="Output 2 2 3 3 2 2 2" xfId="4749"/>
    <cellStyle name="Output 2 2 3 3 2 2 2 2" xfId="4750"/>
    <cellStyle name="Output 2 2 3 3 2 2 3" xfId="4751"/>
    <cellStyle name="Output 2 2 3 3 2 3" xfId="4752"/>
    <cellStyle name="Output 2 2 3 3 2 3 2" xfId="4753"/>
    <cellStyle name="Output 2 2 3 3 2 4" xfId="4754"/>
    <cellStyle name="Output 2 2 3 3 3" xfId="4755"/>
    <cellStyle name="Output 2 2 3 3 3 2" xfId="4756"/>
    <cellStyle name="Output 2 2 3 3 3 2 2" xfId="4757"/>
    <cellStyle name="Output 2 2 3 3 3 3" xfId="4758"/>
    <cellStyle name="Output 2 2 3 3 3 4" xfId="4759"/>
    <cellStyle name="Output 2 2 3 3 4" xfId="4760"/>
    <cellStyle name="Output 2 2 3 3 4 2" xfId="4761"/>
    <cellStyle name="Output 2 2 3 3 4 2 2" xfId="4762"/>
    <cellStyle name="Output 2 2 3 3 4 3" xfId="4763"/>
    <cellStyle name="Output 2 2 3 3 5" xfId="4764"/>
    <cellStyle name="Output 2 2 3 3 5 2" xfId="4765"/>
    <cellStyle name="Output 2 2 3 3 6" xfId="4766"/>
    <cellStyle name="Output 2 2 3 4" xfId="4767"/>
    <cellStyle name="Output 2 2 3 4 2" xfId="4768"/>
    <cellStyle name="Output 2 2 4" xfId="4769"/>
    <cellStyle name="Output 2 2 4 2" xfId="4770"/>
    <cellStyle name="Output 2 2 4 2 2" xfId="4771"/>
    <cellStyle name="Output 2 2 4 2 2 2" xfId="4772"/>
    <cellStyle name="Output 2 2 4 2 2 2 2" xfId="4773"/>
    <cellStyle name="Output 2 2 4 2 2 2 2 2" xfId="4774"/>
    <cellStyle name="Output 2 2 4 2 2 2 3" xfId="4775"/>
    <cellStyle name="Output 2 2 4 2 2 3" xfId="4776"/>
    <cellStyle name="Output 2 2 4 2 2 3 2" xfId="4777"/>
    <cellStyle name="Output 2 2 4 2 2 4" xfId="4778"/>
    <cellStyle name="Output 2 2 4 2 3" xfId="4779"/>
    <cellStyle name="Output 2 2 4 2 3 2" xfId="4780"/>
    <cellStyle name="Output 2 2 4 2 3 2 2" xfId="4781"/>
    <cellStyle name="Output 2 2 4 2 3 3" xfId="4782"/>
    <cellStyle name="Output 2 2 4 2 3 4" xfId="4783"/>
    <cellStyle name="Output 2 2 4 2 4" xfId="4784"/>
    <cellStyle name="Output 2 2 4 2 4 2" xfId="4785"/>
    <cellStyle name="Output 2 2 4 2 4 2 2" xfId="4786"/>
    <cellStyle name="Output 2 2 4 2 4 3" xfId="4787"/>
    <cellStyle name="Output 2 2 4 2 5" xfId="4788"/>
    <cellStyle name="Output 2 2 4 2 5 2" xfId="4789"/>
    <cellStyle name="Output 2 2 4 2 6" xfId="4790"/>
    <cellStyle name="Output 2 2 4 3" xfId="4791"/>
    <cellStyle name="Output 2 2 4 3 2" xfId="4792"/>
    <cellStyle name="Output 2 2 4 3 2 2" xfId="4793"/>
    <cellStyle name="Output 2 2 4 3 3" xfId="4794"/>
    <cellStyle name="Output 2 2 4 4" xfId="4795"/>
    <cellStyle name="Output 2 2 4 4 2" xfId="4796"/>
    <cellStyle name="Output 2 2 4 4 2 2" xfId="4797"/>
    <cellStyle name="Output 2 2 4 4 2 2 2" xfId="4798"/>
    <cellStyle name="Output 2 2 4 4 2 2 2 2" xfId="4799"/>
    <cellStyle name="Output 2 2 4 4 2 2 3" xfId="4800"/>
    <cellStyle name="Output 2 2 4 4 2 3" xfId="4801"/>
    <cellStyle name="Output 2 2 4 4 2 3 2" xfId="4802"/>
    <cellStyle name="Output 2 2 4 4 2 4" xfId="4803"/>
    <cellStyle name="Output 2 2 4 4 3" xfId="4804"/>
    <cellStyle name="Output 2 2 4 4 3 2" xfId="4805"/>
    <cellStyle name="Output 2 2 4 4 3 2 2" xfId="4806"/>
    <cellStyle name="Output 2 2 4 4 3 3" xfId="4807"/>
    <cellStyle name="Output 2 2 4 4 3 4" xfId="4808"/>
    <cellStyle name="Output 2 2 4 4 4" xfId="4809"/>
    <cellStyle name="Output 2 2 4 4 4 2" xfId="4810"/>
    <cellStyle name="Output 2 2 4 4 4 2 2" xfId="4811"/>
    <cellStyle name="Output 2 2 4 4 4 3" xfId="4812"/>
    <cellStyle name="Output 2 2 4 4 5" xfId="4813"/>
    <cellStyle name="Output 2 2 4 4 5 2" xfId="4814"/>
    <cellStyle name="Output 2 2 4 4 6" xfId="4815"/>
    <cellStyle name="Output 2 2 4 5" xfId="4816"/>
    <cellStyle name="Output 2 2 4 5 2" xfId="4817"/>
    <cellStyle name="Output 2 2 4 5 2 2" xfId="4818"/>
    <cellStyle name="Output 2 2 4 5 2 2 2" xfId="4819"/>
    <cellStyle name="Output 2 2 4 5 2 3" xfId="4820"/>
    <cellStyle name="Output 2 2 4 5 3" xfId="4821"/>
    <cellStyle name="Output 2 2 4 5 3 2" xfId="4822"/>
    <cellStyle name="Output 2 2 4 5 4" xfId="4823"/>
    <cellStyle name="Output 2 2 4 6" xfId="4824"/>
    <cellStyle name="Output 2 2 4 6 2" xfId="4825"/>
    <cellStyle name="Output 2 2 4 6 2 2" xfId="4826"/>
    <cellStyle name="Output 2 2 4 6 3" xfId="4827"/>
    <cellStyle name="Output 2 2 4 6 4" xfId="4828"/>
    <cellStyle name="Output 2 2 4 7" xfId="4829"/>
    <cellStyle name="Output 2 2 4 7 2" xfId="4830"/>
    <cellStyle name="Output 2 2 4 7 2 2" xfId="4831"/>
    <cellStyle name="Output 2 2 4 7 3" xfId="4832"/>
    <cellStyle name="Output 2 2 4 8" xfId="4833"/>
    <cellStyle name="Output 2 2 4 8 2" xfId="4834"/>
    <cellStyle name="Output 2 2 4 9" xfId="4835"/>
    <cellStyle name="Output 2 2 5" xfId="4836"/>
    <cellStyle name="Output 2 2 5 2" xfId="4837"/>
    <cellStyle name="Output 2 2 5 2 2" xfId="4838"/>
    <cellStyle name="Output 2 2 5 2 2 2" xfId="4839"/>
    <cellStyle name="Output 2 2 5 2 2 2 2" xfId="4840"/>
    <cellStyle name="Output 2 2 5 2 2 3" xfId="4841"/>
    <cellStyle name="Output 2 2 5 2 3" xfId="4842"/>
    <cellStyle name="Output 2 2 5 2 3 2" xfId="4843"/>
    <cellStyle name="Output 2 2 5 2 4" xfId="4844"/>
    <cellStyle name="Output 2 2 5 3" xfId="4845"/>
    <cellStyle name="Output 2 2 5 3 2" xfId="4846"/>
    <cellStyle name="Output 2 2 5 3 2 2" xfId="4847"/>
    <cellStyle name="Output 2 2 5 3 3" xfId="4848"/>
    <cellStyle name="Output 2 2 5 3 4" xfId="4849"/>
    <cellStyle name="Output 2 2 5 4" xfId="4850"/>
    <cellStyle name="Output 2 2 5 4 2" xfId="4851"/>
    <cellStyle name="Output 2 2 5 4 2 2" xfId="4852"/>
    <cellStyle name="Output 2 2 5 4 3" xfId="4853"/>
    <cellStyle name="Output 2 2 5 5" xfId="4854"/>
    <cellStyle name="Output 2 2 5 5 2" xfId="4855"/>
    <cellStyle name="Output 2 2 5 6" xfId="4856"/>
    <cellStyle name="Output 2 3" xfId="4857"/>
    <cellStyle name="Output 2 3 2" xfId="4858"/>
    <cellStyle name="Output 2 3 2 2" xfId="4859"/>
    <cellStyle name="Output 2 3 2 2 2" xfId="4860"/>
    <cellStyle name="Output 2 3 2 2 2 2" xfId="4861"/>
    <cellStyle name="Output 2 3 2 2 2 2 2" xfId="4862"/>
    <cellStyle name="Output 2 3 2 2 2 2 2 2" xfId="4863"/>
    <cellStyle name="Output 2 3 2 2 2 2 3" xfId="4864"/>
    <cellStyle name="Output 2 3 2 2 2 3" xfId="4865"/>
    <cellStyle name="Output 2 3 2 2 2 3 2" xfId="4866"/>
    <cellStyle name="Output 2 3 2 2 2 4" xfId="4867"/>
    <cellStyle name="Output 2 3 2 2 3" xfId="4868"/>
    <cellStyle name="Output 2 3 2 2 3 2" xfId="4869"/>
    <cellStyle name="Output 2 3 2 2 3 2 2" xfId="4870"/>
    <cellStyle name="Output 2 3 2 2 3 3" xfId="4871"/>
    <cellStyle name="Output 2 3 2 2 3 4" xfId="4872"/>
    <cellStyle name="Output 2 3 2 2 4" xfId="4873"/>
    <cellStyle name="Output 2 3 2 2 4 2" xfId="4874"/>
    <cellStyle name="Output 2 3 2 2 4 2 2" xfId="4875"/>
    <cellStyle name="Output 2 3 2 2 4 3" xfId="4876"/>
    <cellStyle name="Output 2 3 2 2 5" xfId="4877"/>
    <cellStyle name="Output 2 3 2 2 5 2" xfId="4878"/>
    <cellStyle name="Output 2 3 2 2 6" xfId="4879"/>
    <cellStyle name="Output 2 3 2 3" xfId="4880"/>
    <cellStyle name="Output 2 3 2 3 2" xfId="4881"/>
    <cellStyle name="Output 2 3 2 3 2 2" xfId="4882"/>
    <cellStyle name="Output 2 3 2 3 2 2 2" xfId="4883"/>
    <cellStyle name="Output 2 3 2 3 2 2 2 2" xfId="4884"/>
    <cellStyle name="Output 2 3 2 3 2 2 3" xfId="4885"/>
    <cellStyle name="Output 2 3 2 3 2 3" xfId="4886"/>
    <cellStyle name="Output 2 3 2 3 2 3 2" xfId="4887"/>
    <cellStyle name="Output 2 3 2 3 2 4" xfId="4888"/>
    <cellStyle name="Output 2 3 2 3 3" xfId="4889"/>
    <cellStyle name="Output 2 3 2 3 3 2" xfId="4890"/>
    <cellStyle name="Output 2 3 2 3 3 2 2" xfId="4891"/>
    <cellStyle name="Output 2 3 2 3 3 3" xfId="4892"/>
    <cellStyle name="Output 2 3 2 3 3 4" xfId="4893"/>
    <cellStyle name="Output 2 3 2 3 4" xfId="4894"/>
    <cellStyle name="Output 2 3 2 3 4 2" xfId="4895"/>
    <cellStyle name="Output 2 3 2 3 4 2 2" xfId="4896"/>
    <cellStyle name="Output 2 3 2 3 4 3" xfId="4897"/>
    <cellStyle name="Output 2 3 2 3 5" xfId="4898"/>
    <cellStyle name="Output 2 3 2 3 5 2" xfId="4899"/>
    <cellStyle name="Output 2 3 2 3 6" xfId="4900"/>
    <cellStyle name="Output 2 3 2 4" xfId="4901"/>
    <cellStyle name="Output 2 3 2 4 2" xfId="4902"/>
    <cellStyle name="Output 2 3 3" xfId="4903"/>
    <cellStyle name="Output 2 3 3 2" xfId="4904"/>
    <cellStyle name="Output 2 3 3 2 2" xfId="4905"/>
    <cellStyle name="Output 2 3 3 2 2 2" xfId="4906"/>
    <cellStyle name="Output 2 3 3 2 2 2 2" xfId="4907"/>
    <cellStyle name="Output 2 3 3 2 2 3" xfId="4908"/>
    <cellStyle name="Output 2 3 3 2 3" xfId="4909"/>
    <cellStyle name="Output 2 3 3 2 3 2" xfId="4910"/>
    <cellStyle name="Output 2 3 3 2 4" xfId="4911"/>
    <cellStyle name="Output 2 3 3 3" xfId="4912"/>
    <cellStyle name="Output 2 3 3 3 2" xfId="4913"/>
    <cellStyle name="Output 2 3 3 3 2 2" xfId="4914"/>
    <cellStyle name="Output 2 3 3 3 3" xfId="4915"/>
    <cellStyle name="Output 2 3 3 3 4" xfId="4916"/>
    <cellStyle name="Output 2 3 3 4" xfId="4917"/>
    <cellStyle name="Output 2 3 3 4 2" xfId="4918"/>
    <cellStyle name="Output 2 3 3 4 2 2" xfId="4919"/>
    <cellStyle name="Output 2 3 3 4 3" xfId="4920"/>
    <cellStyle name="Output 2 3 3 5" xfId="4921"/>
    <cellStyle name="Output 2 3 3 5 2" xfId="4922"/>
    <cellStyle name="Output 2 3 3 6" xfId="4923"/>
    <cellStyle name="Output 2 3 4" xfId="4924"/>
    <cellStyle name="Output 2 3 4 2" xfId="4925"/>
    <cellStyle name="Output 2 3 4 2 2" xfId="4926"/>
    <cellStyle name="Output 2 3 4 2 2 2" xfId="4927"/>
    <cellStyle name="Output 2 3 4 2 2 2 2" xfId="4928"/>
    <cellStyle name="Output 2 3 4 2 2 3" xfId="4929"/>
    <cellStyle name="Output 2 3 4 2 3" xfId="4930"/>
    <cellStyle name="Output 2 3 4 2 3 2" xfId="4931"/>
    <cellStyle name="Output 2 3 4 2 4" xfId="4932"/>
    <cellStyle name="Output 2 3 4 3" xfId="4933"/>
    <cellStyle name="Output 2 3 4 3 2" xfId="4934"/>
    <cellStyle name="Output 2 3 4 3 2 2" xfId="4935"/>
    <cellStyle name="Output 2 3 4 3 3" xfId="4936"/>
    <cellStyle name="Output 2 3 4 3 4" xfId="4937"/>
    <cellStyle name="Output 2 3 4 4" xfId="4938"/>
    <cellStyle name="Output 2 3 4 4 2" xfId="4939"/>
    <cellStyle name="Output 2 3 4 4 2 2" xfId="4940"/>
    <cellStyle name="Output 2 3 4 4 3" xfId="4941"/>
    <cellStyle name="Output 2 3 4 5" xfId="4942"/>
    <cellStyle name="Output 2 3 4 5 2" xfId="4943"/>
    <cellStyle name="Output 2 3 4 6" xfId="4944"/>
    <cellStyle name="Output 2 3 5" xfId="4945"/>
    <cellStyle name="Output 2 3 5 2" xfId="4946"/>
    <cellStyle name="Output 2 4" xfId="4947"/>
    <cellStyle name="Output 2 4 2" xfId="4948"/>
    <cellStyle name="Output 2 4 2 2" xfId="4949"/>
    <cellStyle name="Output 2 4 2 2 2" xfId="4950"/>
    <cellStyle name="Output 2 4 2 2 2 2" xfId="4951"/>
    <cellStyle name="Output 2 4 2 2 2 2 2" xfId="4952"/>
    <cellStyle name="Output 2 4 2 2 2 3" xfId="4953"/>
    <cellStyle name="Output 2 4 2 2 3" xfId="4954"/>
    <cellStyle name="Output 2 4 2 2 3 2" xfId="4955"/>
    <cellStyle name="Output 2 4 2 2 4" xfId="4956"/>
    <cellStyle name="Output 2 4 2 3" xfId="4957"/>
    <cellStyle name="Output 2 4 2 3 2" xfId="4958"/>
    <cellStyle name="Output 2 4 2 3 2 2" xfId="4959"/>
    <cellStyle name="Output 2 4 2 3 3" xfId="4960"/>
    <cellStyle name="Output 2 4 2 3 4" xfId="4961"/>
    <cellStyle name="Output 2 4 2 4" xfId="4962"/>
    <cellStyle name="Output 2 4 2 4 2" xfId="4963"/>
    <cellStyle name="Output 2 4 2 4 2 2" xfId="4964"/>
    <cellStyle name="Output 2 4 2 4 3" xfId="4965"/>
    <cellStyle name="Output 2 4 2 5" xfId="4966"/>
    <cellStyle name="Output 2 4 2 5 2" xfId="4967"/>
    <cellStyle name="Output 2 4 2 6" xfId="4968"/>
    <cellStyle name="Output 2 4 3" xfId="4969"/>
    <cellStyle name="Output 2 4 3 2" xfId="4970"/>
    <cellStyle name="Output 2 4 3 2 2" xfId="4971"/>
    <cellStyle name="Output 2 4 3 2 2 2" xfId="4972"/>
    <cellStyle name="Output 2 4 3 2 2 2 2" xfId="4973"/>
    <cellStyle name="Output 2 4 3 2 2 3" xfId="4974"/>
    <cellStyle name="Output 2 4 3 2 3" xfId="4975"/>
    <cellStyle name="Output 2 4 3 2 3 2" xfId="4976"/>
    <cellStyle name="Output 2 4 3 2 4" xfId="4977"/>
    <cellStyle name="Output 2 4 3 3" xfId="4978"/>
    <cellStyle name="Output 2 4 3 3 2" xfId="4979"/>
    <cellStyle name="Output 2 4 3 3 2 2" xfId="4980"/>
    <cellStyle name="Output 2 4 3 3 3" xfId="4981"/>
    <cellStyle name="Output 2 4 3 3 4" xfId="4982"/>
    <cellStyle name="Output 2 4 3 4" xfId="4983"/>
    <cellStyle name="Output 2 4 3 4 2" xfId="4984"/>
    <cellStyle name="Output 2 4 3 4 2 2" xfId="4985"/>
    <cellStyle name="Output 2 4 3 4 3" xfId="4986"/>
    <cellStyle name="Output 2 4 3 5" xfId="4987"/>
    <cellStyle name="Output 2 4 3 5 2" xfId="4988"/>
    <cellStyle name="Output 2 4 3 6" xfId="4989"/>
    <cellStyle name="Output 2 4 4" xfId="4990"/>
    <cellStyle name="Output 2 4 4 2" xfId="4991"/>
    <cellStyle name="Output 2 5" xfId="4992"/>
    <cellStyle name="Output 2 5 2" xfId="4993"/>
    <cellStyle name="Output 2 5 2 2" xfId="4994"/>
    <cellStyle name="Output 2 5 2 2 2" xfId="4995"/>
    <cellStyle name="Output 2 5 2 2 2 2" xfId="4996"/>
    <cellStyle name="Output 2 5 2 2 2 2 2" xfId="4997"/>
    <cellStyle name="Output 2 5 2 2 2 3" xfId="4998"/>
    <cellStyle name="Output 2 5 2 2 3" xfId="4999"/>
    <cellStyle name="Output 2 5 2 2 3 2" xfId="5000"/>
    <cellStyle name="Output 2 5 2 2 4" xfId="5001"/>
    <cellStyle name="Output 2 5 2 3" xfId="5002"/>
    <cellStyle name="Output 2 5 2 3 2" xfId="5003"/>
    <cellStyle name="Output 2 5 2 3 2 2" xfId="5004"/>
    <cellStyle name="Output 2 5 2 3 3" xfId="5005"/>
    <cellStyle name="Output 2 5 2 3 4" xfId="5006"/>
    <cellStyle name="Output 2 5 2 4" xfId="5007"/>
    <cellStyle name="Output 2 5 2 4 2" xfId="5008"/>
    <cellStyle name="Output 2 5 2 4 2 2" xfId="5009"/>
    <cellStyle name="Output 2 5 2 4 3" xfId="5010"/>
    <cellStyle name="Output 2 5 2 5" xfId="5011"/>
    <cellStyle name="Output 2 5 2 5 2" xfId="5012"/>
    <cellStyle name="Output 2 5 2 6" xfId="5013"/>
    <cellStyle name="Output 2 5 3" xfId="5014"/>
    <cellStyle name="Output 2 5 3 2" xfId="5015"/>
    <cellStyle name="Output 2 5 3 2 2" xfId="5016"/>
    <cellStyle name="Output 2 5 3 3" xfId="5017"/>
    <cellStyle name="Output 2 5 4" xfId="5018"/>
    <cellStyle name="Output 2 5 4 2" xfId="5019"/>
    <cellStyle name="Output 2 5 4 2 2" xfId="5020"/>
    <cellStyle name="Output 2 5 4 2 2 2" xfId="5021"/>
    <cellStyle name="Output 2 5 4 2 2 2 2" xfId="5022"/>
    <cellStyle name="Output 2 5 4 2 2 3" xfId="5023"/>
    <cellStyle name="Output 2 5 4 2 3" xfId="5024"/>
    <cellStyle name="Output 2 5 4 2 3 2" xfId="5025"/>
    <cellStyle name="Output 2 5 4 2 4" xfId="5026"/>
    <cellStyle name="Output 2 5 4 3" xfId="5027"/>
    <cellStyle name="Output 2 5 4 3 2" xfId="5028"/>
    <cellStyle name="Output 2 5 4 3 2 2" xfId="5029"/>
    <cellStyle name="Output 2 5 4 3 3" xfId="5030"/>
    <cellStyle name="Output 2 5 4 3 4" xfId="5031"/>
    <cellStyle name="Output 2 5 4 4" xfId="5032"/>
    <cellStyle name="Output 2 5 4 4 2" xfId="5033"/>
    <cellStyle name="Output 2 5 4 4 2 2" xfId="5034"/>
    <cellStyle name="Output 2 5 4 4 3" xfId="5035"/>
    <cellStyle name="Output 2 5 4 5" xfId="5036"/>
    <cellStyle name="Output 2 5 4 5 2" xfId="5037"/>
    <cellStyle name="Output 2 5 4 6" xfId="5038"/>
    <cellStyle name="Output 2 5 5" xfId="5039"/>
    <cellStyle name="Output 2 5 5 2" xfId="5040"/>
    <cellStyle name="Output 2 5 5 2 2" xfId="5041"/>
    <cellStyle name="Output 2 5 5 2 2 2" xfId="5042"/>
    <cellStyle name="Output 2 5 5 2 3" xfId="5043"/>
    <cellStyle name="Output 2 5 5 3" xfId="5044"/>
    <cellStyle name="Output 2 5 5 3 2" xfId="5045"/>
    <cellStyle name="Output 2 5 5 4" xfId="5046"/>
    <cellStyle name="Output 2 5 6" xfId="5047"/>
    <cellStyle name="Output 2 5 6 2" xfId="5048"/>
    <cellStyle name="Output 2 5 6 2 2" xfId="5049"/>
    <cellStyle name="Output 2 5 6 3" xfId="5050"/>
    <cellStyle name="Output 2 5 6 4" xfId="5051"/>
    <cellStyle name="Output 2 5 7" xfId="5052"/>
    <cellStyle name="Output 2 5 7 2" xfId="5053"/>
    <cellStyle name="Output 2 5 7 2 2" xfId="5054"/>
    <cellStyle name="Output 2 5 7 3" xfId="5055"/>
    <cellStyle name="Output 2 5 8" xfId="5056"/>
    <cellStyle name="Output 2 5 8 2" xfId="5057"/>
    <cellStyle name="Output 2 5 9" xfId="5058"/>
    <cellStyle name="Output 2 6" xfId="5059"/>
    <cellStyle name="Output 2 6 2" xfId="5060"/>
    <cellStyle name="Output 2 6 2 2" xfId="5061"/>
    <cellStyle name="Output 2 6 2 2 2" xfId="5062"/>
    <cellStyle name="Output 2 6 2 2 2 2" xfId="5063"/>
    <cellStyle name="Output 2 6 2 2 3" xfId="5064"/>
    <cellStyle name="Output 2 6 2 3" xfId="5065"/>
    <cellStyle name="Output 2 6 2 3 2" xfId="5066"/>
    <cellStyle name="Output 2 6 2 4" xfId="5067"/>
    <cellStyle name="Output 2 6 3" xfId="5068"/>
    <cellStyle name="Output 2 6 3 2" xfId="5069"/>
    <cellStyle name="Output 2 6 3 2 2" xfId="5070"/>
    <cellStyle name="Output 2 6 3 3" xfId="5071"/>
    <cellStyle name="Output 2 6 3 4" xfId="5072"/>
    <cellStyle name="Output 2 6 4" xfId="5073"/>
    <cellStyle name="Output 2 6 4 2" xfId="5074"/>
    <cellStyle name="Output 2 6 4 2 2" xfId="5075"/>
    <cellStyle name="Output 2 6 4 3" xfId="5076"/>
    <cellStyle name="Output 2 6 5" xfId="5077"/>
    <cellStyle name="Output 2 6 5 2" xfId="5078"/>
    <cellStyle name="Output 2 6 6" xfId="5079"/>
    <cellStyle name="Output 3" xfId="5080"/>
    <cellStyle name="Output 3 2" xfId="5081"/>
    <cellStyle name="Output 3 2 2" xfId="5082"/>
    <cellStyle name="Output 3 2 2 2" xfId="5083"/>
    <cellStyle name="Output 3 2 2 2 2" xfId="5084"/>
    <cellStyle name="Output 3 2 2 2 2 2" xfId="5085"/>
    <cellStyle name="Output 3 2 2 2 2 2 2" xfId="5086"/>
    <cellStyle name="Output 3 2 2 2 2 2 2 2" xfId="5087"/>
    <cellStyle name="Output 3 2 2 2 2 2 3" xfId="5088"/>
    <cellStyle name="Output 3 2 2 2 2 3" xfId="5089"/>
    <cellStyle name="Output 3 2 2 2 2 3 2" xfId="5090"/>
    <cellStyle name="Output 3 2 2 2 2 4" xfId="5091"/>
    <cellStyle name="Output 3 2 2 2 3" xfId="5092"/>
    <cellStyle name="Output 3 2 2 2 3 2" xfId="5093"/>
    <cellStyle name="Output 3 2 2 2 3 2 2" xfId="5094"/>
    <cellStyle name="Output 3 2 2 2 3 3" xfId="5095"/>
    <cellStyle name="Output 3 2 2 2 3 4" xfId="5096"/>
    <cellStyle name="Output 3 2 2 2 4" xfId="5097"/>
    <cellStyle name="Output 3 2 2 2 4 2" xfId="5098"/>
    <cellStyle name="Output 3 2 2 2 4 2 2" xfId="5099"/>
    <cellStyle name="Output 3 2 2 2 4 3" xfId="5100"/>
    <cellStyle name="Output 3 2 2 2 5" xfId="5101"/>
    <cellStyle name="Output 3 2 2 2 5 2" xfId="5102"/>
    <cellStyle name="Output 3 2 2 2 6" xfId="5103"/>
    <cellStyle name="Output 3 2 2 3" xfId="5104"/>
    <cellStyle name="Output 3 2 2 3 2" xfId="5105"/>
    <cellStyle name="Output 3 2 2 3 2 2" xfId="5106"/>
    <cellStyle name="Output 3 2 2 3 2 2 2" xfId="5107"/>
    <cellStyle name="Output 3 2 2 3 2 2 2 2" xfId="5108"/>
    <cellStyle name="Output 3 2 2 3 2 2 3" xfId="5109"/>
    <cellStyle name="Output 3 2 2 3 2 3" xfId="5110"/>
    <cellStyle name="Output 3 2 2 3 2 3 2" xfId="5111"/>
    <cellStyle name="Output 3 2 2 3 2 4" xfId="5112"/>
    <cellStyle name="Output 3 2 2 3 3" xfId="5113"/>
    <cellStyle name="Output 3 2 2 3 3 2" xfId="5114"/>
    <cellStyle name="Output 3 2 2 3 3 2 2" xfId="5115"/>
    <cellStyle name="Output 3 2 2 3 3 3" xfId="5116"/>
    <cellStyle name="Output 3 2 2 3 3 4" xfId="5117"/>
    <cellStyle name="Output 3 2 2 3 4" xfId="5118"/>
    <cellStyle name="Output 3 2 2 3 4 2" xfId="5119"/>
    <cellStyle name="Output 3 2 2 3 4 2 2" xfId="5120"/>
    <cellStyle name="Output 3 2 2 3 4 3" xfId="5121"/>
    <cellStyle name="Output 3 2 2 3 5" xfId="5122"/>
    <cellStyle name="Output 3 2 2 3 5 2" xfId="5123"/>
    <cellStyle name="Output 3 2 2 3 6" xfId="5124"/>
    <cellStyle name="Output 3 2 2 4" xfId="5125"/>
    <cellStyle name="Output 3 2 2 4 2" xfId="5126"/>
    <cellStyle name="Output 3 2 3" xfId="5127"/>
    <cellStyle name="Output 3 2 3 2" xfId="5128"/>
    <cellStyle name="Output 3 2 3 2 2" xfId="5129"/>
    <cellStyle name="Output 3 2 3 2 2 2" xfId="5130"/>
    <cellStyle name="Output 3 2 3 2 2 2 2" xfId="5131"/>
    <cellStyle name="Output 3 2 3 2 2 3" xfId="5132"/>
    <cellStyle name="Output 3 2 3 2 3" xfId="5133"/>
    <cellStyle name="Output 3 2 3 2 3 2" xfId="5134"/>
    <cellStyle name="Output 3 2 3 2 4" xfId="5135"/>
    <cellStyle name="Output 3 2 3 3" xfId="5136"/>
    <cellStyle name="Output 3 2 3 3 2" xfId="5137"/>
    <cellStyle name="Output 3 2 3 3 2 2" xfId="5138"/>
    <cellStyle name="Output 3 2 3 3 3" xfId="5139"/>
    <cellStyle name="Output 3 2 3 3 4" xfId="5140"/>
    <cellStyle name="Output 3 2 3 4" xfId="5141"/>
    <cellStyle name="Output 3 2 3 4 2" xfId="5142"/>
    <cellStyle name="Output 3 2 3 4 2 2" xfId="5143"/>
    <cellStyle name="Output 3 2 3 4 3" xfId="5144"/>
    <cellStyle name="Output 3 2 3 5" xfId="5145"/>
    <cellStyle name="Output 3 2 3 5 2" xfId="5146"/>
    <cellStyle name="Output 3 2 3 6" xfId="5147"/>
    <cellStyle name="Output 3 2 4" xfId="5148"/>
    <cellStyle name="Output 3 2 4 2" xfId="5149"/>
    <cellStyle name="Output 3 2 4 2 2" xfId="5150"/>
    <cellStyle name="Output 3 2 4 2 2 2" xfId="5151"/>
    <cellStyle name="Output 3 2 4 2 2 2 2" xfId="5152"/>
    <cellStyle name="Output 3 2 4 2 2 3" xfId="5153"/>
    <cellStyle name="Output 3 2 4 2 3" xfId="5154"/>
    <cellStyle name="Output 3 2 4 2 3 2" xfId="5155"/>
    <cellStyle name="Output 3 2 4 2 4" xfId="5156"/>
    <cellStyle name="Output 3 2 4 3" xfId="5157"/>
    <cellStyle name="Output 3 2 4 3 2" xfId="5158"/>
    <cellStyle name="Output 3 2 4 3 2 2" xfId="5159"/>
    <cellStyle name="Output 3 2 4 3 3" xfId="5160"/>
    <cellStyle name="Output 3 2 4 3 4" xfId="5161"/>
    <cellStyle name="Output 3 2 4 4" xfId="5162"/>
    <cellStyle name="Output 3 2 4 4 2" xfId="5163"/>
    <cellStyle name="Output 3 2 4 4 2 2" xfId="5164"/>
    <cellStyle name="Output 3 2 4 4 3" xfId="5165"/>
    <cellStyle name="Output 3 2 4 5" xfId="5166"/>
    <cellStyle name="Output 3 2 4 5 2" xfId="5167"/>
    <cellStyle name="Output 3 2 4 6" xfId="5168"/>
    <cellStyle name="Output 3 2 5" xfId="5169"/>
    <cellStyle name="Output 3 2 5 2" xfId="5170"/>
    <cellStyle name="Output 3 3" xfId="5171"/>
    <cellStyle name="Output 3 3 2" xfId="5172"/>
    <cellStyle name="Output 3 3 2 2" xfId="5173"/>
    <cellStyle name="Output 3 3 2 2 2" xfId="5174"/>
    <cellStyle name="Output 3 3 2 2 2 2" xfId="5175"/>
    <cellStyle name="Output 3 3 2 2 2 2 2" xfId="5176"/>
    <cellStyle name="Output 3 3 2 2 2 3" xfId="5177"/>
    <cellStyle name="Output 3 3 2 2 3" xfId="5178"/>
    <cellStyle name="Output 3 3 2 2 3 2" xfId="5179"/>
    <cellStyle name="Output 3 3 2 2 4" xfId="5180"/>
    <cellStyle name="Output 3 3 2 3" xfId="5181"/>
    <cellStyle name="Output 3 3 2 3 2" xfId="5182"/>
    <cellStyle name="Output 3 3 2 3 2 2" xfId="5183"/>
    <cellStyle name="Output 3 3 2 3 3" xfId="5184"/>
    <cellStyle name="Output 3 3 2 3 4" xfId="5185"/>
    <cellStyle name="Output 3 3 2 4" xfId="5186"/>
    <cellStyle name="Output 3 3 2 4 2" xfId="5187"/>
    <cellStyle name="Output 3 3 2 4 2 2" xfId="5188"/>
    <cellStyle name="Output 3 3 2 4 3" xfId="5189"/>
    <cellStyle name="Output 3 3 2 5" xfId="5190"/>
    <cellStyle name="Output 3 3 2 5 2" xfId="5191"/>
    <cellStyle name="Output 3 3 2 6" xfId="5192"/>
    <cellStyle name="Output 3 3 3" xfId="5193"/>
    <cellStyle name="Output 3 3 3 2" xfId="5194"/>
    <cellStyle name="Output 3 3 3 2 2" xfId="5195"/>
    <cellStyle name="Output 3 3 3 2 2 2" xfId="5196"/>
    <cellStyle name="Output 3 3 3 2 2 2 2" xfId="5197"/>
    <cellStyle name="Output 3 3 3 2 2 3" xfId="5198"/>
    <cellStyle name="Output 3 3 3 2 3" xfId="5199"/>
    <cellStyle name="Output 3 3 3 2 3 2" xfId="5200"/>
    <cellStyle name="Output 3 3 3 2 4" xfId="5201"/>
    <cellStyle name="Output 3 3 3 3" xfId="5202"/>
    <cellStyle name="Output 3 3 3 3 2" xfId="5203"/>
    <cellStyle name="Output 3 3 3 3 2 2" xfId="5204"/>
    <cellStyle name="Output 3 3 3 3 3" xfId="5205"/>
    <cellStyle name="Output 3 3 3 3 4" xfId="5206"/>
    <cellStyle name="Output 3 3 3 4" xfId="5207"/>
    <cellStyle name="Output 3 3 3 4 2" xfId="5208"/>
    <cellStyle name="Output 3 3 3 4 2 2" xfId="5209"/>
    <cellStyle name="Output 3 3 3 4 3" xfId="5210"/>
    <cellStyle name="Output 3 3 3 5" xfId="5211"/>
    <cellStyle name="Output 3 3 3 5 2" xfId="5212"/>
    <cellStyle name="Output 3 3 3 6" xfId="5213"/>
    <cellStyle name="Output 3 3 4" xfId="5214"/>
    <cellStyle name="Output 3 3 4 2" xfId="5215"/>
    <cellStyle name="Output 3 4" xfId="5216"/>
    <cellStyle name="Output 3 4 2" xfId="5217"/>
    <cellStyle name="Output 3 4 2 2" xfId="5218"/>
    <cellStyle name="Output 3 4 2 2 2" xfId="5219"/>
    <cellStyle name="Output 3 4 2 2 2 2" xfId="5220"/>
    <cellStyle name="Output 3 4 2 2 2 2 2" xfId="5221"/>
    <cellStyle name="Output 3 4 2 2 2 3" xfId="5222"/>
    <cellStyle name="Output 3 4 2 2 3" xfId="5223"/>
    <cellStyle name="Output 3 4 2 2 3 2" xfId="5224"/>
    <cellStyle name="Output 3 4 2 2 4" xfId="5225"/>
    <cellStyle name="Output 3 4 2 3" xfId="5226"/>
    <cellStyle name="Output 3 4 2 3 2" xfId="5227"/>
    <cellStyle name="Output 3 4 2 3 2 2" xfId="5228"/>
    <cellStyle name="Output 3 4 2 3 3" xfId="5229"/>
    <cellStyle name="Output 3 4 2 3 4" xfId="5230"/>
    <cellStyle name="Output 3 4 2 4" xfId="5231"/>
    <cellStyle name="Output 3 4 2 4 2" xfId="5232"/>
    <cellStyle name="Output 3 4 2 4 2 2" xfId="5233"/>
    <cellStyle name="Output 3 4 2 4 3" xfId="5234"/>
    <cellStyle name="Output 3 4 2 5" xfId="5235"/>
    <cellStyle name="Output 3 4 2 5 2" xfId="5236"/>
    <cellStyle name="Output 3 4 2 6" xfId="5237"/>
    <cellStyle name="Output 3 4 3" xfId="5238"/>
    <cellStyle name="Output 3 4 3 2" xfId="5239"/>
    <cellStyle name="Output 3 4 3 2 2" xfId="5240"/>
    <cellStyle name="Output 3 4 3 3" xfId="5241"/>
    <cellStyle name="Output 3 4 4" xfId="5242"/>
    <cellStyle name="Output 3 4 4 2" xfId="5243"/>
    <cellStyle name="Output 3 4 4 2 2" xfId="5244"/>
    <cellStyle name="Output 3 4 4 2 2 2" xfId="5245"/>
    <cellStyle name="Output 3 4 4 2 2 2 2" xfId="5246"/>
    <cellStyle name="Output 3 4 4 2 2 3" xfId="5247"/>
    <cellStyle name="Output 3 4 4 2 3" xfId="5248"/>
    <cellStyle name="Output 3 4 4 2 3 2" xfId="5249"/>
    <cellStyle name="Output 3 4 4 2 4" xfId="5250"/>
    <cellStyle name="Output 3 4 4 3" xfId="5251"/>
    <cellStyle name="Output 3 4 4 3 2" xfId="5252"/>
    <cellStyle name="Output 3 4 4 3 2 2" xfId="5253"/>
    <cellStyle name="Output 3 4 4 3 3" xfId="5254"/>
    <cellStyle name="Output 3 4 4 3 4" xfId="5255"/>
    <cellStyle name="Output 3 4 4 4" xfId="5256"/>
    <cellStyle name="Output 3 4 4 4 2" xfId="5257"/>
    <cellStyle name="Output 3 4 4 4 2 2" xfId="5258"/>
    <cellStyle name="Output 3 4 4 4 3" xfId="5259"/>
    <cellStyle name="Output 3 4 4 5" xfId="5260"/>
    <cellStyle name="Output 3 4 4 5 2" xfId="5261"/>
    <cellStyle name="Output 3 4 4 6" xfId="5262"/>
    <cellStyle name="Output 3 4 5" xfId="5263"/>
    <cellStyle name="Output 3 4 5 2" xfId="5264"/>
    <cellStyle name="Output 3 4 5 2 2" xfId="5265"/>
    <cellStyle name="Output 3 4 5 2 2 2" xfId="5266"/>
    <cellStyle name="Output 3 4 5 2 3" xfId="5267"/>
    <cellStyle name="Output 3 4 5 3" xfId="5268"/>
    <cellStyle name="Output 3 4 5 3 2" xfId="5269"/>
    <cellStyle name="Output 3 4 5 4" xfId="5270"/>
    <cellStyle name="Output 3 4 6" xfId="5271"/>
    <cellStyle name="Output 3 4 6 2" xfId="5272"/>
    <cellStyle name="Output 3 4 6 2 2" xfId="5273"/>
    <cellStyle name="Output 3 4 6 3" xfId="5274"/>
    <cellStyle name="Output 3 4 6 4" xfId="5275"/>
    <cellStyle name="Output 3 4 7" xfId="5276"/>
    <cellStyle name="Output 3 4 7 2" xfId="5277"/>
    <cellStyle name="Output 3 4 7 2 2" xfId="5278"/>
    <cellStyle name="Output 3 4 7 3" xfId="5279"/>
    <cellStyle name="Output 3 4 8" xfId="5280"/>
    <cellStyle name="Output 3 4 8 2" xfId="5281"/>
    <cellStyle name="Output 3 4 9" xfId="5282"/>
    <cellStyle name="Output 3 5" xfId="5283"/>
    <cellStyle name="Output 3 5 2" xfId="5284"/>
    <cellStyle name="Output 3 5 2 2" xfId="5285"/>
    <cellStyle name="Output 3 5 2 2 2" xfId="5286"/>
    <cellStyle name="Output 3 5 2 2 2 2" xfId="5287"/>
    <cellStyle name="Output 3 5 2 2 3" xfId="5288"/>
    <cellStyle name="Output 3 5 2 3" xfId="5289"/>
    <cellStyle name="Output 3 5 2 3 2" xfId="5290"/>
    <cellStyle name="Output 3 5 2 4" xfId="5291"/>
    <cellStyle name="Output 3 5 3" xfId="5292"/>
    <cellStyle name="Output 3 5 3 2" xfId="5293"/>
    <cellStyle name="Output 3 5 3 2 2" xfId="5294"/>
    <cellStyle name="Output 3 5 3 3" xfId="5295"/>
    <cellStyle name="Output 3 5 3 4" xfId="5296"/>
    <cellStyle name="Output 3 5 4" xfId="5297"/>
    <cellStyle name="Output 3 5 4 2" xfId="5298"/>
    <cellStyle name="Output 3 5 4 2 2" xfId="5299"/>
    <cellStyle name="Output 3 5 4 3" xfId="5300"/>
    <cellStyle name="Output 3 5 5" xfId="5301"/>
    <cellStyle name="Output 3 5 5 2" xfId="5302"/>
    <cellStyle name="Output 3 5 6" xfId="5303"/>
    <cellStyle name="Output 4" xfId="5304"/>
    <cellStyle name="Output 4 2" xfId="5305"/>
    <cellStyle name="Output 4 2 2" xfId="5306"/>
    <cellStyle name="Output 4 2 2 2" xfId="5307"/>
    <cellStyle name="Output 4 2 2 2 2" xfId="5308"/>
    <cellStyle name="Output 4 2 2 2 2 2" xfId="5309"/>
    <cellStyle name="Output 4 2 2 2 2 2 2" xfId="5310"/>
    <cellStyle name="Output 4 2 2 2 2 3" xfId="5311"/>
    <cellStyle name="Output 4 2 2 2 3" xfId="5312"/>
    <cellStyle name="Output 4 2 2 2 3 2" xfId="5313"/>
    <cellStyle name="Output 4 2 2 2 4" xfId="5314"/>
    <cellStyle name="Output 4 2 2 3" xfId="5315"/>
    <cellStyle name="Output 4 2 2 3 2" xfId="5316"/>
    <cellStyle name="Output 4 2 2 3 2 2" xfId="5317"/>
    <cellStyle name="Output 4 2 2 3 3" xfId="5318"/>
    <cellStyle name="Output 4 2 2 3 4" xfId="5319"/>
    <cellStyle name="Output 4 2 2 4" xfId="5320"/>
    <cellStyle name="Output 4 2 2 4 2" xfId="5321"/>
    <cellStyle name="Output 4 2 2 4 2 2" xfId="5322"/>
    <cellStyle name="Output 4 2 2 4 3" xfId="5323"/>
    <cellStyle name="Output 4 2 2 5" xfId="5324"/>
    <cellStyle name="Output 4 2 2 5 2" xfId="5325"/>
    <cellStyle name="Output 4 2 2 6" xfId="5326"/>
    <cellStyle name="Output 4 2 3" xfId="5327"/>
    <cellStyle name="Output 4 2 3 2" xfId="5328"/>
    <cellStyle name="Output 4 2 3 2 2" xfId="5329"/>
    <cellStyle name="Output 4 2 3 2 2 2" xfId="5330"/>
    <cellStyle name="Output 4 2 3 2 2 2 2" xfId="5331"/>
    <cellStyle name="Output 4 2 3 2 2 3" xfId="5332"/>
    <cellStyle name="Output 4 2 3 2 3" xfId="5333"/>
    <cellStyle name="Output 4 2 3 2 3 2" xfId="5334"/>
    <cellStyle name="Output 4 2 3 2 4" xfId="5335"/>
    <cellStyle name="Output 4 2 3 3" xfId="5336"/>
    <cellStyle name="Output 4 2 3 3 2" xfId="5337"/>
    <cellStyle name="Output 4 2 3 3 2 2" xfId="5338"/>
    <cellStyle name="Output 4 2 3 3 3" xfId="5339"/>
    <cellStyle name="Output 4 2 3 3 4" xfId="5340"/>
    <cellStyle name="Output 4 2 3 4" xfId="5341"/>
    <cellStyle name="Output 4 2 3 4 2" xfId="5342"/>
    <cellStyle name="Output 4 2 3 4 2 2" xfId="5343"/>
    <cellStyle name="Output 4 2 3 4 3" xfId="5344"/>
    <cellStyle name="Output 4 2 3 5" xfId="5345"/>
    <cellStyle name="Output 4 2 3 5 2" xfId="5346"/>
    <cellStyle name="Output 4 2 3 6" xfId="5347"/>
    <cellStyle name="Output 4 2 4" xfId="5348"/>
    <cellStyle name="Output 4 2 4 2" xfId="5349"/>
    <cellStyle name="Output 4 3" xfId="5350"/>
    <cellStyle name="Output 4 3 2" xfId="5351"/>
    <cellStyle name="Output 4 3 2 2" xfId="5352"/>
    <cellStyle name="Output 4 3 2 2 2" xfId="5353"/>
    <cellStyle name="Output 4 3 2 2 2 2" xfId="5354"/>
    <cellStyle name="Output 4 3 2 2 2 2 2" xfId="5355"/>
    <cellStyle name="Output 4 3 2 2 2 3" xfId="5356"/>
    <cellStyle name="Output 4 3 2 2 3" xfId="5357"/>
    <cellStyle name="Output 4 3 2 2 3 2" xfId="5358"/>
    <cellStyle name="Output 4 3 2 2 4" xfId="5359"/>
    <cellStyle name="Output 4 3 2 3" xfId="5360"/>
    <cellStyle name="Output 4 3 2 3 2" xfId="5361"/>
    <cellStyle name="Output 4 3 2 3 2 2" xfId="5362"/>
    <cellStyle name="Output 4 3 2 3 3" xfId="5363"/>
    <cellStyle name="Output 4 3 2 3 4" xfId="5364"/>
    <cellStyle name="Output 4 3 2 4" xfId="5365"/>
    <cellStyle name="Output 4 3 2 4 2" xfId="5366"/>
    <cellStyle name="Output 4 3 2 4 2 2" xfId="5367"/>
    <cellStyle name="Output 4 3 2 4 3" xfId="5368"/>
    <cellStyle name="Output 4 3 2 5" xfId="5369"/>
    <cellStyle name="Output 4 3 2 5 2" xfId="5370"/>
    <cellStyle name="Output 4 3 2 6" xfId="5371"/>
    <cellStyle name="Output 4 3 3" xfId="5372"/>
    <cellStyle name="Output 4 3 3 2" xfId="5373"/>
    <cellStyle name="Output 4 3 3 2 2" xfId="5374"/>
    <cellStyle name="Output 4 3 3 3" xfId="5375"/>
    <cellStyle name="Output 4 3 4" xfId="5376"/>
    <cellStyle name="Output 4 3 4 2" xfId="5377"/>
    <cellStyle name="Output 4 3 4 2 2" xfId="5378"/>
    <cellStyle name="Output 4 3 4 2 2 2" xfId="5379"/>
    <cellStyle name="Output 4 3 4 2 2 2 2" xfId="5380"/>
    <cellStyle name="Output 4 3 4 2 2 3" xfId="5381"/>
    <cellStyle name="Output 4 3 4 2 3" xfId="5382"/>
    <cellStyle name="Output 4 3 4 2 3 2" xfId="5383"/>
    <cellStyle name="Output 4 3 4 2 4" xfId="5384"/>
    <cellStyle name="Output 4 3 4 3" xfId="5385"/>
    <cellStyle name="Output 4 3 4 3 2" xfId="5386"/>
    <cellStyle name="Output 4 3 4 3 2 2" xfId="5387"/>
    <cellStyle name="Output 4 3 4 3 3" xfId="5388"/>
    <cellStyle name="Output 4 3 4 3 4" xfId="5389"/>
    <cellStyle name="Output 4 3 4 4" xfId="5390"/>
    <cellStyle name="Output 4 3 4 4 2" xfId="5391"/>
    <cellStyle name="Output 4 3 4 4 2 2" xfId="5392"/>
    <cellStyle name="Output 4 3 4 4 3" xfId="5393"/>
    <cellStyle name="Output 4 3 4 5" xfId="5394"/>
    <cellStyle name="Output 4 3 4 5 2" xfId="5395"/>
    <cellStyle name="Output 4 3 4 6" xfId="5396"/>
    <cellStyle name="Output 4 3 5" xfId="5397"/>
    <cellStyle name="Output 4 3 5 2" xfId="5398"/>
    <cellStyle name="Output 4 3 5 2 2" xfId="5399"/>
    <cellStyle name="Output 4 3 5 2 2 2" xfId="5400"/>
    <cellStyle name="Output 4 3 5 2 3" xfId="5401"/>
    <cellStyle name="Output 4 3 5 3" xfId="5402"/>
    <cellStyle name="Output 4 3 5 3 2" xfId="5403"/>
    <cellStyle name="Output 4 3 5 4" xfId="5404"/>
    <cellStyle name="Output 4 3 6" xfId="5405"/>
    <cellStyle name="Output 4 3 6 2" xfId="5406"/>
    <cellStyle name="Output 4 3 6 2 2" xfId="5407"/>
    <cellStyle name="Output 4 3 6 3" xfId="5408"/>
    <cellStyle name="Output 4 3 6 4" xfId="5409"/>
    <cellStyle name="Output 4 3 7" xfId="5410"/>
    <cellStyle name="Output 4 3 7 2" xfId="5411"/>
    <cellStyle name="Output 4 3 7 2 2" xfId="5412"/>
    <cellStyle name="Output 4 3 7 3" xfId="5413"/>
    <cellStyle name="Output 4 3 8" xfId="5414"/>
    <cellStyle name="Output 4 3 8 2" xfId="5415"/>
    <cellStyle name="Output 4 3 9" xfId="5416"/>
    <cellStyle name="Output 4 4" xfId="5417"/>
    <cellStyle name="Output 4 4 2" xfId="5418"/>
    <cellStyle name="Output 4 4 2 2" xfId="5419"/>
    <cellStyle name="Output 4 4 2 2 2" xfId="5420"/>
    <cellStyle name="Output 4 4 2 2 2 2" xfId="5421"/>
    <cellStyle name="Output 4 4 2 2 3" xfId="5422"/>
    <cellStyle name="Output 4 4 2 3" xfId="5423"/>
    <cellStyle name="Output 4 4 2 3 2" xfId="5424"/>
    <cellStyle name="Output 4 4 2 4" xfId="5425"/>
    <cellStyle name="Output 4 4 3" xfId="5426"/>
    <cellStyle name="Output 4 4 3 2" xfId="5427"/>
    <cellStyle name="Output 4 4 3 2 2" xfId="5428"/>
    <cellStyle name="Output 4 4 3 3" xfId="5429"/>
    <cellStyle name="Output 4 4 3 4" xfId="5430"/>
    <cellStyle name="Output 4 4 4" xfId="5431"/>
    <cellStyle name="Output 4 4 4 2" xfId="5432"/>
    <cellStyle name="Output 4 4 4 2 2" xfId="5433"/>
    <cellStyle name="Output 4 4 4 3" xfId="5434"/>
    <cellStyle name="Output 4 4 5" xfId="5435"/>
    <cellStyle name="Output 4 4 5 2" xfId="5436"/>
    <cellStyle name="Output 4 4 6" xfId="5437"/>
    <cellStyle name="Output 5" xfId="5438"/>
    <cellStyle name="Output 5 2" xfId="5439"/>
    <cellStyle name="Output 5 2 2" xfId="5440"/>
    <cellStyle name="Output 5 2 2 2" xfId="5441"/>
    <cellStyle name="Output 5 2 2 2 2" xfId="5442"/>
    <cellStyle name="Output 5 2 2 2 2 2" xfId="5443"/>
    <cellStyle name="Output 5 2 2 2 2 2 2" xfId="5444"/>
    <cellStyle name="Output 5 2 2 2 2 3" xfId="5445"/>
    <cellStyle name="Output 5 2 2 2 3" xfId="5446"/>
    <cellStyle name="Output 5 2 2 2 3 2" xfId="5447"/>
    <cellStyle name="Output 5 2 2 2 4" xfId="5448"/>
    <cellStyle name="Output 5 2 2 3" xfId="5449"/>
    <cellStyle name="Output 5 2 2 3 2" xfId="5450"/>
    <cellStyle name="Output 5 2 2 3 2 2" xfId="5451"/>
    <cellStyle name="Output 5 2 2 3 3" xfId="5452"/>
    <cellStyle name="Output 5 2 2 3 4" xfId="5453"/>
    <cellStyle name="Output 5 2 2 4" xfId="5454"/>
    <cellStyle name="Output 5 2 2 4 2" xfId="5455"/>
    <cellStyle name="Output 5 2 2 4 2 2" xfId="5456"/>
    <cellStyle name="Output 5 2 2 4 3" xfId="5457"/>
    <cellStyle name="Output 5 2 2 5" xfId="5458"/>
    <cellStyle name="Output 5 2 2 5 2" xfId="5459"/>
    <cellStyle name="Output 5 2 2 6" xfId="5460"/>
    <cellStyle name="Output 5 2 3" xfId="5461"/>
    <cellStyle name="Output 5 2 3 2" xfId="5462"/>
    <cellStyle name="Output 5 2 3 2 2" xfId="5463"/>
    <cellStyle name="Output 5 2 3 2 2 2" xfId="5464"/>
    <cellStyle name="Output 5 2 3 2 2 2 2" xfId="5465"/>
    <cellStyle name="Output 5 2 3 2 2 3" xfId="5466"/>
    <cellStyle name="Output 5 2 3 2 3" xfId="5467"/>
    <cellStyle name="Output 5 2 3 2 3 2" xfId="5468"/>
    <cellStyle name="Output 5 2 3 2 4" xfId="5469"/>
    <cellStyle name="Output 5 2 3 3" xfId="5470"/>
    <cellStyle name="Output 5 2 3 3 2" xfId="5471"/>
    <cellStyle name="Output 5 2 3 3 2 2" xfId="5472"/>
    <cellStyle name="Output 5 2 3 3 3" xfId="5473"/>
    <cellStyle name="Output 5 2 3 3 4" xfId="5474"/>
    <cellStyle name="Output 5 2 3 4" xfId="5475"/>
    <cellStyle name="Output 5 2 3 4 2" xfId="5476"/>
    <cellStyle name="Output 5 2 3 4 2 2" xfId="5477"/>
    <cellStyle name="Output 5 2 3 4 3" xfId="5478"/>
    <cellStyle name="Output 5 2 3 5" xfId="5479"/>
    <cellStyle name="Output 5 2 3 5 2" xfId="5480"/>
    <cellStyle name="Output 5 2 3 6" xfId="5481"/>
    <cellStyle name="Output 5 2 4" xfId="5482"/>
    <cellStyle name="Output 5 2 4 2" xfId="5483"/>
    <cellStyle name="Output 5 3" xfId="5484"/>
    <cellStyle name="Output 5 3 2" xfId="5485"/>
    <cellStyle name="Output 5 3 2 2" xfId="5486"/>
    <cellStyle name="Output 5 3 2 2 2" xfId="5487"/>
    <cellStyle name="Output 5 3 2 2 2 2" xfId="5488"/>
    <cellStyle name="Output 5 3 2 2 2 2 2" xfId="5489"/>
    <cellStyle name="Output 5 3 2 2 2 3" xfId="5490"/>
    <cellStyle name="Output 5 3 2 2 3" xfId="5491"/>
    <cellStyle name="Output 5 3 2 2 3 2" xfId="5492"/>
    <cellStyle name="Output 5 3 2 2 4" xfId="5493"/>
    <cellStyle name="Output 5 3 2 3" xfId="5494"/>
    <cellStyle name="Output 5 3 2 3 2" xfId="5495"/>
    <cellStyle name="Output 5 3 2 3 2 2" xfId="5496"/>
    <cellStyle name="Output 5 3 2 3 3" xfId="5497"/>
    <cellStyle name="Output 5 3 2 3 4" xfId="5498"/>
    <cellStyle name="Output 5 3 2 4" xfId="5499"/>
    <cellStyle name="Output 5 3 2 4 2" xfId="5500"/>
    <cellStyle name="Output 5 3 2 4 2 2" xfId="5501"/>
    <cellStyle name="Output 5 3 2 4 3" xfId="5502"/>
    <cellStyle name="Output 5 3 2 5" xfId="5503"/>
    <cellStyle name="Output 5 3 2 5 2" xfId="5504"/>
    <cellStyle name="Output 5 3 2 6" xfId="5505"/>
    <cellStyle name="Output 5 3 3" xfId="5506"/>
    <cellStyle name="Output 5 3 3 2" xfId="5507"/>
    <cellStyle name="Output 5 3 3 2 2" xfId="5508"/>
    <cellStyle name="Output 5 3 3 3" xfId="5509"/>
    <cellStyle name="Output 5 3 4" xfId="5510"/>
    <cellStyle name="Output 5 3 4 2" xfId="5511"/>
    <cellStyle name="Output 5 3 4 2 2" xfId="5512"/>
    <cellStyle name="Output 5 3 4 2 2 2" xfId="5513"/>
    <cellStyle name="Output 5 3 4 2 2 2 2" xfId="5514"/>
    <cellStyle name="Output 5 3 4 2 2 3" xfId="5515"/>
    <cellStyle name="Output 5 3 4 2 3" xfId="5516"/>
    <cellStyle name="Output 5 3 4 2 3 2" xfId="5517"/>
    <cellStyle name="Output 5 3 4 2 4" xfId="5518"/>
    <cellStyle name="Output 5 3 4 3" xfId="5519"/>
    <cellStyle name="Output 5 3 4 3 2" xfId="5520"/>
    <cellStyle name="Output 5 3 4 3 2 2" xfId="5521"/>
    <cellStyle name="Output 5 3 4 3 3" xfId="5522"/>
    <cellStyle name="Output 5 3 4 3 4" xfId="5523"/>
    <cellStyle name="Output 5 3 4 4" xfId="5524"/>
    <cellStyle name="Output 5 3 4 4 2" xfId="5525"/>
    <cellStyle name="Output 5 3 4 4 2 2" xfId="5526"/>
    <cellStyle name="Output 5 3 4 4 3" xfId="5527"/>
    <cellStyle name="Output 5 3 4 5" xfId="5528"/>
    <cellStyle name="Output 5 3 4 5 2" xfId="5529"/>
    <cellStyle name="Output 5 3 4 6" xfId="5530"/>
    <cellStyle name="Output 5 3 5" xfId="5531"/>
    <cellStyle name="Output 5 3 5 2" xfId="5532"/>
    <cellStyle name="Output 5 3 5 2 2" xfId="5533"/>
    <cellStyle name="Output 5 3 5 2 2 2" xfId="5534"/>
    <cellStyle name="Output 5 3 5 2 3" xfId="5535"/>
    <cellStyle name="Output 5 3 5 3" xfId="5536"/>
    <cellStyle name="Output 5 3 5 3 2" xfId="5537"/>
    <cellStyle name="Output 5 3 5 4" xfId="5538"/>
    <cellStyle name="Output 5 3 6" xfId="5539"/>
    <cellStyle name="Output 5 3 6 2" xfId="5540"/>
    <cellStyle name="Output 5 3 6 2 2" xfId="5541"/>
    <cellStyle name="Output 5 3 6 3" xfId="5542"/>
    <cellStyle name="Output 5 3 6 4" xfId="5543"/>
    <cellStyle name="Output 5 3 7" xfId="5544"/>
    <cellStyle name="Output 5 3 7 2" xfId="5545"/>
    <cellStyle name="Output 5 3 7 2 2" xfId="5546"/>
    <cellStyle name="Output 5 3 7 3" xfId="5547"/>
    <cellStyle name="Output 5 3 8" xfId="5548"/>
    <cellStyle name="Output 5 3 8 2" xfId="5549"/>
    <cellStyle name="Output 5 3 9" xfId="5550"/>
    <cellStyle name="Output 5 4" xfId="5551"/>
    <cellStyle name="Output 5 4 2" xfId="5552"/>
    <cellStyle name="Output 5 4 2 2" xfId="5553"/>
    <cellStyle name="Output 5 4 2 2 2" xfId="5554"/>
    <cellStyle name="Output 5 4 2 2 2 2" xfId="5555"/>
    <cellStyle name="Output 5 4 2 2 3" xfId="5556"/>
    <cellStyle name="Output 5 4 2 3" xfId="5557"/>
    <cellStyle name="Output 5 4 2 3 2" xfId="5558"/>
    <cellStyle name="Output 5 4 2 4" xfId="5559"/>
    <cellStyle name="Output 5 4 3" xfId="5560"/>
    <cellStyle name="Output 5 4 3 2" xfId="5561"/>
    <cellStyle name="Output 5 4 3 2 2" xfId="5562"/>
    <cellStyle name="Output 5 4 3 3" xfId="5563"/>
    <cellStyle name="Output 5 4 3 4" xfId="5564"/>
    <cellStyle name="Output 5 4 4" xfId="5565"/>
    <cellStyle name="Output 5 4 4 2" xfId="5566"/>
    <cellStyle name="Output 5 4 4 2 2" xfId="5567"/>
    <cellStyle name="Output 5 4 4 3" xfId="5568"/>
    <cellStyle name="Output 5 4 5" xfId="5569"/>
    <cellStyle name="Output 5 4 5 2" xfId="5570"/>
    <cellStyle name="Output 5 4 6" xfId="5571"/>
    <cellStyle name="Output 5 5" xfId="5572"/>
    <cellStyle name="Output 5 5 2" xfId="5573"/>
    <cellStyle name="Output 6" xfId="5574"/>
    <cellStyle name="Output 6 2" xfId="5575"/>
    <cellStyle name="Output 6 2 2" xfId="5576"/>
    <cellStyle name="Output 6 2 2 2" xfId="5577"/>
    <cellStyle name="Output 6 2 2 2 2" xfId="5578"/>
    <cellStyle name="Output 6 2 2 2 2 2" xfId="5579"/>
    <cellStyle name="Output 6 2 2 2 2 2 2" xfId="5580"/>
    <cellStyle name="Output 6 2 2 2 2 3" xfId="5581"/>
    <cellStyle name="Output 6 2 2 2 3" xfId="5582"/>
    <cellStyle name="Output 6 2 2 2 3 2" xfId="5583"/>
    <cellStyle name="Output 6 2 2 2 4" xfId="5584"/>
    <cellStyle name="Output 6 2 2 3" xfId="5585"/>
    <cellStyle name="Output 6 2 2 3 2" xfId="5586"/>
    <cellStyle name="Output 6 2 2 3 2 2" xfId="5587"/>
    <cellStyle name="Output 6 2 2 3 3" xfId="5588"/>
    <cellStyle name="Output 6 2 2 3 4" xfId="5589"/>
    <cellStyle name="Output 6 2 2 4" xfId="5590"/>
    <cellStyle name="Output 6 2 2 4 2" xfId="5591"/>
    <cellStyle name="Output 6 2 2 4 2 2" xfId="5592"/>
    <cellStyle name="Output 6 2 2 4 3" xfId="5593"/>
    <cellStyle name="Output 6 2 2 5" xfId="5594"/>
    <cellStyle name="Output 6 2 2 5 2" xfId="5595"/>
    <cellStyle name="Output 6 2 2 6" xfId="5596"/>
    <cellStyle name="Output 6 2 3" xfId="5597"/>
    <cellStyle name="Output 6 2 3 2" xfId="5598"/>
    <cellStyle name="Output 6 2 3 2 2" xfId="5599"/>
    <cellStyle name="Output 6 2 3 3" xfId="5600"/>
    <cellStyle name="Output 6 2 4" xfId="5601"/>
    <cellStyle name="Output 6 2 4 2" xfId="5602"/>
    <cellStyle name="Output 6 2 4 2 2" xfId="5603"/>
    <cellStyle name="Output 6 2 4 2 2 2" xfId="5604"/>
    <cellStyle name="Output 6 2 4 2 2 2 2" xfId="5605"/>
    <cellStyle name="Output 6 2 4 2 2 3" xfId="5606"/>
    <cellStyle name="Output 6 2 4 2 3" xfId="5607"/>
    <cellStyle name="Output 6 2 4 2 3 2" xfId="5608"/>
    <cellStyle name="Output 6 2 4 2 4" xfId="5609"/>
    <cellStyle name="Output 6 2 4 3" xfId="5610"/>
    <cellStyle name="Output 6 2 4 3 2" xfId="5611"/>
    <cellStyle name="Output 6 2 4 3 2 2" xfId="5612"/>
    <cellStyle name="Output 6 2 4 3 3" xfId="5613"/>
    <cellStyle name="Output 6 2 4 3 4" xfId="5614"/>
    <cellStyle name="Output 6 2 4 4" xfId="5615"/>
    <cellStyle name="Output 6 2 4 4 2" xfId="5616"/>
    <cellStyle name="Output 6 2 4 4 2 2" xfId="5617"/>
    <cellStyle name="Output 6 2 4 4 3" xfId="5618"/>
    <cellStyle name="Output 6 2 4 5" xfId="5619"/>
    <cellStyle name="Output 6 2 4 5 2" xfId="5620"/>
    <cellStyle name="Output 6 2 4 6" xfId="5621"/>
    <cellStyle name="Output 6 2 5" xfId="5622"/>
    <cellStyle name="Output 6 2 5 2" xfId="5623"/>
    <cellStyle name="Output 6 2 5 2 2" xfId="5624"/>
    <cellStyle name="Output 6 2 5 2 2 2" xfId="5625"/>
    <cellStyle name="Output 6 2 5 2 3" xfId="5626"/>
    <cellStyle name="Output 6 2 5 3" xfId="5627"/>
    <cellStyle name="Output 6 2 5 3 2" xfId="5628"/>
    <cellStyle name="Output 6 2 5 4" xfId="5629"/>
    <cellStyle name="Output 6 2 6" xfId="5630"/>
    <cellStyle name="Output 6 2 6 2" xfId="5631"/>
    <cellStyle name="Output 6 2 6 2 2" xfId="5632"/>
    <cellStyle name="Output 6 2 6 3" xfId="5633"/>
    <cellStyle name="Output 6 2 6 4" xfId="5634"/>
    <cellStyle name="Output 6 2 7" xfId="5635"/>
    <cellStyle name="Output 6 2 7 2" xfId="5636"/>
    <cellStyle name="Output 6 2 7 2 2" xfId="5637"/>
    <cellStyle name="Output 6 2 7 3" xfId="5638"/>
    <cellStyle name="Output 6 2 8" xfId="5639"/>
    <cellStyle name="Output 6 2 8 2" xfId="5640"/>
    <cellStyle name="Output 6 2 9" xfId="5641"/>
    <cellStyle name="Output 6 3" xfId="5642"/>
    <cellStyle name="Output 6 3 2" xfId="5643"/>
    <cellStyle name="Output 6 3 2 2" xfId="5644"/>
    <cellStyle name="Output 6 3 2 2 2" xfId="5645"/>
    <cellStyle name="Output 6 3 2 2 2 2" xfId="5646"/>
    <cellStyle name="Output 6 3 2 2 3" xfId="5647"/>
    <cellStyle name="Output 6 3 2 3" xfId="5648"/>
    <cellStyle name="Output 6 3 2 3 2" xfId="5649"/>
    <cellStyle name="Output 6 3 2 4" xfId="5650"/>
    <cellStyle name="Output 6 3 3" xfId="5651"/>
    <cellStyle name="Output 6 3 3 2" xfId="5652"/>
    <cellStyle name="Output 6 3 3 2 2" xfId="5653"/>
    <cellStyle name="Output 6 3 3 3" xfId="5654"/>
    <cellStyle name="Output 6 3 3 4" xfId="5655"/>
    <cellStyle name="Output 6 3 4" xfId="5656"/>
    <cellStyle name="Output 6 3 4 2" xfId="5657"/>
    <cellStyle name="Output 6 3 4 2 2" xfId="5658"/>
    <cellStyle name="Output 6 3 4 3" xfId="5659"/>
    <cellStyle name="Output 6 3 5" xfId="5660"/>
    <cellStyle name="Output 6 3 5 2" xfId="5661"/>
    <cellStyle name="Output 6 3 6" xfId="5662"/>
    <cellStyle name="Output 6 4" xfId="5663"/>
    <cellStyle name="Output 6 4 2" xfId="5664"/>
    <cellStyle name="Output 7" xfId="5665"/>
    <cellStyle name="Output 7 2" xfId="5666"/>
    <cellStyle name="Output 7 2 2" xfId="5667"/>
    <cellStyle name="Output 7 2 2 2" xfId="5668"/>
    <cellStyle name="Output 7 2 2 2 2" xfId="5669"/>
    <cellStyle name="Output 7 2 2 2 2 2" xfId="5670"/>
    <cellStyle name="Output 7 2 2 2 3" xfId="5671"/>
    <cellStyle name="Output 7 2 2 3" xfId="5672"/>
    <cellStyle name="Output 7 2 2 3 2" xfId="5673"/>
    <cellStyle name="Output 7 2 2 4" xfId="5674"/>
    <cellStyle name="Output 7 2 3" xfId="5675"/>
    <cellStyle name="Output 7 2 3 2" xfId="5676"/>
    <cellStyle name="Output 7 2 3 2 2" xfId="5677"/>
    <cellStyle name="Output 7 2 3 3" xfId="5678"/>
    <cellStyle name="Output 7 2 3 4" xfId="5679"/>
    <cellStyle name="Output 7 2 4" xfId="5680"/>
    <cellStyle name="Output 7 2 4 2" xfId="5681"/>
    <cellStyle name="Output 7 2 4 2 2" xfId="5682"/>
    <cellStyle name="Output 7 2 4 3" xfId="5683"/>
    <cellStyle name="Output 7 2 5" xfId="5684"/>
    <cellStyle name="Output 7 2 5 2" xfId="5685"/>
    <cellStyle name="Output 7 2 6" xfId="5686"/>
    <cellStyle name="Output 7 3" xfId="5687"/>
    <cellStyle name="Output 7 3 2" xfId="5688"/>
    <cellStyle name="Output 7 3 2 2" xfId="5689"/>
    <cellStyle name="Output 7 3 3" xfId="5690"/>
    <cellStyle name="Output 7 4" xfId="5691"/>
    <cellStyle name="Output 7 4 2" xfId="5692"/>
    <cellStyle name="Output 7 4 2 2" xfId="5693"/>
    <cellStyle name="Output 7 4 2 2 2" xfId="5694"/>
    <cellStyle name="Output 7 4 2 2 2 2" xfId="5695"/>
    <cellStyle name="Output 7 4 2 2 3" xfId="5696"/>
    <cellStyle name="Output 7 4 2 3" xfId="5697"/>
    <cellStyle name="Output 7 4 2 3 2" xfId="5698"/>
    <cellStyle name="Output 7 4 2 4" xfId="5699"/>
    <cellStyle name="Output 7 4 3" xfId="5700"/>
    <cellStyle name="Output 7 4 3 2" xfId="5701"/>
    <cellStyle name="Output 7 4 3 2 2" xfId="5702"/>
    <cellStyle name="Output 7 4 3 3" xfId="5703"/>
    <cellStyle name="Output 7 4 3 4" xfId="5704"/>
    <cellStyle name="Output 7 4 4" xfId="5705"/>
    <cellStyle name="Output 7 4 4 2" xfId="5706"/>
    <cellStyle name="Output 7 4 4 2 2" xfId="5707"/>
    <cellStyle name="Output 7 4 4 3" xfId="5708"/>
    <cellStyle name="Output 7 4 5" xfId="5709"/>
    <cellStyle name="Output 7 4 5 2" xfId="5710"/>
    <cellStyle name="Output 7 4 6" xfId="5711"/>
    <cellStyle name="Output 7 5" xfId="5712"/>
    <cellStyle name="Output 7 5 2" xfId="5713"/>
    <cellStyle name="Output 7 5 2 2" xfId="5714"/>
    <cellStyle name="Output 7 5 2 2 2" xfId="5715"/>
    <cellStyle name="Output 7 5 2 3" xfId="5716"/>
    <cellStyle name="Output 7 5 3" xfId="5717"/>
    <cellStyle name="Output 7 5 3 2" xfId="5718"/>
    <cellStyle name="Output 7 5 4" xfId="5719"/>
    <cellStyle name="Output 7 6" xfId="5720"/>
    <cellStyle name="Output 7 6 2" xfId="5721"/>
    <cellStyle name="Output 7 6 2 2" xfId="5722"/>
    <cellStyle name="Output 7 6 3" xfId="5723"/>
    <cellStyle name="Output 7 6 4" xfId="5724"/>
    <cellStyle name="Output 7 7" xfId="5725"/>
    <cellStyle name="Output 7 7 2" xfId="5726"/>
    <cellStyle name="Output 7 7 2 2" xfId="5727"/>
    <cellStyle name="Output 7 7 3" xfId="5728"/>
    <cellStyle name="Output 7 8" xfId="5729"/>
    <cellStyle name="Output 7 8 2" xfId="5730"/>
    <cellStyle name="Output 7 9" xfId="5731"/>
    <cellStyle name="Page 1" xfId="5732"/>
    <cellStyle name="Page 2" xfId="5733"/>
    <cellStyle name="Page 3" xfId="5734"/>
    <cellStyle name="Page 4" xfId="5735"/>
    <cellStyle name="Page 5" xfId="5736"/>
    <cellStyle name="Page 6" xfId="5737"/>
    <cellStyle name="Page 7" xfId="5738"/>
    <cellStyle name="Page1" xfId="5739"/>
    <cellStyle name="Page2" xfId="5740"/>
    <cellStyle name="Page3" xfId="5741"/>
    <cellStyle name="Page4" xfId="5742"/>
    <cellStyle name="Page5" xfId="5743"/>
    <cellStyle name="Page6" xfId="5744"/>
    <cellStyle name="Percent 2" xfId="5745"/>
    <cellStyle name="Percent 3" xfId="5746"/>
    <cellStyle name="Percent 3 2" xfId="5747"/>
    <cellStyle name="Percent 4" xfId="5748"/>
    <cellStyle name="Percent 4 2" xfId="5749"/>
    <cellStyle name="Percent 5" xfId="5750"/>
    <cellStyle name="Percent 5 2" xfId="7622"/>
    <cellStyle name="Percent 5 2 2" xfId="7665"/>
    <cellStyle name="Percent 6" xfId="5751"/>
    <cellStyle name="Percentage" xfId="5752"/>
    <cellStyle name="RangeName" xfId="5753"/>
    <cellStyle name="RateConven" xfId="5754"/>
    <cellStyle name="red" xfId="5755"/>
    <cellStyle name="ResultDateCenter" xfId="5756"/>
    <cellStyle name="Style 1" xfId="5757"/>
    <cellStyle name="Style 1 2" xfId="5758"/>
    <cellStyle name="Style 1 3" xfId="5759"/>
    <cellStyle name="Style 1 3 2" xfId="5760"/>
    <cellStyle name="Style 1 3 2 2" xfId="5761"/>
    <cellStyle name="Style 1 3 2 2 2" xfId="5762"/>
    <cellStyle name="Style 1 3 2 2 2 2" xfId="5763"/>
    <cellStyle name="Style 1 3 2 2 2 2 2" xfId="5764"/>
    <cellStyle name="Style 1 3 2 2 2 2 2 2" xfId="5765"/>
    <cellStyle name="Style 1 3 2 2 2 2 2 2 2" xfId="5766"/>
    <cellStyle name="Style 1 3 2 2 2 2 2 3" xfId="5767"/>
    <cellStyle name="Style 1 3 2 2 2 2 3" xfId="5768"/>
    <cellStyle name="Style 1 3 2 2 2 2 3 2" xfId="5769"/>
    <cellStyle name="Style 1 3 2 2 2 2 4" xfId="5770"/>
    <cellStyle name="Style 1 3 2 2 2 3" xfId="5771"/>
    <cellStyle name="Style 1 3 2 2 2 3 2" xfId="5772"/>
    <cellStyle name="Style 1 3 2 2 2 3 2 2" xfId="5773"/>
    <cellStyle name="Style 1 3 2 2 2 3 3" xfId="5774"/>
    <cellStyle name="Style 1 3 2 2 2 3 4" xfId="5775"/>
    <cellStyle name="Style 1 3 2 2 2 4" xfId="5776"/>
    <cellStyle name="Style 1 3 2 2 2 4 2" xfId="5777"/>
    <cellStyle name="Style 1 3 2 2 2 4 2 2" xfId="5778"/>
    <cellStyle name="Style 1 3 2 2 2 4 3" xfId="5779"/>
    <cellStyle name="Style 1 3 2 2 2 5" xfId="5780"/>
    <cellStyle name="Style 1 3 2 2 3" xfId="5781"/>
    <cellStyle name="Style 1 3 2 2 3 2" xfId="5782"/>
    <cellStyle name="Style 1 3 2 2 3 2 2" xfId="5783"/>
    <cellStyle name="Style 1 3 2 2 3 2 2 2" xfId="5784"/>
    <cellStyle name="Style 1 3 2 2 3 2 2 2 2" xfId="5785"/>
    <cellStyle name="Style 1 3 2 2 3 2 2 3" xfId="5786"/>
    <cellStyle name="Style 1 3 2 2 3 2 3" xfId="5787"/>
    <cellStyle name="Style 1 3 2 2 3 2 3 2" xfId="5788"/>
    <cellStyle name="Style 1 3 2 2 3 2 4" xfId="5789"/>
    <cellStyle name="Style 1 3 2 2 3 3" xfId="5790"/>
    <cellStyle name="Style 1 3 2 2 3 3 2" xfId="5791"/>
    <cellStyle name="Style 1 3 2 2 3 3 2 2" xfId="5792"/>
    <cellStyle name="Style 1 3 2 2 3 3 3" xfId="5793"/>
    <cellStyle name="Style 1 3 2 2 3 3 4" xfId="5794"/>
    <cellStyle name="Style 1 3 2 2 3 4" xfId="5795"/>
    <cellStyle name="Style 1 3 2 2 3 4 2" xfId="5796"/>
    <cellStyle name="Style 1 3 2 2 3 4 2 2" xfId="5797"/>
    <cellStyle name="Style 1 3 2 2 3 4 3" xfId="5798"/>
    <cellStyle name="Style 1 3 2 2 3 5" xfId="5799"/>
    <cellStyle name="Style 1 3 2 2 3 5 2" xfId="5800"/>
    <cellStyle name="Style 1 3 2 2 3 6" xfId="5801"/>
    <cellStyle name="Style 1 3 2 2 4" xfId="5802"/>
    <cellStyle name="Style 1 3 2 2 4 2" xfId="5803"/>
    <cellStyle name="Style 1 3 2 2 4 2 2" xfId="5804"/>
    <cellStyle name="Style 1 3 2 2 4 2 2 2" xfId="5805"/>
    <cellStyle name="Style 1 3 2 2 4 2 2 2 2" xfId="5806"/>
    <cellStyle name="Style 1 3 2 2 4 2 2 3" xfId="5807"/>
    <cellStyle name="Style 1 3 2 2 4 2 3" xfId="5808"/>
    <cellStyle name="Style 1 3 2 2 4 2 3 2" xfId="5809"/>
    <cellStyle name="Style 1 3 2 2 4 2 4" xfId="5810"/>
    <cellStyle name="Style 1 3 2 2 4 3" xfId="5811"/>
    <cellStyle name="Style 1 3 2 2 4 3 2" xfId="5812"/>
    <cellStyle name="Style 1 3 2 2 4 3 2 2" xfId="5813"/>
    <cellStyle name="Style 1 3 2 2 4 3 3" xfId="5814"/>
    <cellStyle name="Style 1 3 2 2 4 3 4" xfId="5815"/>
    <cellStyle name="Style 1 3 2 2 4 4" xfId="5816"/>
    <cellStyle name="Style 1 3 2 2 4 4 2" xfId="5817"/>
    <cellStyle name="Style 1 3 2 2 4 4 2 2" xfId="5818"/>
    <cellStyle name="Style 1 3 2 2 4 4 3" xfId="5819"/>
    <cellStyle name="Style 1 3 2 2 4 5" xfId="5820"/>
    <cellStyle name="Style 1 3 2 2 4 5 2" xfId="5821"/>
    <cellStyle name="Style 1 3 2 2 4 6" xfId="5822"/>
    <cellStyle name="Style 1 3 2 2 5" xfId="5823"/>
    <cellStyle name="Style 1 3 2 2 5 2" xfId="5824"/>
    <cellStyle name="Style 1 3 2 3" xfId="5825"/>
    <cellStyle name="Style 1 3 2 3 2" xfId="5826"/>
    <cellStyle name="Style 1 3 2 3 2 2" xfId="5827"/>
    <cellStyle name="Style 1 3 2 3 2 2 2" xfId="5828"/>
    <cellStyle name="Style 1 3 2 3 2 2 2 2" xfId="5829"/>
    <cellStyle name="Style 1 3 2 3 2 2 3" xfId="5830"/>
    <cellStyle name="Style 1 3 2 3 2 3" xfId="5831"/>
    <cellStyle name="Style 1 3 2 3 2 3 2" xfId="5832"/>
    <cellStyle name="Style 1 3 2 3 2 4" xfId="5833"/>
    <cellStyle name="Style 1 3 2 3 3" xfId="5834"/>
    <cellStyle name="Style 1 3 2 3 3 2" xfId="5835"/>
    <cellStyle name="Style 1 3 2 3 3 2 2" xfId="5836"/>
    <cellStyle name="Style 1 3 2 3 3 3" xfId="5837"/>
    <cellStyle name="Style 1 3 2 3 3 4" xfId="5838"/>
    <cellStyle name="Style 1 3 2 3 4" xfId="5839"/>
    <cellStyle name="Style 1 3 2 3 4 2" xfId="5840"/>
    <cellStyle name="Style 1 3 2 3 4 2 2" xfId="5841"/>
    <cellStyle name="Style 1 3 2 3 4 3" xfId="5842"/>
    <cellStyle name="Style 1 3 2 3 5" xfId="5843"/>
    <cellStyle name="Style 1 3 2 4" xfId="5844"/>
    <cellStyle name="Style 1 3 2 4 2" xfId="5845"/>
    <cellStyle name="Style 1 3 2 4 2 2" xfId="5846"/>
    <cellStyle name="Style 1 3 2 4 2 2 2" xfId="5847"/>
    <cellStyle name="Style 1 3 2 4 2 2 2 2" xfId="5848"/>
    <cellStyle name="Style 1 3 2 4 2 2 3" xfId="5849"/>
    <cellStyle name="Style 1 3 2 4 2 3" xfId="5850"/>
    <cellStyle name="Style 1 3 2 4 2 3 2" xfId="5851"/>
    <cellStyle name="Style 1 3 2 4 2 4" xfId="5852"/>
    <cellStyle name="Style 1 3 2 4 3" xfId="5853"/>
    <cellStyle name="Style 1 3 2 4 3 2" xfId="5854"/>
    <cellStyle name="Style 1 3 2 4 3 2 2" xfId="5855"/>
    <cellStyle name="Style 1 3 2 4 3 3" xfId="5856"/>
    <cellStyle name="Style 1 3 2 4 3 4" xfId="5857"/>
    <cellStyle name="Style 1 3 2 4 4" xfId="5858"/>
    <cellStyle name="Style 1 3 2 4 4 2" xfId="5859"/>
    <cellStyle name="Style 1 3 2 4 4 2 2" xfId="5860"/>
    <cellStyle name="Style 1 3 2 4 4 3" xfId="5861"/>
    <cellStyle name="Style 1 3 2 4 5" xfId="5862"/>
    <cellStyle name="Style 1 3 2 4 5 2" xfId="5863"/>
    <cellStyle name="Style 1 3 2 4 6" xfId="5864"/>
    <cellStyle name="Style 1 3 2 5" xfId="5865"/>
    <cellStyle name="Style 1 3 2 5 2" xfId="5866"/>
    <cellStyle name="Style 1 3 2 5 2 2" xfId="5867"/>
    <cellStyle name="Style 1 3 2 5 2 2 2" xfId="5868"/>
    <cellStyle name="Style 1 3 2 5 2 2 2 2" xfId="5869"/>
    <cellStyle name="Style 1 3 2 5 2 2 3" xfId="5870"/>
    <cellStyle name="Style 1 3 2 5 2 3" xfId="5871"/>
    <cellStyle name="Style 1 3 2 5 2 3 2" xfId="5872"/>
    <cellStyle name="Style 1 3 2 5 2 4" xfId="5873"/>
    <cellStyle name="Style 1 3 2 5 3" xfId="5874"/>
    <cellStyle name="Style 1 3 2 5 3 2" xfId="5875"/>
    <cellStyle name="Style 1 3 2 5 3 2 2" xfId="5876"/>
    <cellStyle name="Style 1 3 2 5 3 3" xfId="5877"/>
    <cellStyle name="Style 1 3 2 5 3 4" xfId="5878"/>
    <cellStyle name="Style 1 3 2 5 4" xfId="5879"/>
    <cellStyle name="Style 1 3 2 5 4 2" xfId="5880"/>
    <cellStyle name="Style 1 3 2 5 4 2 2" xfId="5881"/>
    <cellStyle name="Style 1 3 2 5 4 3" xfId="5882"/>
    <cellStyle name="Style 1 3 2 5 5" xfId="5883"/>
    <cellStyle name="Style 1 3 2 5 5 2" xfId="5884"/>
    <cellStyle name="Style 1 3 2 5 6" xfId="5885"/>
    <cellStyle name="Style 1 3 3" xfId="5886"/>
    <cellStyle name="Style 1 3 3 2" xfId="5887"/>
    <cellStyle name="Style 1 3 3 2 2" xfId="5888"/>
    <cellStyle name="Style 1 3 3 2 2 2" xfId="5889"/>
    <cellStyle name="Style 1 3 3 2 2 2 2" xfId="5890"/>
    <cellStyle name="Style 1 3 3 2 2 2 2 2" xfId="5891"/>
    <cellStyle name="Style 1 3 3 2 2 2 3" xfId="5892"/>
    <cellStyle name="Style 1 3 3 2 2 3" xfId="5893"/>
    <cellStyle name="Style 1 3 3 2 2 3 2" xfId="5894"/>
    <cellStyle name="Style 1 3 3 2 2 4" xfId="5895"/>
    <cellStyle name="Style 1 3 3 2 3" xfId="5896"/>
    <cellStyle name="Style 1 3 3 2 3 2" xfId="5897"/>
    <cellStyle name="Style 1 3 3 2 3 2 2" xfId="5898"/>
    <cellStyle name="Style 1 3 3 2 3 3" xfId="5899"/>
    <cellStyle name="Style 1 3 3 2 3 4" xfId="5900"/>
    <cellStyle name="Style 1 3 3 2 4" xfId="5901"/>
    <cellStyle name="Style 1 3 3 2 4 2" xfId="5902"/>
    <cellStyle name="Style 1 3 3 2 4 2 2" xfId="5903"/>
    <cellStyle name="Style 1 3 3 2 4 3" xfId="5904"/>
    <cellStyle name="Style 1 3 3 2 5" xfId="5905"/>
    <cellStyle name="Style 1 3 3 3" xfId="5906"/>
    <cellStyle name="Style 1 3 3 3 2" xfId="5907"/>
    <cellStyle name="Style 1 3 3 3 2 2" xfId="5908"/>
    <cellStyle name="Style 1 3 3 3 2 2 2" xfId="5909"/>
    <cellStyle name="Style 1 3 3 3 2 2 2 2" xfId="5910"/>
    <cellStyle name="Style 1 3 3 3 2 2 3" xfId="5911"/>
    <cellStyle name="Style 1 3 3 3 2 3" xfId="5912"/>
    <cellStyle name="Style 1 3 3 3 2 3 2" xfId="5913"/>
    <cellStyle name="Style 1 3 3 3 2 4" xfId="5914"/>
    <cellStyle name="Style 1 3 3 3 3" xfId="5915"/>
    <cellStyle name="Style 1 3 3 3 3 2" xfId="5916"/>
    <cellStyle name="Style 1 3 3 3 3 2 2" xfId="5917"/>
    <cellStyle name="Style 1 3 3 3 3 3" xfId="5918"/>
    <cellStyle name="Style 1 3 3 3 3 4" xfId="5919"/>
    <cellStyle name="Style 1 3 3 3 4" xfId="5920"/>
    <cellStyle name="Style 1 3 3 3 4 2" xfId="5921"/>
    <cellStyle name="Style 1 3 3 3 4 2 2" xfId="5922"/>
    <cellStyle name="Style 1 3 3 3 4 3" xfId="5923"/>
    <cellStyle name="Style 1 3 3 3 5" xfId="5924"/>
    <cellStyle name="Style 1 3 3 3 5 2" xfId="5925"/>
    <cellStyle name="Style 1 3 3 3 6" xfId="5926"/>
    <cellStyle name="Style 1 3 3 4" xfId="5927"/>
    <cellStyle name="Style 1 3 3 4 2" xfId="5928"/>
    <cellStyle name="Style 1 3 3 4 2 2" xfId="5929"/>
    <cellStyle name="Style 1 3 3 4 2 2 2" xfId="5930"/>
    <cellStyle name="Style 1 3 3 4 2 2 2 2" xfId="5931"/>
    <cellStyle name="Style 1 3 3 4 2 2 3" xfId="5932"/>
    <cellStyle name="Style 1 3 3 4 2 3" xfId="5933"/>
    <cellStyle name="Style 1 3 3 4 2 3 2" xfId="5934"/>
    <cellStyle name="Style 1 3 3 4 2 4" xfId="5935"/>
    <cellStyle name="Style 1 3 3 4 3" xfId="5936"/>
    <cellStyle name="Style 1 3 3 4 3 2" xfId="5937"/>
    <cellStyle name="Style 1 3 3 4 3 2 2" xfId="5938"/>
    <cellStyle name="Style 1 3 3 4 3 3" xfId="5939"/>
    <cellStyle name="Style 1 3 3 4 3 4" xfId="5940"/>
    <cellStyle name="Style 1 3 3 4 4" xfId="5941"/>
    <cellStyle name="Style 1 3 3 4 4 2" xfId="5942"/>
    <cellStyle name="Style 1 3 3 4 4 2 2" xfId="5943"/>
    <cellStyle name="Style 1 3 3 4 4 3" xfId="5944"/>
    <cellStyle name="Style 1 3 3 4 5" xfId="5945"/>
    <cellStyle name="Style 1 3 3 4 5 2" xfId="5946"/>
    <cellStyle name="Style 1 3 3 4 6" xfId="5947"/>
    <cellStyle name="Style 1 3 3 5" xfId="5948"/>
    <cellStyle name="Style 1 3 3 5 2" xfId="5949"/>
    <cellStyle name="Style 1 3 4" xfId="5950"/>
    <cellStyle name="Style 1 3 4 2" xfId="5951"/>
    <cellStyle name="Style 1 3 4 2 2" xfId="5952"/>
    <cellStyle name="Style 1 3 4 2 2 2" xfId="5953"/>
    <cellStyle name="Style 1 3 4 2 2 2 2" xfId="5954"/>
    <cellStyle name="Style 1 3 4 2 2 2 2 2" xfId="5955"/>
    <cellStyle name="Style 1 3 4 2 2 2 3" xfId="5956"/>
    <cellStyle name="Style 1 3 4 2 2 3" xfId="5957"/>
    <cellStyle name="Style 1 3 4 2 2 3 2" xfId="5958"/>
    <cellStyle name="Style 1 3 4 2 2 4" xfId="5959"/>
    <cellStyle name="Style 1 3 4 2 3" xfId="5960"/>
    <cellStyle name="Style 1 3 4 2 3 2" xfId="5961"/>
    <cellStyle name="Style 1 3 4 2 3 2 2" xfId="5962"/>
    <cellStyle name="Style 1 3 4 2 3 3" xfId="5963"/>
    <cellStyle name="Style 1 3 4 2 3 4" xfId="5964"/>
    <cellStyle name="Style 1 3 4 2 4" xfId="5965"/>
    <cellStyle name="Style 1 3 4 2 4 2" xfId="5966"/>
    <cellStyle name="Style 1 3 4 2 4 2 2" xfId="5967"/>
    <cellStyle name="Style 1 3 4 2 4 3" xfId="5968"/>
    <cellStyle name="Style 1 3 4 2 5" xfId="5969"/>
    <cellStyle name="Style 1 3 4 2 5 2" xfId="5970"/>
    <cellStyle name="Style 1 3 4 2 6" xfId="5971"/>
    <cellStyle name="Style 1 3 4 3" xfId="5972"/>
    <cellStyle name="Style 1 3 4 3 2" xfId="5973"/>
    <cellStyle name="Style 1 3 4 3 2 2" xfId="5974"/>
    <cellStyle name="Style 1 3 4 3 2 2 2" xfId="5975"/>
    <cellStyle name="Style 1 3 4 3 2 2 2 2" xfId="5976"/>
    <cellStyle name="Style 1 3 4 3 2 2 3" xfId="5977"/>
    <cellStyle name="Style 1 3 4 3 2 3" xfId="5978"/>
    <cellStyle name="Style 1 3 4 3 2 3 2" xfId="5979"/>
    <cellStyle name="Style 1 3 4 3 2 4" xfId="5980"/>
    <cellStyle name="Style 1 3 4 3 3" xfId="5981"/>
    <cellStyle name="Style 1 3 4 3 3 2" xfId="5982"/>
    <cellStyle name="Style 1 3 4 3 3 2 2" xfId="5983"/>
    <cellStyle name="Style 1 3 4 3 3 3" xfId="5984"/>
    <cellStyle name="Style 1 3 4 3 3 4" xfId="5985"/>
    <cellStyle name="Style 1 3 4 3 4" xfId="5986"/>
    <cellStyle name="Style 1 3 4 3 4 2" xfId="5987"/>
    <cellStyle name="Style 1 3 4 3 4 2 2" xfId="5988"/>
    <cellStyle name="Style 1 3 4 3 4 3" xfId="5989"/>
    <cellStyle name="Style 1 3 4 3 5" xfId="5990"/>
    <cellStyle name="Style 1 3 4 3 5 2" xfId="5991"/>
    <cellStyle name="Style 1 3 4 3 6" xfId="5992"/>
    <cellStyle name="Style 1 3 4 4" xfId="5993"/>
    <cellStyle name="Style 1 3 4 4 2" xfId="5994"/>
    <cellStyle name="Style 1 3 4 4 2 2" xfId="5995"/>
    <cellStyle name="Style 1 3 4 4 2 2 2" xfId="5996"/>
    <cellStyle name="Style 1 3 4 4 2 3" xfId="5997"/>
    <cellStyle name="Style 1 3 4 4 3" xfId="5998"/>
    <cellStyle name="Style 1 3 4 4 3 2" xfId="5999"/>
    <cellStyle name="Style 1 3 4 4 4" xfId="6000"/>
    <cellStyle name="Style 1 3 4 5" xfId="6001"/>
    <cellStyle name="Style 1 3 4 5 2" xfId="6002"/>
    <cellStyle name="Style 1 3 4 5 2 2" xfId="6003"/>
    <cellStyle name="Style 1 3 4 5 3" xfId="6004"/>
    <cellStyle name="Style 1 3 4 5 4" xfId="6005"/>
    <cellStyle name="Style 1 3 4 6" xfId="6006"/>
    <cellStyle name="Style 1 3 4 6 2" xfId="6007"/>
    <cellStyle name="Style 1 3 4 6 2 2" xfId="6008"/>
    <cellStyle name="Style 1 3 4 6 3" xfId="6009"/>
    <cellStyle name="Style 1 3 4 7" xfId="6010"/>
    <cellStyle name="Style 1 3 5" xfId="6011"/>
    <cellStyle name="Style 1 3 5 2" xfId="6012"/>
    <cellStyle name="Style 1 3 5 2 2" xfId="6013"/>
    <cellStyle name="Style 1 3 5 2 2 2" xfId="6014"/>
    <cellStyle name="Style 1 3 5 2 2 2 2" xfId="6015"/>
    <cellStyle name="Style 1 3 5 2 2 3" xfId="6016"/>
    <cellStyle name="Style 1 3 5 2 3" xfId="6017"/>
    <cellStyle name="Style 1 3 5 2 3 2" xfId="6018"/>
    <cellStyle name="Style 1 3 5 2 4" xfId="6019"/>
    <cellStyle name="Style 1 3 5 3" xfId="6020"/>
    <cellStyle name="Style 1 3 5 3 2" xfId="6021"/>
    <cellStyle name="Style 1 3 5 3 2 2" xfId="6022"/>
    <cellStyle name="Style 1 3 5 3 3" xfId="6023"/>
    <cellStyle name="Style 1 3 5 3 4" xfId="6024"/>
    <cellStyle name="Style 1 3 5 4" xfId="6025"/>
    <cellStyle name="Style 1 3 5 4 2" xfId="6026"/>
    <cellStyle name="Style 1 3 5 4 2 2" xfId="6027"/>
    <cellStyle name="Style 1 3 5 4 3" xfId="6028"/>
    <cellStyle name="Style 1 3 5 5" xfId="6029"/>
    <cellStyle name="Style 1 4" xfId="6030"/>
    <cellStyle name="Style 1 5" xfId="6031"/>
    <cellStyle name="Style 1 6" xfId="6032"/>
    <cellStyle name="Style 1_apollo_curves" xfId="6033"/>
    <cellStyle name="Style 2" xfId="6034"/>
    <cellStyle name="TableF" xfId="6035"/>
    <cellStyle name="TableF 2" xfId="6036"/>
    <cellStyle name="text" xfId="6037"/>
    <cellStyle name="text2" xfId="6038"/>
    <cellStyle name="Title" xfId="7623" builtinId="15" customBuiltin="1"/>
    <cellStyle name="Title 2" xfId="6039"/>
    <cellStyle name="Title 2 2" xfId="6040"/>
    <cellStyle name="Title 3" xfId="6041"/>
    <cellStyle name="Title 4" xfId="6042"/>
    <cellStyle name="Title 5" xfId="6043"/>
    <cellStyle name="Title 6" xfId="6044"/>
    <cellStyle name="title2" xfId="6045"/>
    <cellStyle name="TopGrey" xfId="6046"/>
    <cellStyle name="Total" xfId="7639" builtinId="25" customBuiltin="1"/>
    <cellStyle name="Total 2" xfId="6047"/>
    <cellStyle name="Total 2 2" xfId="6048"/>
    <cellStyle name="Total 2 2 2" xfId="6049"/>
    <cellStyle name="Total 2 2 2 2" xfId="6050"/>
    <cellStyle name="Total 2 2 2 2 2" xfId="6051"/>
    <cellStyle name="Total 2 2 2 2 2 2" xfId="6052"/>
    <cellStyle name="Total 2 2 2 2 2 2 2" xfId="6053"/>
    <cellStyle name="Total 2 2 2 2 2 2 2 2" xfId="6054"/>
    <cellStyle name="Total 2 2 2 2 2 2 2 2 2" xfId="6055"/>
    <cellStyle name="Total 2 2 2 2 2 2 2 3" xfId="6056"/>
    <cellStyle name="Total 2 2 2 2 2 2 3" xfId="6057"/>
    <cellStyle name="Total 2 2 2 2 2 2 3 2" xfId="6058"/>
    <cellStyle name="Total 2 2 2 2 2 2 4" xfId="6059"/>
    <cellStyle name="Total 2 2 2 2 2 3" xfId="6060"/>
    <cellStyle name="Total 2 2 2 2 2 3 2" xfId="6061"/>
    <cellStyle name="Total 2 2 2 2 2 3 2 2" xfId="6062"/>
    <cellStyle name="Total 2 2 2 2 2 3 3" xfId="6063"/>
    <cellStyle name="Total 2 2 2 2 2 3 4" xfId="6064"/>
    <cellStyle name="Total 2 2 2 2 2 4" xfId="6065"/>
    <cellStyle name="Total 2 2 2 2 2 4 2" xfId="6066"/>
    <cellStyle name="Total 2 2 2 2 2 4 2 2" xfId="6067"/>
    <cellStyle name="Total 2 2 2 2 2 4 3" xfId="6068"/>
    <cellStyle name="Total 2 2 2 2 2 5" xfId="6069"/>
    <cellStyle name="Total 2 2 2 2 2 5 2" xfId="6070"/>
    <cellStyle name="Total 2 2 2 2 2 6" xfId="6071"/>
    <cellStyle name="Total 2 2 2 2 3" xfId="6072"/>
    <cellStyle name="Total 2 2 2 2 3 2" xfId="6073"/>
    <cellStyle name="Total 2 2 2 2 3 2 2" xfId="6074"/>
    <cellStyle name="Total 2 2 2 2 3 2 2 2" xfId="6075"/>
    <cellStyle name="Total 2 2 2 2 3 2 2 2 2" xfId="6076"/>
    <cellStyle name="Total 2 2 2 2 3 2 2 3" xfId="6077"/>
    <cellStyle name="Total 2 2 2 2 3 2 3" xfId="6078"/>
    <cellStyle name="Total 2 2 2 2 3 2 3 2" xfId="6079"/>
    <cellStyle name="Total 2 2 2 2 3 2 4" xfId="6080"/>
    <cellStyle name="Total 2 2 2 2 3 3" xfId="6081"/>
    <cellStyle name="Total 2 2 2 2 3 3 2" xfId="6082"/>
    <cellStyle name="Total 2 2 2 2 3 3 2 2" xfId="6083"/>
    <cellStyle name="Total 2 2 2 2 3 3 3" xfId="6084"/>
    <cellStyle name="Total 2 2 2 2 3 3 4" xfId="6085"/>
    <cellStyle name="Total 2 2 2 2 3 4" xfId="6086"/>
    <cellStyle name="Total 2 2 2 2 3 4 2" xfId="6087"/>
    <cellStyle name="Total 2 2 2 2 3 4 2 2" xfId="6088"/>
    <cellStyle name="Total 2 2 2 2 3 4 3" xfId="6089"/>
    <cellStyle name="Total 2 2 2 2 3 5" xfId="6090"/>
    <cellStyle name="Total 2 2 2 2 3 5 2" xfId="6091"/>
    <cellStyle name="Total 2 2 2 2 3 6" xfId="6092"/>
    <cellStyle name="Total 2 2 2 2 4" xfId="6093"/>
    <cellStyle name="Total 2 2 2 2 4 2" xfId="6094"/>
    <cellStyle name="Total 2 2 2 2 4 2 2" xfId="6095"/>
    <cellStyle name="Total 2 2 2 2 4 2 2 2" xfId="6096"/>
    <cellStyle name="Total 2 2 2 2 4 2 2 2 2" xfId="6097"/>
    <cellStyle name="Total 2 2 2 2 4 2 2 3" xfId="6098"/>
    <cellStyle name="Total 2 2 2 2 4 2 3" xfId="6099"/>
    <cellStyle name="Total 2 2 2 2 4 2 3 2" xfId="6100"/>
    <cellStyle name="Total 2 2 2 2 4 2 4" xfId="6101"/>
    <cellStyle name="Total 2 2 2 2 4 3" xfId="6102"/>
    <cellStyle name="Total 2 2 2 2 4 3 2" xfId="6103"/>
    <cellStyle name="Total 2 2 2 2 4 3 2 2" xfId="6104"/>
    <cellStyle name="Total 2 2 2 2 4 3 3" xfId="6105"/>
    <cellStyle name="Total 2 2 2 2 4 3 4" xfId="6106"/>
    <cellStyle name="Total 2 2 2 2 4 4" xfId="6107"/>
    <cellStyle name="Total 2 2 2 2 4 4 2" xfId="6108"/>
    <cellStyle name="Total 2 2 2 2 4 4 2 2" xfId="6109"/>
    <cellStyle name="Total 2 2 2 2 4 4 3" xfId="6110"/>
    <cellStyle name="Total 2 2 2 2 4 5" xfId="6111"/>
    <cellStyle name="Total 2 2 2 2 4 5 2" xfId="6112"/>
    <cellStyle name="Total 2 2 2 2 4 6" xfId="6113"/>
    <cellStyle name="Total 2 2 2 2 5" xfId="6114"/>
    <cellStyle name="Total 2 2 2 2 5 2" xfId="6115"/>
    <cellStyle name="Total 2 2 2 3" xfId="6116"/>
    <cellStyle name="Total 2 2 2 3 2" xfId="6117"/>
    <cellStyle name="Total 2 2 2 3 2 2" xfId="6118"/>
    <cellStyle name="Total 2 2 2 3 2 2 2" xfId="6119"/>
    <cellStyle name="Total 2 2 2 3 2 2 2 2" xfId="6120"/>
    <cellStyle name="Total 2 2 2 3 2 2 3" xfId="6121"/>
    <cellStyle name="Total 2 2 2 3 2 3" xfId="6122"/>
    <cellStyle name="Total 2 2 2 3 2 3 2" xfId="6123"/>
    <cellStyle name="Total 2 2 2 3 2 4" xfId="6124"/>
    <cellStyle name="Total 2 2 2 3 3" xfId="6125"/>
    <cellStyle name="Total 2 2 2 3 3 2" xfId="6126"/>
    <cellStyle name="Total 2 2 2 3 3 2 2" xfId="6127"/>
    <cellStyle name="Total 2 2 2 3 3 3" xfId="6128"/>
    <cellStyle name="Total 2 2 2 3 3 4" xfId="6129"/>
    <cellStyle name="Total 2 2 2 3 4" xfId="6130"/>
    <cellStyle name="Total 2 2 2 3 4 2" xfId="6131"/>
    <cellStyle name="Total 2 2 2 3 4 2 2" xfId="6132"/>
    <cellStyle name="Total 2 2 2 3 4 3" xfId="6133"/>
    <cellStyle name="Total 2 2 2 3 5" xfId="6134"/>
    <cellStyle name="Total 2 2 2 3 5 2" xfId="6135"/>
    <cellStyle name="Total 2 2 2 3 6" xfId="6136"/>
    <cellStyle name="Total 2 2 2 4" xfId="6137"/>
    <cellStyle name="Total 2 2 2 4 2" xfId="6138"/>
    <cellStyle name="Total 2 2 2 4 2 2" xfId="6139"/>
    <cellStyle name="Total 2 2 2 4 2 2 2" xfId="6140"/>
    <cellStyle name="Total 2 2 2 4 2 2 2 2" xfId="6141"/>
    <cellStyle name="Total 2 2 2 4 2 2 3" xfId="6142"/>
    <cellStyle name="Total 2 2 2 4 2 3" xfId="6143"/>
    <cellStyle name="Total 2 2 2 4 2 3 2" xfId="6144"/>
    <cellStyle name="Total 2 2 2 4 2 4" xfId="6145"/>
    <cellStyle name="Total 2 2 2 4 3" xfId="6146"/>
    <cellStyle name="Total 2 2 2 4 3 2" xfId="6147"/>
    <cellStyle name="Total 2 2 2 4 3 2 2" xfId="6148"/>
    <cellStyle name="Total 2 2 2 4 3 3" xfId="6149"/>
    <cellStyle name="Total 2 2 2 4 3 4" xfId="6150"/>
    <cellStyle name="Total 2 2 2 4 4" xfId="6151"/>
    <cellStyle name="Total 2 2 2 4 4 2" xfId="6152"/>
    <cellStyle name="Total 2 2 2 4 4 2 2" xfId="6153"/>
    <cellStyle name="Total 2 2 2 4 4 3" xfId="6154"/>
    <cellStyle name="Total 2 2 2 4 5" xfId="6155"/>
    <cellStyle name="Total 2 2 2 4 5 2" xfId="6156"/>
    <cellStyle name="Total 2 2 2 4 6" xfId="6157"/>
    <cellStyle name="Total 2 2 2 5" xfId="6158"/>
    <cellStyle name="Total 2 2 2 5 2" xfId="6159"/>
    <cellStyle name="Total 2 2 2 5 2 2" xfId="6160"/>
    <cellStyle name="Total 2 2 2 5 2 2 2" xfId="6161"/>
    <cellStyle name="Total 2 2 2 5 2 2 2 2" xfId="6162"/>
    <cellStyle name="Total 2 2 2 5 2 2 3" xfId="6163"/>
    <cellStyle name="Total 2 2 2 5 2 3" xfId="6164"/>
    <cellStyle name="Total 2 2 2 5 2 3 2" xfId="6165"/>
    <cellStyle name="Total 2 2 2 5 2 4" xfId="6166"/>
    <cellStyle name="Total 2 2 2 5 3" xfId="6167"/>
    <cellStyle name="Total 2 2 2 5 3 2" xfId="6168"/>
    <cellStyle name="Total 2 2 2 5 3 2 2" xfId="6169"/>
    <cellStyle name="Total 2 2 2 5 3 3" xfId="6170"/>
    <cellStyle name="Total 2 2 2 5 3 4" xfId="6171"/>
    <cellStyle name="Total 2 2 2 5 4" xfId="6172"/>
    <cellStyle name="Total 2 2 2 5 4 2" xfId="6173"/>
    <cellStyle name="Total 2 2 2 5 4 2 2" xfId="6174"/>
    <cellStyle name="Total 2 2 2 5 4 3" xfId="6175"/>
    <cellStyle name="Total 2 2 2 5 5" xfId="6176"/>
    <cellStyle name="Total 2 2 2 5 5 2" xfId="6177"/>
    <cellStyle name="Total 2 2 2 5 6" xfId="6178"/>
    <cellStyle name="Total 2 2 2 6" xfId="6179"/>
    <cellStyle name="Total 2 2 2 6 2" xfId="6180"/>
    <cellStyle name="Total 2 2 3" xfId="6181"/>
    <cellStyle name="Total 2 2 3 2" xfId="6182"/>
    <cellStyle name="Total 2 2 3 2 2" xfId="6183"/>
    <cellStyle name="Total 2 2 3 2 2 2" xfId="6184"/>
    <cellStyle name="Total 2 2 3 2 2 2 2" xfId="6185"/>
    <cellStyle name="Total 2 2 3 2 2 2 2 2" xfId="6186"/>
    <cellStyle name="Total 2 2 3 2 2 2 3" xfId="6187"/>
    <cellStyle name="Total 2 2 3 2 2 3" xfId="6188"/>
    <cellStyle name="Total 2 2 3 2 2 3 2" xfId="6189"/>
    <cellStyle name="Total 2 2 3 2 2 4" xfId="6190"/>
    <cellStyle name="Total 2 2 3 2 3" xfId="6191"/>
    <cellStyle name="Total 2 2 3 2 3 2" xfId="6192"/>
    <cellStyle name="Total 2 2 3 2 3 2 2" xfId="6193"/>
    <cellStyle name="Total 2 2 3 2 3 3" xfId="6194"/>
    <cellStyle name="Total 2 2 3 2 3 4" xfId="6195"/>
    <cellStyle name="Total 2 2 3 2 4" xfId="6196"/>
    <cellStyle name="Total 2 2 3 2 4 2" xfId="6197"/>
    <cellStyle name="Total 2 2 3 2 4 2 2" xfId="6198"/>
    <cellStyle name="Total 2 2 3 2 4 3" xfId="6199"/>
    <cellStyle name="Total 2 2 3 2 5" xfId="6200"/>
    <cellStyle name="Total 2 2 3 2 5 2" xfId="6201"/>
    <cellStyle name="Total 2 2 3 2 6" xfId="6202"/>
    <cellStyle name="Total 2 2 3 3" xfId="6203"/>
    <cellStyle name="Total 2 2 3 3 2" xfId="6204"/>
    <cellStyle name="Total 2 2 3 3 2 2" xfId="6205"/>
    <cellStyle name="Total 2 2 3 3 2 2 2" xfId="6206"/>
    <cellStyle name="Total 2 2 3 3 2 2 2 2" xfId="6207"/>
    <cellStyle name="Total 2 2 3 3 2 2 3" xfId="6208"/>
    <cellStyle name="Total 2 2 3 3 2 3" xfId="6209"/>
    <cellStyle name="Total 2 2 3 3 2 3 2" xfId="6210"/>
    <cellStyle name="Total 2 2 3 3 2 4" xfId="6211"/>
    <cellStyle name="Total 2 2 3 3 3" xfId="6212"/>
    <cellStyle name="Total 2 2 3 3 3 2" xfId="6213"/>
    <cellStyle name="Total 2 2 3 3 3 2 2" xfId="6214"/>
    <cellStyle name="Total 2 2 3 3 3 3" xfId="6215"/>
    <cellStyle name="Total 2 2 3 3 3 4" xfId="6216"/>
    <cellStyle name="Total 2 2 3 3 4" xfId="6217"/>
    <cellStyle name="Total 2 2 3 3 4 2" xfId="6218"/>
    <cellStyle name="Total 2 2 3 3 4 2 2" xfId="6219"/>
    <cellStyle name="Total 2 2 3 3 4 3" xfId="6220"/>
    <cellStyle name="Total 2 2 3 3 5" xfId="6221"/>
    <cellStyle name="Total 2 2 3 3 5 2" xfId="6222"/>
    <cellStyle name="Total 2 2 3 3 6" xfId="6223"/>
    <cellStyle name="Total 2 2 3 4" xfId="6224"/>
    <cellStyle name="Total 2 2 3 4 2" xfId="6225"/>
    <cellStyle name="Total 2 2 3 4 2 2" xfId="6226"/>
    <cellStyle name="Total 2 2 3 4 2 2 2" xfId="6227"/>
    <cellStyle name="Total 2 2 3 4 2 2 2 2" xfId="6228"/>
    <cellStyle name="Total 2 2 3 4 2 2 3" xfId="6229"/>
    <cellStyle name="Total 2 2 3 4 2 3" xfId="6230"/>
    <cellStyle name="Total 2 2 3 4 2 3 2" xfId="6231"/>
    <cellStyle name="Total 2 2 3 4 2 4" xfId="6232"/>
    <cellStyle name="Total 2 2 3 4 3" xfId="6233"/>
    <cellStyle name="Total 2 2 3 4 3 2" xfId="6234"/>
    <cellStyle name="Total 2 2 3 4 3 2 2" xfId="6235"/>
    <cellStyle name="Total 2 2 3 4 3 3" xfId="6236"/>
    <cellStyle name="Total 2 2 3 4 3 4" xfId="6237"/>
    <cellStyle name="Total 2 2 3 4 4" xfId="6238"/>
    <cellStyle name="Total 2 2 3 4 4 2" xfId="6239"/>
    <cellStyle name="Total 2 2 3 4 4 2 2" xfId="6240"/>
    <cellStyle name="Total 2 2 3 4 4 3" xfId="6241"/>
    <cellStyle name="Total 2 2 3 4 5" xfId="6242"/>
    <cellStyle name="Total 2 2 3 4 5 2" xfId="6243"/>
    <cellStyle name="Total 2 2 3 4 6" xfId="6244"/>
    <cellStyle name="Total 2 2 3 5" xfId="6245"/>
    <cellStyle name="Total 2 2 3 5 2" xfId="6246"/>
    <cellStyle name="Total 2 2 4" xfId="6247"/>
    <cellStyle name="Total 2 2 4 2" xfId="6248"/>
    <cellStyle name="Total 2 2 4 2 2" xfId="6249"/>
    <cellStyle name="Total 2 2 4 2 2 2" xfId="6250"/>
    <cellStyle name="Total 2 2 4 2 2 2 2" xfId="6251"/>
    <cellStyle name="Total 2 2 4 2 2 2 2 2" xfId="6252"/>
    <cellStyle name="Total 2 2 4 2 2 2 3" xfId="6253"/>
    <cellStyle name="Total 2 2 4 2 2 3" xfId="6254"/>
    <cellStyle name="Total 2 2 4 2 2 3 2" xfId="6255"/>
    <cellStyle name="Total 2 2 4 2 2 4" xfId="6256"/>
    <cellStyle name="Total 2 2 4 2 3" xfId="6257"/>
    <cellStyle name="Total 2 2 4 2 3 2" xfId="6258"/>
    <cellStyle name="Total 2 2 4 2 3 2 2" xfId="6259"/>
    <cellStyle name="Total 2 2 4 2 3 3" xfId="6260"/>
    <cellStyle name="Total 2 2 4 2 3 4" xfId="6261"/>
    <cellStyle name="Total 2 2 4 2 4" xfId="6262"/>
    <cellStyle name="Total 2 2 4 2 4 2" xfId="6263"/>
    <cellStyle name="Total 2 2 4 2 4 2 2" xfId="6264"/>
    <cellStyle name="Total 2 2 4 2 4 3" xfId="6265"/>
    <cellStyle name="Total 2 2 4 2 5" xfId="6266"/>
    <cellStyle name="Total 2 2 4 2 5 2" xfId="6267"/>
    <cellStyle name="Total 2 2 4 2 6" xfId="6268"/>
    <cellStyle name="Total 2 2 4 3" xfId="6269"/>
    <cellStyle name="Total 2 2 4 3 2" xfId="6270"/>
    <cellStyle name="Total 2 2 4 3 2 2" xfId="6271"/>
    <cellStyle name="Total 2 2 4 3 2 2 2" xfId="6272"/>
    <cellStyle name="Total 2 2 4 3 2 2 2 2" xfId="6273"/>
    <cellStyle name="Total 2 2 4 3 2 2 3" xfId="6274"/>
    <cellStyle name="Total 2 2 4 3 2 3" xfId="6275"/>
    <cellStyle name="Total 2 2 4 3 2 3 2" xfId="6276"/>
    <cellStyle name="Total 2 2 4 3 2 4" xfId="6277"/>
    <cellStyle name="Total 2 2 4 3 3" xfId="6278"/>
    <cellStyle name="Total 2 2 4 3 3 2" xfId="6279"/>
    <cellStyle name="Total 2 2 4 3 3 2 2" xfId="6280"/>
    <cellStyle name="Total 2 2 4 3 3 3" xfId="6281"/>
    <cellStyle name="Total 2 2 4 3 3 4" xfId="6282"/>
    <cellStyle name="Total 2 2 4 3 4" xfId="6283"/>
    <cellStyle name="Total 2 2 4 3 4 2" xfId="6284"/>
    <cellStyle name="Total 2 2 4 3 4 2 2" xfId="6285"/>
    <cellStyle name="Total 2 2 4 3 4 3" xfId="6286"/>
    <cellStyle name="Total 2 2 4 3 5" xfId="6287"/>
    <cellStyle name="Total 2 2 4 3 5 2" xfId="6288"/>
    <cellStyle name="Total 2 2 4 3 6" xfId="6289"/>
    <cellStyle name="Total 2 2 4 4" xfId="6290"/>
    <cellStyle name="Total 2 2 4 4 2" xfId="6291"/>
    <cellStyle name="Total 2 2 4 4 2 2" xfId="6292"/>
    <cellStyle name="Total 2 2 4 4 2 2 2" xfId="6293"/>
    <cellStyle name="Total 2 2 4 4 2 3" xfId="6294"/>
    <cellStyle name="Total 2 2 4 4 3" xfId="6295"/>
    <cellStyle name="Total 2 2 4 4 3 2" xfId="6296"/>
    <cellStyle name="Total 2 2 4 4 4" xfId="6297"/>
    <cellStyle name="Total 2 2 4 5" xfId="6298"/>
    <cellStyle name="Total 2 2 4 5 2" xfId="6299"/>
    <cellStyle name="Total 2 2 4 5 2 2" xfId="6300"/>
    <cellStyle name="Total 2 2 4 5 3" xfId="6301"/>
    <cellStyle name="Total 2 2 4 5 4" xfId="6302"/>
    <cellStyle name="Total 2 2 4 6" xfId="6303"/>
    <cellStyle name="Total 2 2 4 6 2" xfId="6304"/>
    <cellStyle name="Total 2 2 4 6 2 2" xfId="6305"/>
    <cellStyle name="Total 2 2 4 6 3" xfId="6306"/>
    <cellStyle name="Total 2 2 4 7" xfId="6307"/>
    <cellStyle name="Total 2 2 4 7 2" xfId="6308"/>
    <cellStyle name="Total 2 2 4 8" xfId="6309"/>
    <cellStyle name="Total 2 2 5" xfId="6310"/>
    <cellStyle name="Total 2 2 5 2" xfId="6311"/>
    <cellStyle name="Total 2 2 5 2 2" xfId="6312"/>
    <cellStyle name="Total 2 2 5 2 2 2" xfId="6313"/>
    <cellStyle name="Total 2 2 5 2 2 2 2" xfId="6314"/>
    <cellStyle name="Total 2 2 5 2 2 3" xfId="6315"/>
    <cellStyle name="Total 2 2 5 2 3" xfId="6316"/>
    <cellStyle name="Total 2 2 5 2 3 2" xfId="6317"/>
    <cellStyle name="Total 2 2 5 2 4" xfId="6318"/>
    <cellStyle name="Total 2 2 5 3" xfId="6319"/>
    <cellStyle name="Total 2 2 5 3 2" xfId="6320"/>
    <cellStyle name="Total 2 2 5 3 2 2" xfId="6321"/>
    <cellStyle name="Total 2 2 5 3 3" xfId="6322"/>
    <cellStyle name="Total 2 2 5 3 4" xfId="6323"/>
    <cellStyle name="Total 2 2 5 4" xfId="6324"/>
    <cellStyle name="Total 2 2 5 4 2" xfId="6325"/>
    <cellStyle name="Total 2 2 5 4 2 2" xfId="6326"/>
    <cellStyle name="Total 2 2 5 4 3" xfId="6327"/>
    <cellStyle name="Total 2 2 5 5" xfId="6328"/>
    <cellStyle name="Total 2 2 5 5 2" xfId="6329"/>
    <cellStyle name="Total 2 2 5 6" xfId="6330"/>
    <cellStyle name="Total 2 3" xfId="6331"/>
    <cellStyle name="Total 2 3 2" xfId="6332"/>
    <cellStyle name="Total 2 3 2 2" xfId="6333"/>
    <cellStyle name="Total 2 3 2 2 2" xfId="6334"/>
    <cellStyle name="Total 2 3 2 2 2 2" xfId="6335"/>
    <cellStyle name="Total 2 3 2 2 2 2 2" xfId="6336"/>
    <cellStyle name="Total 2 3 2 2 2 2 2 2" xfId="6337"/>
    <cellStyle name="Total 2 3 2 2 2 2 3" xfId="6338"/>
    <cellStyle name="Total 2 3 2 2 2 3" xfId="6339"/>
    <cellStyle name="Total 2 3 2 2 2 3 2" xfId="6340"/>
    <cellStyle name="Total 2 3 2 2 2 4" xfId="6341"/>
    <cellStyle name="Total 2 3 2 2 3" xfId="6342"/>
    <cellStyle name="Total 2 3 2 2 3 2" xfId="6343"/>
    <cellStyle name="Total 2 3 2 2 3 2 2" xfId="6344"/>
    <cellStyle name="Total 2 3 2 2 3 3" xfId="6345"/>
    <cellStyle name="Total 2 3 2 2 3 4" xfId="6346"/>
    <cellStyle name="Total 2 3 2 2 4" xfId="6347"/>
    <cellStyle name="Total 2 3 2 2 4 2" xfId="6348"/>
    <cellStyle name="Total 2 3 2 2 4 2 2" xfId="6349"/>
    <cellStyle name="Total 2 3 2 2 4 3" xfId="6350"/>
    <cellStyle name="Total 2 3 2 2 5" xfId="6351"/>
    <cellStyle name="Total 2 3 2 2 5 2" xfId="6352"/>
    <cellStyle name="Total 2 3 2 2 6" xfId="6353"/>
    <cellStyle name="Total 2 3 2 3" xfId="6354"/>
    <cellStyle name="Total 2 3 2 3 2" xfId="6355"/>
    <cellStyle name="Total 2 3 2 3 2 2" xfId="6356"/>
    <cellStyle name="Total 2 3 2 3 2 2 2" xfId="6357"/>
    <cellStyle name="Total 2 3 2 3 2 2 2 2" xfId="6358"/>
    <cellStyle name="Total 2 3 2 3 2 2 3" xfId="6359"/>
    <cellStyle name="Total 2 3 2 3 2 3" xfId="6360"/>
    <cellStyle name="Total 2 3 2 3 2 3 2" xfId="6361"/>
    <cellStyle name="Total 2 3 2 3 2 4" xfId="6362"/>
    <cellStyle name="Total 2 3 2 3 3" xfId="6363"/>
    <cellStyle name="Total 2 3 2 3 3 2" xfId="6364"/>
    <cellStyle name="Total 2 3 2 3 3 2 2" xfId="6365"/>
    <cellStyle name="Total 2 3 2 3 3 3" xfId="6366"/>
    <cellStyle name="Total 2 3 2 3 3 4" xfId="6367"/>
    <cellStyle name="Total 2 3 2 3 4" xfId="6368"/>
    <cellStyle name="Total 2 3 2 3 4 2" xfId="6369"/>
    <cellStyle name="Total 2 3 2 3 4 2 2" xfId="6370"/>
    <cellStyle name="Total 2 3 2 3 4 3" xfId="6371"/>
    <cellStyle name="Total 2 3 2 3 5" xfId="6372"/>
    <cellStyle name="Total 2 3 2 3 5 2" xfId="6373"/>
    <cellStyle name="Total 2 3 2 3 6" xfId="6374"/>
    <cellStyle name="Total 2 3 2 4" xfId="6375"/>
    <cellStyle name="Total 2 3 2 4 2" xfId="6376"/>
    <cellStyle name="Total 2 3 2 4 2 2" xfId="6377"/>
    <cellStyle name="Total 2 3 2 4 2 2 2" xfId="6378"/>
    <cellStyle name="Total 2 3 2 4 2 2 2 2" xfId="6379"/>
    <cellStyle name="Total 2 3 2 4 2 2 3" xfId="6380"/>
    <cellStyle name="Total 2 3 2 4 2 3" xfId="6381"/>
    <cellStyle name="Total 2 3 2 4 2 3 2" xfId="6382"/>
    <cellStyle name="Total 2 3 2 4 2 4" xfId="6383"/>
    <cellStyle name="Total 2 3 2 4 3" xfId="6384"/>
    <cellStyle name="Total 2 3 2 4 3 2" xfId="6385"/>
    <cellStyle name="Total 2 3 2 4 3 2 2" xfId="6386"/>
    <cellStyle name="Total 2 3 2 4 3 3" xfId="6387"/>
    <cellStyle name="Total 2 3 2 4 3 4" xfId="6388"/>
    <cellStyle name="Total 2 3 2 4 4" xfId="6389"/>
    <cellStyle name="Total 2 3 2 4 4 2" xfId="6390"/>
    <cellStyle name="Total 2 3 2 4 4 2 2" xfId="6391"/>
    <cellStyle name="Total 2 3 2 4 4 3" xfId="6392"/>
    <cellStyle name="Total 2 3 2 4 5" xfId="6393"/>
    <cellStyle name="Total 2 3 2 4 5 2" xfId="6394"/>
    <cellStyle name="Total 2 3 2 4 6" xfId="6395"/>
    <cellStyle name="Total 2 3 2 5" xfId="6396"/>
    <cellStyle name="Total 2 3 2 5 2" xfId="6397"/>
    <cellStyle name="Total 2 3 3" xfId="6398"/>
    <cellStyle name="Total 2 3 3 2" xfId="6399"/>
    <cellStyle name="Total 2 3 3 2 2" xfId="6400"/>
    <cellStyle name="Total 2 3 3 2 2 2" xfId="6401"/>
    <cellStyle name="Total 2 3 3 2 2 2 2" xfId="6402"/>
    <cellStyle name="Total 2 3 3 2 2 3" xfId="6403"/>
    <cellStyle name="Total 2 3 3 2 3" xfId="6404"/>
    <cellStyle name="Total 2 3 3 2 3 2" xfId="6405"/>
    <cellStyle name="Total 2 3 3 2 4" xfId="6406"/>
    <cellStyle name="Total 2 3 3 3" xfId="6407"/>
    <cellStyle name="Total 2 3 3 3 2" xfId="6408"/>
    <cellStyle name="Total 2 3 3 3 2 2" xfId="6409"/>
    <cellStyle name="Total 2 3 3 3 3" xfId="6410"/>
    <cellStyle name="Total 2 3 3 3 4" xfId="6411"/>
    <cellStyle name="Total 2 3 3 4" xfId="6412"/>
    <cellStyle name="Total 2 3 3 4 2" xfId="6413"/>
    <cellStyle name="Total 2 3 3 4 2 2" xfId="6414"/>
    <cellStyle name="Total 2 3 3 4 3" xfId="6415"/>
    <cellStyle name="Total 2 3 3 5" xfId="6416"/>
    <cellStyle name="Total 2 3 3 5 2" xfId="6417"/>
    <cellStyle name="Total 2 3 3 6" xfId="6418"/>
    <cellStyle name="Total 2 3 4" xfId="6419"/>
    <cellStyle name="Total 2 3 4 2" xfId="6420"/>
    <cellStyle name="Total 2 3 4 2 2" xfId="6421"/>
    <cellStyle name="Total 2 3 4 2 2 2" xfId="6422"/>
    <cellStyle name="Total 2 3 4 2 2 2 2" xfId="6423"/>
    <cellStyle name="Total 2 3 4 2 2 3" xfId="6424"/>
    <cellStyle name="Total 2 3 4 2 3" xfId="6425"/>
    <cellStyle name="Total 2 3 4 2 3 2" xfId="6426"/>
    <cellStyle name="Total 2 3 4 2 4" xfId="6427"/>
    <cellStyle name="Total 2 3 4 3" xfId="6428"/>
    <cellStyle name="Total 2 3 4 3 2" xfId="6429"/>
    <cellStyle name="Total 2 3 4 3 2 2" xfId="6430"/>
    <cellStyle name="Total 2 3 4 3 3" xfId="6431"/>
    <cellStyle name="Total 2 3 4 3 4" xfId="6432"/>
    <cellStyle name="Total 2 3 4 4" xfId="6433"/>
    <cellStyle name="Total 2 3 4 4 2" xfId="6434"/>
    <cellStyle name="Total 2 3 4 4 2 2" xfId="6435"/>
    <cellStyle name="Total 2 3 4 4 3" xfId="6436"/>
    <cellStyle name="Total 2 3 4 5" xfId="6437"/>
    <cellStyle name="Total 2 3 4 5 2" xfId="6438"/>
    <cellStyle name="Total 2 3 4 6" xfId="6439"/>
    <cellStyle name="Total 2 3 5" xfId="6440"/>
    <cellStyle name="Total 2 3 5 2" xfId="6441"/>
    <cellStyle name="Total 2 3 5 2 2" xfId="6442"/>
    <cellStyle name="Total 2 3 5 2 2 2" xfId="6443"/>
    <cellStyle name="Total 2 3 5 2 2 2 2" xfId="6444"/>
    <cellStyle name="Total 2 3 5 2 2 3" xfId="6445"/>
    <cellStyle name="Total 2 3 5 2 3" xfId="6446"/>
    <cellStyle name="Total 2 3 5 2 3 2" xfId="6447"/>
    <cellStyle name="Total 2 3 5 2 4" xfId="6448"/>
    <cellStyle name="Total 2 3 5 3" xfId="6449"/>
    <cellStyle name="Total 2 3 5 3 2" xfId="6450"/>
    <cellStyle name="Total 2 3 5 3 2 2" xfId="6451"/>
    <cellStyle name="Total 2 3 5 3 3" xfId="6452"/>
    <cellStyle name="Total 2 3 5 3 4" xfId="6453"/>
    <cellStyle name="Total 2 3 5 4" xfId="6454"/>
    <cellStyle name="Total 2 3 5 4 2" xfId="6455"/>
    <cellStyle name="Total 2 3 5 4 2 2" xfId="6456"/>
    <cellStyle name="Total 2 3 5 4 3" xfId="6457"/>
    <cellStyle name="Total 2 3 5 5" xfId="6458"/>
    <cellStyle name="Total 2 3 5 5 2" xfId="6459"/>
    <cellStyle name="Total 2 3 5 6" xfId="6460"/>
    <cellStyle name="Total 2 3 6" xfId="6461"/>
    <cellStyle name="Total 2 3 6 2" xfId="6462"/>
    <cellStyle name="Total 2 4" xfId="6463"/>
    <cellStyle name="Total 2 4 2" xfId="6464"/>
    <cellStyle name="Total 2 4 2 2" xfId="6465"/>
    <cellStyle name="Total 2 4 2 2 2" xfId="6466"/>
    <cellStyle name="Total 2 4 2 2 2 2" xfId="6467"/>
    <cellStyle name="Total 2 4 2 2 2 2 2" xfId="6468"/>
    <cellStyle name="Total 2 4 2 2 2 3" xfId="6469"/>
    <cellStyle name="Total 2 4 2 2 3" xfId="6470"/>
    <cellStyle name="Total 2 4 2 2 3 2" xfId="6471"/>
    <cellStyle name="Total 2 4 2 2 4" xfId="6472"/>
    <cellStyle name="Total 2 4 2 3" xfId="6473"/>
    <cellStyle name="Total 2 4 2 3 2" xfId="6474"/>
    <cellStyle name="Total 2 4 2 3 2 2" xfId="6475"/>
    <cellStyle name="Total 2 4 2 3 3" xfId="6476"/>
    <cellStyle name="Total 2 4 2 3 4" xfId="6477"/>
    <cellStyle name="Total 2 4 2 4" xfId="6478"/>
    <cellStyle name="Total 2 4 2 4 2" xfId="6479"/>
    <cellStyle name="Total 2 4 2 4 2 2" xfId="6480"/>
    <cellStyle name="Total 2 4 2 4 3" xfId="6481"/>
    <cellStyle name="Total 2 4 2 5" xfId="6482"/>
    <cellStyle name="Total 2 4 2 5 2" xfId="6483"/>
    <cellStyle name="Total 2 4 2 6" xfId="6484"/>
    <cellStyle name="Total 2 4 3" xfId="6485"/>
    <cellStyle name="Total 2 4 3 2" xfId="6486"/>
    <cellStyle name="Total 2 4 3 2 2" xfId="6487"/>
    <cellStyle name="Total 2 4 3 2 2 2" xfId="6488"/>
    <cellStyle name="Total 2 4 3 2 2 2 2" xfId="6489"/>
    <cellStyle name="Total 2 4 3 2 2 3" xfId="6490"/>
    <cellStyle name="Total 2 4 3 2 3" xfId="6491"/>
    <cellStyle name="Total 2 4 3 2 3 2" xfId="6492"/>
    <cellStyle name="Total 2 4 3 2 4" xfId="6493"/>
    <cellStyle name="Total 2 4 3 3" xfId="6494"/>
    <cellStyle name="Total 2 4 3 3 2" xfId="6495"/>
    <cellStyle name="Total 2 4 3 3 2 2" xfId="6496"/>
    <cellStyle name="Total 2 4 3 3 3" xfId="6497"/>
    <cellStyle name="Total 2 4 3 3 4" xfId="6498"/>
    <cellStyle name="Total 2 4 3 4" xfId="6499"/>
    <cellStyle name="Total 2 4 3 4 2" xfId="6500"/>
    <cellStyle name="Total 2 4 3 4 2 2" xfId="6501"/>
    <cellStyle name="Total 2 4 3 4 3" xfId="6502"/>
    <cellStyle name="Total 2 4 3 5" xfId="6503"/>
    <cellStyle name="Total 2 4 3 5 2" xfId="6504"/>
    <cellStyle name="Total 2 4 3 6" xfId="6505"/>
    <cellStyle name="Total 2 4 4" xfId="6506"/>
    <cellStyle name="Total 2 4 4 2" xfId="6507"/>
    <cellStyle name="Total 2 4 4 2 2" xfId="6508"/>
    <cellStyle name="Total 2 4 4 2 2 2" xfId="6509"/>
    <cellStyle name="Total 2 4 4 2 2 2 2" xfId="6510"/>
    <cellStyle name="Total 2 4 4 2 2 3" xfId="6511"/>
    <cellStyle name="Total 2 4 4 2 3" xfId="6512"/>
    <cellStyle name="Total 2 4 4 2 3 2" xfId="6513"/>
    <cellStyle name="Total 2 4 4 2 4" xfId="6514"/>
    <cellStyle name="Total 2 4 4 3" xfId="6515"/>
    <cellStyle name="Total 2 4 4 3 2" xfId="6516"/>
    <cellStyle name="Total 2 4 4 3 2 2" xfId="6517"/>
    <cellStyle name="Total 2 4 4 3 3" xfId="6518"/>
    <cellStyle name="Total 2 4 4 3 4" xfId="6519"/>
    <cellStyle name="Total 2 4 4 4" xfId="6520"/>
    <cellStyle name="Total 2 4 4 4 2" xfId="6521"/>
    <cellStyle name="Total 2 4 4 4 2 2" xfId="6522"/>
    <cellStyle name="Total 2 4 4 4 3" xfId="6523"/>
    <cellStyle name="Total 2 4 4 5" xfId="6524"/>
    <cellStyle name="Total 2 4 4 5 2" xfId="6525"/>
    <cellStyle name="Total 2 4 4 6" xfId="6526"/>
    <cellStyle name="Total 2 4 5" xfId="6527"/>
    <cellStyle name="Total 2 4 5 2" xfId="6528"/>
    <cellStyle name="Total 2 5" xfId="6529"/>
    <cellStyle name="Total 2 5 2" xfId="6530"/>
    <cellStyle name="Total 2 5 2 2" xfId="6531"/>
    <cellStyle name="Total 2 5 2 2 2" xfId="6532"/>
    <cellStyle name="Total 2 5 2 2 2 2" xfId="6533"/>
    <cellStyle name="Total 2 5 2 2 2 2 2" xfId="6534"/>
    <cellStyle name="Total 2 5 2 2 2 3" xfId="6535"/>
    <cellStyle name="Total 2 5 2 2 3" xfId="6536"/>
    <cellStyle name="Total 2 5 2 2 3 2" xfId="6537"/>
    <cellStyle name="Total 2 5 2 2 4" xfId="6538"/>
    <cellStyle name="Total 2 5 2 3" xfId="6539"/>
    <cellStyle name="Total 2 5 2 3 2" xfId="6540"/>
    <cellStyle name="Total 2 5 2 3 2 2" xfId="6541"/>
    <cellStyle name="Total 2 5 2 3 3" xfId="6542"/>
    <cellStyle name="Total 2 5 2 3 4" xfId="6543"/>
    <cellStyle name="Total 2 5 2 4" xfId="6544"/>
    <cellStyle name="Total 2 5 2 4 2" xfId="6545"/>
    <cellStyle name="Total 2 5 2 4 2 2" xfId="6546"/>
    <cellStyle name="Total 2 5 2 4 3" xfId="6547"/>
    <cellStyle name="Total 2 5 2 5" xfId="6548"/>
    <cellStyle name="Total 2 5 2 5 2" xfId="6549"/>
    <cellStyle name="Total 2 5 2 6" xfId="6550"/>
    <cellStyle name="Total 2 5 3" xfId="6551"/>
    <cellStyle name="Total 2 5 3 2" xfId="6552"/>
    <cellStyle name="Total 2 5 3 2 2" xfId="6553"/>
    <cellStyle name="Total 2 5 3 2 2 2" xfId="6554"/>
    <cellStyle name="Total 2 5 3 2 2 2 2" xfId="6555"/>
    <cellStyle name="Total 2 5 3 2 2 3" xfId="6556"/>
    <cellStyle name="Total 2 5 3 2 3" xfId="6557"/>
    <cellStyle name="Total 2 5 3 2 3 2" xfId="6558"/>
    <cellStyle name="Total 2 5 3 2 4" xfId="6559"/>
    <cellStyle name="Total 2 5 3 3" xfId="6560"/>
    <cellStyle name="Total 2 5 3 3 2" xfId="6561"/>
    <cellStyle name="Total 2 5 3 3 2 2" xfId="6562"/>
    <cellStyle name="Total 2 5 3 3 3" xfId="6563"/>
    <cellStyle name="Total 2 5 3 3 4" xfId="6564"/>
    <cellStyle name="Total 2 5 3 4" xfId="6565"/>
    <cellStyle name="Total 2 5 3 4 2" xfId="6566"/>
    <cellStyle name="Total 2 5 3 4 2 2" xfId="6567"/>
    <cellStyle name="Total 2 5 3 4 3" xfId="6568"/>
    <cellStyle name="Total 2 5 3 5" xfId="6569"/>
    <cellStyle name="Total 2 5 3 5 2" xfId="6570"/>
    <cellStyle name="Total 2 5 3 6" xfId="6571"/>
    <cellStyle name="Total 2 5 4" xfId="6572"/>
    <cellStyle name="Total 2 5 4 2" xfId="6573"/>
    <cellStyle name="Total 2 5 4 2 2" xfId="6574"/>
    <cellStyle name="Total 2 5 4 2 2 2" xfId="6575"/>
    <cellStyle name="Total 2 5 4 2 3" xfId="6576"/>
    <cellStyle name="Total 2 5 4 3" xfId="6577"/>
    <cellStyle name="Total 2 5 4 3 2" xfId="6578"/>
    <cellStyle name="Total 2 5 4 4" xfId="6579"/>
    <cellStyle name="Total 2 5 5" xfId="6580"/>
    <cellStyle name="Total 2 5 5 2" xfId="6581"/>
    <cellStyle name="Total 2 5 5 2 2" xfId="6582"/>
    <cellStyle name="Total 2 5 5 3" xfId="6583"/>
    <cellStyle name="Total 2 5 5 4" xfId="6584"/>
    <cellStyle name="Total 2 5 6" xfId="6585"/>
    <cellStyle name="Total 2 5 6 2" xfId="6586"/>
    <cellStyle name="Total 2 5 6 2 2" xfId="6587"/>
    <cellStyle name="Total 2 5 6 3" xfId="6588"/>
    <cellStyle name="Total 2 5 7" xfId="6589"/>
    <cellStyle name="Total 2 5 7 2" xfId="6590"/>
    <cellStyle name="Total 2 5 8" xfId="6591"/>
    <cellStyle name="Total 2 6" xfId="6592"/>
    <cellStyle name="Total 2 6 2" xfId="6593"/>
    <cellStyle name="Total 2 6 2 2" xfId="6594"/>
    <cellStyle name="Total 2 6 2 2 2" xfId="6595"/>
    <cellStyle name="Total 2 6 2 2 2 2" xfId="6596"/>
    <cellStyle name="Total 2 6 2 2 3" xfId="6597"/>
    <cellStyle name="Total 2 6 2 3" xfId="6598"/>
    <cellStyle name="Total 2 6 2 3 2" xfId="6599"/>
    <cellStyle name="Total 2 6 2 4" xfId="6600"/>
    <cellStyle name="Total 2 6 3" xfId="6601"/>
    <cellStyle name="Total 2 6 3 2" xfId="6602"/>
    <cellStyle name="Total 2 6 3 2 2" xfId="6603"/>
    <cellStyle name="Total 2 6 3 3" xfId="6604"/>
    <cellStyle name="Total 2 6 3 4" xfId="6605"/>
    <cellStyle name="Total 2 6 4" xfId="6606"/>
    <cellStyle name="Total 2 6 4 2" xfId="6607"/>
    <cellStyle name="Total 2 6 4 2 2" xfId="6608"/>
    <cellStyle name="Total 2 6 4 3" xfId="6609"/>
    <cellStyle name="Total 2 6 5" xfId="6610"/>
    <cellStyle name="Total 2 6 5 2" xfId="6611"/>
    <cellStyle name="Total 2 6 6" xfId="6612"/>
    <cellStyle name="Total 3" xfId="6613"/>
    <cellStyle name="Total 3 2" xfId="6614"/>
    <cellStyle name="Total 3 2 2" xfId="6615"/>
    <cellStyle name="Total 3 2 2 2" xfId="6616"/>
    <cellStyle name="Total 3 2 2 2 2" xfId="6617"/>
    <cellStyle name="Total 3 2 2 2 2 2" xfId="6618"/>
    <cellStyle name="Total 3 2 2 2 2 2 2" xfId="6619"/>
    <cellStyle name="Total 3 2 2 2 2 2 2 2" xfId="6620"/>
    <cellStyle name="Total 3 2 2 2 2 2 3" xfId="6621"/>
    <cellStyle name="Total 3 2 2 2 2 3" xfId="6622"/>
    <cellStyle name="Total 3 2 2 2 2 3 2" xfId="6623"/>
    <cellStyle name="Total 3 2 2 2 2 4" xfId="6624"/>
    <cellStyle name="Total 3 2 2 2 3" xfId="6625"/>
    <cellStyle name="Total 3 2 2 2 3 2" xfId="6626"/>
    <cellStyle name="Total 3 2 2 2 3 2 2" xfId="6627"/>
    <cellStyle name="Total 3 2 2 2 3 3" xfId="6628"/>
    <cellStyle name="Total 3 2 2 2 3 4" xfId="6629"/>
    <cellStyle name="Total 3 2 2 2 4" xfId="6630"/>
    <cellStyle name="Total 3 2 2 2 4 2" xfId="6631"/>
    <cellStyle name="Total 3 2 2 2 4 2 2" xfId="6632"/>
    <cellStyle name="Total 3 2 2 2 4 3" xfId="6633"/>
    <cellStyle name="Total 3 2 2 2 5" xfId="6634"/>
    <cellStyle name="Total 3 2 2 2 5 2" xfId="6635"/>
    <cellStyle name="Total 3 2 2 2 6" xfId="6636"/>
    <cellStyle name="Total 3 2 2 3" xfId="6637"/>
    <cellStyle name="Total 3 2 2 3 2" xfId="6638"/>
    <cellStyle name="Total 3 2 2 3 2 2" xfId="6639"/>
    <cellStyle name="Total 3 2 2 3 2 2 2" xfId="6640"/>
    <cellStyle name="Total 3 2 2 3 2 2 2 2" xfId="6641"/>
    <cellStyle name="Total 3 2 2 3 2 2 3" xfId="6642"/>
    <cellStyle name="Total 3 2 2 3 2 3" xfId="6643"/>
    <cellStyle name="Total 3 2 2 3 2 3 2" xfId="6644"/>
    <cellStyle name="Total 3 2 2 3 2 4" xfId="6645"/>
    <cellStyle name="Total 3 2 2 3 3" xfId="6646"/>
    <cellStyle name="Total 3 2 2 3 3 2" xfId="6647"/>
    <cellStyle name="Total 3 2 2 3 3 2 2" xfId="6648"/>
    <cellStyle name="Total 3 2 2 3 3 3" xfId="6649"/>
    <cellStyle name="Total 3 2 2 3 3 4" xfId="6650"/>
    <cellStyle name="Total 3 2 2 3 4" xfId="6651"/>
    <cellStyle name="Total 3 2 2 3 4 2" xfId="6652"/>
    <cellStyle name="Total 3 2 2 3 4 2 2" xfId="6653"/>
    <cellStyle name="Total 3 2 2 3 4 3" xfId="6654"/>
    <cellStyle name="Total 3 2 2 3 5" xfId="6655"/>
    <cellStyle name="Total 3 2 2 3 5 2" xfId="6656"/>
    <cellStyle name="Total 3 2 2 3 6" xfId="6657"/>
    <cellStyle name="Total 3 2 2 4" xfId="6658"/>
    <cellStyle name="Total 3 2 2 4 2" xfId="6659"/>
    <cellStyle name="Total 3 2 2 4 2 2" xfId="6660"/>
    <cellStyle name="Total 3 2 2 4 2 2 2" xfId="6661"/>
    <cellStyle name="Total 3 2 2 4 2 2 2 2" xfId="6662"/>
    <cellStyle name="Total 3 2 2 4 2 2 3" xfId="6663"/>
    <cellStyle name="Total 3 2 2 4 2 3" xfId="6664"/>
    <cellStyle name="Total 3 2 2 4 2 3 2" xfId="6665"/>
    <cellStyle name="Total 3 2 2 4 2 4" xfId="6666"/>
    <cellStyle name="Total 3 2 2 4 3" xfId="6667"/>
    <cellStyle name="Total 3 2 2 4 3 2" xfId="6668"/>
    <cellStyle name="Total 3 2 2 4 3 2 2" xfId="6669"/>
    <cellStyle name="Total 3 2 2 4 3 3" xfId="6670"/>
    <cellStyle name="Total 3 2 2 4 3 4" xfId="6671"/>
    <cellStyle name="Total 3 2 2 4 4" xfId="6672"/>
    <cellStyle name="Total 3 2 2 4 4 2" xfId="6673"/>
    <cellStyle name="Total 3 2 2 4 4 2 2" xfId="6674"/>
    <cellStyle name="Total 3 2 2 4 4 3" xfId="6675"/>
    <cellStyle name="Total 3 2 2 4 5" xfId="6676"/>
    <cellStyle name="Total 3 2 2 4 5 2" xfId="6677"/>
    <cellStyle name="Total 3 2 2 4 6" xfId="6678"/>
    <cellStyle name="Total 3 2 2 5" xfId="6679"/>
    <cellStyle name="Total 3 2 2 5 2" xfId="6680"/>
    <cellStyle name="Total 3 2 3" xfId="6681"/>
    <cellStyle name="Total 3 2 3 2" xfId="6682"/>
    <cellStyle name="Total 3 2 3 2 2" xfId="6683"/>
    <cellStyle name="Total 3 2 3 2 2 2" xfId="6684"/>
    <cellStyle name="Total 3 2 3 2 2 2 2" xfId="6685"/>
    <cellStyle name="Total 3 2 3 2 2 3" xfId="6686"/>
    <cellStyle name="Total 3 2 3 2 3" xfId="6687"/>
    <cellStyle name="Total 3 2 3 2 3 2" xfId="6688"/>
    <cellStyle name="Total 3 2 3 2 4" xfId="6689"/>
    <cellStyle name="Total 3 2 3 3" xfId="6690"/>
    <cellStyle name="Total 3 2 3 3 2" xfId="6691"/>
    <cellStyle name="Total 3 2 3 3 2 2" xfId="6692"/>
    <cellStyle name="Total 3 2 3 3 3" xfId="6693"/>
    <cellStyle name="Total 3 2 3 3 4" xfId="6694"/>
    <cellStyle name="Total 3 2 3 4" xfId="6695"/>
    <cellStyle name="Total 3 2 3 4 2" xfId="6696"/>
    <cellStyle name="Total 3 2 3 4 2 2" xfId="6697"/>
    <cellStyle name="Total 3 2 3 4 3" xfId="6698"/>
    <cellStyle name="Total 3 2 3 5" xfId="6699"/>
    <cellStyle name="Total 3 2 3 5 2" xfId="6700"/>
    <cellStyle name="Total 3 2 3 6" xfId="6701"/>
    <cellStyle name="Total 3 2 4" xfId="6702"/>
    <cellStyle name="Total 3 2 4 2" xfId="6703"/>
    <cellStyle name="Total 3 2 4 2 2" xfId="6704"/>
    <cellStyle name="Total 3 2 4 2 2 2" xfId="6705"/>
    <cellStyle name="Total 3 2 4 2 2 2 2" xfId="6706"/>
    <cellStyle name="Total 3 2 4 2 2 3" xfId="6707"/>
    <cellStyle name="Total 3 2 4 2 3" xfId="6708"/>
    <cellStyle name="Total 3 2 4 2 3 2" xfId="6709"/>
    <cellStyle name="Total 3 2 4 2 4" xfId="6710"/>
    <cellStyle name="Total 3 2 4 3" xfId="6711"/>
    <cellStyle name="Total 3 2 4 3 2" xfId="6712"/>
    <cellStyle name="Total 3 2 4 3 2 2" xfId="6713"/>
    <cellStyle name="Total 3 2 4 3 3" xfId="6714"/>
    <cellStyle name="Total 3 2 4 3 4" xfId="6715"/>
    <cellStyle name="Total 3 2 4 4" xfId="6716"/>
    <cellStyle name="Total 3 2 4 4 2" xfId="6717"/>
    <cellStyle name="Total 3 2 4 4 2 2" xfId="6718"/>
    <cellStyle name="Total 3 2 4 4 3" xfId="6719"/>
    <cellStyle name="Total 3 2 4 5" xfId="6720"/>
    <cellStyle name="Total 3 2 4 5 2" xfId="6721"/>
    <cellStyle name="Total 3 2 4 6" xfId="6722"/>
    <cellStyle name="Total 3 2 5" xfId="6723"/>
    <cellStyle name="Total 3 2 5 2" xfId="6724"/>
    <cellStyle name="Total 3 2 5 2 2" xfId="6725"/>
    <cellStyle name="Total 3 2 5 2 2 2" xfId="6726"/>
    <cellStyle name="Total 3 2 5 2 2 2 2" xfId="6727"/>
    <cellStyle name="Total 3 2 5 2 2 3" xfId="6728"/>
    <cellStyle name="Total 3 2 5 2 3" xfId="6729"/>
    <cellStyle name="Total 3 2 5 2 3 2" xfId="6730"/>
    <cellStyle name="Total 3 2 5 2 4" xfId="6731"/>
    <cellStyle name="Total 3 2 5 3" xfId="6732"/>
    <cellStyle name="Total 3 2 5 3 2" xfId="6733"/>
    <cellStyle name="Total 3 2 5 3 2 2" xfId="6734"/>
    <cellStyle name="Total 3 2 5 3 3" xfId="6735"/>
    <cellStyle name="Total 3 2 5 3 4" xfId="6736"/>
    <cellStyle name="Total 3 2 5 4" xfId="6737"/>
    <cellStyle name="Total 3 2 5 4 2" xfId="6738"/>
    <cellStyle name="Total 3 2 5 4 2 2" xfId="6739"/>
    <cellStyle name="Total 3 2 5 4 3" xfId="6740"/>
    <cellStyle name="Total 3 2 5 5" xfId="6741"/>
    <cellStyle name="Total 3 2 5 5 2" xfId="6742"/>
    <cellStyle name="Total 3 2 5 6" xfId="6743"/>
    <cellStyle name="Total 3 2 6" xfId="6744"/>
    <cellStyle name="Total 3 2 6 2" xfId="6745"/>
    <cellStyle name="Total 3 3" xfId="6746"/>
    <cellStyle name="Total 3 3 2" xfId="6747"/>
    <cellStyle name="Total 3 3 2 2" xfId="6748"/>
    <cellStyle name="Total 3 3 2 2 2" xfId="6749"/>
    <cellStyle name="Total 3 3 2 2 2 2" xfId="6750"/>
    <cellStyle name="Total 3 3 2 2 2 2 2" xfId="6751"/>
    <cellStyle name="Total 3 3 2 2 2 3" xfId="6752"/>
    <cellStyle name="Total 3 3 2 2 3" xfId="6753"/>
    <cellStyle name="Total 3 3 2 2 3 2" xfId="6754"/>
    <cellStyle name="Total 3 3 2 2 4" xfId="6755"/>
    <cellStyle name="Total 3 3 2 3" xfId="6756"/>
    <cellStyle name="Total 3 3 2 3 2" xfId="6757"/>
    <cellStyle name="Total 3 3 2 3 2 2" xfId="6758"/>
    <cellStyle name="Total 3 3 2 3 3" xfId="6759"/>
    <cellStyle name="Total 3 3 2 3 4" xfId="6760"/>
    <cellStyle name="Total 3 3 2 4" xfId="6761"/>
    <cellStyle name="Total 3 3 2 4 2" xfId="6762"/>
    <cellStyle name="Total 3 3 2 4 2 2" xfId="6763"/>
    <cellStyle name="Total 3 3 2 4 3" xfId="6764"/>
    <cellStyle name="Total 3 3 2 5" xfId="6765"/>
    <cellStyle name="Total 3 3 2 5 2" xfId="6766"/>
    <cellStyle name="Total 3 3 2 6" xfId="6767"/>
    <cellStyle name="Total 3 3 3" xfId="6768"/>
    <cellStyle name="Total 3 3 3 2" xfId="6769"/>
    <cellStyle name="Total 3 3 3 2 2" xfId="6770"/>
    <cellStyle name="Total 3 3 3 2 2 2" xfId="6771"/>
    <cellStyle name="Total 3 3 3 2 2 2 2" xfId="6772"/>
    <cellStyle name="Total 3 3 3 2 2 3" xfId="6773"/>
    <cellStyle name="Total 3 3 3 2 3" xfId="6774"/>
    <cellStyle name="Total 3 3 3 2 3 2" xfId="6775"/>
    <cellStyle name="Total 3 3 3 2 4" xfId="6776"/>
    <cellStyle name="Total 3 3 3 3" xfId="6777"/>
    <cellStyle name="Total 3 3 3 3 2" xfId="6778"/>
    <cellStyle name="Total 3 3 3 3 2 2" xfId="6779"/>
    <cellStyle name="Total 3 3 3 3 3" xfId="6780"/>
    <cellStyle name="Total 3 3 3 3 4" xfId="6781"/>
    <cellStyle name="Total 3 3 3 4" xfId="6782"/>
    <cellStyle name="Total 3 3 3 4 2" xfId="6783"/>
    <cellStyle name="Total 3 3 3 4 2 2" xfId="6784"/>
    <cellStyle name="Total 3 3 3 4 3" xfId="6785"/>
    <cellStyle name="Total 3 3 3 5" xfId="6786"/>
    <cellStyle name="Total 3 3 3 5 2" xfId="6787"/>
    <cellStyle name="Total 3 3 3 6" xfId="6788"/>
    <cellStyle name="Total 3 3 4" xfId="6789"/>
    <cellStyle name="Total 3 3 4 2" xfId="6790"/>
    <cellStyle name="Total 3 3 4 2 2" xfId="6791"/>
    <cellStyle name="Total 3 3 4 2 2 2" xfId="6792"/>
    <cellStyle name="Total 3 3 4 2 2 2 2" xfId="6793"/>
    <cellStyle name="Total 3 3 4 2 2 3" xfId="6794"/>
    <cellStyle name="Total 3 3 4 2 3" xfId="6795"/>
    <cellStyle name="Total 3 3 4 2 3 2" xfId="6796"/>
    <cellStyle name="Total 3 3 4 2 4" xfId="6797"/>
    <cellStyle name="Total 3 3 4 3" xfId="6798"/>
    <cellStyle name="Total 3 3 4 3 2" xfId="6799"/>
    <cellStyle name="Total 3 3 4 3 2 2" xfId="6800"/>
    <cellStyle name="Total 3 3 4 3 3" xfId="6801"/>
    <cellStyle name="Total 3 3 4 3 4" xfId="6802"/>
    <cellStyle name="Total 3 3 4 4" xfId="6803"/>
    <cellStyle name="Total 3 3 4 4 2" xfId="6804"/>
    <cellStyle name="Total 3 3 4 4 2 2" xfId="6805"/>
    <cellStyle name="Total 3 3 4 4 3" xfId="6806"/>
    <cellStyle name="Total 3 3 4 5" xfId="6807"/>
    <cellStyle name="Total 3 3 4 5 2" xfId="6808"/>
    <cellStyle name="Total 3 3 4 6" xfId="6809"/>
    <cellStyle name="Total 3 3 5" xfId="6810"/>
    <cellStyle name="Total 3 3 5 2" xfId="6811"/>
    <cellStyle name="Total 3 4" xfId="6812"/>
    <cellStyle name="Total 3 4 2" xfId="6813"/>
    <cellStyle name="Total 3 4 2 2" xfId="6814"/>
    <cellStyle name="Total 3 4 2 2 2" xfId="6815"/>
    <cellStyle name="Total 3 4 2 2 2 2" xfId="6816"/>
    <cellStyle name="Total 3 4 2 2 2 2 2" xfId="6817"/>
    <cellStyle name="Total 3 4 2 2 2 3" xfId="6818"/>
    <cellStyle name="Total 3 4 2 2 3" xfId="6819"/>
    <cellStyle name="Total 3 4 2 2 3 2" xfId="6820"/>
    <cellStyle name="Total 3 4 2 2 4" xfId="6821"/>
    <cellStyle name="Total 3 4 2 3" xfId="6822"/>
    <cellStyle name="Total 3 4 2 3 2" xfId="6823"/>
    <cellStyle name="Total 3 4 2 3 2 2" xfId="6824"/>
    <cellStyle name="Total 3 4 2 3 3" xfId="6825"/>
    <cellStyle name="Total 3 4 2 3 4" xfId="6826"/>
    <cellStyle name="Total 3 4 2 4" xfId="6827"/>
    <cellStyle name="Total 3 4 2 4 2" xfId="6828"/>
    <cellStyle name="Total 3 4 2 4 2 2" xfId="6829"/>
    <cellStyle name="Total 3 4 2 4 3" xfId="6830"/>
    <cellStyle name="Total 3 4 2 5" xfId="6831"/>
    <cellStyle name="Total 3 4 2 5 2" xfId="6832"/>
    <cellStyle name="Total 3 4 2 6" xfId="6833"/>
    <cellStyle name="Total 3 4 3" xfId="6834"/>
    <cellStyle name="Total 3 4 3 2" xfId="6835"/>
    <cellStyle name="Total 3 4 3 2 2" xfId="6836"/>
    <cellStyle name="Total 3 4 3 2 2 2" xfId="6837"/>
    <cellStyle name="Total 3 4 3 2 2 2 2" xfId="6838"/>
    <cellStyle name="Total 3 4 3 2 2 3" xfId="6839"/>
    <cellStyle name="Total 3 4 3 2 3" xfId="6840"/>
    <cellStyle name="Total 3 4 3 2 3 2" xfId="6841"/>
    <cellStyle name="Total 3 4 3 2 4" xfId="6842"/>
    <cellStyle name="Total 3 4 3 3" xfId="6843"/>
    <cellStyle name="Total 3 4 3 3 2" xfId="6844"/>
    <cellStyle name="Total 3 4 3 3 2 2" xfId="6845"/>
    <cellStyle name="Total 3 4 3 3 3" xfId="6846"/>
    <cellStyle name="Total 3 4 3 3 4" xfId="6847"/>
    <cellStyle name="Total 3 4 3 4" xfId="6848"/>
    <cellStyle name="Total 3 4 3 4 2" xfId="6849"/>
    <cellStyle name="Total 3 4 3 4 2 2" xfId="6850"/>
    <cellStyle name="Total 3 4 3 4 3" xfId="6851"/>
    <cellStyle name="Total 3 4 3 5" xfId="6852"/>
    <cellStyle name="Total 3 4 3 5 2" xfId="6853"/>
    <cellStyle name="Total 3 4 3 6" xfId="6854"/>
    <cellStyle name="Total 3 4 4" xfId="6855"/>
    <cellStyle name="Total 3 4 4 2" xfId="6856"/>
    <cellStyle name="Total 3 4 4 2 2" xfId="6857"/>
    <cellStyle name="Total 3 4 4 2 2 2" xfId="6858"/>
    <cellStyle name="Total 3 4 4 2 3" xfId="6859"/>
    <cellStyle name="Total 3 4 4 3" xfId="6860"/>
    <cellStyle name="Total 3 4 4 3 2" xfId="6861"/>
    <cellStyle name="Total 3 4 4 4" xfId="6862"/>
    <cellStyle name="Total 3 4 5" xfId="6863"/>
    <cellStyle name="Total 3 4 5 2" xfId="6864"/>
    <cellStyle name="Total 3 4 5 2 2" xfId="6865"/>
    <cellStyle name="Total 3 4 5 3" xfId="6866"/>
    <cellStyle name="Total 3 4 5 4" xfId="6867"/>
    <cellStyle name="Total 3 4 6" xfId="6868"/>
    <cellStyle name="Total 3 4 6 2" xfId="6869"/>
    <cellStyle name="Total 3 4 6 2 2" xfId="6870"/>
    <cellStyle name="Total 3 4 6 3" xfId="6871"/>
    <cellStyle name="Total 3 4 7" xfId="6872"/>
    <cellStyle name="Total 3 4 7 2" xfId="6873"/>
    <cellStyle name="Total 3 4 8" xfId="6874"/>
    <cellStyle name="Total 3 5" xfId="6875"/>
    <cellStyle name="Total 3 5 2" xfId="6876"/>
    <cellStyle name="Total 3 5 2 2" xfId="6877"/>
    <cellStyle name="Total 3 5 2 2 2" xfId="6878"/>
    <cellStyle name="Total 3 5 2 2 2 2" xfId="6879"/>
    <cellStyle name="Total 3 5 2 2 3" xfId="6880"/>
    <cellStyle name="Total 3 5 2 3" xfId="6881"/>
    <cellStyle name="Total 3 5 2 3 2" xfId="6882"/>
    <cellStyle name="Total 3 5 2 4" xfId="6883"/>
    <cellStyle name="Total 3 5 3" xfId="6884"/>
    <cellStyle name="Total 3 5 3 2" xfId="6885"/>
    <cellStyle name="Total 3 5 3 2 2" xfId="6886"/>
    <cellStyle name="Total 3 5 3 3" xfId="6887"/>
    <cellStyle name="Total 3 5 3 4" xfId="6888"/>
    <cellStyle name="Total 3 5 4" xfId="6889"/>
    <cellStyle name="Total 3 5 4 2" xfId="6890"/>
    <cellStyle name="Total 3 5 4 2 2" xfId="6891"/>
    <cellStyle name="Total 3 5 4 3" xfId="6892"/>
    <cellStyle name="Total 3 5 5" xfId="6893"/>
    <cellStyle name="Total 3 5 5 2" xfId="6894"/>
    <cellStyle name="Total 3 5 6" xfId="6895"/>
    <cellStyle name="Total 4" xfId="6896"/>
    <cellStyle name="Total 4 2" xfId="6897"/>
    <cellStyle name="Total 4 2 2" xfId="6898"/>
    <cellStyle name="Total 4 2 2 2" xfId="6899"/>
    <cellStyle name="Total 4 2 2 2 2" xfId="6900"/>
    <cellStyle name="Total 4 2 2 2 2 2" xfId="6901"/>
    <cellStyle name="Total 4 2 2 2 2 2 2" xfId="6902"/>
    <cellStyle name="Total 4 2 2 2 2 3" xfId="6903"/>
    <cellStyle name="Total 4 2 2 2 3" xfId="6904"/>
    <cellStyle name="Total 4 2 2 2 3 2" xfId="6905"/>
    <cellStyle name="Total 4 2 2 2 4" xfId="6906"/>
    <cellStyle name="Total 4 2 2 3" xfId="6907"/>
    <cellStyle name="Total 4 2 2 3 2" xfId="6908"/>
    <cellStyle name="Total 4 2 2 3 2 2" xfId="6909"/>
    <cellStyle name="Total 4 2 2 3 3" xfId="6910"/>
    <cellStyle name="Total 4 2 2 3 4" xfId="6911"/>
    <cellStyle name="Total 4 2 2 4" xfId="6912"/>
    <cellStyle name="Total 4 2 2 4 2" xfId="6913"/>
    <cellStyle name="Total 4 2 2 4 2 2" xfId="6914"/>
    <cellStyle name="Total 4 2 2 4 3" xfId="6915"/>
    <cellStyle name="Total 4 2 2 5" xfId="6916"/>
    <cellStyle name="Total 4 2 2 5 2" xfId="6917"/>
    <cellStyle name="Total 4 2 2 6" xfId="6918"/>
    <cellStyle name="Total 4 2 3" xfId="6919"/>
    <cellStyle name="Total 4 2 3 2" xfId="6920"/>
    <cellStyle name="Total 4 2 3 2 2" xfId="6921"/>
    <cellStyle name="Total 4 2 3 2 2 2" xfId="6922"/>
    <cellStyle name="Total 4 2 3 2 2 2 2" xfId="6923"/>
    <cellStyle name="Total 4 2 3 2 2 3" xfId="6924"/>
    <cellStyle name="Total 4 2 3 2 3" xfId="6925"/>
    <cellStyle name="Total 4 2 3 2 3 2" xfId="6926"/>
    <cellStyle name="Total 4 2 3 2 4" xfId="6927"/>
    <cellStyle name="Total 4 2 3 3" xfId="6928"/>
    <cellStyle name="Total 4 2 3 3 2" xfId="6929"/>
    <cellStyle name="Total 4 2 3 3 2 2" xfId="6930"/>
    <cellStyle name="Total 4 2 3 3 3" xfId="6931"/>
    <cellStyle name="Total 4 2 3 3 4" xfId="6932"/>
    <cellStyle name="Total 4 2 3 4" xfId="6933"/>
    <cellStyle name="Total 4 2 3 4 2" xfId="6934"/>
    <cellStyle name="Total 4 2 3 4 2 2" xfId="6935"/>
    <cellStyle name="Total 4 2 3 4 3" xfId="6936"/>
    <cellStyle name="Total 4 2 3 5" xfId="6937"/>
    <cellStyle name="Total 4 2 3 5 2" xfId="6938"/>
    <cellStyle name="Total 4 2 3 6" xfId="6939"/>
    <cellStyle name="Total 4 2 4" xfId="6940"/>
    <cellStyle name="Total 4 2 4 2" xfId="6941"/>
    <cellStyle name="Total 4 2 4 2 2" xfId="6942"/>
    <cellStyle name="Total 4 2 4 2 2 2" xfId="6943"/>
    <cellStyle name="Total 4 2 4 2 2 2 2" xfId="6944"/>
    <cellStyle name="Total 4 2 4 2 2 3" xfId="6945"/>
    <cellStyle name="Total 4 2 4 2 3" xfId="6946"/>
    <cellStyle name="Total 4 2 4 2 3 2" xfId="6947"/>
    <cellStyle name="Total 4 2 4 2 4" xfId="6948"/>
    <cellStyle name="Total 4 2 4 3" xfId="6949"/>
    <cellStyle name="Total 4 2 4 3 2" xfId="6950"/>
    <cellStyle name="Total 4 2 4 3 2 2" xfId="6951"/>
    <cellStyle name="Total 4 2 4 3 3" xfId="6952"/>
    <cellStyle name="Total 4 2 4 3 4" xfId="6953"/>
    <cellStyle name="Total 4 2 4 4" xfId="6954"/>
    <cellStyle name="Total 4 2 4 4 2" xfId="6955"/>
    <cellStyle name="Total 4 2 4 4 2 2" xfId="6956"/>
    <cellStyle name="Total 4 2 4 4 3" xfId="6957"/>
    <cellStyle name="Total 4 2 4 5" xfId="6958"/>
    <cellStyle name="Total 4 2 4 5 2" xfId="6959"/>
    <cellStyle name="Total 4 2 4 6" xfId="6960"/>
    <cellStyle name="Total 4 2 5" xfId="6961"/>
    <cellStyle name="Total 4 2 5 2" xfId="6962"/>
    <cellStyle name="Total 4 3" xfId="6963"/>
    <cellStyle name="Total 4 3 2" xfId="6964"/>
    <cellStyle name="Total 4 3 2 2" xfId="6965"/>
    <cellStyle name="Total 4 3 2 2 2" xfId="6966"/>
    <cellStyle name="Total 4 3 2 2 2 2" xfId="6967"/>
    <cellStyle name="Total 4 3 2 2 2 2 2" xfId="6968"/>
    <cellStyle name="Total 4 3 2 2 2 3" xfId="6969"/>
    <cellStyle name="Total 4 3 2 2 3" xfId="6970"/>
    <cellStyle name="Total 4 3 2 2 3 2" xfId="6971"/>
    <cellStyle name="Total 4 3 2 2 4" xfId="6972"/>
    <cellStyle name="Total 4 3 2 3" xfId="6973"/>
    <cellStyle name="Total 4 3 2 3 2" xfId="6974"/>
    <cellStyle name="Total 4 3 2 3 2 2" xfId="6975"/>
    <cellStyle name="Total 4 3 2 3 3" xfId="6976"/>
    <cellStyle name="Total 4 3 2 3 4" xfId="6977"/>
    <cellStyle name="Total 4 3 2 4" xfId="6978"/>
    <cellStyle name="Total 4 3 2 4 2" xfId="6979"/>
    <cellStyle name="Total 4 3 2 4 2 2" xfId="6980"/>
    <cellStyle name="Total 4 3 2 4 3" xfId="6981"/>
    <cellStyle name="Total 4 3 2 5" xfId="6982"/>
    <cellStyle name="Total 4 3 2 5 2" xfId="6983"/>
    <cellStyle name="Total 4 3 2 6" xfId="6984"/>
    <cellStyle name="Total 4 3 3" xfId="6985"/>
    <cellStyle name="Total 4 3 3 2" xfId="6986"/>
    <cellStyle name="Total 4 3 3 2 2" xfId="6987"/>
    <cellStyle name="Total 4 3 3 2 2 2" xfId="6988"/>
    <cellStyle name="Total 4 3 3 2 2 2 2" xfId="6989"/>
    <cellStyle name="Total 4 3 3 2 2 3" xfId="6990"/>
    <cellStyle name="Total 4 3 3 2 3" xfId="6991"/>
    <cellStyle name="Total 4 3 3 2 3 2" xfId="6992"/>
    <cellStyle name="Total 4 3 3 2 4" xfId="6993"/>
    <cellStyle name="Total 4 3 3 3" xfId="6994"/>
    <cellStyle name="Total 4 3 3 3 2" xfId="6995"/>
    <cellStyle name="Total 4 3 3 3 2 2" xfId="6996"/>
    <cellStyle name="Total 4 3 3 3 3" xfId="6997"/>
    <cellStyle name="Total 4 3 3 3 4" xfId="6998"/>
    <cellStyle name="Total 4 3 3 4" xfId="6999"/>
    <cellStyle name="Total 4 3 3 4 2" xfId="7000"/>
    <cellStyle name="Total 4 3 3 4 2 2" xfId="7001"/>
    <cellStyle name="Total 4 3 3 4 3" xfId="7002"/>
    <cellStyle name="Total 4 3 3 5" xfId="7003"/>
    <cellStyle name="Total 4 3 3 5 2" xfId="7004"/>
    <cellStyle name="Total 4 3 3 6" xfId="7005"/>
    <cellStyle name="Total 4 3 4" xfId="7006"/>
    <cellStyle name="Total 4 3 4 2" xfId="7007"/>
    <cellStyle name="Total 4 3 4 2 2" xfId="7008"/>
    <cellStyle name="Total 4 3 4 2 2 2" xfId="7009"/>
    <cellStyle name="Total 4 3 4 2 3" xfId="7010"/>
    <cellStyle name="Total 4 3 4 3" xfId="7011"/>
    <cellStyle name="Total 4 3 4 3 2" xfId="7012"/>
    <cellStyle name="Total 4 3 4 4" xfId="7013"/>
    <cellStyle name="Total 4 3 5" xfId="7014"/>
    <cellStyle name="Total 4 3 5 2" xfId="7015"/>
    <cellStyle name="Total 4 3 5 2 2" xfId="7016"/>
    <cellStyle name="Total 4 3 5 3" xfId="7017"/>
    <cellStyle name="Total 4 3 5 4" xfId="7018"/>
    <cellStyle name="Total 4 3 6" xfId="7019"/>
    <cellStyle name="Total 4 3 6 2" xfId="7020"/>
    <cellStyle name="Total 4 3 6 2 2" xfId="7021"/>
    <cellStyle name="Total 4 3 6 3" xfId="7022"/>
    <cellStyle name="Total 4 3 7" xfId="7023"/>
    <cellStyle name="Total 4 3 7 2" xfId="7024"/>
    <cellStyle name="Total 4 3 8" xfId="7025"/>
    <cellStyle name="Total 4 4" xfId="7026"/>
    <cellStyle name="Total 4 4 2" xfId="7027"/>
    <cellStyle name="Total 4 4 2 2" xfId="7028"/>
    <cellStyle name="Total 4 4 2 2 2" xfId="7029"/>
    <cellStyle name="Total 4 4 2 2 2 2" xfId="7030"/>
    <cellStyle name="Total 4 4 2 2 3" xfId="7031"/>
    <cellStyle name="Total 4 4 2 3" xfId="7032"/>
    <cellStyle name="Total 4 4 2 3 2" xfId="7033"/>
    <cellStyle name="Total 4 4 2 4" xfId="7034"/>
    <cellStyle name="Total 4 4 3" xfId="7035"/>
    <cellStyle name="Total 4 4 3 2" xfId="7036"/>
    <cellStyle name="Total 4 4 3 2 2" xfId="7037"/>
    <cellStyle name="Total 4 4 3 3" xfId="7038"/>
    <cellStyle name="Total 4 4 3 4" xfId="7039"/>
    <cellStyle name="Total 4 4 4" xfId="7040"/>
    <cellStyle name="Total 4 4 4 2" xfId="7041"/>
    <cellStyle name="Total 4 4 4 2 2" xfId="7042"/>
    <cellStyle name="Total 4 4 4 3" xfId="7043"/>
    <cellStyle name="Total 4 4 5" xfId="7044"/>
    <cellStyle name="Total 4 4 5 2" xfId="7045"/>
    <cellStyle name="Total 4 4 6" xfId="7046"/>
    <cellStyle name="Total 5" xfId="7047"/>
    <cellStyle name="Total 5 2" xfId="7048"/>
    <cellStyle name="Total 5 2 2" xfId="7049"/>
    <cellStyle name="Total 5 2 2 2" xfId="7050"/>
    <cellStyle name="Total 5 2 2 2 2" xfId="7051"/>
    <cellStyle name="Total 5 2 2 2 2 2" xfId="7052"/>
    <cellStyle name="Total 5 2 2 2 2 2 2" xfId="7053"/>
    <cellStyle name="Total 5 2 2 2 2 3" xfId="7054"/>
    <cellStyle name="Total 5 2 2 2 3" xfId="7055"/>
    <cellStyle name="Total 5 2 2 2 3 2" xfId="7056"/>
    <cellStyle name="Total 5 2 2 2 4" xfId="7057"/>
    <cellStyle name="Total 5 2 2 3" xfId="7058"/>
    <cellStyle name="Total 5 2 2 3 2" xfId="7059"/>
    <cellStyle name="Total 5 2 2 3 2 2" xfId="7060"/>
    <cellStyle name="Total 5 2 2 3 3" xfId="7061"/>
    <cellStyle name="Total 5 2 2 3 4" xfId="7062"/>
    <cellStyle name="Total 5 2 2 4" xfId="7063"/>
    <cellStyle name="Total 5 2 2 4 2" xfId="7064"/>
    <cellStyle name="Total 5 2 2 4 2 2" xfId="7065"/>
    <cellStyle name="Total 5 2 2 4 3" xfId="7066"/>
    <cellStyle name="Total 5 2 2 5" xfId="7067"/>
    <cellStyle name="Total 5 2 2 5 2" xfId="7068"/>
    <cellStyle name="Total 5 2 2 6" xfId="7069"/>
    <cellStyle name="Total 5 2 3" xfId="7070"/>
    <cellStyle name="Total 5 2 3 2" xfId="7071"/>
    <cellStyle name="Total 5 2 3 2 2" xfId="7072"/>
    <cellStyle name="Total 5 2 3 2 2 2" xfId="7073"/>
    <cellStyle name="Total 5 2 3 2 2 2 2" xfId="7074"/>
    <cellStyle name="Total 5 2 3 2 2 3" xfId="7075"/>
    <cellStyle name="Total 5 2 3 2 3" xfId="7076"/>
    <cellStyle name="Total 5 2 3 2 3 2" xfId="7077"/>
    <cellStyle name="Total 5 2 3 2 4" xfId="7078"/>
    <cellStyle name="Total 5 2 3 3" xfId="7079"/>
    <cellStyle name="Total 5 2 3 3 2" xfId="7080"/>
    <cellStyle name="Total 5 2 3 3 2 2" xfId="7081"/>
    <cellStyle name="Total 5 2 3 3 3" xfId="7082"/>
    <cellStyle name="Total 5 2 3 3 4" xfId="7083"/>
    <cellStyle name="Total 5 2 3 4" xfId="7084"/>
    <cellStyle name="Total 5 2 3 4 2" xfId="7085"/>
    <cellStyle name="Total 5 2 3 4 2 2" xfId="7086"/>
    <cellStyle name="Total 5 2 3 4 3" xfId="7087"/>
    <cellStyle name="Total 5 2 3 5" xfId="7088"/>
    <cellStyle name="Total 5 2 3 5 2" xfId="7089"/>
    <cellStyle name="Total 5 2 3 6" xfId="7090"/>
    <cellStyle name="Total 5 2 4" xfId="7091"/>
    <cellStyle name="Total 5 2 4 2" xfId="7092"/>
    <cellStyle name="Total 5 2 4 2 2" xfId="7093"/>
    <cellStyle name="Total 5 2 4 2 2 2" xfId="7094"/>
    <cellStyle name="Total 5 2 4 2 2 2 2" xfId="7095"/>
    <cellStyle name="Total 5 2 4 2 2 3" xfId="7096"/>
    <cellStyle name="Total 5 2 4 2 3" xfId="7097"/>
    <cellStyle name="Total 5 2 4 2 3 2" xfId="7098"/>
    <cellStyle name="Total 5 2 4 2 4" xfId="7099"/>
    <cellStyle name="Total 5 2 4 3" xfId="7100"/>
    <cellStyle name="Total 5 2 4 3 2" xfId="7101"/>
    <cellStyle name="Total 5 2 4 3 2 2" xfId="7102"/>
    <cellStyle name="Total 5 2 4 3 3" xfId="7103"/>
    <cellStyle name="Total 5 2 4 3 4" xfId="7104"/>
    <cellStyle name="Total 5 2 4 4" xfId="7105"/>
    <cellStyle name="Total 5 2 4 4 2" xfId="7106"/>
    <cellStyle name="Total 5 2 4 4 2 2" xfId="7107"/>
    <cellStyle name="Total 5 2 4 4 3" xfId="7108"/>
    <cellStyle name="Total 5 2 4 5" xfId="7109"/>
    <cellStyle name="Total 5 2 4 5 2" xfId="7110"/>
    <cellStyle name="Total 5 2 4 6" xfId="7111"/>
    <cellStyle name="Total 5 2 5" xfId="7112"/>
    <cellStyle name="Total 5 2 5 2" xfId="7113"/>
    <cellStyle name="Total 5 3" xfId="7114"/>
    <cellStyle name="Total 5 3 2" xfId="7115"/>
    <cellStyle name="Total 5 3 2 2" xfId="7116"/>
    <cellStyle name="Total 5 3 2 2 2" xfId="7117"/>
    <cellStyle name="Total 5 3 2 2 2 2" xfId="7118"/>
    <cellStyle name="Total 5 3 2 2 2 2 2" xfId="7119"/>
    <cellStyle name="Total 5 3 2 2 2 3" xfId="7120"/>
    <cellStyle name="Total 5 3 2 2 3" xfId="7121"/>
    <cellStyle name="Total 5 3 2 2 3 2" xfId="7122"/>
    <cellStyle name="Total 5 3 2 2 4" xfId="7123"/>
    <cellStyle name="Total 5 3 2 3" xfId="7124"/>
    <cellStyle name="Total 5 3 2 3 2" xfId="7125"/>
    <cellStyle name="Total 5 3 2 3 2 2" xfId="7126"/>
    <cellStyle name="Total 5 3 2 3 3" xfId="7127"/>
    <cellStyle name="Total 5 3 2 3 4" xfId="7128"/>
    <cellStyle name="Total 5 3 2 4" xfId="7129"/>
    <cellStyle name="Total 5 3 2 4 2" xfId="7130"/>
    <cellStyle name="Total 5 3 2 4 2 2" xfId="7131"/>
    <cellStyle name="Total 5 3 2 4 3" xfId="7132"/>
    <cellStyle name="Total 5 3 2 5" xfId="7133"/>
    <cellStyle name="Total 5 3 2 5 2" xfId="7134"/>
    <cellStyle name="Total 5 3 2 6" xfId="7135"/>
    <cellStyle name="Total 5 3 3" xfId="7136"/>
    <cellStyle name="Total 5 3 3 2" xfId="7137"/>
    <cellStyle name="Total 5 3 3 2 2" xfId="7138"/>
    <cellStyle name="Total 5 3 3 2 2 2" xfId="7139"/>
    <cellStyle name="Total 5 3 3 2 2 2 2" xfId="7140"/>
    <cellStyle name="Total 5 3 3 2 2 3" xfId="7141"/>
    <cellStyle name="Total 5 3 3 2 3" xfId="7142"/>
    <cellStyle name="Total 5 3 3 2 3 2" xfId="7143"/>
    <cellStyle name="Total 5 3 3 2 4" xfId="7144"/>
    <cellStyle name="Total 5 3 3 3" xfId="7145"/>
    <cellStyle name="Total 5 3 3 3 2" xfId="7146"/>
    <cellStyle name="Total 5 3 3 3 2 2" xfId="7147"/>
    <cellStyle name="Total 5 3 3 3 3" xfId="7148"/>
    <cellStyle name="Total 5 3 3 3 4" xfId="7149"/>
    <cellStyle name="Total 5 3 3 4" xfId="7150"/>
    <cellStyle name="Total 5 3 3 4 2" xfId="7151"/>
    <cellStyle name="Total 5 3 3 4 2 2" xfId="7152"/>
    <cellStyle name="Total 5 3 3 4 3" xfId="7153"/>
    <cellStyle name="Total 5 3 3 5" xfId="7154"/>
    <cellStyle name="Total 5 3 3 5 2" xfId="7155"/>
    <cellStyle name="Total 5 3 3 6" xfId="7156"/>
    <cellStyle name="Total 5 3 4" xfId="7157"/>
    <cellStyle name="Total 5 3 4 2" xfId="7158"/>
    <cellStyle name="Total 5 3 4 2 2" xfId="7159"/>
    <cellStyle name="Total 5 3 4 2 2 2" xfId="7160"/>
    <cellStyle name="Total 5 3 4 2 3" xfId="7161"/>
    <cellStyle name="Total 5 3 4 3" xfId="7162"/>
    <cellStyle name="Total 5 3 4 3 2" xfId="7163"/>
    <cellStyle name="Total 5 3 4 4" xfId="7164"/>
    <cellStyle name="Total 5 3 5" xfId="7165"/>
    <cellStyle name="Total 5 3 5 2" xfId="7166"/>
    <cellStyle name="Total 5 3 5 2 2" xfId="7167"/>
    <cellStyle name="Total 5 3 5 3" xfId="7168"/>
    <cellStyle name="Total 5 3 5 4" xfId="7169"/>
    <cellStyle name="Total 5 3 6" xfId="7170"/>
    <cellStyle name="Total 5 3 6 2" xfId="7171"/>
    <cellStyle name="Total 5 3 6 2 2" xfId="7172"/>
    <cellStyle name="Total 5 3 6 3" xfId="7173"/>
    <cellStyle name="Total 5 3 7" xfId="7174"/>
    <cellStyle name="Total 5 3 7 2" xfId="7175"/>
    <cellStyle name="Total 5 3 8" xfId="7176"/>
    <cellStyle name="Total 5 4" xfId="7177"/>
    <cellStyle name="Total 5 4 2" xfId="7178"/>
    <cellStyle name="Total 5 4 2 2" xfId="7179"/>
    <cellStyle name="Total 5 4 2 2 2" xfId="7180"/>
    <cellStyle name="Total 5 4 2 2 2 2" xfId="7181"/>
    <cellStyle name="Total 5 4 2 2 3" xfId="7182"/>
    <cellStyle name="Total 5 4 2 3" xfId="7183"/>
    <cellStyle name="Total 5 4 2 3 2" xfId="7184"/>
    <cellStyle name="Total 5 4 2 4" xfId="7185"/>
    <cellStyle name="Total 5 4 3" xfId="7186"/>
    <cellStyle name="Total 5 4 3 2" xfId="7187"/>
    <cellStyle name="Total 5 4 3 2 2" xfId="7188"/>
    <cellStyle name="Total 5 4 3 3" xfId="7189"/>
    <cellStyle name="Total 5 4 3 4" xfId="7190"/>
    <cellStyle name="Total 5 4 4" xfId="7191"/>
    <cellStyle name="Total 5 4 4 2" xfId="7192"/>
    <cellStyle name="Total 5 4 4 2 2" xfId="7193"/>
    <cellStyle name="Total 5 4 4 3" xfId="7194"/>
    <cellStyle name="Total 5 4 5" xfId="7195"/>
    <cellStyle name="Total 5 4 5 2" xfId="7196"/>
    <cellStyle name="Total 5 4 6" xfId="7197"/>
    <cellStyle name="Total 5 5" xfId="7198"/>
    <cellStyle name="Total 5 5 2" xfId="7199"/>
    <cellStyle name="Total 6" xfId="7200"/>
    <cellStyle name="Total 6 2" xfId="7201"/>
    <cellStyle name="Total 6 2 2" xfId="7202"/>
    <cellStyle name="Total 6 2 2 2" xfId="7203"/>
    <cellStyle name="Total 6 2 2 2 2" xfId="7204"/>
    <cellStyle name="Total 6 2 2 2 2 2" xfId="7205"/>
    <cellStyle name="Total 6 2 2 2 2 2 2" xfId="7206"/>
    <cellStyle name="Total 6 2 2 2 2 3" xfId="7207"/>
    <cellStyle name="Total 6 2 2 2 3" xfId="7208"/>
    <cellStyle name="Total 6 2 2 2 3 2" xfId="7209"/>
    <cellStyle name="Total 6 2 2 2 4" xfId="7210"/>
    <cellStyle name="Total 6 2 2 3" xfId="7211"/>
    <cellStyle name="Total 6 2 2 3 2" xfId="7212"/>
    <cellStyle name="Total 6 2 2 3 2 2" xfId="7213"/>
    <cellStyle name="Total 6 2 2 3 3" xfId="7214"/>
    <cellStyle name="Total 6 2 2 3 4" xfId="7215"/>
    <cellStyle name="Total 6 2 2 4" xfId="7216"/>
    <cellStyle name="Total 6 2 2 4 2" xfId="7217"/>
    <cellStyle name="Total 6 2 2 4 2 2" xfId="7218"/>
    <cellStyle name="Total 6 2 2 4 3" xfId="7219"/>
    <cellStyle name="Total 6 2 2 5" xfId="7220"/>
    <cellStyle name="Total 6 2 2 5 2" xfId="7221"/>
    <cellStyle name="Total 6 2 2 6" xfId="7222"/>
    <cellStyle name="Total 6 2 3" xfId="7223"/>
    <cellStyle name="Total 6 2 3 2" xfId="7224"/>
    <cellStyle name="Total 6 2 3 2 2" xfId="7225"/>
    <cellStyle name="Total 6 2 3 2 2 2" xfId="7226"/>
    <cellStyle name="Total 6 2 3 2 2 2 2" xfId="7227"/>
    <cellStyle name="Total 6 2 3 2 2 3" xfId="7228"/>
    <cellStyle name="Total 6 2 3 2 3" xfId="7229"/>
    <cellStyle name="Total 6 2 3 2 3 2" xfId="7230"/>
    <cellStyle name="Total 6 2 3 2 4" xfId="7231"/>
    <cellStyle name="Total 6 2 3 3" xfId="7232"/>
    <cellStyle name="Total 6 2 3 3 2" xfId="7233"/>
    <cellStyle name="Total 6 2 3 3 2 2" xfId="7234"/>
    <cellStyle name="Total 6 2 3 3 3" xfId="7235"/>
    <cellStyle name="Total 6 2 3 3 4" xfId="7236"/>
    <cellStyle name="Total 6 2 3 4" xfId="7237"/>
    <cellStyle name="Total 6 2 3 4 2" xfId="7238"/>
    <cellStyle name="Total 6 2 3 4 2 2" xfId="7239"/>
    <cellStyle name="Total 6 2 3 4 3" xfId="7240"/>
    <cellStyle name="Total 6 2 3 5" xfId="7241"/>
    <cellStyle name="Total 6 2 3 5 2" xfId="7242"/>
    <cellStyle name="Total 6 2 3 6" xfId="7243"/>
    <cellStyle name="Total 6 2 4" xfId="7244"/>
    <cellStyle name="Total 6 2 4 2" xfId="7245"/>
    <cellStyle name="Total 6 2 4 2 2" xfId="7246"/>
    <cellStyle name="Total 6 2 4 2 2 2" xfId="7247"/>
    <cellStyle name="Total 6 2 4 2 3" xfId="7248"/>
    <cellStyle name="Total 6 2 4 3" xfId="7249"/>
    <cellStyle name="Total 6 2 4 3 2" xfId="7250"/>
    <cellStyle name="Total 6 2 4 4" xfId="7251"/>
    <cellStyle name="Total 6 2 5" xfId="7252"/>
    <cellStyle name="Total 6 2 5 2" xfId="7253"/>
    <cellStyle name="Total 6 2 5 2 2" xfId="7254"/>
    <cellStyle name="Total 6 2 5 3" xfId="7255"/>
    <cellStyle name="Total 6 2 5 4" xfId="7256"/>
    <cellStyle name="Total 6 2 6" xfId="7257"/>
    <cellStyle name="Total 6 2 6 2" xfId="7258"/>
    <cellStyle name="Total 6 2 6 2 2" xfId="7259"/>
    <cellStyle name="Total 6 2 6 3" xfId="7260"/>
    <cellStyle name="Total 6 2 7" xfId="7261"/>
    <cellStyle name="Total 6 2 7 2" xfId="7262"/>
    <cellStyle name="Total 6 2 8" xfId="7263"/>
    <cellStyle name="Total 6 3" xfId="7264"/>
    <cellStyle name="Total 6 3 2" xfId="7265"/>
    <cellStyle name="Total 6 3 2 2" xfId="7266"/>
    <cellStyle name="Total 6 3 2 2 2" xfId="7267"/>
    <cellStyle name="Total 6 3 2 2 2 2" xfId="7268"/>
    <cellStyle name="Total 6 3 2 2 3" xfId="7269"/>
    <cellStyle name="Total 6 3 2 3" xfId="7270"/>
    <cellStyle name="Total 6 3 2 3 2" xfId="7271"/>
    <cellStyle name="Total 6 3 2 4" xfId="7272"/>
    <cellStyle name="Total 6 3 3" xfId="7273"/>
    <cellStyle name="Total 6 3 3 2" xfId="7274"/>
    <cellStyle name="Total 6 3 3 2 2" xfId="7275"/>
    <cellStyle name="Total 6 3 3 3" xfId="7276"/>
    <cellStyle name="Total 6 3 3 4" xfId="7277"/>
    <cellStyle name="Total 6 3 4" xfId="7278"/>
    <cellStyle name="Total 6 3 4 2" xfId="7279"/>
    <cellStyle name="Total 6 3 4 2 2" xfId="7280"/>
    <cellStyle name="Total 6 3 4 3" xfId="7281"/>
    <cellStyle name="Total 6 3 5" xfId="7282"/>
    <cellStyle name="Total 6 3 5 2" xfId="7283"/>
    <cellStyle name="Total 6 3 6" xfId="7284"/>
    <cellStyle name="Total 6 4" xfId="7285"/>
    <cellStyle name="Total 6 4 2" xfId="7286"/>
    <cellStyle name="Total 7" xfId="7287"/>
    <cellStyle name="Total 7 2" xfId="7288"/>
    <cellStyle name="Total 7 2 2" xfId="7289"/>
    <cellStyle name="Total 7 2 2 2" xfId="7290"/>
    <cellStyle name="Total 7 2 2 2 2" xfId="7291"/>
    <cellStyle name="Total 7 2 2 2 2 2" xfId="7292"/>
    <cellStyle name="Total 7 2 2 2 3" xfId="7293"/>
    <cellStyle name="Total 7 2 2 3" xfId="7294"/>
    <cellStyle name="Total 7 2 2 3 2" xfId="7295"/>
    <cellStyle name="Total 7 2 2 4" xfId="7296"/>
    <cellStyle name="Total 7 2 3" xfId="7297"/>
    <cellStyle name="Total 7 2 3 2" xfId="7298"/>
    <cellStyle name="Total 7 2 3 2 2" xfId="7299"/>
    <cellStyle name="Total 7 2 3 3" xfId="7300"/>
    <cellStyle name="Total 7 2 3 4" xfId="7301"/>
    <cellStyle name="Total 7 2 4" xfId="7302"/>
    <cellStyle name="Total 7 2 4 2" xfId="7303"/>
    <cellStyle name="Total 7 2 4 2 2" xfId="7304"/>
    <cellStyle name="Total 7 2 4 3" xfId="7305"/>
    <cellStyle name="Total 7 2 5" xfId="7306"/>
    <cellStyle name="Total 7 2 5 2" xfId="7307"/>
    <cellStyle name="Total 7 2 6" xfId="7308"/>
    <cellStyle name="Total 7 3" xfId="7309"/>
    <cellStyle name="Total 7 3 2" xfId="7310"/>
    <cellStyle name="Total 7 3 2 2" xfId="7311"/>
    <cellStyle name="Total 7 3 2 2 2" xfId="7312"/>
    <cellStyle name="Total 7 3 2 2 2 2" xfId="7313"/>
    <cellStyle name="Total 7 3 2 2 3" xfId="7314"/>
    <cellStyle name="Total 7 3 2 3" xfId="7315"/>
    <cellStyle name="Total 7 3 2 3 2" xfId="7316"/>
    <cellStyle name="Total 7 3 2 4" xfId="7317"/>
    <cellStyle name="Total 7 3 3" xfId="7318"/>
    <cellStyle name="Total 7 3 3 2" xfId="7319"/>
    <cellStyle name="Total 7 3 3 2 2" xfId="7320"/>
    <cellStyle name="Total 7 3 3 3" xfId="7321"/>
    <cellStyle name="Total 7 3 3 4" xfId="7322"/>
    <cellStyle name="Total 7 3 4" xfId="7323"/>
    <cellStyle name="Total 7 3 4 2" xfId="7324"/>
    <cellStyle name="Total 7 3 4 2 2" xfId="7325"/>
    <cellStyle name="Total 7 3 4 3" xfId="7326"/>
    <cellStyle name="Total 7 3 5" xfId="7327"/>
    <cellStyle name="Total 7 3 5 2" xfId="7328"/>
    <cellStyle name="Total 7 3 6" xfId="7329"/>
    <cellStyle name="Total 7 4" xfId="7330"/>
    <cellStyle name="Total 7 4 2" xfId="7331"/>
    <cellStyle name="Total 7 4 2 2" xfId="7332"/>
    <cellStyle name="Total 7 4 2 2 2" xfId="7333"/>
    <cellStyle name="Total 7 4 2 3" xfId="7334"/>
    <cellStyle name="Total 7 4 3" xfId="7335"/>
    <cellStyle name="Total 7 4 3 2" xfId="7336"/>
    <cellStyle name="Total 7 4 4" xfId="7337"/>
    <cellStyle name="Total 7 5" xfId="7338"/>
    <cellStyle name="Total 7 5 2" xfId="7339"/>
    <cellStyle name="Total 7 5 2 2" xfId="7340"/>
    <cellStyle name="Total 7 5 3" xfId="7341"/>
    <cellStyle name="Total 7 5 4" xfId="7342"/>
    <cellStyle name="Total 7 6" xfId="7343"/>
    <cellStyle name="Total 7 6 2" xfId="7344"/>
    <cellStyle name="Total 7 6 2 2" xfId="7345"/>
    <cellStyle name="Total 7 6 3" xfId="7346"/>
    <cellStyle name="Total 7 7" xfId="7347"/>
    <cellStyle name="Total 7 7 2" xfId="7348"/>
    <cellStyle name="Total 7 8" xfId="7349"/>
    <cellStyle name="toto" xfId="7350"/>
    <cellStyle name="Warning Text" xfId="7636" builtinId="11" customBuiltin="1"/>
    <cellStyle name="Warning Text 2" xfId="7351"/>
    <cellStyle name="Warning Text 3" xfId="7352"/>
    <cellStyle name="パーセント 2" xfId="7353"/>
    <cellStyle name="桁区切り 2" xfId="7354"/>
    <cellStyle name="桁区切り_DegitalOption_test" xfId="7355"/>
    <cellStyle name="標準 2" xfId="7356"/>
    <cellStyle name="標準 3" xfId="7357"/>
    <cellStyle name="標準 4" xfId="7358"/>
    <cellStyle name="標準_examplePortfolio" xfId="7359"/>
    <cellStyle name="標準_Input_OutPut20060417" xfId="7666"/>
  </cellStyles>
  <dxfs count="0"/>
  <tableStyles count="0" defaultTableStyle="TableStyleMedium2" defaultPivotStyle="PivotStyleLight16"/>
  <colors>
    <mruColors>
      <color rgb="FF006600"/>
      <color rgb="FFFFFFCC"/>
      <color rgb="FFFFFF99"/>
      <color rgb="FF0000FF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14/06/2019</v>
        <stp/>
        <stp>##V3_BDPV12</stp>
        <stp>IR3   Comdty</stp>
        <stp>INT_RATE_FUT_END_DT</stp>
        <stp>[AUD_ASSETSWAP_SYNDICATE.xlsx]AUD CURVE TICKERS!R46C23</stp>
        <tr r="W46" s="9"/>
      </tp>
      <tp t="s">
        <v>08/03/2019</v>
        <stp/>
        <stp>##V3_BDPV12</stp>
        <stp>IR2   Comdty</stp>
        <stp>INT_RATE_FUT_END_DT</stp>
        <stp>[AUD_ASSETSWAP_SYNDICATE.xlsx]AUD CURVE TICKERS!R45C23</stp>
        <tr r="W45" s="9"/>
      </tp>
      <tp t="s">
        <v>14/12/2018</v>
        <stp/>
        <stp>##V3_BDPV12</stp>
        <stp>IR1   Comdty</stp>
        <stp>INT_RATE_FUT_END_DT</stp>
        <stp>[AUD_ASSETSWAP_SYNDICATE.xlsx]AUD CURVE TICKERS!R44C23</stp>
        <tr r="W44" s="9"/>
      </tp>
      <tp t="s">
        <v>13/03/2020</v>
        <stp/>
        <stp>##V3_BDPV12</stp>
        <stp>IR6   Comdty</stp>
        <stp>INT_RATE_FUT_END_DT</stp>
        <stp>[AUD_ASSETSWAP_SYNDICATE.xlsx]AUD CURVE TICKERS!R49C23</stp>
        <tr r="W49" s="9"/>
      </tp>
      <tp t="s">
        <v>13/12/2019</v>
        <stp/>
        <stp>##V3_BDPV12</stp>
        <stp>IR5   Comdty</stp>
        <stp>INT_RATE_FUT_END_DT</stp>
        <stp>[AUD_ASSETSWAP_SYNDICATE.xlsx]AUD CURVE TICKERS!R48C23</stp>
        <tr r="W48" s="9"/>
      </tp>
      <tp t="s">
        <v>13/09/2019</v>
        <stp/>
        <stp>##V3_BDPV12</stp>
        <stp>IR4   Comdty</stp>
        <stp>INT_RATE_FUT_END_DT</stp>
        <stp>[AUD_ASSETSWAP_SYNDICATE.xlsx]AUD CURVE TICKERS!R47C23</stp>
        <tr r="W47" s="9"/>
      </tp>
      <tp>
        <v>33</v>
        <stp/>
        <stp>##V3_BDPV12</stp>
        <stp>ADSF4 IAUS Curncy</stp>
        <stp>Ask</stp>
        <stp>[AUD_ASSETSWAP_SYNDICATE.xlsx]SYNDICATE AUD IRS!R16C8</stp>
        <tr r="H16" s="8"/>
      </tp>
      <tp>
        <v>42.375</v>
        <stp/>
        <stp>##V3_BDPV12</stp>
        <stp>ADSF5 IAUS Curncy</stp>
        <stp>Ask</stp>
        <stp>[AUD_ASSETSWAP_SYNDICATE.xlsx]SYNDICATE AUD IRS!R17C8</stp>
        <tr r="H17" s="8"/>
      </tp>
      <tp>
        <v>2</v>
        <stp/>
        <stp>##V3_BDPV12</stp>
        <stp>ADBB1M CMPN Curncy</stp>
        <stp>PX_ASK</stp>
        <stp>[AUD_ASSETSWAP_SYNDICATE.xlsx]TAP AUD ASW!R38C16</stp>
        <tr r="P38" s="11"/>
      </tp>
      <tp>
        <v>2.06</v>
        <stp/>
        <stp>##V3_BDPV12</stp>
        <stp>ADBB2M CMPN Curncy</stp>
        <stp>PX_ASK</stp>
        <stp>[AUD_ASSETSWAP_SYNDICATE.xlsx]TAP AUD ASW!R39C16</stp>
        <tr r="P39" s="11"/>
      </tp>
      <tp>
        <v>2.1153</v>
        <stp/>
        <stp>##V3_BDPV12</stp>
        <stp>ADBB3M CMPN Curncy</stp>
        <stp>PX_ASK</stp>
        <stp>[AUD_ASSETSWAP_SYNDICATE.xlsx]TAP AUD ASW!R40C16</stp>
        <tr r="P40" s="11"/>
      </tp>
      <tp>
        <v>2.2200000000000002</v>
        <stp/>
        <stp>##V3_BDPV12</stp>
        <stp>ADBB6M CMPN Curncy</stp>
        <stp>PX_ASK</stp>
        <stp>[AUD_ASSETSWAP_SYNDICATE.xlsx]TAP AUD ASW!R41C16</stp>
        <tr r="P41" s="11"/>
      </tp>
      <tp>
        <v>-7.75</v>
        <stp/>
        <stp>##V3_BDPV12</stp>
        <stp>ADSF6 IAUS Curncy</stp>
        <stp>Bid</stp>
        <stp>[AUD_ASSETSWAP_SYNDICATE.xlsx]SYNDICATE AUD IRS!R18C7</stp>
        <tr r="G18" s="8"/>
      </tp>
      <tp>
        <v>-0.5</v>
        <stp/>
        <stp>##V3_BDPV12</stp>
        <stp>ADSF7 IAUS Curncy</stp>
        <stp>Bid</stp>
        <stp>[AUD_ASSETSWAP_SYNDICATE.xlsx]SYNDICATE AUD IRS!R19C7</stp>
        <tr r="G19" s="8"/>
      </tp>
      <tp>
        <v>5.875</v>
        <stp/>
        <stp>##V3_BDPV12</stp>
        <stp>ADSF8 IAUS Curncy</stp>
        <stp>Bid</stp>
        <stp>[AUD_ASSETSWAP_SYNDICATE.xlsx]SYNDICATE AUD IRS!R20C7</stp>
        <tr r="G20" s="8"/>
      </tp>
      <tp>
        <v>11.375</v>
        <stp/>
        <stp>##V3_BDPV12</stp>
        <stp>ADSF9 IAUS Curncy</stp>
        <stp>Bid</stp>
        <stp>[AUD_ASSETSWAP_SYNDICATE.xlsx]SYNDICATE AUD IRS!R21C7</stp>
        <tr r="G21" s="8"/>
      </tp>
      <tp t="s">
        <v>21/05/2028</v>
        <stp/>
        <stp>##V3_BDPV12</stp>
        <stp>AU000XCLWAR9 Govt</stp>
        <stp>MATURITY</stp>
        <stp>[AUD_ASSETSWAP_SYNDICATE.xlsx]TAP AUD ASW!R21C6</stp>
        <tr r="F21" s="11"/>
      </tp>
      <tp t="s">
        <v>19/05/2016</v>
        <stp/>
        <stp>##V3_BDPV12</stp>
        <stp>AU000XCLWAR9 Govt</stp>
        <stp>ISSUE_DT</stp>
        <stp>[AUD_ASSETSWAP_SYNDICATE.xlsx]TAP AUD ASW!R17C6</stp>
        <tr r="F17" s="11"/>
      </tp>
      <tp>
        <v>1.4990000000000001</v>
        <stp/>
        <stp>##V3_BDPV12</stp>
        <stp>ADSOA BGN Curncy</stp>
        <stp>PX_MID</stp>
        <stp>[AUD_ASSETSWAP_SYNDICATE.xlsx]AUD CURVE TICKERS!R16C10</stp>
        <tr r="J16" s="9"/>
      </tp>
      <tp>
        <v>1.5</v>
        <stp/>
        <stp>##V3_BDPV12</stp>
        <stp>ADSOB BGN Curncy</stp>
        <stp>PX_MID</stp>
        <stp>[AUD_ASSETSWAP_SYNDICATE.xlsx]AUD CURVE TICKERS!R17C10</stp>
        <tr r="J17" s="9"/>
      </tp>
      <tp>
        <v>1.5</v>
        <stp/>
        <stp>##V3_BDPV12</stp>
        <stp>ADSOC BGN Curncy</stp>
        <stp>PX_MID</stp>
        <stp>[AUD_ASSETSWAP_SYNDICATE.xlsx]AUD CURVE TICKERS!R18C10</stp>
        <tr r="J18" s="9"/>
      </tp>
      <tp>
        <v>1.5009999999999999</v>
        <stp/>
        <stp>##V3_BDPV12</stp>
        <stp>ADSOD BGN Curncy</stp>
        <stp>PX_MID</stp>
        <stp>[AUD_ASSETSWAP_SYNDICATE.xlsx]AUD CURVE TICKERS!R19C10</stp>
        <tr r="J19" s="9"/>
      </tp>
      <tp>
        <v>1.5024999999999999</v>
        <stp/>
        <stp>##V3_BDPV12</stp>
        <stp>ADSOE BGN Curncy</stp>
        <stp>PX_MID</stp>
        <stp>[AUD_ASSETSWAP_SYNDICATE.xlsx]AUD CURVE TICKERS!R20C10</stp>
        <tr r="J20" s="9"/>
      </tp>
      <tp>
        <v>1.504</v>
        <stp/>
        <stp>##V3_BDPV12</stp>
        <stp>ADSOF BGN Curncy</stp>
        <stp>PX_MID</stp>
        <stp>[AUD_ASSETSWAP_SYNDICATE.xlsx]AUD CURVE TICKERS!R21C10</stp>
        <tr r="J21" s="9"/>
      </tp>
      <tp>
        <v>1.512</v>
        <stp/>
        <stp>##V3_BDPV12</stp>
        <stp>ADSOI BGN Curncy</stp>
        <stp>PX_MID</stp>
        <stp>[AUD_ASSETSWAP_SYNDICATE.xlsx]AUD CURVE TICKERS!R22C10</stp>
        <tr r="J22" s="9"/>
      </tp>
      <tp>
        <v>1.528</v>
        <stp/>
        <stp>##V3_BDPV12</stp>
        <stp>ADSO1 BGN Curncy</stp>
        <stp>PX_MID</stp>
        <stp>[AUD_ASSETSWAP_SYNDICATE.xlsx]AUD CURVE TICKERS!R23C10</stp>
        <tr r="J23" s="9"/>
      </tp>
      <tp>
        <v>1.63</v>
        <stp/>
        <stp>##V3_BDPV12</stp>
        <stp>ADSO2 BGN Curncy</stp>
        <stp>PX_MID</stp>
        <stp>[AUD_ASSETSWAP_SYNDICATE.xlsx]AUD CURVE TICKERS!R24C10</stp>
        <tr r="J24" s="9"/>
      </tp>
      <tp>
        <v>1.7330000000000001</v>
        <stp/>
        <stp>##V3_BDPV12</stp>
        <stp>ADSO3 BGN Curncy</stp>
        <stp>PX_MID</stp>
        <stp>[AUD_ASSETSWAP_SYNDICATE.xlsx]AUD CURVE TICKERS!R25C10</stp>
        <tr r="J25" s="9"/>
      </tp>
      <tp>
        <v>1.8480000000000001</v>
        <stp/>
        <stp>##V3_BDPV12</stp>
        <stp>ADSO4 BGN Curncy</stp>
        <stp>PX_MID</stp>
        <stp>[AUD_ASSETSWAP_SYNDICATE.xlsx]AUD CURVE TICKERS!R26C10</stp>
        <tr r="J26" s="9"/>
      </tp>
      <tp>
        <v>1.948</v>
        <stp/>
        <stp>##V3_BDPV12</stp>
        <stp>ADSO5 BGN Curncy</stp>
        <stp>PX_MID</stp>
        <stp>[AUD_ASSETSWAP_SYNDICATE.xlsx]AUD CURVE TICKERS!R27C10</stp>
        <tr r="J27" s="9"/>
      </tp>
      <tp>
        <v>2.0249999999999999</v>
        <stp/>
        <stp>##V3_BDPV12</stp>
        <stp>ADSO6 BGN Curncy</stp>
        <stp>PX_MID</stp>
        <stp>[AUD_ASSETSWAP_SYNDICATE.xlsx]AUD CURVE TICKERS!R28C10</stp>
        <tr r="J28" s="9"/>
      </tp>
      <tp>
        <v>2.1015000000000001</v>
        <stp/>
        <stp>##V3_BDPV12</stp>
        <stp>ADSO7 BGN Curncy</stp>
        <stp>PX_MID</stp>
        <stp>[AUD_ASSETSWAP_SYNDICATE.xlsx]AUD CURVE TICKERS!R29C10</stp>
        <tr r="J29" s="9"/>
      </tp>
      <tp>
        <v>2.1629999999999998</v>
        <stp/>
        <stp>##V3_BDPV12</stp>
        <stp>ADSO8 BGN Curncy</stp>
        <stp>PX_MID</stp>
        <stp>[AUD_ASSETSWAP_SYNDICATE.xlsx]AUD CURVE TICKERS!R30C10</stp>
        <tr r="J30" s="9"/>
      </tp>
      <tp>
        <v>2.2250000000000001</v>
        <stp/>
        <stp>##V3_BDPV12</stp>
        <stp>ADSO9 BGN Curncy</stp>
        <stp>PX_MID</stp>
        <stp>[AUD_ASSETSWAP_SYNDICATE.xlsx]AUD CURVE TICKERS!R31C10</stp>
        <tr r="J31" s="9"/>
      </tp>
      <tp>
        <v>10.875</v>
        <stp/>
        <stp>##V3_BDPV12</stp>
        <stp>ADSF8 IAUS Curncy</stp>
        <stp>Ask</stp>
        <stp>[AUD_ASSETSWAP_SYNDICATE.xlsx]SYNDICATE AUD IRS!R20C8</stp>
        <tr r="H20" s="8"/>
      </tp>
      <tp>
        <v>16.375</v>
        <stp/>
        <stp>##V3_BDPV12</stp>
        <stp>ADSF9 IAUS Curncy</stp>
        <stp>Ask</stp>
        <stp>[AUD_ASSETSWAP_SYNDICATE.xlsx]SYNDICATE AUD IRS!R21C8</stp>
        <tr r="H21" s="8"/>
      </tp>
      <tp>
        <v>-2.75</v>
        <stp/>
        <stp>##V3_BDPV12</stp>
        <stp>ADSF6 IAUS Curncy</stp>
        <stp>Ask</stp>
        <stp>[AUD_ASSETSWAP_SYNDICATE.xlsx]SYNDICATE AUD IRS!R18C8</stp>
        <tr r="H18" s="8"/>
      </tp>
      <tp>
        <v>4.5</v>
        <stp/>
        <stp>##V3_BDPV12</stp>
        <stp>ADSF7 IAUS Curncy</stp>
        <stp>Ask</stp>
        <stp>[AUD_ASSETSWAP_SYNDICATE.xlsx]SYNDICATE AUD IRS!R19C8</stp>
        <tr r="H19" s="8"/>
      </tp>
      <tp>
        <v>28</v>
        <stp/>
        <stp>##V3_BDPV12</stp>
        <stp>ADSF4 IAUS Curncy</stp>
        <stp>Bid</stp>
        <stp>[AUD_ASSETSWAP_SYNDICATE.xlsx]SYNDICATE AUD IRS!R16C7</stp>
        <tr r="G16" s="8"/>
      </tp>
      <tp>
        <v>37.375</v>
        <stp/>
        <stp>##V3_BDPV12</stp>
        <stp>ADSF5 IAUS Curncy</stp>
        <stp>Bid</stp>
        <stp>[AUD_ASSETSWAP_SYNDICATE.xlsx]SYNDICATE AUD IRS!R17C7</stp>
        <tr r="G17" s="8"/>
      </tp>
      <tp>
        <v>43.25</v>
        <stp/>
        <stp>##V3_BDPV12</stp>
        <stp>ADBBCO8 BGN Curncy</stp>
        <stp>PX_MID</stp>
        <stp>[AUD_ASSETSWAP_SYNDICATE.xlsx]AUD CURVE TICKERS!R21C20</stp>
        <tr r="T21" s="9"/>
      </tp>
      <tp>
        <v>43.125</v>
        <stp/>
        <stp>##V3_BDPV12</stp>
        <stp>ADBBCO9 BGN Curncy</stp>
        <stp>PX_MID</stp>
        <stp>[AUD_ASSETSWAP_SYNDICATE.xlsx]AUD CURVE TICKERS!R22C20</stp>
        <tr r="T22" s="9"/>
      </tp>
      <tp>
        <v>42.625</v>
        <stp/>
        <stp>##V3_BDPV12</stp>
        <stp>ADBBCO6 BGN Curncy</stp>
        <stp>PX_MID</stp>
        <stp>[AUD_ASSETSWAP_SYNDICATE.xlsx]AUD CURVE TICKERS!R19C20</stp>
        <tr r="T19" s="9"/>
      </tp>
      <tp>
        <v>43.125</v>
        <stp/>
        <stp>##V3_BDPV12</stp>
        <stp>ADBBCO7 BGN Curncy</stp>
        <stp>PX_MID</stp>
        <stp>[AUD_ASSETSWAP_SYNDICATE.xlsx]AUD CURVE TICKERS!R20C20</stp>
        <tr r="T20" s="9"/>
      </tp>
      <tp>
        <v>42.375</v>
        <stp/>
        <stp>##V3_BDPV12</stp>
        <stp>ADBBCO4 BGN Curncy</stp>
        <stp>PX_MID</stp>
        <stp>[AUD_ASSETSWAP_SYNDICATE.xlsx]AUD CURVE TICKERS!R17C20</stp>
        <tr r="T17" s="9"/>
      </tp>
      <tp>
        <v>42</v>
        <stp/>
        <stp>##V3_BDPV12</stp>
        <stp>ADBBCO5 BGN Curncy</stp>
        <stp>PX_MID</stp>
        <stp>[AUD_ASSETSWAP_SYNDICATE.xlsx]AUD CURVE TICKERS!R18C20</stp>
        <tr r="T18" s="9"/>
      </tp>
      <tp>
        <v>47.25</v>
        <stp/>
        <stp>##V3_BDPV12</stp>
        <stp>ADBBCO2 BGN Curncy</stp>
        <stp>PX_MID</stp>
        <stp>[AUD_ASSETSWAP_SYNDICATE.xlsx]AUD CURVE TICKERS!R15C20</stp>
        <tr r="T15" s="9"/>
      </tp>
      <tp>
        <v>43.75</v>
        <stp/>
        <stp>##V3_BDPV12</stp>
        <stp>ADBBCO3 BGN Curncy</stp>
        <stp>PX_MID</stp>
        <stp>[AUD_ASSETSWAP_SYNDICATE.xlsx]AUD CURVE TICKERS!R16C20</stp>
        <tr r="T16" s="9"/>
      </tp>
      <tp>
        <v>51</v>
        <stp/>
        <stp>##V3_BDPV12</stp>
        <stp>ADBBCO1 BGN Curncy</stp>
        <stp>PX_MID</stp>
        <stp>[AUD_ASSETSWAP_SYNDICATE.xlsx]AUD CURVE TICKERS!R14C20</stp>
        <tr r="T14" s="9"/>
      </tp>
      <tp>
        <v>2.64</v>
        <stp/>
        <stp>##V3_BDPV12</stp>
        <stp>ADSW7 BGN Curncy</stp>
        <stp>PX_MID</stp>
        <stp>[AUD_ASSETSWAP_SYNDICATE.xlsx]AUD CURVE TICKERS!R80C20</stp>
        <tr r="T80" s="9"/>
      </tp>
      <tp>
        <v>2.5674999999999999</v>
        <stp/>
        <stp>##V3_BDPV12</stp>
        <stp>ADSW6 BGN Curncy</stp>
        <stp>PX_MID</stp>
        <stp>[AUD_ASSETSWAP_SYNDICATE.xlsx]AUD CURVE TICKERS!R49C33</stp>
        <tr r="AG49" s="9"/>
      </tp>
      <tp>
        <v>2.64</v>
        <stp/>
        <stp>##V3_BDPV12</stp>
        <stp>ADSW7 BGN Curncy</stp>
        <stp>PX_MID</stp>
        <stp>[AUD_ASSETSWAP_SYNDICATE.xlsx]AUD CURVE TICKERS!R50C33</stp>
        <tr r="AG50" s="9"/>
      </tp>
      <tp>
        <v>2.5674999999999999</v>
        <stp/>
        <stp>##V3_BDPV12</stp>
        <stp>ADSW6 BGN Curncy</stp>
        <stp>PX_MID</stp>
        <stp>[AUD_ASSETSWAP_SYNDICATE.xlsx]AUD CURVE TICKERS!R79C20</stp>
        <tr r="T79" s="9"/>
      </tp>
      <tp>
        <v>2.4860000000000002</v>
        <stp/>
        <stp>##V3_BDPV12</stp>
        <stp>ADSW5 BGN Curncy</stp>
        <stp>PX_MID</stp>
        <stp>[AUD_ASSETSWAP_SYNDICATE.xlsx]AUD CURVE TICKERS!R78C20</stp>
        <tr r="T78" s="9"/>
      </tp>
      <tp>
        <v>2.3937499999999998</v>
        <stp/>
        <stp>##V3_BDPV12</stp>
        <stp>ADSW4 BGN Curncy</stp>
        <stp>PX_MID</stp>
        <stp>[AUD_ASSETSWAP_SYNDICATE.xlsx]AUD CURVE TICKERS!R47C33</stp>
        <tr r="AG47" s="9"/>
      </tp>
      <tp>
        <v>2.4860000000000002</v>
        <stp/>
        <stp>##V3_BDPV12</stp>
        <stp>ADSW5 BGN Curncy</stp>
        <stp>PX_MID</stp>
        <stp>[AUD_ASSETSWAP_SYNDICATE.xlsx]AUD CURVE TICKERS!R48C33</stp>
        <tr r="AG48" s="9"/>
      </tp>
      <tp>
        <v>2.3937499999999998</v>
        <stp/>
        <stp>##V3_BDPV12</stp>
        <stp>ADSW4 BGN Curncy</stp>
        <stp>PX_MID</stp>
        <stp>[AUD_ASSETSWAP_SYNDICATE.xlsx]AUD CURVE TICKERS!R77C20</stp>
        <tr r="T77" s="9"/>
      </tp>
      <tp>
        <v>2.7574999999999998</v>
        <stp/>
        <stp>##V3_BDPV12</stp>
        <stp>ADSW9 BGN Curncy</stp>
        <stp>PX_MID</stp>
        <stp>[AUD_ASSETSWAP_SYNDICATE.xlsx]AUD CURVE TICKERS!R82C20</stp>
        <tr r="T82" s="9"/>
      </tp>
      <tp>
        <v>2.7050000000000001</v>
        <stp/>
        <stp>##V3_BDPV12</stp>
        <stp>ADSW8 BGN Curncy</stp>
        <stp>PX_MID</stp>
        <stp>[AUD_ASSETSWAP_SYNDICATE.xlsx]AUD CURVE TICKERS!R51C33</stp>
        <tr r="AG51" s="9"/>
      </tp>
      <tp>
        <v>2.7050000000000001</v>
        <stp/>
        <stp>##V3_BDPV12</stp>
        <stp>ADSW8 BGN Curncy</stp>
        <stp>PX_MID</stp>
        <stp>[AUD_ASSETSWAP_SYNDICATE.xlsx]AUD CURVE TICKERS!R81C20</stp>
        <tr r="T81" s="9"/>
      </tp>
      <tp>
        <v>2.7574999999999998</v>
        <stp/>
        <stp>##V3_BDPV12</stp>
        <stp>ADSW9 BGN Curncy</stp>
        <stp>PX_MID</stp>
        <stp>[AUD_ASSETSWAP_SYNDICATE.xlsx]AUD CURVE TICKERS!R52C33</stp>
        <tr r="AG52" s="9"/>
      </tp>
      <tp>
        <v>43.5</v>
        <stp/>
        <stp>##V3_BDPV12</stp>
        <stp>ADSF20 IAUS Curncy</stp>
        <stp>Ask</stp>
        <stp>[AUD_ASSETSWAP_SYNDICATE.xlsx]SYNDICATE AUD IRS!R25C8</stp>
        <tr r="H25" s="8"/>
      </tp>
      <tp>
        <v>40.625</v>
        <stp/>
        <stp>##V3_BDPV12</stp>
        <stp>ADSF30 IAUS Curncy</stp>
        <stp>Ask</stp>
        <stp>[AUD_ASSETSWAP_SYNDICATE.xlsx]SYNDICATE AUD IRS!R27C8</stp>
        <tr r="H27" s="8"/>
      </tp>
      <tp>
        <v>30</v>
        <stp/>
        <stp>##V3_BDPV12</stp>
        <stp>ADSF12 IAUS Curncy</stp>
        <stp>Ask</stp>
        <stp>[AUD_ASSETSWAP_SYNDICATE.xlsx]SYNDICATE AUD IRS!R23C8</stp>
        <tr r="H23" s="8"/>
      </tp>
      <tp>
        <v>38.25</v>
        <stp/>
        <stp>##V3_BDPV12</stp>
        <stp>ADSF15 IAUS Curncy</stp>
        <stp>Ask</stp>
        <stp>[AUD_ASSETSWAP_SYNDICATE.xlsx]SYNDICATE AUD IRS!R24C8</stp>
        <tr r="H24" s="8"/>
      </tp>
      <tp>
        <v>21.25</v>
        <stp/>
        <stp>##V3_BDPV12</stp>
        <stp>ADSF10 IAUS Curncy</stp>
        <stp>Ask</stp>
        <stp>[AUD_ASSETSWAP_SYNDICATE.xlsx]SYNDICATE AUD IRS!R22C8</stp>
        <tr r="H22" s="8"/>
      </tp>
      <tp>
        <v>43.5</v>
        <stp/>
        <stp>##V3_BDPV12</stp>
        <stp>ADSF25 IAUS Curncy</stp>
        <stp>Ask</stp>
        <stp>[AUD_ASSETSWAP_SYNDICATE.xlsx]SYNDICATE AUD IRS!R26C8</stp>
        <tr r="H26" s="8"/>
      </tp>
      <tp t="s">
        <v>14/12/2018</v>
        <stp/>
        <stp>##V3_BDPV12</stp>
        <stp>IR2   Comdty</stp>
        <stp>INT_RATE_FUT_START_DT</stp>
        <stp>[AUD_ASSETSWAP_SYNDICATE.xlsx]AUD CURVE TICKERS!R45C22</stp>
        <tr r="V45" s="9"/>
      </tp>
      <tp>
        <v>37.5</v>
        <stp/>
        <stp>##V3_BDPV12</stp>
        <stp>ADSF25 IAUS Curncy</stp>
        <stp>Bid</stp>
        <stp>[AUD_ASSETSWAP_SYNDICATE.xlsx]SYNDICATE AUD IRS!R26C7</stp>
        <tr r="G26" s="8"/>
      </tp>
      <tp>
        <v>13</v>
        <stp/>
        <stp>##V3_BDPV12</stp>
        <stp>ADBBCF8 BGN Curncy</stp>
        <stp>PX_MID</stp>
        <stp>[AUD_ASSETSWAP_SYNDICATE.xlsx]AUD CURVE TICKERS!R51C43</stp>
        <tr r="AQ51" s="9"/>
      </tp>
      <tp>
        <v>12.625</v>
        <stp/>
        <stp>##V3_BDPV12</stp>
        <stp>ADBBCF9 BGN Curncy</stp>
        <stp>PX_MID</stp>
        <stp>[AUD_ASSETSWAP_SYNDICATE.xlsx]AUD CURVE TICKERS!R52C43</stp>
        <tr r="AQ52" s="9"/>
      </tp>
      <tp>
        <v>14.75</v>
        <stp/>
        <stp>##V3_BDPV12</stp>
        <stp>ADBBCF1 BGN Curncy</stp>
        <stp>PX_MID</stp>
        <stp>[AUD_ASSETSWAP_SYNDICATE.xlsx]AUD CURVE TICKERS!R44C43</stp>
        <tr r="AQ44" s="9"/>
      </tp>
      <tp>
        <v>14.725</v>
        <stp/>
        <stp>##V3_BDPV12</stp>
        <stp>ADBBCF2 BGN Curncy</stp>
        <stp>PX_MID</stp>
        <stp>[AUD_ASSETSWAP_SYNDICATE.xlsx]AUD CURVE TICKERS!R45C43</stp>
        <tr r="AQ45" s="9"/>
      </tp>
      <tp>
        <v>14.5</v>
        <stp/>
        <stp>##V3_BDPV12</stp>
        <stp>ADBBCF3 BGN Curncy</stp>
        <stp>PX_MID</stp>
        <stp>[AUD_ASSETSWAP_SYNDICATE.xlsx]AUD CURVE TICKERS!R46C43</stp>
        <tr r="AQ46" s="9"/>
      </tp>
      <tp>
        <v>14.4</v>
        <stp/>
        <stp>##V3_BDPV12</stp>
        <stp>ADBBCF4 BGN Curncy</stp>
        <stp>PX_MID</stp>
        <stp>[AUD_ASSETSWAP_SYNDICATE.xlsx]AUD CURVE TICKERS!R47C43</stp>
        <tr r="AQ47" s="9"/>
      </tp>
      <tp>
        <v>14.225</v>
        <stp/>
        <stp>##V3_BDPV12</stp>
        <stp>ADBBCF5 BGN Curncy</stp>
        <stp>PX_MID</stp>
        <stp>[AUD_ASSETSWAP_SYNDICATE.xlsx]AUD CURVE TICKERS!R48C43</stp>
        <tr r="AQ48" s="9"/>
      </tp>
      <tp>
        <v>13.9</v>
        <stp/>
        <stp>##V3_BDPV12</stp>
        <stp>ADBBCF6 BGN Curncy</stp>
        <stp>PX_MID</stp>
        <stp>[AUD_ASSETSWAP_SYNDICATE.xlsx]AUD CURVE TICKERS!R49C43</stp>
        <tr r="AQ49" s="9"/>
      </tp>
      <tp>
        <v>13.5</v>
        <stp/>
        <stp>##V3_BDPV12</stp>
        <stp>ADBBCF7 BGN Curncy</stp>
        <stp>PX_MID</stp>
        <stp>[AUD_ASSETSWAP_SYNDICATE.xlsx]AUD CURVE TICKERS!R50C43</stp>
        <tr r="AQ50" s="9"/>
      </tp>
      <tp t="s">
        <v>08/03/2019</v>
        <stp/>
        <stp>##V3_BDPV12</stp>
        <stp>IR3   Comdty</stp>
        <stp>INT_RATE_FUT_START_DT</stp>
        <stp>[AUD_ASSETSWAP_SYNDICATE.xlsx]AUD CURVE TICKERS!R46C22</stp>
        <tr r="V46" s="9"/>
      </tp>
      <tp>
        <v>23</v>
        <stp/>
        <stp>##V3_BDPV12</stp>
        <stp>AU000XCLWAR9 Govt</stp>
        <stp>CALC_TYP</stp>
        <stp>[AUD_ASSETSWAP_SYNDICATE.xlsx]TAP AUD ASW!R31C6</stp>
        <tr r="F31" s="11"/>
      </tp>
      <tp>
        <v>16.25</v>
        <stp/>
        <stp>##V3_BDPV12</stp>
        <stp>ADSF10 IAUS Curncy</stp>
        <stp>Bid</stp>
        <stp>[AUD_ASSETSWAP_SYNDICATE.xlsx]SYNDICATE AUD IRS!R22C7</stp>
        <tr r="G22" s="8"/>
      </tp>
      <tp>
        <v>24</v>
        <stp/>
        <stp>##V3_BDPV12</stp>
        <stp>ADSF12 IAUS Curncy</stp>
        <stp>Bid</stp>
        <stp>[AUD_ASSETSWAP_SYNDICATE.xlsx]SYNDICATE AUD IRS!R23C7</stp>
        <tr r="G23" s="8"/>
      </tp>
      <tp>
        <v>32.25</v>
        <stp/>
        <stp>##V3_BDPV12</stp>
        <stp>ADSF15 IAUS Curncy</stp>
        <stp>Bid</stp>
        <stp>[AUD_ASSETSWAP_SYNDICATE.xlsx]SYNDICATE AUD IRS!R24C7</stp>
        <tr r="G24" s="8"/>
      </tp>
      <tp t="s">
        <v>14/09/2018</v>
        <stp/>
        <stp>##V3_BDPV12</stp>
        <stp>IR1   Comdty</stp>
        <stp>INT_RATE_FUT_START_DT</stp>
        <stp>[AUD_ASSETSWAP_SYNDICATE.xlsx]AUD CURVE TICKERS!R44C22</stp>
        <tr r="V44" s="9"/>
      </tp>
      <tp t="s">
        <v>13/12/2019</v>
        <stp/>
        <stp>##V3_BDPV12</stp>
        <stp>IR6   Comdty</stp>
        <stp>INT_RATE_FUT_START_DT</stp>
        <stp>[AUD_ASSETSWAP_SYNDICATE.xlsx]AUD CURVE TICKERS!R49C22</stp>
        <tr r="V49" s="9"/>
      </tp>
      <tp>
        <v>34.625</v>
        <stp/>
        <stp>##V3_BDPV12</stp>
        <stp>ADSF30 IAUS Curncy</stp>
        <stp>Bid</stp>
        <stp>[AUD_ASSETSWAP_SYNDICATE.xlsx]SYNDICATE AUD IRS!R27C7</stp>
        <tr r="G27" s="8"/>
      </tp>
      <tp t="s">
        <v>14/06/2019</v>
        <stp/>
        <stp>##V3_BDPV12</stp>
        <stp>IR4   Comdty</stp>
        <stp>INT_RATE_FUT_START_DT</stp>
        <stp>[AUD_ASSETSWAP_SYNDICATE.xlsx]AUD CURVE TICKERS!R47C22</stp>
        <tr r="V47" s="9"/>
      </tp>
      <tp>
        <v>37.5</v>
        <stp/>
        <stp>##V3_BDPV12</stp>
        <stp>ADSF20 IAUS Curncy</stp>
        <stp>Bid</stp>
        <stp>[AUD_ASSETSWAP_SYNDICATE.xlsx]SYNDICATE AUD IRS!R25C7</stp>
        <tr r="G25" s="8"/>
      </tp>
      <tp t="s">
        <v>13/09/2019</v>
        <stp/>
        <stp>##V3_BDPV12</stp>
        <stp>IR5   Comdty</stp>
        <stp>INT_RATE_FUT_START_DT</stp>
        <stp>[AUD_ASSETSWAP_SYNDICATE.xlsx]AUD CURVE TICKERS!R48C22</stp>
        <tr r="V48" s="9"/>
      </tp>
    </main>
    <main first="bloomberg.rtd">
      <tp t="s">
        <v>21/05/2018</v>
        <stp/>
        <stp>##V3_BDPV12</stp>
        <stp>AU000XCLWAR9 Govt</stp>
        <stp>PREV_CPN_DT</stp>
        <stp>[AUD_ASSETSWAP_SYNDICATE.xlsx]TAP AUD ASW!R34C6</stp>
        <tr r="F34" s="11"/>
      </tp>
      <tp>
        <v>2.1153</v>
        <stp/>
        <stp>##V3_BDHV12</stp>
        <stp>ADBB3M CMPN Curncy</stp>
        <stp>PX_ASK</stp>
        <stp>27/06/2018</stp>
        <stp>27/06/2018</stp>
        <stp>[AUD_ASSETSWAP_SYNDICATE.xlsx]TAP AUD ASW!R15C14</stp>
        <tr r="N15" s="11"/>
      </tp>
      <tp>
        <v>97.844999999999999</v>
        <stp/>
        <stp>##V3_BDPV12</stp>
        <stp>IR6   Comdty</stp>
        <stp>PX_MID</stp>
        <stp>[AUD_ASSETSWAP_SYNDICATE.xlsx]AUD CURVE TICKERS!R49C20</stp>
        <tr r="T49" s="9"/>
      </tp>
      <tp>
        <v>97.894999999999996</v>
        <stp/>
        <stp>##V3_BDPV12</stp>
        <stp>IR5   Comdty</stp>
        <stp>PX_MID</stp>
        <stp>[AUD_ASSETSWAP_SYNDICATE.xlsx]AUD CURVE TICKERS!R48C20</stp>
        <tr r="T48" s="9"/>
      </tp>
      <tp>
        <v>97.945000000000007</v>
        <stp/>
        <stp>##V3_BDPV12</stp>
        <stp>IR4   Comdty</stp>
        <stp>PX_MID</stp>
        <stp>[AUD_ASSETSWAP_SYNDICATE.xlsx]AUD CURVE TICKERS!R47C20</stp>
        <tr r="T47" s="9"/>
      </tp>
      <tp>
        <v>98.004999999999995</v>
        <stp/>
        <stp>##V3_BDPV12</stp>
        <stp>IR2   Comdty</stp>
        <stp>PX_MID</stp>
        <stp>[AUD_ASSETSWAP_SYNDICATE.xlsx]AUD CURVE TICKERS!R45C20</stp>
        <tr r="T45" s="9"/>
      </tp>
      <tp>
        <v>98.015000000000001</v>
        <stp/>
        <stp>##V3_BDPV12</stp>
        <stp>IR1   Comdty</stp>
        <stp>PX_MID</stp>
        <stp>[AUD_ASSETSWAP_SYNDICATE.xlsx]AUD CURVE TICKERS!R44C20</stp>
        <tr r="T44" s="9"/>
      </tp>
      <tp>
        <v>97.975000000000009</v>
        <stp/>
        <stp>##V3_BDPV12</stp>
        <stp>IR3   Comdty</stp>
        <stp>PX_MID</stp>
        <stp>[AUD_ASSETSWAP_SYNDICATE.xlsx]AUD CURVE TICKERS!R46C20</stp>
        <tr r="T46" s="9"/>
      </tp>
      <tp>
        <v>2.21</v>
        <stp/>
        <stp>##V3_BDPV12</stp>
        <stp>ADBB12M CMPN Curncy</stp>
        <stp>PX_ASK</stp>
        <stp>[AUD_ASSETSWAP_SYNDICATE.xlsx]SYNDICATE AUD IRS!R43C22</stp>
        <tr r="V43" s="8"/>
      </tp>
      <tp>
        <v>2.25</v>
        <stp/>
        <stp>##V3_BDPV12</stp>
        <stp>AU000XCLWAR9 Govt</stp>
        <stp>CPN</stp>
        <stp>[AUD_ASSETSWAP_SYNDICATE.xlsx]TAP AUD ASW!R22C6</stp>
        <tr r="F22" s="11"/>
      </tp>
      <tp>
        <v>43.375</v>
        <stp/>
        <stp>##V3_BDPV12</stp>
        <stp>ADBBCO15 BGN Curncy</stp>
        <stp>PX_MID</stp>
        <stp>[AUD_ASSETSWAP_SYNDICATE.xlsx]AUD CURVE TICKERS!R24C20</stp>
        <tr r="T24" s="9"/>
      </tp>
      <tp>
        <v>12.25</v>
        <stp/>
        <stp>##V3_BDPV12</stp>
        <stp>ADBBCF10 BGN Curncy</stp>
        <stp>PX_MID</stp>
        <stp>[AUD_ASSETSWAP_SYNDICATE.xlsx]AUD CURVE TICKERS!R53C43</stp>
        <tr r="AQ53" s="9"/>
      </tp>
      <tp>
        <v>43.125</v>
        <stp/>
        <stp>##V3_BDPV12</stp>
        <stp>ADBBCO10 BGN Curncy</stp>
        <stp>PX_MID</stp>
        <stp>[AUD_ASSETSWAP_SYNDICATE.xlsx]AUD CURVE TICKERS!R23C20</stp>
        <tr r="T23" s="9"/>
      </tp>
      <tp>
        <v>11</v>
        <stp/>
        <stp>##V3_BDPV12</stp>
        <stp>ADBBCF15 BGN Curncy</stp>
        <stp>PX_MID</stp>
        <stp>[AUD_ASSETSWAP_SYNDICATE.xlsx]AUD CURVE TICKERS!R54C43</stp>
        <tr r="AQ54" s="9"/>
      </tp>
      <tp>
        <v>11.4</v>
        <stp/>
        <stp>##V3_BDPV12</stp>
        <stp>ADBBCF30 BGN Curncy</stp>
        <stp>PX_MID</stp>
        <stp>[AUD_ASSETSWAP_SYNDICATE.xlsx]AUD CURVE TICKERS!R57C43</stp>
        <tr r="AQ57" s="9"/>
      </tp>
      <tp>
        <v>44.375</v>
        <stp/>
        <stp>##V3_BDPV12</stp>
        <stp>ADBBCO30 BGN Curncy</stp>
        <stp>PX_MID</stp>
        <stp>[AUD_ASSETSWAP_SYNDICATE.xlsx]AUD CURVE TICKERS!R27C20</stp>
        <tr r="T27" s="9"/>
      </tp>
      <tp>
        <v>44</v>
        <stp/>
        <stp>##V3_BDPV12</stp>
        <stp>ADBBCO25 BGN Curncy</stp>
        <stp>PX_MID</stp>
        <stp>[AUD_ASSETSWAP_SYNDICATE.xlsx]AUD CURVE TICKERS!R26C20</stp>
        <tr r="T26" s="9"/>
      </tp>
      <tp>
        <v>10.75</v>
        <stp/>
        <stp>##V3_BDPV12</stp>
        <stp>ADBBCF20 BGN Curncy</stp>
        <stp>PX_MID</stp>
        <stp>[AUD_ASSETSWAP_SYNDICATE.xlsx]AUD CURVE TICKERS!R55C43</stp>
        <tr r="AQ55" s="9"/>
      </tp>
      <tp>
        <v>43.625</v>
        <stp/>
        <stp>##V3_BDPV12</stp>
        <stp>ADBBCO20 BGN Curncy</stp>
        <stp>PX_MID</stp>
        <stp>[AUD_ASSETSWAP_SYNDICATE.xlsx]AUD CURVE TICKERS!R25C20</stp>
        <tr r="T25" s="9"/>
      </tp>
      <tp>
        <v>11</v>
        <stp/>
        <stp>##V3_BDPV12</stp>
        <stp>ADBBCF25 BGN Curncy</stp>
        <stp>PX_MID</stp>
        <stp>[AUD_ASSETSWAP_SYNDICATE.xlsx]AUD CURVE TICKERS!R56C43</stp>
        <tr r="AQ56" s="9"/>
      </tp>
      <tp>
        <v>2.2349999999999999</v>
        <stp/>
        <stp>##V3_BDPV12</stp>
        <stp>ADSW2   Curncy</stp>
        <stp>PX_MID</stp>
        <stp>[AUD_ASSETSWAP_SYNDICATE.xlsx]AUD CURVE TICKERS!R75C20</stp>
        <tr r="T75" s="9"/>
      </tp>
      <tp>
        <v>2.1825000000000001</v>
        <stp/>
        <stp>##V3_BDPV12</stp>
        <stp>ADSW1   Curncy</stp>
        <stp>PX_MID</stp>
        <stp>[AUD_ASSETSWAP_SYNDICATE.xlsx]AUD CURVE TICKERS!R74C20</stp>
        <tr r="T74" s="9"/>
      </tp>
      <tp>
        <v>1.5</v>
        <stp/>
        <stp>##V3_BDPV12</stp>
        <stp>RBACOR BGN Index</stp>
        <stp>PX_MID</stp>
        <stp>[AUD_ASSETSWAP_SYNDICATE.xlsx]AUD CURVE TICKERS!R14C10</stp>
        <tr r="J14" s="9"/>
      </tp>
      <tp>
        <v>9.875</v>
        <stp/>
        <stp>##V3_BDPV12</stp>
        <stp>ADBBCF30 IAUS Curncy</stp>
        <stp>Bid</stp>
        <stp>[AUD_ASSETSWAP_SYNDICATE.xlsx]SYNDICATE AUD IRS!R45C7</stp>
        <tr r="G45" s="8"/>
      </tp>
      <tp>
        <v>13.75</v>
        <stp/>
        <stp>##V3_BDPV12</stp>
        <stp>ADBBCF1 IAUS Curncy</stp>
        <stp>Bid</stp>
        <stp>[AUD_ASSETSWAP_SYNDICATE.xlsx]SYNDICATE AUD IRS!R31C7</stp>
        <tr r="G31" s="8"/>
      </tp>
      <tp>
        <v>13.625</v>
        <stp/>
        <stp>##V3_BDPV12</stp>
        <stp>ADBBCF2 IAUS Curncy</stp>
        <stp>Bid</stp>
        <stp>[AUD_ASSETSWAP_SYNDICATE.xlsx]SYNDICATE AUD IRS!R32C7</stp>
        <tr r="G32" s="8"/>
      </tp>
      <tp>
        <v>13.375</v>
        <stp/>
        <stp>##V3_BDPV12</stp>
        <stp>ADBBCF3 IAUS Curncy</stp>
        <stp>Bid</stp>
        <stp>[AUD_ASSETSWAP_SYNDICATE.xlsx]SYNDICATE AUD IRS!R33C7</stp>
        <tr r="G33" s="8"/>
      </tp>
      <tp>
        <v>13.375</v>
        <stp/>
        <stp>##V3_BDPV12</stp>
        <stp>ADBBCF4 IAUS Curncy</stp>
        <stp>Bid</stp>
        <stp>[AUD_ASSETSWAP_SYNDICATE.xlsx]SYNDICATE AUD IRS!R34C7</stp>
        <tr r="G34" s="8"/>
      </tp>
      <tp>
        <v>13.25</v>
        <stp/>
        <stp>##V3_BDPV12</stp>
        <stp>ADBBCF5 IAUS Curncy</stp>
        <stp>Bid</stp>
        <stp>[AUD_ASSETSWAP_SYNDICATE.xlsx]SYNDICATE AUD IRS!R35C7</stp>
        <tr r="G35" s="8"/>
      </tp>
      <tp>
        <v>12.875</v>
        <stp/>
        <stp>##V3_BDPV12</stp>
        <stp>ADBBCF6 IAUS Curncy</stp>
        <stp>Bid</stp>
        <stp>[AUD_ASSETSWAP_SYNDICATE.xlsx]SYNDICATE AUD IRS!R36C7</stp>
        <tr r="G36" s="8"/>
      </tp>
      <tp>
        <v>12.375</v>
        <stp/>
        <stp>##V3_BDPV12</stp>
        <stp>ADBBCF7 IAUS Curncy</stp>
        <stp>Bid</stp>
        <stp>[AUD_ASSETSWAP_SYNDICATE.xlsx]SYNDICATE AUD IRS!R37C7</stp>
        <tr r="G37" s="8"/>
      </tp>
      <tp>
        <v>12</v>
        <stp/>
        <stp>##V3_BDPV12</stp>
        <stp>ADBBCF8 IAUS Curncy</stp>
        <stp>Bid</stp>
        <stp>[AUD_ASSETSWAP_SYNDICATE.xlsx]SYNDICATE AUD IRS!R38C7</stp>
        <tr r="G38" s="8"/>
      </tp>
      <tp>
        <v>11.625</v>
        <stp/>
        <stp>##V3_BDPV12</stp>
        <stp>ADBBCF9 IAUS Curncy</stp>
        <stp>Bid</stp>
        <stp>[AUD_ASSETSWAP_SYNDICATE.xlsx]SYNDICATE AUD IRS!R39C7</stp>
        <tr r="G39" s="8"/>
      </tp>
      <tp>
        <v>9.5</v>
        <stp/>
        <stp>##V3_BDPV12</stp>
        <stp>ADBBCF15 IAUS Curncy</stp>
        <stp>Bid</stp>
        <stp>[AUD_ASSETSWAP_SYNDICATE.xlsx]SYNDICATE AUD IRS!R42C7</stp>
        <tr r="G42" s="8"/>
      </tp>
      <tp>
        <v>1.5</v>
        <stp/>
        <stp>##V3_BDPV12</stp>
        <stp>RBACOR Index</stp>
        <stp>PX_LAST</stp>
        <stp>[AUD_ASSETSWAP_SYNDICATE.xlsx]TAP AUD ASW!R37C16</stp>
        <tr r="P37" s="11"/>
      </tp>
      <tp>
        <v>9.375</v>
        <stp/>
        <stp>##V3_BDPV12</stp>
        <stp>ADBBCF25 IAUS Curncy</stp>
        <stp>Bid</stp>
        <stp>[AUD_ASSETSWAP_SYNDICATE.xlsx]SYNDICATE AUD IRS!R44C7</stp>
        <tr r="G44" s="8"/>
      </tp>
      <tp>
        <v>11.125</v>
        <stp/>
        <stp>##V3_BDPV12</stp>
        <stp>ADBBCF10 IAUS Curncy</stp>
        <stp>Bid</stp>
        <stp>[AUD_ASSETSWAP_SYNDICATE.xlsx]SYNDICATE AUD IRS!R40C7</stp>
        <tr r="G40" s="8"/>
      </tp>
      <tp>
        <v>97.91</v>
        <stp/>
        <stp>##V3_BDPV12</stp>
        <stp>YMA Comdty</stp>
        <stp>Bid</stp>
        <stp>[AUD_ASSETSWAP_SYNDICATE.xlsx]SYNDICATE AUD IRS!R6C7</stp>
        <tr r="G6" s="8"/>
      </tp>
      <tp>
        <v>9.125</v>
        <stp/>
        <stp>##V3_BDPV12</stp>
        <stp>ADBBCF20 IAUS Curncy</stp>
        <stp>Bid</stp>
        <stp>[AUD_ASSETSWAP_SYNDICATE.xlsx]SYNDICATE AUD IRS!R43C7</stp>
        <tr r="G43" s="8"/>
      </tp>
      <tp>
        <v>10</v>
        <stp/>
        <stp>##V3_BDPV12</stp>
        <stp>ADBBCF12 IAUS Curncy</stp>
        <stp>Bid</stp>
        <stp>[AUD_ASSETSWAP_SYNDICATE.xlsx]SYNDICATE AUD IRS!R41C7</stp>
        <tr r="G41" s="8"/>
      </tp>
      <tp>
        <v>97.375</v>
        <stp/>
        <stp>##V3_BDPV12</stp>
        <stp>XMA Comdty</stp>
        <stp>Bid</stp>
        <stp>[AUD_ASSETSWAP_SYNDICATE.xlsx]SYNDICATE AUD IRS!R9C7</stp>
        <tr r="G9" s="8"/>
      </tp>
      <tp>
        <v>13</v>
        <stp/>
        <stp>##V3_BDPV12</stp>
        <stp>ADBBCF12 IAUS Curncy</stp>
        <stp>Ask</stp>
        <stp>[AUD_ASSETSWAP_SYNDICATE.xlsx]SYNDICATE AUD IRS!R41C8</stp>
        <tr r="H41" s="8"/>
      </tp>
      <tp>
        <v>12.125</v>
        <stp/>
        <stp>##V3_BDPV12</stp>
        <stp>ADBBCF20 IAUS Curncy</stp>
        <stp>Ask</stp>
        <stp>[AUD_ASSETSWAP_SYNDICATE.xlsx]SYNDICATE AUD IRS!R43C8</stp>
        <tr r="H43" s="8"/>
      </tp>
      <tp>
        <v>2.1153</v>
        <stp/>
        <stp>##V3_BDHV12</stp>
        <stp>ADBB3M CMPN Curncy</stp>
        <stp>PX_ASK</stp>
        <stp>27/06/2018</stp>
        <stp>27/06/2018</stp>
        <stp>[AUD_ASSETSWAP_SYNDICATE.xlsx]SYNDICATE AUD IRS!R16C20</stp>
        <tr r="T16" s="8"/>
      </tp>
      <tp>
        <v>13.125</v>
        <stp/>
        <stp>##V3_BDPV12</stp>
        <stp>ADBBCF10 IAUS Curncy</stp>
        <stp>Ask</stp>
        <stp>[AUD_ASSETSWAP_SYNDICATE.xlsx]SYNDICATE AUD IRS!R40C8</stp>
        <tr r="H40" s="8"/>
      </tp>
      <tp>
        <v>12.375</v>
        <stp/>
        <stp>##V3_BDPV12</stp>
        <stp>ADBBCF25 IAUS Curncy</stp>
        <stp>Ask</stp>
        <stp>[AUD_ASSETSWAP_SYNDICATE.xlsx]SYNDICATE AUD IRS!R44C8</stp>
        <tr r="H44" s="8"/>
      </tp>
      <tp t="s">
        <v>21/05/2016</v>
        <stp/>
        <stp>##V3_BDPV12</stp>
        <stp>AU000XCLWAR9 Govt</stp>
        <stp>FIRST_CPN_DT</stp>
        <stp>[AUD_ASSETSWAP_SYNDICATE.xlsx]TAP AUD ASW!R19C6</stp>
        <tr r="F19" s="11"/>
      </tp>
      <tp>
        <v>12.5</v>
        <stp/>
        <stp>##V3_BDPV12</stp>
        <stp>ADBBCF15 IAUS Curncy</stp>
        <stp>Ask</stp>
        <stp>[AUD_ASSETSWAP_SYNDICATE.xlsx]SYNDICATE AUD IRS!R42C8</stp>
        <tr r="H42" s="8"/>
      </tp>
      <tp>
        <v>15.75</v>
        <stp/>
        <stp>##V3_BDPV12</stp>
        <stp>ADBBCF1 IAUS Curncy</stp>
        <stp>Ask</stp>
        <stp>[AUD_ASSETSWAP_SYNDICATE.xlsx]SYNDICATE AUD IRS!R31C8</stp>
        <tr r="H31" s="8"/>
      </tp>
      <tp>
        <v>15.625</v>
        <stp/>
        <stp>##V3_BDPV12</stp>
        <stp>ADBBCF2 IAUS Curncy</stp>
        <stp>Ask</stp>
        <stp>[AUD_ASSETSWAP_SYNDICATE.xlsx]SYNDICATE AUD IRS!R32C8</stp>
        <tr r="H32" s="8"/>
      </tp>
      <tp>
        <v>15.375</v>
        <stp/>
        <stp>##V3_BDPV12</stp>
        <stp>ADBBCF3 IAUS Curncy</stp>
        <stp>Ask</stp>
        <stp>[AUD_ASSETSWAP_SYNDICATE.xlsx]SYNDICATE AUD IRS!R33C8</stp>
        <tr r="H33" s="8"/>
      </tp>
      <tp>
        <v>15.375</v>
        <stp/>
        <stp>##V3_BDPV12</stp>
        <stp>ADBBCF4 IAUS Curncy</stp>
        <stp>Ask</stp>
        <stp>[AUD_ASSETSWAP_SYNDICATE.xlsx]SYNDICATE AUD IRS!R34C8</stp>
        <tr r="H34" s="8"/>
      </tp>
      <tp>
        <v>15.25</v>
        <stp/>
        <stp>##V3_BDPV12</stp>
        <stp>ADBBCF5 IAUS Curncy</stp>
        <stp>Ask</stp>
        <stp>[AUD_ASSETSWAP_SYNDICATE.xlsx]SYNDICATE AUD IRS!R35C8</stp>
        <tr r="H35" s="8"/>
      </tp>
      <tp>
        <v>14.875</v>
        <stp/>
        <stp>##V3_BDPV12</stp>
        <stp>ADBBCF6 IAUS Curncy</stp>
        <stp>Ask</stp>
        <stp>[AUD_ASSETSWAP_SYNDICATE.xlsx]SYNDICATE AUD IRS!R36C8</stp>
        <tr r="H36" s="8"/>
      </tp>
      <tp>
        <v>14.375</v>
        <stp/>
        <stp>##V3_BDPV12</stp>
        <stp>ADBBCF7 IAUS Curncy</stp>
        <stp>Ask</stp>
        <stp>[AUD_ASSETSWAP_SYNDICATE.xlsx]SYNDICATE AUD IRS!R37C8</stp>
        <tr r="H37" s="8"/>
      </tp>
      <tp>
        <v>14</v>
        <stp/>
        <stp>##V3_BDPV12</stp>
        <stp>ADBBCF8 IAUS Curncy</stp>
        <stp>Ask</stp>
        <stp>[AUD_ASSETSWAP_SYNDICATE.xlsx]SYNDICATE AUD IRS!R38C8</stp>
        <tr r="H38" s="8"/>
      </tp>
      <tp>
        <v>13.625</v>
        <stp/>
        <stp>##V3_BDPV12</stp>
        <stp>ADBBCF9 IAUS Curncy</stp>
        <stp>Ask</stp>
        <stp>[AUD_ASSETSWAP_SYNDICATE.xlsx]SYNDICATE AUD IRS!R39C8</stp>
        <tr r="H39" s="8"/>
      </tp>
      <tp>
        <v>12.875</v>
        <stp/>
        <stp>##V3_BDPV12</stp>
        <stp>ADBBCF30 IAUS Curncy</stp>
        <stp>Ask</stp>
        <stp>[AUD_ASSETSWAP_SYNDICATE.xlsx]SYNDICATE AUD IRS!R45C8</stp>
        <tr r="H45" s="8"/>
      </tp>
      <tp t="s">
        <v>21/11/2015</v>
        <stp/>
        <stp>##V3_BDPV12</stp>
        <stp>AU000XCLWAR9 Govt</stp>
        <stp>START_ACC_DT</stp>
        <stp>[AUD_ASSETSWAP_SYNDICATE.xlsx]TAP AUD ASW!R18C6</stp>
        <tr r="F18" s="11"/>
      </tp>
      <tp>
        <v>97.38</v>
        <stp/>
        <stp>##V3_BDPV12</stp>
        <stp>XMA Comdty</stp>
        <stp>Ask</stp>
        <stp>[AUD_ASSETSWAP_SYNDICATE.xlsx]SYNDICATE AUD IRS!R9C8</stp>
        <tr r="H9" s="8"/>
      </tp>
      <tp>
        <v>1.5</v>
        <stp/>
        <stp>##V3_BDPV12</stp>
        <stp>RBACOR Index</stp>
        <stp>PX_LAST</stp>
        <stp>[AUD_ASSETSWAP_SYNDICATE.xlsx]SYNDICATE AUD IRS!R38C22</stp>
        <tr r="V38" s="8"/>
      </tp>
      <tp>
        <v>2.6230329999999999</v>
        <stp/>
        <stp>##V3_BDPV12</stp>
        <stp>AU000XCLWAR9 Govt</stp>
        <stp>YAS_BOND_YLD</stp>
        <stp>[AUD_ASSETSWAP_SYNDICATE.xlsx]TAP AUD ASW!R13C3</stp>
        <tr r="C13" s="11"/>
      </tp>
      <tp>
        <v>97.915000000000006</v>
        <stp/>
        <stp>##V3_BDPV12</stp>
        <stp>YMA Comdty</stp>
        <stp>Ask</stp>
        <stp>[AUD_ASSETSWAP_SYNDICATE.xlsx]SYNDICATE AUD IRS!R6C8</stp>
        <tr r="H6" s="8"/>
      </tp>
      <tp>
        <v>-5.75</v>
        <stp/>
        <stp>##V3_BDPV12</stp>
        <stp>ADSF1Q WBCA Curncy</stp>
        <stp>Ask</stp>
        <stp>[AUD_ASSETSWAP_SYNDICATE.xlsx]SYNDICATE AUD IRS!R13C8</stp>
        <tr r="H13" s="8"/>
      </tp>
      <tp t="s">
        <v>21/11/2027</v>
        <stp/>
        <stp>##V3_BDPV12</stp>
        <stp>AU000XCLWAR9 Govt</stp>
        <stp>PENULTIMATE_CPN_DT</stp>
        <stp>[AUD_ASSETSWAP_SYNDICATE.xlsx]TAP AUD ASW!R20C6</stp>
        <tr r="F20" s="11"/>
      </tp>
      <tp>
        <v>2.23</v>
        <stp/>
        <stp>##V3_BDPV12</stp>
        <stp>ADBB6M   Curncy</stp>
        <stp>PX_MID</stp>
        <stp>[AUD_ASSETSWAP_SYNDICATE.xlsx]AUD CURVE TICKERS!R46C10</stp>
        <tr r="J46" s="9"/>
      </tp>
      <tp>
        <v>2.1153</v>
        <stp/>
        <stp>##V3_BDPV12</stp>
        <stp>ADBB3M   Curncy</stp>
        <stp>PX_MID</stp>
        <stp>[AUD_ASSETSWAP_SYNDICATE.xlsx]AUD CURVE TICKERS!R45C10</stp>
        <tr r="J45" s="9"/>
      </tp>
      <tp>
        <v>2.0099999999999998</v>
        <stp/>
        <stp>##V3_BDPV12</stp>
        <stp>ADBB1M   Curncy</stp>
        <stp>PX_MID</stp>
        <stp>[AUD_ASSETSWAP_SYNDICATE.xlsx]AUD CURVE TICKERS!R44C10</stp>
        <tr r="J44" s="9"/>
      </tp>
      <tp t="s">
        <v>21/11/2018</v>
        <stp/>
        <stp>##V3_BDPV12</stp>
        <stp>AU000XCLWAR9 Govt</stp>
        <stp>NXT_CPN_DT</stp>
        <stp>[AUD_ASSETSWAP_SYNDICATE.xlsx]TAP AUD ASW!R35C6</stp>
        <tr r="F35" s="11"/>
      </tp>
      <tp>
        <v>-5.75</v>
        <stp/>
        <stp>##V3_BDPV12</stp>
        <stp>ADSF1Q WBCA Curncy</stp>
        <stp>Bid</stp>
        <stp>[AUD_ASSETSWAP_SYNDICATE.xlsx]SYNDICATE AUD IRS!R13C7</stp>
        <tr r="G13" s="8"/>
      </tp>
      <tp>
        <v>9.25</v>
        <stp/>
        <stp>##V3_BDPV12</stp>
        <stp>ADSF3Q IAUS Curncy</stp>
        <stp>Ask</stp>
        <stp>[AUD_ASSETSWAP_SYNDICATE.xlsx]SYNDICATE AUD IRS!R15C8</stp>
        <tr r="H15" s="8"/>
      </tp>
      <tp>
        <v>1.25</v>
        <stp/>
        <stp>##V3_BDPV12</stp>
        <stp>ADSF2Q IAUS Curncy</stp>
        <stp>Ask</stp>
        <stp>[AUD_ASSETSWAP_SYNDICATE.xlsx]SYNDICATE AUD IRS!R14C8</stp>
        <tr r="H14" s="8"/>
      </tp>
      <tp>
        <v>2.1440000000000001</v>
        <stp/>
        <stp>##V3_BDPV12</stp>
        <stp>ADFR0CI   Curncy</stp>
        <stp>PX_MID</stp>
        <stp>[AUD_ASSETSWAP_SYNDICATE.xlsx]AUD CURVE TICKERS!R76C10</stp>
        <tr r="J76" s="9"/>
      </tp>
      <tp>
        <v>2.1459999999999999</v>
        <stp/>
        <stp>##V3_BDPV12</stp>
        <stp>ADFR0BH   Curncy</stp>
        <stp>PX_MID</stp>
        <stp>[AUD_ASSETSWAP_SYNDICATE.xlsx]AUD CURVE TICKERS!R75C10</stp>
        <tr r="J75" s="9"/>
      </tp>
      <tp>
        <v>2.1589999999999998</v>
        <stp/>
        <stp>##V3_BDPV12</stp>
        <stp>ADFR0AG   Curncy</stp>
        <stp>PX_MID</stp>
        <stp>[AUD_ASSETSWAP_SYNDICATE.xlsx]AUD CURVE TICKERS!R74C10</stp>
        <tr r="J74" s="9"/>
      </tp>
      <tp>
        <v>2.3050000000000002</v>
        <stp/>
        <stp>##V3_BDPV12</stp>
        <stp>ADSW3    Curncy</stp>
        <stp>PX_MID</stp>
        <stp>[AUD_ASSETSWAP_SYNDICATE.xlsx]AUD CURVE TICKERS!R76C20</stp>
        <tr r="T76" s="9"/>
      </tp>
      <tp>
        <v>2.2200000000000002</v>
        <stp/>
        <stp>##V3_BDPV12</stp>
        <stp>ADBB6M CMPN Curncy</stp>
        <stp>PX_ASK</stp>
        <stp>[AUD_ASSETSWAP_SYNDICATE.xlsx]SYNDICATE AUD IRS!R42C22</stp>
        <tr r="V42" s="8"/>
      </tp>
      <tp>
        <v>2.06</v>
        <stp/>
        <stp>##V3_BDPV12</stp>
        <stp>ADBB2M CMPN Curncy</stp>
        <stp>PX_ASK</stp>
        <stp>[AUD_ASSETSWAP_SYNDICATE.xlsx]SYNDICATE AUD IRS!R40C22</stp>
        <tr r="V40" s="8"/>
      </tp>
      <tp>
        <v>2.1153</v>
        <stp/>
        <stp>##V3_BDPV12</stp>
        <stp>ADBB3M CMPN Curncy</stp>
        <stp>PX_ASK</stp>
        <stp>[AUD_ASSETSWAP_SYNDICATE.xlsx]SYNDICATE AUD IRS!R41C22</stp>
        <tr r="V41" s="8"/>
      </tp>
      <tp>
        <v>2</v>
        <stp/>
        <stp>##V3_BDPV12</stp>
        <stp>ADBB1M CMPN Curncy</stp>
        <stp>PX_ASK</stp>
        <stp>[AUD_ASSETSWAP_SYNDICATE.xlsx]SYNDICATE AUD IRS!R39C22</stp>
        <tr r="V39" s="8"/>
      </tp>
      <tp>
        <v>2.0295000000000001</v>
        <stp/>
        <stp>##V3_BDPV12</stp>
        <stp>ADSW1Q BGN Curncy</stp>
        <stp>PX_MID</stp>
        <stp>[AUD_ASSETSWAP_SYNDICATE.xlsx]AUD CURVE TICKERS!R44C33</stp>
        <tr r="AG44" s="9"/>
      </tp>
      <tp>
        <v>1.5</v>
        <stp/>
        <stp>##V3_BDPV12</stp>
        <stp>ADSO1Z BGN Curncy</stp>
        <stp>PX_MID</stp>
        <stp>[AUD_ASSETSWAP_SYNDICATE.xlsx]AUD CURVE TICKERS!R15C10</stp>
        <tr r="J15" s="9"/>
      </tp>
      <tp>
        <v>2.9729999999999999</v>
        <stp/>
        <stp>##V3_BDPV12</stp>
        <stp>ADSW15 BGN Curncy</stp>
        <stp>PX_MID</stp>
        <stp>[AUD_ASSETSWAP_SYNDICATE.xlsx]AUD CURVE TICKERS!R54C33</stp>
        <tr r="AG54" s="9"/>
      </tp>
      <tp>
        <v>2.9729999999999999</v>
        <stp/>
        <stp>##V3_BDPV12</stp>
        <stp>ADSW15 BGN Curncy</stp>
        <stp>PX_MID</stp>
        <stp>[AUD_ASSETSWAP_SYNDICATE.xlsx]AUD CURVE TICKERS!R85C20</stp>
        <tr r="T85" s="9"/>
      </tp>
      <tp>
        <v>2.46</v>
        <stp/>
        <stp>##V3_BDPV12</stp>
        <stp>ADSO15 BGN Curncy</stp>
        <stp>PX_MID</stp>
        <stp>[AUD_ASSETSWAP_SYNDICATE.xlsx]AUD CURVE TICKERS!R33C10</stp>
        <tr r="J33" s="9"/>
      </tp>
      <tp>
        <v>2.8065000000000002</v>
        <stp/>
        <stp>##V3_BDPV12</stp>
        <stp>ADSW10 BGN Curncy</stp>
        <stp>PX_MID</stp>
        <stp>[AUD_ASSETSWAP_SYNDICATE.xlsx]AUD CURVE TICKERS!R83C20</stp>
        <tr r="T83" s="9"/>
      </tp>
      <tp>
        <v>2.8065000000000002</v>
        <stp/>
        <stp>##V3_BDPV12</stp>
        <stp>ADSW10 BGN Curncy</stp>
        <stp>PX_MID</stp>
        <stp>[AUD_ASSETSWAP_SYNDICATE.xlsx]AUD CURVE TICKERS!R53C33</stp>
        <tr r="AG53" s="9"/>
      </tp>
      <tp>
        <v>2.89</v>
        <stp/>
        <stp>##V3_BDPV12</stp>
        <stp>ADSW12 BGN Curncy</stp>
        <stp>PX_MID</stp>
        <stp>[AUD_ASSETSWAP_SYNDICATE.xlsx]AUD CURVE TICKERS!R84C20</stp>
        <tr r="T84" s="9"/>
      </tp>
      <tp>
        <v>2.2850000000000001</v>
        <stp/>
        <stp>##V3_BDPV12</stp>
        <stp>ADSO10 BGN Curncy</stp>
        <stp>PX_MID</stp>
        <stp>[AUD_ASSETSWAP_SYNDICATE.xlsx]AUD CURVE TICKERS!R32C10</stp>
        <tr r="J32" s="9"/>
      </tp>
      <tp>
        <v>2.08</v>
        <stp/>
        <stp>##V3_BDPV12</stp>
        <stp>ADSW2Q BGN Curncy</stp>
        <stp>PX_MID</stp>
        <stp>[AUD_ASSETSWAP_SYNDICATE.xlsx]AUD CURVE TICKERS!R45C33</stp>
        <tr r="AG45" s="9"/>
      </tp>
      <tp>
        <v>3.0237500000000002</v>
        <stp/>
        <stp>##V3_BDPV12</stp>
        <stp>ADSW25 BGN Curncy</stp>
        <stp>PX_MID</stp>
        <stp>[AUD_ASSETSWAP_SYNDICATE.xlsx]AUD CURVE TICKERS!R56C33</stp>
        <tr r="AG56" s="9"/>
      </tp>
      <tp>
        <v>3.0237500000000002</v>
        <stp/>
        <stp>##V3_BDPV12</stp>
        <stp>ADSW25 BGN Curncy</stp>
        <stp>PX_MID</stp>
        <stp>[AUD_ASSETSWAP_SYNDICATE.xlsx]AUD CURVE TICKERS!R87C20</stp>
        <tr r="T87" s="9"/>
      </tp>
      <tp>
        <v>2.508</v>
        <stp/>
        <stp>##V3_BDPV12</stp>
        <stp>ADSO25 BGN Curncy</stp>
        <stp>PX_MID</stp>
        <stp>[AUD_ASSETSWAP_SYNDICATE.xlsx]AUD CURVE TICKERS!R35C10</stp>
        <tr r="J35" s="9"/>
      </tp>
      <tp>
        <v>3.0249999999999999</v>
        <stp/>
        <stp>##V3_BDPV12</stp>
        <stp>ADSW20 BGN Curncy</stp>
        <stp>PX_MID</stp>
        <stp>[AUD_ASSETSWAP_SYNDICATE.xlsx]AUD CURVE TICKERS!R86C20</stp>
        <tr r="T86" s="9"/>
      </tp>
      <tp>
        <v>3.0249999999999999</v>
        <stp/>
        <stp>##V3_BDPV12</stp>
        <stp>ADSW20 BGN Curncy</stp>
        <stp>PX_MID</stp>
        <stp>[AUD_ASSETSWAP_SYNDICATE.xlsx]AUD CURVE TICKERS!R55C33</stp>
        <tr r="AG55" s="9"/>
      </tp>
      <tp>
        <v>2.4609999999999999</v>
        <stp/>
        <stp>##V3_BDPV12</stp>
        <stp>ADSO20 BGN Curncy</stp>
        <stp>PX_MID</stp>
        <stp>[AUD_ASSETSWAP_SYNDICATE.xlsx]AUD CURVE TICKERS!R34C10</stp>
        <tr r="J34" s="9"/>
      </tp>
      <tp>
        <v>2.1575000000000002</v>
        <stp/>
        <stp>##V3_BDPV12</stp>
        <stp>ADSW3Q BGN Curncy</stp>
        <stp>PX_MID</stp>
        <stp>[AUD_ASSETSWAP_SYNDICATE.xlsx]AUD CURVE TICKERS!R46C33</stp>
        <tr r="AG46" s="9"/>
      </tp>
      <tp>
        <v>2.9962499999999999</v>
        <stp/>
        <stp>##V3_BDPV12</stp>
        <stp>ADSW30 BGN Curncy</stp>
        <stp>PX_MID</stp>
        <stp>[AUD_ASSETSWAP_SYNDICATE.xlsx]AUD CURVE TICKERS!R88C20</stp>
        <tr r="T88" s="9"/>
      </tp>
      <tp>
        <v>2.9962499999999999</v>
        <stp/>
        <stp>##V3_BDPV12</stp>
        <stp>ADSW30 BGN Curncy</stp>
        <stp>PX_MID</stp>
        <stp>[AUD_ASSETSWAP_SYNDICATE.xlsx]AUD CURVE TICKERS!R57C33</stp>
        <tr r="AG57" s="9"/>
      </tp>
      <tp>
        <v>2.4039999999999999</v>
        <stp/>
        <stp>##V3_BDPV12</stp>
        <stp>ADSO30 BGN Curncy</stp>
        <stp>PX_MID</stp>
        <stp>[AUD_ASSETSWAP_SYNDICATE.xlsx]AUD CURVE TICKERS!R36C10</stp>
        <tr r="J36" s="9"/>
      </tp>
      <tp>
        <v>2.21</v>
        <stp/>
        <stp>##V3_BDPV12</stp>
        <stp>ADBB12M CMPN Curncy</stp>
        <stp>PX_ASK</stp>
        <stp>[AUD_ASSETSWAP_SYNDICATE.xlsx]TAP AUD ASW!R42C16</stp>
        <tr r="P42" s="11"/>
      </tp>
      <tp>
        <v>-3.75</v>
        <stp/>
        <stp>##V3_BDPV12</stp>
        <stp>ADSF2Q IAUS Curncy</stp>
        <stp>Bid</stp>
        <stp>[AUD_ASSETSWAP_SYNDICATE.xlsx]SYNDICATE AUD IRS!R14C7</stp>
        <tr r="G14" s="8"/>
      </tp>
      <tp>
        <v>4.25</v>
        <stp/>
        <stp>##V3_BDPV12</stp>
        <stp>ADSF3Q IAUS Curncy</stp>
        <stp>Bid</stp>
        <stp>[AUD_ASSETSWAP_SYNDICATE.xlsx]SYNDICATE AUD IRS!R15C7</stp>
        <tr r="G15" s="8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70974748846049"/>
          <c:y val="4.5554181585436192E-2"/>
          <c:w val="0.80287084804054665"/>
          <c:h val="0.74781519131568153"/>
        </c:manualLayout>
      </c:layout>
      <c:lineChart>
        <c:grouping val="standard"/>
        <c:varyColors val="0"/>
        <c:ser>
          <c:idx val="0"/>
          <c:order val="0"/>
          <c:tx>
            <c:strRef>
              <c:f>SETTINGS!$R$2</c:f>
              <c:strCache>
                <c:ptCount val="1"/>
                <c:pt idx="0">
                  <c:v>AUDOIS</c:v>
                </c:pt>
              </c:strCache>
            </c:strRef>
          </c:tx>
          <c:marker>
            <c:symbol val="none"/>
          </c:marker>
          <c:cat>
            <c:numRef>
              <c:f>SETTINGS!$Q$3:$Q$199</c:f>
              <c:numCache>
                <c:formatCode>ddd\,\ d\-mmm\-yy</c:formatCode>
                <c:ptCount val="197"/>
                <c:pt idx="0">
                  <c:v>43278</c:v>
                </c:pt>
                <c:pt idx="1">
                  <c:v>43370</c:v>
                </c:pt>
                <c:pt idx="2">
                  <c:v>43461</c:v>
                </c:pt>
                <c:pt idx="3">
                  <c:v>43551</c:v>
                </c:pt>
                <c:pt idx="4">
                  <c:v>43643</c:v>
                </c:pt>
                <c:pt idx="5">
                  <c:v>43735</c:v>
                </c:pt>
                <c:pt idx="6">
                  <c:v>43826</c:v>
                </c:pt>
                <c:pt idx="7">
                  <c:v>43917</c:v>
                </c:pt>
                <c:pt idx="8">
                  <c:v>44011</c:v>
                </c:pt>
                <c:pt idx="9">
                  <c:v>44102</c:v>
                </c:pt>
                <c:pt idx="10">
                  <c:v>44193</c:v>
                </c:pt>
                <c:pt idx="11">
                  <c:v>44284</c:v>
                </c:pt>
                <c:pt idx="12">
                  <c:v>44375</c:v>
                </c:pt>
                <c:pt idx="13">
                  <c:v>44466</c:v>
                </c:pt>
                <c:pt idx="14">
                  <c:v>44557</c:v>
                </c:pt>
                <c:pt idx="15">
                  <c:v>44648</c:v>
                </c:pt>
                <c:pt idx="16">
                  <c:v>44739</c:v>
                </c:pt>
                <c:pt idx="17">
                  <c:v>44831</c:v>
                </c:pt>
                <c:pt idx="18">
                  <c:v>44922</c:v>
                </c:pt>
                <c:pt idx="19">
                  <c:v>45012</c:v>
                </c:pt>
                <c:pt idx="20">
                  <c:v>45104</c:v>
                </c:pt>
                <c:pt idx="21">
                  <c:v>45196</c:v>
                </c:pt>
                <c:pt idx="22">
                  <c:v>45287</c:v>
                </c:pt>
                <c:pt idx="23">
                  <c:v>45378</c:v>
                </c:pt>
                <c:pt idx="24">
                  <c:v>45470</c:v>
                </c:pt>
                <c:pt idx="25">
                  <c:v>45562</c:v>
                </c:pt>
                <c:pt idx="26">
                  <c:v>45653</c:v>
                </c:pt>
                <c:pt idx="27">
                  <c:v>45743</c:v>
                </c:pt>
                <c:pt idx="28">
                  <c:v>45835</c:v>
                </c:pt>
                <c:pt idx="29">
                  <c:v>45929</c:v>
                </c:pt>
                <c:pt idx="30">
                  <c:v>46020</c:v>
                </c:pt>
                <c:pt idx="31">
                  <c:v>46108</c:v>
                </c:pt>
                <c:pt idx="32">
                  <c:v>46202</c:v>
                </c:pt>
                <c:pt idx="33">
                  <c:v>46293</c:v>
                </c:pt>
                <c:pt idx="34">
                  <c:v>46384</c:v>
                </c:pt>
                <c:pt idx="35">
                  <c:v>46475</c:v>
                </c:pt>
                <c:pt idx="36">
                  <c:v>46566</c:v>
                </c:pt>
                <c:pt idx="37">
                  <c:v>46657</c:v>
                </c:pt>
                <c:pt idx="38">
                  <c:v>46748</c:v>
                </c:pt>
                <c:pt idx="39">
                  <c:v>46839</c:v>
                </c:pt>
                <c:pt idx="40">
                  <c:v>46931</c:v>
                </c:pt>
                <c:pt idx="41">
                  <c:v>47023</c:v>
                </c:pt>
                <c:pt idx="42">
                  <c:v>47114</c:v>
                </c:pt>
                <c:pt idx="43">
                  <c:v>47204</c:v>
                </c:pt>
                <c:pt idx="44">
                  <c:v>47296</c:v>
                </c:pt>
                <c:pt idx="45">
                  <c:v>47388</c:v>
                </c:pt>
                <c:pt idx="46">
                  <c:v>47479</c:v>
                </c:pt>
                <c:pt idx="47">
                  <c:v>47569</c:v>
                </c:pt>
                <c:pt idx="48">
                  <c:v>47661</c:v>
                </c:pt>
                <c:pt idx="49">
                  <c:v>47753</c:v>
                </c:pt>
                <c:pt idx="50">
                  <c:v>47844</c:v>
                </c:pt>
                <c:pt idx="51">
                  <c:v>47934</c:v>
                </c:pt>
                <c:pt idx="52">
                  <c:v>48026</c:v>
                </c:pt>
                <c:pt idx="53">
                  <c:v>48120</c:v>
                </c:pt>
                <c:pt idx="54">
                  <c:v>48211</c:v>
                </c:pt>
                <c:pt idx="55">
                  <c:v>48302</c:v>
                </c:pt>
                <c:pt idx="56">
                  <c:v>48393</c:v>
                </c:pt>
                <c:pt idx="57">
                  <c:v>48484</c:v>
                </c:pt>
                <c:pt idx="58">
                  <c:v>48575</c:v>
                </c:pt>
                <c:pt idx="59">
                  <c:v>48666</c:v>
                </c:pt>
                <c:pt idx="60">
                  <c:v>48757</c:v>
                </c:pt>
                <c:pt idx="61">
                  <c:v>48849</c:v>
                </c:pt>
                <c:pt idx="62">
                  <c:v>48940</c:v>
                </c:pt>
                <c:pt idx="63">
                  <c:v>49030</c:v>
                </c:pt>
                <c:pt idx="64">
                  <c:v>49122</c:v>
                </c:pt>
                <c:pt idx="65">
                  <c:v>49214</c:v>
                </c:pt>
                <c:pt idx="66">
                  <c:v>49305</c:v>
                </c:pt>
                <c:pt idx="67">
                  <c:v>49395</c:v>
                </c:pt>
                <c:pt idx="68">
                  <c:v>49487</c:v>
                </c:pt>
                <c:pt idx="69">
                  <c:v>49579</c:v>
                </c:pt>
                <c:pt idx="70">
                  <c:v>49670</c:v>
                </c:pt>
                <c:pt idx="71">
                  <c:v>49761</c:v>
                </c:pt>
                <c:pt idx="72">
                  <c:v>49853</c:v>
                </c:pt>
                <c:pt idx="73">
                  <c:v>49947</c:v>
                </c:pt>
                <c:pt idx="74">
                  <c:v>50038</c:v>
                </c:pt>
                <c:pt idx="75">
                  <c:v>50126</c:v>
                </c:pt>
                <c:pt idx="76">
                  <c:v>50220</c:v>
                </c:pt>
                <c:pt idx="77">
                  <c:v>50311</c:v>
                </c:pt>
                <c:pt idx="78">
                  <c:v>50402</c:v>
                </c:pt>
                <c:pt idx="79">
                  <c:v>50493</c:v>
                </c:pt>
                <c:pt idx="80">
                  <c:v>50584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SETTINGS!$R$3:$R$199</c:f>
              <c:numCache>
                <c:formatCode>0.00000%</c:formatCode>
                <c:ptCount val="197"/>
                <c:pt idx="0">
                  <c:v>1.4999999999979474E-2</c:v>
                </c:pt>
                <c:pt idx="1">
                  <c:v>1.4954484691129871E-2</c:v>
                </c:pt>
                <c:pt idx="2">
                  <c:v>1.5027709188965073E-2</c:v>
                </c:pt>
                <c:pt idx="3">
                  <c:v>1.5289465523855635E-2</c:v>
                </c:pt>
                <c:pt idx="4">
                  <c:v>1.5863104914780025E-2</c:v>
                </c:pt>
                <c:pt idx="5">
                  <c:v>1.6600307891769358E-2</c:v>
                </c:pt>
                <c:pt idx="6">
                  <c:v>1.7254181903684523E-2</c:v>
                </c:pt>
                <c:pt idx="7">
                  <c:v>1.7790877139329642E-2</c:v>
                </c:pt>
                <c:pt idx="8">
                  <c:v>1.8316947703484354E-2</c:v>
                </c:pt>
                <c:pt idx="9">
                  <c:v>1.8799749246666702E-2</c:v>
                </c:pt>
                <c:pt idx="10">
                  <c:v>1.9285887722065152E-2</c:v>
                </c:pt>
                <c:pt idx="11">
                  <c:v>1.9831035394202556E-2</c:v>
                </c:pt>
                <c:pt idx="12">
                  <c:v>2.0327108825088147E-2</c:v>
                </c:pt>
                <c:pt idx="13">
                  <c:v>2.0832020437662541E-2</c:v>
                </c:pt>
                <c:pt idx="14">
                  <c:v>2.135091714869965E-2</c:v>
                </c:pt>
                <c:pt idx="15">
                  <c:v>2.1884215934087382E-2</c:v>
                </c:pt>
                <c:pt idx="16">
                  <c:v>2.243235523322425E-2</c:v>
                </c:pt>
                <c:pt idx="17">
                  <c:v>2.2940233795432027E-2</c:v>
                </c:pt>
                <c:pt idx="18">
                  <c:v>2.3333547221360534E-2</c:v>
                </c:pt>
                <c:pt idx="19">
                  <c:v>2.3613422495064845E-2</c:v>
                </c:pt>
                <c:pt idx="20">
                  <c:v>2.3784712314550947E-2</c:v>
                </c:pt>
                <c:pt idx="21">
                  <c:v>2.3918999198572433E-2</c:v>
                </c:pt>
                <c:pt idx="22">
                  <c:v>2.409747851788625E-2</c:v>
                </c:pt>
                <c:pt idx="23">
                  <c:v>2.4255350602675699E-2</c:v>
                </c:pt>
                <c:pt idx="24">
                  <c:v>2.4529527135268788E-2</c:v>
                </c:pt>
                <c:pt idx="25">
                  <c:v>2.4848783401715095E-2</c:v>
                </c:pt>
                <c:pt idx="26">
                  <c:v>2.5190074078746412E-2</c:v>
                </c:pt>
                <c:pt idx="27">
                  <c:v>2.5623038608468995E-2</c:v>
                </c:pt>
                <c:pt idx="28">
                  <c:v>2.6039789801813887E-2</c:v>
                </c:pt>
                <c:pt idx="29">
                  <c:v>2.6416833656837262E-2</c:v>
                </c:pt>
                <c:pt idx="30">
                  <c:v>2.6678601803331731E-2</c:v>
                </c:pt>
                <c:pt idx="31">
                  <c:v>2.6829487460818577E-2</c:v>
                </c:pt>
                <c:pt idx="32">
                  <c:v>2.686690858354597E-2</c:v>
                </c:pt>
                <c:pt idx="33">
                  <c:v>2.6881592835425204E-2</c:v>
                </c:pt>
                <c:pt idx="34">
                  <c:v>2.6966097462998152E-2</c:v>
                </c:pt>
                <c:pt idx="35">
                  <c:v>2.7122313979911529E-2</c:v>
                </c:pt>
                <c:pt idx="36">
                  <c:v>2.7352185264241231E-2</c:v>
                </c:pt>
                <c:pt idx="37">
                  <c:v>2.7600831748737679E-2</c:v>
                </c:pt>
                <c:pt idx="38">
                  <c:v>2.7812582072878029E-2</c:v>
                </c:pt>
                <c:pt idx="39">
                  <c:v>2.7909511296193495E-2</c:v>
                </c:pt>
                <c:pt idx="40">
                  <c:v>2.8044954360027952E-2</c:v>
                </c:pt>
                <c:pt idx="41">
                  <c:v>2.815372861536642E-2</c:v>
                </c:pt>
                <c:pt idx="42">
                  <c:v>2.8248577606142879E-2</c:v>
                </c:pt>
                <c:pt idx="43">
                  <c:v>2.8407367437682542E-2</c:v>
                </c:pt>
                <c:pt idx="44">
                  <c:v>2.8476889862656118E-2</c:v>
                </c:pt>
                <c:pt idx="45">
                  <c:v>2.8533951199890252E-2</c:v>
                </c:pt>
                <c:pt idx="46">
                  <c:v>2.8579585129472795E-2</c:v>
                </c:pt>
                <c:pt idx="47">
                  <c:v>2.8613838687934996E-2</c:v>
                </c:pt>
                <c:pt idx="48">
                  <c:v>2.8637348606198265E-2</c:v>
                </c:pt>
                <c:pt idx="49">
                  <c:v>2.8651640308230992E-2</c:v>
                </c:pt>
                <c:pt idx="50">
                  <c:v>2.8652127040504367E-2</c:v>
                </c:pt>
                <c:pt idx="51">
                  <c:v>2.8639242277430307E-2</c:v>
                </c:pt>
                <c:pt idx="52">
                  <c:v>2.8618304354735679E-2</c:v>
                </c:pt>
                <c:pt idx="53">
                  <c:v>2.8580976419124059E-2</c:v>
                </c:pt>
                <c:pt idx="54">
                  <c:v>2.8535608437157668E-2</c:v>
                </c:pt>
                <c:pt idx="55">
                  <c:v>2.8401383762828705E-2</c:v>
                </c:pt>
                <c:pt idx="56">
                  <c:v>2.833372343692275E-2</c:v>
                </c:pt>
                <c:pt idx="57">
                  <c:v>2.8254934670632142E-2</c:v>
                </c:pt>
                <c:pt idx="58">
                  <c:v>2.8165302277552207E-2</c:v>
                </c:pt>
                <c:pt idx="59">
                  <c:v>2.8141171031412626E-2</c:v>
                </c:pt>
                <c:pt idx="60">
                  <c:v>2.8028388854828574E-2</c:v>
                </c:pt>
                <c:pt idx="61">
                  <c:v>2.7906702928792975E-2</c:v>
                </c:pt>
                <c:pt idx="62">
                  <c:v>2.7782915764219762E-2</c:v>
                </c:pt>
                <c:pt idx="63">
                  <c:v>2.7657101896536772E-2</c:v>
                </c:pt>
                <c:pt idx="64">
                  <c:v>2.7524972347892234E-2</c:v>
                </c:pt>
                <c:pt idx="65">
                  <c:v>2.7390271621190572E-2</c:v>
                </c:pt>
                <c:pt idx="66">
                  <c:v>2.7255536560645534E-2</c:v>
                </c:pt>
                <c:pt idx="67">
                  <c:v>2.7120835393898261E-2</c:v>
                </c:pt>
                <c:pt idx="68">
                  <c:v>2.6981674338126808E-2</c:v>
                </c:pt>
                <c:pt idx="69">
                  <c:v>2.6841929525537996E-2</c:v>
                </c:pt>
                <c:pt idx="70">
                  <c:v>2.6704064656272987E-2</c:v>
                </c:pt>
                <c:pt idx="71">
                  <c:v>2.6494399025655944E-2</c:v>
                </c:pt>
                <c:pt idx="72">
                  <c:v>2.635712353174121E-2</c:v>
                </c:pt>
                <c:pt idx="73">
                  <c:v>2.6217410252928671E-2</c:v>
                </c:pt>
                <c:pt idx="74">
                  <c:v>2.6084788979803E-2</c:v>
                </c:pt>
                <c:pt idx="75">
                  <c:v>2.602995461257834E-2</c:v>
                </c:pt>
                <c:pt idx="76">
                  <c:v>2.5896676769348828E-2</c:v>
                </c:pt>
                <c:pt idx="77">
                  <c:v>2.5771390993315137E-2</c:v>
                </c:pt>
                <c:pt idx="78">
                  <c:v>2.565022991108018E-2</c:v>
                </c:pt>
                <c:pt idx="79">
                  <c:v>2.5533348875964167E-2</c:v>
                </c:pt>
                <c:pt idx="80">
                  <c:v>2.5420904381413419E-2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SETTINGS!$S$2</c:f>
              <c:strCache>
                <c:ptCount val="1"/>
                <c:pt idx="0">
                  <c:v>AUD3ML</c:v>
                </c:pt>
              </c:strCache>
            </c:strRef>
          </c:tx>
          <c:marker>
            <c:symbol val="none"/>
          </c:marker>
          <c:cat>
            <c:numRef>
              <c:f>SETTINGS!$Q$3:$Q$199</c:f>
              <c:numCache>
                <c:formatCode>ddd\,\ d\-mmm\-yy</c:formatCode>
                <c:ptCount val="197"/>
                <c:pt idx="0">
                  <c:v>43278</c:v>
                </c:pt>
                <c:pt idx="1">
                  <c:v>43370</c:v>
                </c:pt>
                <c:pt idx="2">
                  <c:v>43461</c:v>
                </c:pt>
                <c:pt idx="3">
                  <c:v>43551</c:v>
                </c:pt>
                <c:pt idx="4">
                  <c:v>43643</c:v>
                </c:pt>
                <c:pt idx="5">
                  <c:v>43735</c:v>
                </c:pt>
                <c:pt idx="6">
                  <c:v>43826</c:v>
                </c:pt>
                <c:pt idx="7">
                  <c:v>43917</c:v>
                </c:pt>
                <c:pt idx="8">
                  <c:v>44011</c:v>
                </c:pt>
                <c:pt idx="9">
                  <c:v>44102</c:v>
                </c:pt>
                <c:pt idx="10">
                  <c:v>44193</c:v>
                </c:pt>
                <c:pt idx="11">
                  <c:v>44284</c:v>
                </c:pt>
                <c:pt idx="12">
                  <c:v>44375</c:v>
                </c:pt>
                <c:pt idx="13">
                  <c:v>44466</c:v>
                </c:pt>
                <c:pt idx="14">
                  <c:v>44557</c:v>
                </c:pt>
                <c:pt idx="15">
                  <c:v>44648</c:v>
                </c:pt>
                <c:pt idx="16">
                  <c:v>44739</c:v>
                </c:pt>
                <c:pt idx="17">
                  <c:v>44831</c:v>
                </c:pt>
                <c:pt idx="18">
                  <c:v>44922</c:v>
                </c:pt>
                <c:pt idx="19">
                  <c:v>45012</c:v>
                </c:pt>
                <c:pt idx="20">
                  <c:v>45104</c:v>
                </c:pt>
                <c:pt idx="21">
                  <c:v>45196</c:v>
                </c:pt>
                <c:pt idx="22">
                  <c:v>45287</c:v>
                </c:pt>
                <c:pt idx="23">
                  <c:v>45378</c:v>
                </c:pt>
                <c:pt idx="24">
                  <c:v>45470</c:v>
                </c:pt>
                <c:pt idx="25">
                  <c:v>45562</c:v>
                </c:pt>
                <c:pt idx="26">
                  <c:v>45653</c:v>
                </c:pt>
                <c:pt idx="27">
                  <c:v>45743</c:v>
                </c:pt>
                <c:pt idx="28">
                  <c:v>45835</c:v>
                </c:pt>
                <c:pt idx="29">
                  <c:v>45929</c:v>
                </c:pt>
                <c:pt idx="30">
                  <c:v>46020</c:v>
                </c:pt>
                <c:pt idx="31">
                  <c:v>46108</c:v>
                </c:pt>
                <c:pt idx="32">
                  <c:v>46202</c:v>
                </c:pt>
                <c:pt idx="33">
                  <c:v>46293</c:v>
                </c:pt>
                <c:pt idx="34">
                  <c:v>46384</c:v>
                </c:pt>
                <c:pt idx="35">
                  <c:v>46475</c:v>
                </c:pt>
                <c:pt idx="36">
                  <c:v>46566</c:v>
                </c:pt>
                <c:pt idx="37">
                  <c:v>46657</c:v>
                </c:pt>
                <c:pt idx="38">
                  <c:v>46748</c:v>
                </c:pt>
                <c:pt idx="39">
                  <c:v>46839</c:v>
                </c:pt>
                <c:pt idx="40">
                  <c:v>46931</c:v>
                </c:pt>
                <c:pt idx="41">
                  <c:v>47023</c:v>
                </c:pt>
                <c:pt idx="42">
                  <c:v>47114</c:v>
                </c:pt>
                <c:pt idx="43">
                  <c:v>47204</c:v>
                </c:pt>
                <c:pt idx="44">
                  <c:v>47296</c:v>
                </c:pt>
                <c:pt idx="45">
                  <c:v>47388</c:v>
                </c:pt>
                <c:pt idx="46">
                  <c:v>47479</c:v>
                </c:pt>
                <c:pt idx="47">
                  <c:v>47569</c:v>
                </c:pt>
                <c:pt idx="48">
                  <c:v>47661</c:v>
                </c:pt>
                <c:pt idx="49">
                  <c:v>47753</c:v>
                </c:pt>
                <c:pt idx="50">
                  <c:v>47844</c:v>
                </c:pt>
                <c:pt idx="51">
                  <c:v>47934</c:v>
                </c:pt>
                <c:pt idx="52">
                  <c:v>48026</c:v>
                </c:pt>
                <c:pt idx="53">
                  <c:v>48120</c:v>
                </c:pt>
                <c:pt idx="54">
                  <c:v>48211</c:v>
                </c:pt>
                <c:pt idx="55">
                  <c:v>48302</c:v>
                </c:pt>
                <c:pt idx="56">
                  <c:v>48393</c:v>
                </c:pt>
                <c:pt idx="57">
                  <c:v>48484</c:v>
                </c:pt>
                <c:pt idx="58">
                  <c:v>48575</c:v>
                </c:pt>
                <c:pt idx="59">
                  <c:v>48666</c:v>
                </c:pt>
                <c:pt idx="60">
                  <c:v>48757</c:v>
                </c:pt>
                <c:pt idx="61">
                  <c:v>48849</c:v>
                </c:pt>
                <c:pt idx="62">
                  <c:v>48940</c:v>
                </c:pt>
                <c:pt idx="63">
                  <c:v>49030</c:v>
                </c:pt>
                <c:pt idx="64">
                  <c:v>49122</c:v>
                </c:pt>
                <c:pt idx="65">
                  <c:v>49214</c:v>
                </c:pt>
                <c:pt idx="66">
                  <c:v>49305</c:v>
                </c:pt>
                <c:pt idx="67">
                  <c:v>49395</c:v>
                </c:pt>
                <c:pt idx="68">
                  <c:v>49487</c:v>
                </c:pt>
                <c:pt idx="69">
                  <c:v>49579</c:v>
                </c:pt>
                <c:pt idx="70">
                  <c:v>49670</c:v>
                </c:pt>
                <c:pt idx="71">
                  <c:v>49761</c:v>
                </c:pt>
                <c:pt idx="72">
                  <c:v>49853</c:v>
                </c:pt>
                <c:pt idx="73">
                  <c:v>49947</c:v>
                </c:pt>
                <c:pt idx="74">
                  <c:v>50038</c:v>
                </c:pt>
                <c:pt idx="75">
                  <c:v>50126</c:v>
                </c:pt>
                <c:pt idx="76">
                  <c:v>50220</c:v>
                </c:pt>
                <c:pt idx="77">
                  <c:v>50311</c:v>
                </c:pt>
                <c:pt idx="78">
                  <c:v>50402</c:v>
                </c:pt>
                <c:pt idx="79">
                  <c:v>50493</c:v>
                </c:pt>
                <c:pt idx="80">
                  <c:v>50584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SETTINGS!$S$3:$S$199</c:f>
              <c:numCache>
                <c:formatCode>0.00000%</c:formatCode>
                <c:ptCount val="197"/>
                <c:pt idx="0">
                  <c:v>2.1152999999999998E-2</c:v>
                </c:pt>
                <c:pt idx="1">
                  <c:v>2.0788960595171546E-2</c:v>
                </c:pt>
                <c:pt idx="2">
                  <c:v>2.0491991764309304E-2</c:v>
                </c:pt>
                <c:pt idx="3">
                  <c:v>2.0367846461166541E-2</c:v>
                </c:pt>
                <c:pt idx="4">
                  <c:v>2.041916558059163E-2</c:v>
                </c:pt>
                <c:pt idx="5">
                  <c:v>2.0640006820362863E-2</c:v>
                </c:pt>
                <c:pt idx="6">
                  <c:v>2.0977274219897313E-2</c:v>
                </c:pt>
                <c:pt idx="7">
                  <c:v>2.1543651888372182E-2</c:v>
                </c:pt>
                <c:pt idx="8">
                  <c:v>2.2263260460245689E-2</c:v>
                </c:pt>
                <c:pt idx="9">
                  <c:v>2.2913695648622771E-2</c:v>
                </c:pt>
                <c:pt idx="10">
                  <c:v>2.3530048988483116E-2</c:v>
                </c:pt>
                <c:pt idx="11">
                  <c:v>2.4010957509023344E-2</c:v>
                </c:pt>
                <c:pt idx="12">
                  <c:v>2.4418315683130843E-2</c:v>
                </c:pt>
                <c:pt idx="13">
                  <c:v>2.4864469674502874E-2</c:v>
                </c:pt>
                <c:pt idx="14">
                  <c:v>2.536701751391798E-2</c:v>
                </c:pt>
                <c:pt idx="15">
                  <c:v>2.5949751088703323E-2</c:v>
                </c:pt>
                <c:pt idx="16">
                  <c:v>2.6564768777887115E-2</c:v>
                </c:pt>
                <c:pt idx="17">
                  <c:v>2.7123631133314008E-2</c:v>
                </c:pt>
                <c:pt idx="18">
                  <c:v>2.7593418435921068E-2</c:v>
                </c:pt>
                <c:pt idx="19">
                  <c:v>2.7985809141686691E-2</c:v>
                </c:pt>
                <c:pt idx="20">
                  <c:v>2.8308267176912625E-2</c:v>
                </c:pt>
                <c:pt idx="21">
                  <c:v>2.8607557609621224E-2</c:v>
                </c:pt>
                <c:pt idx="22">
                  <c:v>2.8820954046855689E-2</c:v>
                </c:pt>
                <c:pt idx="23">
                  <c:v>2.9101383449330241E-2</c:v>
                </c:pt>
                <c:pt idx="24">
                  <c:v>2.9389068081230794E-2</c:v>
                </c:pt>
                <c:pt idx="25">
                  <c:v>2.9679870743017842E-2</c:v>
                </c:pt>
                <c:pt idx="26">
                  <c:v>3.0083127704040095E-2</c:v>
                </c:pt>
                <c:pt idx="27">
                  <c:v>3.0440108328770987E-2</c:v>
                </c:pt>
                <c:pt idx="28">
                  <c:v>3.0788082188707887E-2</c:v>
                </c:pt>
                <c:pt idx="29">
                  <c:v>3.1049469201664202E-2</c:v>
                </c:pt>
                <c:pt idx="30">
                  <c:v>3.1184148478975205E-2</c:v>
                </c:pt>
                <c:pt idx="31">
                  <c:v>3.1201819771713841E-2</c:v>
                </c:pt>
                <c:pt idx="32">
                  <c:v>3.1134587442788294E-2</c:v>
                </c:pt>
                <c:pt idx="33">
                  <c:v>3.1139920138320322E-2</c:v>
                </c:pt>
                <c:pt idx="34">
                  <c:v>3.1251673133529057E-2</c:v>
                </c:pt>
                <c:pt idx="35">
                  <c:v>3.1477017992063851E-2</c:v>
                </c:pt>
                <c:pt idx="36">
                  <c:v>3.1781314877466917E-2</c:v>
                </c:pt>
                <c:pt idx="37">
                  <c:v>3.2060544934169412E-2</c:v>
                </c:pt>
                <c:pt idx="38">
                  <c:v>3.219824641224972E-2</c:v>
                </c:pt>
                <c:pt idx="39">
                  <c:v>3.2370567448718815E-2</c:v>
                </c:pt>
                <c:pt idx="40">
                  <c:v>3.2499973546600336E-2</c:v>
                </c:pt>
                <c:pt idx="41">
                  <c:v>3.260652706519096E-2</c:v>
                </c:pt>
                <c:pt idx="42">
                  <c:v>3.2787288200083739E-2</c:v>
                </c:pt>
                <c:pt idx="43">
                  <c:v>3.2877734526797077E-2</c:v>
                </c:pt>
                <c:pt idx="44">
                  <c:v>3.2949560845136443E-2</c:v>
                </c:pt>
                <c:pt idx="45">
                  <c:v>3.300700313378041E-2</c:v>
                </c:pt>
                <c:pt idx="46">
                  <c:v>3.3051222072974458E-2</c:v>
                </c:pt>
                <c:pt idx="47">
                  <c:v>3.3087637501660785E-2</c:v>
                </c:pt>
                <c:pt idx="48">
                  <c:v>3.3111956321760908E-2</c:v>
                </c:pt>
                <c:pt idx="49">
                  <c:v>3.3115772085171184E-2</c:v>
                </c:pt>
                <c:pt idx="50">
                  <c:v>3.3111148885868254E-2</c:v>
                </c:pt>
                <c:pt idx="51">
                  <c:v>3.3098805347497054E-2</c:v>
                </c:pt>
                <c:pt idx="52">
                  <c:v>3.3065988675614263E-2</c:v>
                </c:pt>
                <c:pt idx="53">
                  <c:v>3.3021537202173282E-2</c:v>
                </c:pt>
                <c:pt idx="54">
                  <c:v>3.2879401513064566E-2</c:v>
                </c:pt>
                <c:pt idx="55">
                  <c:v>3.2810158652190287E-2</c:v>
                </c:pt>
                <c:pt idx="56">
                  <c:v>3.2730835255161135E-2</c:v>
                </c:pt>
                <c:pt idx="57">
                  <c:v>3.2638302033883508E-2</c:v>
                </c:pt>
                <c:pt idx="58">
                  <c:v>3.2618951840964021E-2</c:v>
                </c:pt>
                <c:pt idx="59">
                  <c:v>3.2506382015207141E-2</c:v>
                </c:pt>
                <c:pt idx="60">
                  <c:v>3.2378581831092233E-2</c:v>
                </c:pt>
                <c:pt idx="61">
                  <c:v>3.2247535198392359E-2</c:v>
                </c:pt>
                <c:pt idx="62">
                  <c:v>3.2118953288240069E-2</c:v>
                </c:pt>
                <c:pt idx="63">
                  <c:v>3.1995031518377473E-2</c:v>
                </c:pt>
                <c:pt idx="64">
                  <c:v>3.186804991020617E-2</c:v>
                </c:pt>
                <c:pt idx="65">
                  <c:v>3.1741506691323362E-2</c:v>
                </c:pt>
                <c:pt idx="66">
                  <c:v>3.1617423554076304E-2</c:v>
                </c:pt>
                <c:pt idx="67">
                  <c:v>3.1497940777248115E-2</c:v>
                </c:pt>
                <c:pt idx="68">
                  <c:v>3.1375300765831511E-2</c:v>
                </c:pt>
                <c:pt idx="69">
                  <c:v>3.1254003916517337E-2</c:v>
                </c:pt>
                <c:pt idx="70">
                  <c:v>3.1052728513920259E-2</c:v>
                </c:pt>
                <c:pt idx="71">
                  <c:v>3.093399977534602E-2</c:v>
                </c:pt>
                <c:pt idx="72">
                  <c:v>3.081616367030339E-2</c:v>
                </c:pt>
                <c:pt idx="73">
                  <c:v>3.0696227947952022E-2</c:v>
                </c:pt>
                <c:pt idx="74">
                  <c:v>3.0664579602450115E-2</c:v>
                </c:pt>
                <c:pt idx="75">
                  <c:v>3.0557972393152132E-2</c:v>
                </c:pt>
                <c:pt idx="76">
                  <c:v>3.0441669447058173E-2</c:v>
                </c:pt>
                <c:pt idx="77">
                  <c:v>3.0330631720428894E-2</c:v>
                </c:pt>
                <c:pt idx="78">
                  <c:v>3.0219410679917801E-2</c:v>
                </c:pt>
                <c:pt idx="79">
                  <c:v>3.0111903053803724E-2</c:v>
                </c:pt>
                <c:pt idx="80">
                  <c:v>3.0003636134016649E-2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SETTINGS!$T$2</c:f>
              <c:strCache>
                <c:ptCount val="1"/>
                <c:pt idx="0">
                  <c:v>AUD6ML</c:v>
                </c:pt>
              </c:strCache>
            </c:strRef>
          </c:tx>
          <c:marker>
            <c:symbol val="none"/>
          </c:marker>
          <c:cat>
            <c:numRef>
              <c:f>SETTINGS!$Q$3:$Q$199</c:f>
              <c:numCache>
                <c:formatCode>ddd\,\ d\-mmm\-yy</c:formatCode>
                <c:ptCount val="197"/>
                <c:pt idx="0">
                  <c:v>43278</c:v>
                </c:pt>
                <c:pt idx="1">
                  <c:v>43370</c:v>
                </c:pt>
                <c:pt idx="2">
                  <c:v>43461</c:v>
                </c:pt>
                <c:pt idx="3">
                  <c:v>43551</c:v>
                </c:pt>
                <c:pt idx="4">
                  <c:v>43643</c:v>
                </c:pt>
                <c:pt idx="5">
                  <c:v>43735</c:v>
                </c:pt>
                <c:pt idx="6">
                  <c:v>43826</c:v>
                </c:pt>
                <c:pt idx="7">
                  <c:v>43917</c:v>
                </c:pt>
                <c:pt idx="8">
                  <c:v>44011</c:v>
                </c:pt>
                <c:pt idx="9">
                  <c:v>44102</c:v>
                </c:pt>
                <c:pt idx="10">
                  <c:v>44193</c:v>
                </c:pt>
                <c:pt idx="11">
                  <c:v>44284</c:v>
                </c:pt>
                <c:pt idx="12">
                  <c:v>44375</c:v>
                </c:pt>
                <c:pt idx="13">
                  <c:v>44466</c:v>
                </c:pt>
                <c:pt idx="14">
                  <c:v>44557</c:v>
                </c:pt>
                <c:pt idx="15">
                  <c:v>44648</c:v>
                </c:pt>
                <c:pt idx="16">
                  <c:v>44739</c:v>
                </c:pt>
                <c:pt idx="17">
                  <c:v>44831</c:v>
                </c:pt>
                <c:pt idx="18">
                  <c:v>44922</c:v>
                </c:pt>
                <c:pt idx="19">
                  <c:v>45012</c:v>
                </c:pt>
                <c:pt idx="20">
                  <c:v>45104</c:v>
                </c:pt>
                <c:pt idx="21">
                  <c:v>45196</c:v>
                </c:pt>
                <c:pt idx="22">
                  <c:v>45287</c:v>
                </c:pt>
                <c:pt idx="23">
                  <c:v>45378</c:v>
                </c:pt>
                <c:pt idx="24">
                  <c:v>45470</c:v>
                </c:pt>
                <c:pt idx="25">
                  <c:v>45562</c:v>
                </c:pt>
                <c:pt idx="26">
                  <c:v>45653</c:v>
                </c:pt>
                <c:pt idx="27">
                  <c:v>45743</c:v>
                </c:pt>
                <c:pt idx="28">
                  <c:v>45835</c:v>
                </c:pt>
                <c:pt idx="29">
                  <c:v>45929</c:v>
                </c:pt>
                <c:pt idx="30">
                  <c:v>46020</c:v>
                </c:pt>
                <c:pt idx="31">
                  <c:v>46108</c:v>
                </c:pt>
                <c:pt idx="32">
                  <c:v>46202</c:v>
                </c:pt>
                <c:pt idx="33">
                  <c:v>46293</c:v>
                </c:pt>
                <c:pt idx="34">
                  <c:v>46384</c:v>
                </c:pt>
                <c:pt idx="35">
                  <c:v>46475</c:v>
                </c:pt>
                <c:pt idx="36">
                  <c:v>46566</c:v>
                </c:pt>
                <c:pt idx="37">
                  <c:v>46657</c:v>
                </c:pt>
                <c:pt idx="38">
                  <c:v>46748</c:v>
                </c:pt>
                <c:pt idx="39">
                  <c:v>46839</c:v>
                </c:pt>
                <c:pt idx="40">
                  <c:v>46931</c:v>
                </c:pt>
                <c:pt idx="41">
                  <c:v>47023</c:v>
                </c:pt>
                <c:pt idx="42">
                  <c:v>47114</c:v>
                </c:pt>
                <c:pt idx="43">
                  <c:v>47204</c:v>
                </c:pt>
                <c:pt idx="44">
                  <c:v>47296</c:v>
                </c:pt>
                <c:pt idx="45">
                  <c:v>47388</c:v>
                </c:pt>
                <c:pt idx="46">
                  <c:v>47479</c:v>
                </c:pt>
                <c:pt idx="47">
                  <c:v>47569</c:v>
                </c:pt>
                <c:pt idx="48">
                  <c:v>47661</c:v>
                </c:pt>
                <c:pt idx="49">
                  <c:v>47753</c:v>
                </c:pt>
                <c:pt idx="50">
                  <c:v>47844</c:v>
                </c:pt>
                <c:pt idx="51">
                  <c:v>47934</c:v>
                </c:pt>
                <c:pt idx="52">
                  <c:v>48026</c:v>
                </c:pt>
                <c:pt idx="53">
                  <c:v>48120</c:v>
                </c:pt>
                <c:pt idx="54">
                  <c:v>48211</c:v>
                </c:pt>
                <c:pt idx="55">
                  <c:v>48302</c:v>
                </c:pt>
                <c:pt idx="56">
                  <c:v>48393</c:v>
                </c:pt>
                <c:pt idx="57">
                  <c:v>48484</c:v>
                </c:pt>
                <c:pt idx="58">
                  <c:v>48575</c:v>
                </c:pt>
                <c:pt idx="59">
                  <c:v>48666</c:v>
                </c:pt>
                <c:pt idx="60">
                  <c:v>48757</c:v>
                </c:pt>
                <c:pt idx="61">
                  <c:v>48849</c:v>
                </c:pt>
                <c:pt idx="62">
                  <c:v>48940</c:v>
                </c:pt>
                <c:pt idx="63">
                  <c:v>49030</c:v>
                </c:pt>
                <c:pt idx="64">
                  <c:v>49122</c:v>
                </c:pt>
                <c:pt idx="65">
                  <c:v>49214</c:v>
                </c:pt>
                <c:pt idx="66">
                  <c:v>49305</c:v>
                </c:pt>
                <c:pt idx="67">
                  <c:v>49395</c:v>
                </c:pt>
                <c:pt idx="68">
                  <c:v>49487</c:v>
                </c:pt>
                <c:pt idx="69">
                  <c:v>49579</c:v>
                </c:pt>
                <c:pt idx="70">
                  <c:v>49670</c:v>
                </c:pt>
                <c:pt idx="71">
                  <c:v>49761</c:v>
                </c:pt>
                <c:pt idx="72">
                  <c:v>49853</c:v>
                </c:pt>
                <c:pt idx="73">
                  <c:v>49947</c:v>
                </c:pt>
                <c:pt idx="74">
                  <c:v>50038</c:v>
                </c:pt>
                <c:pt idx="75">
                  <c:v>50126</c:v>
                </c:pt>
                <c:pt idx="76">
                  <c:v>50220</c:v>
                </c:pt>
                <c:pt idx="77">
                  <c:v>50311</c:v>
                </c:pt>
                <c:pt idx="78">
                  <c:v>50402</c:v>
                </c:pt>
                <c:pt idx="79">
                  <c:v>50493</c:v>
                </c:pt>
                <c:pt idx="80">
                  <c:v>50584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cat>
          <c:val>
            <c:numRef>
              <c:f>SETTINGS!$T$3:$T$199</c:f>
              <c:numCache>
                <c:formatCode>0.00000%</c:formatCode>
                <c:ptCount val="197"/>
                <c:pt idx="0">
                  <c:v>2.23E-2</c:v>
                </c:pt>
                <c:pt idx="1">
                  <c:v>2.1441746346464865E-2</c:v>
                </c:pt>
                <c:pt idx="2">
                  <c:v>2.1345432258163738E-2</c:v>
                </c:pt>
                <c:pt idx="3">
                  <c:v>2.1701440389178935E-2</c:v>
                </c:pt>
                <c:pt idx="4">
                  <c:v>2.2348052507083594E-2</c:v>
                </c:pt>
                <c:pt idx="5">
                  <c:v>2.2948638718292547E-2</c:v>
                </c:pt>
                <c:pt idx="6">
                  <c:v>2.3407492864188265E-2</c:v>
                </c:pt>
                <c:pt idx="7">
                  <c:v>2.372970094830654E-2</c:v>
                </c:pt>
                <c:pt idx="8">
                  <c:v>2.4042487045624346E-2</c:v>
                </c:pt>
                <c:pt idx="9">
                  <c:v>2.4447276077026504E-2</c:v>
                </c:pt>
                <c:pt idx="10">
                  <c:v>2.4953811408187608E-2</c:v>
                </c:pt>
                <c:pt idx="11">
                  <c:v>2.5531548540374028E-2</c:v>
                </c:pt>
                <c:pt idx="12">
                  <c:v>2.613381416930392E-2</c:v>
                </c:pt>
                <c:pt idx="13">
                  <c:v>2.6720478178092689E-2</c:v>
                </c:pt>
                <c:pt idx="14">
                  <c:v>2.7286785293452142E-2</c:v>
                </c:pt>
                <c:pt idx="15">
                  <c:v>2.783205117620173E-2</c:v>
                </c:pt>
                <c:pt idx="16">
                  <c:v>2.83352516647505E-2</c:v>
                </c:pt>
                <c:pt idx="17">
                  <c:v>2.8780620154585188E-2</c:v>
                </c:pt>
                <c:pt idx="18">
                  <c:v>2.9163871921472035E-2</c:v>
                </c:pt>
                <c:pt idx="19">
                  <c:v>2.9495956718380859E-2</c:v>
                </c:pt>
                <c:pt idx="20">
                  <c:v>2.9785105816416697E-2</c:v>
                </c:pt>
                <c:pt idx="21">
                  <c:v>3.002585859146719E-2</c:v>
                </c:pt>
                <c:pt idx="22">
                  <c:v>3.0249302984042652E-2</c:v>
                </c:pt>
                <c:pt idx="23">
                  <c:v>3.0492580813147794E-2</c:v>
                </c:pt>
                <c:pt idx="24">
                  <c:v>3.0772257275865453E-2</c:v>
                </c:pt>
                <c:pt idx="25">
                  <c:v>3.1086878967987331E-2</c:v>
                </c:pt>
                <c:pt idx="26">
                  <c:v>3.1407979079689737E-2</c:v>
                </c:pt>
                <c:pt idx="27">
                  <c:v>3.1705474314078136E-2</c:v>
                </c:pt>
                <c:pt idx="28">
                  <c:v>3.1955201480542789E-2</c:v>
                </c:pt>
                <c:pt idx="29">
                  <c:v>3.2123427061092356E-2</c:v>
                </c:pt>
                <c:pt idx="30">
                  <c:v>3.2194169220896254E-2</c:v>
                </c:pt>
                <c:pt idx="31">
                  <c:v>3.2187725987088925E-2</c:v>
                </c:pt>
                <c:pt idx="32">
                  <c:v>3.217582862881195E-2</c:v>
                </c:pt>
                <c:pt idx="33">
                  <c:v>3.2237242033135147E-2</c:v>
                </c:pt>
                <c:pt idx="34">
                  <c:v>3.239527987915386E-2</c:v>
                </c:pt>
                <c:pt idx="35">
                  <c:v>3.264293352516922E-2</c:v>
                </c:pt>
                <c:pt idx="36">
                  <c:v>3.2898607403762707E-2</c:v>
                </c:pt>
                <c:pt idx="37">
                  <c:v>3.3085593885802837E-2</c:v>
                </c:pt>
                <c:pt idx="38">
                  <c:v>3.3223823516495617E-2</c:v>
                </c:pt>
                <c:pt idx="39">
                  <c:v>3.3352106343144901E-2</c:v>
                </c:pt>
                <c:pt idx="40">
                  <c:v>3.3490335006654125E-2</c:v>
                </c:pt>
                <c:pt idx="41">
                  <c:v>3.3641345486298727E-2</c:v>
                </c:pt>
                <c:pt idx="42">
                  <c:v>3.3773051383470226E-2</c:v>
                </c:pt>
                <c:pt idx="43">
                  <c:v>3.3858150478427863E-2</c:v>
                </c:pt>
                <c:pt idx="44">
                  <c:v>3.3912841405689689E-2</c:v>
                </c:pt>
                <c:pt idx="45">
                  <c:v>3.3956317438620431E-2</c:v>
                </c:pt>
                <c:pt idx="46">
                  <c:v>3.399037245602661E-2</c:v>
                </c:pt>
                <c:pt idx="47">
                  <c:v>3.4012414421256083E-2</c:v>
                </c:pt>
                <c:pt idx="48">
                  <c:v>3.401963135445675E-2</c:v>
                </c:pt>
                <c:pt idx="49">
                  <c:v>3.4010441245062112E-2</c:v>
                </c:pt>
                <c:pt idx="50">
                  <c:v>3.3994714662239307E-2</c:v>
                </c:pt>
                <c:pt idx="51">
                  <c:v>3.3978034856508285E-2</c:v>
                </c:pt>
                <c:pt idx="52">
                  <c:v>3.3935268964527046E-2</c:v>
                </c:pt>
                <c:pt idx="53">
                  <c:v>3.384268292878765E-2</c:v>
                </c:pt>
                <c:pt idx="54">
                  <c:v>3.3736676923130281E-2</c:v>
                </c:pt>
                <c:pt idx="55">
                  <c:v>3.3651177764341567E-2</c:v>
                </c:pt>
                <c:pt idx="56">
                  <c:v>3.3591502573351383E-2</c:v>
                </c:pt>
                <c:pt idx="57">
                  <c:v>3.3549642943824912E-2</c:v>
                </c:pt>
                <c:pt idx="58">
                  <c:v>3.3493262246518295E-2</c:v>
                </c:pt>
                <c:pt idx="59">
                  <c:v>3.3394692567897268E-2</c:v>
                </c:pt>
                <c:pt idx="60">
                  <c:v>3.3274047592029031E-2</c:v>
                </c:pt>
                <c:pt idx="61">
                  <c:v>3.3156670415637315E-2</c:v>
                </c:pt>
                <c:pt idx="62">
                  <c:v>3.3046137508419608E-2</c:v>
                </c:pt>
                <c:pt idx="63">
                  <c:v>3.2937512303115382E-2</c:v>
                </c:pt>
                <c:pt idx="64">
                  <c:v>3.2825190120796828E-2</c:v>
                </c:pt>
                <c:pt idx="65">
                  <c:v>3.2711817113031692E-2</c:v>
                </c:pt>
                <c:pt idx="66">
                  <c:v>3.2604989967372863E-2</c:v>
                </c:pt>
                <c:pt idx="67">
                  <c:v>3.250669246961177E-2</c:v>
                </c:pt>
                <c:pt idx="68">
                  <c:v>3.2391954188969355E-2</c:v>
                </c:pt>
                <c:pt idx="69">
                  <c:v>3.2245232838511849E-2</c:v>
                </c:pt>
                <c:pt idx="70">
                  <c:v>3.2095276902952601E-2</c:v>
                </c:pt>
                <c:pt idx="71">
                  <c:v>3.1972711457057768E-2</c:v>
                </c:pt>
                <c:pt idx="72">
                  <c:v>3.1884105064124479E-2</c:v>
                </c:pt>
                <c:pt idx="73">
                  <c:v>3.1825125457195756E-2</c:v>
                </c:pt>
                <c:pt idx="74">
                  <c:v>3.1765649455354233E-2</c:v>
                </c:pt>
                <c:pt idx="75">
                  <c:v>3.167829014129056E-2</c:v>
                </c:pt>
                <c:pt idx="76">
                  <c:v>3.1568522983772475E-2</c:v>
                </c:pt>
                <c:pt idx="77">
                  <c:v>3.1467722276890507E-2</c:v>
                </c:pt>
                <c:pt idx="78">
                  <c:v>3.1372571293468439E-2</c:v>
                </c:pt>
                <c:pt idx="79">
                  <c:v>3.1278138011477885E-2</c:v>
                </c:pt>
                <c:pt idx="80">
                  <c:v>3.1180663099531266E-2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402432"/>
        <c:axId val="454403968"/>
      </c:lineChart>
      <c:dateAx>
        <c:axId val="454402432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454403968"/>
        <c:crosses val="autoZero"/>
        <c:auto val="1"/>
        <c:lblOffset val="100"/>
        <c:baseTimeUnit val="months"/>
      </c:dateAx>
      <c:valAx>
        <c:axId val="454403968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.00000%" sourceLinked="1"/>
        <c:majorTickMark val="out"/>
        <c:minorTickMark val="none"/>
        <c:tickLblPos val="nextTo"/>
        <c:crossAx val="45440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1684496334509907"/>
          <c:y val="0.59343983867881323"/>
          <c:w val="0.21533894470087792"/>
          <c:h val="0.1886092919010621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0</xdr:rowOff>
    </xdr:from>
    <xdr:to>
      <xdr:col>12</xdr:col>
      <xdr:colOff>114300</xdr:colOff>
      <xdr:row>21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9"/>
  <sheetViews>
    <sheetView showGridLines="0" tabSelected="1" workbookViewId="0"/>
  </sheetViews>
  <sheetFormatPr defaultRowHeight="15" outlineLevelCol="1"/>
  <cols>
    <col min="2" max="2" width="30.140625" customWidth="1"/>
    <col min="3" max="3" width="25.7109375" customWidth="1"/>
    <col min="4" max="4" width="9.140625" customWidth="1"/>
    <col min="5" max="13" width="9.140625" customWidth="1" outlineLevel="1"/>
    <col min="14" max="14" width="20.85546875" customWidth="1" outlineLevel="1"/>
    <col min="15" max="15" width="12" customWidth="1" outlineLevel="1"/>
    <col min="16" max="16" width="9.140625" customWidth="1" outlineLevel="1"/>
    <col min="17" max="17" width="20.7109375" customWidth="1" outlineLevel="1"/>
    <col min="18" max="20" width="10.7109375" customWidth="1" outlineLevel="1"/>
  </cols>
  <sheetData>
    <row r="1" spans="1:21">
      <c r="U1" s="1" t="s">
        <v>540</v>
      </c>
    </row>
    <row r="2" spans="1:21">
      <c r="B2" s="1" t="s">
        <v>498</v>
      </c>
      <c r="E2" s="1" t="s">
        <v>539</v>
      </c>
      <c r="N2" s="1" t="s">
        <v>535</v>
      </c>
      <c r="O2" s="307"/>
      <c r="Q2" s="252" t="str">
        <f t="array" aca="1" ref="Q2:T199" ca="1">IF(AND($C$9,'AUD CURVE'!$D$99),_xll.meLWOCurveForwardRatesTable($N$8,$O$8:$O$10,$O$3,$O$4,,,,$O$5),NA())</f>
        <v>Fixing Dates</v>
      </c>
      <c r="R2" s="253" t="str">
        <f ca="1"/>
        <v>AUDOIS</v>
      </c>
      <c r="S2" s="253" t="str">
        <f ca="1"/>
        <v>AUD3ML</v>
      </c>
      <c r="T2" s="254" t="str">
        <f ca="1"/>
        <v>AUD6ML</v>
      </c>
    </row>
    <row r="3" spans="1:21">
      <c r="B3" s="323" t="s">
        <v>449</v>
      </c>
      <c r="C3" s="402" t="b">
        <f>IF(ISBLANK(C5),TRUE,FALSE)</f>
        <v>1</v>
      </c>
      <c r="N3" s="11" t="s">
        <v>240</v>
      </c>
      <c r="O3" s="176" t="s">
        <v>372</v>
      </c>
      <c r="Q3" s="255">
        <f ca="1"/>
        <v>43278</v>
      </c>
      <c r="R3" s="256">
        <f ca="1"/>
        <v>1.4999999999979474E-2</v>
      </c>
      <c r="S3" s="256">
        <f ca="1"/>
        <v>2.1152999999999998E-2</v>
      </c>
      <c r="T3" s="257">
        <f ca="1"/>
        <v>2.23E-2</v>
      </c>
    </row>
    <row r="4" spans="1:21">
      <c r="B4" s="324" t="s">
        <v>448</v>
      </c>
      <c r="C4" s="401">
        <f ca="1">IF(Settings.isCOBToday,TODAY(),$C$5)</f>
        <v>43278</v>
      </c>
      <c r="D4" s="1"/>
      <c r="N4" s="308" t="s">
        <v>241</v>
      </c>
      <c r="O4" s="85" t="s">
        <v>192</v>
      </c>
      <c r="Q4" s="255">
        <f ca="1"/>
        <v>43370</v>
      </c>
      <c r="R4" s="256">
        <f ca="1"/>
        <v>1.4954484691129871E-2</v>
      </c>
      <c r="S4" s="256">
        <f ca="1"/>
        <v>2.0788960595171546E-2</v>
      </c>
      <c r="T4" s="257">
        <f ca="1"/>
        <v>2.1441746346464865E-2</v>
      </c>
    </row>
    <row r="5" spans="1:21">
      <c r="B5" s="324" t="s">
        <v>566</v>
      </c>
      <c r="C5" s="406"/>
      <c r="N5" s="309" t="s">
        <v>20</v>
      </c>
      <c r="O5" s="177" t="s">
        <v>46</v>
      </c>
      <c r="Q5" s="255">
        <f ca="1"/>
        <v>43461</v>
      </c>
      <c r="R5" s="256">
        <f ca="1"/>
        <v>1.5027709188965073E-2</v>
      </c>
      <c r="S5" s="256">
        <f ca="1"/>
        <v>2.0491991764309304E-2</v>
      </c>
      <c r="T5" s="257">
        <f ca="1"/>
        <v>2.1345432258163738E-2</v>
      </c>
    </row>
    <row r="6" spans="1:21">
      <c r="B6" s="325" t="s">
        <v>418</v>
      </c>
      <c r="C6" s="326" t="s">
        <v>417</v>
      </c>
      <c r="N6" s="307"/>
      <c r="O6" s="307"/>
      <c r="Q6" s="255">
        <f ca="1"/>
        <v>43551</v>
      </c>
      <c r="R6" s="256">
        <f ca="1"/>
        <v>1.5289465523855635E-2</v>
      </c>
      <c r="S6" s="256">
        <f ca="1"/>
        <v>2.0367846461166541E-2</v>
      </c>
      <c r="T6" s="257">
        <f ca="1"/>
        <v>2.1701440389178935E-2</v>
      </c>
    </row>
    <row r="7" spans="1:21">
      <c r="A7" s="307"/>
      <c r="B7" s="325" t="s">
        <v>545</v>
      </c>
      <c r="C7" s="326" t="s">
        <v>416</v>
      </c>
      <c r="N7" s="1" t="s">
        <v>84</v>
      </c>
      <c r="O7" s="1" t="s">
        <v>536</v>
      </c>
      <c r="Q7" s="255">
        <f ca="1"/>
        <v>43643</v>
      </c>
      <c r="R7" s="256">
        <f ca="1"/>
        <v>1.5863104914780025E-2</v>
      </c>
      <c r="S7" s="256">
        <f ca="1"/>
        <v>2.041916558059163E-2</v>
      </c>
      <c r="T7" s="257">
        <f ca="1"/>
        <v>2.2348052507083594E-2</v>
      </c>
    </row>
    <row r="8" spans="1:21">
      <c r="B8" s="325" t="s">
        <v>546</v>
      </c>
      <c r="C8" s="403">
        <v>0.02</v>
      </c>
      <c r="N8" s="203" t="s">
        <v>111</v>
      </c>
      <c r="O8" s="203" t="s">
        <v>114</v>
      </c>
      <c r="Q8" s="255">
        <f ca="1"/>
        <v>43735</v>
      </c>
      <c r="R8" s="256">
        <f ca="1"/>
        <v>1.6600307891769358E-2</v>
      </c>
      <c r="S8" s="256">
        <f ca="1"/>
        <v>2.0640006820362863E-2</v>
      </c>
      <c r="T8" s="257">
        <f ca="1"/>
        <v>2.2948638718292547E-2</v>
      </c>
    </row>
    <row r="9" spans="1:21">
      <c r="B9" s="325" t="s">
        <v>537</v>
      </c>
      <c r="C9" s="404" t="b">
        <v>1</v>
      </c>
      <c r="N9" s="307"/>
      <c r="O9" s="307" t="s">
        <v>115</v>
      </c>
      <c r="Q9" s="255">
        <f ca="1"/>
        <v>43826</v>
      </c>
      <c r="R9" s="256">
        <f ca="1"/>
        <v>1.7254181903684523E-2</v>
      </c>
      <c r="S9" s="256">
        <f ca="1"/>
        <v>2.0977274219897313E-2</v>
      </c>
      <c r="T9" s="257">
        <f ca="1"/>
        <v>2.3407492864188265E-2</v>
      </c>
    </row>
    <row r="10" spans="1:21">
      <c r="B10" s="325" t="s">
        <v>563</v>
      </c>
      <c r="C10" s="404" t="b">
        <v>0</v>
      </c>
      <c r="N10" s="203"/>
      <c r="O10" s="203" t="s">
        <v>118</v>
      </c>
      <c r="Q10" s="255">
        <f ca="1"/>
        <v>43917</v>
      </c>
      <c r="R10" s="256">
        <f ca="1"/>
        <v>1.7790877139329642E-2</v>
      </c>
      <c r="S10" s="256">
        <f ca="1"/>
        <v>2.1543651888372182E-2</v>
      </c>
      <c r="T10" s="257">
        <f ca="1"/>
        <v>2.372970094830654E-2</v>
      </c>
    </row>
    <row r="11" spans="1:21">
      <c r="B11" s="425" t="s">
        <v>577</v>
      </c>
      <c r="C11" s="405" t="s">
        <v>578</v>
      </c>
      <c r="Q11" s="255">
        <f ca="1"/>
        <v>44011</v>
      </c>
      <c r="R11" s="256">
        <f ca="1"/>
        <v>1.8316947703484354E-2</v>
      </c>
      <c r="S11" s="256">
        <f ca="1"/>
        <v>2.2263260460245689E-2</v>
      </c>
      <c r="T11" s="257">
        <f ca="1"/>
        <v>2.4042487045624346E-2</v>
      </c>
    </row>
    <row r="12" spans="1:21">
      <c r="B12" s="307"/>
      <c r="C12" s="307"/>
      <c r="Q12" s="255">
        <f ca="1"/>
        <v>44102</v>
      </c>
      <c r="R12" s="256">
        <f ca="1"/>
        <v>1.8799749246666702E-2</v>
      </c>
      <c r="S12" s="256">
        <f ca="1"/>
        <v>2.2913695648622771E-2</v>
      </c>
      <c r="T12" s="257">
        <f ca="1"/>
        <v>2.4447276077026504E-2</v>
      </c>
    </row>
    <row r="13" spans="1:21">
      <c r="B13" s="307"/>
      <c r="C13" s="307"/>
      <c r="Q13" s="255">
        <f ca="1"/>
        <v>44193</v>
      </c>
      <c r="R13" s="256">
        <f ca="1"/>
        <v>1.9285887722065152E-2</v>
      </c>
      <c r="S13" s="256">
        <f ca="1"/>
        <v>2.3530048988483116E-2</v>
      </c>
      <c r="T13" s="257">
        <f ca="1"/>
        <v>2.4953811408187608E-2</v>
      </c>
    </row>
    <row r="14" spans="1:21">
      <c r="B14" s="1" t="s">
        <v>534</v>
      </c>
      <c r="Q14" s="255">
        <f ca="1"/>
        <v>44284</v>
      </c>
      <c r="R14" s="256">
        <f ca="1"/>
        <v>1.9831035394202556E-2</v>
      </c>
      <c r="S14" s="256">
        <f ca="1"/>
        <v>2.4010957509023344E-2</v>
      </c>
      <c r="T14" s="257">
        <f ca="1"/>
        <v>2.5531548540374028E-2</v>
      </c>
    </row>
    <row r="15" spans="1:21">
      <c r="B15" s="337" t="s">
        <v>501</v>
      </c>
      <c r="C15" s="338" t="s">
        <v>502</v>
      </c>
      <c r="Q15" s="255">
        <f ca="1"/>
        <v>44375</v>
      </c>
      <c r="R15" s="256">
        <f ca="1"/>
        <v>2.0327108825088147E-2</v>
      </c>
      <c r="S15" s="256">
        <f ca="1"/>
        <v>2.4418315683130843E-2</v>
      </c>
      <c r="T15" s="257">
        <f ca="1"/>
        <v>2.613381416930392E-2</v>
      </c>
    </row>
    <row r="16" spans="1:21">
      <c r="B16" s="73" t="s">
        <v>114</v>
      </c>
      <c r="C16" s="334">
        <f>'AUD CURVE TICKERS'!C4</f>
        <v>0</v>
      </c>
      <c r="Q16" s="255">
        <f ca="1"/>
        <v>44466</v>
      </c>
      <c r="R16" s="256">
        <f ca="1"/>
        <v>2.0832020437662541E-2</v>
      </c>
      <c r="S16" s="256">
        <f ca="1"/>
        <v>2.4864469674502874E-2</v>
      </c>
      <c r="T16" s="257">
        <f ca="1"/>
        <v>2.6720478178092689E-2</v>
      </c>
    </row>
    <row r="17" spans="2:20">
      <c r="B17" s="73" t="s">
        <v>115</v>
      </c>
      <c r="C17" s="334">
        <f>'AUD CURVE TICKERS'!F4</f>
        <v>0</v>
      </c>
      <c r="Q17" s="255">
        <f ca="1"/>
        <v>44557</v>
      </c>
      <c r="R17" s="256">
        <f ca="1"/>
        <v>2.135091714869965E-2</v>
      </c>
      <c r="S17" s="256">
        <f ca="1"/>
        <v>2.536701751391798E-2</v>
      </c>
      <c r="T17" s="257">
        <f ca="1"/>
        <v>2.7286785293452142E-2</v>
      </c>
    </row>
    <row r="18" spans="2:20">
      <c r="B18" s="73" t="s">
        <v>118</v>
      </c>
      <c r="C18" s="334">
        <f>'AUD CURVE TICKERS'!I4</f>
        <v>0</v>
      </c>
      <c r="Q18" s="255">
        <f ca="1"/>
        <v>44648</v>
      </c>
      <c r="R18" s="256">
        <f ca="1"/>
        <v>2.1884215934087382E-2</v>
      </c>
      <c r="S18" s="256">
        <f ca="1"/>
        <v>2.5949751088703323E-2</v>
      </c>
      <c r="T18" s="257">
        <f ca="1"/>
        <v>2.783205117620173E-2</v>
      </c>
    </row>
    <row r="19" spans="2:20">
      <c r="B19" s="73"/>
      <c r="C19" s="335"/>
      <c r="Q19" s="255">
        <f ca="1"/>
        <v>44739</v>
      </c>
      <c r="R19" s="256">
        <f ca="1"/>
        <v>2.243235523322425E-2</v>
      </c>
      <c r="S19" s="256">
        <f ca="1"/>
        <v>2.6564768777887115E-2</v>
      </c>
      <c r="T19" s="257">
        <f ca="1"/>
        <v>2.83352516647505E-2</v>
      </c>
    </row>
    <row r="20" spans="2:20">
      <c r="B20" s="73" t="s">
        <v>529</v>
      </c>
      <c r="C20" s="334">
        <f>'AUD CURVE TICKERS'!F5</f>
        <v>0</v>
      </c>
      <c r="Q20" s="255">
        <f ca="1"/>
        <v>44831</v>
      </c>
      <c r="R20" s="256">
        <f ca="1"/>
        <v>2.2940233795432027E-2</v>
      </c>
      <c r="S20" s="256">
        <f ca="1"/>
        <v>2.7123631133314008E-2</v>
      </c>
      <c r="T20" s="257">
        <f ca="1"/>
        <v>2.8780620154585188E-2</v>
      </c>
    </row>
    <row r="21" spans="2:20">
      <c r="B21" s="73" t="s">
        <v>527</v>
      </c>
      <c r="C21" s="334">
        <f>'AUD CURVE TICKERS'!F6</f>
        <v>0</v>
      </c>
      <c r="Q21" s="255">
        <f ca="1"/>
        <v>44922</v>
      </c>
      <c r="R21" s="256">
        <f ca="1"/>
        <v>2.3333547221360534E-2</v>
      </c>
      <c r="S21" s="256">
        <f ca="1"/>
        <v>2.7593418435921068E-2</v>
      </c>
      <c r="T21" s="257">
        <f ca="1"/>
        <v>2.9163871921472035E-2</v>
      </c>
    </row>
    <row r="22" spans="2:20">
      <c r="B22" s="73" t="s">
        <v>528</v>
      </c>
      <c r="C22" s="334">
        <f>'AUD CURVE TICKERS'!F7</f>
        <v>0</v>
      </c>
      <c r="Q22" s="255">
        <f ca="1"/>
        <v>45012</v>
      </c>
      <c r="R22" s="256">
        <f ca="1"/>
        <v>2.3613422495064845E-2</v>
      </c>
      <c r="S22" s="256">
        <f ca="1"/>
        <v>2.7985809141686691E-2</v>
      </c>
      <c r="T22" s="257">
        <f ca="1"/>
        <v>2.9495956718380859E-2</v>
      </c>
    </row>
    <row r="23" spans="2:20">
      <c r="B23" s="76"/>
      <c r="C23" s="336"/>
      <c r="Q23" s="255">
        <f ca="1"/>
        <v>45104</v>
      </c>
      <c r="R23" s="256">
        <f ca="1"/>
        <v>2.3784712314550947E-2</v>
      </c>
      <c r="S23" s="256">
        <f ca="1"/>
        <v>2.8308267176912625E-2</v>
      </c>
      <c r="T23" s="257">
        <f ca="1"/>
        <v>2.9785105816416697E-2</v>
      </c>
    </row>
    <row r="24" spans="2:20">
      <c r="Q24" s="255">
        <f ca="1"/>
        <v>45196</v>
      </c>
      <c r="R24" s="256">
        <f ca="1"/>
        <v>2.3918999198572433E-2</v>
      </c>
      <c r="S24" s="256">
        <f ca="1"/>
        <v>2.8607557609621224E-2</v>
      </c>
      <c r="T24" s="257">
        <f ca="1"/>
        <v>3.002585859146719E-2</v>
      </c>
    </row>
    <row r="25" spans="2:20">
      <c r="Q25" s="255">
        <f ca="1"/>
        <v>45287</v>
      </c>
      <c r="R25" s="256">
        <f ca="1"/>
        <v>2.409747851788625E-2</v>
      </c>
      <c r="S25" s="256">
        <f ca="1"/>
        <v>2.8820954046855689E-2</v>
      </c>
      <c r="T25" s="257">
        <f ca="1"/>
        <v>3.0249302984042652E-2</v>
      </c>
    </row>
    <row r="26" spans="2:20">
      <c r="Q26" s="255">
        <f ca="1"/>
        <v>45378</v>
      </c>
      <c r="R26" s="256">
        <f ca="1"/>
        <v>2.4255350602675699E-2</v>
      </c>
      <c r="S26" s="256">
        <f ca="1"/>
        <v>2.9101383449330241E-2</v>
      </c>
      <c r="T26" s="257">
        <f ca="1"/>
        <v>3.0492580813147794E-2</v>
      </c>
    </row>
    <row r="27" spans="2:20">
      <c r="Q27" s="255">
        <f ca="1"/>
        <v>45470</v>
      </c>
      <c r="R27" s="256">
        <f ca="1"/>
        <v>2.4529527135268788E-2</v>
      </c>
      <c r="S27" s="256">
        <f ca="1"/>
        <v>2.9389068081230794E-2</v>
      </c>
      <c r="T27" s="257">
        <f ca="1"/>
        <v>3.0772257275865453E-2</v>
      </c>
    </row>
    <row r="28" spans="2:20">
      <c r="Q28" s="255">
        <f ca="1"/>
        <v>45562</v>
      </c>
      <c r="R28" s="256">
        <f ca="1"/>
        <v>2.4848783401715095E-2</v>
      </c>
      <c r="S28" s="256">
        <f ca="1"/>
        <v>2.9679870743017842E-2</v>
      </c>
      <c r="T28" s="257">
        <f ca="1"/>
        <v>3.1086878967987331E-2</v>
      </c>
    </row>
    <row r="29" spans="2:20">
      <c r="Q29" s="255">
        <f ca="1"/>
        <v>45653</v>
      </c>
      <c r="R29" s="256">
        <f ca="1"/>
        <v>2.5190074078746412E-2</v>
      </c>
      <c r="S29" s="256">
        <f ca="1"/>
        <v>3.0083127704040095E-2</v>
      </c>
      <c r="T29" s="257">
        <f ca="1"/>
        <v>3.1407979079689737E-2</v>
      </c>
    </row>
    <row r="30" spans="2:20">
      <c r="Q30" s="255">
        <f ca="1"/>
        <v>45743</v>
      </c>
      <c r="R30" s="256">
        <f ca="1"/>
        <v>2.5623038608468995E-2</v>
      </c>
      <c r="S30" s="256">
        <f ca="1"/>
        <v>3.0440108328770987E-2</v>
      </c>
      <c r="T30" s="257">
        <f ca="1"/>
        <v>3.1705474314078136E-2</v>
      </c>
    </row>
    <row r="31" spans="2:20">
      <c r="Q31" s="255">
        <f ca="1"/>
        <v>45835</v>
      </c>
      <c r="R31" s="256">
        <f ca="1"/>
        <v>2.6039789801813887E-2</v>
      </c>
      <c r="S31" s="256">
        <f ca="1"/>
        <v>3.0788082188707887E-2</v>
      </c>
      <c r="T31" s="257">
        <f ca="1"/>
        <v>3.1955201480542789E-2</v>
      </c>
    </row>
    <row r="32" spans="2:20">
      <c r="Q32" s="255">
        <f ca="1"/>
        <v>45929</v>
      </c>
      <c r="R32" s="256">
        <f ca="1"/>
        <v>2.6416833656837262E-2</v>
      </c>
      <c r="S32" s="256">
        <f ca="1"/>
        <v>3.1049469201664202E-2</v>
      </c>
      <c r="T32" s="257">
        <f ca="1"/>
        <v>3.2123427061092356E-2</v>
      </c>
    </row>
    <row r="33" spans="17:20">
      <c r="Q33" s="255">
        <f ca="1"/>
        <v>46020</v>
      </c>
      <c r="R33" s="256">
        <f ca="1"/>
        <v>2.6678601803331731E-2</v>
      </c>
      <c r="S33" s="256">
        <f ca="1"/>
        <v>3.1184148478975205E-2</v>
      </c>
      <c r="T33" s="257">
        <f ca="1"/>
        <v>3.2194169220896254E-2</v>
      </c>
    </row>
    <row r="34" spans="17:20">
      <c r="Q34" s="255">
        <f ca="1"/>
        <v>46108</v>
      </c>
      <c r="R34" s="256">
        <f ca="1"/>
        <v>2.6829487460818577E-2</v>
      </c>
      <c r="S34" s="256">
        <f ca="1"/>
        <v>3.1201819771713841E-2</v>
      </c>
      <c r="T34" s="257">
        <f ca="1"/>
        <v>3.2187725987088925E-2</v>
      </c>
    </row>
    <row r="35" spans="17:20">
      <c r="Q35" s="255">
        <f ca="1"/>
        <v>46202</v>
      </c>
      <c r="R35" s="256">
        <f ca="1"/>
        <v>2.686690858354597E-2</v>
      </c>
      <c r="S35" s="256">
        <f ca="1"/>
        <v>3.1134587442788294E-2</v>
      </c>
      <c r="T35" s="257">
        <f ca="1"/>
        <v>3.217582862881195E-2</v>
      </c>
    </row>
    <row r="36" spans="17:20">
      <c r="Q36" s="255">
        <f ca="1"/>
        <v>46293</v>
      </c>
      <c r="R36" s="256">
        <f ca="1"/>
        <v>2.6881592835425204E-2</v>
      </c>
      <c r="S36" s="256">
        <f ca="1"/>
        <v>3.1139920138320322E-2</v>
      </c>
      <c r="T36" s="257">
        <f ca="1"/>
        <v>3.2237242033135147E-2</v>
      </c>
    </row>
    <row r="37" spans="17:20">
      <c r="Q37" s="255">
        <f ca="1"/>
        <v>46384</v>
      </c>
      <c r="R37" s="256">
        <f ca="1"/>
        <v>2.6966097462998152E-2</v>
      </c>
      <c r="S37" s="256">
        <f ca="1"/>
        <v>3.1251673133529057E-2</v>
      </c>
      <c r="T37" s="257">
        <f ca="1"/>
        <v>3.239527987915386E-2</v>
      </c>
    </row>
    <row r="38" spans="17:20">
      <c r="Q38" s="255">
        <f ca="1"/>
        <v>46475</v>
      </c>
      <c r="R38" s="256">
        <f ca="1"/>
        <v>2.7122313979911529E-2</v>
      </c>
      <c r="S38" s="256">
        <f ca="1"/>
        <v>3.1477017992063851E-2</v>
      </c>
      <c r="T38" s="257">
        <f ca="1"/>
        <v>3.264293352516922E-2</v>
      </c>
    </row>
    <row r="39" spans="17:20">
      <c r="Q39" s="255">
        <f ca="1"/>
        <v>46566</v>
      </c>
      <c r="R39" s="256">
        <f ca="1"/>
        <v>2.7352185264241231E-2</v>
      </c>
      <c r="S39" s="256">
        <f ca="1"/>
        <v>3.1781314877466917E-2</v>
      </c>
      <c r="T39" s="257">
        <f ca="1"/>
        <v>3.2898607403762707E-2</v>
      </c>
    </row>
    <row r="40" spans="17:20">
      <c r="Q40" s="255">
        <f ca="1"/>
        <v>46657</v>
      </c>
      <c r="R40" s="256">
        <f ca="1"/>
        <v>2.7600831748737679E-2</v>
      </c>
      <c r="S40" s="256">
        <f ca="1"/>
        <v>3.2060544934169412E-2</v>
      </c>
      <c r="T40" s="257">
        <f ca="1"/>
        <v>3.3085593885802837E-2</v>
      </c>
    </row>
    <row r="41" spans="17:20">
      <c r="Q41" s="255">
        <f ca="1"/>
        <v>46748</v>
      </c>
      <c r="R41" s="256">
        <f ca="1"/>
        <v>2.7812582072878029E-2</v>
      </c>
      <c r="S41" s="256">
        <f ca="1"/>
        <v>3.219824641224972E-2</v>
      </c>
      <c r="T41" s="257">
        <f ca="1"/>
        <v>3.3223823516495617E-2</v>
      </c>
    </row>
    <row r="42" spans="17:20">
      <c r="Q42" s="255">
        <f ca="1"/>
        <v>46839</v>
      </c>
      <c r="R42" s="256">
        <f ca="1"/>
        <v>2.7909511296193495E-2</v>
      </c>
      <c r="S42" s="256">
        <f ca="1"/>
        <v>3.2370567448718815E-2</v>
      </c>
      <c r="T42" s="257">
        <f ca="1"/>
        <v>3.3352106343144901E-2</v>
      </c>
    </row>
    <row r="43" spans="17:20">
      <c r="Q43" s="255">
        <f ca="1"/>
        <v>46931</v>
      </c>
      <c r="R43" s="256">
        <f ca="1"/>
        <v>2.8044954360027952E-2</v>
      </c>
      <c r="S43" s="256">
        <f ca="1"/>
        <v>3.2499973546600336E-2</v>
      </c>
      <c r="T43" s="257">
        <f ca="1"/>
        <v>3.3490335006654125E-2</v>
      </c>
    </row>
    <row r="44" spans="17:20">
      <c r="Q44" s="255">
        <f ca="1"/>
        <v>47023</v>
      </c>
      <c r="R44" s="256">
        <f ca="1"/>
        <v>2.815372861536642E-2</v>
      </c>
      <c r="S44" s="256">
        <f ca="1"/>
        <v>3.260652706519096E-2</v>
      </c>
      <c r="T44" s="257">
        <f ca="1"/>
        <v>3.3641345486298727E-2</v>
      </c>
    </row>
    <row r="45" spans="17:20">
      <c r="Q45" s="255">
        <f ca="1"/>
        <v>47114</v>
      </c>
      <c r="R45" s="256">
        <f ca="1"/>
        <v>2.8248577606142879E-2</v>
      </c>
      <c r="S45" s="256">
        <f ca="1"/>
        <v>3.2787288200083739E-2</v>
      </c>
      <c r="T45" s="257">
        <f ca="1"/>
        <v>3.3773051383470226E-2</v>
      </c>
    </row>
    <row r="46" spans="17:20">
      <c r="Q46" s="255">
        <f ca="1"/>
        <v>47204</v>
      </c>
      <c r="R46" s="256">
        <f ca="1"/>
        <v>2.8407367437682542E-2</v>
      </c>
      <c r="S46" s="256">
        <f ca="1"/>
        <v>3.2877734526797077E-2</v>
      </c>
      <c r="T46" s="257">
        <f ca="1"/>
        <v>3.3858150478427863E-2</v>
      </c>
    </row>
    <row r="47" spans="17:20">
      <c r="Q47" s="255">
        <f ca="1"/>
        <v>47296</v>
      </c>
      <c r="R47" s="256">
        <f ca="1"/>
        <v>2.8476889862656118E-2</v>
      </c>
      <c r="S47" s="256">
        <f ca="1"/>
        <v>3.2949560845136443E-2</v>
      </c>
      <c r="T47" s="257">
        <f ca="1"/>
        <v>3.3912841405689689E-2</v>
      </c>
    </row>
    <row r="48" spans="17:20">
      <c r="Q48" s="255">
        <f ca="1"/>
        <v>47388</v>
      </c>
      <c r="R48" s="256">
        <f ca="1"/>
        <v>2.8533951199890252E-2</v>
      </c>
      <c r="S48" s="256">
        <f ca="1"/>
        <v>3.300700313378041E-2</v>
      </c>
      <c r="T48" s="257">
        <f ca="1"/>
        <v>3.3956317438620431E-2</v>
      </c>
    </row>
    <row r="49" spans="17:20">
      <c r="Q49" s="255">
        <f ca="1"/>
        <v>47479</v>
      </c>
      <c r="R49" s="256">
        <f ca="1"/>
        <v>2.8579585129472795E-2</v>
      </c>
      <c r="S49" s="256">
        <f ca="1"/>
        <v>3.3051222072974458E-2</v>
      </c>
      <c r="T49" s="257">
        <f ca="1"/>
        <v>3.399037245602661E-2</v>
      </c>
    </row>
    <row r="50" spans="17:20">
      <c r="Q50" s="255">
        <f ca="1"/>
        <v>47569</v>
      </c>
      <c r="R50" s="256">
        <f ca="1"/>
        <v>2.8613838687934996E-2</v>
      </c>
      <c r="S50" s="256">
        <f ca="1"/>
        <v>3.3087637501660785E-2</v>
      </c>
      <c r="T50" s="257">
        <f ca="1"/>
        <v>3.4012414421256083E-2</v>
      </c>
    </row>
    <row r="51" spans="17:20">
      <c r="Q51" s="255">
        <f ca="1"/>
        <v>47661</v>
      </c>
      <c r="R51" s="256">
        <f ca="1"/>
        <v>2.8637348606198265E-2</v>
      </c>
      <c r="S51" s="256">
        <f ca="1"/>
        <v>3.3111956321760908E-2</v>
      </c>
      <c r="T51" s="257">
        <f ca="1"/>
        <v>3.401963135445675E-2</v>
      </c>
    </row>
    <row r="52" spans="17:20">
      <c r="Q52" s="255">
        <f ca="1"/>
        <v>47753</v>
      </c>
      <c r="R52" s="256">
        <f ca="1"/>
        <v>2.8651640308230992E-2</v>
      </c>
      <c r="S52" s="256">
        <f ca="1"/>
        <v>3.3115772085171184E-2</v>
      </c>
      <c r="T52" s="257">
        <f ca="1"/>
        <v>3.4010441245062112E-2</v>
      </c>
    </row>
    <row r="53" spans="17:20">
      <c r="Q53" s="255">
        <f ca="1"/>
        <v>47844</v>
      </c>
      <c r="R53" s="256">
        <f ca="1"/>
        <v>2.8652127040504367E-2</v>
      </c>
      <c r="S53" s="256">
        <f ca="1"/>
        <v>3.3111148885868254E-2</v>
      </c>
      <c r="T53" s="257">
        <f ca="1"/>
        <v>3.3994714662239307E-2</v>
      </c>
    </row>
    <row r="54" spans="17:20">
      <c r="Q54" s="255">
        <f ca="1"/>
        <v>47934</v>
      </c>
      <c r="R54" s="256">
        <f ca="1"/>
        <v>2.8639242277430307E-2</v>
      </c>
      <c r="S54" s="256">
        <f ca="1"/>
        <v>3.3098805347497054E-2</v>
      </c>
      <c r="T54" s="257">
        <f ca="1"/>
        <v>3.3978034856508285E-2</v>
      </c>
    </row>
    <row r="55" spans="17:20">
      <c r="Q55" s="255">
        <f ca="1"/>
        <v>48026</v>
      </c>
      <c r="R55" s="256">
        <f ca="1"/>
        <v>2.8618304354735679E-2</v>
      </c>
      <c r="S55" s="256">
        <f ca="1"/>
        <v>3.3065988675614263E-2</v>
      </c>
      <c r="T55" s="257">
        <f ca="1"/>
        <v>3.3935268964527046E-2</v>
      </c>
    </row>
    <row r="56" spans="17:20">
      <c r="Q56" s="255">
        <f ca="1"/>
        <v>48120</v>
      </c>
      <c r="R56" s="256">
        <f ca="1"/>
        <v>2.8580976419124059E-2</v>
      </c>
      <c r="S56" s="256">
        <f ca="1"/>
        <v>3.3021537202173282E-2</v>
      </c>
      <c r="T56" s="257">
        <f ca="1"/>
        <v>3.384268292878765E-2</v>
      </c>
    </row>
    <row r="57" spans="17:20">
      <c r="Q57" s="255">
        <f ca="1"/>
        <v>48211</v>
      </c>
      <c r="R57" s="256">
        <f ca="1"/>
        <v>2.8535608437157668E-2</v>
      </c>
      <c r="S57" s="256">
        <f ca="1"/>
        <v>3.2879401513064566E-2</v>
      </c>
      <c r="T57" s="257">
        <f ca="1"/>
        <v>3.3736676923130281E-2</v>
      </c>
    </row>
    <row r="58" spans="17:20">
      <c r="Q58" s="255">
        <f ca="1"/>
        <v>48302</v>
      </c>
      <c r="R58" s="256">
        <f ca="1"/>
        <v>2.8401383762828705E-2</v>
      </c>
      <c r="S58" s="256">
        <f ca="1"/>
        <v>3.2810158652190287E-2</v>
      </c>
      <c r="T58" s="257">
        <f ca="1"/>
        <v>3.3651177764341567E-2</v>
      </c>
    </row>
    <row r="59" spans="17:20">
      <c r="Q59" s="255">
        <f ca="1"/>
        <v>48393</v>
      </c>
      <c r="R59" s="256">
        <f ca="1"/>
        <v>2.833372343692275E-2</v>
      </c>
      <c r="S59" s="256">
        <f ca="1"/>
        <v>3.2730835255161135E-2</v>
      </c>
      <c r="T59" s="257">
        <f ca="1"/>
        <v>3.3591502573351383E-2</v>
      </c>
    </row>
    <row r="60" spans="17:20">
      <c r="Q60" s="255">
        <f ca="1"/>
        <v>48484</v>
      </c>
      <c r="R60" s="256">
        <f ca="1"/>
        <v>2.8254934670632142E-2</v>
      </c>
      <c r="S60" s="256">
        <f ca="1"/>
        <v>3.2638302033883508E-2</v>
      </c>
      <c r="T60" s="257">
        <f ca="1"/>
        <v>3.3549642943824912E-2</v>
      </c>
    </row>
    <row r="61" spans="17:20">
      <c r="Q61" s="255">
        <f ca="1"/>
        <v>48575</v>
      </c>
      <c r="R61" s="256">
        <f ca="1"/>
        <v>2.8165302277552207E-2</v>
      </c>
      <c r="S61" s="256">
        <f ca="1"/>
        <v>3.2618951840964021E-2</v>
      </c>
      <c r="T61" s="257">
        <f ca="1"/>
        <v>3.3493262246518295E-2</v>
      </c>
    </row>
    <row r="62" spans="17:20">
      <c r="Q62" s="255">
        <f ca="1"/>
        <v>48666</v>
      </c>
      <c r="R62" s="256">
        <f ca="1"/>
        <v>2.8141171031412626E-2</v>
      </c>
      <c r="S62" s="256">
        <f ca="1"/>
        <v>3.2506382015207141E-2</v>
      </c>
      <c r="T62" s="257">
        <f ca="1"/>
        <v>3.3394692567897268E-2</v>
      </c>
    </row>
    <row r="63" spans="17:20">
      <c r="Q63" s="255">
        <f ca="1"/>
        <v>48757</v>
      </c>
      <c r="R63" s="256">
        <f ca="1"/>
        <v>2.8028388854828574E-2</v>
      </c>
      <c r="S63" s="256">
        <f ca="1"/>
        <v>3.2378581831092233E-2</v>
      </c>
      <c r="T63" s="257">
        <f ca="1"/>
        <v>3.3274047592029031E-2</v>
      </c>
    </row>
    <row r="64" spans="17:20">
      <c r="Q64" s="255">
        <f ca="1"/>
        <v>48849</v>
      </c>
      <c r="R64" s="256">
        <f ca="1"/>
        <v>2.7906702928792975E-2</v>
      </c>
      <c r="S64" s="256">
        <f ca="1"/>
        <v>3.2247535198392359E-2</v>
      </c>
      <c r="T64" s="257">
        <f ca="1"/>
        <v>3.3156670415637315E-2</v>
      </c>
    </row>
    <row r="65" spans="17:20">
      <c r="Q65" s="255">
        <f ca="1"/>
        <v>48940</v>
      </c>
      <c r="R65" s="256">
        <f ca="1"/>
        <v>2.7782915764219762E-2</v>
      </c>
      <c r="S65" s="256">
        <f ca="1"/>
        <v>3.2118953288240069E-2</v>
      </c>
      <c r="T65" s="257">
        <f ca="1"/>
        <v>3.3046137508419608E-2</v>
      </c>
    </row>
    <row r="66" spans="17:20">
      <c r="Q66" s="255">
        <f ca="1"/>
        <v>49030</v>
      </c>
      <c r="R66" s="256">
        <f ca="1"/>
        <v>2.7657101896536772E-2</v>
      </c>
      <c r="S66" s="256">
        <f ca="1"/>
        <v>3.1995031518377473E-2</v>
      </c>
      <c r="T66" s="257">
        <f ca="1"/>
        <v>3.2937512303115382E-2</v>
      </c>
    </row>
    <row r="67" spans="17:20">
      <c r="Q67" s="255">
        <f ca="1"/>
        <v>49122</v>
      </c>
      <c r="R67" s="256">
        <f ca="1"/>
        <v>2.7524972347892234E-2</v>
      </c>
      <c r="S67" s="256">
        <f ca="1"/>
        <v>3.186804991020617E-2</v>
      </c>
      <c r="T67" s="257">
        <f ca="1"/>
        <v>3.2825190120796828E-2</v>
      </c>
    </row>
    <row r="68" spans="17:20">
      <c r="Q68" s="255">
        <f ca="1"/>
        <v>49214</v>
      </c>
      <c r="R68" s="256">
        <f ca="1"/>
        <v>2.7390271621190572E-2</v>
      </c>
      <c r="S68" s="256">
        <f ca="1"/>
        <v>3.1741506691323362E-2</v>
      </c>
      <c r="T68" s="257">
        <f ca="1"/>
        <v>3.2711817113031692E-2</v>
      </c>
    </row>
    <row r="69" spans="17:20">
      <c r="Q69" s="255">
        <f ca="1"/>
        <v>49305</v>
      </c>
      <c r="R69" s="256">
        <f ca="1"/>
        <v>2.7255536560645534E-2</v>
      </c>
      <c r="S69" s="256">
        <f ca="1"/>
        <v>3.1617423554076304E-2</v>
      </c>
      <c r="T69" s="257">
        <f ca="1"/>
        <v>3.2604989967372863E-2</v>
      </c>
    </row>
    <row r="70" spans="17:20">
      <c r="Q70" s="255">
        <f ca="1"/>
        <v>49395</v>
      </c>
      <c r="R70" s="256">
        <f ca="1"/>
        <v>2.7120835393898261E-2</v>
      </c>
      <c r="S70" s="256">
        <f ca="1"/>
        <v>3.1497940777248115E-2</v>
      </c>
      <c r="T70" s="257">
        <f ca="1"/>
        <v>3.250669246961177E-2</v>
      </c>
    </row>
    <row r="71" spans="17:20">
      <c r="Q71" s="255">
        <f ca="1"/>
        <v>49487</v>
      </c>
      <c r="R71" s="256">
        <f ca="1"/>
        <v>2.6981674338126808E-2</v>
      </c>
      <c r="S71" s="256">
        <f ca="1"/>
        <v>3.1375300765831511E-2</v>
      </c>
      <c r="T71" s="257">
        <f ca="1"/>
        <v>3.2391954188969355E-2</v>
      </c>
    </row>
    <row r="72" spans="17:20">
      <c r="Q72" s="255">
        <f ca="1"/>
        <v>49579</v>
      </c>
      <c r="R72" s="256">
        <f ca="1"/>
        <v>2.6841929525537996E-2</v>
      </c>
      <c r="S72" s="256">
        <f ca="1"/>
        <v>3.1254003916517337E-2</v>
      </c>
      <c r="T72" s="257">
        <f ca="1"/>
        <v>3.2245232838511849E-2</v>
      </c>
    </row>
    <row r="73" spans="17:20">
      <c r="Q73" s="255">
        <f ca="1"/>
        <v>49670</v>
      </c>
      <c r="R73" s="256">
        <f ca="1"/>
        <v>2.6704064656272987E-2</v>
      </c>
      <c r="S73" s="256">
        <f ca="1"/>
        <v>3.1052728513920259E-2</v>
      </c>
      <c r="T73" s="257">
        <f ca="1"/>
        <v>3.2095276902952601E-2</v>
      </c>
    </row>
    <row r="74" spans="17:20">
      <c r="Q74" s="255">
        <f ca="1"/>
        <v>49761</v>
      </c>
      <c r="R74" s="256">
        <f ca="1"/>
        <v>2.6494399025655944E-2</v>
      </c>
      <c r="S74" s="256">
        <f ca="1"/>
        <v>3.093399977534602E-2</v>
      </c>
      <c r="T74" s="257">
        <f ca="1"/>
        <v>3.1972711457057768E-2</v>
      </c>
    </row>
    <row r="75" spans="17:20">
      <c r="Q75" s="255">
        <f ca="1"/>
        <v>49853</v>
      </c>
      <c r="R75" s="256">
        <f ca="1"/>
        <v>2.635712353174121E-2</v>
      </c>
      <c r="S75" s="256">
        <f ca="1"/>
        <v>3.081616367030339E-2</v>
      </c>
      <c r="T75" s="257">
        <f ca="1"/>
        <v>3.1884105064124479E-2</v>
      </c>
    </row>
    <row r="76" spans="17:20">
      <c r="Q76" s="255">
        <f ca="1"/>
        <v>49947</v>
      </c>
      <c r="R76" s="256">
        <f ca="1"/>
        <v>2.6217410252928671E-2</v>
      </c>
      <c r="S76" s="256">
        <f ca="1"/>
        <v>3.0696227947952022E-2</v>
      </c>
      <c r="T76" s="257">
        <f ca="1"/>
        <v>3.1825125457195756E-2</v>
      </c>
    </row>
    <row r="77" spans="17:20">
      <c r="Q77" s="255">
        <f ca="1"/>
        <v>50038</v>
      </c>
      <c r="R77" s="256">
        <f ca="1"/>
        <v>2.6084788979803E-2</v>
      </c>
      <c r="S77" s="256">
        <f ca="1"/>
        <v>3.0664579602450115E-2</v>
      </c>
      <c r="T77" s="257">
        <f ca="1"/>
        <v>3.1765649455354233E-2</v>
      </c>
    </row>
    <row r="78" spans="17:20">
      <c r="Q78" s="255">
        <f ca="1"/>
        <v>50126</v>
      </c>
      <c r="R78" s="256">
        <f ca="1"/>
        <v>2.602995461257834E-2</v>
      </c>
      <c r="S78" s="256">
        <f ca="1"/>
        <v>3.0557972393152132E-2</v>
      </c>
      <c r="T78" s="257">
        <f ca="1"/>
        <v>3.167829014129056E-2</v>
      </c>
    </row>
    <row r="79" spans="17:20">
      <c r="Q79" s="255">
        <f ca="1"/>
        <v>50220</v>
      </c>
      <c r="R79" s="256">
        <f ca="1"/>
        <v>2.5896676769348828E-2</v>
      </c>
      <c r="S79" s="256">
        <f ca="1"/>
        <v>3.0441669447058173E-2</v>
      </c>
      <c r="T79" s="257">
        <f ca="1"/>
        <v>3.1568522983772475E-2</v>
      </c>
    </row>
    <row r="80" spans="17:20">
      <c r="Q80" s="255">
        <f ca="1"/>
        <v>50311</v>
      </c>
      <c r="R80" s="256">
        <f ca="1"/>
        <v>2.5771390993315137E-2</v>
      </c>
      <c r="S80" s="256">
        <f ca="1"/>
        <v>3.0330631720428894E-2</v>
      </c>
      <c r="T80" s="257">
        <f ca="1"/>
        <v>3.1467722276890507E-2</v>
      </c>
    </row>
    <row r="81" spans="17:20">
      <c r="Q81" s="255">
        <f ca="1"/>
        <v>50402</v>
      </c>
      <c r="R81" s="256">
        <f ca="1"/>
        <v>2.565022991108018E-2</v>
      </c>
      <c r="S81" s="256">
        <f ca="1"/>
        <v>3.0219410679917801E-2</v>
      </c>
      <c r="T81" s="257">
        <f ca="1"/>
        <v>3.1372571293468439E-2</v>
      </c>
    </row>
    <row r="82" spans="17:20">
      <c r="Q82" s="255">
        <f ca="1"/>
        <v>50493</v>
      </c>
      <c r="R82" s="256">
        <f ca="1"/>
        <v>2.5533348875964167E-2</v>
      </c>
      <c r="S82" s="256">
        <f ca="1"/>
        <v>3.0111903053803724E-2</v>
      </c>
      <c r="T82" s="257">
        <f ca="1"/>
        <v>3.1278138011477885E-2</v>
      </c>
    </row>
    <row r="83" spans="17:20">
      <c r="Q83" s="255">
        <f ca="1"/>
        <v>50584</v>
      </c>
      <c r="R83" s="256">
        <f ca="1"/>
        <v>2.5420904381413419E-2</v>
      </c>
      <c r="S83" s="256">
        <f ca="1"/>
        <v>3.0003636134016649E-2</v>
      </c>
      <c r="T83" s="257">
        <f ca="1"/>
        <v>3.1180663099531266E-2</v>
      </c>
    </row>
    <row r="84" spans="17:20">
      <c r="Q84" s="255" t="e">
        <f ca="1"/>
        <v>#N/A</v>
      </c>
      <c r="R84" s="256" t="e">
        <f ca="1"/>
        <v>#N/A</v>
      </c>
      <c r="S84" s="256" t="e">
        <f ca="1"/>
        <v>#N/A</v>
      </c>
      <c r="T84" s="257" t="e">
        <f ca="1"/>
        <v>#N/A</v>
      </c>
    </row>
    <row r="85" spans="17:20">
      <c r="Q85" s="255" t="e">
        <f ca="1"/>
        <v>#N/A</v>
      </c>
      <c r="R85" s="256" t="e">
        <f ca="1"/>
        <v>#N/A</v>
      </c>
      <c r="S85" s="256" t="e">
        <f ca="1"/>
        <v>#N/A</v>
      </c>
      <c r="T85" s="257" t="e">
        <f ca="1"/>
        <v>#N/A</v>
      </c>
    </row>
    <row r="86" spans="17:20">
      <c r="Q86" s="255" t="e">
        <f ca="1"/>
        <v>#N/A</v>
      </c>
      <c r="R86" s="256" t="e">
        <f ca="1"/>
        <v>#N/A</v>
      </c>
      <c r="S86" s="256" t="e">
        <f ca="1"/>
        <v>#N/A</v>
      </c>
      <c r="T86" s="257" t="e">
        <f ca="1"/>
        <v>#N/A</v>
      </c>
    </row>
    <row r="87" spans="17:20">
      <c r="Q87" s="255" t="e">
        <f ca="1"/>
        <v>#N/A</v>
      </c>
      <c r="R87" s="256" t="e">
        <f ca="1"/>
        <v>#N/A</v>
      </c>
      <c r="S87" s="256" t="e">
        <f ca="1"/>
        <v>#N/A</v>
      </c>
      <c r="T87" s="257" t="e">
        <f ca="1"/>
        <v>#N/A</v>
      </c>
    </row>
    <row r="88" spans="17:20">
      <c r="Q88" s="255" t="e">
        <f ca="1"/>
        <v>#N/A</v>
      </c>
      <c r="R88" s="256" t="e">
        <f ca="1"/>
        <v>#N/A</v>
      </c>
      <c r="S88" s="256" t="e">
        <f ca="1"/>
        <v>#N/A</v>
      </c>
      <c r="T88" s="257" t="e">
        <f ca="1"/>
        <v>#N/A</v>
      </c>
    </row>
    <row r="89" spans="17:20">
      <c r="Q89" s="255" t="e">
        <f ca="1"/>
        <v>#N/A</v>
      </c>
      <c r="R89" s="256" t="e">
        <f ca="1"/>
        <v>#N/A</v>
      </c>
      <c r="S89" s="256" t="e">
        <f ca="1"/>
        <v>#N/A</v>
      </c>
      <c r="T89" s="257" t="e">
        <f ca="1"/>
        <v>#N/A</v>
      </c>
    </row>
    <row r="90" spans="17:20">
      <c r="Q90" s="255" t="e">
        <f ca="1"/>
        <v>#N/A</v>
      </c>
      <c r="R90" s="256" t="e">
        <f ca="1"/>
        <v>#N/A</v>
      </c>
      <c r="S90" s="256" t="e">
        <f ca="1"/>
        <v>#N/A</v>
      </c>
      <c r="T90" s="257" t="e">
        <f ca="1"/>
        <v>#N/A</v>
      </c>
    </row>
    <row r="91" spans="17:20">
      <c r="Q91" s="255" t="e">
        <f ca="1"/>
        <v>#N/A</v>
      </c>
      <c r="R91" s="256" t="e">
        <f ca="1"/>
        <v>#N/A</v>
      </c>
      <c r="S91" s="256" t="e">
        <f ca="1"/>
        <v>#N/A</v>
      </c>
      <c r="T91" s="257" t="e">
        <f ca="1"/>
        <v>#N/A</v>
      </c>
    </row>
    <row r="92" spans="17:20">
      <c r="Q92" s="255" t="e">
        <f ca="1"/>
        <v>#N/A</v>
      </c>
      <c r="R92" s="256" t="e">
        <f ca="1"/>
        <v>#N/A</v>
      </c>
      <c r="S92" s="256" t="e">
        <f ca="1"/>
        <v>#N/A</v>
      </c>
      <c r="T92" s="257" t="e">
        <f ca="1"/>
        <v>#N/A</v>
      </c>
    </row>
    <row r="93" spans="17:20">
      <c r="Q93" s="255" t="e">
        <f ca="1"/>
        <v>#N/A</v>
      </c>
      <c r="R93" s="256" t="e">
        <f ca="1"/>
        <v>#N/A</v>
      </c>
      <c r="S93" s="256" t="e">
        <f ca="1"/>
        <v>#N/A</v>
      </c>
      <c r="T93" s="257" t="e">
        <f ca="1"/>
        <v>#N/A</v>
      </c>
    </row>
    <row r="94" spans="17:20">
      <c r="Q94" s="255" t="e">
        <f ca="1"/>
        <v>#N/A</v>
      </c>
      <c r="R94" s="256" t="e">
        <f ca="1"/>
        <v>#N/A</v>
      </c>
      <c r="S94" s="256" t="e">
        <f ca="1"/>
        <v>#N/A</v>
      </c>
      <c r="T94" s="257" t="e">
        <f ca="1"/>
        <v>#N/A</v>
      </c>
    </row>
    <row r="95" spans="17:20">
      <c r="Q95" s="255" t="e">
        <f ca="1"/>
        <v>#N/A</v>
      </c>
      <c r="R95" s="256" t="e">
        <f ca="1"/>
        <v>#N/A</v>
      </c>
      <c r="S95" s="256" t="e">
        <f ca="1"/>
        <v>#N/A</v>
      </c>
      <c r="T95" s="257" t="e">
        <f ca="1"/>
        <v>#N/A</v>
      </c>
    </row>
    <row r="96" spans="17:20">
      <c r="Q96" s="255" t="e">
        <f ca="1"/>
        <v>#N/A</v>
      </c>
      <c r="R96" s="256" t="e">
        <f ca="1"/>
        <v>#N/A</v>
      </c>
      <c r="S96" s="256" t="e">
        <f ca="1"/>
        <v>#N/A</v>
      </c>
      <c r="T96" s="257" t="e">
        <f ca="1"/>
        <v>#N/A</v>
      </c>
    </row>
    <row r="97" spans="17:20">
      <c r="Q97" s="255" t="e">
        <f ca="1"/>
        <v>#N/A</v>
      </c>
      <c r="R97" s="256" t="e">
        <f ca="1"/>
        <v>#N/A</v>
      </c>
      <c r="S97" s="256" t="e">
        <f ca="1"/>
        <v>#N/A</v>
      </c>
      <c r="T97" s="257" t="e">
        <f ca="1"/>
        <v>#N/A</v>
      </c>
    </row>
    <row r="98" spans="17:20">
      <c r="Q98" s="255" t="e">
        <f ca="1"/>
        <v>#N/A</v>
      </c>
      <c r="R98" s="256" t="e">
        <f ca="1"/>
        <v>#N/A</v>
      </c>
      <c r="S98" s="256" t="e">
        <f ca="1"/>
        <v>#N/A</v>
      </c>
      <c r="T98" s="257" t="e">
        <f ca="1"/>
        <v>#N/A</v>
      </c>
    </row>
    <row r="99" spans="17:20">
      <c r="Q99" s="255" t="e">
        <f ca="1"/>
        <v>#N/A</v>
      </c>
      <c r="R99" s="256" t="e">
        <f ca="1"/>
        <v>#N/A</v>
      </c>
      <c r="S99" s="256" t="e">
        <f ca="1"/>
        <v>#N/A</v>
      </c>
      <c r="T99" s="257" t="e">
        <f ca="1"/>
        <v>#N/A</v>
      </c>
    </row>
    <row r="100" spans="17:20">
      <c r="Q100" s="255" t="e">
        <f ca="1"/>
        <v>#N/A</v>
      </c>
      <c r="R100" s="256" t="e">
        <f ca="1"/>
        <v>#N/A</v>
      </c>
      <c r="S100" s="256" t="e">
        <f ca="1"/>
        <v>#N/A</v>
      </c>
      <c r="T100" s="257" t="e">
        <f ca="1"/>
        <v>#N/A</v>
      </c>
    </row>
    <row r="101" spans="17:20">
      <c r="Q101" s="255" t="e">
        <f ca="1"/>
        <v>#N/A</v>
      </c>
      <c r="R101" s="256" t="e">
        <f ca="1"/>
        <v>#N/A</v>
      </c>
      <c r="S101" s="256" t="e">
        <f ca="1"/>
        <v>#N/A</v>
      </c>
      <c r="T101" s="257" t="e">
        <f ca="1"/>
        <v>#N/A</v>
      </c>
    </row>
    <row r="102" spans="17:20">
      <c r="Q102" s="255" t="e">
        <f ca="1"/>
        <v>#N/A</v>
      </c>
      <c r="R102" s="256" t="e">
        <f ca="1"/>
        <v>#N/A</v>
      </c>
      <c r="S102" s="256" t="e">
        <f ca="1"/>
        <v>#N/A</v>
      </c>
      <c r="T102" s="257" t="e">
        <f ca="1"/>
        <v>#N/A</v>
      </c>
    </row>
    <row r="103" spans="17:20">
      <c r="Q103" s="255" t="e">
        <f ca="1"/>
        <v>#N/A</v>
      </c>
      <c r="R103" s="256" t="e">
        <f ca="1"/>
        <v>#N/A</v>
      </c>
      <c r="S103" s="256" t="e">
        <f ca="1"/>
        <v>#N/A</v>
      </c>
      <c r="T103" s="257" t="e">
        <f ca="1"/>
        <v>#N/A</v>
      </c>
    </row>
    <row r="104" spans="17:20">
      <c r="Q104" s="255" t="e">
        <f ca="1"/>
        <v>#N/A</v>
      </c>
      <c r="R104" s="256" t="e">
        <f ca="1"/>
        <v>#N/A</v>
      </c>
      <c r="S104" s="256" t="e">
        <f ca="1"/>
        <v>#N/A</v>
      </c>
      <c r="T104" s="257" t="e">
        <f ca="1"/>
        <v>#N/A</v>
      </c>
    </row>
    <row r="105" spans="17:20">
      <c r="Q105" s="255" t="e">
        <f ca="1"/>
        <v>#N/A</v>
      </c>
      <c r="R105" s="256" t="e">
        <f ca="1"/>
        <v>#N/A</v>
      </c>
      <c r="S105" s="256" t="e">
        <f ca="1"/>
        <v>#N/A</v>
      </c>
      <c r="T105" s="257" t="e">
        <f ca="1"/>
        <v>#N/A</v>
      </c>
    </row>
    <row r="106" spans="17:20">
      <c r="Q106" s="255" t="e">
        <f ca="1"/>
        <v>#N/A</v>
      </c>
      <c r="R106" s="256" t="e">
        <f ca="1"/>
        <v>#N/A</v>
      </c>
      <c r="S106" s="256" t="e">
        <f ca="1"/>
        <v>#N/A</v>
      </c>
      <c r="T106" s="257" t="e">
        <f ca="1"/>
        <v>#N/A</v>
      </c>
    </row>
    <row r="107" spans="17:20">
      <c r="Q107" s="255" t="e">
        <f ca="1"/>
        <v>#N/A</v>
      </c>
      <c r="R107" s="256" t="e">
        <f ca="1"/>
        <v>#N/A</v>
      </c>
      <c r="S107" s="256" t="e">
        <f ca="1"/>
        <v>#N/A</v>
      </c>
      <c r="T107" s="257" t="e">
        <f ca="1"/>
        <v>#N/A</v>
      </c>
    </row>
    <row r="108" spans="17:20">
      <c r="Q108" s="255" t="e">
        <f ca="1"/>
        <v>#N/A</v>
      </c>
      <c r="R108" s="256" t="e">
        <f ca="1"/>
        <v>#N/A</v>
      </c>
      <c r="S108" s="256" t="e">
        <f ca="1"/>
        <v>#N/A</v>
      </c>
      <c r="T108" s="257" t="e">
        <f ca="1"/>
        <v>#N/A</v>
      </c>
    </row>
    <row r="109" spans="17:20">
      <c r="Q109" s="255" t="e">
        <f ca="1"/>
        <v>#N/A</v>
      </c>
      <c r="R109" s="256" t="e">
        <f ca="1"/>
        <v>#N/A</v>
      </c>
      <c r="S109" s="256" t="e">
        <f ca="1"/>
        <v>#N/A</v>
      </c>
      <c r="T109" s="257" t="e">
        <f ca="1"/>
        <v>#N/A</v>
      </c>
    </row>
    <row r="110" spans="17:20">
      <c r="Q110" s="255" t="e">
        <f ca="1"/>
        <v>#N/A</v>
      </c>
      <c r="R110" s="256" t="e">
        <f ca="1"/>
        <v>#N/A</v>
      </c>
      <c r="S110" s="256" t="e">
        <f ca="1"/>
        <v>#N/A</v>
      </c>
      <c r="T110" s="257" t="e">
        <f ca="1"/>
        <v>#N/A</v>
      </c>
    </row>
    <row r="111" spans="17:20">
      <c r="Q111" s="255" t="e">
        <f ca="1"/>
        <v>#N/A</v>
      </c>
      <c r="R111" s="256" t="e">
        <f ca="1"/>
        <v>#N/A</v>
      </c>
      <c r="S111" s="256" t="e">
        <f ca="1"/>
        <v>#N/A</v>
      </c>
      <c r="T111" s="257" t="e">
        <f ca="1"/>
        <v>#N/A</v>
      </c>
    </row>
    <row r="112" spans="17:20">
      <c r="Q112" s="255" t="e">
        <f ca="1"/>
        <v>#N/A</v>
      </c>
      <c r="R112" s="256" t="e">
        <f ca="1"/>
        <v>#N/A</v>
      </c>
      <c r="S112" s="256" t="e">
        <f ca="1"/>
        <v>#N/A</v>
      </c>
      <c r="T112" s="257" t="e">
        <f ca="1"/>
        <v>#N/A</v>
      </c>
    </row>
    <row r="113" spans="17:20">
      <c r="Q113" s="255" t="e">
        <f ca="1"/>
        <v>#N/A</v>
      </c>
      <c r="R113" s="256" t="e">
        <f ca="1"/>
        <v>#N/A</v>
      </c>
      <c r="S113" s="256" t="e">
        <f ca="1"/>
        <v>#N/A</v>
      </c>
      <c r="T113" s="257" t="e">
        <f ca="1"/>
        <v>#N/A</v>
      </c>
    </row>
    <row r="114" spans="17:20">
      <c r="Q114" s="255" t="e">
        <f ca="1"/>
        <v>#N/A</v>
      </c>
      <c r="R114" s="256" t="e">
        <f ca="1"/>
        <v>#N/A</v>
      </c>
      <c r="S114" s="256" t="e">
        <f ca="1"/>
        <v>#N/A</v>
      </c>
      <c r="T114" s="257" t="e">
        <f ca="1"/>
        <v>#N/A</v>
      </c>
    </row>
    <row r="115" spans="17:20">
      <c r="Q115" s="255" t="e">
        <f ca="1"/>
        <v>#N/A</v>
      </c>
      <c r="R115" s="256" t="e">
        <f ca="1"/>
        <v>#N/A</v>
      </c>
      <c r="S115" s="256" t="e">
        <f ca="1"/>
        <v>#N/A</v>
      </c>
      <c r="T115" s="257" t="e">
        <f ca="1"/>
        <v>#N/A</v>
      </c>
    </row>
    <row r="116" spans="17:20">
      <c r="Q116" s="255" t="e">
        <f ca="1"/>
        <v>#N/A</v>
      </c>
      <c r="R116" s="256" t="e">
        <f ca="1"/>
        <v>#N/A</v>
      </c>
      <c r="S116" s="256" t="e">
        <f ca="1"/>
        <v>#N/A</v>
      </c>
      <c r="T116" s="257" t="e">
        <f ca="1"/>
        <v>#N/A</v>
      </c>
    </row>
    <row r="117" spans="17:20">
      <c r="Q117" s="255" t="e">
        <f ca="1"/>
        <v>#N/A</v>
      </c>
      <c r="R117" s="256" t="e">
        <f ca="1"/>
        <v>#N/A</v>
      </c>
      <c r="S117" s="256" t="e">
        <f ca="1"/>
        <v>#N/A</v>
      </c>
      <c r="T117" s="257" t="e">
        <f ca="1"/>
        <v>#N/A</v>
      </c>
    </row>
    <row r="118" spans="17:20">
      <c r="Q118" s="255" t="e">
        <f ca="1"/>
        <v>#N/A</v>
      </c>
      <c r="R118" s="256" t="e">
        <f ca="1"/>
        <v>#N/A</v>
      </c>
      <c r="S118" s="256" t="e">
        <f ca="1"/>
        <v>#N/A</v>
      </c>
      <c r="T118" s="257" t="e">
        <f ca="1"/>
        <v>#N/A</v>
      </c>
    </row>
    <row r="119" spans="17:20">
      <c r="Q119" s="255" t="e">
        <f ca="1"/>
        <v>#N/A</v>
      </c>
      <c r="R119" s="256" t="e">
        <f ca="1"/>
        <v>#N/A</v>
      </c>
      <c r="S119" s="256" t="e">
        <f ca="1"/>
        <v>#N/A</v>
      </c>
      <c r="T119" s="257" t="e">
        <f ca="1"/>
        <v>#N/A</v>
      </c>
    </row>
    <row r="120" spans="17:20">
      <c r="Q120" s="255" t="e">
        <f ca="1"/>
        <v>#N/A</v>
      </c>
      <c r="R120" s="256" t="e">
        <f ca="1"/>
        <v>#N/A</v>
      </c>
      <c r="S120" s="256" t="e">
        <f ca="1"/>
        <v>#N/A</v>
      </c>
      <c r="T120" s="257" t="e">
        <f ca="1"/>
        <v>#N/A</v>
      </c>
    </row>
    <row r="121" spans="17:20">
      <c r="Q121" s="255" t="e">
        <f ca="1"/>
        <v>#N/A</v>
      </c>
      <c r="R121" s="256" t="e">
        <f ca="1"/>
        <v>#N/A</v>
      </c>
      <c r="S121" s="256" t="e">
        <f ca="1"/>
        <v>#N/A</v>
      </c>
      <c r="T121" s="257" t="e">
        <f ca="1"/>
        <v>#N/A</v>
      </c>
    </row>
    <row r="122" spans="17:20">
      <c r="Q122" s="255" t="e">
        <f ca="1"/>
        <v>#N/A</v>
      </c>
      <c r="R122" s="256" t="e">
        <f ca="1"/>
        <v>#N/A</v>
      </c>
      <c r="S122" s="256" t="e">
        <f ca="1"/>
        <v>#N/A</v>
      </c>
      <c r="T122" s="257" t="e">
        <f ca="1"/>
        <v>#N/A</v>
      </c>
    </row>
    <row r="123" spans="17:20">
      <c r="Q123" s="255" t="e">
        <f ca="1"/>
        <v>#N/A</v>
      </c>
      <c r="R123" s="256" t="e">
        <f ca="1"/>
        <v>#N/A</v>
      </c>
      <c r="S123" s="256" t="e">
        <f ca="1"/>
        <v>#N/A</v>
      </c>
      <c r="T123" s="257" t="e">
        <f ca="1"/>
        <v>#N/A</v>
      </c>
    </row>
    <row r="124" spans="17:20">
      <c r="Q124" s="255" t="e">
        <f ca="1"/>
        <v>#N/A</v>
      </c>
      <c r="R124" s="256" t="e">
        <f ca="1"/>
        <v>#N/A</v>
      </c>
      <c r="S124" s="256" t="e">
        <f ca="1"/>
        <v>#N/A</v>
      </c>
      <c r="T124" s="257" t="e">
        <f ca="1"/>
        <v>#N/A</v>
      </c>
    </row>
    <row r="125" spans="17:20">
      <c r="Q125" s="255" t="e">
        <f ca="1"/>
        <v>#N/A</v>
      </c>
      <c r="R125" s="256" t="e">
        <f ca="1"/>
        <v>#N/A</v>
      </c>
      <c r="S125" s="256" t="e">
        <f ca="1"/>
        <v>#N/A</v>
      </c>
      <c r="T125" s="257" t="e">
        <f ca="1"/>
        <v>#N/A</v>
      </c>
    </row>
    <row r="126" spans="17:20">
      <c r="Q126" s="255" t="e">
        <f ca="1"/>
        <v>#N/A</v>
      </c>
      <c r="R126" s="256" t="e">
        <f ca="1"/>
        <v>#N/A</v>
      </c>
      <c r="S126" s="256" t="e">
        <f ca="1"/>
        <v>#N/A</v>
      </c>
      <c r="T126" s="257" t="e">
        <f ca="1"/>
        <v>#N/A</v>
      </c>
    </row>
    <row r="127" spans="17:20">
      <c r="Q127" s="255" t="e">
        <f ca="1"/>
        <v>#N/A</v>
      </c>
      <c r="R127" s="256" t="e">
        <f ca="1"/>
        <v>#N/A</v>
      </c>
      <c r="S127" s="256" t="e">
        <f ca="1"/>
        <v>#N/A</v>
      </c>
      <c r="T127" s="257" t="e">
        <f ca="1"/>
        <v>#N/A</v>
      </c>
    </row>
    <row r="128" spans="17:20">
      <c r="Q128" s="255" t="e">
        <f ca="1"/>
        <v>#N/A</v>
      </c>
      <c r="R128" s="256" t="e">
        <f ca="1"/>
        <v>#N/A</v>
      </c>
      <c r="S128" s="256" t="e">
        <f ca="1"/>
        <v>#N/A</v>
      </c>
      <c r="T128" s="257" t="e">
        <f ca="1"/>
        <v>#N/A</v>
      </c>
    </row>
    <row r="129" spans="17:20">
      <c r="Q129" s="255" t="e">
        <f ca="1"/>
        <v>#N/A</v>
      </c>
      <c r="R129" s="256" t="e">
        <f ca="1"/>
        <v>#N/A</v>
      </c>
      <c r="S129" s="256" t="e">
        <f ca="1"/>
        <v>#N/A</v>
      </c>
      <c r="T129" s="257" t="e">
        <f ca="1"/>
        <v>#N/A</v>
      </c>
    </row>
    <row r="130" spans="17:20">
      <c r="Q130" s="255" t="e">
        <f ca="1"/>
        <v>#N/A</v>
      </c>
      <c r="R130" s="256" t="e">
        <f ca="1"/>
        <v>#N/A</v>
      </c>
      <c r="S130" s="256" t="e">
        <f ca="1"/>
        <v>#N/A</v>
      </c>
      <c r="T130" s="257" t="e">
        <f ca="1"/>
        <v>#N/A</v>
      </c>
    </row>
    <row r="131" spans="17:20">
      <c r="Q131" s="255" t="e">
        <f ca="1"/>
        <v>#N/A</v>
      </c>
      <c r="R131" s="256" t="e">
        <f ca="1"/>
        <v>#N/A</v>
      </c>
      <c r="S131" s="256" t="e">
        <f ca="1"/>
        <v>#N/A</v>
      </c>
      <c r="T131" s="257" t="e">
        <f ca="1"/>
        <v>#N/A</v>
      </c>
    </row>
    <row r="132" spans="17:20">
      <c r="Q132" s="255" t="e">
        <f ca="1"/>
        <v>#N/A</v>
      </c>
      <c r="R132" s="256" t="e">
        <f ca="1"/>
        <v>#N/A</v>
      </c>
      <c r="S132" s="256" t="e">
        <f ca="1"/>
        <v>#N/A</v>
      </c>
      <c r="T132" s="257" t="e">
        <f ca="1"/>
        <v>#N/A</v>
      </c>
    </row>
    <row r="133" spans="17:20">
      <c r="Q133" s="255" t="e">
        <f ca="1"/>
        <v>#N/A</v>
      </c>
      <c r="R133" s="256" t="e">
        <f ca="1"/>
        <v>#N/A</v>
      </c>
      <c r="S133" s="256" t="e">
        <f ca="1"/>
        <v>#N/A</v>
      </c>
      <c r="T133" s="257" t="e">
        <f ca="1"/>
        <v>#N/A</v>
      </c>
    </row>
    <row r="134" spans="17:20">
      <c r="Q134" s="255" t="e">
        <f ca="1"/>
        <v>#N/A</v>
      </c>
      <c r="R134" s="256" t="e">
        <f ca="1"/>
        <v>#N/A</v>
      </c>
      <c r="S134" s="256" t="e">
        <f ca="1"/>
        <v>#N/A</v>
      </c>
      <c r="T134" s="257" t="e">
        <f ca="1"/>
        <v>#N/A</v>
      </c>
    </row>
    <row r="135" spans="17:20">
      <c r="Q135" s="255" t="e">
        <f ca="1"/>
        <v>#N/A</v>
      </c>
      <c r="R135" s="256" t="e">
        <f ca="1"/>
        <v>#N/A</v>
      </c>
      <c r="S135" s="256" t="e">
        <f ca="1"/>
        <v>#N/A</v>
      </c>
      <c r="T135" s="257" t="e">
        <f ca="1"/>
        <v>#N/A</v>
      </c>
    </row>
    <row r="136" spans="17:20">
      <c r="Q136" s="255" t="e">
        <f ca="1"/>
        <v>#N/A</v>
      </c>
      <c r="R136" s="256" t="e">
        <f ca="1"/>
        <v>#N/A</v>
      </c>
      <c r="S136" s="256" t="e">
        <f ca="1"/>
        <v>#N/A</v>
      </c>
      <c r="T136" s="257" t="e">
        <f ca="1"/>
        <v>#N/A</v>
      </c>
    </row>
    <row r="137" spans="17:20">
      <c r="Q137" s="255" t="e">
        <f ca="1"/>
        <v>#N/A</v>
      </c>
      <c r="R137" s="256" t="e">
        <f ca="1"/>
        <v>#N/A</v>
      </c>
      <c r="S137" s="256" t="e">
        <f ca="1"/>
        <v>#N/A</v>
      </c>
      <c r="T137" s="257" t="e">
        <f ca="1"/>
        <v>#N/A</v>
      </c>
    </row>
    <row r="138" spans="17:20">
      <c r="Q138" s="255" t="e">
        <f ca="1"/>
        <v>#N/A</v>
      </c>
      <c r="R138" s="256" t="e">
        <f ca="1"/>
        <v>#N/A</v>
      </c>
      <c r="S138" s="256" t="e">
        <f ca="1"/>
        <v>#N/A</v>
      </c>
      <c r="T138" s="257" t="e">
        <f ca="1"/>
        <v>#N/A</v>
      </c>
    </row>
    <row r="139" spans="17:20">
      <c r="Q139" s="255" t="e">
        <f ca="1"/>
        <v>#N/A</v>
      </c>
      <c r="R139" s="256" t="e">
        <f ca="1"/>
        <v>#N/A</v>
      </c>
      <c r="S139" s="256" t="e">
        <f ca="1"/>
        <v>#N/A</v>
      </c>
      <c r="T139" s="257" t="e">
        <f ca="1"/>
        <v>#N/A</v>
      </c>
    </row>
    <row r="140" spans="17:20">
      <c r="Q140" s="255" t="e">
        <f ca="1"/>
        <v>#N/A</v>
      </c>
      <c r="R140" s="256" t="e">
        <f ca="1"/>
        <v>#N/A</v>
      </c>
      <c r="S140" s="256" t="e">
        <f ca="1"/>
        <v>#N/A</v>
      </c>
      <c r="T140" s="257" t="e">
        <f ca="1"/>
        <v>#N/A</v>
      </c>
    </row>
    <row r="141" spans="17:20">
      <c r="Q141" s="255" t="e">
        <f ca="1"/>
        <v>#N/A</v>
      </c>
      <c r="R141" s="256" t="e">
        <f ca="1"/>
        <v>#N/A</v>
      </c>
      <c r="S141" s="256" t="e">
        <f ca="1"/>
        <v>#N/A</v>
      </c>
      <c r="T141" s="257" t="e">
        <f ca="1"/>
        <v>#N/A</v>
      </c>
    </row>
    <row r="142" spans="17:20">
      <c r="Q142" s="255" t="e">
        <f ca="1"/>
        <v>#N/A</v>
      </c>
      <c r="R142" s="256" t="e">
        <f ca="1"/>
        <v>#N/A</v>
      </c>
      <c r="S142" s="256" t="e">
        <f ca="1"/>
        <v>#N/A</v>
      </c>
      <c r="T142" s="257" t="e">
        <f ca="1"/>
        <v>#N/A</v>
      </c>
    </row>
    <row r="143" spans="17:20">
      <c r="Q143" s="255" t="e">
        <f ca="1"/>
        <v>#N/A</v>
      </c>
      <c r="R143" s="256" t="e">
        <f ca="1"/>
        <v>#N/A</v>
      </c>
      <c r="S143" s="256" t="e">
        <f ca="1"/>
        <v>#N/A</v>
      </c>
      <c r="T143" s="257" t="e">
        <f ca="1"/>
        <v>#N/A</v>
      </c>
    </row>
    <row r="144" spans="17:20">
      <c r="Q144" s="255" t="e">
        <f ca="1"/>
        <v>#N/A</v>
      </c>
      <c r="R144" s="256" t="e">
        <f ca="1"/>
        <v>#N/A</v>
      </c>
      <c r="S144" s="256" t="e">
        <f ca="1"/>
        <v>#N/A</v>
      </c>
      <c r="T144" s="257" t="e">
        <f ca="1"/>
        <v>#N/A</v>
      </c>
    </row>
    <row r="145" spans="17:20">
      <c r="Q145" s="255" t="e">
        <f ca="1"/>
        <v>#N/A</v>
      </c>
      <c r="R145" s="256" t="e">
        <f ca="1"/>
        <v>#N/A</v>
      </c>
      <c r="S145" s="256" t="e">
        <f ca="1"/>
        <v>#N/A</v>
      </c>
      <c r="T145" s="257" t="e">
        <f ca="1"/>
        <v>#N/A</v>
      </c>
    </row>
    <row r="146" spans="17:20">
      <c r="Q146" s="255" t="e">
        <f ca="1"/>
        <v>#N/A</v>
      </c>
      <c r="R146" s="256" t="e">
        <f ca="1"/>
        <v>#N/A</v>
      </c>
      <c r="S146" s="256" t="e">
        <f ca="1"/>
        <v>#N/A</v>
      </c>
      <c r="T146" s="257" t="e">
        <f ca="1"/>
        <v>#N/A</v>
      </c>
    </row>
    <row r="147" spans="17:20">
      <c r="Q147" s="255" t="e">
        <f ca="1"/>
        <v>#N/A</v>
      </c>
      <c r="R147" s="256" t="e">
        <f ca="1"/>
        <v>#N/A</v>
      </c>
      <c r="S147" s="256" t="e">
        <f ca="1"/>
        <v>#N/A</v>
      </c>
      <c r="T147" s="257" t="e">
        <f ca="1"/>
        <v>#N/A</v>
      </c>
    </row>
    <row r="148" spans="17:20">
      <c r="Q148" s="255" t="e">
        <f ca="1"/>
        <v>#N/A</v>
      </c>
      <c r="R148" s="256" t="e">
        <f ca="1"/>
        <v>#N/A</v>
      </c>
      <c r="S148" s="256" t="e">
        <f ca="1"/>
        <v>#N/A</v>
      </c>
      <c r="T148" s="257" t="e">
        <f ca="1"/>
        <v>#N/A</v>
      </c>
    </row>
    <row r="149" spans="17:20">
      <c r="Q149" s="255" t="e">
        <f ca="1"/>
        <v>#N/A</v>
      </c>
      <c r="R149" s="256" t="e">
        <f ca="1"/>
        <v>#N/A</v>
      </c>
      <c r="S149" s="256" t="e">
        <f ca="1"/>
        <v>#N/A</v>
      </c>
      <c r="T149" s="257" t="e">
        <f ca="1"/>
        <v>#N/A</v>
      </c>
    </row>
    <row r="150" spans="17:20">
      <c r="Q150" s="255" t="e">
        <f ca="1"/>
        <v>#N/A</v>
      </c>
      <c r="R150" s="256" t="e">
        <f ca="1"/>
        <v>#N/A</v>
      </c>
      <c r="S150" s="256" t="e">
        <f ca="1"/>
        <v>#N/A</v>
      </c>
      <c r="T150" s="257" t="e">
        <f ca="1"/>
        <v>#N/A</v>
      </c>
    </row>
    <row r="151" spans="17:20">
      <c r="Q151" s="255" t="e">
        <f ca="1"/>
        <v>#N/A</v>
      </c>
      <c r="R151" s="256" t="e">
        <f ca="1"/>
        <v>#N/A</v>
      </c>
      <c r="S151" s="256" t="e">
        <f ca="1"/>
        <v>#N/A</v>
      </c>
      <c r="T151" s="257" t="e">
        <f ca="1"/>
        <v>#N/A</v>
      </c>
    </row>
    <row r="152" spans="17:20">
      <c r="Q152" s="255" t="e">
        <f ca="1"/>
        <v>#N/A</v>
      </c>
      <c r="R152" s="256" t="e">
        <f ca="1"/>
        <v>#N/A</v>
      </c>
      <c r="S152" s="256" t="e">
        <f ca="1"/>
        <v>#N/A</v>
      </c>
      <c r="T152" s="257" t="e">
        <f ca="1"/>
        <v>#N/A</v>
      </c>
    </row>
    <row r="153" spans="17:20">
      <c r="Q153" s="255" t="e">
        <f ca="1"/>
        <v>#N/A</v>
      </c>
      <c r="R153" s="256" t="e">
        <f ca="1"/>
        <v>#N/A</v>
      </c>
      <c r="S153" s="256" t="e">
        <f ca="1"/>
        <v>#N/A</v>
      </c>
      <c r="T153" s="257" t="e">
        <f ca="1"/>
        <v>#N/A</v>
      </c>
    </row>
    <row r="154" spans="17:20">
      <c r="Q154" s="255" t="e">
        <f ca="1"/>
        <v>#N/A</v>
      </c>
      <c r="R154" s="256" t="e">
        <f ca="1"/>
        <v>#N/A</v>
      </c>
      <c r="S154" s="256" t="e">
        <f ca="1"/>
        <v>#N/A</v>
      </c>
      <c r="T154" s="257" t="e">
        <f ca="1"/>
        <v>#N/A</v>
      </c>
    </row>
    <row r="155" spans="17:20">
      <c r="Q155" s="255" t="e">
        <f ca="1"/>
        <v>#N/A</v>
      </c>
      <c r="R155" s="256" t="e">
        <f ca="1"/>
        <v>#N/A</v>
      </c>
      <c r="S155" s="256" t="e">
        <f ca="1"/>
        <v>#N/A</v>
      </c>
      <c r="T155" s="257" t="e">
        <f ca="1"/>
        <v>#N/A</v>
      </c>
    </row>
    <row r="156" spans="17:20">
      <c r="Q156" s="255" t="e">
        <f ca="1"/>
        <v>#N/A</v>
      </c>
      <c r="R156" s="256" t="e">
        <f ca="1"/>
        <v>#N/A</v>
      </c>
      <c r="S156" s="256" t="e">
        <f ca="1"/>
        <v>#N/A</v>
      </c>
      <c r="T156" s="257" t="e">
        <f ca="1"/>
        <v>#N/A</v>
      </c>
    </row>
    <row r="157" spans="17:20">
      <c r="Q157" s="255" t="e">
        <f ca="1"/>
        <v>#N/A</v>
      </c>
      <c r="R157" s="256" t="e">
        <f ca="1"/>
        <v>#N/A</v>
      </c>
      <c r="S157" s="256" t="e">
        <f ca="1"/>
        <v>#N/A</v>
      </c>
      <c r="T157" s="257" t="e">
        <f ca="1"/>
        <v>#N/A</v>
      </c>
    </row>
    <row r="158" spans="17:20">
      <c r="Q158" s="255" t="e">
        <f ca="1"/>
        <v>#N/A</v>
      </c>
      <c r="R158" s="256" t="e">
        <f ca="1"/>
        <v>#N/A</v>
      </c>
      <c r="S158" s="256" t="e">
        <f ca="1"/>
        <v>#N/A</v>
      </c>
      <c r="T158" s="257" t="e">
        <f ca="1"/>
        <v>#N/A</v>
      </c>
    </row>
    <row r="159" spans="17:20">
      <c r="Q159" s="255" t="e">
        <f ca="1"/>
        <v>#N/A</v>
      </c>
      <c r="R159" s="256" t="e">
        <f ca="1"/>
        <v>#N/A</v>
      </c>
      <c r="S159" s="256" t="e">
        <f ca="1"/>
        <v>#N/A</v>
      </c>
      <c r="T159" s="257" t="e">
        <f ca="1"/>
        <v>#N/A</v>
      </c>
    </row>
    <row r="160" spans="17:20">
      <c r="Q160" s="255" t="e">
        <f ca="1"/>
        <v>#N/A</v>
      </c>
      <c r="R160" s="256" t="e">
        <f ca="1"/>
        <v>#N/A</v>
      </c>
      <c r="S160" s="256" t="e">
        <f ca="1"/>
        <v>#N/A</v>
      </c>
      <c r="T160" s="257" t="e">
        <f ca="1"/>
        <v>#N/A</v>
      </c>
    </row>
    <row r="161" spans="17:20">
      <c r="Q161" s="255" t="e">
        <f ca="1"/>
        <v>#N/A</v>
      </c>
      <c r="R161" s="256" t="e">
        <f ca="1"/>
        <v>#N/A</v>
      </c>
      <c r="S161" s="256" t="e">
        <f ca="1"/>
        <v>#N/A</v>
      </c>
      <c r="T161" s="257" t="e">
        <f ca="1"/>
        <v>#N/A</v>
      </c>
    </row>
    <row r="162" spans="17:20">
      <c r="Q162" s="255" t="e">
        <f ca="1"/>
        <v>#N/A</v>
      </c>
      <c r="R162" s="256" t="e">
        <f ca="1"/>
        <v>#N/A</v>
      </c>
      <c r="S162" s="256" t="e">
        <f ca="1"/>
        <v>#N/A</v>
      </c>
      <c r="T162" s="257" t="e">
        <f ca="1"/>
        <v>#N/A</v>
      </c>
    </row>
    <row r="163" spans="17:20">
      <c r="Q163" s="255" t="e">
        <f ca="1"/>
        <v>#N/A</v>
      </c>
      <c r="R163" s="256" t="e">
        <f ca="1"/>
        <v>#N/A</v>
      </c>
      <c r="S163" s="256" t="e">
        <f ca="1"/>
        <v>#N/A</v>
      </c>
      <c r="T163" s="257" t="e">
        <f ca="1"/>
        <v>#N/A</v>
      </c>
    </row>
    <row r="164" spans="17:20">
      <c r="Q164" s="255" t="e">
        <f ca="1"/>
        <v>#N/A</v>
      </c>
      <c r="R164" s="256" t="e">
        <f ca="1"/>
        <v>#N/A</v>
      </c>
      <c r="S164" s="256" t="e">
        <f ca="1"/>
        <v>#N/A</v>
      </c>
      <c r="T164" s="257" t="e">
        <f ca="1"/>
        <v>#N/A</v>
      </c>
    </row>
    <row r="165" spans="17:20">
      <c r="Q165" s="255" t="e">
        <f ca="1"/>
        <v>#N/A</v>
      </c>
      <c r="R165" s="256" t="e">
        <f ca="1"/>
        <v>#N/A</v>
      </c>
      <c r="S165" s="256" t="e">
        <f ca="1"/>
        <v>#N/A</v>
      </c>
      <c r="T165" s="257" t="e">
        <f ca="1"/>
        <v>#N/A</v>
      </c>
    </row>
    <row r="166" spans="17:20">
      <c r="Q166" s="255" t="e">
        <f ca="1"/>
        <v>#N/A</v>
      </c>
      <c r="R166" s="256" t="e">
        <f ca="1"/>
        <v>#N/A</v>
      </c>
      <c r="S166" s="256" t="e">
        <f ca="1"/>
        <v>#N/A</v>
      </c>
      <c r="T166" s="257" t="e">
        <f ca="1"/>
        <v>#N/A</v>
      </c>
    </row>
    <row r="167" spans="17:20">
      <c r="Q167" s="255" t="e">
        <f ca="1"/>
        <v>#N/A</v>
      </c>
      <c r="R167" s="256" t="e">
        <f ca="1"/>
        <v>#N/A</v>
      </c>
      <c r="S167" s="256" t="e">
        <f ca="1"/>
        <v>#N/A</v>
      </c>
      <c r="T167" s="257" t="e">
        <f ca="1"/>
        <v>#N/A</v>
      </c>
    </row>
    <row r="168" spans="17:20">
      <c r="Q168" s="255" t="e">
        <f ca="1"/>
        <v>#N/A</v>
      </c>
      <c r="R168" s="256" t="e">
        <f ca="1"/>
        <v>#N/A</v>
      </c>
      <c r="S168" s="256" t="e">
        <f ca="1"/>
        <v>#N/A</v>
      </c>
      <c r="T168" s="257" t="e">
        <f ca="1"/>
        <v>#N/A</v>
      </c>
    </row>
    <row r="169" spans="17:20">
      <c r="Q169" s="255" t="e">
        <f ca="1"/>
        <v>#N/A</v>
      </c>
      <c r="R169" s="256" t="e">
        <f ca="1"/>
        <v>#N/A</v>
      </c>
      <c r="S169" s="256" t="e">
        <f ca="1"/>
        <v>#N/A</v>
      </c>
      <c r="T169" s="257" t="e">
        <f ca="1"/>
        <v>#N/A</v>
      </c>
    </row>
    <row r="170" spans="17:20">
      <c r="Q170" s="255" t="e">
        <f ca="1"/>
        <v>#N/A</v>
      </c>
      <c r="R170" s="256" t="e">
        <f ca="1"/>
        <v>#N/A</v>
      </c>
      <c r="S170" s="256" t="e">
        <f ca="1"/>
        <v>#N/A</v>
      </c>
      <c r="T170" s="257" t="e">
        <f ca="1"/>
        <v>#N/A</v>
      </c>
    </row>
    <row r="171" spans="17:20">
      <c r="Q171" s="255" t="e">
        <f ca="1"/>
        <v>#N/A</v>
      </c>
      <c r="R171" s="256" t="e">
        <f ca="1"/>
        <v>#N/A</v>
      </c>
      <c r="S171" s="256" t="e">
        <f ca="1"/>
        <v>#N/A</v>
      </c>
      <c r="T171" s="257" t="e">
        <f ca="1"/>
        <v>#N/A</v>
      </c>
    </row>
    <row r="172" spans="17:20">
      <c r="Q172" s="255" t="e">
        <f ca="1"/>
        <v>#N/A</v>
      </c>
      <c r="R172" s="256" t="e">
        <f ca="1"/>
        <v>#N/A</v>
      </c>
      <c r="S172" s="256" t="e">
        <f ca="1"/>
        <v>#N/A</v>
      </c>
      <c r="T172" s="257" t="e">
        <f ca="1"/>
        <v>#N/A</v>
      </c>
    </row>
    <row r="173" spans="17:20">
      <c r="Q173" s="255" t="e">
        <f ca="1"/>
        <v>#N/A</v>
      </c>
      <c r="R173" s="256" t="e">
        <f ca="1"/>
        <v>#N/A</v>
      </c>
      <c r="S173" s="256" t="e">
        <f ca="1"/>
        <v>#N/A</v>
      </c>
      <c r="T173" s="257" t="e">
        <f ca="1"/>
        <v>#N/A</v>
      </c>
    </row>
    <row r="174" spans="17:20">
      <c r="Q174" s="255" t="e">
        <f ca="1"/>
        <v>#N/A</v>
      </c>
      <c r="R174" s="256" t="e">
        <f ca="1"/>
        <v>#N/A</v>
      </c>
      <c r="S174" s="256" t="e">
        <f ca="1"/>
        <v>#N/A</v>
      </c>
      <c r="T174" s="257" t="e">
        <f ca="1"/>
        <v>#N/A</v>
      </c>
    </row>
    <row r="175" spans="17:20">
      <c r="Q175" s="255" t="e">
        <f ca="1"/>
        <v>#N/A</v>
      </c>
      <c r="R175" s="256" t="e">
        <f ca="1"/>
        <v>#N/A</v>
      </c>
      <c r="S175" s="256" t="e">
        <f ca="1"/>
        <v>#N/A</v>
      </c>
      <c r="T175" s="257" t="e">
        <f ca="1"/>
        <v>#N/A</v>
      </c>
    </row>
    <row r="176" spans="17:20">
      <c r="Q176" s="255" t="e">
        <f ca="1"/>
        <v>#N/A</v>
      </c>
      <c r="R176" s="256" t="e">
        <f ca="1"/>
        <v>#N/A</v>
      </c>
      <c r="S176" s="256" t="e">
        <f ca="1"/>
        <v>#N/A</v>
      </c>
      <c r="T176" s="257" t="e">
        <f ca="1"/>
        <v>#N/A</v>
      </c>
    </row>
    <row r="177" spans="17:20">
      <c r="Q177" s="255" t="e">
        <f ca="1"/>
        <v>#N/A</v>
      </c>
      <c r="R177" s="256" t="e">
        <f ca="1"/>
        <v>#N/A</v>
      </c>
      <c r="S177" s="256" t="e">
        <f ca="1"/>
        <v>#N/A</v>
      </c>
      <c r="T177" s="257" t="e">
        <f ca="1"/>
        <v>#N/A</v>
      </c>
    </row>
    <row r="178" spans="17:20">
      <c r="Q178" s="255" t="e">
        <f ca="1"/>
        <v>#N/A</v>
      </c>
      <c r="R178" s="256" t="e">
        <f ca="1"/>
        <v>#N/A</v>
      </c>
      <c r="S178" s="256" t="e">
        <f ca="1"/>
        <v>#N/A</v>
      </c>
      <c r="T178" s="257" t="e">
        <f ca="1"/>
        <v>#N/A</v>
      </c>
    </row>
    <row r="179" spans="17:20">
      <c r="Q179" s="255" t="e">
        <f ca="1"/>
        <v>#N/A</v>
      </c>
      <c r="R179" s="256" t="e">
        <f ca="1"/>
        <v>#N/A</v>
      </c>
      <c r="S179" s="256" t="e">
        <f ca="1"/>
        <v>#N/A</v>
      </c>
      <c r="T179" s="257" t="e">
        <f ca="1"/>
        <v>#N/A</v>
      </c>
    </row>
    <row r="180" spans="17:20">
      <c r="Q180" s="255" t="e">
        <f ca="1"/>
        <v>#N/A</v>
      </c>
      <c r="R180" s="256" t="e">
        <f ca="1"/>
        <v>#N/A</v>
      </c>
      <c r="S180" s="256" t="e">
        <f ca="1"/>
        <v>#N/A</v>
      </c>
      <c r="T180" s="257" t="e">
        <f ca="1"/>
        <v>#N/A</v>
      </c>
    </row>
    <row r="181" spans="17:20">
      <c r="Q181" s="255" t="e">
        <f ca="1"/>
        <v>#N/A</v>
      </c>
      <c r="R181" s="256" t="e">
        <f ca="1"/>
        <v>#N/A</v>
      </c>
      <c r="S181" s="256" t="e">
        <f ca="1"/>
        <v>#N/A</v>
      </c>
      <c r="T181" s="257" t="e">
        <f ca="1"/>
        <v>#N/A</v>
      </c>
    </row>
    <row r="182" spans="17:20">
      <c r="Q182" s="255" t="e">
        <f ca="1"/>
        <v>#N/A</v>
      </c>
      <c r="R182" s="256" t="e">
        <f ca="1"/>
        <v>#N/A</v>
      </c>
      <c r="S182" s="256" t="e">
        <f ca="1"/>
        <v>#N/A</v>
      </c>
      <c r="T182" s="257" t="e">
        <f ca="1"/>
        <v>#N/A</v>
      </c>
    </row>
    <row r="183" spans="17:20">
      <c r="Q183" s="255" t="e">
        <f ca="1"/>
        <v>#N/A</v>
      </c>
      <c r="R183" s="256" t="e">
        <f ca="1"/>
        <v>#N/A</v>
      </c>
      <c r="S183" s="256" t="e">
        <f ca="1"/>
        <v>#N/A</v>
      </c>
      <c r="T183" s="257" t="e">
        <f ca="1"/>
        <v>#N/A</v>
      </c>
    </row>
    <row r="184" spans="17:20">
      <c r="Q184" s="255" t="e">
        <f ca="1"/>
        <v>#N/A</v>
      </c>
      <c r="R184" s="256" t="e">
        <f ca="1"/>
        <v>#N/A</v>
      </c>
      <c r="S184" s="256" t="e">
        <f ca="1"/>
        <v>#N/A</v>
      </c>
      <c r="T184" s="257" t="e">
        <f ca="1"/>
        <v>#N/A</v>
      </c>
    </row>
    <row r="185" spans="17:20">
      <c r="Q185" s="255" t="e">
        <f ca="1"/>
        <v>#N/A</v>
      </c>
      <c r="R185" s="256" t="e">
        <f ca="1"/>
        <v>#N/A</v>
      </c>
      <c r="S185" s="256" t="e">
        <f ca="1"/>
        <v>#N/A</v>
      </c>
      <c r="T185" s="257" t="e">
        <f ca="1"/>
        <v>#N/A</v>
      </c>
    </row>
    <row r="186" spans="17:20">
      <c r="Q186" s="255" t="e">
        <f ca="1"/>
        <v>#N/A</v>
      </c>
      <c r="R186" s="256" t="e">
        <f ca="1"/>
        <v>#N/A</v>
      </c>
      <c r="S186" s="256" t="e">
        <f ca="1"/>
        <v>#N/A</v>
      </c>
      <c r="T186" s="257" t="e">
        <f ca="1"/>
        <v>#N/A</v>
      </c>
    </row>
    <row r="187" spans="17:20">
      <c r="Q187" s="255" t="e">
        <f ca="1"/>
        <v>#N/A</v>
      </c>
      <c r="R187" s="256" t="e">
        <f ca="1"/>
        <v>#N/A</v>
      </c>
      <c r="S187" s="256" t="e">
        <f ca="1"/>
        <v>#N/A</v>
      </c>
      <c r="T187" s="257" t="e">
        <f ca="1"/>
        <v>#N/A</v>
      </c>
    </row>
    <row r="188" spans="17:20">
      <c r="Q188" s="255" t="e">
        <f ca="1"/>
        <v>#N/A</v>
      </c>
      <c r="R188" s="256" t="e">
        <f ca="1"/>
        <v>#N/A</v>
      </c>
      <c r="S188" s="256" t="e">
        <f ca="1"/>
        <v>#N/A</v>
      </c>
      <c r="T188" s="257" t="e">
        <f ca="1"/>
        <v>#N/A</v>
      </c>
    </row>
    <row r="189" spans="17:20">
      <c r="Q189" s="255" t="e">
        <f ca="1"/>
        <v>#N/A</v>
      </c>
      <c r="R189" s="256" t="e">
        <f ca="1"/>
        <v>#N/A</v>
      </c>
      <c r="S189" s="256" t="e">
        <f ca="1"/>
        <v>#N/A</v>
      </c>
      <c r="T189" s="257" t="e">
        <f ca="1"/>
        <v>#N/A</v>
      </c>
    </row>
    <row r="190" spans="17:20">
      <c r="Q190" s="255" t="e">
        <f ca="1"/>
        <v>#N/A</v>
      </c>
      <c r="R190" s="256" t="e">
        <f ca="1"/>
        <v>#N/A</v>
      </c>
      <c r="S190" s="256" t="e">
        <f ca="1"/>
        <v>#N/A</v>
      </c>
      <c r="T190" s="257" t="e">
        <f ca="1"/>
        <v>#N/A</v>
      </c>
    </row>
    <row r="191" spans="17:20">
      <c r="Q191" s="255" t="e">
        <f ca="1"/>
        <v>#N/A</v>
      </c>
      <c r="R191" s="256" t="e">
        <f ca="1"/>
        <v>#N/A</v>
      </c>
      <c r="S191" s="256" t="e">
        <f ca="1"/>
        <v>#N/A</v>
      </c>
      <c r="T191" s="257" t="e">
        <f ca="1"/>
        <v>#N/A</v>
      </c>
    </row>
    <row r="192" spans="17:20">
      <c r="Q192" s="255" t="e">
        <f ca="1"/>
        <v>#N/A</v>
      </c>
      <c r="R192" s="256" t="e">
        <f ca="1"/>
        <v>#N/A</v>
      </c>
      <c r="S192" s="256" t="e">
        <f ca="1"/>
        <v>#N/A</v>
      </c>
      <c r="T192" s="257" t="e">
        <f ca="1"/>
        <v>#N/A</v>
      </c>
    </row>
    <row r="193" spans="17:20">
      <c r="Q193" s="255" t="e">
        <f ca="1"/>
        <v>#N/A</v>
      </c>
      <c r="R193" s="256" t="e">
        <f ca="1"/>
        <v>#N/A</v>
      </c>
      <c r="S193" s="256" t="e">
        <f ca="1"/>
        <v>#N/A</v>
      </c>
      <c r="T193" s="257" t="e">
        <f ca="1"/>
        <v>#N/A</v>
      </c>
    </row>
    <row r="194" spans="17:20">
      <c r="Q194" s="255" t="e">
        <f ca="1"/>
        <v>#N/A</v>
      </c>
      <c r="R194" s="256" t="e">
        <f ca="1"/>
        <v>#N/A</v>
      </c>
      <c r="S194" s="256" t="e">
        <f ca="1"/>
        <v>#N/A</v>
      </c>
      <c r="T194" s="257" t="e">
        <f ca="1"/>
        <v>#N/A</v>
      </c>
    </row>
    <row r="195" spans="17:20">
      <c r="Q195" s="255" t="e">
        <f ca="1"/>
        <v>#N/A</v>
      </c>
      <c r="R195" s="256" t="e">
        <f ca="1"/>
        <v>#N/A</v>
      </c>
      <c r="S195" s="256" t="e">
        <f ca="1"/>
        <v>#N/A</v>
      </c>
      <c r="T195" s="257" t="e">
        <f ca="1"/>
        <v>#N/A</v>
      </c>
    </row>
    <row r="196" spans="17:20">
      <c r="Q196" s="255" t="e">
        <f ca="1"/>
        <v>#N/A</v>
      </c>
      <c r="R196" s="256" t="e">
        <f ca="1"/>
        <v>#N/A</v>
      </c>
      <c r="S196" s="256" t="e">
        <f ca="1"/>
        <v>#N/A</v>
      </c>
      <c r="T196" s="257" t="e">
        <f ca="1"/>
        <v>#N/A</v>
      </c>
    </row>
    <row r="197" spans="17:20">
      <c r="Q197" s="255" t="e">
        <f ca="1"/>
        <v>#N/A</v>
      </c>
      <c r="R197" s="256" t="e">
        <f ca="1"/>
        <v>#N/A</v>
      </c>
      <c r="S197" s="256" t="e">
        <f ca="1"/>
        <v>#N/A</v>
      </c>
      <c r="T197" s="257" t="e">
        <f ca="1"/>
        <v>#N/A</v>
      </c>
    </row>
    <row r="198" spans="17:20">
      <c r="Q198" s="255" t="e">
        <f ca="1"/>
        <v>#N/A</v>
      </c>
      <c r="R198" s="256" t="e">
        <f ca="1"/>
        <v>#N/A</v>
      </c>
      <c r="S198" s="256" t="e">
        <f ca="1"/>
        <v>#N/A</v>
      </c>
      <c r="T198" s="257" t="e">
        <f ca="1"/>
        <v>#N/A</v>
      </c>
    </row>
    <row r="199" spans="17:20">
      <c r="Q199" s="258" t="e">
        <f ca="1"/>
        <v>#N/A</v>
      </c>
      <c r="R199" s="259" t="e">
        <f ca="1"/>
        <v>#N/A</v>
      </c>
      <c r="S199" s="259" t="e">
        <f ca="1"/>
        <v>#N/A</v>
      </c>
      <c r="T199" s="260" t="e">
        <f ca="1"/>
        <v>#N/A</v>
      </c>
    </row>
  </sheetData>
  <dataValidations count="5">
    <dataValidation type="list" allowBlank="1" showInputMessage="1" showErrorMessage="1" sqref="C6">
      <formula1>"IAUS,CMPN,BGN"</formula1>
    </dataValidation>
    <dataValidation type="list" allowBlank="1" showInputMessage="1" showErrorMessage="1" sqref="C7">
      <formula1>"PX_MID,PX_BID,PX_ASK"</formula1>
    </dataValidation>
    <dataValidation type="list" allowBlank="1" showInputMessage="1" showErrorMessage="1" sqref="C3 C9:C10">
      <formula1>"TRUE,FALSE"</formula1>
    </dataValidation>
    <dataValidation type="list" allowBlank="1" showInputMessage="1" showErrorMessage="1" sqref="O5">
      <formula1>"MONTHLY,QUARTERLY,SEMI-ANNUAL,ANNUAL"</formula1>
    </dataValidation>
    <dataValidation type="list" allowBlank="1" showInputMessage="1" showErrorMessage="1" sqref="C11">
      <formula1>"LINEAR-SPLINE,SPLINE"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Q100"/>
  <sheetViews>
    <sheetView showGridLines="0" workbookViewId="0"/>
  </sheetViews>
  <sheetFormatPr defaultRowHeight="15" outlineLevelRow="1"/>
  <cols>
    <col min="2" max="2" width="16.7109375" style="26" customWidth="1"/>
    <col min="3" max="3" width="13.28515625" style="26" bestFit="1" customWidth="1"/>
    <col min="4" max="4" width="10.7109375" style="26" customWidth="1"/>
    <col min="5" max="5" width="21.7109375" style="26" bestFit="1" customWidth="1"/>
    <col min="6" max="6" width="10.7109375" style="26" customWidth="1"/>
    <col min="7" max="7" width="20.7109375" style="26" customWidth="1"/>
    <col min="8" max="8" width="15.28515625" style="26" bestFit="1" customWidth="1"/>
    <col min="9" max="10" width="9.140625" style="26"/>
    <col min="12" max="12" width="10.7109375" customWidth="1"/>
    <col min="13" max="13" width="12.7109375" bestFit="1" customWidth="1"/>
    <col min="14" max="16" width="10.7109375" customWidth="1"/>
    <col min="17" max="17" width="20.7109375" customWidth="1"/>
    <col min="18" max="20" width="10.7109375" customWidth="1"/>
    <col min="21" max="21" width="10.140625" customWidth="1"/>
    <col min="22" max="22" width="10.7109375" customWidth="1"/>
    <col min="23" max="23" width="12.7109375" bestFit="1" customWidth="1"/>
    <col min="24" max="25" width="10.7109375" customWidth="1"/>
    <col min="26" max="26" width="12.7109375" bestFit="1" customWidth="1"/>
    <col min="27" max="27" width="20.7109375" customWidth="1"/>
    <col min="28" max="29" width="10.7109375" customWidth="1"/>
    <col min="30" max="30" width="19.85546875" bestFit="1" customWidth="1"/>
    <col min="33" max="33" width="12.7109375" bestFit="1" customWidth="1"/>
    <col min="36" max="36" width="12.7109375" bestFit="1" customWidth="1"/>
    <col min="37" max="37" width="20.7109375" customWidth="1"/>
    <col min="40" max="40" width="21" bestFit="1" customWidth="1"/>
  </cols>
  <sheetData>
    <row r="2" spans="2:31" s="307" customFormat="1">
      <c r="B2" s="1" t="s">
        <v>497</v>
      </c>
      <c r="D2" s="26"/>
      <c r="E2" s="26"/>
      <c r="F2" s="26"/>
      <c r="G2" s="26"/>
      <c r="H2" s="26"/>
      <c r="I2" s="26"/>
      <c r="J2" s="26"/>
    </row>
    <row r="3" spans="2:31" s="307" customFormat="1">
      <c r="B3" s="1"/>
      <c r="D3" s="26"/>
      <c r="E3" s="26"/>
      <c r="F3" s="26"/>
      <c r="G3" s="26"/>
      <c r="H3" s="26"/>
      <c r="I3" s="26"/>
      <c r="J3" s="26"/>
    </row>
    <row r="4" spans="2:31" s="307" customFormat="1">
      <c r="B4" s="377" t="s">
        <v>114</v>
      </c>
      <c r="C4" s="346">
        <f>SUM(C5:C8)</f>
        <v>0</v>
      </c>
      <c r="D4" s="26"/>
      <c r="E4" s="377" t="s">
        <v>115</v>
      </c>
      <c r="F4" s="346">
        <f>SUM(F5:F9)</f>
        <v>0</v>
      </c>
      <c r="G4" s="9"/>
      <c r="H4" s="377" t="s">
        <v>118</v>
      </c>
      <c r="I4" s="346">
        <f>SUM(I5:I7)</f>
        <v>0</v>
      </c>
      <c r="J4" s="26"/>
    </row>
    <row r="5" spans="2:31" s="307" customFormat="1">
      <c r="B5" s="307" t="s">
        <v>495</v>
      </c>
      <c r="C5" s="347">
        <f>COUNTA(B14:B36)-COUNT(J14:J36)</f>
        <v>0</v>
      </c>
      <c r="D5" s="26"/>
      <c r="E5" s="307" t="s">
        <v>516</v>
      </c>
      <c r="F5" s="347">
        <f>COUNTA(B44:B66)-COUNT(J44:J66)</f>
        <v>0</v>
      </c>
      <c r="G5" s="26"/>
      <c r="H5" s="307" t="s">
        <v>524</v>
      </c>
      <c r="I5" s="347">
        <f>F5</f>
        <v>0</v>
      </c>
      <c r="J5" s="26"/>
    </row>
    <row r="6" spans="2:31" s="307" customFormat="1">
      <c r="B6" s="307" t="s">
        <v>496</v>
      </c>
      <c r="C6" s="347">
        <f>COUNTA(L14:L36)-COUNT(T14:T36)</f>
        <v>0</v>
      </c>
      <c r="D6" s="26"/>
      <c r="E6" s="307" t="s">
        <v>517</v>
      </c>
      <c r="F6" s="347">
        <f>COUNTA(L44:L66)-COUNT(T44:T66)</f>
        <v>0</v>
      </c>
      <c r="G6" s="26"/>
      <c r="H6" s="307" t="s">
        <v>525</v>
      </c>
      <c r="I6" s="347">
        <f>COUNTA(B74:B76)-COUNT(J74:J76)</f>
        <v>0</v>
      </c>
      <c r="J6" s="26"/>
    </row>
    <row r="7" spans="2:31" s="307" customFormat="1">
      <c r="B7" s="307" t="s">
        <v>499</v>
      </c>
      <c r="C7" s="347">
        <f>COUNTA(AI44:AI66)-COUNT(AQ44:AQ66)</f>
        <v>0</v>
      </c>
      <c r="D7" s="26"/>
      <c r="E7" s="307" t="s">
        <v>518</v>
      </c>
      <c r="F7" s="347">
        <f>COUNTA(L44:L49)-COUNTA(V44:V49)+COUNTA(L44:L49)-COUNTA(W44:W49)</f>
        <v>0</v>
      </c>
      <c r="G7" s="26"/>
      <c r="H7" s="307" t="s">
        <v>526</v>
      </c>
      <c r="I7" s="347">
        <f>COUNTA(L74:L88)-COUNTA(T74:T88)</f>
        <v>0</v>
      </c>
      <c r="J7" s="26"/>
    </row>
    <row r="8" spans="2:31" s="307" customFormat="1">
      <c r="B8" s="307" t="s">
        <v>500</v>
      </c>
      <c r="C8" s="347">
        <f>COUNTA(Y44:Y66)-COUNT(AG44:AG66)</f>
        <v>0</v>
      </c>
      <c r="D8" s="26"/>
      <c r="E8" s="307" t="s">
        <v>519</v>
      </c>
      <c r="F8" s="347">
        <f>COUNTA(Y44:Y66)-COUNT(AG44:AG66)</f>
        <v>0</v>
      </c>
      <c r="G8" s="26"/>
      <c r="H8" s="26"/>
      <c r="I8" s="26"/>
      <c r="J8" s="26"/>
    </row>
    <row r="9" spans="2:31" s="307" customFormat="1">
      <c r="B9" s="26"/>
      <c r="C9" s="26"/>
      <c r="D9" s="26"/>
      <c r="E9" s="307" t="s">
        <v>520</v>
      </c>
      <c r="F9" s="347">
        <f>COUNTA(AI44:AI66)-COUNT(AQ44:AQ66)</f>
        <v>0</v>
      </c>
      <c r="G9" s="26"/>
      <c r="H9" s="26"/>
      <c r="I9" s="26"/>
      <c r="J9" s="26"/>
    </row>
    <row r="10" spans="2:31" s="307" customFormat="1">
      <c r="B10" s="26"/>
      <c r="C10" s="26"/>
      <c r="D10" s="26"/>
      <c r="E10" s="26"/>
      <c r="F10" s="26"/>
      <c r="G10" s="26"/>
      <c r="H10" s="26"/>
      <c r="I10" s="26"/>
      <c r="J10" s="26"/>
    </row>
    <row r="11" spans="2:31" s="307" customFormat="1">
      <c r="B11" s="26"/>
      <c r="C11" s="26"/>
      <c r="D11" s="26"/>
      <c r="E11" s="26"/>
      <c r="F11" s="26"/>
      <c r="G11" s="26"/>
      <c r="H11" s="26"/>
      <c r="I11" s="26"/>
      <c r="J11" s="26"/>
    </row>
    <row r="12" spans="2:31" s="307" customFormat="1" hidden="1" outlineLevel="1">
      <c r="B12" s="328" t="s">
        <v>480</v>
      </c>
      <c r="C12" s="26"/>
      <c r="D12" s="26"/>
      <c r="E12" s="26"/>
      <c r="F12" s="26"/>
      <c r="G12" s="26"/>
      <c r="H12" s="26"/>
      <c r="I12" s="26"/>
      <c r="J12" s="26"/>
      <c r="L12" s="328" t="s">
        <v>210</v>
      </c>
    </row>
    <row r="13" spans="2:31" hidden="1" outlineLevel="1">
      <c r="B13" s="23" t="s">
        <v>212</v>
      </c>
      <c r="C13" s="23" t="s">
        <v>447</v>
      </c>
      <c r="D13" s="23" t="s">
        <v>419</v>
      </c>
      <c r="E13" s="23" t="s">
        <v>446</v>
      </c>
      <c r="F13" s="23" t="s">
        <v>420</v>
      </c>
      <c r="G13" s="23" t="s">
        <v>161</v>
      </c>
      <c r="H13" s="23" t="s">
        <v>451</v>
      </c>
      <c r="I13" s="23" t="s">
        <v>446</v>
      </c>
      <c r="J13" s="23" t="s">
        <v>450</v>
      </c>
      <c r="K13" s="307"/>
      <c r="L13" s="23" t="s">
        <v>212</v>
      </c>
      <c r="M13" s="23" t="s">
        <v>447</v>
      </c>
      <c r="N13" s="23" t="s">
        <v>419</v>
      </c>
      <c r="O13" s="23" t="s">
        <v>446</v>
      </c>
      <c r="P13" s="23" t="s">
        <v>420</v>
      </c>
      <c r="Q13" s="23" t="s">
        <v>161</v>
      </c>
      <c r="R13" s="23" t="s">
        <v>451</v>
      </c>
      <c r="S13" s="23" t="s">
        <v>446</v>
      </c>
      <c r="T13" s="23" t="s">
        <v>450</v>
      </c>
      <c r="U13" s="307"/>
      <c r="AE13" s="307"/>
    </row>
    <row r="14" spans="2:31" hidden="1" outlineLevel="1">
      <c r="B14" s="319" t="s">
        <v>235</v>
      </c>
      <c r="C14" s="319" t="s">
        <v>423</v>
      </c>
      <c r="D14" s="321"/>
      <c r="E14" s="318" t="str">
        <f t="shared" ref="E14:E36" si="0">IF(ISBLANK(D14),Settings.BloombergPCS,D14)</f>
        <v>BGN</v>
      </c>
      <c r="F14" s="320" t="s">
        <v>421</v>
      </c>
      <c r="G14" s="318" t="str">
        <f t="shared" ref="G14:G36" si="1">C14&amp;" "&amp;E14&amp;" "&amp;F14</f>
        <v>RBACOR BGN Index</v>
      </c>
      <c r="H14" s="322" t="s">
        <v>416</v>
      </c>
      <c r="I14" s="318" t="str">
        <f>IF(ISBLANK(H14),Settings.CurveSide.MidBidAsk,'AUD CURVE TICKERS'!H14)</f>
        <v>PX_MID</v>
      </c>
      <c r="J14" s="327">
        <f>IF(Settings.isCOBToday,_xll.BDP(G14,'AUD CURVE TICKERS'!I14),_xll.BDH(G14,'AUD CURVE TICKERS'!I14,Settings.COB,Settings.COB))</f>
        <v>1.5</v>
      </c>
      <c r="L14" s="319" t="s">
        <v>196</v>
      </c>
      <c r="M14" s="329" t="s">
        <v>452</v>
      </c>
      <c r="N14" s="321"/>
      <c r="O14" s="318" t="str">
        <f t="shared" ref="O14:O27" si="2">IF(ISBLANK(N14),Settings.BloombergPCS,N14)</f>
        <v>BGN</v>
      </c>
      <c r="P14" s="320" t="s">
        <v>422</v>
      </c>
      <c r="Q14" s="318" t="str">
        <f>M14&amp;" "&amp;O14&amp;" "&amp;P14</f>
        <v>ADBBCO1 BGN Curncy</v>
      </c>
      <c r="R14" s="322"/>
      <c r="S14" s="318" t="str">
        <f>IF(ISBLANK(R14),Settings.CurveSide.MidBidAsk,'AUD CURVE TICKERS'!R14)</f>
        <v>PX_MID</v>
      </c>
      <c r="T14" s="327">
        <f>IF(Settings.isCOBToday,_xll.BDP(Q14,'AUD CURVE TICKERS'!S14),_xll.BDH(Q14,'AUD CURVE TICKERS'!S14,Settings.COB,Settings.COB))</f>
        <v>51</v>
      </c>
    </row>
    <row r="15" spans="2:31" hidden="1" outlineLevel="1">
      <c r="B15" s="319" t="s">
        <v>236</v>
      </c>
      <c r="C15" s="319" t="s">
        <v>424</v>
      </c>
      <c r="D15" s="321"/>
      <c r="E15" s="318" t="str">
        <f t="shared" si="0"/>
        <v>BGN</v>
      </c>
      <c r="F15" s="320" t="s">
        <v>422</v>
      </c>
      <c r="G15" s="318" t="str">
        <f t="shared" si="1"/>
        <v>ADSO1Z BGN Curncy</v>
      </c>
      <c r="H15" s="322"/>
      <c r="I15" s="318" t="str">
        <f>IF(ISBLANK(H15),Settings.CurveSide.MidBidAsk,'AUD CURVE TICKERS'!H15)</f>
        <v>PX_MID</v>
      </c>
      <c r="J15" s="327">
        <f>IF(Settings.isCOBToday,_xll.BDP(G15,'AUD CURVE TICKERS'!I15),_xll.BDH(G15,'AUD CURVE TICKERS'!I15,Settings.COB,Settings.COB))</f>
        <v>1.5</v>
      </c>
      <c r="L15" s="319" t="s">
        <v>181</v>
      </c>
      <c r="M15" s="329" t="s">
        <v>453</v>
      </c>
      <c r="N15" s="321"/>
      <c r="O15" s="318" t="str">
        <f t="shared" si="2"/>
        <v>BGN</v>
      </c>
      <c r="P15" s="320" t="s">
        <v>422</v>
      </c>
      <c r="Q15" s="318" t="str">
        <f t="shared" ref="Q15:Q27" si="3">M15&amp;" "&amp;O15&amp;" "&amp;P15</f>
        <v>ADBBCO2 BGN Curncy</v>
      </c>
      <c r="R15" s="322"/>
      <c r="S15" s="318" t="str">
        <f>IF(ISBLANK(R15),Settings.CurveSide.MidBidAsk,'AUD CURVE TICKERS'!R15)</f>
        <v>PX_MID</v>
      </c>
      <c r="T15" s="327">
        <f>IF(Settings.isCOBToday,_xll.BDP(Q15,'AUD CURVE TICKERS'!S15),_xll.BDH(Q15,'AUD CURVE TICKERS'!S15,Settings.COB,Settings.COB))</f>
        <v>47.25</v>
      </c>
    </row>
    <row r="16" spans="2:31" hidden="1" outlineLevel="1">
      <c r="B16" s="319" t="s">
        <v>92</v>
      </c>
      <c r="C16" s="319" t="s">
        <v>425</v>
      </c>
      <c r="D16" s="321"/>
      <c r="E16" s="318" t="str">
        <f t="shared" si="0"/>
        <v>BGN</v>
      </c>
      <c r="F16" s="320" t="s">
        <v>422</v>
      </c>
      <c r="G16" s="318" t="str">
        <f t="shared" si="1"/>
        <v>ADSOA BGN Curncy</v>
      </c>
      <c r="H16" s="322"/>
      <c r="I16" s="318" t="str">
        <f>IF(ISBLANK(H16),Settings.CurveSide.MidBidAsk,'AUD CURVE TICKERS'!H16)</f>
        <v>PX_MID</v>
      </c>
      <c r="J16" s="327">
        <f>IF(Settings.isCOBToday,_xll.BDP(G16,'AUD CURVE TICKERS'!I16),_xll.BDH(G16,'AUD CURVE TICKERS'!I16,Settings.COB,Settings.COB))</f>
        <v>1.4990000000000001</v>
      </c>
      <c r="L16" s="319" t="s">
        <v>182</v>
      </c>
      <c r="M16" s="329" t="s">
        <v>454</v>
      </c>
      <c r="N16" s="321"/>
      <c r="O16" s="318" t="str">
        <f t="shared" si="2"/>
        <v>BGN</v>
      </c>
      <c r="P16" s="320" t="s">
        <v>422</v>
      </c>
      <c r="Q16" s="318" t="str">
        <f t="shared" si="3"/>
        <v>ADBBCO3 BGN Curncy</v>
      </c>
      <c r="R16" s="322"/>
      <c r="S16" s="318" t="str">
        <f>IF(ISBLANK(R16),Settings.CurveSide.MidBidAsk,'AUD CURVE TICKERS'!R16)</f>
        <v>PX_MID</v>
      </c>
      <c r="T16" s="327">
        <f>IF(Settings.isCOBToday,_xll.BDP(Q16,'AUD CURVE TICKERS'!S16),_xll.BDH(Q16,'AUD CURVE TICKERS'!S16,Settings.COB,Settings.COB))</f>
        <v>43.75</v>
      </c>
    </row>
    <row r="17" spans="2:31" hidden="1" outlineLevel="1">
      <c r="B17" s="319" t="s">
        <v>93</v>
      </c>
      <c r="C17" s="319" t="s">
        <v>426</v>
      </c>
      <c r="D17" s="321"/>
      <c r="E17" s="318" t="str">
        <f t="shared" si="0"/>
        <v>BGN</v>
      </c>
      <c r="F17" s="320" t="s">
        <v>422</v>
      </c>
      <c r="G17" s="318" t="str">
        <f t="shared" si="1"/>
        <v>ADSOB BGN Curncy</v>
      </c>
      <c r="H17" s="322"/>
      <c r="I17" s="318" t="str">
        <f>IF(ISBLANK(H17),Settings.CurveSide.MidBidAsk,'AUD CURVE TICKERS'!H17)</f>
        <v>PX_MID</v>
      </c>
      <c r="J17" s="327">
        <f>IF(Settings.isCOBToday,_xll.BDP(G17,'AUD CURVE TICKERS'!I17),_xll.BDH(G17,'AUD CURVE TICKERS'!I17,Settings.COB,Settings.COB))</f>
        <v>1.5</v>
      </c>
      <c r="L17" s="319" t="s">
        <v>183</v>
      </c>
      <c r="M17" s="329" t="s">
        <v>455</v>
      </c>
      <c r="N17" s="321"/>
      <c r="O17" s="318" t="str">
        <f t="shared" si="2"/>
        <v>BGN</v>
      </c>
      <c r="P17" s="320" t="s">
        <v>422</v>
      </c>
      <c r="Q17" s="318" t="str">
        <f t="shared" si="3"/>
        <v>ADBBCO4 BGN Curncy</v>
      </c>
      <c r="R17" s="322"/>
      <c r="S17" s="318" t="str">
        <f>IF(ISBLANK(R17),Settings.CurveSide.MidBidAsk,'AUD CURVE TICKERS'!R17)</f>
        <v>PX_MID</v>
      </c>
      <c r="T17" s="327">
        <f>IF(Settings.isCOBToday,_xll.BDP(Q17,'AUD CURVE TICKERS'!S17),_xll.BDH(Q17,'AUD CURVE TICKERS'!S17,Settings.COB,Settings.COB))</f>
        <v>42.375</v>
      </c>
    </row>
    <row r="18" spans="2:31" hidden="1" outlineLevel="1">
      <c r="B18" s="319" t="s">
        <v>94</v>
      </c>
      <c r="C18" s="319" t="s">
        <v>427</v>
      </c>
      <c r="D18" s="321"/>
      <c r="E18" s="318" t="str">
        <f t="shared" si="0"/>
        <v>BGN</v>
      </c>
      <c r="F18" s="320" t="s">
        <v>422</v>
      </c>
      <c r="G18" s="318" t="str">
        <f t="shared" si="1"/>
        <v>ADSOC BGN Curncy</v>
      </c>
      <c r="H18" s="322"/>
      <c r="I18" s="318" t="str">
        <f>IF(ISBLANK(H18),Settings.CurveSide.MidBidAsk,'AUD CURVE TICKERS'!H18)</f>
        <v>PX_MID</v>
      </c>
      <c r="J18" s="327">
        <f>IF(Settings.isCOBToday,_xll.BDP(G18,'AUD CURVE TICKERS'!I18),_xll.BDH(G18,'AUD CURVE TICKERS'!I18,Settings.COB,Settings.COB))</f>
        <v>1.5</v>
      </c>
      <c r="L18" s="319" t="s">
        <v>184</v>
      </c>
      <c r="M18" s="329" t="s">
        <v>456</v>
      </c>
      <c r="N18" s="321"/>
      <c r="O18" s="318" t="str">
        <f t="shared" si="2"/>
        <v>BGN</v>
      </c>
      <c r="P18" s="320" t="s">
        <v>422</v>
      </c>
      <c r="Q18" s="318" t="str">
        <f t="shared" si="3"/>
        <v>ADBBCO5 BGN Curncy</v>
      </c>
      <c r="R18" s="322"/>
      <c r="S18" s="318" t="str">
        <f>IF(ISBLANK(R18),Settings.CurveSide.MidBidAsk,'AUD CURVE TICKERS'!R18)</f>
        <v>PX_MID</v>
      </c>
      <c r="T18" s="327">
        <f>IF(Settings.isCOBToday,_xll.BDP(Q18,'AUD CURVE TICKERS'!S18),_xll.BDH(Q18,'AUD CURVE TICKERS'!S18,Settings.COB,Settings.COB))</f>
        <v>42</v>
      </c>
    </row>
    <row r="19" spans="2:31" hidden="1" outlineLevel="1">
      <c r="B19" s="319" t="s">
        <v>237</v>
      </c>
      <c r="C19" s="319" t="s">
        <v>428</v>
      </c>
      <c r="D19" s="321"/>
      <c r="E19" s="318" t="str">
        <f t="shared" si="0"/>
        <v>BGN</v>
      </c>
      <c r="F19" s="320" t="s">
        <v>422</v>
      </c>
      <c r="G19" s="318" t="str">
        <f t="shared" si="1"/>
        <v>ADSOD BGN Curncy</v>
      </c>
      <c r="H19" s="322"/>
      <c r="I19" s="318" t="str">
        <f>IF(ISBLANK(H19),Settings.CurveSide.MidBidAsk,'AUD CURVE TICKERS'!H19)</f>
        <v>PX_MID</v>
      </c>
      <c r="J19" s="327">
        <f>IF(Settings.isCOBToday,_xll.BDP(G19,'AUD CURVE TICKERS'!I19),_xll.BDH(G19,'AUD CURVE TICKERS'!I19,Settings.COB,Settings.COB))</f>
        <v>1.5009999999999999</v>
      </c>
      <c r="L19" s="319" t="s">
        <v>185</v>
      </c>
      <c r="M19" s="329" t="s">
        <v>457</v>
      </c>
      <c r="N19" s="321"/>
      <c r="O19" s="318" t="str">
        <f t="shared" si="2"/>
        <v>BGN</v>
      </c>
      <c r="P19" s="320" t="s">
        <v>422</v>
      </c>
      <c r="Q19" s="318" t="str">
        <f t="shared" si="3"/>
        <v>ADBBCO6 BGN Curncy</v>
      </c>
      <c r="R19" s="322"/>
      <c r="S19" s="318" t="str">
        <f>IF(ISBLANK(R19),Settings.CurveSide.MidBidAsk,'AUD CURVE TICKERS'!R19)</f>
        <v>PX_MID</v>
      </c>
      <c r="T19" s="327">
        <f>IF(Settings.isCOBToday,_xll.BDP(Q19,'AUD CURVE TICKERS'!S19),_xll.BDH(Q19,'AUD CURVE TICKERS'!S19,Settings.COB,Settings.COB))</f>
        <v>42.625</v>
      </c>
    </row>
    <row r="20" spans="2:31" hidden="1" outlineLevel="1">
      <c r="B20" s="319" t="s">
        <v>238</v>
      </c>
      <c r="C20" s="319" t="s">
        <v>429</v>
      </c>
      <c r="D20" s="321"/>
      <c r="E20" s="318" t="str">
        <f t="shared" si="0"/>
        <v>BGN</v>
      </c>
      <c r="F20" s="320" t="s">
        <v>422</v>
      </c>
      <c r="G20" s="318" t="str">
        <f t="shared" si="1"/>
        <v>ADSOE BGN Curncy</v>
      </c>
      <c r="H20" s="322"/>
      <c r="I20" s="318" t="str">
        <f>IF(ISBLANK(H20),Settings.CurveSide.MidBidAsk,'AUD CURVE TICKERS'!H20)</f>
        <v>PX_MID</v>
      </c>
      <c r="J20" s="327">
        <f>IF(Settings.isCOBToday,_xll.BDP(G20,'AUD CURVE TICKERS'!I20),_xll.BDH(G20,'AUD CURVE TICKERS'!I20,Settings.COB,Settings.COB))</f>
        <v>1.5024999999999999</v>
      </c>
      <c r="L20" s="319" t="s">
        <v>186</v>
      </c>
      <c r="M20" s="329" t="s">
        <v>458</v>
      </c>
      <c r="N20" s="321"/>
      <c r="O20" s="318" t="str">
        <f t="shared" si="2"/>
        <v>BGN</v>
      </c>
      <c r="P20" s="320" t="s">
        <v>422</v>
      </c>
      <c r="Q20" s="318" t="str">
        <f t="shared" si="3"/>
        <v>ADBBCO7 BGN Curncy</v>
      </c>
      <c r="R20" s="322"/>
      <c r="S20" s="318" t="str">
        <f>IF(ISBLANK(R20),Settings.CurveSide.MidBidAsk,'AUD CURVE TICKERS'!R20)</f>
        <v>PX_MID</v>
      </c>
      <c r="T20" s="327">
        <f>IF(Settings.isCOBToday,_xll.BDP(Q20,'AUD CURVE TICKERS'!S20),_xll.BDH(Q20,'AUD CURVE TICKERS'!S20,Settings.COB,Settings.COB))</f>
        <v>43.125</v>
      </c>
    </row>
    <row r="21" spans="2:31" hidden="1" outlineLevel="1">
      <c r="B21" s="319" t="s">
        <v>95</v>
      </c>
      <c r="C21" s="319" t="s">
        <v>430</v>
      </c>
      <c r="D21" s="321"/>
      <c r="E21" s="318" t="str">
        <f t="shared" si="0"/>
        <v>BGN</v>
      </c>
      <c r="F21" s="320" t="s">
        <v>422</v>
      </c>
      <c r="G21" s="318" t="str">
        <f t="shared" si="1"/>
        <v>ADSOF BGN Curncy</v>
      </c>
      <c r="H21" s="322"/>
      <c r="I21" s="318" t="str">
        <f>IF(ISBLANK(H21),Settings.CurveSide.MidBidAsk,'AUD CURVE TICKERS'!H21)</f>
        <v>PX_MID</v>
      </c>
      <c r="J21" s="327">
        <f>IF(Settings.isCOBToday,_xll.BDP(G21,'AUD CURVE TICKERS'!I21),_xll.BDH(G21,'AUD CURVE TICKERS'!I21,Settings.COB,Settings.COB))</f>
        <v>1.504</v>
      </c>
      <c r="L21" s="319" t="s">
        <v>187</v>
      </c>
      <c r="M21" s="329" t="s">
        <v>459</v>
      </c>
      <c r="N21" s="321"/>
      <c r="O21" s="318" t="str">
        <f t="shared" si="2"/>
        <v>BGN</v>
      </c>
      <c r="P21" s="320" t="s">
        <v>422</v>
      </c>
      <c r="Q21" s="318" t="str">
        <f t="shared" si="3"/>
        <v>ADBBCO8 BGN Curncy</v>
      </c>
      <c r="R21" s="322"/>
      <c r="S21" s="318" t="str">
        <f>IF(ISBLANK(R21),Settings.CurveSide.MidBidAsk,'AUD CURVE TICKERS'!R21)</f>
        <v>PX_MID</v>
      </c>
      <c r="T21" s="327">
        <f>IF(Settings.isCOBToday,_xll.BDP(Q21,'AUD CURVE TICKERS'!S21),_xll.BDH(Q21,'AUD CURVE TICKERS'!S21,Settings.COB,Settings.COB))</f>
        <v>43.25</v>
      </c>
    </row>
    <row r="22" spans="2:31" hidden="1" outlineLevel="1">
      <c r="B22" s="319" t="s">
        <v>239</v>
      </c>
      <c r="C22" s="319" t="s">
        <v>431</v>
      </c>
      <c r="D22" s="321"/>
      <c r="E22" s="318" t="str">
        <f t="shared" si="0"/>
        <v>BGN</v>
      </c>
      <c r="F22" s="320" t="s">
        <v>422</v>
      </c>
      <c r="G22" s="318" t="str">
        <f t="shared" si="1"/>
        <v>ADSOI BGN Curncy</v>
      </c>
      <c r="H22" s="322"/>
      <c r="I22" s="318" t="str">
        <f>IF(ISBLANK(H22),Settings.CurveSide.MidBidAsk,'AUD CURVE TICKERS'!H22)</f>
        <v>PX_MID</v>
      </c>
      <c r="J22" s="327">
        <f>IF(Settings.isCOBToday,_xll.BDP(G22,'AUD CURVE TICKERS'!I22),_xll.BDH(G22,'AUD CURVE TICKERS'!I22,Settings.COB,Settings.COB))</f>
        <v>1.512</v>
      </c>
      <c r="L22" s="319" t="s">
        <v>188</v>
      </c>
      <c r="M22" s="329" t="s">
        <v>460</v>
      </c>
      <c r="N22" s="321"/>
      <c r="O22" s="318" t="str">
        <f t="shared" si="2"/>
        <v>BGN</v>
      </c>
      <c r="P22" s="320" t="s">
        <v>422</v>
      </c>
      <c r="Q22" s="318" t="str">
        <f t="shared" si="3"/>
        <v>ADBBCO9 BGN Curncy</v>
      </c>
      <c r="R22" s="322"/>
      <c r="S22" s="318" t="str">
        <f>IF(ISBLANK(R22),Settings.CurveSide.MidBidAsk,'AUD CURVE TICKERS'!R22)</f>
        <v>PX_MID</v>
      </c>
      <c r="T22" s="327">
        <f>IF(Settings.isCOBToday,_xll.BDP(Q22,'AUD CURVE TICKERS'!S22),_xll.BDH(Q22,'AUD CURVE TICKERS'!S22,Settings.COB,Settings.COB))</f>
        <v>43.125</v>
      </c>
    </row>
    <row r="23" spans="2:31" hidden="1" outlineLevel="1">
      <c r="B23" s="319" t="s">
        <v>196</v>
      </c>
      <c r="C23" s="319" t="s">
        <v>432</v>
      </c>
      <c r="D23" s="321"/>
      <c r="E23" s="318" t="str">
        <f t="shared" si="0"/>
        <v>BGN</v>
      </c>
      <c r="F23" s="320" t="s">
        <v>422</v>
      </c>
      <c r="G23" s="318" t="str">
        <f t="shared" si="1"/>
        <v>ADSO1 BGN Curncy</v>
      </c>
      <c r="H23" s="322"/>
      <c r="I23" s="318" t="str">
        <f>IF(ISBLANK(H23),Settings.CurveSide.MidBidAsk,'AUD CURVE TICKERS'!H23)</f>
        <v>PX_MID</v>
      </c>
      <c r="J23" s="327">
        <f>IF(Settings.isCOBToday,_xll.BDP(G23,'AUD CURVE TICKERS'!I23),_xll.BDH(G23,'AUD CURVE TICKERS'!I23,Settings.COB,Settings.COB))</f>
        <v>1.528</v>
      </c>
      <c r="L23" s="319" t="s">
        <v>190</v>
      </c>
      <c r="M23" s="329" t="s">
        <v>461</v>
      </c>
      <c r="N23" s="321"/>
      <c r="O23" s="318" t="str">
        <f t="shared" si="2"/>
        <v>BGN</v>
      </c>
      <c r="P23" s="320" t="s">
        <v>422</v>
      </c>
      <c r="Q23" s="318" t="str">
        <f t="shared" si="3"/>
        <v>ADBBCO10 BGN Curncy</v>
      </c>
      <c r="R23" s="322"/>
      <c r="S23" s="318" t="str">
        <f>IF(ISBLANK(R23),Settings.CurveSide.MidBidAsk,'AUD CURVE TICKERS'!R23)</f>
        <v>PX_MID</v>
      </c>
      <c r="T23" s="327">
        <f>IF(Settings.isCOBToday,_xll.BDP(Q23,'AUD CURVE TICKERS'!S23),_xll.BDH(Q23,'AUD CURVE TICKERS'!S23,Settings.COB,Settings.COB))</f>
        <v>43.125</v>
      </c>
    </row>
    <row r="24" spans="2:31" hidden="1" outlineLevel="1">
      <c r="B24" s="319" t="s">
        <v>181</v>
      </c>
      <c r="C24" s="319" t="s">
        <v>433</v>
      </c>
      <c r="D24" s="321"/>
      <c r="E24" s="318" t="str">
        <f t="shared" si="0"/>
        <v>BGN</v>
      </c>
      <c r="F24" s="320" t="s">
        <v>422</v>
      </c>
      <c r="G24" s="318" t="str">
        <f t="shared" si="1"/>
        <v>ADSO2 BGN Curncy</v>
      </c>
      <c r="H24" s="322"/>
      <c r="I24" s="318" t="str">
        <f>IF(ISBLANK(H24),Settings.CurveSide.MidBidAsk,'AUD CURVE TICKERS'!H24)</f>
        <v>PX_MID</v>
      </c>
      <c r="J24" s="327">
        <f>IF(Settings.isCOBToday,_xll.BDP(G24,'AUD CURVE TICKERS'!I24),_xll.BDH(G24,'AUD CURVE TICKERS'!I24,Settings.COB,Settings.COB))</f>
        <v>1.63</v>
      </c>
      <c r="L24" s="319" t="s">
        <v>191</v>
      </c>
      <c r="M24" s="329" t="s">
        <v>462</v>
      </c>
      <c r="N24" s="321"/>
      <c r="O24" s="318" t="str">
        <f t="shared" si="2"/>
        <v>BGN</v>
      </c>
      <c r="P24" s="320" t="s">
        <v>422</v>
      </c>
      <c r="Q24" s="318" t="str">
        <f t="shared" si="3"/>
        <v>ADBBCO15 BGN Curncy</v>
      </c>
      <c r="R24" s="322"/>
      <c r="S24" s="318" t="str">
        <f>IF(ISBLANK(R24),Settings.CurveSide.MidBidAsk,'AUD CURVE TICKERS'!R24)</f>
        <v>PX_MID</v>
      </c>
      <c r="T24" s="327">
        <f>IF(Settings.isCOBToday,_xll.BDP(Q24,'AUD CURVE TICKERS'!S24),_xll.BDH(Q24,'AUD CURVE TICKERS'!S24,Settings.COB,Settings.COB))</f>
        <v>43.375</v>
      </c>
    </row>
    <row r="25" spans="2:31" hidden="1" outlineLevel="1">
      <c r="B25" s="319" t="s">
        <v>182</v>
      </c>
      <c r="C25" s="319" t="s">
        <v>434</v>
      </c>
      <c r="D25" s="321"/>
      <c r="E25" s="318" t="str">
        <f t="shared" si="0"/>
        <v>BGN</v>
      </c>
      <c r="F25" s="320" t="s">
        <v>422</v>
      </c>
      <c r="G25" s="318" t="str">
        <f t="shared" si="1"/>
        <v>ADSO3 BGN Curncy</v>
      </c>
      <c r="H25" s="322"/>
      <c r="I25" s="318" t="str">
        <f>IF(ISBLANK(H25),Settings.CurveSide.MidBidAsk,'AUD CURVE TICKERS'!H25)</f>
        <v>PX_MID</v>
      </c>
      <c r="J25" s="327">
        <f>IF(Settings.isCOBToday,_xll.BDP(G25,'AUD CURVE TICKERS'!I25),_xll.BDH(G25,'AUD CURVE TICKERS'!I25,Settings.COB,Settings.COB))</f>
        <v>1.7330000000000001</v>
      </c>
      <c r="L25" s="319" t="s">
        <v>192</v>
      </c>
      <c r="M25" s="329" t="s">
        <v>463</v>
      </c>
      <c r="N25" s="321"/>
      <c r="O25" s="318" t="str">
        <f t="shared" si="2"/>
        <v>BGN</v>
      </c>
      <c r="P25" s="320" t="s">
        <v>422</v>
      </c>
      <c r="Q25" s="318" t="str">
        <f t="shared" si="3"/>
        <v>ADBBCO20 BGN Curncy</v>
      </c>
      <c r="R25" s="322"/>
      <c r="S25" s="318" t="str">
        <f>IF(ISBLANK(R25),Settings.CurveSide.MidBidAsk,'AUD CURVE TICKERS'!R25)</f>
        <v>PX_MID</v>
      </c>
      <c r="T25" s="327">
        <f>IF(Settings.isCOBToday,_xll.BDP(Q25,'AUD CURVE TICKERS'!S25),_xll.BDH(Q25,'AUD CURVE TICKERS'!S25,Settings.COB,Settings.COB))</f>
        <v>43.625</v>
      </c>
    </row>
    <row r="26" spans="2:31" hidden="1" outlineLevel="1">
      <c r="B26" s="319" t="s">
        <v>183</v>
      </c>
      <c r="C26" s="319" t="s">
        <v>435</v>
      </c>
      <c r="D26" s="321"/>
      <c r="E26" s="318" t="str">
        <f t="shared" si="0"/>
        <v>BGN</v>
      </c>
      <c r="F26" s="320" t="s">
        <v>422</v>
      </c>
      <c r="G26" s="318" t="str">
        <f t="shared" si="1"/>
        <v>ADSO4 BGN Curncy</v>
      </c>
      <c r="H26" s="322"/>
      <c r="I26" s="318" t="str">
        <f>IF(ISBLANK(H26),Settings.CurveSide.MidBidAsk,'AUD CURVE TICKERS'!H26)</f>
        <v>PX_MID</v>
      </c>
      <c r="J26" s="327">
        <f>IF(Settings.isCOBToday,_xll.BDP(G26,'AUD CURVE TICKERS'!I26),_xll.BDH(G26,'AUD CURVE TICKERS'!I26,Settings.COB,Settings.COB))</f>
        <v>1.8480000000000001</v>
      </c>
      <c r="L26" s="319" t="s">
        <v>193</v>
      </c>
      <c r="M26" s="329" t="s">
        <v>464</v>
      </c>
      <c r="N26" s="321"/>
      <c r="O26" s="318" t="str">
        <f t="shared" si="2"/>
        <v>BGN</v>
      </c>
      <c r="P26" s="320" t="s">
        <v>422</v>
      </c>
      <c r="Q26" s="318" t="str">
        <f t="shared" si="3"/>
        <v>ADBBCO25 BGN Curncy</v>
      </c>
      <c r="R26" s="322"/>
      <c r="S26" s="318" t="str">
        <f>IF(ISBLANK(R26),Settings.CurveSide.MidBidAsk,'AUD CURVE TICKERS'!R26)</f>
        <v>PX_MID</v>
      </c>
      <c r="T26" s="327">
        <f>IF(Settings.isCOBToday,_xll.BDP(Q26,'AUD CURVE TICKERS'!S26),_xll.BDH(Q26,'AUD CURVE TICKERS'!S26,Settings.COB,Settings.COB))</f>
        <v>44</v>
      </c>
    </row>
    <row r="27" spans="2:31" hidden="1" outlineLevel="1">
      <c r="B27" s="319" t="s">
        <v>184</v>
      </c>
      <c r="C27" s="319" t="s">
        <v>436</v>
      </c>
      <c r="D27" s="321"/>
      <c r="E27" s="318" t="str">
        <f t="shared" si="0"/>
        <v>BGN</v>
      </c>
      <c r="F27" s="320" t="s">
        <v>422</v>
      </c>
      <c r="G27" s="318" t="str">
        <f t="shared" si="1"/>
        <v>ADSO5 BGN Curncy</v>
      </c>
      <c r="H27" s="322"/>
      <c r="I27" s="318" t="str">
        <f>IF(ISBLANK(H27),Settings.CurveSide.MidBidAsk,'AUD CURVE TICKERS'!H27)</f>
        <v>PX_MID</v>
      </c>
      <c r="J27" s="327">
        <f>IF(Settings.isCOBToday,_xll.BDP(G27,'AUD CURVE TICKERS'!I27),_xll.BDH(G27,'AUD CURVE TICKERS'!I27,Settings.COB,Settings.COB))</f>
        <v>1.948</v>
      </c>
      <c r="L27" s="319" t="s">
        <v>194</v>
      </c>
      <c r="M27" s="329" t="s">
        <v>465</v>
      </c>
      <c r="N27" s="321"/>
      <c r="O27" s="318" t="str">
        <f t="shared" si="2"/>
        <v>BGN</v>
      </c>
      <c r="P27" s="320" t="s">
        <v>422</v>
      </c>
      <c r="Q27" s="318" t="str">
        <f t="shared" si="3"/>
        <v>ADBBCO30 BGN Curncy</v>
      </c>
      <c r="R27" s="322"/>
      <c r="S27" s="318" t="str">
        <f>IF(ISBLANK(R27),Settings.CurveSide.MidBidAsk,'AUD CURVE TICKERS'!R27)</f>
        <v>PX_MID</v>
      </c>
      <c r="T27" s="327">
        <f>IF(Settings.isCOBToday,_xll.BDP(Q27,'AUD CURVE TICKERS'!S27),_xll.BDH(Q27,'AUD CURVE TICKERS'!S27,Settings.COB,Settings.COB))</f>
        <v>44.375</v>
      </c>
    </row>
    <row r="28" spans="2:31" hidden="1" outlineLevel="1">
      <c r="B28" s="319" t="s">
        <v>185</v>
      </c>
      <c r="C28" s="319" t="s">
        <v>437</v>
      </c>
      <c r="D28" s="321"/>
      <c r="E28" s="318" t="str">
        <f t="shared" si="0"/>
        <v>BGN</v>
      </c>
      <c r="F28" s="320" t="s">
        <v>422</v>
      </c>
      <c r="G28" s="318" t="str">
        <f t="shared" si="1"/>
        <v>ADSO6 BGN Curncy</v>
      </c>
      <c r="H28" s="322"/>
      <c r="I28" s="318" t="str">
        <f>IF(ISBLANK(H28),Settings.CurveSide.MidBidAsk,'AUD CURVE TICKERS'!H28)</f>
        <v>PX_MID</v>
      </c>
      <c r="J28" s="327">
        <f>IF(Settings.isCOBToday,_xll.BDP(G28,'AUD CURVE TICKERS'!I28),_xll.BDH(G28,'AUD CURVE TICKERS'!I28,Settings.COB,Settings.COB))</f>
        <v>2.0249999999999999</v>
      </c>
      <c r="L28" s="319"/>
      <c r="M28" s="329"/>
      <c r="N28" s="321"/>
      <c r="O28" s="318"/>
      <c r="P28" s="320"/>
      <c r="Q28" s="318"/>
      <c r="R28" s="322"/>
      <c r="S28" s="318"/>
      <c r="T28" s="327"/>
      <c r="U28" s="307"/>
      <c r="AE28" s="307"/>
    </row>
    <row r="29" spans="2:31" hidden="1" outlineLevel="1">
      <c r="B29" s="319" t="s">
        <v>186</v>
      </c>
      <c r="C29" s="319" t="s">
        <v>438</v>
      </c>
      <c r="D29" s="321"/>
      <c r="E29" s="318" t="str">
        <f t="shared" si="0"/>
        <v>BGN</v>
      </c>
      <c r="F29" s="320" t="s">
        <v>422</v>
      </c>
      <c r="G29" s="318" t="str">
        <f t="shared" si="1"/>
        <v>ADSO7 BGN Curncy</v>
      </c>
      <c r="H29" s="322"/>
      <c r="I29" s="318" t="str">
        <f>IF(ISBLANK(H29),Settings.CurveSide.MidBidAsk,'AUD CURVE TICKERS'!H29)</f>
        <v>PX_MID</v>
      </c>
      <c r="J29" s="327">
        <f>IF(Settings.isCOBToday,_xll.BDP(G29,'AUD CURVE TICKERS'!I29),_xll.BDH(G29,'AUD CURVE TICKERS'!I29,Settings.COB,Settings.COB))</f>
        <v>2.1015000000000001</v>
      </c>
      <c r="L29" s="319"/>
      <c r="M29" s="329"/>
      <c r="N29" s="321"/>
      <c r="O29" s="318"/>
      <c r="P29" s="320"/>
      <c r="Q29" s="318"/>
      <c r="R29" s="322"/>
      <c r="S29" s="318"/>
      <c r="T29" s="327"/>
      <c r="U29" s="307"/>
      <c r="AE29" s="307"/>
    </row>
    <row r="30" spans="2:31" hidden="1" outlineLevel="1">
      <c r="B30" s="319" t="s">
        <v>187</v>
      </c>
      <c r="C30" s="319" t="s">
        <v>439</v>
      </c>
      <c r="D30" s="321"/>
      <c r="E30" s="318" t="str">
        <f t="shared" si="0"/>
        <v>BGN</v>
      </c>
      <c r="F30" s="320" t="s">
        <v>422</v>
      </c>
      <c r="G30" s="318" t="str">
        <f t="shared" si="1"/>
        <v>ADSO8 BGN Curncy</v>
      </c>
      <c r="H30" s="322"/>
      <c r="I30" s="318" t="str">
        <f>IF(ISBLANK(H30),Settings.CurveSide.MidBidAsk,'AUD CURVE TICKERS'!H30)</f>
        <v>PX_MID</v>
      </c>
      <c r="J30" s="327">
        <f>IF(Settings.isCOBToday,_xll.BDP(G30,'AUD CURVE TICKERS'!I30),_xll.BDH(G30,'AUD CURVE TICKERS'!I30,Settings.COB,Settings.COB))</f>
        <v>2.1629999999999998</v>
      </c>
      <c r="L30" s="319"/>
      <c r="M30" s="329"/>
      <c r="N30" s="321"/>
      <c r="O30" s="318"/>
      <c r="P30" s="320"/>
      <c r="Q30" s="318"/>
      <c r="R30" s="322"/>
      <c r="S30" s="318"/>
      <c r="T30" s="327"/>
      <c r="U30" s="307"/>
      <c r="AE30" s="307"/>
    </row>
    <row r="31" spans="2:31" hidden="1" outlineLevel="1">
      <c r="B31" s="319" t="s">
        <v>188</v>
      </c>
      <c r="C31" s="319" t="s">
        <v>440</v>
      </c>
      <c r="D31" s="321"/>
      <c r="E31" s="318" t="str">
        <f t="shared" si="0"/>
        <v>BGN</v>
      </c>
      <c r="F31" s="320" t="s">
        <v>422</v>
      </c>
      <c r="G31" s="318" t="str">
        <f t="shared" si="1"/>
        <v>ADSO9 BGN Curncy</v>
      </c>
      <c r="H31" s="322"/>
      <c r="I31" s="318" t="str">
        <f>IF(ISBLANK(H31),Settings.CurveSide.MidBidAsk,'AUD CURVE TICKERS'!H31)</f>
        <v>PX_MID</v>
      </c>
      <c r="J31" s="327">
        <f>IF(Settings.isCOBToday,_xll.BDP(G31,'AUD CURVE TICKERS'!I31),_xll.BDH(G31,'AUD CURVE TICKERS'!I31,Settings.COB,Settings.COB))</f>
        <v>2.2250000000000001</v>
      </c>
      <c r="L31" s="319"/>
      <c r="M31" s="329"/>
      <c r="N31" s="321"/>
      <c r="O31" s="318"/>
      <c r="P31" s="320"/>
      <c r="Q31" s="318"/>
      <c r="R31" s="322"/>
      <c r="S31" s="318"/>
      <c r="T31" s="327"/>
      <c r="U31" s="307"/>
      <c r="AE31" s="307"/>
    </row>
    <row r="32" spans="2:31" hidden="1" outlineLevel="1">
      <c r="B32" s="319" t="s">
        <v>190</v>
      </c>
      <c r="C32" s="319" t="s">
        <v>441</v>
      </c>
      <c r="D32" s="321"/>
      <c r="E32" s="318" t="str">
        <f t="shared" si="0"/>
        <v>BGN</v>
      </c>
      <c r="F32" s="320" t="s">
        <v>422</v>
      </c>
      <c r="G32" s="318" t="str">
        <f t="shared" si="1"/>
        <v>ADSO10 BGN Curncy</v>
      </c>
      <c r="H32" s="322"/>
      <c r="I32" s="318" t="str">
        <f>IF(ISBLANK(H32),Settings.CurveSide.MidBidAsk,'AUD CURVE TICKERS'!H32)</f>
        <v>PX_MID</v>
      </c>
      <c r="J32" s="327">
        <f>IF(Settings.isCOBToday,_xll.BDP(G32,'AUD CURVE TICKERS'!I32),_xll.BDH(G32,'AUD CURVE TICKERS'!I32,Settings.COB,Settings.COB))</f>
        <v>2.2850000000000001</v>
      </c>
      <c r="L32" s="319"/>
      <c r="M32" s="329"/>
      <c r="N32" s="321"/>
      <c r="O32" s="318"/>
      <c r="P32" s="320"/>
      <c r="Q32" s="318"/>
      <c r="R32" s="322"/>
      <c r="S32" s="318"/>
      <c r="T32" s="327"/>
      <c r="U32" s="307"/>
      <c r="AE32" s="307"/>
    </row>
    <row r="33" spans="1:43" hidden="1" outlineLevel="1">
      <c r="B33" s="319" t="s">
        <v>191</v>
      </c>
      <c r="C33" s="319" t="s">
        <v>442</v>
      </c>
      <c r="D33" s="321"/>
      <c r="E33" s="318" t="str">
        <f t="shared" si="0"/>
        <v>BGN</v>
      </c>
      <c r="F33" s="320" t="s">
        <v>422</v>
      </c>
      <c r="G33" s="318" t="str">
        <f t="shared" si="1"/>
        <v>ADSO15 BGN Curncy</v>
      </c>
      <c r="H33" s="322"/>
      <c r="I33" s="318" t="str">
        <f>IF(ISBLANK(H33),Settings.CurveSide.MidBidAsk,'AUD CURVE TICKERS'!H33)</f>
        <v>PX_MID</v>
      </c>
      <c r="J33" s="327">
        <f>IF(Settings.isCOBToday,_xll.BDP(G33,'AUD CURVE TICKERS'!I33),_xll.BDH(G33,'AUD CURVE TICKERS'!I33,Settings.COB,Settings.COB))</f>
        <v>2.46</v>
      </c>
      <c r="L33" s="319"/>
      <c r="M33" s="329"/>
      <c r="N33" s="321"/>
      <c r="O33" s="318"/>
      <c r="P33" s="320"/>
      <c r="Q33" s="318"/>
      <c r="R33" s="322"/>
      <c r="S33" s="318"/>
      <c r="T33" s="327"/>
      <c r="U33" s="307"/>
      <c r="AE33" s="307"/>
    </row>
    <row r="34" spans="1:43" hidden="1" outlineLevel="1">
      <c r="B34" s="319" t="s">
        <v>192</v>
      </c>
      <c r="C34" s="319" t="s">
        <v>443</v>
      </c>
      <c r="D34" s="321"/>
      <c r="E34" s="318" t="str">
        <f t="shared" si="0"/>
        <v>BGN</v>
      </c>
      <c r="F34" s="320" t="s">
        <v>422</v>
      </c>
      <c r="G34" s="318" t="str">
        <f t="shared" si="1"/>
        <v>ADSO20 BGN Curncy</v>
      </c>
      <c r="H34" s="322"/>
      <c r="I34" s="318" t="str">
        <f>IF(ISBLANK(H34),Settings.CurveSide.MidBidAsk,'AUD CURVE TICKERS'!H34)</f>
        <v>PX_MID</v>
      </c>
      <c r="J34" s="327">
        <f>IF(Settings.isCOBToday,_xll.BDP(G34,'AUD CURVE TICKERS'!I34),_xll.BDH(G34,'AUD CURVE TICKERS'!I34,Settings.COB,Settings.COB))</f>
        <v>2.4609999999999999</v>
      </c>
      <c r="L34" s="319"/>
      <c r="M34" s="329"/>
      <c r="N34" s="321"/>
      <c r="O34" s="318"/>
      <c r="P34" s="320"/>
      <c r="Q34" s="318"/>
      <c r="R34" s="322"/>
      <c r="S34" s="318"/>
      <c r="T34" s="327"/>
      <c r="U34" s="307"/>
      <c r="AE34" s="307"/>
    </row>
    <row r="35" spans="1:43" hidden="1" outlineLevel="1">
      <c r="B35" s="319" t="s">
        <v>193</v>
      </c>
      <c r="C35" s="319" t="s">
        <v>444</v>
      </c>
      <c r="D35" s="321"/>
      <c r="E35" s="318" t="str">
        <f t="shared" si="0"/>
        <v>BGN</v>
      </c>
      <c r="F35" s="320" t="s">
        <v>422</v>
      </c>
      <c r="G35" s="318" t="str">
        <f t="shared" si="1"/>
        <v>ADSO25 BGN Curncy</v>
      </c>
      <c r="H35" s="322"/>
      <c r="I35" s="318" t="str">
        <f>IF(ISBLANK(H35),Settings.CurveSide.MidBidAsk,'AUD CURVE TICKERS'!H35)</f>
        <v>PX_MID</v>
      </c>
      <c r="J35" s="327">
        <f>IF(Settings.isCOBToday,_xll.BDP(G35,'AUD CURVE TICKERS'!I35),_xll.BDH(G35,'AUD CURVE TICKERS'!I35,Settings.COB,Settings.COB))</f>
        <v>2.508</v>
      </c>
      <c r="L35" s="319"/>
      <c r="M35" s="329"/>
      <c r="N35" s="321"/>
      <c r="O35" s="318"/>
      <c r="P35" s="320"/>
      <c r="Q35" s="318"/>
      <c r="R35" s="322"/>
      <c r="S35" s="318"/>
      <c r="T35" s="327"/>
      <c r="U35" s="307"/>
      <c r="AE35" s="307"/>
    </row>
    <row r="36" spans="1:43" hidden="1" outlineLevel="1">
      <c r="B36" s="319" t="s">
        <v>194</v>
      </c>
      <c r="C36" s="319" t="s">
        <v>445</v>
      </c>
      <c r="D36" s="321"/>
      <c r="E36" s="318" t="str">
        <f t="shared" si="0"/>
        <v>BGN</v>
      </c>
      <c r="F36" s="320" t="s">
        <v>422</v>
      </c>
      <c r="G36" s="318" t="str">
        <f t="shared" si="1"/>
        <v>ADSO30 BGN Curncy</v>
      </c>
      <c r="H36" s="322"/>
      <c r="I36" s="318" t="str">
        <f>IF(ISBLANK(H36),Settings.CurveSide.MidBidAsk,'AUD CURVE TICKERS'!H36)</f>
        <v>PX_MID</v>
      </c>
      <c r="J36" s="327">
        <f>IF(Settings.isCOBToday,_xll.BDP(G36,'AUD CURVE TICKERS'!I36),_xll.BDH(G36,'AUD CURVE TICKERS'!I36,Settings.COB,Settings.COB))</f>
        <v>2.4039999999999999</v>
      </c>
      <c r="L36" s="319"/>
      <c r="M36" s="329"/>
      <c r="N36" s="321"/>
      <c r="O36" s="318"/>
      <c r="P36" s="320"/>
      <c r="Q36" s="318"/>
      <c r="R36" s="322"/>
      <c r="S36" s="318"/>
      <c r="T36" s="327"/>
      <c r="U36" s="307"/>
      <c r="AE36" s="307"/>
    </row>
    <row r="37" spans="1:43" hidden="1" outlineLevel="1">
      <c r="L37" s="319"/>
      <c r="M37" s="329"/>
      <c r="N37" s="321"/>
      <c r="O37" s="318"/>
      <c r="P37" s="320"/>
      <c r="Q37" s="318"/>
      <c r="R37" s="322"/>
      <c r="S37" s="318"/>
      <c r="T37" s="327"/>
      <c r="U37" s="307"/>
      <c r="AE37" s="307"/>
    </row>
    <row r="38" spans="1:43" hidden="1" outlineLevel="1">
      <c r="M38" s="307"/>
    </row>
    <row r="39" spans="1:43" hidden="1" outlineLevel="1">
      <c r="A39" s="331" t="s">
        <v>63</v>
      </c>
      <c r="B39" s="332" t="s">
        <v>63</v>
      </c>
      <c r="C39" s="332" t="s">
        <v>63</v>
      </c>
      <c r="D39" s="332" t="s">
        <v>63</v>
      </c>
      <c r="E39" s="332" t="s">
        <v>63</v>
      </c>
      <c r="F39" s="332" t="s">
        <v>63</v>
      </c>
      <c r="G39" s="332" t="s">
        <v>63</v>
      </c>
      <c r="H39" s="332" t="s">
        <v>63</v>
      </c>
      <c r="I39" s="332" t="s">
        <v>63</v>
      </c>
      <c r="J39" s="332" t="s">
        <v>63</v>
      </c>
      <c r="K39" s="331" t="s">
        <v>63</v>
      </c>
      <c r="L39" s="331" t="s">
        <v>63</v>
      </c>
      <c r="M39" s="331" t="s">
        <v>63</v>
      </c>
      <c r="N39" s="331" t="s">
        <v>63</v>
      </c>
      <c r="O39" s="331" t="s">
        <v>63</v>
      </c>
      <c r="P39" s="331" t="s">
        <v>63</v>
      </c>
      <c r="Q39" s="331"/>
      <c r="R39" s="331"/>
      <c r="S39" s="331"/>
      <c r="T39" s="331"/>
      <c r="U39" s="331"/>
      <c r="V39" s="331"/>
      <c r="W39" s="331"/>
      <c r="X39" s="331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  <c r="AI39" s="331"/>
      <c r="AJ39" s="331"/>
      <c r="AK39" s="331"/>
      <c r="AL39" s="331" t="s">
        <v>63</v>
      </c>
      <c r="AM39" s="331" t="s">
        <v>63</v>
      </c>
      <c r="AN39" s="331" t="s">
        <v>63</v>
      </c>
      <c r="AO39" s="331" t="s">
        <v>63</v>
      </c>
      <c r="AP39" s="331" t="s">
        <v>63</v>
      </c>
      <c r="AQ39" s="331" t="s">
        <v>63</v>
      </c>
    </row>
    <row r="40" spans="1:43" collapsed="1">
      <c r="A40" s="377" t="s">
        <v>543</v>
      </c>
      <c r="M40" s="307"/>
    </row>
    <row r="41" spans="1:43" s="203" customFormat="1">
      <c r="B41" s="330"/>
      <c r="C41" s="330"/>
      <c r="D41" s="330"/>
      <c r="E41" s="330"/>
      <c r="F41" s="330"/>
      <c r="G41" s="330"/>
      <c r="H41" s="330"/>
      <c r="I41" s="330"/>
      <c r="J41" s="330"/>
      <c r="AG41" s="329"/>
    </row>
    <row r="42" spans="1:43" hidden="1" outlineLevel="1">
      <c r="B42" s="333" t="s">
        <v>287</v>
      </c>
      <c r="K42" s="307"/>
      <c r="L42" s="328" t="s">
        <v>289</v>
      </c>
      <c r="M42" s="307"/>
      <c r="N42" s="307"/>
      <c r="O42" s="307"/>
      <c r="P42" s="307"/>
      <c r="Q42" s="307"/>
      <c r="R42" s="307"/>
      <c r="S42" s="307"/>
      <c r="T42" s="307"/>
      <c r="V42" s="328" t="s">
        <v>515</v>
      </c>
      <c r="Y42" s="328" t="s">
        <v>211</v>
      </c>
      <c r="Z42" s="307"/>
      <c r="AA42" s="307"/>
      <c r="AB42" s="307"/>
      <c r="AC42" s="307"/>
      <c r="AD42" s="307"/>
      <c r="AE42" s="307"/>
      <c r="AF42" s="307"/>
      <c r="AG42" s="307"/>
      <c r="AI42" s="328" t="s">
        <v>294</v>
      </c>
      <c r="AJ42" s="307"/>
      <c r="AK42" s="307"/>
      <c r="AL42" s="307"/>
      <c r="AM42" s="307"/>
      <c r="AN42" s="307"/>
      <c r="AO42" s="307"/>
      <c r="AP42" s="307"/>
      <c r="AQ42" s="307"/>
    </row>
    <row r="43" spans="1:43" hidden="1" outlineLevel="1">
      <c r="B43" s="23" t="s">
        <v>212</v>
      </c>
      <c r="C43" s="23" t="s">
        <v>447</v>
      </c>
      <c r="D43" s="23" t="s">
        <v>419</v>
      </c>
      <c r="E43" s="23" t="s">
        <v>446</v>
      </c>
      <c r="F43" s="23" t="s">
        <v>420</v>
      </c>
      <c r="G43" s="23" t="s">
        <v>161</v>
      </c>
      <c r="H43" s="23" t="s">
        <v>451</v>
      </c>
      <c r="I43" s="23" t="s">
        <v>446</v>
      </c>
      <c r="J43" s="23" t="s">
        <v>450</v>
      </c>
      <c r="K43" s="307"/>
      <c r="L43" s="23" t="s">
        <v>212</v>
      </c>
      <c r="M43" s="23" t="s">
        <v>447</v>
      </c>
      <c r="N43" s="23" t="s">
        <v>419</v>
      </c>
      <c r="O43" s="23" t="s">
        <v>446</v>
      </c>
      <c r="P43" s="23" t="s">
        <v>420</v>
      </c>
      <c r="Q43" s="23" t="s">
        <v>161</v>
      </c>
      <c r="R43" s="23" t="s">
        <v>451</v>
      </c>
      <c r="S43" s="23" t="s">
        <v>446</v>
      </c>
      <c r="T43" s="23" t="s">
        <v>450</v>
      </c>
      <c r="V43" s="23" t="s">
        <v>213</v>
      </c>
      <c r="W43" s="23" t="s">
        <v>214</v>
      </c>
      <c r="Y43" s="23" t="s">
        <v>212</v>
      </c>
      <c r="Z43" s="23" t="s">
        <v>447</v>
      </c>
      <c r="AA43" s="23" t="s">
        <v>419</v>
      </c>
      <c r="AB43" s="23" t="s">
        <v>446</v>
      </c>
      <c r="AC43" s="23" t="s">
        <v>420</v>
      </c>
      <c r="AD43" s="23" t="s">
        <v>161</v>
      </c>
      <c r="AE43" s="23" t="s">
        <v>451</v>
      </c>
      <c r="AF43" s="23" t="s">
        <v>446</v>
      </c>
      <c r="AG43" s="23" t="s">
        <v>450</v>
      </c>
      <c r="AI43" s="23" t="s">
        <v>212</v>
      </c>
      <c r="AJ43" s="23" t="s">
        <v>447</v>
      </c>
      <c r="AK43" s="23" t="s">
        <v>419</v>
      </c>
      <c r="AL43" s="23" t="s">
        <v>446</v>
      </c>
      <c r="AM43" s="23" t="s">
        <v>420</v>
      </c>
      <c r="AN43" s="23" t="s">
        <v>161</v>
      </c>
      <c r="AO43" s="23" t="s">
        <v>451</v>
      </c>
      <c r="AP43" s="23" t="s">
        <v>446</v>
      </c>
      <c r="AQ43" s="23" t="s">
        <v>450</v>
      </c>
    </row>
    <row r="44" spans="1:43" hidden="1" outlineLevel="1">
      <c r="B44" s="319" t="s">
        <v>92</v>
      </c>
      <c r="C44" s="319" t="s">
        <v>503</v>
      </c>
      <c r="D44" s="321" t="s">
        <v>63</v>
      </c>
      <c r="E44" s="318" t="str">
        <f>IF(ISBLANK(D44),Settings.BloombergPCS,D44)</f>
        <v xml:space="preserve"> </v>
      </c>
      <c r="F44" s="320" t="s">
        <v>422</v>
      </c>
      <c r="G44" s="318" t="str">
        <f>C44&amp;" "&amp;E44&amp;" "&amp;F44</f>
        <v>ADBB1M   Curncy</v>
      </c>
      <c r="H44" s="322"/>
      <c r="I44" s="318" t="str">
        <f>IF(ISBLANK(H44),Settings.CurveSide.MidBidAsk,'AUD CURVE TICKERS'!H44)</f>
        <v>PX_MID</v>
      </c>
      <c r="J44" s="327">
        <f>IF(Settings.isCOBToday,_xll.BDP(G44,'AUD CURVE TICKERS'!I44),_xll.BDH(G44,'AUD CURVE TICKERS'!I44,Settings.COB,Settings.COB))</f>
        <v>2.0099999999999998</v>
      </c>
      <c r="K44" s="307"/>
      <c r="L44" s="319" t="s">
        <v>507</v>
      </c>
      <c r="M44" s="329" t="s">
        <v>507</v>
      </c>
      <c r="N44" s="321" t="s">
        <v>63</v>
      </c>
      <c r="O44" s="318" t="str">
        <f t="shared" ref="O44:O49" si="4">IF(ISBLANK(N44),Settings.BloombergPCS,N44)</f>
        <v xml:space="preserve"> </v>
      </c>
      <c r="P44" s="320" t="s">
        <v>506</v>
      </c>
      <c r="Q44" s="318" t="str">
        <f>M44&amp;" "&amp;O44&amp;" "&amp;P44</f>
        <v>IR1   Comdty</v>
      </c>
      <c r="R44" s="322"/>
      <c r="S44" s="318" t="str">
        <f>IF(ISBLANK(R44),Settings.CurveSide.MidBidAsk,'AUD CURVE TICKERS'!R44)</f>
        <v>PX_MID</v>
      </c>
      <c r="T44" s="327">
        <f>IF(Settings.isCOBToday,_xll.BDP(Q44,'AUD CURVE TICKERS'!S44),_xll.BDH(Q44,'AUD CURVE TICKERS'!S44,Settings.COB,Settings.COB))</f>
        <v>98.015000000000001</v>
      </c>
      <c r="V44" s="327" t="str">
        <f>IF(Settings.isCOBToday,_xll.BDP(Q44,$V$51),_xll.BDH(Q44,$V$51,Settings.COB,Settings.COB))</f>
        <v>14/09/2018</v>
      </c>
      <c r="W44" s="327" t="str">
        <f>IF(Settings.isCOBToday,_xll.BDP(Q44,$V$52),_xll.BDH(Q44,$V$52,Settings.COB,Settings.COB))</f>
        <v>14/12/2018</v>
      </c>
      <c r="Y44" s="319" t="s">
        <v>196</v>
      </c>
      <c r="Z44" s="329" t="s">
        <v>481</v>
      </c>
      <c r="AA44" s="321"/>
      <c r="AB44" s="318" t="str">
        <f t="shared" ref="AB44:AB57" si="5">IF(ISBLANK(AA44),Settings.BloombergPCS,AA44)</f>
        <v>BGN</v>
      </c>
      <c r="AC44" s="320" t="s">
        <v>422</v>
      </c>
      <c r="AD44" s="318" t="str">
        <f>Z44&amp;" "&amp;AB44&amp;" "&amp;AC44</f>
        <v>ADSW1Q BGN Curncy</v>
      </c>
      <c r="AE44" s="322"/>
      <c r="AF44" s="318" t="str">
        <f>IF(ISBLANK(AE44),Settings.CurveSide.MidBidAsk,'AUD CURVE TICKERS'!AE44)</f>
        <v>PX_MID</v>
      </c>
      <c r="AG44" s="327">
        <f>IF(Settings.isCOBToday,_xll.BDP(AD44,'AUD CURVE TICKERS'!AF44),_xll.BDH(AD44,'AUD CURVE TICKERS'!AF44,Settings.COB,Settings.COB))</f>
        <v>2.0295000000000001</v>
      </c>
      <c r="AI44" s="319" t="s">
        <v>196</v>
      </c>
      <c r="AJ44" s="329" t="s">
        <v>466</v>
      </c>
      <c r="AK44" s="321"/>
      <c r="AL44" s="318" t="str">
        <f t="shared" ref="AL44:AL57" si="6">IF(ISBLANK(AK44),Settings.BloombergPCS,AK44)</f>
        <v>BGN</v>
      </c>
      <c r="AM44" s="320" t="s">
        <v>422</v>
      </c>
      <c r="AN44" s="318" t="str">
        <f>AJ44&amp;" "&amp;AL44&amp;" "&amp;AM44</f>
        <v>ADBBCF1 BGN Curncy</v>
      </c>
      <c r="AO44" s="322"/>
      <c r="AP44" s="318" t="str">
        <f>IF(ISBLANK(AO44),Settings.CurveSide.MidBidAsk,'AUD CURVE TICKERS'!AO44)</f>
        <v>PX_MID</v>
      </c>
      <c r="AQ44" s="327">
        <f>IF(Settings.isCOBToday,_xll.BDP(AN44,'AUD CURVE TICKERS'!AP44),_xll.BDH(AN44,'AUD CURVE TICKERS'!AP44,Settings.COB,Settings.COB))</f>
        <v>14.75</v>
      </c>
    </row>
    <row r="45" spans="1:43" hidden="1" outlineLevel="1">
      <c r="B45" s="319" t="s">
        <v>94</v>
      </c>
      <c r="C45" s="319" t="s">
        <v>504</v>
      </c>
      <c r="D45" s="321" t="s">
        <v>63</v>
      </c>
      <c r="E45" s="318" t="str">
        <f>IF(ISBLANK(D45),Settings.BloombergPCS,D45)</f>
        <v xml:space="preserve"> </v>
      </c>
      <c r="F45" s="320" t="s">
        <v>422</v>
      </c>
      <c r="G45" s="318" t="str">
        <f>C45&amp;" "&amp;E45&amp;" "&amp;F45</f>
        <v>ADBB3M   Curncy</v>
      </c>
      <c r="H45" s="322"/>
      <c r="I45" s="318" t="str">
        <f>IF(ISBLANK(H45),Settings.CurveSide.MidBidAsk,'AUD CURVE TICKERS'!H45)</f>
        <v>PX_MID</v>
      </c>
      <c r="J45" s="327">
        <f>IF(Settings.isCOBToday,_xll.BDP(G45,'AUD CURVE TICKERS'!I45),_xll.BDH(G45,'AUD CURVE TICKERS'!I45,Settings.COB,Settings.COB))</f>
        <v>2.1153</v>
      </c>
      <c r="K45" s="307"/>
      <c r="L45" s="319" t="s">
        <v>508</v>
      </c>
      <c r="M45" s="329" t="s">
        <v>508</v>
      </c>
      <c r="N45" s="321" t="s">
        <v>63</v>
      </c>
      <c r="O45" s="318" t="str">
        <f t="shared" si="4"/>
        <v xml:space="preserve"> </v>
      </c>
      <c r="P45" s="320" t="s">
        <v>506</v>
      </c>
      <c r="Q45" s="318" t="str">
        <f t="shared" ref="Q45:Q49" si="7">M45&amp;" "&amp;O45&amp;" "&amp;P45</f>
        <v>IR2   Comdty</v>
      </c>
      <c r="R45" s="322"/>
      <c r="S45" s="318" t="str">
        <f>IF(ISBLANK(R45),Settings.CurveSide.MidBidAsk,'AUD CURVE TICKERS'!R45)</f>
        <v>PX_MID</v>
      </c>
      <c r="T45" s="327">
        <f>IF(Settings.isCOBToday,_xll.BDP(Q45,'AUD CURVE TICKERS'!S45),_xll.BDH(Q45,'AUD CURVE TICKERS'!S45,Settings.COB,Settings.COB))</f>
        <v>98.004999999999995</v>
      </c>
      <c r="V45" s="327" t="str">
        <f>IF(Settings.isCOBToday,_xll.BDP(Q45,$V$51),_xll.BDH(Q45,$V$51,Settings.COB,Settings.COB))</f>
        <v>14/12/2018</v>
      </c>
      <c r="W45" s="318" t="str">
        <f>IF(Settings.isCOBToday,_xll.BDP(Q45,$V$52),_xll.BDH(Q45,$V$52,Settings.COB,Settings.COB))</f>
        <v>08/03/2019</v>
      </c>
      <c r="Y45" s="319" t="s">
        <v>181</v>
      </c>
      <c r="Z45" s="329" t="s">
        <v>482</v>
      </c>
      <c r="AA45" s="321"/>
      <c r="AB45" s="318" t="str">
        <f t="shared" si="5"/>
        <v>BGN</v>
      </c>
      <c r="AC45" s="320" t="s">
        <v>422</v>
      </c>
      <c r="AD45" s="318" t="str">
        <f t="shared" ref="AD45:AD57" si="8">Z45&amp;" "&amp;AB45&amp;" "&amp;AC45</f>
        <v>ADSW2Q BGN Curncy</v>
      </c>
      <c r="AE45" s="322"/>
      <c r="AF45" s="318" t="str">
        <f>IF(ISBLANK(AE45),Settings.CurveSide.MidBidAsk,'AUD CURVE TICKERS'!AE45)</f>
        <v>PX_MID</v>
      </c>
      <c r="AG45" s="327">
        <f>IF(Settings.isCOBToday,_xll.BDP(AD45,'AUD CURVE TICKERS'!AF45),_xll.BDH(AD45,'AUD CURVE TICKERS'!AF45,Settings.COB,Settings.COB))</f>
        <v>2.08</v>
      </c>
      <c r="AI45" s="319" t="s">
        <v>181</v>
      </c>
      <c r="AJ45" s="329" t="s">
        <v>467</v>
      </c>
      <c r="AK45" s="321"/>
      <c r="AL45" s="318" t="str">
        <f t="shared" si="6"/>
        <v>BGN</v>
      </c>
      <c r="AM45" s="320" t="s">
        <v>422</v>
      </c>
      <c r="AN45" s="318" t="str">
        <f t="shared" ref="AN45:AN57" si="9">AJ45&amp;" "&amp;AL45&amp;" "&amp;AM45</f>
        <v>ADBBCF2 BGN Curncy</v>
      </c>
      <c r="AO45" s="322"/>
      <c r="AP45" s="318" t="str">
        <f>IF(ISBLANK(AO45),Settings.CurveSide.MidBidAsk,'AUD CURVE TICKERS'!AO45)</f>
        <v>PX_MID</v>
      </c>
      <c r="AQ45" s="327">
        <f>IF(Settings.isCOBToday,_xll.BDP(AN45,'AUD CURVE TICKERS'!AP45),_xll.BDH(AN45,'AUD CURVE TICKERS'!AP45,Settings.COB,Settings.COB))</f>
        <v>14.725</v>
      </c>
    </row>
    <row r="46" spans="1:43" hidden="1" outlineLevel="1">
      <c r="B46" s="319" t="s">
        <v>95</v>
      </c>
      <c r="C46" s="319" t="s">
        <v>505</v>
      </c>
      <c r="D46" s="321" t="s">
        <v>63</v>
      </c>
      <c r="E46" s="318" t="str">
        <f>IF(ISBLANK(D46),Settings.BloombergPCS,D46)</f>
        <v xml:space="preserve"> </v>
      </c>
      <c r="F46" s="320" t="s">
        <v>422</v>
      </c>
      <c r="G46" s="318" t="str">
        <f>C46&amp;" "&amp;E46&amp;" "&amp;F46</f>
        <v>ADBB6M   Curncy</v>
      </c>
      <c r="H46" s="322"/>
      <c r="I46" s="318" t="str">
        <f>IF(ISBLANK(H46),Settings.CurveSide.MidBidAsk,'AUD CURVE TICKERS'!H46)</f>
        <v>PX_MID</v>
      </c>
      <c r="J46" s="327">
        <f>IF(Settings.isCOBToday,_xll.BDP(G46,'AUD CURVE TICKERS'!I46),_xll.BDH(G46,'AUD CURVE TICKERS'!I46,Settings.COB,Settings.COB))</f>
        <v>2.23</v>
      </c>
      <c r="K46" s="307"/>
      <c r="L46" s="319" t="s">
        <v>509</v>
      </c>
      <c r="M46" s="329" t="s">
        <v>509</v>
      </c>
      <c r="N46" s="321" t="s">
        <v>63</v>
      </c>
      <c r="O46" s="318" t="str">
        <f t="shared" si="4"/>
        <v xml:space="preserve"> </v>
      </c>
      <c r="P46" s="320" t="s">
        <v>506</v>
      </c>
      <c r="Q46" s="318" t="str">
        <f t="shared" si="7"/>
        <v>IR3   Comdty</v>
      </c>
      <c r="R46" s="322"/>
      <c r="S46" s="318" t="str">
        <f>IF(ISBLANK(R46),Settings.CurveSide.MidBidAsk,'AUD CURVE TICKERS'!R46)</f>
        <v>PX_MID</v>
      </c>
      <c r="T46" s="327">
        <f>IF(Settings.isCOBToday,_xll.BDP(Q46,'AUD CURVE TICKERS'!S46),_xll.BDH(Q46,'AUD CURVE TICKERS'!S46,Settings.COB,Settings.COB))</f>
        <v>97.975000000000009</v>
      </c>
      <c r="V46" s="327" t="str">
        <f>IF(Settings.isCOBToday,_xll.BDP(Q46,$V$51),_xll.BDH(Q46,$V$51,Settings.COB,Settings.COB))</f>
        <v>08/03/2019</v>
      </c>
      <c r="W46" s="318" t="str">
        <f>IF(Settings.isCOBToday,_xll.BDP(Q46,$V$52),_xll.BDH(Q46,$V$52,Settings.COB,Settings.COB))</f>
        <v>14/06/2019</v>
      </c>
      <c r="Y46" s="319" t="s">
        <v>182</v>
      </c>
      <c r="Z46" s="329" t="s">
        <v>483</v>
      </c>
      <c r="AA46" s="321"/>
      <c r="AB46" s="318" t="str">
        <f t="shared" si="5"/>
        <v>BGN</v>
      </c>
      <c r="AC46" s="320" t="s">
        <v>422</v>
      </c>
      <c r="AD46" s="318" t="str">
        <f t="shared" si="8"/>
        <v>ADSW3Q BGN Curncy</v>
      </c>
      <c r="AE46" s="322"/>
      <c r="AF46" s="318" t="str">
        <f>IF(ISBLANK(AE46),Settings.CurveSide.MidBidAsk,'AUD CURVE TICKERS'!AE46)</f>
        <v>PX_MID</v>
      </c>
      <c r="AG46" s="327">
        <f>IF(Settings.isCOBToday,_xll.BDP(AD46,'AUD CURVE TICKERS'!AF46),_xll.BDH(AD46,'AUD CURVE TICKERS'!AF46,Settings.COB,Settings.COB))</f>
        <v>2.1575000000000002</v>
      </c>
      <c r="AI46" s="319" t="s">
        <v>182</v>
      </c>
      <c r="AJ46" s="329" t="s">
        <v>468</v>
      </c>
      <c r="AK46" s="321"/>
      <c r="AL46" s="318" t="str">
        <f t="shared" si="6"/>
        <v>BGN</v>
      </c>
      <c r="AM46" s="320" t="s">
        <v>422</v>
      </c>
      <c r="AN46" s="318" t="str">
        <f t="shared" si="9"/>
        <v>ADBBCF3 BGN Curncy</v>
      </c>
      <c r="AO46" s="322"/>
      <c r="AP46" s="318" t="str">
        <f>IF(ISBLANK(AO46),Settings.CurveSide.MidBidAsk,'AUD CURVE TICKERS'!AO46)</f>
        <v>PX_MID</v>
      </c>
      <c r="AQ46" s="327">
        <f>IF(Settings.isCOBToday,_xll.BDP(AN46,'AUD CURVE TICKERS'!AP46),_xll.BDH(AN46,'AUD CURVE TICKERS'!AP46,Settings.COB,Settings.COB))</f>
        <v>14.5</v>
      </c>
    </row>
    <row r="47" spans="1:43" hidden="1" outlineLevel="1">
      <c r="B47" s="319"/>
      <c r="C47" s="319"/>
      <c r="D47" s="321"/>
      <c r="E47" s="318"/>
      <c r="F47" s="320"/>
      <c r="G47" s="318"/>
      <c r="H47" s="322"/>
      <c r="I47" s="318"/>
      <c r="J47" s="327"/>
      <c r="K47" s="307"/>
      <c r="L47" s="319" t="s">
        <v>510</v>
      </c>
      <c r="M47" s="329" t="s">
        <v>510</v>
      </c>
      <c r="N47" s="321" t="s">
        <v>63</v>
      </c>
      <c r="O47" s="318" t="str">
        <f t="shared" si="4"/>
        <v xml:space="preserve"> </v>
      </c>
      <c r="P47" s="320" t="s">
        <v>506</v>
      </c>
      <c r="Q47" s="318" t="str">
        <f t="shared" si="7"/>
        <v>IR4   Comdty</v>
      </c>
      <c r="R47" s="322"/>
      <c r="S47" s="318" t="str">
        <f>IF(ISBLANK(R47),Settings.CurveSide.MidBidAsk,'AUD CURVE TICKERS'!R47)</f>
        <v>PX_MID</v>
      </c>
      <c r="T47" s="327">
        <f>IF(Settings.isCOBToday,_xll.BDP(Q47,'AUD CURVE TICKERS'!S47),_xll.BDH(Q47,'AUD CURVE TICKERS'!S47,Settings.COB,Settings.COB))</f>
        <v>97.945000000000007</v>
      </c>
      <c r="V47" s="327" t="str">
        <f>IF(Settings.isCOBToday,_xll.BDP(Q47,$V$51),_xll.BDH(Q47,$V$51,Settings.COB,Settings.COB))</f>
        <v>14/06/2019</v>
      </c>
      <c r="W47" s="318" t="str">
        <f>IF(Settings.isCOBToday,_xll.BDP(Q47,$V$52),_xll.BDH(Q47,$V$52,Settings.COB,Settings.COB))</f>
        <v>13/09/2019</v>
      </c>
      <c r="Y47" s="319" t="s">
        <v>183</v>
      </c>
      <c r="Z47" s="329" t="s">
        <v>484</v>
      </c>
      <c r="AA47" s="321"/>
      <c r="AB47" s="318" t="str">
        <f t="shared" si="5"/>
        <v>BGN</v>
      </c>
      <c r="AC47" s="320" t="s">
        <v>422</v>
      </c>
      <c r="AD47" s="318" t="str">
        <f t="shared" si="8"/>
        <v>ADSW4 BGN Curncy</v>
      </c>
      <c r="AE47" s="322"/>
      <c r="AF47" s="318" t="str">
        <f>IF(ISBLANK(AE47),Settings.CurveSide.MidBidAsk,'AUD CURVE TICKERS'!AE47)</f>
        <v>PX_MID</v>
      </c>
      <c r="AG47" s="327">
        <f>IF(Settings.isCOBToday,_xll.BDP(AD47,'AUD CURVE TICKERS'!AF47),_xll.BDH(AD47,'AUD CURVE TICKERS'!AF47,Settings.COB,Settings.COB))</f>
        <v>2.3937499999999998</v>
      </c>
      <c r="AI47" s="319" t="s">
        <v>183</v>
      </c>
      <c r="AJ47" s="329" t="s">
        <v>469</v>
      </c>
      <c r="AK47" s="321"/>
      <c r="AL47" s="318" t="str">
        <f t="shared" si="6"/>
        <v>BGN</v>
      </c>
      <c r="AM47" s="320" t="s">
        <v>422</v>
      </c>
      <c r="AN47" s="318" t="str">
        <f t="shared" si="9"/>
        <v>ADBBCF4 BGN Curncy</v>
      </c>
      <c r="AO47" s="322"/>
      <c r="AP47" s="318" t="str">
        <f>IF(ISBLANK(AO47),Settings.CurveSide.MidBidAsk,'AUD CURVE TICKERS'!AO47)</f>
        <v>PX_MID</v>
      </c>
      <c r="AQ47" s="327">
        <f>IF(Settings.isCOBToday,_xll.BDP(AN47,'AUD CURVE TICKERS'!AP47),_xll.BDH(AN47,'AUD CURVE TICKERS'!AP47,Settings.COB,Settings.COB))</f>
        <v>14.4</v>
      </c>
    </row>
    <row r="48" spans="1:43" hidden="1" outlineLevel="1">
      <c r="B48" s="319"/>
      <c r="C48" s="319"/>
      <c r="D48" s="321"/>
      <c r="E48" s="318"/>
      <c r="F48" s="320"/>
      <c r="G48" s="318"/>
      <c r="H48" s="322"/>
      <c r="I48" s="318"/>
      <c r="J48" s="327"/>
      <c r="K48" s="307"/>
      <c r="L48" s="319" t="s">
        <v>511</v>
      </c>
      <c r="M48" s="329" t="s">
        <v>511</v>
      </c>
      <c r="N48" s="321" t="s">
        <v>63</v>
      </c>
      <c r="O48" s="318" t="str">
        <f t="shared" si="4"/>
        <v xml:space="preserve"> </v>
      </c>
      <c r="P48" s="320" t="s">
        <v>506</v>
      </c>
      <c r="Q48" s="318" t="str">
        <f t="shared" si="7"/>
        <v>IR5   Comdty</v>
      </c>
      <c r="R48" s="322"/>
      <c r="S48" s="318" t="str">
        <f>IF(ISBLANK(R48),Settings.CurveSide.MidBidAsk,'AUD CURVE TICKERS'!R48)</f>
        <v>PX_MID</v>
      </c>
      <c r="T48" s="327">
        <f>IF(Settings.isCOBToday,_xll.BDP(Q48,'AUD CURVE TICKERS'!S48),_xll.BDH(Q48,'AUD CURVE TICKERS'!S48,Settings.COB,Settings.COB))</f>
        <v>97.894999999999996</v>
      </c>
      <c r="V48" s="327" t="str">
        <f>IF(Settings.isCOBToday,_xll.BDP(Q48,$V$51),_xll.BDH(Q48,$V$51,Settings.COB,Settings.COB))</f>
        <v>13/09/2019</v>
      </c>
      <c r="W48" s="318" t="str">
        <f>IF(Settings.isCOBToday,_xll.BDP(Q48,$V$52),_xll.BDH(Q48,$V$52,Settings.COB,Settings.COB))</f>
        <v>13/12/2019</v>
      </c>
      <c r="Y48" s="319" t="s">
        <v>184</v>
      </c>
      <c r="Z48" s="329" t="s">
        <v>485</v>
      </c>
      <c r="AA48" s="321"/>
      <c r="AB48" s="318" t="str">
        <f t="shared" si="5"/>
        <v>BGN</v>
      </c>
      <c r="AC48" s="320" t="s">
        <v>422</v>
      </c>
      <c r="AD48" s="318" t="str">
        <f t="shared" si="8"/>
        <v>ADSW5 BGN Curncy</v>
      </c>
      <c r="AE48" s="322"/>
      <c r="AF48" s="318" t="str">
        <f>IF(ISBLANK(AE48),Settings.CurveSide.MidBidAsk,'AUD CURVE TICKERS'!AE48)</f>
        <v>PX_MID</v>
      </c>
      <c r="AG48" s="327">
        <f>IF(Settings.isCOBToday,_xll.BDP(AD48,'AUD CURVE TICKERS'!AF48),_xll.BDH(AD48,'AUD CURVE TICKERS'!AF48,Settings.COB,Settings.COB))</f>
        <v>2.4860000000000002</v>
      </c>
      <c r="AI48" s="319" t="s">
        <v>184</v>
      </c>
      <c r="AJ48" s="329" t="s">
        <v>470</v>
      </c>
      <c r="AK48" s="321"/>
      <c r="AL48" s="318" t="str">
        <f t="shared" si="6"/>
        <v>BGN</v>
      </c>
      <c r="AM48" s="320" t="s">
        <v>422</v>
      </c>
      <c r="AN48" s="318" t="str">
        <f t="shared" si="9"/>
        <v>ADBBCF5 BGN Curncy</v>
      </c>
      <c r="AO48" s="322"/>
      <c r="AP48" s="318" t="str">
        <f>IF(ISBLANK(AO48),Settings.CurveSide.MidBidAsk,'AUD CURVE TICKERS'!AO48)</f>
        <v>PX_MID</v>
      </c>
      <c r="AQ48" s="327">
        <f>IF(Settings.isCOBToday,_xll.BDP(AN48,'AUD CURVE TICKERS'!AP48),_xll.BDH(AN48,'AUD CURVE TICKERS'!AP48,Settings.COB,Settings.COB))</f>
        <v>14.225</v>
      </c>
    </row>
    <row r="49" spans="2:43" hidden="1" outlineLevel="1">
      <c r="B49" s="319"/>
      <c r="C49" s="319"/>
      <c r="D49" s="321"/>
      <c r="E49" s="318"/>
      <c r="F49" s="320"/>
      <c r="G49" s="318"/>
      <c r="H49" s="322"/>
      <c r="I49" s="318"/>
      <c r="J49" s="327"/>
      <c r="K49" s="307"/>
      <c r="L49" s="319" t="s">
        <v>512</v>
      </c>
      <c r="M49" s="329" t="s">
        <v>512</v>
      </c>
      <c r="N49" s="321" t="s">
        <v>63</v>
      </c>
      <c r="O49" s="318" t="str">
        <f t="shared" si="4"/>
        <v xml:space="preserve"> </v>
      </c>
      <c r="P49" s="320" t="s">
        <v>506</v>
      </c>
      <c r="Q49" s="318" t="str">
        <f t="shared" si="7"/>
        <v>IR6   Comdty</v>
      </c>
      <c r="R49" s="322"/>
      <c r="S49" s="318" t="str">
        <f>IF(ISBLANK(R49),Settings.CurveSide.MidBidAsk,'AUD CURVE TICKERS'!R49)</f>
        <v>PX_MID</v>
      </c>
      <c r="T49" s="327">
        <f>IF(Settings.isCOBToday,_xll.BDP(Q49,'AUD CURVE TICKERS'!S49),_xll.BDH(Q49,'AUD CURVE TICKERS'!S49,Settings.COB,Settings.COB))</f>
        <v>97.844999999999999</v>
      </c>
      <c r="V49" s="327" t="str">
        <f>IF(Settings.isCOBToday,_xll.BDP(Q49,$V$51),_xll.BDH(Q49,$V$51,Settings.COB,Settings.COB))</f>
        <v>13/12/2019</v>
      </c>
      <c r="W49" s="318" t="str">
        <f>IF(Settings.isCOBToday,_xll.BDP(Q49,$V$52),_xll.BDH(Q49,$V$52,Settings.COB,Settings.COB))</f>
        <v>13/03/2020</v>
      </c>
      <c r="Y49" s="319" t="s">
        <v>185</v>
      </c>
      <c r="Z49" s="329" t="s">
        <v>486</v>
      </c>
      <c r="AA49" s="321"/>
      <c r="AB49" s="318" t="str">
        <f t="shared" si="5"/>
        <v>BGN</v>
      </c>
      <c r="AC49" s="320" t="s">
        <v>422</v>
      </c>
      <c r="AD49" s="318" t="str">
        <f t="shared" si="8"/>
        <v>ADSW6 BGN Curncy</v>
      </c>
      <c r="AE49" s="322"/>
      <c r="AF49" s="318" t="str">
        <f>IF(ISBLANK(AE49),Settings.CurveSide.MidBidAsk,'AUD CURVE TICKERS'!AE49)</f>
        <v>PX_MID</v>
      </c>
      <c r="AG49" s="327">
        <f>IF(Settings.isCOBToday,_xll.BDP(AD49,'AUD CURVE TICKERS'!AF49),_xll.BDH(AD49,'AUD CURVE TICKERS'!AF49,Settings.COB,Settings.COB))</f>
        <v>2.5674999999999999</v>
      </c>
      <c r="AI49" s="319" t="s">
        <v>185</v>
      </c>
      <c r="AJ49" s="329" t="s">
        <v>471</v>
      </c>
      <c r="AK49" s="321"/>
      <c r="AL49" s="318" t="str">
        <f t="shared" si="6"/>
        <v>BGN</v>
      </c>
      <c r="AM49" s="320" t="s">
        <v>422</v>
      </c>
      <c r="AN49" s="318" t="str">
        <f t="shared" si="9"/>
        <v>ADBBCF6 BGN Curncy</v>
      </c>
      <c r="AO49" s="322"/>
      <c r="AP49" s="318" t="str">
        <f>IF(ISBLANK(AO49),Settings.CurveSide.MidBidAsk,'AUD CURVE TICKERS'!AO49)</f>
        <v>PX_MID</v>
      </c>
      <c r="AQ49" s="327">
        <f>IF(Settings.isCOBToday,_xll.BDP(AN49,'AUD CURVE TICKERS'!AP49),_xll.BDH(AN49,'AUD CURVE TICKERS'!AP49,Settings.COB,Settings.COB))</f>
        <v>13.9</v>
      </c>
    </row>
    <row r="50" spans="2:43" hidden="1" outlineLevel="1">
      <c r="B50" s="319"/>
      <c r="C50" s="319"/>
      <c r="D50" s="321"/>
      <c r="E50" s="318"/>
      <c r="F50" s="320"/>
      <c r="G50" s="318"/>
      <c r="H50" s="322"/>
      <c r="I50" s="318"/>
      <c r="J50" s="327"/>
      <c r="K50" s="307"/>
      <c r="L50" s="319"/>
      <c r="M50" s="329"/>
      <c r="N50" s="321"/>
      <c r="O50" s="318"/>
      <c r="P50" s="320"/>
      <c r="Q50" s="318"/>
      <c r="R50" s="322"/>
      <c r="S50" s="318"/>
      <c r="T50" s="327"/>
      <c r="U50" s="307"/>
      <c r="Y50" s="319" t="s">
        <v>186</v>
      </c>
      <c r="Z50" s="329" t="s">
        <v>487</v>
      </c>
      <c r="AA50" s="321"/>
      <c r="AB50" s="318" t="str">
        <f t="shared" si="5"/>
        <v>BGN</v>
      </c>
      <c r="AC50" s="320" t="s">
        <v>422</v>
      </c>
      <c r="AD50" s="318" t="str">
        <f t="shared" si="8"/>
        <v>ADSW7 BGN Curncy</v>
      </c>
      <c r="AE50" s="322"/>
      <c r="AF50" s="318" t="str">
        <f>IF(ISBLANK(AE50),Settings.CurveSide.MidBidAsk,'AUD CURVE TICKERS'!AE50)</f>
        <v>PX_MID</v>
      </c>
      <c r="AG50" s="327">
        <f>IF(Settings.isCOBToday,_xll.BDP(AD50,'AUD CURVE TICKERS'!AF50),_xll.BDH(AD50,'AUD CURVE TICKERS'!AF50,Settings.COB,Settings.COB))</f>
        <v>2.64</v>
      </c>
      <c r="AI50" s="319" t="s">
        <v>186</v>
      </c>
      <c r="AJ50" s="329" t="s">
        <v>472</v>
      </c>
      <c r="AK50" s="321"/>
      <c r="AL50" s="318" t="str">
        <f t="shared" si="6"/>
        <v>BGN</v>
      </c>
      <c r="AM50" s="320" t="s">
        <v>422</v>
      </c>
      <c r="AN50" s="318" t="str">
        <f t="shared" si="9"/>
        <v>ADBBCF7 BGN Curncy</v>
      </c>
      <c r="AO50" s="322"/>
      <c r="AP50" s="318" t="str">
        <f>IF(ISBLANK(AO50),Settings.CurveSide.MidBidAsk,'AUD CURVE TICKERS'!AO50)</f>
        <v>PX_MID</v>
      </c>
      <c r="AQ50" s="327">
        <f>IF(Settings.isCOBToday,_xll.BDP(AN50,'AUD CURVE TICKERS'!AP50),_xll.BDH(AN50,'AUD CURVE TICKERS'!AP50,Settings.COB,Settings.COB))</f>
        <v>13.5</v>
      </c>
    </row>
    <row r="51" spans="2:43" hidden="1" outlineLevel="1">
      <c r="B51" s="319"/>
      <c r="C51" s="319"/>
      <c r="D51" s="321"/>
      <c r="E51" s="318"/>
      <c r="F51" s="320"/>
      <c r="G51" s="318"/>
      <c r="H51" s="322"/>
      <c r="I51" s="318"/>
      <c r="J51" s="327"/>
      <c r="K51" s="307"/>
      <c r="L51" s="319"/>
      <c r="M51" s="329"/>
      <c r="N51" s="321"/>
      <c r="O51" s="318"/>
      <c r="P51" s="320"/>
      <c r="Q51" s="318"/>
      <c r="R51" s="322"/>
      <c r="S51" s="318"/>
      <c r="T51" s="327"/>
      <c r="V51" s="173" t="s">
        <v>513</v>
      </c>
      <c r="Y51" s="319" t="s">
        <v>187</v>
      </c>
      <c r="Z51" s="329" t="s">
        <v>488</v>
      </c>
      <c r="AA51" s="321"/>
      <c r="AB51" s="318" t="str">
        <f t="shared" si="5"/>
        <v>BGN</v>
      </c>
      <c r="AC51" s="320" t="s">
        <v>422</v>
      </c>
      <c r="AD51" s="318" t="str">
        <f t="shared" si="8"/>
        <v>ADSW8 BGN Curncy</v>
      </c>
      <c r="AE51" s="322"/>
      <c r="AF51" s="318" t="str">
        <f>IF(ISBLANK(AE51),Settings.CurveSide.MidBidAsk,'AUD CURVE TICKERS'!AE51)</f>
        <v>PX_MID</v>
      </c>
      <c r="AG51" s="327">
        <f>IF(Settings.isCOBToday,_xll.BDP(AD51,'AUD CURVE TICKERS'!AF51),_xll.BDH(AD51,'AUD CURVE TICKERS'!AF51,Settings.COB,Settings.COB))</f>
        <v>2.7050000000000001</v>
      </c>
      <c r="AI51" s="319" t="s">
        <v>187</v>
      </c>
      <c r="AJ51" s="329" t="s">
        <v>473</v>
      </c>
      <c r="AK51" s="321"/>
      <c r="AL51" s="318" t="str">
        <f t="shared" si="6"/>
        <v>BGN</v>
      </c>
      <c r="AM51" s="320" t="s">
        <v>422</v>
      </c>
      <c r="AN51" s="318" t="str">
        <f t="shared" si="9"/>
        <v>ADBBCF8 BGN Curncy</v>
      </c>
      <c r="AO51" s="322"/>
      <c r="AP51" s="318" t="str">
        <f>IF(ISBLANK(AO51),Settings.CurveSide.MidBidAsk,'AUD CURVE TICKERS'!AO51)</f>
        <v>PX_MID</v>
      </c>
      <c r="AQ51" s="327">
        <f>IF(Settings.isCOBToday,_xll.BDP(AN51,'AUD CURVE TICKERS'!AP51),_xll.BDH(AN51,'AUD CURVE TICKERS'!AP51,Settings.COB,Settings.COB))</f>
        <v>13</v>
      </c>
    </row>
    <row r="52" spans="2:43" hidden="1" outlineLevel="1">
      <c r="B52" s="319"/>
      <c r="C52" s="319"/>
      <c r="D52" s="321"/>
      <c r="E52" s="318"/>
      <c r="F52" s="320"/>
      <c r="G52" s="318"/>
      <c r="H52" s="322"/>
      <c r="I52" s="318"/>
      <c r="J52" s="327"/>
      <c r="K52" s="307"/>
      <c r="L52" s="319"/>
      <c r="M52" s="329"/>
      <c r="N52" s="321"/>
      <c r="O52" s="318"/>
      <c r="P52" s="320"/>
      <c r="Q52" s="318"/>
      <c r="R52" s="322"/>
      <c r="S52" s="318"/>
      <c r="T52" s="327"/>
      <c r="V52" s="173" t="s">
        <v>514</v>
      </c>
      <c r="Y52" s="319" t="s">
        <v>188</v>
      </c>
      <c r="Z52" s="329" t="s">
        <v>489</v>
      </c>
      <c r="AA52" s="321"/>
      <c r="AB52" s="318" t="str">
        <f t="shared" si="5"/>
        <v>BGN</v>
      </c>
      <c r="AC52" s="320" t="s">
        <v>422</v>
      </c>
      <c r="AD52" s="318" t="str">
        <f t="shared" si="8"/>
        <v>ADSW9 BGN Curncy</v>
      </c>
      <c r="AE52" s="322"/>
      <c r="AF52" s="318" t="str">
        <f>IF(ISBLANK(AE52),Settings.CurveSide.MidBidAsk,'AUD CURVE TICKERS'!AE52)</f>
        <v>PX_MID</v>
      </c>
      <c r="AG52" s="327">
        <f>IF(Settings.isCOBToday,_xll.BDP(AD52,'AUD CURVE TICKERS'!AF52),_xll.BDH(AD52,'AUD CURVE TICKERS'!AF52,Settings.COB,Settings.COB))</f>
        <v>2.7574999999999998</v>
      </c>
      <c r="AI52" s="319" t="s">
        <v>188</v>
      </c>
      <c r="AJ52" s="329" t="s">
        <v>474</v>
      </c>
      <c r="AK52" s="321"/>
      <c r="AL52" s="318" t="str">
        <f t="shared" si="6"/>
        <v>BGN</v>
      </c>
      <c r="AM52" s="320" t="s">
        <v>422</v>
      </c>
      <c r="AN52" s="318" t="str">
        <f t="shared" si="9"/>
        <v>ADBBCF9 BGN Curncy</v>
      </c>
      <c r="AO52" s="322"/>
      <c r="AP52" s="318" t="str">
        <f>IF(ISBLANK(AO52),Settings.CurveSide.MidBidAsk,'AUD CURVE TICKERS'!AO52)</f>
        <v>PX_MID</v>
      </c>
      <c r="AQ52" s="327">
        <f>IF(Settings.isCOBToday,_xll.BDP(AN52,'AUD CURVE TICKERS'!AP52),_xll.BDH(AN52,'AUD CURVE TICKERS'!AP52,Settings.COB,Settings.COB))</f>
        <v>12.625</v>
      </c>
    </row>
    <row r="53" spans="2:43" hidden="1" outlineLevel="1">
      <c r="B53" s="319"/>
      <c r="C53" s="319"/>
      <c r="D53" s="321"/>
      <c r="E53" s="318"/>
      <c r="F53" s="320"/>
      <c r="G53" s="318"/>
      <c r="H53" s="322"/>
      <c r="I53" s="318"/>
      <c r="J53" s="327"/>
      <c r="K53" s="307"/>
      <c r="L53" s="319"/>
      <c r="M53" s="329"/>
      <c r="N53" s="321"/>
      <c r="O53" s="318"/>
      <c r="P53" s="320"/>
      <c r="Q53" s="318"/>
      <c r="R53" s="322"/>
      <c r="S53" s="318"/>
      <c r="T53" s="327"/>
      <c r="U53" s="307"/>
      <c r="Y53" s="319" t="s">
        <v>190</v>
      </c>
      <c r="Z53" s="329" t="s">
        <v>490</v>
      </c>
      <c r="AA53" s="321"/>
      <c r="AB53" s="318" t="str">
        <f t="shared" si="5"/>
        <v>BGN</v>
      </c>
      <c r="AC53" s="320" t="s">
        <v>422</v>
      </c>
      <c r="AD53" s="318" t="str">
        <f t="shared" si="8"/>
        <v>ADSW10 BGN Curncy</v>
      </c>
      <c r="AE53" s="322"/>
      <c r="AF53" s="318" t="str">
        <f>IF(ISBLANK(AE53),Settings.CurveSide.MidBidAsk,'AUD CURVE TICKERS'!AE53)</f>
        <v>PX_MID</v>
      </c>
      <c r="AG53" s="327">
        <f>IF(Settings.isCOBToday,_xll.BDP(AD53,'AUD CURVE TICKERS'!AF53),_xll.BDH(AD53,'AUD CURVE TICKERS'!AF53,Settings.COB,Settings.COB))</f>
        <v>2.8065000000000002</v>
      </c>
      <c r="AI53" s="319" t="s">
        <v>190</v>
      </c>
      <c r="AJ53" s="329" t="s">
        <v>475</v>
      </c>
      <c r="AK53" s="321"/>
      <c r="AL53" s="318" t="str">
        <f t="shared" si="6"/>
        <v>BGN</v>
      </c>
      <c r="AM53" s="320" t="s">
        <v>422</v>
      </c>
      <c r="AN53" s="318" t="str">
        <f t="shared" si="9"/>
        <v>ADBBCF10 BGN Curncy</v>
      </c>
      <c r="AO53" s="322"/>
      <c r="AP53" s="318" t="str">
        <f>IF(ISBLANK(AO53),Settings.CurveSide.MidBidAsk,'AUD CURVE TICKERS'!AO53)</f>
        <v>PX_MID</v>
      </c>
      <c r="AQ53" s="327">
        <f>IF(Settings.isCOBToday,_xll.BDP(AN53,'AUD CURVE TICKERS'!AP53),_xll.BDH(AN53,'AUD CURVE TICKERS'!AP53,Settings.COB,Settings.COB))</f>
        <v>12.25</v>
      </c>
    </row>
    <row r="54" spans="2:43" hidden="1" outlineLevel="1">
      <c r="B54" s="319"/>
      <c r="C54" s="319"/>
      <c r="D54" s="321"/>
      <c r="E54" s="318"/>
      <c r="F54" s="320"/>
      <c r="G54" s="318"/>
      <c r="H54" s="322"/>
      <c r="I54" s="318"/>
      <c r="J54" s="327"/>
      <c r="K54" s="307"/>
      <c r="L54" s="319"/>
      <c r="M54" s="329"/>
      <c r="N54" s="321"/>
      <c r="O54" s="318"/>
      <c r="P54" s="320"/>
      <c r="Q54" s="318"/>
      <c r="R54" s="322"/>
      <c r="S54" s="318"/>
      <c r="T54" s="327"/>
      <c r="U54" s="307"/>
      <c r="Y54" s="319" t="s">
        <v>191</v>
      </c>
      <c r="Z54" s="329" t="s">
        <v>491</v>
      </c>
      <c r="AA54" s="321"/>
      <c r="AB54" s="318" t="str">
        <f t="shared" si="5"/>
        <v>BGN</v>
      </c>
      <c r="AC54" s="320" t="s">
        <v>422</v>
      </c>
      <c r="AD54" s="318" t="str">
        <f t="shared" si="8"/>
        <v>ADSW15 BGN Curncy</v>
      </c>
      <c r="AE54" s="322"/>
      <c r="AF54" s="318" t="str">
        <f>IF(ISBLANK(AE54),Settings.CurveSide.MidBidAsk,'AUD CURVE TICKERS'!AE54)</f>
        <v>PX_MID</v>
      </c>
      <c r="AG54" s="327">
        <f>IF(Settings.isCOBToday,_xll.BDP(AD54,'AUD CURVE TICKERS'!AF54),_xll.BDH(AD54,'AUD CURVE TICKERS'!AF54,Settings.COB,Settings.COB))</f>
        <v>2.9729999999999999</v>
      </c>
      <c r="AI54" s="319" t="s">
        <v>191</v>
      </c>
      <c r="AJ54" s="329" t="s">
        <v>476</v>
      </c>
      <c r="AK54" s="321"/>
      <c r="AL54" s="318" t="str">
        <f t="shared" si="6"/>
        <v>BGN</v>
      </c>
      <c r="AM54" s="320" t="s">
        <v>422</v>
      </c>
      <c r="AN54" s="318" t="str">
        <f t="shared" si="9"/>
        <v>ADBBCF15 BGN Curncy</v>
      </c>
      <c r="AO54" s="322"/>
      <c r="AP54" s="318" t="str">
        <f>IF(ISBLANK(AO54),Settings.CurveSide.MidBidAsk,'AUD CURVE TICKERS'!AO54)</f>
        <v>PX_MID</v>
      </c>
      <c r="AQ54" s="327">
        <f>IF(Settings.isCOBToday,_xll.BDP(AN54,'AUD CURVE TICKERS'!AP54),_xll.BDH(AN54,'AUD CURVE TICKERS'!AP54,Settings.COB,Settings.COB))</f>
        <v>11</v>
      </c>
    </row>
    <row r="55" spans="2:43" hidden="1" outlineLevel="1">
      <c r="B55" s="319"/>
      <c r="C55" s="319"/>
      <c r="D55" s="321"/>
      <c r="E55" s="318"/>
      <c r="F55" s="320"/>
      <c r="G55" s="318"/>
      <c r="H55" s="322"/>
      <c r="I55" s="318"/>
      <c r="J55" s="327"/>
      <c r="K55" s="307"/>
      <c r="L55" s="319"/>
      <c r="M55" s="329"/>
      <c r="N55" s="321"/>
      <c r="O55" s="318"/>
      <c r="P55" s="320"/>
      <c r="Q55" s="318"/>
      <c r="R55" s="322"/>
      <c r="S55" s="318"/>
      <c r="T55" s="327"/>
      <c r="U55" s="307"/>
      <c r="Y55" s="319" t="s">
        <v>192</v>
      </c>
      <c r="Z55" s="329" t="s">
        <v>492</v>
      </c>
      <c r="AA55" s="321"/>
      <c r="AB55" s="318" t="str">
        <f t="shared" si="5"/>
        <v>BGN</v>
      </c>
      <c r="AC55" s="320" t="s">
        <v>422</v>
      </c>
      <c r="AD55" s="318" t="str">
        <f t="shared" si="8"/>
        <v>ADSW20 BGN Curncy</v>
      </c>
      <c r="AE55" s="322"/>
      <c r="AF55" s="318" t="str">
        <f>IF(ISBLANK(AE55),Settings.CurveSide.MidBidAsk,'AUD CURVE TICKERS'!AE55)</f>
        <v>PX_MID</v>
      </c>
      <c r="AG55" s="327">
        <f>IF(Settings.isCOBToday,_xll.BDP(AD55,'AUD CURVE TICKERS'!AF55),_xll.BDH(AD55,'AUD CURVE TICKERS'!AF55,Settings.COB,Settings.COB))</f>
        <v>3.0249999999999999</v>
      </c>
      <c r="AI55" s="319" t="s">
        <v>192</v>
      </c>
      <c r="AJ55" s="329" t="s">
        <v>477</v>
      </c>
      <c r="AK55" s="321"/>
      <c r="AL55" s="318" t="str">
        <f t="shared" si="6"/>
        <v>BGN</v>
      </c>
      <c r="AM55" s="320" t="s">
        <v>422</v>
      </c>
      <c r="AN55" s="318" t="str">
        <f t="shared" si="9"/>
        <v>ADBBCF20 BGN Curncy</v>
      </c>
      <c r="AO55" s="322"/>
      <c r="AP55" s="318" t="str">
        <f>IF(ISBLANK(AO55),Settings.CurveSide.MidBidAsk,'AUD CURVE TICKERS'!AO55)</f>
        <v>PX_MID</v>
      </c>
      <c r="AQ55" s="327">
        <f>IF(Settings.isCOBToday,_xll.BDP(AN55,'AUD CURVE TICKERS'!AP55),_xll.BDH(AN55,'AUD CURVE TICKERS'!AP55,Settings.COB,Settings.COB))</f>
        <v>10.75</v>
      </c>
    </row>
    <row r="56" spans="2:43" hidden="1" outlineLevel="1">
      <c r="B56" s="319"/>
      <c r="C56" s="319"/>
      <c r="D56" s="321"/>
      <c r="E56" s="318"/>
      <c r="F56" s="320"/>
      <c r="G56" s="318"/>
      <c r="H56" s="322"/>
      <c r="I56" s="318"/>
      <c r="J56" s="327"/>
      <c r="K56" s="307"/>
      <c r="L56" s="319"/>
      <c r="M56" s="329"/>
      <c r="N56" s="321"/>
      <c r="O56" s="318"/>
      <c r="P56" s="320"/>
      <c r="Q56" s="318"/>
      <c r="R56" s="322"/>
      <c r="S56" s="318"/>
      <c r="T56" s="327"/>
      <c r="U56" s="307"/>
      <c r="Y56" s="319" t="s">
        <v>193</v>
      </c>
      <c r="Z56" s="329" t="s">
        <v>493</v>
      </c>
      <c r="AA56" s="321"/>
      <c r="AB56" s="318" t="str">
        <f t="shared" si="5"/>
        <v>BGN</v>
      </c>
      <c r="AC56" s="320" t="s">
        <v>422</v>
      </c>
      <c r="AD56" s="318" t="str">
        <f t="shared" si="8"/>
        <v>ADSW25 BGN Curncy</v>
      </c>
      <c r="AE56" s="322"/>
      <c r="AF56" s="318" t="str">
        <f>IF(ISBLANK(AE56),Settings.CurveSide.MidBidAsk,'AUD CURVE TICKERS'!AE56)</f>
        <v>PX_MID</v>
      </c>
      <c r="AG56" s="327">
        <f>IF(Settings.isCOBToday,_xll.BDP(AD56,'AUD CURVE TICKERS'!AF56),_xll.BDH(AD56,'AUD CURVE TICKERS'!AF56,Settings.COB,Settings.COB))</f>
        <v>3.0237500000000002</v>
      </c>
      <c r="AI56" s="319" t="s">
        <v>193</v>
      </c>
      <c r="AJ56" s="329" t="s">
        <v>478</v>
      </c>
      <c r="AK56" s="321"/>
      <c r="AL56" s="318" t="str">
        <f t="shared" si="6"/>
        <v>BGN</v>
      </c>
      <c r="AM56" s="320" t="s">
        <v>422</v>
      </c>
      <c r="AN56" s="318" t="str">
        <f t="shared" si="9"/>
        <v>ADBBCF25 BGN Curncy</v>
      </c>
      <c r="AO56" s="322"/>
      <c r="AP56" s="318" t="str">
        <f>IF(ISBLANK(AO56),Settings.CurveSide.MidBidAsk,'AUD CURVE TICKERS'!AO56)</f>
        <v>PX_MID</v>
      </c>
      <c r="AQ56" s="327">
        <f>IF(Settings.isCOBToday,_xll.BDP(AN56,'AUD CURVE TICKERS'!AP56),_xll.BDH(AN56,'AUD CURVE TICKERS'!AP56,Settings.COB,Settings.COB))</f>
        <v>11</v>
      </c>
    </row>
    <row r="57" spans="2:43" hidden="1" outlineLevel="1">
      <c r="B57" s="319"/>
      <c r="C57" s="319"/>
      <c r="D57" s="321"/>
      <c r="E57" s="318"/>
      <c r="F57" s="320"/>
      <c r="G57" s="318"/>
      <c r="H57" s="322"/>
      <c r="I57" s="318"/>
      <c r="J57" s="327"/>
      <c r="K57" s="307"/>
      <c r="L57" s="319"/>
      <c r="M57" s="329"/>
      <c r="N57" s="321"/>
      <c r="O57" s="318"/>
      <c r="P57" s="320"/>
      <c r="Q57" s="318"/>
      <c r="R57" s="322"/>
      <c r="S57" s="318"/>
      <c r="T57" s="327"/>
      <c r="U57" s="307"/>
      <c r="Y57" s="319" t="s">
        <v>194</v>
      </c>
      <c r="Z57" s="329" t="s">
        <v>494</v>
      </c>
      <c r="AA57" s="321"/>
      <c r="AB57" s="318" t="str">
        <f t="shared" si="5"/>
        <v>BGN</v>
      </c>
      <c r="AC57" s="320" t="s">
        <v>422</v>
      </c>
      <c r="AD57" s="318" t="str">
        <f t="shared" si="8"/>
        <v>ADSW30 BGN Curncy</v>
      </c>
      <c r="AE57" s="322"/>
      <c r="AF57" s="318" t="str">
        <f>IF(ISBLANK(AE57),Settings.CurveSide.MidBidAsk,'AUD CURVE TICKERS'!AE57)</f>
        <v>PX_MID</v>
      </c>
      <c r="AG57" s="327">
        <f>IF(Settings.isCOBToday,_xll.BDP(AD57,'AUD CURVE TICKERS'!AF57),_xll.BDH(AD57,'AUD CURVE TICKERS'!AF57,Settings.COB,Settings.COB))</f>
        <v>2.9962499999999999</v>
      </c>
      <c r="AI57" s="319" t="s">
        <v>194</v>
      </c>
      <c r="AJ57" s="329" t="s">
        <v>479</v>
      </c>
      <c r="AK57" s="321"/>
      <c r="AL57" s="318" t="str">
        <f t="shared" si="6"/>
        <v>BGN</v>
      </c>
      <c r="AM57" s="320" t="s">
        <v>422</v>
      </c>
      <c r="AN57" s="318" t="str">
        <f t="shared" si="9"/>
        <v>ADBBCF30 BGN Curncy</v>
      </c>
      <c r="AO57" s="322"/>
      <c r="AP57" s="318" t="str">
        <f>IF(ISBLANK(AO57),Settings.CurveSide.MidBidAsk,'AUD CURVE TICKERS'!AO57)</f>
        <v>PX_MID</v>
      </c>
      <c r="AQ57" s="327">
        <f>IF(Settings.isCOBToday,_xll.BDP(AN57,'AUD CURVE TICKERS'!AP57),_xll.BDH(AN57,'AUD CURVE TICKERS'!AP57,Settings.COB,Settings.COB))</f>
        <v>11.4</v>
      </c>
    </row>
    <row r="58" spans="2:43" hidden="1" outlineLevel="1">
      <c r="B58" s="319"/>
      <c r="C58" s="319"/>
      <c r="D58" s="321"/>
      <c r="E58" s="318"/>
      <c r="F58" s="320"/>
      <c r="G58" s="318"/>
      <c r="H58" s="322"/>
      <c r="I58" s="318"/>
      <c r="J58" s="327"/>
      <c r="K58" s="307"/>
      <c r="L58" s="319"/>
      <c r="M58" s="329"/>
      <c r="N58" s="321"/>
      <c r="O58" s="318"/>
      <c r="P58" s="320"/>
      <c r="Q58" s="318"/>
      <c r="R58" s="322"/>
      <c r="S58" s="318"/>
      <c r="T58" s="327"/>
      <c r="U58" s="307"/>
      <c r="Y58" s="319"/>
      <c r="Z58" s="329"/>
      <c r="AA58" s="321"/>
      <c r="AB58" s="318"/>
      <c r="AC58" s="320"/>
      <c r="AD58" s="318"/>
      <c r="AE58" s="322"/>
      <c r="AF58" s="318"/>
      <c r="AG58" s="327"/>
      <c r="AI58" s="319"/>
      <c r="AJ58" s="329"/>
      <c r="AK58" s="321"/>
      <c r="AL58" s="318"/>
      <c r="AM58" s="320"/>
      <c r="AN58" s="318"/>
      <c r="AO58" s="322"/>
      <c r="AP58" s="318"/>
      <c r="AQ58" s="327"/>
    </row>
    <row r="59" spans="2:43" hidden="1" outlineLevel="1">
      <c r="B59" s="319"/>
      <c r="C59" s="319"/>
      <c r="D59" s="321"/>
      <c r="E59" s="318"/>
      <c r="F59" s="320"/>
      <c r="G59" s="318"/>
      <c r="H59" s="322"/>
      <c r="I59" s="318"/>
      <c r="J59" s="327"/>
      <c r="K59" s="307"/>
      <c r="L59" s="319"/>
      <c r="M59" s="329"/>
      <c r="N59" s="321"/>
      <c r="O59" s="318"/>
      <c r="P59" s="320"/>
      <c r="Q59" s="318"/>
      <c r="R59" s="322"/>
      <c r="S59" s="318"/>
      <c r="T59" s="327"/>
      <c r="U59" s="307"/>
      <c r="Y59" s="319"/>
      <c r="Z59" s="329"/>
      <c r="AA59" s="321"/>
      <c r="AB59" s="318"/>
      <c r="AC59" s="320"/>
      <c r="AD59" s="318"/>
      <c r="AE59" s="322"/>
      <c r="AF59" s="318"/>
      <c r="AG59" s="327"/>
      <c r="AI59" s="319"/>
      <c r="AJ59" s="329"/>
      <c r="AK59" s="321"/>
      <c r="AL59" s="318"/>
      <c r="AM59" s="320"/>
      <c r="AN59" s="318"/>
      <c r="AO59" s="322"/>
      <c r="AP59" s="318"/>
      <c r="AQ59" s="327"/>
    </row>
    <row r="60" spans="2:43" hidden="1" outlineLevel="1">
      <c r="B60" s="319"/>
      <c r="C60" s="319"/>
      <c r="D60" s="321"/>
      <c r="E60" s="318"/>
      <c r="F60" s="320"/>
      <c r="G60" s="318"/>
      <c r="H60" s="322"/>
      <c r="I60" s="318"/>
      <c r="J60" s="327"/>
      <c r="K60" s="307"/>
      <c r="L60" s="319"/>
      <c r="M60" s="329"/>
      <c r="N60" s="321"/>
      <c r="O60" s="318"/>
      <c r="P60" s="320"/>
      <c r="Q60" s="318"/>
      <c r="R60" s="322"/>
      <c r="S60" s="318"/>
      <c r="T60" s="327"/>
      <c r="U60" s="307"/>
      <c r="Y60" s="319"/>
      <c r="Z60" s="329"/>
      <c r="AA60" s="321"/>
      <c r="AB60" s="318"/>
      <c r="AC60" s="320"/>
      <c r="AD60" s="318"/>
      <c r="AE60" s="322"/>
      <c r="AF60" s="318"/>
      <c r="AG60" s="327"/>
      <c r="AI60" s="319"/>
      <c r="AJ60" s="329"/>
      <c r="AK60" s="321"/>
      <c r="AL60" s="318"/>
      <c r="AM60" s="320"/>
      <c r="AN60" s="318"/>
      <c r="AO60" s="322"/>
      <c r="AP60" s="318"/>
      <c r="AQ60" s="327"/>
    </row>
    <row r="61" spans="2:43" hidden="1" outlineLevel="1">
      <c r="B61" s="319"/>
      <c r="C61" s="319"/>
      <c r="D61" s="321"/>
      <c r="E61" s="318"/>
      <c r="F61" s="320"/>
      <c r="G61" s="318"/>
      <c r="H61" s="322"/>
      <c r="I61" s="318"/>
      <c r="J61" s="327"/>
      <c r="K61" s="307"/>
      <c r="L61" s="319"/>
      <c r="M61" s="329"/>
      <c r="N61" s="321"/>
      <c r="O61" s="318"/>
      <c r="P61" s="320"/>
      <c r="Q61" s="318"/>
      <c r="R61" s="322"/>
      <c r="S61" s="318"/>
      <c r="T61" s="327"/>
      <c r="U61" s="307"/>
      <c r="Y61" s="319"/>
      <c r="Z61" s="329"/>
      <c r="AA61" s="321"/>
      <c r="AB61" s="318"/>
      <c r="AC61" s="320"/>
      <c r="AD61" s="318"/>
      <c r="AE61" s="322"/>
      <c r="AF61" s="318"/>
      <c r="AG61" s="327"/>
      <c r="AI61" s="319"/>
      <c r="AJ61" s="329"/>
      <c r="AK61" s="321"/>
      <c r="AL61" s="318"/>
      <c r="AM61" s="320"/>
      <c r="AN61" s="318"/>
      <c r="AO61" s="322"/>
      <c r="AP61" s="318"/>
      <c r="AQ61" s="327"/>
    </row>
    <row r="62" spans="2:43" hidden="1" outlineLevel="1">
      <c r="B62" s="319"/>
      <c r="C62" s="319"/>
      <c r="D62" s="321"/>
      <c r="E62" s="318"/>
      <c r="F62" s="320"/>
      <c r="G62" s="318"/>
      <c r="H62" s="322"/>
      <c r="I62" s="318"/>
      <c r="J62" s="327"/>
      <c r="K62" s="307"/>
      <c r="L62" s="319"/>
      <c r="M62" s="329"/>
      <c r="N62" s="321"/>
      <c r="O62" s="318"/>
      <c r="P62" s="320"/>
      <c r="Q62" s="318"/>
      <c r="R62" s="322"/>
      <c r="S62" s="318"/>
      <c r="T62" s="327"/>
      <c r="U62" s="307"/>
      <c r="Y62" s="319"/>
      <c r="Z62" s="329"/>
      <c r="AA62" s="321"/>
      <c r="AB62" s="318"/>
      <c r="AC62" s="320"/>
      <c r="AD62" s="318"/>
      <c r="AE62" s="322"/>
      <c r="AF62" s="318"/>
      <c r="AG62" s="327"/>
      <c r="AI62" s="319"/>
      <c r="AJ62" s="329"/>
      <c r="AK62" s="321"/>
      <c r="AL62" s="318"/>
      <c r="AM62" s="320"/>
      <c r="AN62" s="318"/>
      <c r="AO62" s="322"/>
      <c r="AP62" s="318"/>
      <c r="AQ62" s="327"/>
    </row>
    <row r="63" spans="2:43" hidden="1" outlineLevel="1">
      <c r="B63" s="319"/>
      <c r="C63" s="319"/>
      <c r="D63" s="321"/>
      <c r="E63" s="318"/>
      <c r="F63" s="320"/>
      <c r="G63" s="318"/>
      <c r="H63" s="322"/>
      <c r="I63" s="318"/>
      <c r="J63" s="327"/>
      <c r="K63" s="307"/>
      <c r="L63" s="319"/>
      <c r="M63" s="329"/>
      <c r="N63" s="321"/>
      <c r="O63" s="318"/>
      <c r="P63" s="320"/>
      <c r="Q63" s="318"/>
      <c r="R63" s="322"/>
      <c r="S63" s="318"/>
      <c r="T63" s="327"/>
      <c r="U63" s="307"/>
      <c r="Y63" s="319"/>
      <c r="Z63" s="329"/>
      <c r="AA63" s="321"/>
      <c r="AB63" s="318"/>
      <c r="AC63" s="320"/>
      <c r="AD63" s="318"/>
      <c r="AE63" s="322"/>
      <c r="AF63" s="318"/>
      <c r="AG63" s="327"/>
      <c r="AI63" s="319"/>
      <c r="AJ63" s="329"/>
      <c r="AK63" s="321"/>
      <c r="AL63" s="318"/>
      <c r="AM63" s="320"/>
      <c r="AN63" s="318"/>
      <c r="AO63" s="322"/>
      <c r="AP63" s="318"/>
      <c r="AQ63" s="327"/>
    </row>
    <row r="64" spans="2:43" hidden="1" outlineLevel="1">
      <c r="B64" s="319"/>
      <c r="C64" s="319"/>
      <c r="D64" s="321"/>
      <c r="E64" s="318"/>
      <c r="F64" s="320"/>
      <c r="G64" s="318"/>
      <c r="H64" s="322"/>
      <c r="I64" s="318"/>
      <c r="J64" s="327"/>
      <c r="K64" s="307"/>
      <c r="L64" s="319"/>
      <c r="M64" s="329"/>
      <c r="N64" s="321"/>
      <c r="O64" s="318"/>
      <c r="P64" s="320"/>
      <c r="Q64" s="318"/>
      <c r="R64" s="322"/>
      <c r="S64" s="318"/>
      <c r="T64" s="327"/>
      <c r="U64" s="307"/>
      <c r="Y64" s="319"/>
      <c r="Z64" s="329"/>
      <c r="AA64" s="321"/>
      <c r="AB64" s="318"/>
      <c r="AC64" s="320"/>
      <c r="AD64" s="318"/>
      <c r="AE64" s="322"/>
      <c r="AF64" s="318"/>
      <c r="AG64" s="327"/>
      <c r="AI64" s="319"/>
      <c r="AJ64" s="329"/>
      <c r="AK64" s="321"/>
      <c r="AL64" s="318"/>
      <c r="AM64" s="320"/>
      <c r="AN64" s="318"/>
      <c r="AO64" s="322"/>
      <c r="AP64" s="318"/>
      <c r="AQ64" s="327"/>
    </row>
    <row r="65" spans="1:43" hidden="1" outlineLevel="1">
      <c r="B65" s="319"/>
      <c r="C65" s="319"/>
      <c r="D65" s="321"/>
      <c r="E65" s="318"/>
      <c r="F65" s="320"/>
      <c r="G65" s="318"/>
      <c r="H65" s="322"/>
      <c r="I65" s="318"/>
      <c r="J65" s="327"/>
      <c r="K65" s="307"/>
      <c r="L65" s="319"/>
      <c r="M65" s="329"/>
      <c r="N65" s="321"/>
      <c r="O65" s="318"/>
      <c r="P65" s="320"/>
      <c r="Q65" s="318"/>
      <c r="R65" s="322"/>
      <c r="S65" s="318"/>
      <c r="T65" s="327"/>
      <c r="U65" s="307"/>
      <c r="Y65" s="319"/>
      <c r="Z65" s="329"/>
      <c r="AA65" s="321"/>
      <c r="AB65" s="318"/>
      <c r="AC65" s="320"/>
      <c r="AD65" s="318"/>
      <c r="AE65" s="322"/>
      <c r="AF65" s="318"/>
      <c r="AG65" s="327"/>
      <c r="AI65" s="319"/>
      <c r="AJ65" s="329"/>
      <c r="AK65" s="321"/>
      <c r="AL65" s="318"/>
      <c r="AM65" s="320"/>
      <c r="AN65" s="318"/>
      <c r="AO65" s="322"/>
      <c r="AP65" s="318"/>
      <c r="AQ65" s="327"/>
    </row>
    <row r="66" spans="1:43" hidden="1" outlineLevel="1">
      <c r="B66" s="319"/>
      <c r="C66" s="319"/>
      <c r="D66" s="321"/>
      <c r="E66" s="318"/>
      <c r="F66" s="320"/>
      <c r="G66" s="318"/>
      <c r="H66" s="322"/>
      <c r="I66" s="318"/>
      <c r="J66" s="327"/>
      <c r="K66" s="307"/>
      <c r="L66" s="319"/>
      <c r="M66" s="329"/>
      <c r="N66" s="321"/>
      <c r="O66" s="318"/>
      <c r="P66" s="320"/>
      <c r="Q66" s="318"/>
      <c r="R66" s="322"/>
      <c r="S66" s="318"/>
      <c r="T66" s="327"/>
      <c r="U66" s="307"/>
      <c r="Y66" s="319"/>
      <c r="Z66" s="329"/>
      <c r="AA66" s="321"/>
      <c r="AB66" s="318"/>
      <c r="AC66" s="320"/>
      <c r="AD66" s="318"/>
      <c r="AE66" s="322"/>
      <c r="AF66" s="318"/>
      <c r="AG66" s="327"/>
      <c r="AI66" s="319"/>
      <c r="AJ66" s="329"/>
      <c r="AK66" s="321"/>
      <c r="AL66" s="318"/>
      <c r="AM66" s="320"/>
      <c r="AN66" s="318"/>
      <c r="AO66" s="322"/>
      <c r="AP66" s="318"/>
      <c r="AQ66" s="327"/>
    </row>
    <row r="67" spans="1:43" hidden="1" outlineLevel="1">
      <c r="K67" s="307"/>
      <c r="L67" s="319"/>
      <c r="M67" s="329"/>
      <c r="N67" s="321"/>
      <c r="O67" s="318"/>
      <c r="P67" s="320"/>
      <c r="Q67" s="318"/>
      <c r="R67" s="322"/>
      <c r="S67" s="318"/>
      <c r="T67" s="327"/>
      <c r="U67" s="307"/>
      <c r="Y67" s="319"/>
      <c r="Z67" s="329"/>
      <c r="AA67" s="321"/>
      <c r="AB67" s="318"/>
      <c r="AC67" s="320"/>
      <c r="AD67" s="318"/>
      <c r="AE67" s="322"/>
      <c r="AF67" s="318"/>
      <c r="AG67" s="327"/>
      <c r="AI67" s="319"/>
      <c r="AJ67" s="329"/>
      <c r="AK67" s="321"/>
      <c r="AL67" s="318"/>
      <c r="AM67" s="320"/>
      <c r="AN67" s="318"/>
      <c r="AO67" s="322"/>
      <c r="AP67" s="318"/>
      <c r="AQ67" s="327"/>
    </row>
    <row r="68" spans="1:43" hidden="1" outlineLevel="1"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Y68" s="307"/>
      <c r="Z68" s="307"/>
      <c r="AA68" s="307"/>
      <c r="AB68" s="307"/>
      <c r="AC68" s="307"/>
      <c r="AD68" s="307"/>
      <c r="AE68" s="307"/>
      <c r="AF68" s="307"/>
      <c r="AG68" s="307"/>
    </row>
    <row r="69" spans="1:43" hidden="1" outlineLevel="1">
      <c r="B69" s="332" t="s">
        <v>63</v>
      </c>
      <c r="C69" s="332" t="s">
        <v>63</v>
      </c>
      <c r="D69" s="332" t="s">
        <v>63</v>
      </c>
      <c r="E69" s="332" t="s">
        <v>63</v>
      </c>
      <c r="F69" s="332" t="s">
        <v>63</v>
      </c>
      <c r="G69" s="332" t="s">
        <v>63</v>
      </c>
      <c r="H69" s="332" t="s">
        <v>63</v>
      </c>
      <c r="I69" s="332" t="s">
        <v>63</v>
      </c>
      <c r="J69" s="332" t="s">
        <v>63</v>
      </c>
      <c r="K69" s="331" t="s">
        <v>63</v>
      </c>
      <c r="L69" s="331" t="s">
        <v>63</v>
      </c>
      <c r="M69" s="331" t="s">
        <v>63</v>
      </c>
      <c r="N69" s="331" t="s">
        <v>63</v>
      </c>
      <c r="O69" s="331" t="s">
        <v>63</v>
      </c>
      <c r="P69" s="331" t="s">
        <v>63</v>
      </c>
      <c r="Q69" s="331" t="s">
        <v>63</v>
      </c>
      <c r="R69" s="331" t="s">
        <v>63</v>
      </c>
      <c r="S69" s="331" t="s">
        <v>63</v>
      </c>
      <c r="T69" s="331" t="s">
        <v>63</v>
      </c>
      <c r="U69" s="331" t="s">
        <v>63</v>
      </c>
      <c r="V69" s="331" t="s">
        <v>63</v>
      </c>
      <c r="W69" s="331" t="s">
        <v>63</v>
      </c>
      <c r="X69" s="331" t="s">
        <v>63</v>
      </c>
      <c r="Y69" s="331" t="s">
        <v>63</v>
      </c>
      <c r="Z69" s="331" t="s">
        <v>63</v>
      </c>
      <c r="AA69" s="331" t="s">
        <v>63</v>
      </c>
      <c r="AB69" s="331" t="s">
        <v>63</v>
      </c>
      <c r="AC69" s="331" t="s">
        <v>63</v>
      </c>
      <c r="AD69" s="331" t="s">
        <v>63</v>
      </c>
      <c r="AE69" s="331" t="s">
        <v>63</v>
      </c>
      <c r="AF69" s="331" t="s">
        <v>63</v>
      </c>
      <c r="AG69" s="331" t="s">
        <v>63</v>
      </c>
      <c r="AH69" s="331" t="s">
        <v>63</v>
      </c>
      <c r="AI69" s="331" t="s">
        <v>63</v>
      </c>
      <c r="AJ69" s="331" t="s">
        <v>63</v>
      </c>
      <c r="AK69" s="331" t="s">
        <v>63</v>
      </c>
      <c r="AL69" s="331" t="s">
        <v>63</v>
      </c>
      <c r="AM69" s="331" t="s">
        <v>63</v>
      </c>
      <c r="AN69" s="331" t="s">
        <v>63</v>
      </c>
      <c r="AO69" s="331" t="s">
        <v>63</v>
      </c>
      <c r="AP69" s="331" t="s">
        <v>63</v>
      </c>
      <c r="AQ69" s="331" t="s">
        <v>63</v>
      </c>
    </row>
    <row r="70" spans="1:43" collapsed="1">
      <c r="A70" s="377" t="s">
        <v>544</v>
      </c>
    </row>
    <row r="71" spans="1:43">
      <c r="A71" s="203"/>
      <c r="B71" s="330"/>
      <c r="C71" s="330"/>
      <c r="D71" s="330"/>
      <c r="E71" s="330"/>
      <c r="F71" s="330"/>
      <c r="G71" s="330"/>
      <c r="H71" s="330"/>
      <c r="I71" s="330"/>
      <c r="J71" s="330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329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</row>
    <row r="72" spans="1:43" hidden="1" outlineLevel="1">
      <c r="A72" s="307"/>
      <c r="B72" s="333" t="s">
        <v>288</v>
      </c>
      <c r="K72" s="307"/>
      <c r="L72" s="328" t="s">
        <v>211</v>
      </c>
      <c r="M72" s="307"/>
      <c r="N72" s="307"/>
      <c r="O72" s="307"/>
      <c r="P72" s="307"/>
      <c r="Q72" s="307"/>
      <c r="R72" s="307"/>
      <c r="S72" s="307"/>
      <c r="T72" s="307"/>
      <c r="U72" s="307"/>
      <c r="V72" s="328"/>
      <c r="W72" s="307"/>
      <c r="X72" s="307"/>
      <c r="Y72" s="328"/>
      <c r="Z72" s="307"/>
      <c r="AA72" s="307"/>
      <c r="AB72" s="307"/>
      <c r="AC72" s="307"/>
      <c r="AD72" s="307"/>
      <c r="AE72" s="307"/>
      <c r="AF72" s="307"/>
      <c r="AG72" s="307"/>
      <c r="AH72" s="307"/>
      <c r="AI72" s="328"/>
      <c r="AJ72" s="307"/>
      <c r="AK72" s="307"/>
      <c r="AL72" s="307"/>
      <c r="AM72" s="307"/>
      <c r="AN72" s="307"/>
      <c r="AO72" s="307"/>
      <c r="AP72" s="307"/>
      <c r="AQ72" s="307"/>
    </row>
    <row r="73" spans="1:43" hidden="1" outlineLevel="1">
      <c r="A73" s="307"/>
      <c r="B73" s="23" t="s">
        <v>212</v>
      </c>
      <c r="C73" s="23" t="s">
        <v>447</v>
      </c>
      <c r="D73" s="23" t="s">
        <v>419</v>
      </c>
      <c r="E73" s="23" t="s">
        <v>446</v>
      </c>
      <c r="F73" s="23" t="s">
        <v>420</v>
      </c>
      <c r="G73" s="23" t="s">
        <v>161</v>
      </c>
      <c r="H73" s="23" t="s">
        <v>451</v>
      </c>
      <c r="I73" s="23" t="s">
        <v>446</v>
      </c>
      <c r="J73" s="23" t="s">
        <v>450</v>
      </c>
      <c r="K73" s="307"/>
      <c r="L73" s="23" t="s">
        <v>212</v>
      </c>
      <c r="M73" s="23" t="s">
        <v>447</v>
      </c>
      <c r="N73" s="23" t="s">
        <v>419</v>
      </c>
      <c r="O73" s="23" t="s">
        <v>446</v>
      </c>
      <c r="P73" s="23" t="s">
        <v>420</v>
      </c>
      <c r="Q73" s="23" t="s">
        <v>161</v>
      </c>
      <c r="R73" s="23" t="s">
        <v>451</v>
      </c>
      <c r="S73" s="23" t="s">
        <v>446</v>
      </c>
      <c r="T73" s="23" t="s">
        <v>450</v>
      </c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  <c r="AG73" s="307"/>
      <c r="AH73" s="307"/>
      <c r="AI73" s="307"/>
      <c r="AJ73" s="307"/>
      <c r="AK73" s="307"/>
      <c r="AL73" s="307"/>
      <c r="AM73" s="307"/>
      <c r="AN73" s="307"/>
      <c r="AO73" s="307"/>
      <c r="AP73" s="307"/>
      <c r="AQ73" s="307"/>
    </row>
    <row r="74" spans="1:43" hidden="1" outlineLevel="1">
      <c r="A74" s="307"/>
      <c r="B74" s="319" t="s">
        <v>382</v>
      </c>
      <c r="C74" s="319" t="s">
        <v>521</v>
      </c>
      <c r="D74" s="321" t="s">
        <v>63</v>
      </c>
      <c r="E74" s="318" t="str">
        <f>IF(ISBLANK(D74),Settings.BloombergPCS,D74)</f>
        <v xml:space="preserve"> </v>
      </c>
      <c r="F74" s="320" t="s">
        <v>422</v>
      </c>
      <c r="G74" s="318" t="str">
        <f>C74&amp;" "&amp;E74&amp;" "&amp;F74</f>
        <v>ADFR0AG   Curncy</v>
      </c>
      <c r="H74" s="322"/>
      <c r="I74" s="318" t="str">
        <f>IF(ISBLANK(H74),Settings.CurveSide.MidBidAsk,'AUD CURVE TICKERS'!H74)</f>
        <v>PX_MID</v>
      </c>
      <c r="J74" s="327">
        <f>IF(Settings.isCOBToday,_xll.BDP(G74,'AUD CURVE TICKERS'!I74),_xll.BDH(G74,'AUD CURVE TICKERS'!I74,Settings.COB,Settings.COB))</f>
        <v>2.1589999999999998</v>
      </c>
      <c r="K74" s="307"/>
      <c r="L74" s="319" t="s">
        <v>196</v>
      </c>
      <c r="M74" s="329" t="s">
        <v>530</v>
      </c>
      <c r="N74" s="321" t="s">
        <v>63</v>
      </c>
      <c r="O74" s="318" t="str">
        <f t="shared" ref="O74:O88" si="10">IF(ISBLANK(N74),Settings.BloombergPCS,N74)</f>
        <v xml:space="preserve"> </v>
      </c>
      <c r="P74" s="320" t="s">
        <v>422</v>
      </c>
      <c r="Q74" s="318" t="str">
        <f t="shared" ref="Q74:Q88" si="11">M74&amp;" "&amp;O74&amp;" "&amp;P74</f>
        <v>ADSW1   Curncy</v>
      </c>
      <c r="R74" s="322"/>
      <c r="S74" s="318" t="str">
        <f>IF(ISBLANK(R74),Settings.CurveSide.MidBidAsk,'AUD CURVE TICKERS'!R74)</f>
        <v>PX_MID</v>
      </c>
      <c r="T74" s="327">
        <f>IF(Settings.isCOBToday,_xll.BDP(Q74,'AUD CURVE TICKERS'!S74),_xll.BDH(Q74,'AUD CURVE TICKERS'!S74,Settings.COB,Settings.COB))</f>
        <v>2.1825000000000001</v>
      </c>
      <c r="U74" s="307"/>
      <c r="V74" s="307"/>
      <c r="W74" s="307"/>
      <c r="X74" s="307"/>
      <c r="Y74" s="307"/>
      <c r="Z74" s="307"/>
      <c r="AA74" s="307"/>
      <c r="AB74" s="307"/>
      <c r="AC74" s="307"/>
      <c r="AD74" s="307"/>
      <c r="AE74" s="307"/>
      <c r="AF74" s="307"/>
      <c r="AG74" s="307"/>
      <c r="AH74" s="307"/>
      <c r="AI74" s="307"/>
      <c r="AJ74" s="307"/>
      <c r="AK74" s="307"/>
      <c r="AL74" s="307"/>
      <c r="AM74" s="307"/>
      <c r="AN74" s="307"/>
      <c r="AO74" s="307"/>
      <c r="AP74" s="307"/>
      <c r="AQ74" s="307"/>
    </row>
    <row r="75" spans="1:43" hidden="1" outlineLevel="1">
      <c r="A75" s="307"/>
      <c r="B75" s="319" t="s">
        <v>383</v>
      </c>
      <c r="C75" s="319" t="s">
        <v>522</v>
      </c>
      <c r="D75" s="321" t="s">
        <v>63</v>
      </c>
      <c r="E75" s="318" t="str">
        <f>IF(ISBLANK(D75),Settings.BloombergPCS,D75)</f>
        <v xml:space="preserve"> </v>
      </c>
      <c r="F75" s="320" t="s">
        <v>422</v>
      </c>
      <c r="G75" s="318" t="str">
        <f>C75&amp;" "&amp;E75&amp;" "&amp;F75</f>
        <v>ADFR0BH   Curncy</v>
      </c>
      <c r="H75" s="322"/>
      <c r="I75" s="318" t="str">
        <f>IF(ISBLANK(H75),Settings.CurveSide.MidBidAsk,'AUD CURVE TICKERS'!H75)</f>
        <v>PX_MID</v>
      </c>
      <c r="J75" s="327">
        <f>IF(Settings.isCOBToday,_xll.BDP(G75,'AUD CURVE TICKERS'!I75),_xll.BDH(G75,'AUD CURVE TICKERS'!I75,Settings.COB,Settings.COB))</f>
        <v>2.1459999999999999</v>
      </c>
      <c r="K75" s="307"/>
      <c r="L75" s="319" t="s">
        <v>181</v>
      </c>
      <c r="M75" s="329" t="s">
        <v>531</v>
      </c>
      <c r="N75" s="321" t="s">
        <v>63</v>
      </c>
      <c r="O75" s="318" t="str">
        <f t="shared" si="10"/>
        <v xml:space="preserve"> </v>
      </c>
      <c r="P75" s="320" t="s">
        <v>422</v>
      </c>
      <c r="Q75" s="318" t="str">
        <f t="shared" si="11"/>
        <v>ADSW2   Curncy</v>
      </c>
      <c r="R75" s="322"/>
      <c r="S75" s="318" t="str">
        <f>IF(ISBLANK(R75),Settings.CurveSide.MidBidAsk,'AUD CURVE TICKERS'!R75)</f>
        <v>PX_MID</v>
      </c>
      <c r="T75" s="327">
        <f>IF(Settings.isCOBToday,_xll.BDP(Q75,'AUD CURVE TICKERS'!S75),_xll.BDH(Q75,'AUD CURVE TICKERS'!S75,Settings.COB,Settings.COB))</f>
        <v>2.2349999999999999</v>
      </c>
      <c r="U75" s="307"/>
      <c r="V75" s="307"/>
      <c r="W75" s="307"/>
      <c r="X75" s="307"/>
      <c r="Y75" s="307"/>
      <c r="Z75" s="307"/>
      <c r="AA75" s="307"/>
      <c r="AB75" s="307"/>
      <c r="AC75" s="307"/>
      <c r="AD75" s="307"/>
      <c r="AE75" s="307"/>
      <c r="AF75" s="307"/>
      <c r="AG75" s="307"/>
      <c r="AH75" s="307"/>
      <c r="AI75" s="307"/>
      <c r="AJ75" s="307"/>
      <c r="AK75" s="307"/>
      <c r="AL75" s="307"/>
      <c r="AM75" s="307"/>
      <c r="AN75" s="307"/>
      <c r="AO75" s="307"/>
      <c r="AP75" s="307"/>
      <c r="AQ75" s="307"/>
    </row>
    <row r="76" spans="1:43" hidden="1" outlineLevel="1">
      <c r="A76" s="307"/>
      <c r="B76" s="319" t="s">
        <v>384</v>
      </c>
      <c r="C76" s="319" t="s">
        <v>523</v>
      </c>
      <c r="D76" s="321" t="s">
        <v>63</v>
      </c>
      <c r="E76" s="318" t="str">
        <f>IF(ISBLANK(D76),Settings.BloombergPCS,D76)</f>
        <v xml:space="preserve"> </v>
      </c>
      <c r="F76" s="320" t="s">
        <v>422</v>
      </c>
      <c r="G76" s="318" t="str">
        <f>C76&amp;" "&amp;E76&amp;" "&amp;F76</f>
        <v>ADFR0CI   Curncy</v>
      </c>
      <c r="H76" s="322"/>
      <c r="I76" s="318" t="str">
        <f>IF(ISBLANK(H76),Settings.CurveSide.MidBidAsk,'AUD CURVE TICKERS'!H76)</f>
        <v>PX_MID</v>
      </c>
      <c r="J76" s="327">
        <f>IF(Settings.isCOBToday,_xll.BDP(G76,'AUD CURVE TICKERS'!I76),_xll.BDH(G76,'AUD CURVE TICKERS'!I76,Settings.COB,Settings.COB))</f>
        <v>2.1440000000000001</v>
      </c>
      <c r="K76" s="307"/>
      <c r="L76" s="319" t="s">
        <v>182</v>
      </c>
      <c r="M76" s="329" t="s">
        <v>532</v>
      </c>
      <c r="N76" s="321" t="s">
        <v>63</v>
      </c>
      <c r="O76" s="318" t="str">
        <f t="shared" si="10"/>
        <v xml:space="preserve"> </v>
      </c>
      <c r="P76" s="320" t="s">
        <v>422</v>
      </c>
      <c r="Q76" s="318" t="str">
        <f t="shared" si="11"/>
        <v>ADSW3    Curncy</v>
      </c>
      <c r="R76" s="322"/>
      <c r="S76" s="318" t="str">
        <f>IF(ISBLANK(R76),Settings.CurveSide.MidBidAsk,'AUD CURVE TICKERS'!R76)</f>
        <v>PX_MID</v>
      </c>
      <c r="T76" s="327">
        <f>IF(Settings.isCOBToday,_xll.BDP(Q76,'AUD CURVE TICKERS'!S76),_xll.BDH(Q76,'AUD CURVE TICKERS'!S76,Settings.COB,Settings.COB))</f>
        <v>2.3050000000000002</v>
      </c>
      <c r="U76" s="307"/>
      <c r="V76" s="307"/>
      <c r="W76" s="307"/>
      <c r="X76" s="307"/>
      <c r="Y76" s="307"/>
      <c r="Z76" s="307"/>
      <c r="AA76" s="307"/>
      <c r="AB76" s="307"/>
      <c r="AC76" s="307"/>
      <c r="AD76" s="307"/>
      <c r="AE76" s="307"/>
      <c r="AF76" s="307"/>
      <c r="AG76" s="307"/>
      <c r="AH76" s="307"/>
      <c r="AI76" s="307"/>
      <c r="AJ76" s="307"/>
      <c r="AK76" s="307"/>
      <c r="AL76" s="307"/>
      <c r="AM76" s="307"/>
      <c r="AN76" s="307"/>
      <c r="AO76" s="307"/>
      <c r="AP76" s="307"/>
      <c r="AQ76" s="307"/>
    </row>
    <row r="77" spans="1:43" hidden="1" outlineLevel="1">
      <c r="A77" s="307"/>
      <c r="B77" s="319"/>
      <c r="C77" s="319"/>
      <c r="D77" s="321"/>
      <c r="E77" s="318"/>
      <c r="F77" s="320"/>
      <c r="G77" s="318"/>
      <c r="H77" s="322"/>
      <c r="I77" s="318"/>
      <c r="J77" s="327"/>
      <c r="K77" s="307"/>
      <c r="L77" s="319" t="s">
        <v>183</v>
      </c>
      <c r="M77" s="329" t="s">
        <v>484</v>
      </c>
      <c r="N77" s="321"/>
      <c r="O77" s="318" t="str">
        <f t="shared" si="10"/>
        <v>BGN</v>
      </c>
      <c r="P77" s="320" t="s">
        <v>422</v>
      </c>
      <c r="Q77" s="318" t="str">
        <f t="shared" si="11"/>
        <v>ADSW4 BGN Curncy</v>
      </c>
      <c r="R77" s="322"/>
      <c r="S77" s="318" t="str">
        <f>IF(ISBLANK(R77),Settings.CurveSide.MidBidAsk,'AUD CURVE TICKERS'!R77)</f>
        <v>PX_MID</v>
      </c>
      <c r="T77" s="327">
        <f>IF(Settings.isCOBToday,_xll.BDP(Q77,'AUD CURVE TICKERS'!S77),_xll.BDH(Q77,'AUD CURVE TICKERS'!S77,Settings.COB,Settings.COB))</f>
        <v>2.3937499999999998</v>
      </c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7"/>
      <c r="AH77" s="307"/>
      <c r="AI77" s="307"/>
      <c r="AJ77" s="307"/>
      <c r="AK77" s="307"/>
      <c r="AL77" s="307"/>
      <c r="AM77" s="307"/>
      <c r="AN77" s="307"/>
      <c r="AO77" s="307"/>
      <c r="AP77" s="307"/>
      <c r="AQ77" s="307"/>
    </row>
    <row r="78" spans="1:43" hidden="1" outlineLevel="1">
      <c r="A78" s="307"/>
      <c r="B78" s="319"/>
      <c r="C78" s="319"/>
      <c r="D78" s="321"/>
      <c r="E78" s="318"/>
      <c r="F78" s="320"/>
      <c r="G78" s="318"/>
      <c r="H78" s="322"/>
      <c r="I78" s="318"/>
      <c r="J78" s="327"/>
      <c r="K78" s="307"/>
      <c r="L78" s="319" t="s">
        <v>184</v>
      </c>
      <c r="M78" s="329" t="s">
        <v>485</v>
      </c>
      <c r="N78" s="321"/>
      <c r="O78" s="318" t="str">
        <f t="shared" si="10"/>
        <v>BGN</v>
      </c>
      <c r="P78" s="320" t="s">
        <v>422</v>
      </c>
      <c r="Q78" s="318" t="str">
        <f t="shared" si="11"/>
        <v>ADSW5 BGN Curncy</v>
      </c>
      <c r="R78" s="322"/>
      <c r="S78" s="318" t="str">
        <f>IF(ISBLANK(R78),Settings.CurveSide.MidBidAsk,'AUD CURVE TICKERS'!R78)</f>
        <v>PX_MID</v>
      </c>
      <c r="T78" s="327">
        <f>IF(Settings.isCOBToday,_xll.BDP(Q78,'AUD CURVE TICKERS'!S78),_xll.BDH(Q78,'AUD CURVE TICKERS'!S78,Settings.COB,Settings.COB))</f>
        <v>2.4860000000000002</v>
      </c>
      <c r="U78" s="307"/>
      <c r="V78" s="307"/>
      <c r="W78" s="307"/>
      <c r="X78" s="307"/>
      <c r="Y78" s="307"/>
      <c r="Z78" s="307"/>
      <c r="AA78" s="307"/>
      <c r="AB78" s="307"/>
      <c r="AC78" s="307"/>
      <c r="AD78" s="307"/>
      <c r="AE78" s="307"/>
      <c r="AF78" s="307"/>
      <c r="AG78" s="307"/>
      <c r="AH78" s="307"/>
      <c r="AI78" s="307"/>
      <c r="AJ78" s="307"/>
      <c r="AK78" s="307"/>
      <c r="AL78" s="307"/>
      <c r="AM78" s="307"/>
      <c r="AN78" s="307"/>
      <c r="AO78" s="307"/>
      <c r="AP78" s="307"/>
      <c r="AQ78" s="307"/>
    </row>
    <row r="79" spans="1:43" hidden="1" outlineLevel="1">
      <c r="A79" s="307"/>
      <c r="B79" s="319"/>
      <c r="C79" s="319"/>
      <c r="D79" s="321"/>
      <c r="E79" s="318"/>
      <c r="F79" s="320"/>
      <c r="G79" s="318"/>
      <c r="H79" s="322"/>
      <c r="I79" s="318"/>
      <c r="J79" s="327"/>
      <c r="K79" s="307"/>
      <c r="L79" s="319" t="s">
        <v>185</v>
      </c>
      <c r="M79" s="329" t="s">
        <v>486</v>
      </c>
      <c r="N79" s="321"/>
      <c r="O79" s="318" t="str">
        <f t="shared" si="10"/>
        <v>BGN</v>
      </c>
      <c r="P79" s="320" t="s">
        <v>422</v>
      </c>
      <c r="Q79" s="318" t="str">
        <f t="shared" si="11"/>
        <v>ADSW6 BGN Curncy</v>
      </c>
      <c r="R79" s="322"/>
      <c r="S79" s="318" t="str">
        <f>IF(ISBLANK(R79),Settings.CurveSide.MidBidAsk,'AUD CURVE TICKERS'!R79)</f>
        <v>PX_MID</v>
      </c>
      <c r="T79" s="327">
        <f>IF(Settings.isCOBToday,_xll.BDP(Q79,'AUD CURVE TICKERS'!S79),_xll.BDH(Q79,'AUD CURVE TICKERS'!S79,Settings.COB,Settings.COB))</f>
        <v>2.5674999999999999</v>
      </c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7"/>
      <c r="AH79" s="307"/>
      <c r="AI79" s="307"/>
      <c r="AJ79" s="307"/>
      <c r="AK79" s="307"/>
      <c r="AL79" s="307"/>
      <c r="AM79" s="307"/>
      <c r="AN79" s="307"/>
      <c r="AO79" s="307"/>
      <c r="AP79" s="307"/>
      <c r="AQ79" s="307"/>
    </row>
    <row r="80" spans="1:43" hidden="1" outlineLevel="1">
      <c r="A80" s="307"/>
      <c r="B80" s="319"/>
      <c r="C80" s="319"/>
      <c r="D80" s="321"/>
      <c r="E80" s="318"/>
      <c r="F80" s="320"/>
      <c r="G80" s="318"/>
      <c r="H80" s="322"/>
      <c r="I80" s="318"/>
      <c r="J80" s="327"/>
      <c r="K80" s="307"/>
      <c r="L80" s="319" t="s">
        <v>186</v>
      </c>
      <c r="M80" s="329" t="s">
        <v>487</v>
      </c>
      <c r="N80" s="321"/>
      <c r="O80" s="318" t="str">
        <f t="shared" si="10"/>
        <v>BGN</v>
      </c>
      <c r="P80" s="320" t="s">
        <v>422</v>
      </c>
      <c r="Q80" s="318" t="str">
        <f t="shared" si="11"/>
        <v>ADSW7 BGN Curncy</v>
      </c>
      <c r="R80" s="322"/>
      <c r="S80" s="318" t="str">
        <f>IF(ISBLANK(R80),Settings.CurveSide.MidBidAsk,'AUD CURVE TICKERS'!R80)</f>
        <v>PX_MID</v>
      </c>
      <c r="T80" s="327">
        <f>IF(Settings.isCOBToday,_xll.BDP(Q80,'AUD CURVE TICKERS'!S80),_xll.BDH(Q80,'AUD CURVE TICKERS'!S80,Settings.COB,Settings.COB))</f>
        <v>2.64</v>
      </c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  <c r="AE80" s="307"/>
      <c r="AF80" s="307"/>
      <c r="AG80" s="307"/>
      <c r="AH80" s="307"/>
      <c r="AI80" s="307"/>
      <c r="AJ80" s="307"/>
      <c r="AK80" s="307"/>
      <c r="AL80" s="307"/>
      <c r="AM80" s="307"/>
      <c r="AN80" s="307"/>
      <c r="AO80" s="307"/>
      <c r="AP80" s="307"/>
      <c r="AQ80" s="307"/>
    </row>
    <row r="81" spans="1:43" hidden="1" outlineLevel="1">
      <c r="A81" s="307"/>
      <c r="B81" s="319"/>
      <c r="C81" s="319"/>
      <c r="D81" s="321"/>
      <c r="E81" s="318"/>
      <c r="F81" s="320"/>
      <c r="G81" s="318"/>
      <c r="H81" s="322"/>
      <c r="I81" s="318"/>
      <c r="J81" s="327"/>
      <c r="K81" s="307"/>
      <c r="L81" s="319" t="s">
        <v>187</v>
      </c>
      <c r="M81" s="329" t="s">
        <v>488</v>
      </c>
      <c r="N81" s="321"/>
      <c r="O81" s="318" t="str">
        <f t="shared" si="10"/>
        <v>BGN</v>
      </c>
      <c r="P81" s="320" t="s">
        <v>422</v>
      </c>
      <c r="Q81" s="318" t="str">
        <f t="shared" si="11"/>
        <v>ADSW8 BGN Curncy</v>
      </c>
      <c r="R81" s="322"/>
      <c r="S81" s="318" t="str">
        <f>IF(ISBLANK(R81),Settings.CurveSide.MidBidAsk,'AUD CURVE TICKERS'!R81)</f>
        <v>PX_MID</v>
      </c>
      <c r="T81" s="327">
        <f>IF(Settings.isCOBToday,_xll.BDP(Q81,'AUD CURVE TICKERS'!S81),_xll.BDH(Q81,'AUD CURVE TICKERS'!S81,Settings.COB,Settings.COB))</f>
        <v>2.7050000000000001</v>
      </c>
      <c r="U81" s="307"/>
      <c r="V81" s="307"/>
      <c r="W81" s="307"/>
      <c r="X81" s="307"/>
      <c r="Y81" s="307"/>
      <c r="Z81" s="307"/>
      <c r="AA81" s="307"/>
      <c r="AB81" s="307"/>
      <c r="AC81" s="307"/>
      <c r="AD81" s="307"/>
      <c r="AE81" s="307"/>
      <c r="AF81" s="307"/>
      <c r="AG81" s="307"/>
      <c r="AH81" s="307"/>
      <c r="AI81" s="307"/>
      <c r="AJ81" s="307"/>
      <c r="AK81" s="307"/>
      <c r="AL81" s="307"/>
      <c r="AM81" s="307"/>
      <c r="AN81" s="307"/>
      <c r="AO81" s="307"/>
      <c r="AP81" s="307"/>
      <c r="AQ81" s="307"/>
    </row>
    <row r="82" spans="1:43" hidden="1" outlineLevel="1">
      <c r="A82" s="307"/>
      <c r="B82" s="319"/>
      <c r="C82" s="319"/>
      <c r="D82" s="321"/>
      <c r="E82" s="318"/>
      <c r="F82" s="320"/>
      <c r="G82" s="318"/>
      <c r="H82" s="322"/>
      <c r="I82" s="318"/>
      <c r="J82" s="327"/>
      <c r="K82" s="307"/>
      <c r="L82" s="319" t="s">
        <v>188</v>
      </c>
      <c r="M82" s="329" t="s">
        <v>489</v>
      </c>
      <c r="N82" s="321"/>
      <c r="O82" s="318" t="str">
        <f t="shared" si="10"/>
        <v>BGN</v>
      </c>
      <c r="P82" s="320" t="s">
        <v>422</v>
      </c>
      <c r="Q82" s="318" t="str">
        <f t="shared" si="11"/>
        <v>ADSW9 BGN Curncy</v>
      </c>
      <c r="R82" s="322"/>
      <c r="S82" s="318" t="str">
        <f>IF(ISBLANK(R82),Settings.CurveSide.MidBidAsk,'AUD CURVE TICKERS'!R82)</f>
        <v>PX_MID</v>
      </c>
      <c r="T82" s="327">
        <f>IF(Settings.isCOBToday,_xll.BDP(Q82,'AUD CURVE TICKERS'!S82),_xll.BDH(Q82,'AUD CURVE TICKERS'!S82,Settings.COB,Settings.COB))</f>
        <v>2.7574999999999998</v>
      </c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  <c r="AG82" s="307"/>
      <c r="AH82" s="307"/>
      <c r="AI82" s="307"/>
      <c r="AJ82" s="307"/>
      <c r="AK82" s="307"/>
      <c r="AL82" s="307"/>
      <c r="AM82" s="307"/>
      <c r="AN82" s="307"/>
      <c r="AO82" s="307"/>
      <c r="AP82" s="307"/>
      <c r="AQ82" s="307"/>
    </row>
    <row r="83" spans="1:43" hidden="1" outlineLevel="1">
      <c r="A83" s="307"/>
      <c r="B83" s="319"/>
      <c r="C83" s="319"/>
      <c r="D83" s="321"/>
      <c r="E83" s="318"/>
      <c r="F83" s="320"/>
      <c r="G83" s="318"/>
      <c r="H83" s="322"/>
      <c r="I83" s="318"/>
      <c r="J83" s="327"/>
      <c r="K83" s="307"/>
      <c r="L83" s="319" t="s">
        <v>190</v>
      </c>
      <c r="M83" s="329" t="s">
        <v>490</v>
      </c>
      <c r="N83" s="321"/>
      <c r="O83" s="318" t="str">
        <f t="shared" si="10"/>
        <v>BGN</v>
      </c>
      <c r="P83" s="320" t="s">
        <v>422</v>
      </c>
      <c r="Q83" s="318" t="str">
        <f t="shared" si="11"/>
        <v>ADSW10 BGN Curncy</v>
      </c>
      <c r="R83" s="322"/>
      <c r="S83" s="318" t="str">
        <f>IF(ISBLANK(R83),Settings.CurveSide.MidBidAsk,'AUD CURVE TICKERS'!R83)</f>
        <v>PX_MID</v>
      </c>
      <c r="T83" s="327">
        <f>IF(Settings.isCOBToday,_xll.BDP(Q83,'AUD CURVE TICKERS'!S83),_xll.BDH(Q83,'AUD CURVE TICKERS'!S83,Settings.COB,Settings.COB))</f>
        <v>2.8065000000000002</v>
      </c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307"/>
      <c r="AH83" s="307"/>
      <c r="AI83" s="307"/>
      <c r="AJ83" s="307"/>
      <c r="AK83" s="307"/>
      <c r="AL83" s="307"/>
      <c r="AM83" s="307"/>
      <c r="AN83" s="307"/>
      <c r="AO83" s="307"/>
      <c r="AP83" s="307"/>
      <c r="AQ83" s="307"/>
    </row>
    <row r="84" spans="1:43" hidden="1" outlineLevel="1">
      <c r="A84" s="307"/>
      <c r="B84" s="319"/>
      <c r="C84" s="319"/>
      <c r="D84" s="321"/>
      <c r="E84" s="318"/>
      <c r="F84" s="320"/>
      <c r="G84" s="318"/>
      <c r="H84" s="322"/>
      <c r="I84" s="318"/>
      <c r="J84" s="327"/>
      <c r="K84" s="307"/>
      <c r="L84" s="319" t="s">
        <v>189</v>
      </c>
      <c r="M84" s="329" t="s">
        <v>533</v>
      </c>
      <c r="N84" s="321"/>
      <c r="O84" s="318" t="str">
        <f t="shared" si="10"/>
        <v>BGN</v>
      </c>
      <c r="P84" s="320" t="s">
        <v>422</v>
      </c>
      <c r="Q84" s="318" t="str">
        <f t="shared" si="11"/>
        <v>ADSW12 BGN Curncy</v>
      </c>
      <c r="R84" s="322"/>
      <c r="S84" s="318" t="str">
        <f>IF(ISBLANK(R84),Settings.CurveSide.MidBidAsk,'AUD CURVE TICKERS'!R84)</f>
        <v>PX_MID</v>
      </c>
      <c r="T84" s="327">
        <f>IF(Settings.isCOBToday,_xll.BDP(Q84,'AUD CURVE TICKERS'!S84),_xll.BDH(Q84,'AUD CURVE TICKERS'!S84,Settings.COB,Settings.COB))</f>
        <v>2.89</v>
      </c>
      <c r="U84" s="307"/>
      <c r="V84" s="307"/>
      <c r="W84" s="307"/>
      <c r="X84" s="307"/>
      <c r="Y84" s="307"/>
      <c r="Z84" s="307"/>
      <c r="AA84" s="307"/>
      <c r="AB84" s="307"/>
      <c r="AC84" s="307"/>
      <c r="AD84" s="307"/>
      <c r="AE84" s="307"/>
      <c r="AF84" s="307"/>
      <c r="AG84" s="307"/>
      <c r="AH84" s="307"/>
      <c r="AI84" s="307"/>
      <c r="AJ84" s="307"/>
      <c r="AK84" s="307"/>
      <c r="AL84" s="307"/>
      <c r="AM84" s="307"/>
      <c r="AN84" s="307"/>
      <c r="AO84" s="307"/>
      <c r="AP84" s="307"/>
      <c r="AQ84" s="307"/>
    </row>
    <row r="85" spans="1:43" hidden="1" outlineLevel="1">
      <c r="A85" s="307"/>
      <c r="B85" s="319"/>
      <c r="C85" s="319"/>
      <c r="D85" s="321"/>
      <c r="E85" s="318"/>
      <c r="F85" s="320"/>
      <c r="G85" s="318"/>
      <c r="H85" s="322"/>
      <c r="I85" s="318"/>
      <c r="J85" s="327"/>
      <c r="K85" s="307"/>
      <c r="L85" s="319" t="s">
        <v>191</v>
      </c>
      <c r="M85" s="329" t="s">
        <v>491</v>
      </c>
      <c r="N85" s="321"/>
      <c r="O85" s="318" t="str">
        <f t="shared" si="10"/>
        <v>BGN</v>
      </c>
      <c r="P85" s="320" t="s">
        <v>422</v>
      </c>
      <c r="Q85" s="318" t="str">
        <f t="shared" si="11"/>
        <v>ADSW15 BGN Curncy</v>
      </c>
      <c r="R85" s="322"/>
      <c r="S85" s="318" t="str">
        <f>IF(ISBLANK(R85),Settings.CurveSide.MidBidAsk,'AUD CURVE TICKERS'!R85)</f>
        <v>PX_MID</v>
      </c>
      <c r="T85" s="327">
        <f>IF(Settings.isCOBToday,_xll.BDP(Q85,'AUD CURVE TICKERS'!S85),_xll.BDH(Q85,'AUD CURVE TICKERS'!S85,Settings.COB,Settings.COB))</f>
        <v>2.9729999999999999</v>
      </c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7"/>
      <c r="AH85" s="307"/>
      <c r="AI85" s="307"/>
      <c r="AJ85" s="307"/>
      <c r="AK85" s="307"/>
      <c r="AL85" s="307"/>
      <c r="AM85" s="307"/>
      <c r="AN85" s="307"/>
      <c r="AO85" s="307"/>
      <c r="AP85" s="307"/>
      <c r="AQ85" s="307"/>
    </row>
    <row r="86" spans="1:43" hidden="1" outlineLevel="1">
      <c r="A86" s="307"/>
      <c r="B86" s="319"/>
      <c r="C86" s="319"/>
      <c r="D86" s="321"/>
      <c r="E86" s="318"/>
      <c r="F86" s="320"/>
      <c r="G86" s="318"/>
      <c r="H86" s="322"/>
      <c r="I86" s="318"/>
      <c r="J86" s="327"/>
      <c r="K86" s="307"/>
      <c r="L86" s="319" t="s">
        <v>192</v>
      </c>
      <c r="M86" s="329" t="s">
        <v>492</v>
      </c>
      <c r="N86" s="321"/>
      <c r="O86" s="318" t="str">
        <f t="shared" si="10"/>
        <v>BGN</v>
      </c>
      <c r="P86" s="320" t="s">
        <v>422</v>
      </c>
      <c r="Q86" s="318" t="str">
        <f t="shared" si="11"/>
        <v>ADSW20 BGN Curncy</v>
      </c>
      <c r="R86" s="322"/>
      <c r="S86" s="318" t="str">
        <f>IF(ISBLANK(R86),Settings.CurveSide.MidBidAsk,'AUD CURVE TICKERS'!R86)</f>
        <v>PX_MID</v>
      </c>
      <c r="T86" s="327">
        <f>IF(Settings.isCOBToday,_xll.BDP(Q86,'AUD CURVE TICKERS'!S86),_xll.BDH(Q86,'AUD CURVE TICKERS'!S86,Settings.COB,Settings.COB))</f>
        <v>3.0249999999999999</v>
      </c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7"/>
      <c r="AF86" s="307"/>
      <c r="AG86" s="307"/>
      <c r="AH86" s="307"/>
      <c r="AI86" s="307"/>
      <c r="AJ86" s="307"/>
      <c r="AK86" s="307"/>
      <c r="AL86" s="307"/>
      <c r="AM86" s="307"/>
      <c r="AN86" s="307"/>
      <c r="AO86" s="307"/>
      <c r="AP86" s="307"/>
      <c r="AQ86" s="307"/>
    </row>
    <row r="87" spans="1:43" hidden="1" outlineLevel="1">
      <c r="A87" s="307"/>
      <c r="B87" s="319"/>
      <c r="C87" s="319"/>
      <c r="D87" s="321"/>
      <c r="E87" s="318"/>
      <c r="F87" s="320"/>
      <c r="G87" s="318"/>
      <c r="H87" s="322"/>
      <c r="I87" s="318"/>
      <c r="J87" s="327"/>
      <c r="K87" s="307"/>
      <c r="L87" s="319" t="s">
        <v>193</v>
      </c>
      <c r="M87" s="329" t="s">
        <v>493</v>
      </c>
      <c r="N87" s="321"/>
      <c r="O87" s="318" t="str">
        <f t="shared" si="10"/>
        <v>BGN</v>
      </c>
      <c r="P87" s="320" t="s">
        <v>422</v>
      </c>
      <c r="Q87" s="318" t="str">
        <f t="shared" si="11"/>
        <v>ADSW25 BGN Curncy</v>
      </c>
      <c r="R87" s="322"/>
      <c r="S87" s="318" t="str">
        <f>IF(ISBLANK(R87),Settings.CurveSide.MidBidAsk,'AUD CURVE TICKERS'!R87)</f>
        <v>PX_MID</v>
      </c>
      <c r="T87" s="327">
        <f>IF(Settings.isCOBToday,_xll.BDP(Q87,'AUD CURVE TICKERS'!S87),_xll.BDH(Q87,'AUD CURVE TICKERS'!S87,Settings.COB,Settings.COB))</f>
        <v>3.0237500000000002</v>
      </c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7"/>
      <c r="AG87" s="307"/>
      <c r="AH87" s="307"/>
      <c r="AI87" s="307"/>
      <c r="AJ87" s="307"/>
      <c r="AK87" s="307"/>
      <c r="AL87" s="307"/>
      <c r="AM87" s="307"/>
      <c r="AN87" s="307"/>
      <c r="AO87" s="307"/>
      <c r="AP87" s="307"/>
      <c r="AQ87" s="307"/>
    </row>
    <row r="88" spans="1:43" hidden="1" outlineLevel="1">
      <c r="A88" s="307"/>
      <c r="B88" s="319"/>
      <c r="C88" s="319"/>
      <c r="D88" s="321"/>
      <c r="E88" s="318"/>
      <c r="F88" s="320"/>
      <c r="G88" s="318"/>
      <c r="H88" s="322"/>
      <c r="I88" s="318"/>
      <c r="J88" s="327"/>
      <c r="K88" s="307"/>
      <c r="L88" s="319" t="s">
        <v>194</v>
      </c>
      <c r="M88" s="329" t="s">
        <v>494</v>
      </c>
      <c r="N88" s="321"/>
      <c r="O88" s="318" t="str">
        <f t="shared" si="10"/>
        <v>BGN</v>
      </c>
      <c r="P88" s="320" t="s">
        <v>422</v>
      </c>
      <c r="Q88" s="318" t="str">
        <f t="shared" si="11"/>
        <v>ADSW30 BGN Curncy</v>
      </c>
      <c r="R88" s="322"/>
      <c r="S88" s="318" t="str">
        <f>IF(ISBLANK(R88),Settings.CurveSide.MidBidAsk,'AUD CURVE TICKERS'!R88)</f>
        <v>PX_MID</v>
      </c>
      <c r="T88" s="327">
        <f>IF(Settings.isCOBToday,_xll.BDP(Q88,'AUD CURVE TICKERS'!S88),_xll.BDH(Q88,'AUD CURVE TICKERS'!S88,Settings.COB,Settings.COB))</f>
        <v>2.9962499999999999</v>
      </c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7"/>
      <c r="AH88" s="307"/>
      <c r="AI88" s="307"/>
      <c r="AJ88" s="307"/>
      <c r="AK88" s="307"/>
      <c r="AL88" s="307"/>
      <c r="AM88" s="307"/>
      <c r="AN88" s="307"/>
      <c r="AO88" s="307"/>
      <c r="AP88" s="307"/>
      <c r="AQ88" s="307"/>
    </row>
    <row r="89" spans="1:43" hidden="1" outlineLevel="1">
      <c r="A89" s="307"/>
      <c r="B89" s="319"/>
      <c r="C89" s="319"/>
      <c r="D89" s="321"/>
      <c r="E89" s="318"/>
      <c r="F89" s="320"/>
      <c r="G89" s="318"/>
      <c r="H89" s="322"/>
      <c r="I89" s="318"/>
      <c r="J89" s="327"/>
      <c r="K89" s="307"/>
      <c r="L89" s="319"/>
      <c r="M89" s="329"/>
      <c r="N89" s="321"/>
      <c r="O89" s="318"/>
      <c r="P89" s="320"/>
      <c r="Q89" s="318"/>
      <c r="R89" s="322"/>
      <c r="S89" s="318"/>
      <c r="T89" s="32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7"/>
      <c r="AH89" s="307"/>
      <c r="AI89" s="307"/>
      <c r="AJ89" s="307"/>
      <c r="AK89" s="307"/>
      <c r="AL89" s="307"/>
      <c r="AM89" s="307"/>
      <c r="AN89" s="307"/>
      <c r="AO89" s="307"/>
      <c r="AP89" s="307"/>
      <c r="AQ89" s="307"/>
    </row>
    <row r="90" spans="1:43" hidden="1" outlineLevel="1">
      <c r="A90" s="307"/>
      <c r="B90" s="319"/>
      <c r="C90" s="319"/>
      <c r="D90" s="321"/>
      <c r="E90" s="318"/>
      <c r="F90" s="320"/>
      <c r="G90" s="318"/>
      <c r="H90" s="322"/>
      <c r="I90" s="318"/>
      <c r="J90" s="327"/>
      <c r="K90" s="307"/>
      <c r="L90" s="319"/>
      <c r="M90" s="329"/>
      <c r="N90" s="321"/>
      <c r="O90" s="318"/>
      <c r="P90" s="320"/>
      <c r="Q90" s="318"/>
      <c r="R90" s="322"/>
      <c r="S90" s="318"/>
      <c r="T90" s="32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7"/>
      <c r="AH90" s="307"/>
      <c r="AI90" s="307"/>
      <c r="AJ90" s="307"/>
      <c r="AK90" s="307"/>
      <c r="AL90" s="307"/>
      <c r="AM90" s="307"/>
      <c r="AN90" s="307"/>
      <c r="AO90" s="307"/>
      <c r="AP90" s="307"/>
      <c r="AQ90" s="307"/>
    </row>
    <row r="91" spans="1:43" hidden="1" outlineLevel="1">
      <c r="A91" s="307"/>
      <c r="B91" s="319"/>
      <c r="C91" s="319"/>
      <c r="D91" s="321"/>
      <c r="E91" s="318"/>
      <c r="F91" s="320"/>
      <c r="G91" s="318"/>
      <c r="H91" s="322"/>
      <c r="I91" s="318"/>
      <c r="J91" s="327"/>
      <c r="K91" s="307"/>
      <c r="L91" s="319"/>
      <c r="M91" s="329"/>
      <c r="N91" s="321"/>
      <c r="O91" s="318"/>
      <c r="P91" s="320"/>
      <c r="Q91" s="318"/>
      <c r="R91" s="322"/>
      <c r="S91" s="318"/>
      <c r="T91" s="32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7"/>
      <c r="AH91" s="307"/>
      <c r="AI91" s="307"/>
      <c r="AJ91" s="307"/>
      <c r="AK91" s="307"/>
      <c r="AL91" s="307"/>
      <c r="AM91" s="307"/>
      <c r="AN91" s="307"/>
      <c r="AO91" s="307"/>
      <c r="AP91" s="307"/>
      <c r="AQ91" s="307"/>
    </row>
    <row r="92" spans="1:43" hidden="1" outlineLevel="1">
      <c r="A92" s="307"/>
      <c r="B92" s="319"/>
      <c r="C92" s="319"/>
      <c r="D92" s="321"/>
      <c r="E92" s="318"/>
      <c r="F92" s="320"/>
      <c r="G92" s="318"/>
      <c r="H92" s="322"/>
      <c r="I92" s="318"/>
      <c r="J92" s="327"/>
      <c r="K92" s="307"/>
      <c r="L92" s="319"/>
      <c r="M92" s="329"/>
      <c r="N92" s="321"/>
      <c r="O92" s="318"/>
      <c r="P92" s="320"/>
      <c r="Q92" s="318"/>
      <c r="R92" s="322"/>
      <c r="S92" s="318"/>
      <c r="T92" s="327"/>
      <c r="U92" s="307"/>
      <c r="V92" s="307"/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  <c r="AG92" s="307"/>
      <c r="AH92" s="307"/>
      <c r="AI92" s="307"/>
      <c r="AJ92" s="307"/>
      <c r="AK92" s="307"/>
      <c r="AL92" s="307"/>
      <c r="AM92" s="307"/>
      <c r="AN92" s="307"/>
      <c r="AO92" s="307"/>
      <c r="AP92" s="307"/>
      <c r="AQ92" s="307"/>
    </row>
    <row r="93" spans="1:43" hidden="1" outlineLevel="1">
      <c r="A93" s="307"/>
      <c r="B93" s="319"/>
      <c r="C93" s="319"/>
      <c r="D93" s="321"/>
      <c r="E93" s="318"/>
      <c r="F93" s="320"/>
      <c r="G93" s="318"/>
      <c r="H93" s="322"/>
      <c r="I93" s="318"/>
      <c r="J93" s="327"/>
      <c r="K93" s="307"/>
      <c r="L93" s="319"/>
      <c r="M93" s="329"/>
      <c r="N93" s="321"/>
      <c r="O93" s="318"/>
      <c r="P93" s="320"/>
      <c r="Q93" s="318"/>
      <c r="R93" s="322"/>
      <c r="S93" s="318"/>
      <c r="T93" s="327"/>
      <c r="U93" s="307"/>
      <c r="V93" s="307"/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  <c r="AG93" s="307"/>
      <c r="AH93" s="307"/>
      <c r="AI93" s="307"/>
      <c r="AJ93" s="307"/>
      <c r="AK93" s="307"/>
      <c r="AL93" s="307"/>
      <c r="AM93" s="307"/>
      <c r="AN93" s="307"/>
      <c r="AO93" s="307"/>
      <c r="AP93" s="307"/>
      <c r="AQ93" s="307"/>
    </row>
    <row r="94" spans="1:43" hidden="1" outlineLevel="1">
      <c r="A94" s="307"/>
      <c r="B94" s="319"/>
      <c r="C94" s="319"/>
      <c r="D94" s="321"/>
      <c r="E94" s="318"/>
      <c r="F94" s="320"/>
      <c r="G94" s="318"/>
      <c r="H94" s="322"/>
      <c r="I94" s="318"/>
      <c r="J94" s="327"/>
      <c r="K94" s="307"/>
      <c r="L94" s="319"/>
      <c r="M94" s="329"/>
      <c r="N94" s="321"/>
      <c r="O94" s="318"/>
      <c r="P94" s="320"/>
      <c r="Q94" s="318"/>
      <c r="R94" s="322"/>
      <c r="S94" s="318"/>
      <c r="T94" s="32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7"/>
      <c r="AH94" s="307"/>
      <c r="AI94" s="307"/>
      <c r="AJ94" s="307"/>
      <c r="AK94" s="307"/>
      <c r="AL94" s="307"/>
      <c r="AM94" s="307"/>
      <c r="AN94" s="307"/>
      <c r="AO94" s="307"/>
      <c r="AP94" s="307"/>
      <c r="AQ94" s="307"/>
    </row>
    <row r="95" spans="1:43" hidden="1" outlineLevel="1">
      <c r="A95" s="307"/>
      <c r="B95" s="319"/>
      <c r="C95" s="319"/>
      <c r="D95" s="321"/>
      <c r="E95" s="318"/>
      <c r="F95" s="320"/>
      <c r="G95" s="318"/>
      <c r="H95" s="322"/>
      <c r="I95" s="318"/>
      <c r="J95" s="327"/>
      <c r="K95" s="307"/>
      <c r="L95" s="319"/>
      <c r="M95" s="329"/>
      <c r="N95" s="321"/>
      <c r="O95" s="318"/>
      <c r="P95" s="320"/>
      <c r="Q95" s="318"/>
      <c r="R95" s="322"/>
      <c r="S95" s="318"/>
      <c r="T95" s="32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7"/>
      <c r="AH95" s="307"/>
      <c r="AI95" s="307"/>
      <c r="AJ95" s="307"/>
      <c r="AK95" s="307"/>
      <c r="AL95" s="307"/>
      <c r="AM95" s="307"/>
      <c r="AN95" s="307"/>
      <c r="AO95" s="307"/>
      <c r="AP95" s="307"/>
      <c r="AQ95" s="307"/>
    </row>
    <row r="96" spans="1:43" hidden="1" outlineLevel="1">
      <c r="A96" s="307"/>
      <c r="B96" s="319"/>
      <c r="C96" s="319"/>
      <c r="D96" s="321"/>
      <c r="E96" s="318"/>
      <c r="F96" s="320"/>
      <c r="G96" s="318"/>
      <c r="H96" s="322"/>
      <c r="I96" s="318"/>
      <c r="J96" s="327"/>
      <c r="K96" s="307"/>
      <c r="L96" s="319"/>
      <c r="M96" s="329"/>
      <c r="N96" s="321"/>
      <c r="O96" s="318"/>
      <c r="P96" s="320"/>
      <c r="Q96" s="318"/>
      <c r="R96" s="322"/>
      <c r="S96" s="318"/>
      <c r="T96" s="32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  <c r="AE96" s="307"/>
      <c r="AF96" s="307"/>
      <c r="AG96" s="307"/>
      <c r="AH96" s="307"/>
      <c r="AI96" s="307"/>
      <c r="AJ96" s="307"/>
      <c r="AK96" s="307"/>
      <c r="AL96" s="307"/>
      <c r="AM96" s="307"/>
      <c r="AN96" s="307"/>
      <c r="AO96" s="307"/>
      <c r="AP96" s="307"/>
      <c r="AQ96" s="307"/>
    </row>
    <row r="97" spans="1:43" hidden="1" outlineLevel="1">
      <c r="A97" s="307"/>
      <c r="K97" s="307"/>
      <c r="L97" s="319"/>
      <c r="M97" s="329"/>
      <c r="N97" s="321"/>
      <c r="O97" s="318"/>
      <c r="P97" s="320"/>
      <c r="Q97" s="318"/>
      <c r="R97" s="322"/>
      <c r="S97" s="318"/>
      <c r="T97" s="32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7"/>
      <c r="AH97" s="307"/>
      <c r="AI97" s="307"/>
      <c r="AJ97" s="307"/>
      <c r="AK97" s="307"/>
      <c r="AL97" s="307"/>
      <c r="AM97" s="307"/>
      <c r="AN97" s="307"/>
      <c r="AO97" s="307"/>
      <c r="AP97" s="307"/>
      <c r="AQ97" s="307"/>
    </row>
    <row r="98" spans="1:43" hidden="1" outlineLevel="1">
      <c r="A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7"/>
      <c r="AH98" s="307"/>
      <c r="AI98" s="307"/>
      <c r="AJ98" s="307"/>
      <c r="AK98" s="307"/>
      <c r="AL98" s="307"/>
      <c r="AM98" s="307"/>
      <c r="AN98" s="307"/>
      <c r="AO98" s="307"/>
      <c r="AP98" s="307"/>
      <c r="AQ98" s="307"/>
    </row>
    <row r="99" spans="1:43" hidden="1" outlineLevel="1">
      <c r="A99" s="307"/>
      <c r="B99" s="332" t="s">
        <v>63</v>
      </c>
      <c r="C99" s="332" t="s">
        <v>63</v>
      </c>
      <c r="D99" s="332" t="s">
        <v>63</v>
      </c>
      <c r="E99" s="332" t="s">
        <v>63</v>
      </c>
      <c r="F99" s="332" t="s">
        <v>63</v>
      </c>
      <c r="G99" s="332" t="s">
        <v>63</v>
      </c>
      <c r="H99" s="332" t="s">
        <v>63</v>
      </c>
      <c r="I99" s="332" t="s">
        <v>63</v>
      </c>
      <c r="J99" s="332" t="s">
        <v>63</v>
      </c>
      <c r="K99" s="331" t="s">
        <v>63</v>
      </c>
      <c r="L99" s="331" t="s">
        <v>63</v>
      </c>
      <c r="M99" s="331" t="s">
        <v>63</v>
      </c>
      <c r="N99" s="331" t="s">
        <v>63</v>
      </c>
      <c r="O99" s="331" t="s">
        <v>63</v>
      </c>
      <c r="P99" s="331" t="s">
        <v>63</v>
      </c>
      <c r="Q99" s="331" t="s">
        <v>63</v>
      </c>
      <c r="R99" s="331" t="s">
        <v>63</v>
      </c>
      <c r="S99" s="331" t="s">
        <v>63</v>
      </c>
      <c r="T99" s="331" t="s">
        <v>63</v>
      </c>
      <c r="U99" s="331" t="s">
        <v>63</v>
      </c>
      <c r="V99" s="331" t="s">
        <v>63</v>
      </c>
      <c r="W99" s="331" t="s">
        <v>63</v>
      </c>
      <c r="X99" s="331" t="s">
        <v>63</v>
      </c>
      <c r="Y99" s="331" t="s">
        <v>63</v>
      </c>
      <c r="Z99" s="331" t="s">
        <v>63</v>
      </c>
      <c r="AA99" s="331" t="s">
        <v>63</v>
      </c>
      <c r="AB99" s="331" t="s">
        <v>63</v>
      </c>
      <c r="AC99" s="331" t="s">
        <v>63</v>
      </c>
      <c r="AD99" s="331" t="s">
        <v>63</v>
      </c>
      <c r="AE99" s="331" t="s">
        <v>63</v>
      </c>
      <c r="AF99" s="331" t="s">
        <v>63</v>
      </c>
      <c r="AG99" s="331" t="s">
        <v>63</v>
      </c>
      <c r="AH99" s="331" t="s">
        <v>63</v>
      </c>
      <c r="AI99" s="331" t="s">
        <v>63</v>
      </c>
      <c r="AJ99" s="331" t="s">
        <v>63</v>
      </c>
      <c r="AK99" s="331" t="s">
        <v>63</v>
      </c>
      <c r="AL99" s="331" t="s">
        <v>63</v>
      </c>
      <c r="AM99" s="331" t="s">
        <v>63</v>
      </c>
      <c r="AN99" s="331" t="s">
        <v>63</v>
      </c>
      <c r="AO99" s="331" t="s">
        <v>63</v>
      </c>
      <c r="AP99" s="331" t="s">
        <v>63</v>
      </c>
      <c r="AQ99" s="331" t="s">
        <v>63</v>
      </c>
    </row>
    <row r="100" spans="1:43" collapsed="1">
      <c r="A100" s="377" t="s">
        <v>548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4"/>
  <sheetViews>
    <sheetView showGridLines="0" zoomScaleNormal="100" workbookViewId="0"/>
  </sheetViews>
  <sheetFormatPr defaultRowHeight="15" outlineLevelCol="1"/>
  <cols>
    <col min="2" max="2" width="4.7109375" customWidth="1"/>
    <col min="3" max="3" width="25.28515625" bestFit="1" customWidth="1"/>
    <col min="4" max="4" width="41.28515625" style="275" customWidth="1"/>
    <col min="5" max="5" width="4.7109375" customWidth="1"/>
    <col min="6" max="7" width="10.7109375" customWidth="1"/>
    <col min="8" max="8" width="9.28515625" bestFit="1" customWidth="1"/>
    <col min="9" max="10" width="10.7109375" customWidth="1"/>
    <col min="11" max="11" width="4.7109375" customWidth="1"/>
    <col min="12" max="14" width="10.7109375" customWidth="1"/>
    <col min="15" max="15" width="10.7109375" style="32" customWidth="1"/>
    <col min="16" max="16" width="10.7109375" customWidth="1"/>
    <col min="17" max="17" width="4.7109375" customWidth="1"/>
    <col min="18" max="18" width="10.7109375" style="173" customWidth="1"/>
    <col min="19" max="20" width="10.7109375" customWidth="1"/>
    <col min="21" max="21" width="4.7109375" style="32" customWidth="1"/>
    <col min="22" max="24" width="10.7109375" style="32" customWidth="1"/>
    <col min="25" max="25" width="4.7109375" style="32" customWidth="1"/>
    <col min="27" max="27" width="9.140625" style="307"/>
    <col min="28" max="28" width="9.140625" style="32" hidden="1" customWidth="1" outlineLevel="1"/>
    <col min="29" max="29" width="29.140625" style="32" hidden="1" customWidth="1" outlineLevel="1"/>
    <col min="30" max="30" width="35.28515625" style="32" hidden="1" customWidth="1" outlineLevel="1"/>
    <col min="31" max="31" width="9.140625" style="32" hidden="1" customWidth="1" outlineLevel="1"/>
    <col min="32" max="33" width="9.140625" hidden="1" customWidth="1" outlineLevel="1"/>
    <col min="34" max="34" width="30.7109375" hidden="1" customWidth="1" outlineLevel="1"/>
    <col min="35" max="35" width="35.7109375" hidden="1" customWidth="1" outlineLevel="1"/>
    <col min="36" max="38" width="9.140625" hidden="1" customWidth="1" outlineLevel="1"/>
    <col min="39" max="39" width="30.7109375" hidden="1" customWidth="1" outlineLevel="1"/>
    <col min="40" max="40" width="35.7109375" hidden="1" customWidth="1" outlineLevel="1"/>
    <col min="41" max="41" width="9.140625" hidden="1" customWidth="1" outlineLevel="1"/>
    <col min="42" max="42" width="9.140625" collapsed="1"/>
  </cols>
  <sheetData>
    <row r="1" spans="2:42">
      <c r="AF1" t="s">
        <v>63</v>
      </c>
      <c r="AP1" s="1" t="s">
        <v>538</v>
      </c>
    </row>
    <row r="2" spans="2:42" s="32" customFormat="1">
      <c r="B2" s="1" t="s">
        <v>292</v>
      </c>
      <c r="D2" s="275"/>
      <c r="R2" s="173"/>
      <c r="AA2" s="307"/>
      <c r="AB2" s="1" t="s">
        <v>367</v>
      </c>
      <c r="AF2" s="32" t="s">
        <v>63</v>
      </c>
      <c r="AG2" s="1" t="s">
        <v>366</v>
      </c>
      <c r="AL2" s="1" t="s">
        <v>549</v>
      </c>
    </row>
    <row r="3" spans="2:42">
      <c r="B3" s="61"/>
      <c r="C3" s="122"/>
      <c r="D3" s="123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74"/>
      <c r="S3" s="124"/>
      <c r="T3" s="124"/>
      <c r="U3" s="124"/>
      <c r="V3" s="124"/>
      <c r="W3" s="124"/>
      <c r="X3" s="124"/>
      <c r="Y3" s="62"/>
      <c r="AB3" s="61"/>
      <c r="AC3" s="124"/>
      <c r="AD3" s="124"/>
      <c r="AE3" s="62"/>
      <c r="AF3" s="32" t="s">
        <v>63</v>
      </c>
      <c r="AG3" s="61"/>
      <c r="AH3" s="124"/>
      <c r="AI3" s="124"/>
      <c r="AJ3" s="62"/>
      <c r="AK3" s="32"/>
      <c r="AL3" s="61"/>
      <c r="AM3" s="124"/>
      <c r="AN3" s="124"/>
      <c r="AO3" s="62"/>
    </row>
    <row r="4" spans="2:42">
      <c r="B4" s="63"/>
      <c r="C4" s="125" t="s">
        <v>207</v>
      </c>
      <c r="D4" s="126"/>
      <c r="E4" s="89"/>
      <c r="F4" s="125" t="s">
        <v>208</v>
      </c>
      <c r="G4" s="89"/>
      <c r="H4" s="89"/>
      <c r="I4" s="89"/>
      <c r="J4" s="89"/>
      <c r="K4" s="89"/>
      <c r="L4" s="125" t="s">
        <v>209</v>
      </c>
      <c r="M4" s="125"/>
      <c r="N4" s="89"/>
      <c r="O4" s="89"/>
      <c r="P4" s="89"/>
      <c r="Q4" s="89"/>
      <c r="R4" s="125" t="s">
        <v>210</v>
      </c>
      <c r="S4" s="125"/>
      <c r="T4" s="89"/>
      <c r="U4" s="312"/>
      <c r="V4" s="125" t="s">
        <v>211</v>
      </c>
      <c r="W4" s="89"/>
      <c r="X4" s="89"/>
      <c r="Y4" s="64"/>
      <c r="AB4" s="63"/>
      <c r="AC4" s="172" t="s">
        <v>286</v>
      </c>
      <c r="AD4" s="89"/>
      <c r="AE4" s="64"/>
      <c r="AF4" s="32" t="s">
        <v>63</v>
      </c>
      <c r="AG4" s="63"/>
      <c r="AH4" s="172" t="s">
        <v>286</v>
      </c>
      <c r="AI4" s="89"/>
      <c r="AJ4" s="64"/>
      <c r="AK4" s="32"/>
      <c r="AL4" s="63"/>
      <c r="AM4" s="172" t="s">
        <v>286</v>
      </c>
      <c r="AN4" s="89"/>
      <c r="AO4" s="64"/>
    </row>
    <row r="5" spans="2:42">
      <c r="B5" s="63" t="s">
        <v>63</v>
      </c>
      <c r="C5" s="126"/>
      <c r="D5" s="126"/>
      <c r="E5" s="89" t="s">
        <v>63</v>
      </c>
      <c r="F5" s="127" t="s">
        <v>212</v>
      </c>
      <c r="G5" s="127" t="s">
        <v>165</v>
      </c>
      <c r="H5" s="127" t="s">
        <v>213</v>
      </c>
      <c r="I5" s="127" t="s">
        <v>214</v>
      </c>
      <c r="J5" s="127" t="s">
        <v>164</v>
      </c>
      <c r="K5" s="89"/>
      <c r="L5" s="127" t="s">
        <v>215</v>
      </c>
      <c r="M5" s="127" t="s">
        <v>165</v>
      </c>
      <c r="N5" s="89"/>
      <c r="O5" s="212" t="s">
        <v>373</v>
      </c>
      <c r="P5" s="212" t="s">
        <v>374</v>
      </c>
      <c r="Q5" s="312"/>
      <c r="R5" s="127" t="s">
        <v>212</v>
      </c>
      <c r="S5" s="127" t="s">
        <v>165</v>
      </c>
      <c r="T5" s="89"/>
      <c r="U5" s="312"/>
      <c r="V5" s="127" t="s">
        <v>212</v>
      </c>
      <c r="W5" s="127" t="s">
        <v>165</v>
      </c>
      <c r="X5" s="89"/>
      <c r="Y5" s="64"/>
      <c r="AB5" s="63"/>
      <c r="AC5" s="158" t="s">
        <v>284</v>
      </c>
      <c r="AD5" s="186" t="s">
        <v>285</v>
      </c>
      <c r="AE5" s="64" t="s">
        <v>63</v>
      </c>
      <c r="AF5" s="32" t="s">
        <v>63</v>
      </c>
      <c r="AG5" s="63"/>
      <c r="AH5" s="158" t="s">
        <v>284</v>
      </c>
      <c r="AI5" s="186" t="s">
        <v>368</v>
      </c>
      <c r="AJ5" s="64" t="s">
        <v>63</v>
      </c>
      <c r="AK5" s="32"/>
      <c r="AL5" s="63"/>
      <c r="AM5" s="158" t="s">
        <v>284</v>
      </c>
      <c r="AN5" s="186" t="s">
        <v>379</v>
      </c>
      <c r="AO5" s="64" t="s">
        <v>63</v>
      </c>
    </row>
    <row r="6" spans="2:42">
      <c r="B6" s="63"/>
      <c r="C6" s="128" t="s">
        <v>5</v>
      </c>
      <c r="D6" s="129" t="s">
        <v>113</v>
      </c>
      <c r="E6" s="89" t="s">
        <v>63</v>
      </c>
      <c r="F6" s="130" t="str">
        <f>'AUD CURVE TICKERS'!B14</f>
        <v>ON</v>
      </c>
      <c r="G6" s="131">
        <f>'AUD CURVE TICKERS'!J14%</f>
        <v>1.4999999999999999E-2</v>
      </c>
      <c r="H6" s="132"/>
      <c r="I6" s="133"/>
      <c r="J6" s="134" t="b">
        <v>1</v>
      </c>
      <c r="K6" s="89"/>
      <c r="L6" s="135"/>
      <c r="M6" s="136"/>
      <c r="N6" s="89"/>
      <c r="O6" s="291">
        <f>'AUD CURVE TICKERS'!T14/10000</f>
        <v>5.1000000000000004E-3</v>
      </c>
      <c r="P6" s="291">
        <f>'AUD CURVE TICKERS'!AQ44/10000</f>
        <v>1.475E-3</v>
      </c>
      <c r="Q6" s="312"/>
      <c r="R6" s="130" t="str">
        <f>'AUD CURVE TICKERS'!L14</f>
        <v>1Y</v>
      </c>
      <c r="S6" s="137">
        <f>O6</f>
        <v>5.1000000000000004E-3</v>
      </c>
      <c r="T6" s="169" t="s">
        <v>216</v>
      </c>
      <c r="U6" s="312"/>
      <c r="V6" s="130" t="str">
        <f>'AUD CURVE TICKERS'!Y44</f>
        <v>1Y</v>
      </c>
      <c r="W6" s="138">
        <f>'AUD CURVE TICKERS'!AG44%</f>
        <v>2.0295000000000001E-2</v>
      </c>
      <c r="X6" s="169"/>
      <c r="Y6" s="139"/>
      <c r="AB6" s="63"/>
      <c r="AC6" s="149" t="s">
        <v>242</v>
      </c>
      <c r="AD6" s="201" t="str">
        <f ca="1">_xll.meLWOCurveGeneratorCreate(AD5,AC8,AC9:AD15,AC18,AC19:AD35,AC38,AC39:AD40,AC44,AC45:AD51)</f>
        <v>AUD_OIS_CURVE_GENERATOR@1:38</v>
      </c>
      <c r="AE6" s="64" t="s">
        <v>63</v>
      </c>
      <c r="AF6" s="32" t="s">
        <v>63</v>
      </c>
      <c r="AG6" s="63"/>
      <c r="AH6" s="149" t="s">
        <v>242</v>
      </c>
      <c r="AI6" s="201" t="str">
        <f ca="1">_xll.meLWOCurveGeneratorCreate(AI5,AH8,AH9:AI23,AH26,AH27:AI29,AH32,AH33:AI37,AH40,AH41:AI46,AH49,AH50:AI56,AH59,AH60:AI80,AH83,AH84:AI115)</f>
        <v>AUD_3ML_CURVE_GENERATOR@4:38</v>
      </c>
      <c r="AJ6" s="64" t="s">
        <v>63</v>
      </c>
      <c r="AK6" s="32"/>
      <c r="AL6" s="63"/>
      <c r="AM6" s="149" t="s">
        <v>242</v>
      </c>
      <c r="AN6" s="201" t="str">
        <f ca="1">_xll.meLWOCurveGeneratorCreate(AN5,AM8,AM9:AN23,AM26,AM27:AN29,AM32,AM33:AN37,AM40,AM41:AN46,AM49,AM50:AN56,AM59,AM60:AN73,AM83,AM84:AN84)</f>
        <v>AUD_6ML_CURVE_GENERATOR@7:38</v>
      </c>
      <c r="AO6" s="64" t="s">
        <v>63</v>
      </c>
    </row>
    <row r="7" spans="2:42">
      <c r="B7" s="63"/>
      <c r="C7" s="140" t="s">
        <v>217</v>
      </c>
      <c r="D7" s="141" t="s">
        <v>208</v>
      </c>
      <c r="E7" s="89" t="s">
        <v>63</v>
      </c>
      <c r="F7" s="142" t="str">
        <f>'AUD CURVE TICKERS'!B15</f>
        <v>1W</v>
      </c>
      <c r="G7" s="143">
        <f>'AUD CURVE TICKERS'!J15%</f>
        <v>1.4999999999999999E-2</v>
      </c>
      <c r="H7" s="133"/>
      <c r="I7" s="133"/>
      <c r="J7" s="134" t="b">
        <v>1</v>
      </c>
      <c r="K7" s="89"/>
      <c r="L7" s="135"/>
      <c r="M7" s="136"/>
      <c r="N7" s="89"/>
      <c r="O7" s="291">
        <f>'AUD CURVE TICKERS'!T15/10000</f>
        <v>4.725E-3</v>
      </c>
      <c r="P7" s="291">
        <f>'AUD CURVE TICKERS'!AQ45/10000</f>
        <v>1.4725000000000001E-3</v>
      </c>
      <c r="Q7" s="312"/>
      <c r="R7" s="142" t="str">
        <f>'AUD CURVE TICKERS'!L15</f>
        <v>2Y</v>
      </c>
      <c r="S7" s="144">
        <f>O7</f>
        <v>4.725E-3</v>
      </c>
      <c r="T7" s="169" t="s">
        <v>216</v>
      </c>
      <c r="U7" s="312"/>
      <c r="V7" s="142" t="str">
        <f>'AUD CURVE TICKERS'!Y45</f>
        <v>2Y</v>
      </c>
      <c r="W7" s="145">
        <f>'AUD CURVE TICKERS'!AG45%</f>
        <v>2.0799999999999999E-2</v>
      </c>
      <c r="X7" s="169"/>
      <c r="Y7" s="139"/>
      <c r="AB7" s="63"/>
      <c r="AC7" s="89"/>
      <c r="AD7" s="89"/>
      <c r="AE7" s="64" t="s">
        <v>63</v>
      </c>
      <c r="AF7" s="32" t="s">
        <v>63</v>
      </c>
      <c r="AG7" s="63"/>
      <c r="AH7" s="89"/>
      <c r="AI7" s="89"/>
      <c r="AJ7" s="64" t="s">
        <v>63</v>
      </c>
      <c r="AK7" s="32"/>
      <c r="AL7" s="63"/>
      <c r="AM7" s="89"/>
      <c r="AN7" s="89"/>
      <c r="AO7" s="64" t="s">
        <v>63</v>
      </c>
    </row>
    <row r="8" spans="2:42">
      <c r="B8" s="63"/>
      <c r="C8" s="140" t="s">
        <v>218</v>
      </c>
      <c r="D8" s="141" t="s">
        <v>219</v>
      </c>
      <c r="E8" s="89" t="s">
        <v>63</v>
      </c>
      <c r="F8" s="142" t="str">
        <f>'AUD CURVE TICKERS'!B16</f>
        <v>1M</v>
      </c>
      <c r="G8" s="143">
        <f>'AUD CURVE TICKERS'!J16%</f>
        <v>1.4990000000000002E-2</v>
      </c>
      <c r="H8" s="133"/>
      <c r="I8" s="133"/>
      <c r="J8" s="134" t="b">
        <v>1</v>
      </c>
      <c r="K8" s="89"/>
      <c r="L8" s="135"/>
      <c r="M8" s="136"/>
      <c r="N8" s="89"/>
      <c r="O8" s="291">
        <f>'AUD CURVE TICKERS'!T16/10000</f>
        <v>4.3750000000000004E-3</v>
      </c>
      <c r="P8" s="291">
        <f>'AUD CURVE TICKERS'!AQ46/10000</f>
        <v>1.4499999999999999E-3</v>
      </c>
      <c r="Q8" s="312"/>
      <c r="R8" s="142" t="str">
        <f>'AUD CURVE TICKERS'!L16</f>
        <v>3Y</v>
      </c>
      <c r="S8" s="144">
        <f>O8</f>
        <v>4.3750000000000004E-3</v>
      </c>
      <c r="T8" s="169" t="s">
        <v>216</v>
      </c>
      <c r="U8" s="312"/>
      <c r="V8" s="142" t="str">
        <f>'AUD CURVE TICKERS'!Y46</f>
        <v>3Y</v>
      </c>
      <c r="W8" s="145">
        <f>'AUD CURVE TICKERS'!AG46%</f>
        <v>2.1575E-2</v>
      </c>
      <c r="X8" s="169"/>
      <c r="Y8" s="139"/>
      <c r="AB8" s="63"/>
      <c r="AC8" s="125" t="s">
        <v>243</v>
      </c>
      <c r="AD8" s="89"/>
      <c r="AE8" s="64" t="s">
        <v>63</v>
      </c>
      <c r="AF8" s="32" t="s">
        <v>63</v>
      </c>
      <c r="AG8" s="63"/>
      <c r="AH8" s="207" t="s">
        <v>243</v>
      </c>
      <c r="AI8" s="208"/>
      <c r="AJ8" s="64" t="s">
        <v>63</v>
      </c>
      <c r="AK8" s="32"/>
      <c r="AL8" s="63"/>
      <c r="AM8" s="207" t="s">
        <v>243</v>
      </c>
      <c r="AN8" s="208"/>
      <c r="AO8" s="64" t="s">
        <v>63</v>
      </c>
    </row>
    <row r="9" spans="2:42">
      <c r="B9" s="63"/>
      <c r="C9" s="146" t="s">
        <v>220</v>
      </c>
      <c r="D9" s="289">
        <f ca="1">Settings.COB</f>
        <v>43278</v>
      </c>
      <c r="E9" s="89" t="s">
        <v>63</v>
      </c>
      <c r="F9" s="142" t="str">
        <f>'AUD CURVE TICKERS'!B17</f>
        <v>2M</v>
      </c>
      <c r="G9" s="143">
        <f>'AUD CURVE TICKERS'!J17%</f>
        <v>1.4999999999999999E-2</v>
      </c>
      <c r="H9" s="133"/>
      <c r="I9" s="133"/>
      <c r="J9" s="134" t="b">
        <v>1</v>
      </c>
      <c r="K9" s="89"/>
      <c r="L9" s="135"/>
      <c r="M9" s="136"/>
      <c r="N9" s="89"/>
      <c r="O9" s="116">
        <f>'AUD CURVE TICKERS'!T17/10000</f>
        <v>4.2374999999999999E-3</v>
      </c>
      <c r="P9" s="116">
        <f>'AUD CURVE TICKERS'!AQ47/10000</f>
        <v>1.4400000000000001E-3</v>
      </c>
      <c r="Q9" s="312"/>
      <c r="R9" s="142" t="str">
        <f>'AUD CURVE TICKERS'!L17</f>
        <v>4Y</v>
      </c>
      <c r="S9" s="144">
        <f t="shared" ref="S9:S19" si="0">O9+P9</f>
        <v>5.6775000000000003E-3</v>
      </c>
      <c r="T9" s="170" t="s">
        <v>221</v>
      </c>
      <c r="U9" s="312"/>
      <c r="V9" s="142" t="str">
        <f>'AUD CURVE TICKERS'!Y47</f>
        <v>4Y</v>
      </c>
      <c r="W9" s="145">
        <f>'AUD CURVE TICKERS'!AG47%</f>
        <v>2.3937499999999997E-2</v>
      </c>
      <c r="X9" s="170"/>
      <c r="Y9" s="147"/>
      <c r="AB9" s="63"/>
      <c r="AC9" s="178" t="s">
        <v>217</v>
      </c>
      <c r="AD9" s="179" t="s">
        <v>208</v>
      </c>
      <c r="AE9" s="64" t="s">
        <v>63</v>
      </c>
      <c r="AF9" s="32" t="s">
        <v>63</v>
      </c>
      <c r="AG9" s="63"/>
      <c r="AH9" s="209" t="s">
        <v>217</v>
      </c>
      <c r="AI9" s="179" t="s">
        <v>291</v>
      </c>
      <c r="AJ9" s="64" t="s">
        <v>63</v>
      </c>
      <c r="AK9" s="32"/>
      <c r="AL9" s="63"/>
      <c r="AM9" s="209" t="s">
        <v>217</v>
      </c>
      <c r="AN9" s="179" t="s">
        <v>291</v>
      </c>
      <c r="AO9" s="64" t="s">
        <v>63</v>
      </c>
    </row>
    <row r="10" spans="2:42">
      <c r="B10" s="63"/>
      <c r="C10" s="126"/>
      <c r="D10" s="126"/>
      <c r="E10" s="89" t="s">
        <v>63</v>
      </c>
      <c r="F10" s="142" t="str">
        <f>'AUD CURVE TICKERS'!B18</f>
        <v>3M</v>
      </c>
      <c r="G10" s="143">
        <f>'AUD CURVE TICKERS'!J18%</f>
        <v>1.4999999999999999E-2</v>
      </c>
      <c r="H10" s="133"/>
      <c r="I10" s="133"/>
      <c r="J10" s="134" t="b">
        <v>1</v>
      </c>
      <c r="K10" s="89"/>
      <c r="L10" s="135"/>
      <c r="M10" s="136"/>
      <c r="N10" s="89"/>
      <c r="O10" s="116">
        <f>'AUD CURVE TICKERS'!T18/10000</f>
        <v>4.1999999999999997E-3</v>
      </c>
      <c r="P10" s="116">
        <f>'AUD CURVE TICKERS'!AQ48/10000</f>
        <v>1.4224999999999999E-3</v>
      </c>
      <c r="Q10" s="312"/>
      <c r="R10" s="142" t="str">
        <f>'AUD CURVE TICKERS'!L18</f>
        <v>5Y</v>
      </c>
      <c r="S10" s="144">
        <f t="shared" si="0"/>
        <v>5.6224999999999999E-3</v>
      </c>
      <c r="T10" s="170" t="s">
        <v>221</v>
      </c>
      <c r="U10" s="312"/>
      <c r="V10" s="142" t="str">
        <f>'AUD CURVE TICKERS'!Y48</f>
        <v>5Y</v>
      </c>
      <c r="W10" s="145">
        <f>'AUD CURVE TICKERS'!AG48%</f>
        <v>2.4860000000000004E-2</v>
      </c>
      <c r="X10" s="170"/>
      <c r="Y10" s="147"/>
      <c r="AB10" s="63"/>
      <c r="AC10" s="180" t="s">
        <v>218</v>
      </c>
      <c r="AD10" s="181" t="s">
        <v>219</v>
      </c>
      <c r="AE10" s="64" t="s">
        <v>63</v>
      </c>
      <c r="AF10" s="32" t="s">
        <v>63</v>
      </c>
      <c r="AG10" s="63"/>
      <c r="AH10" s="213" t="s">
        <v>218</v>
      </c>
      <c r="AI10" s="181" t="s">
        <v>46</v>
      </c>
      <c r="AJ10" s="64" t="s">
        <v>63</v>
      </c>
      <c r="AK10" s="32"/>
      <c r="AL10" s="63"/>
      <c r="AM10" s="213" t="s">
        <v>218</v>
      </c>
      <c r="AN10" s="181" t="s">
        <v>321</v>
      </c>
      <c r="AO10" s="64" t="s">
        <v>63</v>
      </c>
    </row>
    <row r="11" spans="2:42">
      <c r="B11" s="63"/>
      <c r="C11" s="89"/>
      <c r="D11" s="150"/>
      <c r="E11" s="89" t="s">
        <v>63</v>
      </c>
      <c r="F11" s="142" t="str">
        <f>'AUD CURVE TICKERS'!B19</f>
        <v>4M</v>
      </c>
      <c r="G11" s="143">
        <f>'AUD CURVE TICKERS'!J19%</f>
        <v>1.5009999999999999E-2</v>
      </c>
      <c r="H11" s="133"/>
      <c r="I11" s="133"/>
      <c r="J11" s="134" t="b">
        <v>1</v>
      </c>
      <c r="K11" s="89"/>
      <c r="L11" s="135"/>
      <c r="M11" s="136"/>
      <c r="N11" s="89"/>
      <c r="O11" s="116">
        <f>'AUD CURVE TICKERS'!T19/10000</f>
        <v>4.2624999999999998E-3</v>
      </c>
      <c r="P11" s="116">
        <f>'AUD CURVE TICKERS'!AQ49/10000</f>
        <v>1.39E-3</v>
      </c>
      <c r="Q11" s="312"/>
      <c r="R11" s="142" t="str">
        <f>'AUD CURVE TICKERS'!L19</f>
        <v>6Y</v>
      </c>
      <c r="S11" s="144">
        <f t="shared" si="0"/>
        <v>5.6524999999999995E-3</v>
      </c>
      <c r="T11" s="170" t="s">
        <v>221</v>
      </c>
      <c r="U11" s="312"/>
      <c r="V11" s="142" t="str">
        <f>'AUD CURVE TICKERS'!Y49</f>
        <v>6Y</v>
      </c>
      <c r="W11" s="145">
        <f>'AUD CURVE TICKERS'!AG49%</f>
        <v>2.5675E-2</v>
      </c>
      <c r="X11" s="170"/>
      <c r="Y11" s="147"/>
      <c r="AB11" s="63"/>
      <c r="AC11" s="180" t="s">
        <v>244</v>
      </c>
      <c r="AD11" s="181" t="s">
        <v>208</v>
      </c>
      <c r="AE11" s="64" t="s">
        <v>63</v>
      </c>
      <c r="AF11" s="32" t="s">
        <v>63</v>
      </c>
      <c r="AG11" s="63"/>
      <c r="AH11" s="213" t="s">
        <v>244</v>
      </c>
      <c r="AI11" s="181" t="s">
        <v>295</v>
      </c>
      <c r="AJ11" s="64" t="s">
        <v>63</v>
      </c>
      <c r="AK11" s="32"/>
      <c r="AL11" s="63"/>
      <c r="AM11" s="213" t="s">
        <v>244</v>
      </c>
      <c r="AN11" s="181" t="s">
        <v>118</v>
      </c>
      <c r="AO11" s="64" t="s">
        <v>63</v>
      </c>
    </row>
    <row r="12" spans="2:42">
      <c r="B12" s="63"/>
      <c r="C12" s="151" t="s">
        <v>222</v>
      </c>
      <c r="D12" s="126"/>
      <c r="E12" s="89" t="s">
        <v>63</v>
      </c>
      <c r="F12" s="142" t="str">
        <f>'AUD CURVE TICKERS'!B20</f>
        <v>5M</v>
      </c>
      <c r="G12" s="143">
        <f>'AUD CURVE TICKERS'!J20%</f>
        <v>1.5025E-2</v>
      </c>
      <c r="H12" s="133"/>
      <c r="I12" s="133"/>
      <c r="J12" s="134" t="b">
        <v>1</v>
      </c>
      <c r="K12" s="89"/>
      <c r="L12" s="135"/>
      <c r="M12" s="136"/>
      <c r="N12" s="89"/>
      <c r="O12" s="116">
        <f>'AUD CURVE TICKERS'!T20/10000</f>
        <v>4.3125000000000004E-3</v>
      </c>
      <c r="P12" s="116">
        <f>'AUD CURVE TICKERS'!AQ50/10000</f>
        <v>1.3500000000000001E-3</v>
      </c>
      <c r="Q12" s="312"/>
      <c r="R12" s="142" t="str">
        <f>'AUD CURVE TICKERS'!L20</f>
        <v>7Y</v>
      </c>
      <c r="S12" s="144">
        <f t="shared" si="0"/>
        <v>5.6625000000000009E-3</v>
      </c>
      <c r="T12" s="170" t="s">
        <v>221</v>
      </c>
      <c r="U12" s="312"/>
      <c r="V12" s="142" t="str">
        <f>'AUD CURVE TICKERS'!Y50</f>
        <v>7Y</v>
      </c>
      <c r="W12" s="145">
        <f>'AUD CURVE TICKERS'!AG50%</f>
        <v>2.64E-2</v>
      </c>
      <c r="X12" s="170"/>
      <c r="Y12" s="147"/>
      <c r="AB12" s="63"/>
      <c r="AC12" s="180" t="s">
        <v>245</v>
      </c>
      <c r="AD12" s="181" t="s">
        <v>246</v>
      </c>
      <c r="AE12" s="64" t="s">
        <v>63</v>
      </c>
      <c r="AF12" s="32" t="s">
        <v>63</v>
      </c>
      <c r="AG12" s="63"/>
      <c r="AH12" s="213" t="s">
        <v>245</v>
      </c>
      <c r="AI12" s="181" t="s">
        <v>296</v>
      </c>
      <c r="AJ12" s="64" t="s">
        <v>63</v>
      </c>
      <c r="AK12" s="32"/>
      <c r="AL12" s="63"/>
      <c r="AM12" s="213" t="s">
        <v>245</v>
      </c>
      <c r="AN12" s="181" t="s">
        <v>118</v>
      </c>
      <c r="AO12" s="64" t="s">
        <v>63</v>
      </c>
    </row>
    <row r="13" spans="2:42">
      <c r="B13" s="63"/>
      <c r="C13" s="148" t="s">
        <v>66</v>
      </c>
      <c r="D13" s="129" t="s">
        <v>223</v>
      </c>
      <c r="E13" s="89" t="s">
        <v>63</v>
      </c>
      <c r="F13" s="142" t="str">
        <f>'AUD CURVE TICKERS'!B21</f>
        <v>6M</v>
      </c>
      <c r="G13" s="143">
        <f>'AUD CURVE TICKERS'!J21%</f>
        <v>1.504E-2</v>
      </c>
      <c r="H13" s="133"/>
      <c r="I13" s="133"/>
      <c r="J13" s="134" t="b">
        <v>1</v>
      </c>
      <c r="K13" s="89"/>
      <c r="L13" s="135"/>
      <c r="M13" s="136"/>
      <c r="N13" s="89"/>
      <c r="O13" s="116">
        <f>'AUD CURVE TICKERS'!T21/10000</f>
        <v>4.3249999999999999E-3</v>
      </c>
      <c r="P13" s="116">
        <f>'AUD CURVE TICKERS'!AQ51/10000</f>
        <v>1.2999999999999999E-3</v>
      </c>
      <c r="Q13" s="312"/>
      <c r="R13" s="142" t="str">
        <f>'AUD CURVE TICKERS'!L21</f>
        <v>8Y</v>
      </c>
      <c r="S13" s="144">
        <f t="shared" si="0"/>
        <v>5.6249999999999998E-3</v>
      </c>
      <c r="T13" s="170" t="s">
        <v>221</v>
      </c>
      <c r="U13" s="312"/>
      <c r="V13" s="142" t="str">
        <f>'AUD CURVE TICKERS'!Y51</f>
        <v>8Y</v>
      </c>
      <c r="W13" s="145">
        <f>'AUD CURVE TICKERS'!AG51%</f>
        <v>2.7050000000000001E-2</v>
      </c>
      <c r="X13" s="170"/>
      <c r="Y13" s="147"/>
      <c r="AB13" s="63"/>
      <c r="AC13" s="180" t="s">
        <v>5</v>
      </c>
      <c r="AD13" s="48" t="s">
        <v>113</v>
      </c>
      <c r="AE13" s="64" t="s">
        <v>63</v>
      </c>
      <c r="AF13" s="32" t="s">
        <v>63</v>
      </c>
      <c r="AG13" s="63"/>
      <c r="AH13" s="213" t="s">
        <v>5</v>
      </c>
      <c r="AI13" s="48" t="s">
        <v>113</v>
      </c>
      <c r="AJ13" s="64" t="s">
        <v>63</v>
      </c>
      <c r="AK13" s="32"/>
      <c r="AL13" s="63"/>
      <c r="AM13" s="213" t="s">
        <v>5</v>
      </c>
      <c r="AN13" s="48" t="s">
        <v>113</v>
      </c>
      <c r="AO13" s="64" t="s">
        <v>63</v>
      </c>
    </row>
    <row r="14" spans="2:42">
      <c r="B14" s="63"/>
      <c r="C14" s="149" t="s">
        <v>224</v>
      </c>
      <c r="D14" s="276" t="str">
        <f ca="1">_xll.meLWOCurveMarketDataCreate(D13,C4,C6:D9,F4,F6:J31,L4,L6:M31,R4,R6:S31,V4,V6:W31)</f>
        <v>AUD_OIS_CURVE_MARKETDATA@2:37</v>
      </c>
      <c r="E14" s="89" t="s">
        <v>63</v>
      </c>
      <c r="F14" s="142" t="str">
        <f>'AUD CURVE TICKERS'!B22</f>
        <v>9M</v>
      </c>
      <c r="G14" s="143">
        <f>'AUD CURVE TICKERS'!J22%</f>
        <v>1.512E-2</v>
      </c>
      <c r="H14" s="133"/>
      <c r="I14" s="133"/>
      <c r="J14" s="134" t="b">
        <v>1</v>
      </c>
      <c r="K14" s="89"/>
      <c r="L14" s="135"/>
      <c r="M14" s="136"/>
      <c r="N14" s="89"/>
      <c r="O14" s="116">
        <f>'AUD CURVE TICKERS'!T22/10000</f>
        <v>4.3125000000000004E-3</v>
      </c>
      <c r="P14" s="116">
        <f>'AUD CURVE TICKERS'!AQ52/10000</f>
        <v>1.2625E-3</v>
      </c>
      <c r="Q14" s="312"/>
      <c r="R14" s="142" t="str">
        <f>'AUD CURVE TICKERS'!L22</f>
        <v>9Y</v>
      </c>
      <c r="S14" s="144">
        <f t="shared" si="0"/>
        <v>5.5750000000000001E-3</v>
      </c>
      <c r="T14" s="170" t="s">
        <v>221</v>
      </c>
      <c r="U14" s="312"/>
      <c r="V14" s="142" t="str">
        <f>'AUD CURVE TICKERS'!Y52</f>
        <v>9Y</v>
      </c>
      <c r="W14" s="145">
        <f>'AUD CURVE TICKERS'!AG52%</f>
        <v>2.7574999999999999E-2</v>
      </c>
      <c r="X14" s="170"/>
      <c r="Y14" s="147"/>
      <c r="AB14" s="63"/>
      <c r="AC14" s="182" t="s">
        <v>247</v>
      </c>
      <c r="AD14" s="48" t="s">
        <v>248</v>
      </c>
      <c r="AE14" s="64" t="s">
        <v>63</v>
      </c>
      <c r="AF14" s="32" t="s">
        <v>63</v>
      </c>
      <c r="AG14" s="63"/>
      <c r="AH14" s="213" t="s">
        <v>247</v>
      </c>
      <c r="AI14" s="426" t="str">
        <f>IF(Settings.SwapCurve.Interpolation="LINEAR-SPLINE","FN_LINEARSPLINEINTERPOLATION","FN_SPLINEINTERPOLATION")</f>
        <v>FN_SPLINEINTERPOLATION</v>
      </c>
      <c r="AJ14" s="64" t="s">
        <v>63</v>
      </c>
      <c r="AK14" s="32"/>
      <c r="AL14" s="63"/>
      <c r="AM14" s="213" t="s">
        <v>247</v>
      </c>
      <c r="AN14" s="426" t="str">
        <f>IF(Settings.SwapCurve.Interpolation="LINEAR-SPLINE","FN_LINEARSPLINEINTERPOLATION","FN_SPLINEINTERPOLATION")</f>
        <v>FN_SPLINEINTERPOLATION</v>
      </c>
      <c r="AO14" s="64" t="s">
        <v>63</v>
      </c>
    </row>
    <row r="15" spans="2:42">
      <c r="B15" s="63"/>
      <c r="C15" s="89"/>
      <c r="D15" s="150"/>
      <c r="E15" s="89" t="s">
        <v>63</v>
      </c>
      <c r="F15" s="142" t="str">
        <f>'AUD CURVE TICKERS'!B23</f>
        <v>1Y</v>
      </c>
      <c r="G15" s="143">
        <f>'AUD CURVE TICKERS'!J23%</f>
        <v>1.528E-2</v>
      </c>
      <c r="H15" s="133"/>
      <c r="I15" s="133"/>
      <c r="J15" s="134" t="b">
        <v>1</v>
      </c>
      <c r="K15" s="89"/>
      <c r="L15" s="135"/>
      <c r="M15" s="136"/>
      <c r="N15" s="89"/>
      <c r="O15" s="116">
        <f>'AUD CURVE TICKERS'!T23/10000</f>
        <v>4.3125000000000004E-3</v>
      </c>
      <c r="P15" s="116">
        <f>'AUD CURVE TICKERS'!AQ53/10000</f>
        <v>1.225E-3</v>
      </c>
      <c r="Q15" s="312"/>
      <c r="R15" s="142" t="str">
        <f>'AUD CURVE TICKERS'!L23</f>
        <v>10Y</v>
      </c>
      <c r="S15" s="144">
        <f t="shared" si="0"/>
        <v>5.5375000000000008E-3</v>
      </c>
      <c r="T15" s="170" t="s">
        <v>221</v>
      </c>
      <c r="U15" s="312"/>
      <c r="V15" s="142" t="str">
        <f>'AUD CURVE TICKERS'!Y53</f>
        <v>10Y</v>
      </c>
      <c r="W15" s="145">
        <f>'AUD CURVE TICKERS'!AG53%</f>
        <v>2.8065000000000003E-2</v>
      </c>
      <c r="X15" s="170"/>
      <c r="Y15" s="147"/>
      <c r="AB15" s="63"/>
      <c r="AC15" s="180" t="s">
        <v>249</v>
      </c>
      <c r="AD15" s="48" t="s">
        <v>248</v>
      </c>
      <c r="AE15" s="64" t="s">
        <v>63</v>
      </c>
      <c r="AF15" s="32" t="s">
        <v>63</v>
      </c>
      <c r="AG15" s="63"/>
      <c r="AH15" s="213" t="s">
        <v>249</v>
      </c>
      <c r="AI15" s="426" t="str">
        <f>IF(Settings.SwapCurve.Interpolation="LINEAR-SPLINE","FN_LINEARSPLINEINTERPOLATION","FN_SPLINEINTERPOLATION")</f>
        <v>FN_SPLINEINTERPOLATION</v>
      </c>
      <c r="AJ15" s="64" t="s">
        <v>63</v>
      </c>
      <c r="AK15" s="32"/>
      <c r="AL15" s="63"/>
      <c r="AM15" s="213" t="s">
        <v>249</v>
      </c>
      <c r="AN15" s="426" t="str">
        <f>IF(Settings.SwapCurve.Interpolation="LINEAR-SPLINE","FN_LINEARSPLINEINTERPOLATION","FN_SPLINEINTERPOLATION")</f>
        <v>FN_SPLINEINTERPOLATION</v>
      </c>
      <c r="AO15" s="64" t="s">
        <v>63</v>
      </c>
    </row>
    <row r="16" spans="2:42">
      <c r="B16" s="63"/>
      <c r="C16" s="150"/>
      <c r="D16" s="126"/>
      <c r="E16" s="89" t="s">
        <v>63</v>
      </c>
      <c r="F16" s="142" t="str">
        <f>'AUD CURVE TICKERS'!B24</f>
        <v>2Y</v>
      </c>
      <c r="G16" s="143">
        <f>'AUD CURVE TICKERS'!J24%</f>
        <v>1.6299999999999999E-2</v>
      </c>
      <c r="H16" s="133"/>
      <c r="I16" s="133"/>
      <c r="J16" s="134" t="b">
        <v>1</v>
      </c>
      <c r="K16" s="89"/>
      <c r="L16" s="135"/>
      <c r="M16" s="136"/>
      <c r="N16" s="89"/>
      <c r="O16" s="116">
        <f>'AUD CURVE TICKERS'!T24/10000</f>
        <v>4.3375000000000002E-3</v>
      </c>
      <c r="P16" s="116">
        <f>'AUD CURVE TICKERS'!AQ54/10000</f>
        <v>1.1000000000000001E-3</v>
      </c>
      <c r="Q16" s="312"/>
      <c r="R16" s="142" t="str">
        <f>'AUD CURVE TICKERS'!L24</f>
        <v>15Y</v>
      </c>
      <c r="S16" s="144">
        <f t="shared" si="0"/>
        <v>5.4375000000000005E-3</v>
      </c>
      <c r="T16" s="170" t="s">
        <v>221</v>
      </c>
      <c r="U16" s="312"/>
      <c r="V16" s="142" t="str">
        <f>'AUD CURVE TICKERS'!Y54</f>
        <v>15Y</v>
      </c>
      <c r="W16" s="145">
        <f>'AUD CURVE TICKERS'!AG54%</f>
        <v>2.9729999999999999E-2</v>
      </c>
      <c r="X16" s="170"/>
      <c r="Y16" s="147"/>
      <c r="AB16" s="63"/>
      <c r="AC16" s="183"/>
      <c r="AD16" s="184"/>
      <c r="AE16" s="64" t="s">
        <v>63</v>
      </c>
      <c r="AF16" s="32" t="s">
        <v>63</v>
      </c>
      <c r="AG16" s="63"/>
      <c r="AH16" s="213" t="s">
        <v>298</v>
      </c>
      <c r="AI16" s="48" t="b">
        <v>0</v>
      </c>
      <c r="AJ16" s="64" t="s">
        <v>63</v>
      </c>
      <c r="AK16" s="32"/>
      <c r="AL16" s="63"/>
      <c r="AM16" s="213" t="s">
        <v>380</v>
      </c>
      <c r="AN16" s="48" t="b">
        <v>1</v>
      </c>
      <c r="AO16" s="64" t="s">
        <v>63</v>
      </c>
    </row>
    <row r="17" spans="2:41">
      <c r="B17" s="63"/>
      <c r="C17" s="150"/>
      <c r="D17" s="126"/>
      <c r="E17" s="89" t="s">
        <v>63</v>
      </c>
      <c r="F17" s="142" t="str">
        <f>'AUD CURVE TICKERS'!B25</f>
        <v>3Y</v>
      </c>
      <c r="G17" s="143">
        <f>'AUD CURVE TICKERS'!J25%</f>
        <v>1.7330000000000002E-2</v>
      </c>
      <c r="H17" s="133"/>
      <c r="I17" s="133"/>
      <c r="J17" s="134" t="b">
        <v>1</v>
      </c>
      <c r="K17" s="89"/>
      <c r="L17" s="135"/>
      <c r="M17" s="136"/>
      <c r="N17" s="89"/>
      <c r="O17" s="116">
        <f>'AUD CURVE TICKERS'!T25/10000</f>
        <v>4.3625000000000001E-3</v>
      </c>
      <c r="P17" s="116">
        <f>'AUD CURVE TICKERS'!AQ55/10000</f>
        <v>1.075E-3</v>
      </c>
      <c r="Q17" s="312"/>
      <c r="R17" s="142" t="str">
        <f>'AUD CURVE TICKERS'!L25</f>
        <v>20Y</v>
      </c>
      <c r="S17" s="144">
        <f t="shared" si="0"/>
        <v>5.4374999999999996E-3</v>
      </c>
      <c r="T17" s="170" t="s">
        <v>221</v>
      </c>
      <c r="U17" s="312"/>
      <c r="V17" s="142" t="str">
        <f>'AUD CURVE TICKERS'!Y55</f>
        <v>20Y</v>
      </c>
      <c r="W17" s="145">
        <f>'AUD CURVE TICKERS'!AG55%</f>
        <v>3.0249999999999999E-2</v>
      </c>
      <c r="X17" s="170"/>
      <c r="Y17" s="147"/>
      <c r="AB17" s="63"/>
      <c r="AC17" s="89"/>
      <c r="AD17" s="89"/>
      <c r="AE17" s="64" t="s">
        <v>63</v>
      </c>
      <c r="AF17" s="32" t="s">
        <v>63</v>
      </c>
      <c r="AG17" s="63"/>
      <c r="AH17" s="140" t="s">
        <v>299</v>
      </c>
      <c r="AI17" s="48" t="b">
        <v>1</v>
      </c>
      <c r="AJ17" s="64" t="s">
        <v>63</v>
      </c>
      <c r="AK17" s="32"/>
      <c r="AL17" s="63"/>
      <c r="AM17" s="140" t="s">
        <v>381</v>
      </c>
      <c r="AN17" s="48" t="b">
        <v>0</v>
      </c>
      <c r="AO17" s="64" t="s">
        <v>63</v>
      </c>
    </row>
    <row r="18" spans="2:41">
      <c r="B18" s="63"/>
      <c r="C18" s="150"/>
      <c r="D18" s="126"/>
      <c r="E18" s="89" t="s">
        <v>63</v>
      </c>
      <c r="F18" s="142" t="str">
        <f>'AUD CURVE TICKERS'!B26</f>
        <v>4Y</v>
      </c>
      <c r="G18" s="143">
        <f>'AUD CURVE TICKERS'!J26%</f>
        <v>1.848E-2</v>
      </c>
      <c r="H18" s="133"/>
      <c r="I18" s="133"/>
      <c r="J18" s="134" t="b">
        <v>1</v>
      </c>
      <c r="K18" s="89"/>
      <c r="L18" s="135"/>
      <c r="M18" s="136"/>
      <c r="N18" s="89"/>
      <c r="O18" s="116">
        <f>'AUD CURVE TICKERS'!T26/10000</f>
        <v>4.4000000000000003E-3</v>
      </c>
      <c r="P18" s="116">
        <f>'AUD CURVE TICKERS'!AQ56/10000</f>
        <v>1.1000000000000001E-3</v>
      </c>
      <c r="Q18" s="312"/>
      <c r="R18" s="142" t="str">
        <f>'AUD CURVE TICKERS'!L26</f>
        <v>25Y</v>
      </c>
      <c r="S18" s="144">
        <f t="shared" si="0"/>
        <v>5.5000000000000005E-3</v>
      </c>
      <c r="T18" s="170" t="s">
        <v>221</v>
      </c>
      <c r="U18" s="312"/>
      <c r="V18" s="142" t="str">
        <f>'AUD CURVE TICKERS'!Y56</f>
        <v>25Y</v>
      </c>
      <c r="W18" s="145">
        <f>'AUD CURVE TICKERS'!AG56%</f>
        <v>3.02375E-2</v>
      </c>
      <c r="X18" s="170"/>
      <c r="Y18" s="147"/>
      <c r="AB18" s="63"/>
      <c r="AC18" s="125" t="s">
        <v>208</v>
      </c>
      <c r="AD18" s="89"/>
      <c r="AE18" s="64" t="s">
        <v>63</v>
      </c>
      <c r="AF18" s="32" t="s">
        <v>63</v>
      </c>
      <c r="AG18" s="63"/>
      <c r="AH18" s="140" t="s">
        <v>300</v>
      </c>
      <c r="AI18" s="427" t="str">
        <f>IF(Settings.SwapCurve.Interpolation="LINEAR-SPLINE","FN_LINEARSPLINEINTERPOLATION","FN_LINEARINTERPOLATION")</f>
        <v>FN_LINEARINTERPOLATION</v>
      </c>
      <c r="AJ18" s="64" t="s">
        <v>63</v>
      </c>
      <c r="AK18" s="32"/>
      <c r="AL18" s="63"/>
      <c r="AM18" s="140" t="s">
        <v>300</v>
      </c>
      <c r="AN18" s="427" t="str">
        <f>IF(Settings.SwapCurve.Interpolation="LINEAR-SPLINE","FN_LINEARSPLINEINTERPOLATION","FN_LINEARINTERPOLATION")</f>
        <v>FN_LINEARINTERPOLATION</v>
      </c>
      <c r="AO18" s="64" t="s">
        <v>63</v>
      </c>
    </row>
    <row r="19" spans="2:41">
      <c r="B19" s="63"/>
      <c r="C19" s="151" t="s">
        <v>225</v>
      </c>
      <c r="D19" s="126"/>
      <c r="E19" s="89" t="s">
        <v>63</v>
      </c>
      <c r="F19" s="142" t="str">
        <f>'AUD CURVE TICKERS'!B27</f>
        <v>5Y</v>
      </c>
      <c r="G19" s="143">
        <f>'AUD CURVE TICKERS'!J27%</f>
        <v>1.9480000000000001E-2</v>
      </c>
      <c r="H19" s="133"/>
      <c r="I19" s="133"/>
      <c r="J19" s="134" t="b">
        <v>1</v>
      </c>
      <c r="K19" s="89"/>
      <c r="L19" s="135"/>
      <c r="M19" s="136"/>
      <c r="N19" s="89"/>
      <c r="O19" s="116">
        <f>'AUD CURVE TICKERS'!T27/10000</f>
        <v>4.4374999999999996E-3</v>
      </c>
      <c r="P19" s="116">
        <f>'AUD CURVE TICKERS'!AQ57/10000</f>
        <v>1.14E-3</v>
      </c>
      <c r="Q19" s="312"/>
      <c r="R19" s="142" t="str">
        <f>'AUD CURVE TICKERS'!L27</f>
        <v>30Y</v>
      </c>
      <c r="S19" s="144">
        <f t="shared" si="0"/>
        <v>5.5774999999999991E-3</v>
      </c>
      <c r="T19" s="170" t="s">
        <v>221</v>
      </c>
      <c r="U19" s="312"/>
      <c r="V19" s="142" t="str">
        <f>'AUD CURVE TICKERS'!Y57</f>
        <v>30Y</v>
      </c>
      <c r="W19" s="145">
        <f>'AUD CURVE TICKERS'!AG57%</f>
        <v>2.99625E-2</v>
      </c>
      <c r="X19" s="170"/>
      <c r="Y19" s="147"/>
      <c r="AB19" s="63"/>
      <c r="AC19" s="185" t="s">
        <v>250</v>
      </c>
      <c r="AD19" s="186" t="s">
        <v>251</v>
      </c>
      <c r="AE19" s="64" t="s">
        <v>63</v>
      </c>
      <c r="AF19" s="32" t="s">
        <v>63</v>
      </c>
      <c r="AG19" s="63"/>
      <c r="AH19" s="140" t="s">
        <v>20</v>
      </c>
      <c r="AI19" s="48" t="s">
        <v>301</v>
      </c>
      <c r="AJ19" s="64" t="s">
        <v>63</v>
      </c>
      <c r="AK19" s="32"/>
      <c r="AL19" s="63"/>
      <c r="AM19" s="140" t="s">
        <v>20</v>
      </c>
      <c r="AN19" s="48" t="s">
        <v>301</v>
      </c>
      <c r="AO19" s="64" t="s">
        <v>63</v>
      </c>
    </row>
    <row r="20" spans="2:41">
      <c r="B20" s="63"/>
      <c r="C20" s="152" t="s">
        <v>66</v>
      </c>
      <c r="D20" s="153" t="s">
        <v>226</v>
      </c>
      <c r="E20" s="89" t="s">
        <v>63</v>
      </c>
      <c r="F20" s="142" t="str">
        <f>'AUD CURVE TICKERS'!B28</f>
        <v>6Y</v>
      </c>
      <c r="G20" s="143">
        <f>'AUD CURVE TICKERS'!J28%</f>
        <v>2.0250000000000001E-2</v>
      </c>
      <c r="H20" s="133"/>
      <c r="I20" s="133"/>
      <c r="J20" s="134" t="b">
        <v>1</v>
      </c>
      <c r="K20" s="89"/>
      <c r="L20" s="135"/>
      <c r="M20" s="136"/>
      <c r="N20" s="89"/>
      <c r="O20" s="89"/>
      <c r="P20" s="91"/>
      <c r="Q20" s="312"/>
      <c r="R20" s="142"/>
      <c r="S20" s="144"/>
      <c r="T20" s="89"/>
      <c r="U20" s="312"/>
      <c r="V20" s="142"/>
      <c r="W20" s="145"/>
      <c r="X20" s="170"/>
      <c r="Y20" s="147"/>
      <c r="AB20" s="63"/>
      <c r="AC20" s="187" t="s">
        <v>252</v>
      </c>
      <c r="AD20" s="188" t="s">
        <v>120</v>
      </c>
      <c r="AE20" s="64" t="s">
        <v>63</v>
      </c>
      <c r="AF20" s="32" t="s">
        <v>63</v>
      </c>
      <c r="AG20" s="63"/>
      <c r="AH20" s="140" t="s">
        <v>302</v>
      </c>
      <c r="AI20" s="48" t="s">
        <v>208</v>
      </c>
      <c r="AJ20" s="64" t="s">
        <v>63</v>
      </c>
      <c r="AK20" s="32"/>
      <c r="AL20" s="63"/>
      <c r="AM20" s="140" t="s">
        <v>302</v>
      </c>
      <c r="AN20" s="48" t="s">
        <v>208</v>
      </c>
      <c r="AO20" s="64" t="s">
        <v>63</v>
      </c>
    </row>
    <row r="21" spans="2:41">
      <c r="B21" s="63"/>
      <c r="C21" s="154" t="s">
        <v>227</v>
      </c>
      <c r="D21" s="202" t="str">
        <f ca="1">$AD$6</f>
        <v>AUD_OIS_CURVE_GENERATOR@1:38</v>
      </c>
      <c r="E21" s="89" t="s">
        <v>63</v>
      </c>
      <c r="F21" s="142" t="str">
        <f>'AUD CURVE TICKERS'!B29</f>
        <v>7Y</v>
      </c>
      <c r="G21" s="143">
        <f>'AUD CURVE TICKERS'!J29%</f>
        <v>2.1015000000000002E-2</v>
      </c>
      <c r="H21" s="133"/>
      <c r="I21" s="133"/>
      <c r="J21" s="134" t="b">
        <v>1</v>
      </c>
      <c r="K21" s="89"/>
      <c r="L21" s="135"/>
      <c r="M21" s="136"/>
      <c r="N21" s="89"/>
      <c r="O21" s="89"/>
      <c r="P21" s="91"/>
      <c r="Q21" s="91"/>
      <c r="R21" s="142"/>
      <c r="S21" s="144"/>
      <c r="T21" s="89"/>
      <c r="U21" s="312"/>
      <c r="V21" s="142"/>
      <c r="W21" s="145"/>
      <c r="X21" s="89"/>
      <c r="Y21" s="64"/>
      <c r="AB21" s="63"/>
      <c r="AC21" s="187" t="s">
        <v>253</v>
      </c>
      <c r="AD21" s="188" t="s">
        <v>254</v>
      </c>
      <c r="AE21" s="64" t="s">
        <v>63</v>
      </c>
      <c r="AF21" s="32" t="s">
        <v>63</v>
      </c>
      <c r="AG21" s="63"/>
      <c r="AH21" s="140" t="s">
        <v>303</v>
      </c>
      <c r="AI21" s="48" t="b">
        <v>1</v>
      </c>
      <c r="AJ21" s="64" t="s">
        <v>63</v>
      </c>
      <c r="AK21" s="32"/>
      <c r="AL21" s="63"/>
      <c r="AM21" s="140" t="s">
        <v>303</v>
      </c>
      <c r="AN21" s="48" t="b">
        <v>0</v>
      </c>
      <c r="AO21" s="64" t="s">
        <v>63</v>
      </c>
    </row>
    <row r="22" spans="2:41">
      <c r="B22" s="63"/>
      <c r="C22" s="154" t="s">
        <v>228</v>
      </c>
      <c r="D22" s="155" t="s">
        <v>111</v>
      </c>
      <c r="E22" s="89" t="s">
        <v>63</v>
      </c>
      <c r="F22" s="142" t="str">
        <f>'AUD CURVE TICKERS'!B30</f>
        <v>8Y</v>
      </c>
      <c r="G22" s="143">
        <f>'AUD CURVE TICKERS'!J30%</f>
        <v>2.1629999999999996E-2</v>
      </c>
      <c r="H22" s="133"/>
      <c r="I22" s="133"/>
      <c r="J22" s="134" t="b">
        <v>1</v>
      </c>
      <c r="K22" s="89"/>
      <c r="L22" s="135"/>
      <c r="M22" s="136"/>
      <c r="N22" s="89"/>
      <c r="O22" s="89"/>
      <c r="P22" s="91"/>
      <c r="Q22" s="91"/>
      <c r="R22" s="142"/>
      <c r="S22" s="144"/>
      <c r="T22" s="89"/>
      <c r="U22" s="312"/>
      <c r="V22" s="142"/>
      <c r="W22" s="145"/>
      <c r="X22" s="89"/>
      <c r="Y22" s="64"/>
      <c r="AB22" s="63"/>
      <c r="AC22" s="187" t="s">
        <v>255</v>
      </c>
      <c r="AD22" s="188" t="s">
        <v>256</v>
      </c>
      <c r="AE22" s="64" t="s">
        <v>63</v>
      </c>
      <c r="AF22" s="32" t="s">
        <v>63</v>
      </c>
      <c r="AG22" s="63"/>
      <c r="AH22" s="140" t="s">
        <v>304</v>
      </c>
      <c r="AI22" s="48" t="s">
        <v>305</v>
      </c>
      <c r="AJ22" s="64" t="s">
        <v>63</v>
      </c>
      <c r="AK22" s="32"/>
      <c r="AL22" s="63"/>
      <c r="AM22" s="140" t="s">
        <v>306</v>
      </c>
      <c r="AN22" s="48" t="b">
        <v>1</v>
      </c>
      <c r="AO22" s="64" t="s">
        <v>63</v>
      </c>
    </row>
    <row r="23" spans="2:41">
      <c r="B23" s="63"/>
      <c r="C23" s="156" t="s">
        <v>229</v>
      </c>
      <c r="D23" s="157"/>
      <c r="E23" s="89" t="s">
        <v>63</v>
      </c>
      <c r="F23" s="142" t="str">
        <f>'AUD CURVE TICKERS'!B31</f>
        <v>9Y</v>
      </c>
      <c r="G23" s="143">
        <f>'AUD CURVE TICKERS'!J31%</f>
        <v>2.2250000000000002E-2</v>
      </c>
      <c r="H23" s="133"/>
      <c r="I23" s="133"/>
      <c r="J23" s="134" t="b">
        <v>1</v>
      </c>
      <c r="K23" s="89"/>
      <c r="L23" s="135"/>
      <c r="M23" s="136"/>
      <c r="N23" s="89"/>
      <c r="O23" s="89"/>
      <c r="P23" s="290"/>
      <c r="Q23" s="290"/>
      <c r="R23" s="142"/>
      <c r="S23" s="145"/>
      <c r="T23" s="89"/>
      <c r="U23" s="312"/>
      <c r="V23" s="142"/>
      <c r="W23" s="145"/>
      <c r="X23" s="89"/>
      <c r="Y23" s="64"/>
      <c r="AB23" s="63"/>
      <c r="AC23" s="187" t="s">
        <v>257</v>
      </c>
      <c r="AD23" s="188" t="s">
        <v>69</v>
      </c>
      <c r="AE23" s="64" t="s">
        <v>63</v>
      </c>
      <c r="AF23" s="32" t="s">
        <v>63</v>
      </c>
      <c r="AG23" s="63"/>
      <c r="AH23" s="140" t="s">
        <v>306</v>
      </c>
      <c r="AI23" s="48" t="b">
        <v>1</v>
      </c>
      <c r="AJ23" s="64" t="s">
        <v>63</v>
      </c>
      <c r="AK23" s="32"/>
      <c r="AL23" s="63"/>
      <c r="AM23" s="140"/>
      <c r="AN23" s="48"/>
      <c r="AO23" s="64" t="s">
        <v>63</v>
      </c>
    </row>
    <row r="24" spans="2:41">
      <c r="B24" s="63"/>
      <c r="C24" s="89"/>
      <c r="D24" s="150"/>
      <c r="E24" s="89" t="s">
        <v>63</v>
      </c>
      <c r="F24" s="142" t="str">
        <f>'AUD CURVE TICKERS'!B32</f>
        <v>10Y</v>
      </c>
      <c r="G24" s="143">
        <f>'AUD CURVE TICKERS'!J32%</f>
        <v>2.2850000000000002E-2</v>
      </c>
      <c r="H24" s="133"/>
      <c r="I24" s="133"/>
      <c r="J24" s="134" t="b">
        <v>1</v>
      </c>
      <c r="K24" s="89"/>
      <c r="L24" s="135"/>
      <c r="M24" s="136"/>
      <c r="N24" s="89"/>
      <c r="O24" s="89"/>
      <c r="P24" s="290"/>
      <c r="Q24" s="290"/>
      <c r="R24" s="142"/>
      <c r="S24" s="145"/>
      <c r="T24" s="89"/>
      <c r="U24" s="312"/>
      <c r="V24" s="142"/>
      <c r="W24" s="145"/>
      <c r="X24" s="89"/>
      <c r="Y24" s="64"/>
      <c r="AB24" s="63"/>
      <c r="AC24" s="180" t="s">
        <v>258</v>
      </c>
      <c r="AD24" s="188" t="s">
        <v>259</v>
      </c>
      <c r="AE24" s="64" t="s">
        <v>63</v>
      </c>
      <c r="AF24" s="32" t="s">
        <v>63</v>
      </c>
      <c r="AG24" s="63"/>
      <c r="AH24" s="146"/>
      <c r="AI24" s="184"/>
      <c r="AJ24" s="64" t="s">
        <v>63</v>
      </c>
      <c r="AK24" s="32"/>
      <c r="AL24" s="63"/>
      <c r="AM24" s="146"/>
      <c r="AN24" s="184"/>
      <c r="AO24" s="64" t="s">
        <v>63</v>
      </c>
    </row>
    <row r="25" spans="2:41">
      <c r="B25" s="63"/>
      <c r="C25" s="89"/>
      <c r="D25" s="150"/>
      <c r="E25" s="89" t="s">
        <v>63</v>
      </c>
      <c r="F25" s="142" t="str">
        <f>'AUD CURVE TICKERS'!B33</f>
        <v>15Y</v>
      </c>
      <c r="G25" s="143">
        <f>'AUD CURVE TICKERS'!J33%</f>
        <v>2.46E-2</v>
      </c>
      <c r="H25" s="133"/>
      <c r="I25" s="133"/>
      <c r="J25" s="134" t="b">
        <v>1</v>
      </c>
      <c r="K25" s="89"/>
      <c r="L25" s="135"/>
      <c r="M25" s="136"/>
      <c r="N25" s="89"/>
      <c r="O25" s="89"/>
      <c r="P25" s="290"/>
      <c r="Q25" s="290"/>
      <c r="R25" s="142"/>
      <c r="S25" s="145"/>
      <c r="T25" s="89"/>
      <c r="U25" s="312"/>
      <c r="V25" s="142"/>
      <c r="W25" s="145"/>
      <c r="X25" s="89"/>
      <c r="Y25" s="64"/>
      <c r="AB25" s="63"/>
      <c r="AC25" s="189" t="s">
        <v>260</v>
      </c>
      <c r="AD25" s="190" t="s">
        <v>49</v>
      </c>
      <c r="AE25" s="64" t="s">
        <v>63</v>
      </c>
      <c r="AF25" s="32" t="s">
        <v>63</v>
      </c>
      <c r="AG25" s="63"/>
      <c r="AH25" s="89"/>
      <c r="AI25" s="89"/>
      <c r="AJ25" s="64" t="s">
        <v>63</v>
      </c>
      <c r="AK25" s="32"/>
      <c r="AL25" s="63"/>
      <c r="AM25" s="89"/>
      <c r="AN25" s="89"/>
      <c r="AO25" s="64" t="s">
        <v>63</v>
      </c>
    </row>
    <row r="26" spans="2:41">
      <c r="B26" s="63"/>
      <c r="C26" s="151" t="s">
        <v>230</v>
      </c>
      <c r="D26" s="150"/>
      <c r="E26" s="89" t="s">
        <v>63</v>
      </c>
      <c r="F26" s="142" t="str">
        <f>'AUD CURVE TICKERS'!B34</f>
        <v>20Y</v>
      </c>
      <c r="G26" s="143">
        <f>'AUD CURVE TICKERS'!J34%</f>
        <v>2.461E-2</v>
      </c>
      <c r="H26" s="133"/>
      <c r="I26" s="133"/>
      <c r="J26" s="134" t="b">
        <v>1</v>
      </c>
      <c r="K26" s="89"/>
      <c r="L26" s="135"/>
      <c r="M26" s="136"/>
      <c r="N26" s="89"/>
      <c r="O26" s="89"/>
      <c r="P26" s="290"/>
      <c r="Q26" s="290"/>
      <c r="R26" s="142"/>
      <c r="S26" s="145"/>
      <c r="T26" s="89"/>
      <c r="U26" s="312"/>
      <c r="V26" s="142"/>
      <c r="W26" s="145"/>
      <c r="X26" s="89"/>
      <c r="Y26" s="64"/>
      <c r="AB26" s="63"/>
      <c r="AC26" s="187" t="s">
        <v>261</v>
      </c>
      <c r="AD26" s="188">
        <v>31</v>
      </c>
      <c r="AE26" s="64" t="s">
        <v>63</v>
      </c>
      <c r="AF26" s="32" t="s">
        <v>63</v>
      </c>
      <c r="AG26" s="63"/>
      <c r="AH26" s="207" t="s">
        <v>307</v>
      </c>
      <c r="AI26" s="208"/>
      <c r="AJ26" s="64" t="s">
        <v>63</v>
      </c>
      <c r="AK26" s="32"/>
      <c r="AL26" s="63"/>
      <c r="AM26" s="207" t="s">
        <v>307</v>
      </c>
      <c r="AN26" s="208"/>
      <c r="AO26" s="64" t="s">
        <v>63</v>
      </c>
    </row>
    <row r="27" spans="2:41">
      <c r="B27" s="63"/>
      <c r="C27" s="158" t="s">
        <v>66</v>
      </c>
      <c r="D27" s="277" t="str">
        <f t="array" aca="1" ref="D27:D30" ca="1">_xll.meLWOCurveCalibrate(D20,D21,D14,D22,D23)</f>
        <v>AUD_OIS_CURVE@3:37</v>
      </c>
      <c r="E27" s="89" t="s">
        <v>63</v>
      </c>
      <c r="F27" s="142" t="str">
        <f>'AUD CURVE TICKERS'!B35</f>
        <v>25Y</v>
      </c>
      <c r="G27" s="143">
        <f>'AUD CURVE TICKERS'!J35%</f>
        <v>2.5080000000000002E-2</v>
      </c>
      <c r="H27" s="133"/>
      <c r="I27" s="133"/>
      <c r="J27" s="134" t="b">
        <v>1</v>
      </c>
      <c r="K27" s="89"/>
      <c r="L27" s="135"/>
      <c r="M27" s="136"/>
      <c r="N27" s="89"/>
      <c r="O27" s="89"/>
      <c r="P27" s="290"/>
      <c r="Q27" s="290"/>
      <c r="R27" s="142"/>
      <c r="S27" s="145"/>
      <c r="T27" s="89"/>
      <c r="U27" s="312"/>
      <c r="V27" s="142"/>
      <c r="W27" s="145"/>
      <c r="X27" s="89"/>
      <c r="Y27" s="64"/>
      <c r="AB27" s="63"/>
      <c r="AC27" s="187" t="s">
        <v>262</v>
      </c>
      <c r="AD27" s="188" t="b">
        <v>1</v>
      </c>
      <c r="AE27" s="64" t="s">
        <v>63</v>
      </c>
      <c r="AF27" s="32" t="s">
        <v>63</v>
      </c>
      <c r="AG27" s="63"/>
      <c r="AH27" s="185" t="s">
        <v>71</v>
      </c>
      <c r="AI27" s="197" t="s">
        <v>277</v>
      </c>
      <c r="AJ27" s="64" t="s">
        <v>63</v>
      </c>
      <c r="AK27" s="32"/>
      <c r="AL27" s="63"/>
      <c r="AM27" s="185" t="s">
        <v>71</v>
      </c>
      <c r="AN27" s="197" t="s">
        <v>277</v>
      </c>
      <c r="AO27" s="64" t="s">
        <v>63</v>
      </c>
    </row>
    <row r="28" spans="2:41">
      <c r="B28" s="63"/>
      <c r="C28" s="159" t="s">
        <v>231</v>
      </c>
      <c r="D28" s="278" t="str">
        <f ca="1"/>
        <v>AUDYC</v>
      </c>
      <c r="E28" s="89" t="s">
        <v>63</v>
      </c>
      <c r="F28" s="142" t="str">
        <f>'AUD CURVE TICKERS'!B36</f>
        <v>30Y</v>
      </c>
      <c r="G28" s="143">
        <f>'AUD CURVE TICKERS'!J36%</f>
        <v>2.4039999999999999E-2</v>
      </c>
      <c r="H28" s="133"/>
      <c r="I28" s="133"/>
      <c r="J28" s="134" t="b">
        <v>1</v>
      </c>
      <c r="K28" s="89"/>
      <c r="L28" s="135"/>
      <c r="M28" s="136"/>
      <c r="N28" s="89"/>
      <c r="O28" s="89"/>
      <c r="P28" s="290"/>
      <c r="Q28" s="290"/>
      <c r="R28" s="142"/>
      <c r="S28" s="145"/>
      <c r="T28" s="89"/>
      <c r="U28" s="312"/>
      <c r="V28" s="142"/>
      <c r="W28" s="145"/>
      <c r="X28" s="89"/>
      <c r="Y28" s="64"/>
      <c r="AB28" s="63"/>
      <c r="AC28" s="187" t="s">
        <v>263</v>
      </c>
      <c r="AD28" s="191" t="s">
        <v>264</v>
      </c>
      <c r="AE28" s="64" t="s">
        <v>63</v>
      </c>
      <c r="AF28" s="32" t="s">
        <v>63</v>
      </c>
      <c r="AG28" s="63"/>
      <c r="AH28" s="187" t="s">
        <v>28</v>
      </c>
      <c r="AI28" s="188" t="s">
        <v>120</v>
      </c>
      <c r="AJ28" s="64" t="s">
        <v>63</v>
      </c>
      <c r="AK28" s="32"/>
      <c r="AL28" s="63"/>
      <c r="AM28" s="187" t="s">
        <v>28</v>
      </c>
      <c r="AN28" s="188" t="s">
        <v>120</v>
      </c>
      <c r="AO28" s="64" t="s">
        <v>63</v>
      </c>
    </row>
    <row r="29" spans="2:41">
      <c r="B29" s="63"/>
      <c r="C29" s="159" t="s">
        <v>232</v>
      </c>
      <c r="D29" s="278" t="str">
        <f ca="1"/>
        <v>OIS:AUDOIS:AUDDF:AUDDF_AUDCSA:AUDDF_NOCSA</v>
      </c>
      <c r="E29" s="89" t="s">
        <v>63</v>
      </c>
      <c r="F29" s="142"/>
      <c r="G29" s="143"/>
      <c r="H29" s="133"/>
      <c r="I29" s="133"/>
      <c r="J29" s="134"/>
      <c r="K29" s="89"/>
      <c r="L29" s="135"/>
      <c r="M29" s="136"/>
      <c r="N29" s="89"/>
      <c r="O29" s="89"/>
      <c r="P29" s="290"/>
      <c r="Q29" s="290"/>
      <c r="R29" s="142"/>
      <c r="S29" s="145"/>
      <c r="T29" s="89"/>
      <c r="U29" s="312"/>
      <c r="V29" s="142"/>
      <c r="W29" s="145"/>
      <c r="X29" s="89"/>
      <c r="Y29" s="64"/>
      <c r="AB29" s="63"/>
      <c r="AC29" s="187" t="s">
        <v>265</v>
      </c>
      <c r="AD29" s="48" t="s">
        <v>371</v>
      </c>
      <c r="AE29" s="64"/>
      <c r="AF29" s="32" t="s">
        <v>63</v>
      </c>
      <c r="AG29" s="63"/>
      <c r="AH29" s="187" t="s">
        <v>308</v>
      </c>
      <c r="AI29" s="188" t="s">
        <v>309</v>
      </c>
      <c r="AJ29" s="64" t="s">
        <v>63</v>
      </c>
      <c r="AK29" s="32"/>
      <c r="AL29" s="63"/>
      <c r="AM29" s="187" t="s">
        <v>308</v>
      </c>
      <c r="AN29" s="188" t="s">
        <v>309</v>
      </c>
      <c r="AO29" s="64" t="s">
        <v>63</v>
      </c>
    </row>
    <row r="30" spans="2:41">
      <c r="B30" s="63"/>
      <c r="C30" s="160" t="s">
        <v>233</v>
      </c>
      <c r="D30" s="279" t="str">
        <f ca="1"/>
        <v>0.01500 sec</v>
      </c>
      <c r="E30" s="89" t="s">
        <v>63</v>
      </c>
      <c r="F30" s="142"/>
      <c r="G30" s="143"/>
      <c r="H30" s="133"/>
      <c r="I30" s="133"/>
      <c r="J30" s="134"/>
      <c r="K30" s="89"/>
      <c r="L30" s="135"/>
      <c r="M30" s="136"/>
      <c r="N30" s="89"/>
      <c r="O30" s="89"/>
      <c r="P30" s="290"/>
      <c r="Q30" s="290"/>
      <c r="R30" s="142"/>
      <c r="S30" s="145"/>
      <c r="T30" s="89"/>
      <c r="U30" s="312"/>
      <c r="V30" s="142"/>
      <c r="W30" s="145"/>
      <c r="X30" s="89"/>
      <c r="Y30" s="64"/>
      <c r="AB30" s="63"/>
      <c r="AC30" s="182" t="s">
        <v>266</v>
      </c>
      <c r="AD30" s="192" t="s">
        <v>182</v>
      </c>
      <c r="AE30" s="64"/>
      <c r="AF30" s="32" t="s">
        <v>63</v>
      </c>
      <c r="AG30" s="63"/>
      <c r="AH30" s="156"/>
      <c r="AI30" s="261"/>
      <c r="AJ30" s="64" t="s">
        <v>63</v>
      </c>
      <c r="AK30" s="32"/>
      <c r="AL30" s="63"/>
      <c r="AM30" s="156"/>
      <c r="AN30" s="261"/>
      <c r="AO30" s="64" t="s">
        <v>63</v>
      </c>
    </row>
    <row r="31" spans="2:41">
      <c r="B31" s="63"/>
      <c r="C31" s="161" t="s">
        <v>234</v>
      </c>
      <c r="D31" s="243" t="b">
        <f ca="1">LEFT($D$27,3)=LEFT($D$20,3)</f>
        <v>1</v>
      </c>
      <c r="E31" s="89" t="s">
        <v>63</v>
      </c>
      <c r="F31" s="162"/>
      <c r="G31" s="163"/>
      <c r="H31" s="164"/>
      <c r="I31" s="164"/>
      <c r="J31" s="165"/>
      <c r="K31" s="89"/>
      <c r="L31" s="166"/>
      <c r="M31" s="167"/>
      <c r="N31" s="89"/>
      <c r="O31" s="89"/>
      <c r="P31" s="290"/>
      <c r="Q31" s="290"/>
      <c r="R31" s="162"/>
      <c r="S31" s="168"/>
      <c r="T31" s="89"/>
      <c r="U31" s="312"/>
      <c r="V31" s="162"/>
      <c r="W31" s="168"/>
      <c r="X31" s="89"/>
      <c r="Y31" s="64"/>
      <c r="AB31" s="63"/>
      <c r="AC31" s="182" t="s">
        <v>267</v>
      </c>
      <c r="AD31" s="191" t="s">
        <v>121</v>
      </c>
      <c r="AE31" s="64" t="s">
        <v>63</v>
      </c>
      <c r="AF31" s="32" t="s">
        <v>63</v>
      </c>
      <c r="AG31" s="63"/>
      <c r="AH31" s="89"/>
      <c r="AI31" s="89"/>
      <c r="AJ31" s="64" t="s">
        <v>63</v>
      </c>
      <c r="AK31" s="32"/>
      <c r="AL31" s="63"/>
      <c r="AM31" s="89"/>
      <c r="AN31" s="89"/>
      <c r="AO31" s="64" t="s">
        <v>63</v>
      </c>
    </row>
    <row r="32" spans="2:41">
      <c r="B32" s="65"/>
      <c r="C32" s="171"/>
      <c r="D32" s="280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5"/>
      <c r="S32" s="171"/>
      <c r="T32" s="171"/>
      <c r="U32" s="171"/>
      <c r="V32" s="171"/>
      <c r="W32" s="171"/>
      <c r="X32" s="171"/>
      <c r="Y32" s="66"/>
      <c r="AB32" s="63"/>
      <c r="AC32" s="187" t="s">
        <v>268</v>
      </c>
      <c r="AD32" s="48">
        <v>1E-10</v>
      </c>
      <c r="AE32" s="64" t="s">
        <v>63</v>
      </c>
      <c r="AF32" s="32" t="s">
        <v>63</v>
      </c>
      <c r="AG32" s="63"/>
      <c r="AH32" s="207" t="s">
        <v>287</v>
      </c>
      <c r="AI32" s="208"/>
      <c r="AJ32" s="64" t="s">
        <v>63</v>
      </c>
      <c r="AK32" s="32"/>
      <c r="AL32" s="63"/>
      <c r="AM32" s="207" t="s">
        <v>287</v>
      </c>
      <c r="AN32" s="208"/>
      <c r="AO32" s="64" t="s">
        <v>63</v>
      </c>
    </row>
    <row r="33" spans="2:41">
      <c r="AB33" s="63"/>
      <c r="AC33" s="187" t="s">
        <v>269</v>
      </c>
      <c r="AD33" s="47">
        <v>1000</v>
      </c>
      <c r="AE33" s="64" t="s">
        <v>63</v>
      </c>
      <c r="AF33" s="32" t="s">
        <v>63</v>
      </c>
      <c r="AG33" s="63"/>
      <c r="AH33" s="185" t="s">
        <v>71</v>
      </c>
      <c r="AI33" s="197" t="s">
        <v>277</v>
      </c>
      <c r="AJ33" s="64" t="s">
        <v>63</v>
      </c>
      <c r="AK33" s="32"/>
      <c r="AL33" s="63"/>
      <c r="AM33" s="185" t="s">
        <v>71</v>
      </c>
      <c r="AN33" s="197" t="s">
        <v>277</v>
      </c>
      <c r="AO33" s="64" t="s">
        <v>63</v>
      </c>
    </row>
    <row r="34" spans="2:41">
      <c r="AB34" s="63"/>
      <c r="AC34" s="187" t="s">
        <v>270</v>
      </c>
      <c r="AD34" s="191" t="s">
        <v>271</v>
      </c>
      <c r="AE34" s="64" t="s">
        <v>63</v>
      </c>
      <c r="AF34" s="32" t="s">
        <v>63</v>
      </c>
      <c r="AG34" s="63"/>
      <c r="AH34" s="189" t="s">
        <v>47</v>
      </c>
      <c r="AI34" s="262" t="s">
        <v>120</v>
      </c>
      <c r="AJ34" s="64" t="s">
        <v>63</v>
      </c>
      <c r="AK34" s="32"/>
      <c r="AL34" s="63"/>
      <c r="AM34" s="189" t="s">
        <v>47</v>
      </c>
      <c r="AN34" s="262" t="s">
        <v>120</v>
      </c>
      <c r="AO34" s="64" t="s">
        <v>63</v>
      </c>
    </row>
    <row r="35" spans="2:41">
      <c r="B35" s="1" t="s">
        <v>293</v>
      </c>
      <c r="AB35" s="63"/>
      <c r="AC35" s="154" t="s">
        <v>272</v>
      </c>
      <c r="AD35" s="188" t="b">
        <v>0</v>
      </c>
      <c r="AE35" s="64" t="s">
        <v>63</v>
      </c>
      <c r="AF35" s="32" t="s">
        <v>63</v>
      </c>
      <c r="AG35" s="63"/>
      <c r="AH35" s="180" t="s">
        <v>20</v>
      </c>
      <c r="AI35" s="188" t="s">
        <v>310</v>
      </c>
      <c r="AJ35" s="64" t="s">
        <v>63</v>
      </c>
      <c r="AK35" s="32"/>
      <c r="AL35" s="63"/>
      <c r="AM35" s="180" t="s">
        <v>20</v>
      </c>
      <c r="AN35" s="188" t="s">
        <v>310</v>
      </c>
      <c r="AO35" s="64" t="s">
        <v>63</v>
      </c>
    </row>
    <row r="36" spans="2:41">
      <c r="B36" s="204"/>
      <c r="C36" s="205"/>
      <c r="D36" s="281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47"/>
      <c r="AB36" s="63"/>
      <c r="AC36" s="194"/>
      <c r="AD36" s="195"/>
      <c r="AE36" s="64" t="s">
        <v>63</v>
      </c>
      <c r="AF36" s="32" t="s">
        <v>63</v>
      </c>
      <c r="AG36" s="63"/>
      <c r="AH36" s="180" t="s">
        <v>311</v>
      </c>
      <c r="AI36" s="262">
        <v>0</v>
      </c>
      <c r="AJ36" s="64" t="s">
        <v>63</v>
      </c>
      <c r="AK36" s="32"/>
      <c r="AL36" s="63"/>
      <c r="AM36" s="180" t="s">
        <v>311</v>
      </c>
      <c r="AN36" s="262">
        <v>0</v>
      </c>
      <c r="AO36" s="64" t="s">
        <v>63</v>
      </c>
    </row>
    <row r="37" spans="2:41">
      <c r="B37" s="206"/>
      <c r="C37" s="207" t="s">
        <v>207</v>
      </c>
      <c r="D37" s="282"/>
      <c r="E37" s="89"/>
      <c r="F37" s="207" t="s">
        <v>287</v>
      </c>
      <c r="G37" s="208"/>
      <c r="H37" s="89"/>
      <c r="I37" s="207" t="s">
        <v>288</v>
      </c>
      <c r="J37" s="208"/>
      <c r="K37" s="89"/>
      <c r="L37" s="207" t="s">
        <v>289</v>
      </c>
      <c r="M37" s="74"/>
      <c r="N37" s="208"/>
      <c r="O37" s="208"/>
      <c r="P37" s="208"/>
      <c r="Q37" s="89"/>
      <c r="R37" s="207" t="s">
        <v>211</v>
      </c>
      <c r="S37" s="89"/>
      <c r="T37" s="89"/>
      <c r="U37" s="89"/>
      <c r="V37" s="207" t="s">
        <v>294</v>
      </c>
      <c r="W37" s="89"/>
      <c r="X37" s="89"/>
      <c r="Y37" s="248"/>
      <c r="AB37" s="63"/>
      <c r="AC37" s="89"/>
      <c r="AD37" s="89"/>
      <c r="AE37" s="64" t="s">
        <v>63</v>
      </c>
      <c r="AF37" s="32" t="s">
        <v>63</v>
      </c>
      <c r="AG37" s="63"/>
      <c r="AH37" s="180" t="s">
        <v>312</v>
      </c>
      <c r="AI37" s="188" t="s">
        <v>49</v>
      </c>
      <c r="AJ37" s="64" t="s">
        <v>63</v>
      </c>
      <c r="AK37" s="32"/>
      <c r="AL37" s="63"/>
      <c r="AM37" s="180" t="s">
        <v>312</v>
      </c>
      <c r="AN37" s="188" t="s">
        <v>49</v>
      </c>
      <c r="AO37" s="64" t="s">
        <v>63</v>
      </c>
    </row>
    <row r="38" spans="2:41">
      <c r="B38" s="206"/>
      <c r="C38" s="209" t="s">
        <v>5</v>
      </c>
      <c r="D38" s="210" t="s">
        <v>113</v>
      </c>
      <c r="E38" s="89" t="s">
        <v>63</v>
      </c>
      <c r="F38" s="126" t="s">
        <v>212</v>
      </c>
      <c r="G38" s="126" t="s">
        <v>165</v>
      </c>
      <c r="H38" s="150"/>
      <c r="I38" s="126" t="s">
        <v>212</v>
      </c>
      <c r="J38" s="126" t="s">
        <v>165</v>
      </c>
      <c r="K38" s="150"/>
      <c r="L38" s="211" t="s">
        <v>212</v>
      </c>
      <c r="M38" s="211" t="s">
        <v>213</v>
      </c>
      <c r="N38" s="211" t="s">
        <v>214</v>
      </c>
      <c r="O38" s="211" t="s">
        <v>165</v>
      </c>
      <c r="P38" s="211" t="s">
        <v>290</v>
      </c>
      <c r="Q38" s="150"/>
      <c r="R38" s="212" t="s">
        <v>212</v>
      </c>
      <c r="S38" s="126" t="s">
        <v>165</v>
      </c>
      <c r="T38" s="126" t="s">
        <v>164</v>
      </c>
      <c r="U38" s="126"/>
      <c r="V38" s="212" t="s">
        <v>212</v>
      </c>
      <c r="W38" s="126" t="s">
        <v>165</v>
      </c>
      <c r="X38" s="126" t="s">
        <v>164</v>
      </c>
      <c r="Y38" s="248"/>
      <c r="AB38" s="63"/>
      <c r="AC38" s="125" t="s">
        <v>273</v>
      </c>
      <c r="AD38" s="196" t="s">
        <v>274</v>
      </c>
      <c r="AE38" s="64" t="s">
        <v>63</v>
      </c>
      <c r="AF38" s="32" t="s">
        <v>63</v>
      </c>
      <c r="AG38" s="63"/>
      <c r="AH38" s="183"/>
      <c r="AI38" s="263"/>
      <c r="AJ38" s="64" t="s">
        <v>63</v>
      </c>
      <c r="AK38" s="32"/>
      <c r="AL38" s="63"/>
      <c r="AM38" s="183"/>
      <c r="AN38" s="263"/>
      <c r="AO38" s="64" t="s">
        <v>63</v>
      </c>
    </row>
    <row r="39" spans="2:41">
      <c r="B39" s="206"/>
      <c r="C39" s="213" t="s">
        <v>217</v>
      </c>
      <c r="D39" s="214" t="s">
        <v>291</v>
      </c>
      <c r="E39" s="89" t="s">
        <v>63</v>
      </c>
      <c r="F39" s="130" t="str">
        <f>'AUD CURVE TICKERS'!B45</f>
        <v>3M</v>
      </c>
      <c r="G39" s="137">
        <f>'AUD CURVE TICKERS'!J45%</f>
        <v>2.1152999999999998E-2</v>
      </c>
      <c r="H39" s="89"/>
      <c r="I39" s="215"/>
      <c r="J39" s="216"/>
      <c r="K39" s="89"/>
      <c r="L39" s="217" t="str">
        <f>'AUD CURVE TICKERS'!L44</f>
        <v>IR1</v>
      </c>
      <c r="M39" s="218" t="str">
        <f>'AUD CURVE TICKERS'!V44</f>
        <v>14/09/2018</v>
      </c>
      <c r="N39" s="218" t="str">
        <f>'AUD CURVE TICKERS'!W44</f>
        <v>14/12/2018</v>
      </c>
      <c r="O39" s="245">
        <f>'AUD CURVE TICKERS'!T44</f>
        <v>98.015000000000001</v>
      </c>
      <c r="P39" s="339">
        <f t="shared" ref="P39:P44" si="1">Settings.Futures.Convexity.HW1F.Vol</f>
        <v>0.02</v>
      </c>
      <c r="Q39" s="89"/>
      <c r="R39" s="287" t="str">
        <f>'AUD CURVE TICKERS'!Y45</f>
        <v>2Y</v>
      </c>
      <c r="S39" s="285">
        <f>'AUD CURVE TICKERS'!AG45%</f>
        <v>2.0799999999999999E-2</v>
      </c>
      <c r="T39" s="220" t="b">
        <v>1</v>
      </c>
      <c r="U39" s="126"/>
      <c r="V39" s="287" t="str">
        <f>'AUD CURVE TICKERS'!AI45</f>
        <v>2Y</v>
      </c>
      <c r="W39" s="285">
        <f>'AUD CURVE TICKERS'!AQ45/10000</f>
        <v>1.4725000000000001E-3</v>
      </c>
      <c r="X39" s="220" t="b">
        <v>1</v>
      </c>
      <c r="Y39" s="248"/>
      <c r="AB39" s="63"/>
      <c r="AC39" s="185" t="s">
        <v>253</v>
      </c>
      <c r="AD39" s="197" t="s">
        <v>254</v>
      </c>
      <c r="AE39" s="64" t="s">
        <v>63</v>
      </c>
      <c r="AF39" s="32" t="s">
        <v>63</v>
      </c>
      <c r="AG39" s="63"/>
      <c r="AH39" s="89"/>
      <c r="AI39" s="89"/>
      <c r="AJ39" s="64" t="s">
        <v>63</v>
      </c>
      <c r="AK39" s="32"/>
      <c r="AL39" s="63"/>
      <c r="AM39" s="89"/>
      <c r="AN39" s="89"/>
      <c r="AO39" s="64" t="s">
        <v>63</v>
      </c>
    </row>
    <row r="40" spans="2:41">
      <c r="B40" s="206"/>
      <c r="C40" s="213" t="s">
        <v>218</v>
      </c>
      <c r="D40" s="214" t="s">
        <v>46</v>
      </c>
      <c r="E40" s="89" t="s">
        <v>63</v>
      </c>
      <c r="F40" s="142"/>
      <c r="G40" s="144"/>
      <c r="H40" s="89"/>
      <c r="I40" s="221"/>
      <c r="J40" s="222"/>
      <c r="K40" s="89"/>
      <c r="L40" s="244" t="str">
        <f>'AUD CURVE TICKERS'!L45</f>
        <v>IR2</v>
      </c>
      <c r="M40" s="223" t="str">
        <f>'AUD CURVE TICKERS'!V45</f>
        <v>14/12/2018</v>
      </c>
      <c r="N40" s="223" t="str">
        <f>'AUD CURVE TICKERS'!W45</f>
        <v>08/03/2019</v>
      </c>
      <c r="O40" s="246">
        <f>'AUD CURVE TICKERS'!T45</f>
        <v>98.004999999999995</v>
      </c>
      <c r="P40" s="340">
        <f t="shared" si="1"/>
        <v>0.02</v>
      </c>
      <c r="Q40" s="89"/>
      <c r="R40" s="288" t="str">
        <f>'AUD CURVE TICKERS'!Y46</f>
        <v>3Y</v>
      </c>
      <c r="S40" s="286">
        <f>'AUD CURVE TICKERS'!AG46%</f>
        <v>2.1575E-2</v>
      </c>
      <c r="T40" s="227" t="b">
        <v>1</v>
      </c>
      <c r="U40" s="126"/>
      <c r="V40" s="288" t="str">
        <f>'AUD CURVE TICKERS'!AI46</f>
        <v>3Y</v>
      </c>
      <c r="W40" s="286">
        <f>'AUD CURVE TICKERS'!AQ46/10000</f>
        <v>1.4499999999999999E-3</v>
      </c>
      <c r="X40" s="227" t="b">
        <v>1</v>
      </c>
      <c r="Y40" s="248"/>
      <c r="AB40" s="63"/>
      <c r="AC40" s="187" t="s">
        <v>275</v>
      </c>
      <c r="AD40" s="188" t="s">
        <v>49</v>
      </c>
      <c r="AE40" s="64" t="s">
        <v>63</v>
      </c>
      <c r="AF40" s="32" t="s">
        <v>63</v>
      </c>
      <c r="AG40" s="63"/>
      <c r="AH40" s="207" t="s">
        <v>288</v>
      </c>
      <c r="AI40" s="208"/>
      <c r="AJ40" s="64" t="s">
        <v>63</v>
      </c>
      <c r="AK40" s="32"/>
      <c r="AL40" s="63"/>
      <c r="AM40" s="207" t="s">
        <v>288</v>
      </c>
      <c r="AN40" s="208"/>
      <c r="AO40" s="64" t="s">
        <v>63</v>
      </c>
    </row>
    <row r="41" spans="2:41">
      <c r="B41" s="206"/>
      <c r="C41" s="213" t="s">
        <v>220</v>
      </c>
      <c r="D41" s="283">
        <f ca="1">Settings.COB</f>
        <v>43278</v>
      </c>
      <c r="E41" s="89" t="s">
        <v>63</v>
      </c>
      <c r="F41" s="142"/>
      <c r="G41" s="144"/>
      <c r="H41" s="89"/>
      <c r="I41" s="221"/>
      <c r="J41" s="222"/>
      <c r="K41" s="89"/>
      <c r="L41" s="244" t="str">
        <f>'AUD CURVE TICKERS'!L46</f>
        <v>IR3</v>
      </c>
      <c r="M41" s="223" t="str">
        <f>'AUD CURVE TICKERS'!V46</f>
        <v>08/03/2019</v>
      </c>
      <c r="N41" s="223" t="str">
        <f>'AUD CURVE TICKERS'!W46</f>
        <v>14/06/2019</v>
      </c>
      <c r="O41" s="246">
        <f>'AUD CURVE TICKERS'!T46</f>
        <v>97.975000000000009</v>
      </c>
      <c r="P41" s="341">
        <f t="shared" si="1"/>
        <v>0.02</v>
      </c>
      <c r="Q41" s="89"/>
      <c r="R41" s="288" t="str">
        <f>'AUD CURVE TICKERS'!Y47</f>
        <v>4Y</v>
      </c>
      <c r="S41" s="286">
        <f>'AUD CURVE TICKERS'!AG47%</f>
        <v>2.3937499999999997E-2</v>
      </c>
      <c r="T41" s="227" t="b">
        <v>1</v>
      </c>
      <c r="U41" s="126"/>
      <c r="V41" s="288" t="str">
        <f>'AUD CURVE TICKERS'!AI47</f>
        <v>4Y</v>
      </c>
      <c r="W41" s="286">
        <f>'AUD CURVE TICKERS'!AQ47/10000</f>
        <v>1.4400000000000001E-3</v>
      </c>
      <c r="X41" s="227" t="b">
        <v>1</v>
      </c>
      <c r="Y41" s="248"/>
      <c r="AB41" s="63"/>
      <c r="AC41" s="187"/>
      <c r="AD41" s="193"/>
      <c r="AE41" s="64" t="s">
        <v>63</v>
      </c>
      <c r="AF41" s="32" t="s">
        <v>63</v>
      </c>
      <c r="AG41" s="63"/>
      <c r="AH41" s="148" t="s">
        <v>71</v>
      </c>
      <c r="AI41" s="264" t="s">
        <v>277</v>
      </c>
      <c r="AJ41" s="64" t="s">
        <v>63</v>
      </c>
      <c r="AK41" s="32"/>
      <c r="AL41" s="63"/>
      <c r="AM41" s="148" t="s">
        <v>71</v>
      </c>
      <c r="AN41" s="264" t="s">
        <v>277</v>
      </c>
      <c r="AO41" s="64" t="s">
        <v>63</v>
      </c>
    </row>
    <row r="42" spans="2:41">
      <c r="B42" s="206"/>
      <c r="C42" s="230"/>
      <c r="D42" s="231"/>
      <c r="E42" s="89" t="s">
        <v>63</v>
      </c>
      <c r="F42" s="142"/>
      <c r="G42" s="144"/>
      <c r="H42" s="89"/>
      <c r="I42" s="221"/>
      <c r="J42" s="222"/>
      <c r="K42" s="89"/>
      <c r="L42" s="244" t="str">
        <f>'AUD CURVE TICKERS'!L47</f>
        <v>IR4</v>
      </c>
      <c r="M42" s="223" t="str">
        <f>'AUD CURVE TICKERS'!V47</f>
        <v>14/06/2019</v>
      </c>
      <c r="N42" s="223" t="str">
        <f>'AUD CURVE TICKERS'!W47</f>
        <v>13/09/2019</v>
      </c>
      <c r="O42" s="246">
        <f>'AUD CURVE TICKERS'!T47</f>
        <v>97.945000000000007</v>
      </c>
      <c r="P42" s="341">
        <f t="shared" si="1"/>
        <v>0.02</v>
      </c>
      <c r="Q42" s="89"/>
      <c r="R42" s="288" t="str">
        <f>'AUD CURVE TICKERS'!Y48</f>
        <v>5Y</v>
      </c>
      <c r="S42" s="286">
        <f>'AUD CURVE TICKERS'!AG48%</f>
        <v>2.4860000000000004E-2</v>
      </c>
      <c r="T42" s="227" t="b">
        <v>1</v>
      </c>
      <c r="U42" s="126"/>
      <c r="V42" s="288" t="str">
        <f>'AUD CURVE TICKERS'!AI48</f>
        <v>5Y</v>
      </c>
      <c r="W42" s="286">
        <f>'AUD CURVE TICKERS'!AQ48/10000</f>
        <v>1.4224999999999999E-3</v>
      </c>
      <c r="X42" s="227" t="b">
        <v>1</v>
      </c>
      <c r="Y42" s="248"/>
      <c r="AB42" s="63"/>
      <c r="AC42" s="194"/>
      <c r="AD42" s="195"/>
      <c r="AE42" s="64" t="s">
        <v>63</v>
      </c>
      <c r="AF42" s="32" t="s">
        <v>63</v>
      </c>
      <c r="AG42" s="63"/>
      <c r="AH42" s="230" t="s">
        <v>28</v>
      </c>
      <c r="AI42" s="39" t="s">
        <v>120</v>
      </c>
      <c r="AJ42" s="64" t="s">
        <v>63</v>
      </c>
      <c r="AK42" s="32"/>
      <c r="AL42" s="63"/>
      <c r="AM42" s="230" t="s">
        <v>28</v>
      </c>
      <c r="AN42" s="39" t="s">
        <v>120</v>
      </c>
      <c r="AO42" s="64" t="s">
        <v>63</v>
      </c>
    </row>
    <row r="43" spans="2:41">
      <c r="B43" s="206"/>
      <c r="C43" s="149"/>
      <c r="D43" s="232"/>
      <c r="E43" s="89" t="s">
        <v>63</v>
      </c>
      <c r="F43" s="233"/>
      <c r="G43" s="168"/>
      <c r="H43" s="89"/>
      <c r="I43" s="221"/>
      <c r="J43" s="222"/>
      <c r="K43" s="89"/>
      <c r="L43" s="244" t="str">
        <f>'AUD CURVE TICKERS'!L48</f>
        <v>IR5</v>
      </c>
      <c r="M43" s="223" t="str">
        <f>'AUD CURVE TICKERS'!V48</f>
        <v>13/09/2019</v>
      </c>
      <c r="N43" s="223" t="str">
        <f>'AUD CURVE TICKERS'!W48</f>
        <v>13/12/2019</v>
      </c>
      <c r="O43" s="246">
        <f>'AUD CURVE TICKERS'!T48</f>
        <v>97.894999999999996</v>
      </c>
      <c r="P43" s="341">
        <f t="shared" si="1"/>
        <v>0.02</v>
      </c>
      <c r="Q43" s="89"/>
      <c r="R43" s="288" t="str">
        <f>'AUD CURVE TICKERS'!Y49</f>
        <v>6Y</v>
      </c>
      <c r="S43" s="286">
        <f>'AUD CURVE TICKERS'!AG49%</f>
        <v>2.5675E-2</v>
      </c>
      <c r="T43" s="227" t="b">
        <v>1</v>
      </c>
      <c r="U43" s="126"/>
      <c r="V43" s="288" t="str">
        <f>'AUD CURVE TICKERS'!AI49</f>
        <v>6Y</v>
      </c>
      <c r="W43" s="286">
        <f>'AUD CURVE TICKERS'!AQ49/10000</f>
        <v>1.39E-3</v>
      </c>
      <c r="X43" s="227" t="b">
        <v>1</v>
      </c>
      <c r="Y43" s="248"/>
      <c r="AB43" s="63"/>
      <c r="AC43" s="89"/>
      <c r="AD43" s="89"/>
      <c r="AE43" s="64" t="s">
        <v>63</v>
      </c>
      <c r="AF43" s="32" t="s">
        <v>63</v>
      </c>
      <c r="AG43" s="63"/>
      <c r="AH43" s="230" t="s">
        <v>313</v>
      </c>
      <c r="AI43" s="39">
        <v>1</v>
      </c>
      <c r="AJ43" s="64" t="s">
        <v>63</v>
      </c>
      <c r="AK43" s="32"/>
      <c r="AL43" s="63"/>
      <c r="AM43" s="230" t="s">
        <v>313</v>
      </c>
      <c r="AN43" s="39">
        <v>1</v>
      </c>
      <c r="AO43" s="64" t="s">
        <v>63</v>
      </c>
    </row>
    <row r="44" spans="2:41">
      <c r="B44" s="206"/>
      <c r="C44" s="89"/>
      <c r="D44" s="150"/>
      <c r="E44" s="89" t="s">
        <v>63</v>
      </c>
      <c r="F44" s="89"/>
      <c r="G44" s="89"/>
      <c r="H44" s="89"/>
      <c r="I44" s="221"/>
      <c r="J44" s="222"/>
      <c r="K44" s="89"/>
      <c r="L44" s="244" t="str">
        <f>'AUD CURVE TICKERS'!L49</f>
        <v>IR6</v>
      </c>
      <c r="M44" s="223" t="str">
        <f>'AUD CURVE TICKERS'!V49</f>
        <v>13/12/2019</v>
      </c>
      <c r="N44" s="223" t="str">
        <f>'AUD CURVE TICKERS'!W49</f>
        <v>13/03/2020</v>
      </c>
      <c r="O44" s="246">
        <f>'AUD CURVE TICKERS'!T49</f>
        <v>97.844999999999999</v>
      </c>
      <c r="P44" s="341">
        <f t="shared" si="1"/>
        <v>0.02</v>
      </c>
      <c r="Q44" s="89"/>
      <c r="R44" s="288" t="str">
        <f>'AUD CURVE TICKERS'!Y50</f>
        <v>7Y</v>
      </c>
      <c r="S44" s="286">
        <f>'AUD CURVE TICKERS'!AG50%</f>
        <v>2.64E-2</v>
      </c>
      <c r="T44" s="227" t="b">
        <v>1</v>
      </c>
      <c r="U44" s="126"/>
      <c r="V44" s="288" t="str">
        <f>'AUD CURVE TICKERS'!AI50</f>
        <v>7Y</v>
      </c>
      <c r="W44" s="286">
        <f>'AUD CURVE TICKERS'!AQ50/10000</f>
        <v>1.3500000000000001E-3</v>
      </c>
      <c r="X44" s="227" t="b">
        <v>1</v>
      </c>
      <c r="Y44" s="248"/>
      <c r="AB44" s="63"/>
      <c r="AC44" s="125" t="s">
        <v>211</v>
      </c>
      <c r="AD44" s="196" t="s">
        <v>276</v>
      </c>
      <c r="AE44" s="64" t="s">
        <v>63</v>
      </c>
      <c r="AF44" s="32" t="s">
        <v>63</v>
      </c>
      <c r="AG44" s="63"/>
      <c r="AH44" s="230" t="s">
        <v>312</v>
      </c>
      <c r="AI44" s="39" t="s">
        <v>49</v>
      </c>
      <c r="AJ44" s="64" t="s">
        <v>63</v>
      </c>
      <c r="AK44" s="32"/>
      <c r="AL44" s="63"/>
      <c r="AM44" s="230" t="s">
        <v>312</v>
      </c>
      <c r="AN44" s="39" t="s">
        <v>49</v>
      </c>
      <c r="AO44" s="64" t="s">
        <v>63</v>
      </c>
    </row>
    <row r="45" spans="2:41">
      <c r="B45" s="206"/>
      <c r="C45" s="234" t="s">
        <v>222</v>
      </c>
      <c r="D45" s="126"/>
      <c r="E45" s="89" t="s">
        <v>63</v>
      </c>
      <c r="F45" s="89"/>
      <c r="G45" s="89"/>
      <c r="H45" s="89"/>
      <c r="I45" s="221"/>
      <c r="J45" s="222"/>
      <c r="K45" s="89"/>
      <c r="L45" s="221"/>
      <c r="M45" s="228"/>
      <c r="N45" s="228"/>
      <c r="O45" s="224"/>
      <c r="P45" s="229"/>
      <c r="Q45" s="89"/>
      <c r="R45" s="288" t="str">
        <f>'AUD CURVE TICKERS'!Y51</f>
        <v>8Y</v>
      </c>
      <c r="S45" s="286">
        <f>'AUD CURVE TICKERS'!AG51%</f>
        <v>2.7050000000000001E-2</v>
      </c>
      <c r="T45" s="227" t="b">
        <v>1</v>
      </c>
      <c r="U45" s="126"/>
      <c r="V45" s="288" t="str">
        <f>'AUD CURVE TICKERS'!AI51</f>
        <v>8Y</v>
      </c>
      <c r="W45" s="286">
        <f>'AUD CURVE TICKERS'!AQ51/10000</f>
        <v>1.2999999999999999E-3</v>
      </c>
      <c r="X45" s="227" t="b">
        <v>1</v>
      </c>
      <c r="Y45" s="248"/>
      <c r="AB45" s="63"/>
      <c r="AC45" s="185" t="s">
        <v>250</v>
      </c>
      <c r="AD45" s="198" t="s">
        <v>277</v>
      </c>
      <c r="AE45" s="64" t="s">
        <v>63</v>
      </c>
      <c r="AF45" s="32" t="s">
        <v>63</v>
      </c>
      <c r="AG45" s="63"/>
      <c r="AH45" s="140" t="s">
        <v>314</v>
      </c>
      <c r="AI45" s="39" t="b">
        <v>0</v>
      </c>
      <c r="AJ45" s="64" t="s">
        <v>63</v>
      </c>
      <c r="AK45" s="32"/>
      <c r="AL45" s="63"/>
      <c r="AM45" s="140" t="s">
        <v>314</v>
      </c>
      <c r="AN45" s="39" t="b">
        <v>0</v>
      </c>
      <c r="AO45" s="64" t="s">
        <v>63</v>
      </c>
    </row>
    <row r="46" spans="2:41">
      <c r="B46" s="206"/>
      <c r="C46" s="148" t="s">
        <v>66</v>
      </c>
      <c r="D46" s="129" t="s">
        <v>370</v>
      </c>
      <c r="E46" s="89" t="s">
        <v>63</v>
      </c>
      <c r="F46" s="89"/>
      <c r="G46" s="89"/>
      <c r="H46" s="89"/>
      <c r="I46" s="221"/>
      <c r="J46" s="222"/>
      <c r="K46" s="89"/>
      <c r="L46" s="221"/>
      <c r="M46" s="228"/>
      <c r="N46" s="228"/>
      <c r="O46" s="224"/>
      <c r="P46" s="229"/>
      <c r="Q46" s="89"/>
      <c r="R46" s="288" t="str">
        <f>'AUD CURVE TICKERS'!Y52</f>
        <v>9Y</v>
      </c>
      <c r="S46" s="286">
        <f>'AUD CURVE TICKERS'!AG52%</f>
        <v>2.7574999999999999E-2</v>
      </c>
      <c r="T46" s="227" t="b">
        <v>1</v>
      </c>
      <c r="U46" s="126"/>
      <c r="V46" s="288" t="str">
        <f>'AUD CURVE TICKERS'!AI52</f>
        <v>9Y</v>
      </c>
      <c r="W46" s="286">
        <f>'AUD CURVE TICKERS'!AQ52/10000</f>
        <v>1.2625E-3</v>
      </c>
      <c r="X46" s="227" t="b">
        <v>1</v>
      </c>
      <c r="Y46" s="248"/>
      <c r="AB46" s="63"/>
      <c r="AC46" s="187" t="s">
        <v>278</v>
      </c>
      <c r="AD46" s="193" t="s">
        <v>120</v>
      </c>
      <c r="AE46" s="64" t="s">
        <v>63</v>
      </c>
      <c r="AF46" s="32" t="s">
        <v>63</v>
      </c>
      <c r="AG46" s="63"/>
      <c r="AH46" s="140" t="s">
        <v>315</v>
      </c>
      <c r="AI46" s="39">
        <v>2</v>
      </c>
      <c r="AJ46" s="64" t="s">
        <v>63</v>
      </c>
      <c r="AK46" s="32"/>
      <c r="AL46" s="63"/>
      <c r="AM46" s="140" t="s">
        <v>315</v>
      </c>
      <c r="AN46" s="39">
        <v>2</v>
      </c>
      <c r="AO46" s="64" t="s">
        <v>63</v>
      </c>
    </row>
    <row r="47" spans="2:41">
      <c r="B47" s="206"/>
      <c r="C47" s="149" t="s">
        <v>224</v>
      </c>
      <c r="D47" s="276" t="str">
        <f ca="1">_xll.meLWOCurveMarketDataCreate(D46,C37,C38:D43,F37,F39:G43,I37,I39:J64,L37,L39:P64,R37,R39:T64,V37,V39:X64)</f>
        <v>AUD_SWAP_3ML_CURVE_MARKETDATA@5:37</v>
      </c>
      <c r="E47" s="89" t="s">
        <v>63</v>
      </c>
      <c r="F47" s="89"/>
      <c r="G47" s="89"/>
      <c r="H47" s="89"/>
      <c r="I47" s="221"/>
      <c r="J47" s="222"/>
      <c r="K47" s="89"/>
      <c r="L47" s="221"/>
      <c r="M47" s="228"/>
      <c r="N47" s="228"/>
      <c r="O47" s="224"/>
      <c r="P47" s="229"/>
      <c r="Q47" s="89"/>
      <c r="R47" s="288" t="str">
        <f>'AUD CURVE TICKERS'!Y53</f>
        <v>10Y</v>
      </c>
      <c r="S47" s="286">
        <f>'AUD CURVE TICKERS'!AG53%</f>
        <v>2.8065000000000003E-2</v>
      </c>
      <c r="T47" s="227" t="b">
        <v>1</v>
      </c>
      <c r="U47" s="126"/>
      <c r="V47" s="288" t="str">
        <f>'AUD CURVE TICKERS'!AI53</f>
        <v>10Y</v>
      </c>
      <c r="W47" s="286">
        <f>'AUD CURVE TICKERS'!AQ53/10000</f>
        <v>1.225E-3</v>
      </c>
      <c r="X47" s="227" t="b">
        <v>1</v>
      </c>
      <c r="Y47" s="248"/>
      <c r="AB47" s="63"/>
      <c r="AC47" s="187" t="s">
        <v>279</v>
      </c>
      <c r="AD47" s="193" t="s">
        <v>280</v>
      </c>
      <c r="AE47" s="64" t="s">
        <v>63</v>
      </c>
      <c r="AF47" s="32" t="s">
        <v>63</v>
      </c>
      <c r="AG47" s="63"/>
      <c r="AH47" s="146"/>
      <c r="AI47" s="44"/>
      <c r="AJ47" s="64" t="s">
        <v>63</v>
      </c>
      <c r="AK47" s="32"/>
      <c r="AL47" s="63"/>
      <c r="AM47" s="146"/>
      <c r="AN47" s="44"/>
      <c r="AO47" s="64" t="s">
        <v>63</v>
      </c>
    </row>
    <row r="48" spans="2:41">
      <c r="B48" s="206"/>
      <c r="C48" s="89"/>
      <c r="D48" s="150"/>
      <c r="E48" s="89" t="s">
        <v>63</v>
      </c>
      <c r="F48" s="89"/>
      <c r="G48" s="89"/>
      <c r="H48" s="89"/>
      <c r="I48" s="221"/>
      <c r="J48" s="222"/>
      <c r="K48" s="89"/>
      <c r="L48" s="221"/>
      <c r="M48" s="228"/>
      <c r="N48" s="228"/>
      <c r="O48" s="224"/>
      <c r="P48" s="229"/>
      <c r="Q48" s="89"/>
      <c r="R48" s="288" t="str">
        <f>'AUD CURVE TICKERS'!Y54</f>
        <v>15Y</v>
      </c>
      <c r="S48" s="286">
        <f>'AUD CURVE TICKERS'!AG54%</f>
        <v>2.9729999999999999E-2</v>
      </c>
      <c r="T48" s="227" t="b">
        <v>1</v>
      </c>
      <c r="U48" s="126"/>
      <c r="V48" s="288" t="str">
        <f>'AUD CURVE TICKERS'!AI54</f>
        <v>15Y</v>
      </c>
      <c r="W48" s="286">
        <f>'AUD CURVE TICKERS'!AQ54/10000</f>
        <v>1.1000000000000001E-3</v>
      </c>
      <c r="X48" s="227" t="b">
        <v>1</v>
      </c>
      <c r="Y48" s="248"/>
      <c r="AB48" s="63"/>
      <c r="AC48" s="187" t="s">
        <v>281</v>
      </c>
      <c r="AD48" s="193" t="s">
        <v>46</v>
      </c>
      <c r="AE48" s="64" t="s">
        <v>63</v>
      </c>
      <c r="AF48" s="32" t="s">
        <v>63</v>
      </c>
      <c r="AG48" s="63"/>
      <c r="AH48" s="89"/>
      <c r="AI48" s="89"/>
      <c r="AJ48" s="64" t="s">
        <v>63</v>
      </c>
      <c r="AK48" s="32"/>
      <c r="AL48" s="63"/>
      <c r="AM48" s="89"/>
      <c r="AN48" s="89"/>
      <c r="AO48" s="64" t="s">
        <v>63</v>
      </c>
    </row>
    <row r="49" spans="2:41">
      <c r="B49" s="206"/>
      <c r="C49" s="89"/>
      <c r="D49" s="150"/>
      <c r="E49" s="89" t="s">
        <v>63</v>
      </c>
      <c r="F49" s="89"/>
      <c r="G49" s="89"/>
      <c r="H49" s="89"/>
      <c r="I49" s="221"/>
      <c r="J49" s="222"/>
      <c r="K49" s="89"/>
      <c r="L49" s="221"/>
      <c r="M49" s="228"/>
      <c r="N49" s="228"/>
      <c r="O49" s="224"/>
      <c r="P49" s="229"/>
      <c r="Q49" s="89"/>
      <c r="R49" s="288" t="str">
        <f>'AUD CURVE TICKERS'!Y55</f>
        <v>20Y</v>
      </c>
      <c r="S49" s="286">
        <f>'AUD CURVE TICKERS'!AG55%</f>
        <v>3.0249999999999999E-2</v>
      </c>
      <c r="T49" s="227" t="b">
        <v>1</v>
      </c>
      <c r="U49" s="126"/>
      <c r="V49" s="288" t="str">
        <f>'AUD CURVE TICKERS'!AI55</f>
        <v>20Y</v>
      </c>
      <c r="W49" s="286">
        <f>'AUD CURVE TICKERS'!AQ55/10000</f>
        <v>1.075E-3</v>
      </c>
      <c r="X49" s="227" t="b">
        <v>1</v>
      </c>
      <c r="Y49" s="248"/>
      <c r="AB49" s="63"/>
      <c r="AC49" s="187" t="s">
        <v>282</v>
      </c>
      <c r="AD49" s="193" t="s">
        <v>46</v>
      </c>
      <c r="AE49" s="64" t="s">
        <v>63</v>
      </c>
      <c r="AF49" s="32" t="s">
        <v>63</v>
      </c>
      <c r="AG49" s="63"/>
      <c r="AH49" s="207" t="s">
        <v>289</v>
      </c>
      <c r="AI49" s="208"/>
      <c r="AJ49" s="64"/>
      <c r="AK49" s="32"/>
      <c r="AL49" s="63"/>
      <c r="AM49" s="207" t="s">
        <v>289</v>
      </c>
      <c r="AN49" s="208"/>
      <c r="AO49" s="64"/>
    </row>
    <row r="50" spans="2:41">
      <c r="B50" s="206"/>
      <c r="C50" s="89"/>
      <c r="D50" s="150"/>
      <c r="E50" s="89" t="s">
        <v>63</v>
      </c>
      <c r="F50" s="89"/>
      <c r="G50" s="89"/>
      <c r="H50" s="89"/>
      <c r="I50" s="221"/>
      <c r="J50" s="222"/>
      <c r="K50" s="89"/>
      <c r="L50" s="221"/>
      <c r="M50" s="228"/>
      <c r="N50" s="228"/>
      <c r="O50" s="224"/>
      <c r="P50" s="229"/>
      <c r="Q50" s="89"/>
      <c r="R50" s="288" t="str">
        <f>'AUD CURVE TICKERS'!Y56</f>
        <v>25Y</v>
      </c>
      <c r="S50" s="286">
        <f>'AUD CURVE TICKERS'!AG56%</f>
        <v>3.02375E-2</v>
      </c>
      <c r="T50" s="227" t="b">
        <v>1</v>
      </c>
      <c r="U50" s="126"/>
      <c r="V50" s="288" t="str">
        <f>'AUD CURVE TICKERS'!AI56</f>
        <v>25Y</v>
      </c>
      <c r="W50" s="286">
        <f>'AUD CURVE TICKERS'!AQ56/10000</f>
        <v>1.1000000000000001E-3</v>
      </c>
      <c r="X50" s="227" t="b">
        <v>1</v>
      </c>
      <c r="Y50" s="248"/>
      <c r="AB50" s="63"/>
      <c r="AC50" s="187" t="s">
        <v>283</v>
      </c>
      <c r="AD50" s="193" t="s">
        <v>46</v>
      </c>
      <c r="AE50" s="64" t="s">
        <v>63</v>
      </c>
      <c r="AF50" s="32" t="s">
        <v>63</v>
      </c>
      <c r="AG50" s="63"/>
      <c r="AH50" s="185" t="s">
        <v>250</v>
      </c>
      <c r="AI50" s="264" t="s">
        <v>277</v>
      </c>
      <c r="AJ50" s="64"/>
      <c r="AK50" s="32"/>
      <c r="AL50" s="63"/>
      <c r="AM50" s="185"/>
      <c r="AN50" s="264"/>
      <c r="AO50" s="64"/>
    </row>
    <row r="51" spans="2:41">
      <c r="B51" s="206"/>
      <c r="C51" s="89"/>
      <c r="D51" s="150"/>
      <c r="E51" s="89"/>
      <c r="F51" s="89"/>
      <c r="G51" s="89"/>
      <c r="H51" s="89"/>
      <c r="I51" s="221"/>
      <c r="J51" s="222"/>
      <c r="K51" s="89"/>
      <c r="L51" s="221"/>
      <c r="M51" s="228"/>
      <c r="N51" s="228"/>
      <c r="O51" s="224"/>
      <c r="P51" s="229"/>
      <c r="Q51" s="89"/>
      <c r="R51" s="288" t="str">
        <f>'AUD CURVE TICKERS'!Y57</f>
        <v>30Y</v>
      </c>
      <c r="S51" s="286">
        <f>'AUD CURVE TICKERS'!AG57%</f>
        <v>2.99625E-2</v>
      </c>
      <c r="T51" s="227" t="b">
        <v>1</v>
      </c>
      <c r="U51" s="126"/>
      <c r="V51" s="288" t="str">
        <f>'AUD CURVE TICKERS'!AI57</f>
        <v>30Y</v>
      </c>
      <c r="W51" s="286">
        <f>'AUD CURVE TICKERS'!AQ57/10000</f>
        <v>1.14E-3</v>
      </c>
      <c r="X51" s="227" t="b">
        <v>1</v>
      </c>
      <c r="Y51" s="248"/>
      <c r="AB51" s="63"/>
      <c r="AC51" s="194" t="s">
        <v>260</v>
      </c>
      <c r="AD51" s="195" t="s">
        <v>49</v>
      </c>
      <c r="AE51" s="64" t="s">
        <v>63</v>
      </c>
      <c r="AF51" s="32" t="s">
        <v>63</v>
      </c>
      <c r="AG51" s="63"/>
      <c r="AH51" s="187" t="s">
        <v>252</v>
      </c>
      <c r="AI51" s="188" t="s">
        <v>316</v>
      </c>
      <c r="AJ51" s="64"/>
      <c r="AK51" s="32"/>
      <c r="AL51" s="63"/>
      <c r="AM51" s="187"/>
      <c r="AN51" s="188"/>
      <c r="AO51" s="64"/>
    </row>
    <row r="52" spans="2:41">
      <c r="B52" s="206"/>
      <c r="C52" s="89"/>
      <c r="D52" s="150"/>
      <c r="E52" s="89" t="s">
        <v>63</v>
      </c>
      <c r="F52" s="89"/>
      <c r="G52" s="89"/>
      <c r="H52" s="89"/>
      <c r="I52" s="221"/>
      <c r="J52" s="222"/>
      <c r="K52" s="89"/>
      <c r="L52" s="221"/>
      <c r="M52" s="228"/>
      <c r="N52" s="228"/>
      <c r="O52" s="224"/>
      <c r="P52" s="229"/>
      <c r="Q52" s="89"/>
      <c r="R52" s="221"/>
      <c r="S52" s="226"/>
      <c r="T52" s="227"/>
      <c r="U52" s="126"/>
      <c r="V52" s="221"/>
      <c r="W52" s="226"/>
      <c r="X52" s="227"/>
      <c r="Y52" s="248"/>
      <c r="AB52" s="63"/>
      <c r="AC52" s="199"/>
      <c r="AD52" s="89"/>
      <c r="AE52" s="64"/>
      <c r="AF52" s="32" t="s">
        <v>63</v>
      </c>
      <c r="AG52" s="63"/>
      <c r="AH52" s="187" t="s">
        <v>257</v>
      </c>
      <c r="AI52" s="188" t="s">
        <v>317</v>
      </c>
      <c r="AJ52" s="64"/>
      <c r="AK52" s="32"/>
      <c r="AL52" s="63"/>
      <c r="AM52" s="187"/>
      <c r="AN52" s="188"/>
      <c r="AO52" s="64"/>
    </row>
    <row r="53" spans="2:41">
      <c r="B53" s="206"/>
      <c r="C53" s="151" t="s">
        <v>225</v>
      </c>
      <c r="D53" s="235"/>
      <c r="E53" s="89" t="s">
        <v>63</v>
      </c>
      <c r="F53" s="89"/>
      <c r="G53" s="89"/>
      <c r="H53" s="89"/>
      <c r="I53" s="221"/>
      <c r="J53" s="222"/>
      <c r="K53" s="89"/>
      <c r="L53" s="221"/>
      <c r="M53" s="228"/>
      <c r="N53" s="228"/>
      <c r="O53" s="224"/>
      <c r="P53" s="229"/>
      <c r="Q53" s="89"/>
      <c r="R53" s="221"/>
      <c r="S53" s="226"/>
      <c r="T53" s="227"/>
      <c r="U53" s="126"/>
      <c r="V53" s="221"/>
      <c r="W53" s="226"/>
      <c r="X53" s="227"/>
      <c r="Y53" s="248"/>
      <c r="AB53" s="63"/>
      <c r="AC53" s="199"/>
      <c r="AD53" s="200"/>
      <c r="AE53" s="64"/>
      <c r="AF53" s="32" t="s">
        <v>63</v>
      </c>
      <c r="AG53" s="63"/>
      <c r="AH53" s="187" t="s">
        <v>260</v>
      </c>
      <c r="AI53" s="188" t="s">
        <v>49</v>
      </c>
      <c r="AJ53" s="64"/>
      <c r="AK53" s="32"/>
      <c r="AL53" s="63"/>
      <c r="AM53" s="187"/>
      <c r="AN53" s="188"/>
      <c r="AO53" s="64"/>
    </row>
    <row r="54" spans="2:41">
      <c r="B54" s="206"/>
      <c r="C54" s="152" t="s">
        <v>66</v>
      </c>
      <c r="D54" s="153" t="s">
        <v>369</v>
      </c>
      <c r="E54" s="89" t="s">
        <v>63</v>
      </c>
      <c r="F54" s="89"/>
      <c r="G54" s="89"/>
      <c r="H54" s="89"/>
      <c r="I54" s="221"/>
      <c r="J54" s="222"/>
      <c r="K54" s="89"/>
      <c r="L54" s="221"/>
      <c r="M54" s="228"/>
      <c r="N54" s="228"/>
      <c r="O54" s="224"/>
      <c r="P54" s="229"/>
      <c r="Q54" s="89"/>
      <c r="R54" s="221"/>
      <c r="S54" s="226"/>
      <c r="T54" s="227"/>
      <c r="U54" s="126"/>
      <c r="V54" s="221"/>
      <c r="W54" s="226"/>
      <c r="X54" s="227"/>
      <c r="Y54" s="248"/>
      <c r="AB54" s="63"/>
      <c r="AC54" s="199"/>
      <c r="AD54" s="200"/>
      <c r="AE54" s="64"/>
      <c r="AF54" s="32" t="s">
        <v>63</v>
      </c>
      <c r="AG54" s="63"/>
      <c r="AH54" s="187" t="s">
        <v>318</v>
      </c>
      <c r="AI54" s="265">
        <v>0.03</v>
      </c>
      <c r="AJ54" s="64"/>
      <c r="AK54" s="32"/>
      <c r="AL54" s="63"/>
      <c r="AM54" s="187"/>
      <c r="AN54" s="265"/>
      <c r="AO54" s="64"/>
    </row>
    <row r="55" spans="2:41">
      <c r="B55" s="206"/>
      <c r="C55" s="154" t="s">
        <v>227</v>
      </c>
      <c r="D55" s="274" t="str">
        <f ca="1">$AI$6</f>
        <v>AUD_3ML_CURVE_GENERATOR@4:38</v>
      </c>
      <c r="E55" s="89" t="s">
        <v>63</v>
      </c>
      <c r="F55" s="89"/>
      <c r="G55" s="89"/>
      <c r="H55" s="89"/>
      <c r="I55" s="221"/>
      <c r="J55" s="222"/>
      <c r="K55" s="89"/>
      <c r="L55" s="221"/>
      <c r="M55" s="228"/>
      <c r="N55" s="228"/>
      <c r="O55" s="224"/>
      <c r="P55" s="229"/>
      <c r="Q55" s="89"/>
      <c r="R55" s="221"/>
      <c r="S55" s="226"/>
      <c r="T55" s="227"/>
      <c r="U55" s="126"/>
      <c r="V55" s="221"/>
      <c r="W55" s="226"/>
      <c r="X55" s="227"/>
      <c r="Y55" s="248"/>
      <c r="AB55" s="63"/>
      <c r="AC55" s="199"/>
      <c r="AD55" s="200"/>
      <c r="AE55" s="64"/>
      <c r="AF55" s="32" t="s">
        <v>63</v>
      </c>
      <c r="AG55" s="63"/>
      <c r="AH55" s="187" t="s">
        <v>314</v>
      </c>
      <c r="AI55" s="188" t="b">
        <v>0</v>
      </c>
      <c r="AJ55" s="64"/>
      <c r="AK55" s="32"/>
      <c r="AL55" s="63"/>
      <c r="AM55" s="187"/>
      <c r="AN55" s="188"/>
      <c r="AO55" s="64"/>
    </row>
    <row r="56" spans="2:41">
      <c r="B56" s="206"/>
      <c r="C56" s="154" t="s">
        <v>228</v>
      </c>
      <c r="D56" s="155" t="s">
        <v>111</v>
      </c>
      <c r="E56" s="89" t="s">
        <v>63</v>
      </c>
      <c r="F56" s="89"/>
      <c r="G56" s="89"/>
      <c r="H56" s="89"/>
      <c r="I56" s="221"/>
      <c r="J56" s="222"/>
      <c r="K56" s="89"/>
      <c r="L56" s="221"/>
      <c r="M56" s="228"/>
      <c r="N56" s="228"/>
      <c r="O56" s="224"/>
      <c r="P56" s="229"/>
      <c r="Q56" s="89"/>
      <c r="R56" s="221"/>
      <c r="S56" s="226"/>
      <c r="T56" s="227"/>
      <c r="U56" s="126"/>
      <c r="V56" s="221"/>
      <c r="W56" s="226"/>
      <c r="X56" s="227"/>
      <c r="Y56" s="248"/>
      <c r="AB56" s="63"/>
      <c r="AC56" s="199"/>
      <c r="AD56" s="200"/>
      <c r="AE56" s="64"/>
      <c r="AF56" s="32" t="s">
        <v>63</v>
      </c>
      <c r="AG56" s="63"/>
      <c r="AH56" s="187" t="s">
        <v>315</v>
      </c>
      <c r="AI56" s="188">
        <v>2</v>
      </c>
      <c r="AJ56" s="64"/>
      <c r="AK56" s="32"/>
      <c r="AL56" s="63"/>
      <c r="AM56" s="187"/>
      <c r="AN56" s="188"/>
      <c r="AO56" s="64"/>
    </row>
    <row r="57" spans="2:41">
      <c r="B57" s="206"/>
      <c r="C57" s="156" t="s">
        <v>229</v>
      </c>
      <c r="D57" s="157"/>
      <c r="E57" s="89" t="s">
        <v>63</v>
      </c>
      <c r="F57" s="89"/>
      <c r="G57" s="89"/>
      <c r="H57" s="89"/>
      <c r="I57" s="221"/>
      <c r="J57" s="222"/>
      <c r="K57" s="89"/>
      <c r="L57" s="221"/>
      <c r="M57" s="228"/>
      <c r="N57" s="228"/>
      <c r="O57" s="224"/>
      <c r="P57" s="229"/>
      <c r="Q57" s="89"/>
      <c r="R57" s="221"/>
      <c r="S57" s="226"/>
      <c r="T57" s="227"/>
      <c r="U57" s="126"/>
      <c r="V57" s="221"/>
      <c r="W57" s="226"/>
      <c r="X57" s="227"/>
      <c r="Y57" s="248"/>
      <c r="AB57" s="63"/>
      <c r="AC57" s="199"/>
      <c r="AD57" s="200"/>
      <c r="AE57" s="64"/>
      <c r="AF57" s="32" t="s">
        <v>63</v>
      </c>
      <c r="AG57" s="63"/>
      <c r="AH57" s="146"/>
      <c r="AI57" s="44"/>
      <c r="AJ57" s="64"/>
      <c r="AK57" s="32"/>
      <c r="AL57" s="63"/>
      <c r="AM57" s="146"/>
      <c r="AN57" s="44"/>
      <c r="AO57" s="64"/>
    </row>
    <row r="58" spans="2:41">
      <c r="B58" s="206"/>
      <c r="C58" s="89"/>
      <c r="D58" s="150"/>
      <c r="E58" s="89" t="s">
        <v>63</v>
      </c>
      <c r="F58" s="89"/>
      <c r="G58" s="89"/>
      <c r="H58" s="89"/>
      <c r="I58" s="221"/>
      <c r="J58" s="222"/>
      <c r="K58" s="89"/>
      <c r="L58" s="221"/>
      <c r="M58" s="228"/>
      <c r="N58" s="228"/>
      <c r="O58" s="224"/>
      <c r="P58" s="229"/>
      <c r="Q58" s="89"/>
      <c r="R58" s="221"/>
      <c r="S58" s="226"/>
      <c r="T58" s="227"/>
      <c r="U58" s="126"/>
      <c r="V58" s="221"/>
      <c r="W58" s="226"/>
      <c r="X58" s="227"/>
      <c r="Y58" s="248"/>
      <c r="AB58" s="63"/>
      <c r="AC58" s="199"/>
      <c r="AD58" s="200"/>
      <c r="AE58" s="64"/>
      <c r="AF58" s="32" t="s">
        <v>63</v>
      </c>
      <c r="AG58" s="63"/>
      <c r="AH58" s="89"/>
      <c r="AI58" s="89"/>
      <c r="AJ58" s="64"/>
      <c r="AK58" s="32"/>
      <c r="AL58" s="63"/>
      <c r="AM58" s="89"/>
      <c r="AN58" s="89"/>
      <c r="AO58" s="64"/>
    </row>
    <row r="59" spans="2:41">
      <c r="B59" s="206"/>
      <c r="C59" s="89"/>
      <c r="D59" s="150"/>
      <c r="E59" s="89" t="s">
        <v>63</v>
      </c>
      <c r="F59" s="89"/>
      <c r="G59" s="89"/>
      <c r="H59" s="89"/>
      <c r="I59" s="221"/>
      <c r="J59" s="222"/>
      <c r="K59" s="89"/>
      <c r="L59" s="221"/>
      <c r="M59" s="228"/>
      <c r="N59" s="228"/>
      <c r="O59" s="224"/>
      <c r="P59" s="229"/>
      <c r="Q59" s="89"/>
      <c r="R59" s="221"/>
      <c r="S59" s="226"/>
      <c r="T59" s="227"/>
      <c r="U59" s="126"/>
      <c r="V59" s="221"/>
      <c r="W59" s="226"/>
      <c r="X59" s="227"/>
      <c r="Y59" s="248"/>
      <c r="AB59" s="63"/>
      <c r="AC59" s="199"/>
      <c r="AD59" s="200"/>
      <c r="AE59" s="64"/>
      <c r="AF59" s="32" t="s">
        <v>63</v>
      </c>
      <c r="AG59" s="63"/>
      <c r="AH59" s="207" t="s">
        <v>211</v>
      </c>
      <c r="AI59" s="208"/>
      <c r="AJ59" s="64"/>
      <c r="AK59" s="32"/>
      <c r="AL59" s="63"/>
      <c r="AM59" s="207" t="s">
        <v>211</v>
      </c>
      <c r="AN59" s="208"/>
      <c r="AO59" s="64"/>
    </row>
    <row r="60" spans="2:41">
      <c r="B60" s="206"/>
      <c r="C60" s="151" t="s">
        <v>230</v>
      </c>
      <c r="D60" s="150"/>
      <c r="E60" s="89" t="s">
        <v>63</v>
      </c>
      <c r="F60" s="89"/>
      <c r="G60" s="89"/>
      <c r="H60" s="89"/>
      <c r="I60" s="221"/>
      <c r="J60" s="222"/>
      <c r="K60" s="89"/>
      <c r="L60" s="221"/>
      <c r="M60" s="228"/>
      <c r="N60" s="228"/>
      <c r="O60" s="224"/>
      <c r="P60" s="229"/>
      <c r="Q60" s="89"/>
      <c r="R60" s="221"/>
      <c r="S60" s="226"/>
      <c r="T60" s="227"/>
      <c r="U60" s="126"/>
      <c r="V60" s="221"/>
      <c r="W60" s="226"/>
      <c r="X60" s="227"/>
      <c r="Y60" s="248"/>
      <c r="AB60" s="63"/>
      <c r="AC60" s="199"/>
      <c r="AD60" s="200"/>
      <c r="AE60" s="64"/>
      <c r="AF60" s="32" t="s">
        <v>63</v>
      </c>
      <c r="AG60" s="63"/>
      <c r="AH60" s="185" t="s">
        <v>71</v>
      </c>
      <c r="AI60" s="197" t="s">
        <v>277</v>
      </c>
      <c r="AJ60" s="64"/>
      <c r="AK60" s="32"/>
      <c r="AL60" s="63"/>
      <c r="AM60" s="185" t="s">
        <v>71</v>
      </c>
      <c r="AN60" s="197" t="s">
        <v>277</v>
      </c>
      <c r="AO60" s="64"/>
    </row>
    <row r="61" spans="2:41">
      <c r="B61" s="206"/>
      <c r="C61" s="158" t="s">
        <v>66</v>
      </c>
      <c r="D61" s="277" t="str">
        <f t="array" aca="1" ref="D61:D64" ca="1">IF($D$31,_xll.meLWOCurveCalibrate(D54,D55,D47,D56),"#Error: Dependency Curve not Built")</f>
        <v>AUD_SWAP_3M_CURVE@6:37</v>
      </c>
      <c r="E61" s="89" t="s">
        <v>63</v>
      </c>
      <c r="F61" s="89"/>
      <c r="G61" s="89"/>
      <c r="H61" s="89"/>
      <c r="I61" s="221"/>
      <c r="J61" s="222"/>
      <c r="K61" s="89"/>
      <c r="L61" s="221"/>
      <c r="M61" s="228"/>
      <c r="N61" s="228"/>
      <c r="O61" s="224"/>
      <c r="P61" s="229"/>
      <c r="Q61" s="89"/>
      <c r="R61" s="221"/>
      <c r="S61" s="226"/>
      <c r="T61" s="227"/>
      <c r="U61" s="126"/>
      <c r="V61" s="221"/>
      <c r="W61" s="226"/>
      <c r="X61" s="227"/>
      <c r="Y61" s="248"/>
      <c r="AB61" s="63"/>
      <c r="AC61" s="199"/>
      <c r="AD61" s="200"/>
      <c r="AE61" s="64"/>
      <c r="AF61" s="32" t="s">
        <v>63</v>
      </c>
      <c r="AG61" s="63"/>
      <c r="AH61" s="187" t="s">
        <v>28</v>
      </c>
      <c r="AI61" s="188" t="s">
        <v>120</v>
      </c>
      <c r="AJ61" s="64"/>
      <c r="AK61" s="32"/>
      <c r="AL61" s="63"/>
      <c r="AM61" s="187" t="s">
        <v>28</v>
      </c>
      <c r="AN61" s="188" t="s">
        <v>120</v>
      </c>
      <c r="AO61" s="64"/>
    </row>
    <row r="62" spans="2:41">
      <c r="B62" s="206"/>
      <c r="C62" s="159" t="s">
        <v>231</v>
      </c>
      <c r="D62" s="278" t="str">
        <f ca="1"/>
        <v>AUDYC</v>
      </c>
      <c r="E62" s="89" t="s">
        <v>63</v>
      </c>
      <c r="F62" s="89"/>
      <c r="G62" s="89"/>
      <c r="H62" s="89"/>
      <c r="I62" s="221"/>
      <c r="J62" s="222"/>
      <c r="K62" s="89"/>
      <c r="L62" s="221"/>
      <c r="M62" s="228"/>
      <c r="N62" s="228"/>
      <c r="O62" s="224"/>
      <c r="P62" s="229"/>
      <c r="Q62" s="89"/>
      <c r="R62" s="221"/>
      <c r="S62" s="226"/>
      <c r="T62" s="227"/>
      <c r="U62" s="126"/>
      <c r="V62" s="221"/>
      <c r="W62" s="226"/>
      <c r="X62" s="227"/>
      <c r="Y62" s="248"/>
      <c r="AB62" s="63"/>
      <c r="AC62" s="199"/>
      <c r="AD62" s="200"/>
      <c r="AE62" s="64"/>
      <c r="AF62" s="32" t="s">
        <v>63</v>
      </c>
      <c r="AG62" s="63"/>
      <c r="AH62" s="187" t="s">
        <v>319</v>
      </c>
      <c r="AI62" s="188" t="s">
        <v>120</v>
      </c>
      <c r="AJ62" s="64"/>
      <c r="AK62" s="32"/>
      <c r="AL62" s="63"/>
      <c r="AM62" s="187" t="s">
        <v>319</v>
      </c>
      <c r="AN62" s="188" t="s">
        <v>120</v>
      </c>
      <c r="AO62" s="64"/>
    </row>
    <row r="63" spans="2:41">
      <c r="B63" s="206"/>
      <c r="C63" s="159" t="s">
        <v>232</v>
      </c>
      <c r="D63" s="278" t="str">
        <f ca="1"/>
        <v>STD:AUD3ML</v>
      </c>
      <c r="E63" s="89" t="s">
        <v>63</v>
      </c>
      <c r="F63" s="89"/>
      <c r="G63" s="89"/>
      <c r="H63" s="89"/>
      <c r="I63" s="221"/>
      <c r="J63" s="222"/>
      <c r="K63" s="89"/>
      <c r="L63" s="221"/>
      <c r="M63" s="228"/>
      <c r="N63" s="228"/>
      <c r="O63" s="224"/>
      <c r="P63" s="229"/>
      <c r="Q63" s="89"/>
      <c r="R63" s="221"/>
      <c r="S63" s="226"/>
      <c r="T63" s="227"/>
      <c r="U63" s="126"/>
      <c r="V63" s="221"/>
      <c r="W63" s="226"/>
      <c r="X63" s="227"/>
      <c r="Y63" s="248"/>
      <c r="AB63" s="63"/>
      <c r="AC63" s="89"/>
      <c r="AD63" s="89"/>
      <c r="AE63" s="64"/>
      <c r="AF63" s="32" t="s">
        <v>63</v>
      </c>
      <c r="AG63" s="63"/>
      <c r="AH63" s="187" t="s">
        <v>320</v>
      </c>
      <c r="AI63" s="188" t="s">
        <v>120</v>
      </c>
      <c r="AJ63" s="64"/>
      <c r="AK63" s="32"/>
      <c r="AL63" s="63"/>
      <c r="AM63" s="187" t="s">
        <v>320</v>
      </c>
      <c r="AN63" s="188" t="s">
        <v>120</v>
      </c>
      <c r="AO63" s="64"/>
    </row>
    <row r="64" spans="2:41">
      <c r="B64" s="206"/>
      <c r="C64" s="160" t="s">
        <v>233</v>
      </c>
      <c r="D64" s="279" t="str">
        <f ca="1"/>
        <v>0.00800 sec</v>
      </c>
      <c r="E64" s="89" t="s">
        <v>63</v>
      </c>
      <c r="F64" s="89"/>
      <c r="G64" s="89"/>
      <c r="H64" s="89"/>
      <c r="I64" s="236"/>
      <c r="J64" s="237"/>
      <c r="K64" s="89"/>
      <c r="L64" s="236"/>
      <c r="M64" s="238"/>
      <c r="N64" s="238"/>
      <c r="O64" s="239"/>
      <c r="P64" s="240"/>
      <c r="Q64" s="89"/>
      <c r="R64" s="236"/>
      <c r="S64" s="241"/>
      <c r="T64" s="242"/>
      <c r="U64" s="126"/>
      <c r="V64" s="236"/>
      <c r="W64" s="241"/>
      <c r="X64" s="242"/>
      <c r="Y64" s="248"/>
      <c r="AB64" s="63"/>
      <c r="AC64" s="89"/>
      <c r="AD64" s="89"/>
      <c r="AE64" s="64"/>
      <c r="AF64" s="32" t="s">
        <v>63</v>
      </c>
      <c r="AG64" s="63"/>
      <c r="AH64" s="187" t="s">
        <v>20</v>
      </c>
      <c r="AI64" s="188" t="s">
        <v>321</v>
      </c>
      <c r="AJ64" s="64"/>
      <c r="AK64" s="32"/>
      <c r="AL64" s="63"/>
      <c r="AM64" s="187" t="s">
        <v>20</v>
      </c>
      <c r="AN64" s="188" t="s">
        <v>280</v>
      </c>
      <c r="AO64" s="64"/>
    </row>
    <row r="65" spans="1:41">
      <c r="B65" s="206"/>
      <c r="C65" s="161" t="s">
        <v>234</v>
      </c>
      <c r="D65" s="243" t="b">
        <f ca="1">LEFT(D61,3)=LEFT(D61,3)</f>
        <v>1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248"/>
      <c r="AB65" s="63"/>
      <c r="AC65" s="89"/>
      <c r="AD65" s="89"/>
      <c r="AE65" s="64"/>
      <c r="AF65" s="32" t="s">
        <v>63</v>
      </c>
      <c r="AG65" s="63"/>
      <c r="AH65" s="187" t="s">
        <v>322</v>
      </c>
      <c r="AI65" s="48" t="s">
        <v>46</v>
      </c>
      <c r="AJ65" s="64"/>
      <c r="AK65" s="32"/>
      <c r="AL65" s="63"/>
      <c r="AM65" s="187" t="s">
        <v>325</v>
      </c>
      <c r="AN65" s="48" t="s">
        <v>280</v>
      </c>
      <c r="AO65" s="64"/>
    </row>
    <row r="66" spans="1:41">
      <c r="A66" s="32"/>
      <c r="B66" s="249"/>
      <c r="C66" s="250"/>
      <c r="D66" s="284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1"/>
      <c r="AB66" s="63"/>
      <c r="AC66" s="89"/>
      <c r="AD66" s="89"/>
      <c r="AE66" s="64"/>
      <c r="AF66" s="32" t="s">
        <v>63</v>
      </c>
      <c r="AG66" s="63"/>
      <c r="AH66" s="187" t="s">
        <v>323</v>
      </c>
      <c r="AI66" s="188" t="s">
        <v>46</v>
      </c>
      <c r="AJ66" s="64"/>
      <c r="AK66" s="32"/>
      <c r="AL66" s="63"/>
      <c r="AM66" s="187" t="s">
        <v>312</v>
      </c>
      <c r="AN66" s="188" t="s">
        <v>49</v>
      </c>
      <c r="AO66" s="64"/>
    </row>
    <row r="67" spans="1:41">
      <c r="A67" s="32"/>
      <c r="B67" s="32"/>
      <c r="C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P67" s="32"/>
      <c r="Q67" s="32"/>
      <c r="S67" s="32"/>
      <c r="T67" s="32"/>
      <c r="AB67" s="63"/>
      <c r="AC67" s="89"/>
      <c r="AD67" s="89"/>
      <c r="AE67" s="64"/>
      <c r="AF67" s="32" t="s">
        <v>63</v>
      </c>
      <c r="AG67" s="63"/>
      <c r="AH67" s="187" t="s">
        <v>324</v>
      </c>
      <c r="AI67" s="188" t="s">
        <v>46</v>
      </c>
      <c r="AJ67" s="64"/>
      <c r="AK67" s="32"/>
      <c r="AL67" s="63"/>
      <c r="AM67" s="187" t="s">
        <v>329</v>
      </c>
      <c r="AN67" s="188" t="b">
        <v>1</v>
      </c>
      <c r="AO67" s="64"/>
    </row>
    <row r="68" spans="1:41">
      <c r="A68" s="32"/>
      <c r="B68" s="32"/>
      <c r="C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P68" s="32"/>
      <c r="Q68" s="32"/>
      <c r="S68" s="32"/>
      <c r="T68" s="32"/>
      <c r="AB68" s="63"/>
      <c r="AC68" s="89"/>
      <c r="AD68" s="89"/>
      <c r="AE68" s="64"/>
      <c r="AF68" s="32" t="s">
        <v>63</v>
      </c>
      <c r="AG68" s="63"/>
      <c r="AH68" s="187" t="s">
        <v>325</v>
      </c>
      <c r="AI68" s="188" t="s">
        <v>321</v>
      </c>
      <c r="AJ68" s="64"/>
      <c r="AK68" s="32"/>
      <c r="AL68" s="63"/>
      <c r="AM68" s="187" t="s">
        <v>330</v>
      </c>
      <c r="AN68" s="188" t="b">
        <v>1</v>
      </c>
      <c r="AO68" s="64"/>
    </row>
    <row r="69" spans="1:41">
      <c r="A69" s="32"/>
      <c r="B69" s="1" t="s">
        <v>377</v>
      </c>
      <c r="C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P69" s="32"/>
      <c r="Q69" s="32"/>
      <c r="S69" s="32"/>
      <c r="T69" s="32"/>
      <c r="AB69" s="63"/>
      <c r="AC69" s="89"/>
      <c r="AD69" s="89"/>
      <c r="AE69" s="64"/>
      <c r="AF69" s="32" t="s">
        <v>63</v>
      </c>
      <c r="AG69" s="63"/>
      <c r="AH69" s="187" t="s">
        <v>326</v>
      </c>
      <c r="AI69" s="188" t="s">
        <v>46</v>
      </c>
      <c r="AJ69" s="64"/>
      <c r="AK69" s="32"/>
      <c r="AL69" s="63"/>
      <c r="AM69" s="187" t="s">
        <v>268</v>
      </c>
      <c r="AN69" s="266">
        <v>1.0000000000000001E-9</v>
      </c>
      <c r="AO69" s="64"/>
    </row>
    <row r="70" spans="1:41">
      <c r="A70" s="32"/>
      <c r="B70" s="204"/>
      <c r="C70" s="205"/>
      <c r="D70" s="281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47"/>
      <c r="AB70" s="63"/>
      <c r="AC70" s="89"/>
      <c r="AD70" s="89"/>
      <c r="AE70" s="64"/>
      <c r="AF70" s="32" t="s">
        <v>63</v>
      </c>
      <c r="AG70" s="63"/>
      <c r="AH70" s="187" t="s">
        <v>327</v>
      </c>
      <c r="AI70" s="188" t="s">
        <v>46</v>
      </c>
      <c r="AJ70" s="64"/>
      <c r="AK70" s="32"/>
      <c r="AL70" s="63"/>
      <c r="AM70" s="187" t="s">
        <v>269</v>
      </c>
      <c r="AN70" s="191">
        <v>1000</v>
      </c>
      <c r="AO70" s="64"/>
    </row>
    <row r="71" spans="1:41">
      <c r="A71" s="32"/>
      <c r="B71" s="206"/>
      <c r="C71" s="207" t="s">
        <v>207</v>
      </c>
      <c r="D71" s="282"/>
      <c r="E71" s="89"/>
      <c r="F71" s="207" t="s">
        <v>287</v>
      </c>
      <c r="G71" s="208"/>
      <c r="H71" s="89"/>
      <c r="I71" s="207" t="s">
        <v>288</v>
      </c>
      <c r="J71" s="208"/>
      <c r="K71" s="89"/>
      <c r="L71" s="207" t="s">
        <v>289</v>
      </c>
      <c r="M71" s="74"/>
      <c r="N71" s="208"/>
      <c r="O71" s="208"/>
      <c r="P71" s="208"/>
      <c r="Q71" s="89"/>
      <c r="R71" s="207" t="s">
        <v>211</v>
      </c>
      <c r="S71" s="89"/>
      <c r="T71" s="89"/>
      <c r="U71" s="89"/>
      <c r="V71" s="207" t="s">
        <v>294</v>
      </c>
      <c r="W71" s="89"/>
      <c r="X71" s="89"/>
      <c r="Y71" s="248"/>
      <c r="AB71" s="63"/>
      <c r="AC71" s="89"/>
      <c r="AD71" s="89"/>
      <c r="AE71" s="64"/>
      <c r="AF71" s="32" t="s">
        <v>63</v>
      </c>
      <c r="AG71" s="63"/>
      <c r="AH71" s="187" t="s">
        <v>328</v>
      </c>
      <c r="AI71" s="188" t="s">
        <v>46</v>
      </c>
      <c r="AJ71" s="64"/>
      <c r="AK71" s="32"/>
      <c r="AL71" s="63"/>
      <c r="AM71" s="187" t="s">
        <v>313</v>
      </c>
      <c r="AN71" s="188">
        <v>1</v>
      </c>
      <c r="AO71" s="64"/>
    </row>
    <row r="72" spans="1:41">
      <c r="A72" s="32"/>
      <c r="B72" s="206"/>
      <c r="C72" s="209" t="s">
        <v>5</v>
      </c>
      <c r="D72" s="210" t="s">
        <v>113</v>
      </c>
      <c r="E72" s="89" t="s">
        <v>63</v>
      </c>
      <c r="F72" s="126" t="s">
        <v>212</v>
      </c>
      <c r="G72" s="126" t="s">
        <v>165</v>
      </c>
      <c r="H72" s="89"/>
      <c r="I72" s="126" t="s">
        <v>212</v>
      </c>
      <c r="J72" s="126" t="s">
        <v>165</v>
      </c>
      <c r="K72" s="169"/>
      <c r="L72" s="211" t="s">
        <v>212</v>
      </c>
      <c r="M72" s="211" t="s">
        <v>213</v>
      </c>
      <c r="N72" s="211" t="s">
        <v>214</v>
      </c>
      <c r="O72" s="211" t="s">
        <v>165</v>
      </c>
      <c r="P72" s="211" t="s">
        <v>290</v>
      </c>
      <c r="Q72" s="150"/>
      <c r="R72" s="212" t="s">
        <v>212</v>
      </c>
      <c r="S72" s="126" t="s">
        <v>165</v>
      </c>
      <c r="T72" s="126" t="s">
        <v>164</v>
      </c>
      <c r="U72" s="126"/>
      <c r="V72" s="212" t="s">
        <v>212</v>
      </c>
      <c r="W72" s="126" t="s">
        <v>165</v>
      </c>
      <c r="X72" s="126" t="s">
        <v>164</v>
      </c>
      <c r="Y72" s="248"/>
      <c r="AB72" s="63"/>
      <c r="AC72" s="89"/>
      <c r="AD72" s="89"/>
      <c r="AE72" s="64"/>
      <c r="AF72" s="32" t="s">
        <v>63</v>
      </c>
      <c r="AG72" s="63"/>
      <c r="AH72" s="187" t="s">
        <v>247</v>
      </c>
      <c r="AI72" s="266" t="s">
        <v>297</v>
      </c>
      <c r="AJ72" s="64"/>
      <c r="AK72" s="32"/>
      <c r="AL72" s="63"/>
      <c r="AM72" s="187" t="s">
        <v>332</v>
      </c>
      <c r="AN72" s="266" t="b">
        <v>1</v>
      </c>
      <c r="AO72" s="64"/>
    </row>
    <row r="73" spans="1:41">
      <c r="A73" s="32"/>
      <c r="B73" s="206"/>
      <c r="C73" s="213" t="s">
        <v>217</v>
      </c>
      <c r="D73" s="214" t="s">
        <v>291</v>
      </c>
      <c r="E73" s="89" t="s">
        <v>63</v>
      </c>
      <c r="F73" s="130" t="str">
        <f>'AUD CURVE TICKERS'!B46</f>
        <v>6M</v>
      </c>
      <c r="G73" s="137">
        <f>'AUD CURVE TICKERS'!J46%</f>
        <v>2.23E-2</v>
      </c>
      <c r="H73" s="89"/>
      <c r="I73" s="215" t="str">
        <f>'AUD CURVE TICKERS'!B74</f>
        <v>1x7</v>
      </c>
      <c r="J73" s="137">
        <f>'AUD CURVE TICKERS'!J74%</f>
        <v>2.1589999999999998E-2</v>
      </c>
      <c r="K73" s="169"/>
      <c r="L73" s="217"/>
      <c r="M73" s="218"/>
      <c r="N73" s="218"/>
      <c r="O73" s="245"/>
      <c r="P73" s="219"/>
      <c r="Q73" s="89"/>
      <c r="R73" s="287" t="str">
        <f>'AUD CURVE TICKERS'!L74</f>
        <v>1Y</v>
      </c>
      <c r="S73" s="285">
        <f>'AUD CURVE TICKERS'!T74%</f>
        <v>2.1825000000000001E-2</v>
      </c>
      <c r="T73" s="220" t="b">
        <v>1</v>
      </c>
      <c r="U73" s="126"/>
      <c r="V73" s="287"/>
      <c r="W73" s="285"/>
      <c r="X73" s="220"/>
      <c r="Y73" s="248"/>
      <c r="AB73" s="63"/>
      <c r="AC73" s="89"/>
      <c r="AD73" s="89"/>
      <c r="AE73" s="64"/>
      <c r="AF73" s="32" t="s">
        <v>63</v>
      </c>
      <c r="AG73" s="63"/>
      <c r="AH73" s="187" t="s">
        <v>312</v>
      </c>
      <c r="AI73" s="191" t="s">
        <v>49</v>
      </c>
      <c r="AJ73" s="64"/>
      <c r="AK73" s="32"/>
      <c r="AL73" s="63"/>
      <c r="AM73" s="187"/>
      <c r="AN73" s="191"/>
      <c r="AO73" s="64"/>
    </row>
    <row r="74" spans="1:41">
      <c r="A74" s="32"/>
      <c r="B74" s="206"/>
      <c r="C74" s="213" t="s">
        <v>218</v>
      </c>
      <c r="D74" s="214" t="s">
        <v>321</v>
      </c>
      <c r="E74" s="89" t="s">
        <v>63</v>
      </c>
      <c r="F74" s="142"/>
      <c r="G74" s="144"/>
      <c r="H74" s="89"/>
      <c r="I74" s="221" t="str">
        <f>'AUD CURVE TICKERS'!B75</f>
        <v>2x8</v>
      </c>
      <c r="J74" s="144">
        <f>'AUD CURVE TICKERS'!J75%</f>
        <v>2.146E-2</v>
      </c>
      <c r="K74" s="169"/>
      <c r="L74" s="244"/>
      <c r="M74" s="223"/>
      <c r="N74" s="223"/>
      <c r="O74" s="246"/>
      <c r="P74" s="225"/>
      <c r="Q74" s="89"/>
      <c r="R74" s="288" t="str">
        <f>'AUD CURVE TICKERS'!L75</f>
        <v>2Y</v>
      </c>
      <c r="S74" s="286">
        <f>'AUD CURVE TICKERS'!T75%</f>
        <v>2.2349999999999998E-2</v>
      </c>
      <c r="T74" s="227" t="b">
        <v>1</v>
      </c>
      <c r="U74" s="126"/>
      <c r="V74" s="288"/>
      <c r="W74" s="286"/>
      <c r="X74" s="227"/>
      <c r="Y74" s="248"/>
      <c r="AB74" s="63"/>
      <c r="AC74" s="89"/>
      <c r="AD74" s="89"/>
      <c r="AE74" s="64"/>
      <c r="AF74" s="32" t="s">
        <v>63</v>
      </c>
      <c r="AG74" s="63"/>
      <c r="AH74" s="187" t="s">
        <v>329</v>
      </c>
      <c r="AI74" s="191" t="b">
        <v>1</v>
      </c>
      <c r="AJ74" s="64"/>
      <c r="AK74" s="32"/>
      <c r="AL74" s="63"/>
      <c r="AM74" s="187"/>
      <c r="AN74" s="191"/>
      <c r="AO74" s="64"/>
    </row>
    <row r="75" spans="1:41">
      <c r="A75" s="32"/>
      <c r="B75" s="206"/>
      <c r="C75" s="213" t="s">
        <v>220</v>
      </c>
      <c r="D75" s="283">
        <f ca="1">Settings.COB</f>
        <v>43278</v>
      </c>
      <c r="E75" s="89" t="s">
        <v>63</v>
      </c>
      <c r="F75" s="142"/>
      <c r="G75" s="144"/>
      <c r="H75" s="89"/>
      <c r="I75" s="221" t="str">
        <f>'AUD CURVE TICKERS'!B76</f>
        <v>3x9</v>
      </c>
      <c r="J75" s="144">
        <f>'AUD CURVE TICKERS'!J76%</f>
        <v>2.1440000000000001E-2</v>
      </c>
      <c r="K75" s="169"/>
      <c r="L75" s="244"/>
      <c r="M75" s="223"/>
      <c r="N75" s="223"/>
      <c r="O75" s="246"/>
      <c r="P75" s="229"/>
      <c r="Q75" s="89"/>
      <c r="R75" s="288" t="str">
        <f>'AUD CURVE TICKERS'!L76</f>
        <v>3Y</v>
      </c>
      <c r="S75" s="286">
        <f>'AUD CURVE TICKERS'!T76%</f>
        <v>2.3050000000000001E-2</v>
      </c>
      <c r="T75" s="227" t="b">
        <v>1</v>
      </c>
      <c r="U75" s="126"/>
      <c r="V75" s="288"/>
      <c r="W75" s="286"/>
      <c r="X75" s="227"/>
      <c r="Y75" s="248"/>
      <c r="AB75" s="63"/>
      <c r="AC75" s="89"/>
      <c r="AD75" s="89"/>
      <c r="AE75" s="64"/>
      <c r="AF75" s="32" t="s">
        <v>63</v>
      </c>
      <c r="AG75" s="63"/>
      <c r="AH75" s="187" t="s">
        <v>330</v>
      </c>
      <c r="AI75" s="191" t="b">
        <v>1</v>
      </c>
      <c r="AJ75" s="64"/>
      <c r="AK75" s="32"/>
      <c r="AL75" s="63"/>
      <c r="AM75" s="187"/>
      <c r="AN75" s="191"/>
      <c r="AO75" s="64"/>
    </row>
    <row r="76" spans="1:41">
      <c r="A76" s="32"/>
      <c r="B76" s="206"/>
      <c r="C76" s="230"/>
      <c r="D76" s="231"/>
      <c r="E76" s="89" t="s">
        <v>63</v>
      </c>
      <c r="F76" s="142"/>
      <c r="G76" s="144"/>
      <c r="H76" s="89"/>
      <c r="I76" s="221"/>
      <c r="J76" s="222"/>
      <c r="K76" s="169"/>
      <c r="L76" s="244"/>
      <c r="M76" s="223"/>
      <c r="N76" s="223"/>
      <c r="O76" s="246"/>
      <c r="P76" s="229"/>
      <c r="Q76" s="89"/>
      <c r="R76" s="288" t="str">
        <f>'AUD CURVE TICKERS'!L77</f>
        <v>4Y</v>
      </c>
      <c r="S76" s="286">
        <f>'AUD CURVE TICKERS'!T77%</f>
        <v>2.3937499999999997E-2</v>
      </c>
      <c r="T76" s="227" t="b">
        <v>1</v>
      </c>
      <c r="U76" s="126"/>
      <c r="V76" s="288"/>
      <c r="W76" s="286"/>
      <c r="X76" s="227"/>
      <c r="Y76" s="248"/>
      <c r="AB76" s="63"/>
      <c r="AC76" s="89"/>
      <c r="AD76" s="89"/>
      <c r="AE76" s="64"/>
      <c r="AF76" s="32" t="s">
        <v>63</v>
      </c>
      <c r="AG76" s="63"/>
      <c r="AH76" s="187" t="s">
        <v>268</v>
      </c>
      <c r="AI76" s="266">
        <v>1.0000000000000001E-9</v>
      </c>
      <c r="AJ76" s="64"/>
      <c r="AK76" s="32"/>
      <c r="AL76" s="63"/>
      <c r="AM76" s="187"/>
      <c r="AN76" s="266"/>
      <c r="AO76" s="64"/>
    </row>
    <row r="77" spans="1:41">
      <c r="A77" s="32"/>
      <c r="B77" s="206"/>
      <c r="C77" s="149"/>
      <c r="D77" s="232"/>
      <c r="E77" s="89" t="s">
        <v>63</v>
      </c>
      <c r="F77" s="233"/>
      <c r="G77" s="168"/>
      <c r="H77" s="89"/>
      <c r="I77" s="221"/>
      <c r="J77" s="222"/>
      <c r="K77" s="169"/>
      <c r="L77" s="244"/>
      <c r="M77" s="223"/>
      <c r="N77" s="223"/>
      <c r="O77" s="246"/>
      <c r="P77" s="229"/>
      <c r="Q77" s="89"/>
      <c r="R77" s="288" t="str">
        <f>'AUD CURVE TICKERS'!L78</f>
        <v>5Y</v>
      </c>
      <c r="S77" s="286">
        <f>'AUD CURVE TICKERS'!T78%</f>
        <v>2.4860000000000004E-2</v>
      </c>
      <c r="T77" s="227" t="b">
        <v>1</v>
      </c>
      <c r="U77" s="126"/>
      <c r="V77" s="288"/>
      <c r="W77" s="286"/>
      <c r="X77" s="227"/>
      <c r="Y77" s="248"/>
      <c r="AB77" s="63"/>
      <c r="AC77" s="89"/>
      <c r="AD77" s="89"/>
      <c r="AE77" s="64"/>
      <c r="AF77" s="32" t="s">
        <v>63</v>
      </c>
      <c r="AG77" s="63"/>
      <c r="AH77" s="187" t="s">
        <v>269</v>
      </c>
      <c r="AI77" s="191">
        <v>1000</v>
      </c>
      <c r="AJ77" s="64"/>
      <c r="AK77" s="32"/>
      <c r="AL77" s="63"/>
      <c r="AM77" s="187"/>
      <c r="AN77" s="191"/>
      <c r="AO77" s="64"/>
    </row>
    <row r="78" spans="1:41">
      <c r="A78" s="32"/>
      <c r="B78" s="206"/>
      <c r="C78" s="89"/>
      <c r="D78" s="150"/>
      <c r="E78" s="89" t="s">
        <v>63</v>
      </c>
      <c r="F78" s="89"/>
      <c r="G78" s="89"/>
      <c r="H78" s="89"/>
      <c r="I78" s="221"/>
      <c r="J78" s="222"/>
      <c r="K78" s="169"/>
      <c r="L78" s="244"/>
      <c r="M78" s="223"/>
      <c r="N78" s="223"/>
      <c r="O78" s="246"/>
      <c r="P78" s="229"/>
      <c r="Q78" s="89"/>
      <c r="R78" s="288" t="str">
        <f>'AUD CURVE TICKERS'!L79</f>
        <v>6Y</v>
      </c>
      <c r="S78" s="286">
        <f>'AUD CURVE TICKERS'!T79%</f>
        <v>2.5675E-2</v>
      </c>
      <c r="T78" s="227" t="b">
        <v>1</v>
      </c>
      <c r="U78" s="126"/>
      <c r="V78" s="288"/>
      <c r="W78" s="286"/>
      <c r="X78" s="227"/>
      <c r="Y78" s="248"/>
      <c r="AB78" s="63"/>
      <c r="AC78" s="89"/>
      <c r="AD78" s="89"/>
      <c r="AE78" s="64"/>
      <c r="AF78" s="32" t="s">
        <v>63</v>
      </c>
      <c r="AG78" s="63"/>
      <c r="AH78" s="187" t="s">
        <v>313</v>
      </c>
      <c r="AI78" s="191">
        <v>1</v>
      </c>
      <c r="AJ78" s="64"/>
      <c r="AK78" s="32"/>
      <c r="AL78" s="63"/>
      <c r="AM78" s="187"/>
      <c r="AN78" s="191"/>
      <c r="AO78" s="64"/>
    </row>
    <row r="79" spans="1:41">
      <c r="A79" s="32"/>
      <c r="B79" s="206"/>
      <c r="C79" s="234" t="s">
        <v>222</v>
      </c>
      <c r="D79" s="126"/>
      <c r="E79" s="89" t="s">
        <v>63</v>
      </c>
      <c r="F79" s="89"/>
      <c r="G79" s="89"/>
      <c r="H79" s="89"/>
      <c r="I79" s="221"/>
      <c r="J79" s="222"/>
      <c r="K79" s="89"/>
      <c r="L79" s="221"/>
      <c r="M79" s="228"/>
      <c r="N79" s="228"/>
      <c r="O79" s="224"/>
      <c r="P79" s="229"/>
      <c r="Q79" s="89"/>
      <c r="R79" s="288" t="str">
        <f>'AUD CURVE TICKERS'!L80</f>
        <v>7Y</v>
      </c>
      <c r="S79" s="286">
        <f>'AUD CURVE TICKERS'!T80%</f>
        <v>2.64E-2</v>
      </c>
      <c r="T79" s="227" t="b">
        <v>1</v>
      </c>
      <c r="U79" s="126"/>
      <c r="V79" s="288"/>
      <c r="W79" s="286"/>
      <c r="X79" s="227"/>
      <c r="Y79" s="248"/>
      <c r="AB79" s="63"/>
      <c r="AC79" s="89"/>
      <c r="AD79" s="89"/>
      <c r="AE79" s="64"/>
      <c r="AF79" s="32" t="s">
        <v>63</v>
      </c>
      <c r="AG79" s="63"/>
      <c r="AH79" s="187" t="s">
        <v>331</v>
      </c>
      <c r="AI79" s="191" t="s">
        <v>46</v>
      </c>
      <c r="AJ79" s="64"/>
      <c r="AK79" s="32"/>
      <c r="AL79" s="63"/>
      <c r="AM79" s="187"/>
      <c r="AN79" s="191"/>
      <c r="AO79" s="64"/>
    </row>
    <row r="80" spans="1:41">
      <c r="A80" s="32"/>
      <c r="B80" s="206"/>
      <c r="C80" s="148" t="s">
        <v>66</v>
      </c>
      <c r="D80" s="129" t="s">
        <v>378</v>
      </c>
      <c r="E80" s="89" t="s">
        <v>63</v>
      </c>
      <c r="F80" s="89"/>
      <c r="G80" s="89"/>
      <c r="H80" s="89"/>
      <c r="I80" s="221"/>
      <c r="J80" s="222"/>
      <c r="K80" s="89"/>
      <c r="L80" s="221"/>
      <c r="M80" s="228"/>
      <c r="N80" s="228"/>
      <c r="O80" s="224"/>
      <c r="P80" s="229"/>
      <c r="Q80" s="89"/>
      <c r="R80" s="288" t="str">
        <f>'AUD CURVE TICKERS'!L81</f>
        <v>8Y</v>
      </c>
      <c r="S80" s="286">
        <f>'AUD CURVE TICKERS'!T81%</f>
        <v>2.7050000000000001E-2</v>
      </c>
      <c r="T80" s="227" t="b">
        <v>1</v>
      </c>
      <c r="U80" s="126"/>
      <c r="V80" s="288"/>
      <c r="W80" s="286"/>
      <c r="X80" s="227"/>
      <c r="Y80" s="248"/>
      <c r="AB80" s="63"/>
      <c r="AC80" s="89"/>
      <c r="AD80" s="89"/>
      <c r="AE80" s="64"/>
      <c r="AF80" s="32" t="s">
        <v>63</v>
      </c>
      <c r="AG80" s="63"/>
      <c r="AH80" s="187" t="s">
        <v>332</v>
      </c>
      <c r="AI80" s="191" t="b">
        <v>1</v>
      </c>
      <c r="AJ80" s="64"/>
      <c r="AK80" s="32"/>
      <c r="AL80" s="63"/>
      <c r="AM80" s="187"/>
      <c r="AN80" s="191"/>
      <c r="AO80" s="64"/>
    </row>
    <row r="81" spans="1:41">
      <c r="A81" s="32"/>
      <c r="B81" s="206"/>
      <c r="C81" s="149" t="s">
        <v>224</v>
      </c>
      <c r="D81" s="276" t="str">
        <f ca="1">_xll.meLWOCurveMarketDataCreate(D80,C71,C72:D77,F71,F73:G77,I71,I73:J98,L71,L73:P98,R71,R73:T98,V71,V73:X98)</f>
        <v>AUD_SWAP_6ML_CURVE_MARKETDATA@8:37</v>
      </c>
      <c r="E81" s="89" t="s">
        <v>63</v>
      </c>
      <c r="F81" s="89"/>
      <c r="G81" s="89"/>
      <c r="H81" s="89"/>
      <c r="I81" s="221"/>
      <c r="J81" s="222"/>
      <c r="K81" s="89"/>
      <c r="L81" s="221"/>
      <c r="M81" s="228"/>
      <c r="N81" s="228"/>
      <c r="O81" s="224"/>
      <c r="P81" s="229"/>
      <c r="Q81" s="89"/>
      <c r="R81" s="288" t="str">
        <f>'AUD CURVE TICKERS'!L82</f>
        <v>9Y</v>
      </c>
      <c r="S81" s="286">
        <f>'AUD CURVE TICKERS'!T82%</f>
        <v>2.7574999999999999E-2</v>
      </c>
      <c r="T81" s="227" t="b">
        <v>1</v>
      </c>
      <c r="U81" s="126"/>
      <c r="V81" s="288"/>
      <c r="W81" s="286"/>
      <c r="X81" s="227"/>
      <c r="Y81" s="248"/>
      <c r="AB81" s="63"/>
      <c r="AC81" s="89"/>
      <c r="AD81" s="89"/>
      <c r="AE81" s="64"/>
      <c r="AF81" s="32" t="s">
        <v>63</v>
      </c>
      <c r="AG81" s="63"/>
      <c r="AH81" s="267"/>
      <c r="AI81" s="261"/>
      <c r="AJ81" s="64"/>
      <c r="AK81" s="32"/>
      <c r="AL81" s="63"/>
      <c r="AM81" s="267"/>
      <c r="AN81" s="261"/>
      <c r="AO81" s="64"/>
    </row>
    <row r="82" spans="1:41">
      <c r="A82" s="32"/>
      <c r="B82" s="206"/>
      <c r="C82" s="89"/>
      <c r="D82" s="150"/>
      <c r="E82" s="89" t="s">
        <v>63</v>
      </c>
      <c r="F82" s="89"/>
      <c r="G82" s="89"/>
      <c r="H82" s="89"/>
      <c r="I82" s="221"/>
      <c r="J82" s="222"/>
      <c r="K82" s="89"/>
      <c r="L82" s="221"/>
      <c r="M82" s="228"/>
      <c r="N82" s="228"/>
      <c r="O82" s="224"/>
      <c r="P82" s="229"/>
      <c r="Q82" s="89"/>
      <c r="R82" s="288" t="str">
        <f>'AUD CURVE TICKERS'!L83</f>
        <v>10Y</v>
      </c>
      <c r="S82" s="286">
        <f>'AUD CURVE TICKERS'!T83%</f>
        <v>2.8065000000000003E-2</v>
      </c>
      <c r="T82" s="227" t="b">
        <v>1</v>
      </c>
      <c r="U82" s="126"/>
      <c r="V82" s="288"/>
      <c r="W82" s="286"/>
      <c r="X82" s="227"/>
      <c r="Y82" s="248"/>
      <c r="AB82" s="63"/>
      <c r="AC82" s="89"/>
      <c r="AD82" s="89"/>
      <c r="AE82" s="64"/>
      <c r="AF82" s="32" t="s">
        <v>63</v>
      </c>
      <c r="AG82" s="63"/>
      <c r="AH82" s="89"/>
      <c r="AI82" s="89"/>
      <c r="AJ82" s="64"/>
      <c r="AK82" s="32"/>
      <c r="AL82" s="63"/>
      <c r="AM82" s="89"/>
      <c r="AN82" s="89"/>
      <c r="AO82" s="64"/>
    </row>
    <row r="83" spans="1:41">
      <c r="A83" s="32"/>
      <c r="B83" s="206"/>
      <c r="C83" s="89"/>
      <c r="D83" s="150"/>
      <c r="E83" s="89" t="s">
        <v>63</v>
      </c>
      <c r="F83" s="89"/>
      <c r="G83" s="89"/>
      <c r="H83" s="89"/>
      <c r="I83" s="221"/>
      <c r="J83" s="222"/>
      <c r="K83" s="89"/>
      <c r="L83" s="221"/>
      <c r="M83" s="228"/>
      <c r="N83" s="228"/>
      <c r="O83" s="224"/>
      <c r="P83" s="229"/>
      <c r="Q83" s="89"/>
      <c r="R83" s="288" t="str">
        <f>'AUD CURVE TICKERS'!L84</f>
        <v>12Y</v>
      </c>
      <c r="S83" s="286">
        <f>'AUD CURVE TICKERS'!T84%</f>
        <v>2.8900000000000002E-2</v>
      </c>
      <c r="T83" s="227" t="b">
        <v>1</v>
      </c>
      <c r="U83" s="126"/>
      <c r="V83" s="288"/>
      <c r="W83" s="286"/>
      <c r="X83" s="227"/>
      <c r="Y83" s="248"/>
      <c r="AB83" s="63"/>
      <c r="AC83" s="89"/>
      <c r="AD83" s="89"/>
      <c r="AE83" s="64"/>
      <c r="AF83" s="32" t="s">
        <v>63</v>
      </c>
      <c r="AG83" s="63"/>
      <c r="AH83" s="207" t="s">
        <v>294</v>
      </c>
      <c r="AI83" s="89"/>
      <c r="AJ83" s="64"/>
      <c r="AK83" s="32"/>
      <c r="AL83" s="63"/>
      <c r="AM83" s="207" t="s">
        <v>294</v>
      </c>
      <c r="AN83" s="89"/>
      <c r="AO83" s="64"/>
    </row>
    <row r="84" spans="1:41">
      <c r="A84" s="32"/>
      <c r="B84" s="206"/>
      <c r="C84" s="89"/>
      <c r="D84" s="150"/>
      <c r="E84" s="89" t="s">
        <v>63</v>
      </c>
      <c r="F84" s="89"/>
      <c r="G84" s="89"/>
      <c r="H84" s="89"/>
      <c r="I84" s="221"/>
      <c r="J84" s="222"/>
      <c r="K84" s="89"/>
      <c r="L84" s="221"/>
      <c r="M84" s="228"/>
      <c r="N84" s="228"/>
      <c r="O84" s="224"/>
      <c r="P84" s="229"/>
      <c r="Q84" s="89"/>
      <c r="R84" s="288" t="str">
        <f>'AUD CURVE TICKERS'!L85</f>
        <v>15Y</v>
      </c>
      <c r="S84" s="286">
        <f>'AUD CURVE TICKERS'!T85%</f>
        <v>2.9729999999999999E-2</v>
      </c>
      <c r="T84" s="227" t="b">
        <v>1</v>
      </c>
      <c r="U84" s="126"/>
      <c r="V84" s="288"/>
      <c r="W84" s="286"/>
      <c r="X84" s="227"/>
      <c r="Y84" s="248"/>
      <c r="AB84" s="63"/>
      <c r="AC84" s="89"/>
      <c r="AD84" s="89"/>
      <c r="AE84" s="64"/>
      <c r="AF84" s="32" t="s">
        <v>63</v>
      </c>
      <c r="AG84" s="63"/>
      <c r="AH84" s="185" t="s">
        <v>333</v>
      </c>
      <c r="AI84" s="273" t="b">
        <v>0</v>
      </c>
      <c r="AJ84" s="64"/>
      <c r="AK84" s="32"/>
      <c r="AL84" s="63"/>
      <c r="AM84" s="185"/>
      <c r="AN84" s="273"/>
      <c r="AO84" s="64"/>
    </row>
    <row r="85" spans="1:41">
      <c r="A85" s="32"/>
      <c r="B85" s="206"/>
      <c r="C85" s="89"/>
      <c r="D85" s="150"/>
      <c r="E85" s="89"/>
      <c r="F85" s="89"/>
      <c r="G85" s="89"/>
      <c r="H85" s="89"/>
      <c r="I85" s="221"/>
      <c r="J85" s="222"/>
      <c r="K85" s="89"/>
      <c r="L85" s="221"/>
      <c r="M85" s="228"/>
      <c r="N85" s="228"/>
      <c r="O85" s="224"/>
      <c r="P85" s="229"/>
      <c r="Q85" s="89"/>
      <c r="R85" s="288" t="str">
        <f>'AUD CURVE TICKERS'!L86</f>
        <v>20Y</v>
      </c>
      <c r="S85" s="286">
        <f>'AUD CURVE TICKERS'!T86%</f>
        <v>3.0249999999999999E-2</v>
      </c>
      <c r="T85" s="227" t="b">
        <v>1</v>
      </c>
      <c r="U85" s="126"/>
      <c r="V85" s="288"/>
      <c r="W85" s="286"/>
      <c r="X85" s="227"/>
      <c r="Y85" s="248"/>
      <c r="AB85" s="63"/>
      <c r="AC85" s="89"/>
      <c r="AD85" s="89"/>
      <c r="AE85" s="64"/>
      <c r="AF85" s="32" t="s">
        <v>63</v>
      </c>
      <c r="AG85" s="63"/>
      <c r="AH85" s="187" t="s">
        <v>334</v>
      </c>
      <c r="AI85" s="268" t="s">
        <v>277</v>
      </c>
      <c r="AJ85" s="64"/>
      <c r="AK85" s="32"/>
      <c r="AL85" s="63"/>
      <c r="AM85" s="187"/>
      <c r="AN85" s="268"/>
      <c r="AO85" s="64"/>
    </row>
    <row r="86" spans="1:41">
      <c r="A86" s="32"/>
      <c r="B86" s="206"/>
      <c r="C86" s="89"/>
      <c r="D86" s="150"/>
      <c r="E86" s="89" t="s">
        <v>63</v>
      </c>
      <c r="F86" s="89"/>
      <c r="G86" s="89"/>
      <c r="H86" s="89"/>
      <c r="I86" s="221"/>
      <c r="J86" s="222"/>
      <c r="K86" s="89"/>
      <c r="L86" s="221"/>
      <c r="M86" s="228"/>
      <c r="N86" s="228"/>
      <c r="O86" s="224"/>
      <c r="P86" s="229"/>
      <c r="Q86" s="89"/>
      <c r="R86" s="288" t="str">
        <f>'AUD CURVE TICKERS'!L87</f>
        <v>25Y</v>
      </c>
      <c r="S86" s="286">
        <f>'AUD CURVE TICKERS'!T87%</f>
        <v>3.02375E-2</v>
      </c>
      <c r="T86" s="227" t="b">
        <v>1</v>
      </c>
      <c r="U86" s="126"/>
      <c r="V86" s="221"/>
      <c r="W86" s="226"/>
      <c r="X86" s="227"/>
      <c r="Y86" s="248"/>
      <c r="AB86" s="63"/>
      <c r="AC86" s="89"/>
      <c r="AD86" s="89"/>
      <c r="AE86" s="64"/>
      <c r="AF86" s="32" t="s">
        <v>63</v>
      </c>
      <c r="AG86" s="63"/>
      <c r="AH86" s="187" t="s">
        <v>335</v>
      </c>
      <c r="AI86" s="268" t="s">
        <v>120</v>
      </c>
      <c r="AJ86" s="64"/>
      <c r="AK86" s="32"/>
      <c r="AL86" s="63"/>
      <c r="AM86" s="187"/>
      <c r="AN86" s="268"/>
      <c r="AO86" s="64"/>
    </row>
    <row r="87" spans="1:41">
      <c r="A87" s="32"/>
      <c r="B87" s="206"/>
      <c r="C87" s="151" t="s">
        <v>225</v>
      </c>
      <c r="D87" s="235"/>
      <c r="E87" s="89" t="s">
        <v>63</v>
      </c>
      <c r="F87" s="89"/>
      <c r="G87" s="89"/>
      <c r="H87" s="89"/>
      <c r="I87" s="221"/>
      <c r="J87" s="222"/>
      <c r="K87" s="89"/>
      <c r="L87" s="221"/>
      <c r="M87" s="228"/>
      <c r="N87" s="228"/>
      <c r="O87" s="224"/>
      <c r="P87" s="229"/>
      <c r="Q87" s="89"/>
      <c r="R87" s="288" t="str">
        <f>'AUD CURVE TICKERS'!L88</f>
        <v>30Y</v>
      </c>
      <c r="S87" s="286">
        <f>'AUD CURVE TICKERS'!T88%</f>
        <v>2.99625E-2</v>
      </c>
      <c r="T87" s="227" t="b">
        <v>1</v>
      </c>
      <c r="U87" s="126"/>
      <c r="V87" s="221"/>
      <c r="W87" s="226"/>
      <c r="X87" s="227"/>
      <c r="Y87" s="248"/>
      <c r="AB87" s="63"/>
      <c r="AC87" s="89"/>
      <c r="AD87" s="89"/>
      <c r="AE87" s="64"/>
      <c r="AF87" s="32" t="s">
        <v>63</v>
      </c>
      <c r="AG87" s="63"/>
      <c r="AH87" s="187" t="s">
        <v>336</v>
      </c>
      <c r="AI87" s="268" t="s">
        <v>280</v>
      </c>
      <c r="AJ87" s="64"/>
      <c r="AK87" s="32"/>
      <c r="AL87" s="63"/>
      <c r="AM87" s="187"/>
      <c r="AN87" s="268"/>
      <c r="AO87" s="64"/>
    </row>
    <row r="88" spans="1:41">
      <c r="A88" s="32"/>
      <c r="B88" s="206"/>
      <c r="C88" s="152" t="s">
        <v>66</v>
      </c>
      <c r="D88" s="153" t="s">
        <v>582</v>
      </c>
      <c r="E88" s="89" t="s">
        <v>63</v>
      </c>
      <c r="F88" s="89"/>
      <c r="G88" s="89"/>
      <c r="H88" s="89"/>
      <c r="I88" s="221"/>
      <c r="J88" s="222"/>
      <c r="K88" s="89"/>
      <c r="L88" s="221"/>
      <c r="M88" s="228"/>
      <c r="N88" s="228"/>
      <c r="O88" s="224"/>
      <c r="P88" s="229"/>
      <c r="Q88" s="89"/>
      <c r="R88" s="221"/>
      <c r="S88" s="226"/>
      <c r="T88" s="227"/>
      <c r="U88" s="126"/>
      <c r="V88" s="221"/>
      <c r="W88" s="226"/>
      <c r="X88" s="227"/>
      <c r="Y88" s="248"/>
      <c r="AB88" s="63"/>
      <c r="AC88" s="89"/>
      <c r="AD88" s="89"/>
      <c r="AE88" s="64"/>
      <c r="AF88" s="32" t="s">
        <v>63</v>
      </c>
      <c r="AG88" s="63"/>
      <c r="AH88" s="187" t="s">
        <v>337</v>
      </c>
      <c r="AI88" s="268" t="s">
        <v>49</v>
      </c>
      <c r="AJ88" s="64"/>
      <c r="AK88" s="32"/>
      <c r="AL88" s="63"/>
      <c r="AM88" s="187"/>
      <c r="AN88" s="268"/>
      <c r="AO88" s="64"/>
    </row>
    <row r="89" spans="1:41">
      <c r="A89" s="32"/>
      <c r="B89" s="206"/>
      <c r="C89" s="154" t="s">
        <v>227</v>
      </c>
      <c r="D89" s="274" t="str">
        <f ca="1">$AN$6</f>
        <v>AUD_6ML_CURVE_GENERATOR@7:38</v>
      </c>
      <c r="E89" s="89" t="s">
        <v>63</v>
      </c>
      <c r="F89" s="89"/>
      <c r="G89" s="89"/>
      <c r="H89" s="89"/>
      <c r="I89" s="221"/>
      <c r="J89" s="222"/>
      <c r="K89" s="89"/>
      <c r="L89" s="221"/>
      <c r="M89" s="228"/>
      <c r="N89" s="228"/>
      <c r="O89" s="224"/>
      <c r="P89" s="229"/>
      <c r="Q89" s="89"/>
      <c r="R89" s="221"/>
      <c r="S89" s="226"/>
      <c r="T89" s="227"/>
      <c r="U89" s="126"/>
      <c r="V89" s="221"/>
      <c r="W89" s="226"/>
      <c r="X89" s="227"/>
      <c r="Y89" s="248"/>
      <c r="AB89" s="63"/>
      <c r="AC89" s="89"/>
      <c r="AD89" s="89"/>
      <c r="AE89" s="64"/>
      <c r="AF89" s="32" t="s">
        <v>63</v>
      </c>
      <c r="AG89" s="63"/>
      <c r="AH89" s="187" t="s">
        <v>338</v>
      </c>
      <c r="AI89" s="269">
        <v>1</v>
      </c>
      <c r="AJ89" s="64"/>
      <c r="AK89" s="32"/>
      <c r="AL89" s="63"/>
      <c r="AM89" s="187"/>
      <c r="AN89" s="269"/>
      <c r="AO89" s="64"/>
    </row>
    <row r="90" spans="1:41">
      <c r="A90" s="32"/>
      <c r="B90" s="206"/>
      <c r="C90" s="154" t="s">
        <v>228</v>
      </c>
      <c r="D90" s="155" t="s">
        <v>111</v>
      </c>
      <c r="E90" s="89" t="s">
        <v>63</v>
      </c>
      <c r="F90" s="89"/>
      <c r="G90" s="89"/>
      <c r="H90" s="89"/>
      <c r="I90" s="221"/>
      <c r="J90" s="222"/>
      <c r="K90" s="89"/>
      <c r="L90" s="221"/>
      <c r="M90" s="228"/>
      <c r="N90" s="228"/>
      <c r="O90" s="224"/>
      <c r="P90" s="229"/>
      <c r="Q90" s="89"/>
      <c r="R90" s="221"/>
      <c r="S90" s="226"/>
      <c r="T90" s="227"/>
      <c r="U90" s="126"/>
      <c r="V90" s="221"/>
      <c r="W90" s="226"/>
      <c r="X90" s="227"/>
      <c r="Y90" s="248"/>
      <c r="AB90" s="63"/>
      <c r="AC90" s="89"/>
      <c r="AD90" s="89"/>
      <c r="AE90" s="64"/>
      <c r="AF90" s="32" t="s">
        <v>63</v>
      </c>
      <c r="AG90" s="63"/>
      <c r="AH90" s="187" t="s">
        <v>339</v>
      </c>
      <c r="AI90" s="268" t="s">
        <v>208</v>
      </c>
      <c r="AJ90" s="64"/>
      <c r="AK90" s="32"/>
      <c r="AL90" s="63"/>
      <c r="AM90" s="187"/>
      <c r="AN90" s="268"/>
      <c r="AO90" s="64"/>
    </row>
    <row r="91" spans="1:41">
      <c r="A91" s="32"/>
      <c r="B91" s="206"/>
      <c r="C91" s="156" t="s">
        <v>229</v>
      </c>
      <c r="D91" s="157"/>
      <c r="E91" s="89" t="s">
        <v>63</v>
      </c>
      <c r="F91" s="89"/>
      <c r="G91" s="89"/>
      <c r="H91" s="89"/>
      <c r="I91" s="221"/>
      <c r="J91" s="222"/>
      <c r="K91" s="89"/>
      <c r="L91" s="221"/>
      <c r="M91" s="228"/>
      <c r="N91" s="228"/>
      <c r="O91" s="224"/>
      <c r="P91" s="229"/>
      <c r="Q91" s="89"/>
      <c r="R91" s="221"/>
      <c r="S91" s="226"/>
      <c r="T91" s="227"/>
      <c r="U91" s="126"/>
      <c r="V91" s="221"/>
      <c r="W91" s="226"/>
      <c r="X91" s="227"/>
      <c r="Y91" s="248"/>
      <c r="AB91" s="63"/>
      <c r="AC91" s="89"/>
      <c r="AD91" s="89"/>
      <c r="AE91" s="64"/>
      <c r="AF91" s="32" t="s">
        <v>63</v>
      </c>
      <c r="AG91" s="63"/>
      <c r="AH91" s="187" t="s">
        <v>340</v>
      </c>
      <c r="AI91" s="268" t="s">
        <v>295</v>
      </c>
      <c r="AJ91" s="64"/>
      <c r="AK91" s="32"/>
      <c r="AL91" s="63"/>
      <c r="AM91" s="187"/>
      <c r="AN91" s="268"/>
      <c r="AO91" s="64"/>
    </row>
    <row r="92" spans="1:41">
      <c r="A92" s="32"/>
      <c r="B92" s="206"/>
      <c r="C92" s="89"/>
      <c r="D92" s="150"/>
      <c r="E92" s="89" t="s">
        <v>63</v>
      </c>
      <c r="F92" s="89"/>
      <c r="G92" s="89"/>
      <c r="H92" s="89"/>
      <c r="I92" s="221"/>
      <c r="J92" s="222"/>
      <c r="K92" s="89"/>
      <c r="L92" s="221"/>
      <c r="M92" s="228"/>
      <c r="N92" s="228"/>
      <c r="O92" s="224"/>
      <c r="P92" s="229"/>
      <c r="Q92" s="89"/>
      <c r="R92" s="221"/>
      <c r="S92" s="226"/>
      <c r="T92" s="227"/>
      <c r="U92" s="126"/>
      <c r="V92" s="221"/>
      <c r="W92" s="226"/>
      <c r="X92" s="227"/>
      <c r="Y92" s="248"/>
      <c r="AB92" s="63"/>
      <c r="AC92" s="89"/>
      <c r="AD92" s="89"/>
      <c r="AE92" s="64"/>
      <c r="AF92" s="32" t="s">
        <v>63</v>
      </c>
      <c r="AG92" s="63"/>
      <c r="AH92" s="187" t="s">
        <v>341</v>
      </c>
      <c r="AI92" s="268" t="s">
        <v>95</v>
      </c>
      <c r="AJ92" s="64"/>
      <c r="AK92" s="32"/>
      <c r="AL92" s="63"/>
      <c r="AM92" s="187"/>
      <c r="AN92" s="268"/>
      <c r="AO92" s="64"/>
    </row>
    <row r="93" spans="1:41">
      <c r="A93" s="32"/>
      <c r="B93" s="206"/>
      <c r="C93" s="89"/>
      <c r="D93" s="150"/>
      <c r="E93" s="89" t="s">
        <v>63</v>
      </c>
      <c r="F93" s="89"/>
      <c r="G93" s="89"/>
      <c r="H93" s="89"/>
      <c r="I93" s="221"/>
      <c r="J93" s="222"/>
      <c r="K93" s="89"/>
      <c r="L93" s="221"/>
      <c r="M93" s="228"/>
      <c r="N93" s="228"/>
      <c r="O93" s="224"/>
      <c r="P93" s="229"/>
      <c r="Q93" s="89"/>
      <c r="R93" s="221"/>
      <c r="S93" s="226"/>
      <c r="T93" s="227"/>
      <c r="U93" s="126"/>
      <c r="V93" s="221"/>
      <c r="W93" s="226"/>
      <c r="X93" s="227"/>
      <c r="Y93" s="248"/>
      <c r="AB93" s="63"/>
      <c r="AC93" s="89"/>
      <c r="AD93" s="89"/>
      <c r="AE93" s="64"/>
      <c r="AF93" s="32" t="s">
        <v>63</v>
      </c>
      <c r="AG93" s="63"/>
      <c r="AH93" s="187" t="s">
        <v>342</v>
      </c>
      <c r="AI93" s="268" t="s">
        <v>120</v>
      </c>
      <c r="AJ93" s="64"/>
      <c r="AK93" s="32"/>
      <c r="AL93" s="63"/>
      <c r="AM93" s="187"/>
      <c r="AN93" s="268"/>
      <c r="AO93" s="64"/>
    </row>
    <row r="94" spans="1:41">
      <c r="B94" s="206"/>
      <c r="C94" s="151" t="s">
        <v>230</v>
      </c>
      <c r="D94" s="150"/>
      <c r="E94" s="89" t="s">
        <v>63</v>
      </c>
      <c r="F94" s="89"/>
      <c r="G94" s="89"/>
      <c r="H94" s="89"/>
      <c r="I94" s="221"/>
      <c r="J94" s="222"/>
      <c r="K94" s="89"/>
      <c r="L94" s="221"/>
      <c r="M94" s="228"/>
      <c r="N94" s="228"/>
      <c r="O94" s="224"/>
      <c r="P94" s="229"/>
      <c r="Q94" s="89"/>
      <c r="R94" s="221"/>
      <c r="S94" s="226"/>
      <c r="T94" s="227"/>
      <c r="U94" s="126"/>
      <c r="V94" s="221"/>
      <c r="W94" s="226"/>
      <c r="X94" s="227"/>
      <c r="Y94" s="248"/>
      <c r="AB94" s="63"/>
      <c r="AC94" s="89"/>
      <c r="AD94" s="89"/>
      <c r="AE94" s="64"/>
      <c r="AF94" s="32" t="s">
        <v>63</v>
      </c>
      <c r="AG94" s="63"/>
      <c r="AH94" s="187" t="s">
        <v>343</v>
      </c>
      <c r="AI94" s="268" t="s">
        <v>277</v>
      </c>
      <c r="AJ94" s="64"/>
      <c r="AK94" s="32"/>
      <c r="AL94" s="63"/>
      <c r="AM94" s="187"/>
      <c r="AN94" s="268"/>
      <c r="AO94" s="64"/>
    </row>
    <row r="95" spans="1:41">
      <c r="B95" s="206"/>
      <c r="C95" s="158" t="s">
        <v>66</v>
      </c>
      <c r="D95" s="277" t="str">
        <f t="array" aca="1" ref="D95:D98" ca="1">IF($D$65,_xll.meLWOCurveCalibrate(D88,D89,D81,D90),"#Error: Dependency Curve not Built")</f>
        <v>AUD_SWAP_6M_CURVE@9:1</v>
      </c>
      <c r="E95" s="89" t="s">
        <v>63</v>
      </c>
      <c r="F95" s="89"/>
      <c r="G95" s="89"/>
      <c r="H95" s="89"/>
      <c r="I95" s="221"/>
      <c r="J95" s="222"/>
      <c r="K95" s="89"/>
      <c r="L95" s="221"/>
      <c r="M95" s="228"/>
      <c r="N95" s="228"/>
      <c r="O95" s="224"/>
      <c r="P95" s="229"/>
      <c r="Q95" s="89"/>
      <c r="R95" s="221"/>
      <c r="S95" s="226"/>
      <c r="T95" s="227"/>
      <c r="U95" s="126"/>
      <c r="V95" s="221"/>
      <c r="W95" s="226"/>
      <c r="X95" s="227"/>
      <c r="Y95" s="248"/>
      <c r="AB95" s="63"/>
      <c r="AC95" s="89"/>
      <c r="AD95" s="89"/>
      <c r="AE95" s="64"/>
      <c r="AF95" s="32" t="s">
        <v>63</v>
      </c>
      <c r="AG95" s="63"/>
      <c r="AH95" s="187" t="s">
        <v>344</v>
      </c>
      <c r="AI95" s="268" t="s">
        <v>310</v>
      </c>
      <c r="AJ95" s="64"/>
      <c r="AK95" s="32"/>
      <c r="AL95" s="63"/>
      <c r="AM95" s="187"/>
      <c r="AN95" s="268"/>
      <c r="AO95" s="64"/>
    </row>
    <row r="96" spans="1:41">
      <c r="B96" s="206"/>
      <c r="C96" s="159" t="s">
        <v>231</v>
      </c>
      <c r="D96" s="278" t="str">
        <f ca="1"/>
        <v>AUDYC</v>
      </c>
      <c r="E96" s="89" t="s">
        <v>63</v>
      </c>
      <c r="F96" s="89"/>
      <c r="G96" s="89"/>
      <c r="H96" s="89"/>
      <c r="I96" s="221"/>
      <c r="J96" s="222"/>
      <c r="K96" s="89"/>
      <c r="L96" s="221"/>
      <c r="M96" s="228"/>
      <c r="N96" s="228"/>
      <c r="O96" s="224"/>
      <c r="P96" s="229"/>
      <c r="Q96" s="89"/>
      <c r="R96" s="221"/>
      <c r="S96" s="226"/>
      <c r="T96" s="227"/>
      <c r="U96" s="126"/>
      <c r="V96" s="221"/>
      <c r="W96" s="226"/>
      <c r="X96" s="227"/>
      <c r="Y96" s="248"/>
      <c r="AB96" s="63"/>
      <c r="AC96" s="89"/>
      <c r="AD96" s="89"/>
      <c r="AE96" s="64"/>
      <c r="AF96" s="32" t="s">
        <v>63</v>
      </c>
      <c r="AG96" s="63"/>
      <c r="AH96" s="187" t="s">
        <v>345</v>
      </c>
      <c r="AI96" s="270" t="s">
        <v>112</v>
      </c>
      <c r="AJ96" s="64"/>
      <c r="AK96" s="32"/>
      <c r="AL96" s="63"/>
      <c r="AM96" s="187"/>
      <c r="AN96" s="270"/>
      <c r="AO96" s="64"/>
    </row>
    <row r="97" spans="2:41">
      <c r="B97" s="206"/>
      <c r="C97" s="159" t="s">
        <v>232</v>
      </c>
      <c r="D97" s="278" t="str">
        <f ca="1"/>
        <v>AUD6ML</v>
      </c>
      <c r="E97" s="89" t="s">
        <v>63</v>
      </c>
      <c r="F97" s="89"/>
      <c r="G97" s="89"/>
      <c r="H97" s="89"/>
      <c r="I97" s="221"/>
      <c r="J97" s="222"/>
      <c r="K97" s="89"/>
      <c r="L97" s="221"/>
      <c r="M97" s="228"/>
      <c r="N97" s="228"/>
      <c r="O97" s="224"/>
      <c r="P97" s="229"/>
      <c r="Q97" s="89"/>
      <c r="R97" s="221"/>
      <c r="S97" s="226"/>
      <c r="T97" s="227"/>
      <c r="U97" s="126"/>
      <c r="V97" s="221"/>
      <c r="W97" s="226"/>
      <c r="X97" s="227"/>
      <c r="Y97" s="248"/>
      <c r="AB97" s="63"/>
      <c r="AC97" s="89"/>
      <c r="AD97" s="89"/>
      <c r="AE97" s="64"/>
      <c r="AF97" s="32" t="s">
        <v>63</v>
      </c>
      <c r="AG97" s="63"/>
      <c r="AH97" s="187" t="s">
        <v>346</v>
      </c>
      <c r="AI97" s="271">
        <v>1</v>
      </c>
      <c r="AJ97" s="64"/>
      <c r="AK97" s="32"/>
      <c r="AL97" s="63"/>
      <c r="AM97" s="187"/>
      <c r="AN97" s="271"/>
      <c r="AO97" s="64"/>
    </row>
    <row r="98" spans="2:41">
      <c r="B98" s="206"/>
      <c r="C98" s="160" t="s">
        <v>233</v>
      </c>
      <c r="D98" s="279" t="str">
        <f ca="1"/>
        <v>0.00500 sec</v>
      </c>
      <c r="E98" s="89" t="s">
        <v>63</v>
      </c>
      <c r="F98" s="89"/>
      <c r="G98" s="89"/>
      <c r="H98" s="89"/>
      <c r="I98" s="236"/>
      <c r="J98" s="237"/>
      <c r="K98" s="89"/>
      <c r="L98" s="236"/>
      <c r="M98" s="238"/>
      <c r="N98" s="238"/>
      <c r="O98" s="239"/>
      <c r="P98" s="240"/>
      <c r="Q98" s="89"/>
      <c r="R98" s="236"/>
      <c r="S98" s="241"/>
      <c r="T98" s="242"/>
      <c r="U98" s="126"/>
      <c r="V98" s="236"/>
      <c r="W98" s="241"/>
      <c r="X98" s="242"/>
      <c r="Y98" s="248"/>
      <c r="AB98" s="63"/>
      <c r="AC98" s="89"/>
      <c r="AD98" s="89"/>
      <c r="AE98" s="64"/>
      <c r="AF98" s="32" t="s">
        <v>63</v>
      </c>
      <c r="AG98" s="63"/>
      <c r="AH98" s="187" t="s">
        <v>347</v>
      </c>
      <c r="AI98" s="271" t="s">
        <v>49</v>
      </c>
      <c r="AJ98" s="64"/>
      <c r="AK98" s="32"/>
      <c r="AL98" s="63"/>
      <c r="AM98" s="187"/>
      <c r="AN98" s="271"/>
      <c r="AO98" s="64"/>
    </row>
    <row r="99" spans="2:41">
      <c r="B99" s="206"/>
      <c r="C99" s="161" t="s">
        <v>234</v>
      </c>
      <c r="D99" s="243" t="b">
        <f ca="1">LEFT(D95,3)=LEFT(D95,3)</f>
        <v>1</v>
      </c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248"/>
      <c r="AB99" s="63"/>
      <c r="AC99" s="89"/>
      <c r="AD99" s="89"/>
      <c r="AE99" s="64"/>
      <c r="AF99" s="32" t="s">
        <v>63</v>
      </c>
      <c r="AG99" s="63"/>
      <c r="AH99" s="187" t="s">
        <v>348</v>
      </c>
      <c r="AI99" s="271" t="s">
        <v>277</v>
      </c>
      <c r="AJ99" s="64"/>
      <c r="AK99" s="32"/>
      <c r="AL99" s="63"/>
      <c r="AM99" s="187"/>
      <c r="AN99" s="271"/>
      <c r="AO99" s="64"/>
    </row>
    <row r="100" spans="2:41">
      <c r="B100" s="249"/>
      <c r="C100" s="250"/>
      <c r="D100" s="284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1"/>
      <c r="AB100" s="63"/>
      <c r="AC100" s="89"/>
      <c r="AD100" s="89"/>
      <c r="AE100" s="64"/>
      <c r="AF100" s="32" t="s">
        <v>63</v>
      </c>
      <c r="AG100" s="63"/>
      <c r="AH100" s="187" t="s">
        <v>349</v>
      </c>
      <c r="AI100" s="270" t="s">
        <v>120</v>
      </c>
      <c r="AJ100" s="64"/>
      <c r="AK100" s="32"/>
      <c r="AL100" s="63"/>
      <c r="AM100" s="187"/>
      <c r="AN100" s="270"/>
      <c r="AO100" s="64"/>
    </row>
    <row r="101" spans="2:41">
      <c r="AB101" s="63"/>
      <c r="AC101" s="89"/>
      <c r="AD101" s="89"/>
      <c r="AE101" s="64"/>
      <c r="AF101" s="32" t="s">
        <v>63</v>
      </c>
      <c r="AG101" s="63"/>
      <c r="AH101" s="187" t="s">
        <v>350</v>
      </c>
      <c r="AI101" s="271" t="s">
        <v>351</v>
      </c>
      <c r="AJ101" s="64"/>
      <c r="AK101" s="32"/>
      <c r="AL101" s="63"/>
      <c r="AM101" s="187"/>
      <c r="AN101" s="271"/>
      <c r="AO101" s="64"/>
    </row>
    <row r="102" spans="2:41">
      <c r="AB102" s="63"/>
      <c r="AC102" s="89"/>
      <c r="AD102" s="89"/>
      <c r="AE102" s="64"/>
      <c r="AF102" s="32" t="s">
        <v>63</v>
      </c>
      <c r="AG102" s="63"/>
      <c r="AH102" s="187" t="s">
        <v>352</v>
      </c>
      <c r="AI102" s="271" t="s">
        <v>49</v>
      </c>
      <c r="AJ102" s="64"/>
      <c r="AK102" s="32"/>
      <c r="AL102" s="63"/>
      <c r="AM102" s="187"/>
      <c r="AN102" s="271"/>
      <c r="AO102" s="64"/>
    </row>
    <row r="103" spans="2:41">
      <c r="AB103" s="63"/>
      <c r="AC103" s="89"/>
      <c r="AD103" s="89"/>
      <c r="AE103" s="64"/>
      <c r="AF103" s="32" t="s">
        <v>63</v>
      </c>
      <c r="AG103" s="63"/>
      <c r="AH103" s="187" t="s">
        <v>353</v>
      </c>
      <c r="AI103" s="271">
        <v>1</v>
      </c>
      <c r="AJ103" s="64"/>
      <c r="AK103" s="32"/>
      <c r="AL103" s="63"/>
      <c r="AM103" s="187"/>
      <c r="AN103" s="271"/>
      <c r="AO103" s="64"/>
    </row>
    <row r="104" spans="2:41">
      <c r="AB104" s="63"/>
      <c r="AC104" s="89"/>
      <c r="AD104" s="89"/>
      <c r="AE104" s="64"/>
      <c r="AF104" s="32" t="s">
        <v>63</v>
      </c>
      <c r="AG104" s="63"/>
      <c r="AH104" s="187" t="s">
        <v>354</v>
      </c>
      <c r="AI104" s="271" t="s">
        <v>208</v>
      </c>
      <c r="AJ104" s="64"/>
      <c r="AK104" s="32"/>
      <c r="AL104" s="63"/>
      <c r="AM104" s="187"/>
      <c r="AN104" s="271"/>
      <c r="AO104" s="64"/>
    </row>
    <row r="105" spans="2:41">
      <c r="AB105" s="63"/>
      <c r="AC105" s="89"/>
      <c r="AD105" s="89"/>
      <c r="AE105" s="64"/>
      <c r="AF105" s="32" t="s">
        <v>63</v>
      </c>
      <c r="AG105" s="63"/>
      <c r="AH105" s="187" t="s">
        <v>355</v>
      </c>
      <c r="AI105" s="268" t="s">
        <v>295</v>
      </c>
      <c r="AJ105" s="64"/>
      <c r="AK105" s="32"/>
      <c r="AL105" s="63"/>
      <c r="AM105" s="187"/>
      <c r="AN105" s="268"/>
      <c r="AO105" s="64"/>
    </row>
    <row r="106" spans="2:41">
      <c r="AB106" s="63"/>
      <c r="AC106" s="89"/>
      <c r="AD106" s="89"/>
      <c r="AE106" s="64"/>
      <c r="AF106" s="32" t="s">
        <v>63</v>
      </c>
      <c r="AG106" s="63"/>
      <c r="AH106" s="187" t="s">
        <v>356</v>
      </c>
      <c r="AI106" s="270" t="s">
        <v>94</v>
      </c>
      <c r="AJ106" s="64"/>
      <c r="AK106" s="32"/>
      <c r="AL106" s="63"/>
      <c r="AM106" s="187"/>
      <c r="AN106" s="270"/>
      <c r="AO106" s="64"/>
    </row>
    <row r="107" spans="2:41">
      <c r="AB107" s="63"/>
      <c r="AC107" s="89"/>
      <c r="AD107" s="89"/>
      <c r="AE107" s="64"/>
      <c r="AF107" s="32" t="s">
        <v>63</v>
      </c>
      <c r="AG107" s="63"/>
      <c r="AH107" s="187" t="s">
        <v>357</v>
      </c>
      <c r="AI107" s="271" t="s">
        <v>120</v>
      </c>
      <c r="AJ107" s="64"/>
      <c r="AK107" s="32"/>
      <c r="AL107" s="63"/>
      <c r="AM107" s="187"/>
      <c r="AN107" s="271"/>
      <c r="AO107" s="64"/>
    </row>
    <row r="108" spans="2:41">
      <c r="AB108" s="63"/>
      <c r="AC108" s="89"/>
      <c r="AD108" s="89"/>
      <c r="AE108" s="64"/>
      <c r="AF108" s="32" t="s">
        <v>63</v>
      </c>
      <c r="AG108" s="63"/>
      <c r="AH108" s="187" t="s">
        <v>358</v>
      </c>
      <c r="AI108" s="271" t="s">
        <v>277</v>
      </c>
      <c r="AJ108" s="64"/>
      <c r="AK108" s="32"/>
      <c r="AL108" s="63"/>
      <c r="AM108" s="187"/>
      <c r="AN108" s="271"/>
      <c r="AO108" s="64"/>
    </row>
    <row r="109" spans="2:41">
      <c r="AB109" s="63"/>
      <c r="AC109" s="89"/>
      <c r="AD109" s="89"/>
      <c r="AE109" s="64"/>
      <c r="AF109" s="32" t="s">
        <v>63</v>
      </c>
      <c r="AG109" s="63"/>
      <c r="AH109" s="187" t="s">
        <v>359</v>
      </c>
      <c r="AI109" s="271" t="s">
        <v>310</v>
      </c>
      <c r="AJ109" s="64"/>
      <c r="AK109" s="32"/>
      <c r="AL109" s="63"/>
      <c r="AM109" s="187"/>
      <c r="AN109" s="271"/>
      <c r="AO109" s="64"/>
    </row>
    <row r="110" spans="2:41">
      <c r="AB110" s="63"/>
      <c r="AC110" s="89"/>
      <c r="AD110" s="89"/>
      <c r="AE110" s="64"/>
      <c r="AF110" s="32" t="s">
        <v>63</v>
      </c>
      <c r="AG110" s="63"/>
      <c r="AH110" s="187" t="s">
        <v>360</v>
      </c>
      <c r="AI110" s="270" t="s">
        <v>112</v>
      </c>
      <c r="AJ110" s="64"/>
      <c r="AK110" s="32"/>
      <c r="AL110" s="63"/>
      <c r="AM110" s="187"/>
      <c r="AN110" s="270"/>
      <c r="AO110" s="64"/>
    </row>
    <row r="111" spans="2:41">
      <c r="AB111" s="63"/>
      <c r="AC111" s="89"/>
      <c r="AD111" s="89"/>
      <c r="AE111" s="64"/>
      <c r="AF111" s="32" t="s">
        <v>63</v>
      </c>
      <c r="AG111" s="63"/>
      <c r="AH111" s="187" t="s">
        <v>361</v>
      </c>
      <c r="AI111" s="271">
        <v>1</v>
      </c>
      <c r="AJ111" s="64"/>
      <c r="AK111" s="32"/>
      <c r="AL111" s="63"/>
      <c r="AM111" s="187"/>
      <c r="AN111" s="271"/>
      <c r="AO111" s="64"/>
    </row>
    <row r="112" spans="2:41">
      <c r="AB112" s="63"/>
      <c r="AC112" s="89"/>
      <c r="AD112" s="89"/>
      <c r="AE112" s="64"/>
      <c r="AF112" s="32" t="s">
        <v>63</v>
      </c>
      <c r="AG112" s="63"/>
      <c r="AH112" s="187" t="s">
        <v>362</v>
      </c>
      <c r="AI112" s="271" t="s">
        <v>49</v>
      </c>
      <c r="AJ112" s="64"/>
      <c r="AK112" s="32"/>
      <c r="AL112" s="63"/>
      <c r="AM112" s="187"/>
      <c r="AN112" s="271"/>
      <c r="AO112" s="64"/>
    </row>
    <row r="113" spans="5:41">
      <c r="AB113" s="63"/>
      <c r="AC113" s="89"/>
      <c r="AD113" s="89"/>
      <c r="AE113" s="64"/>
      <c r="AF113" s="32" t="s">
        <v>63</v>
      </c>
      <c r="AG113" s="63"/>
      <c r="AH113" s="187" t="s">
        <v>363</v>
      </c>
      <c r="AI113" s="271" t="s">
        <v>364</v>
      </c>
      <c r="AJ113" s="64"/>
      <c r="AK113" s="32"/>
      <c r="AL113" s="63"/>
      <c r="AM113" s="187"/>
      <c r="AN113" s="271"/>
      <c r="AO113" s="64"/>
    </row>
    <row r="114" spans="5:41">
      <c r="AB114" s="63"/>
      <c r="AC114" s="89"/>
      <c r="AD114" s="89"/>
      <c r="AE114" s="64"/>
      <c r="AF114" s="32" t="s">
        <v>63</v>
      </c>
      <c r="AG114" s="63"/>
      <c r="AH114" s="187" t="s">
        <v>330</v>
      </c>
      <c r="AI114" s="271" t="b">
        <v>1</v>
      </c>
      <c r="AJ114" s="64"/>
      <c r="AK114" s="32"/>
      <c r="AL114" s="63"/>
      <c r="AM114" s="187"/>
      <c r="AN114" s="271"/>
      <c r="AO114" s="64"/>
    </row>
    <row r="115" spans="5:41">
      <c r="AB115" s="63"/>
      <c r="AC115" s="89"/>
      <c r="AD115" s="89"/>
      <c r="AE115" s="64"/>
      <c r="AF115" s="32" t="s">
        <v>63</v>
      </c>
      <c r="AG115" s="63"/>
      <c r="AH115" s="187" t="s">
        <v>365</v>
      </c>
      <c r="AI115" s="271" t="b">
        <v>1</v>
      </c>
      <c r="AJ115" s="64"/>
      <c r="AK115" s="32"/>
      <c r="AL115" s="63"/>
      <c r="AM115" s="187"/>
      <c r="AN115" s="271"/>
      <c r="AO115" s="64"/>
    </row>
    <row r="116" spans="5:41">
      <c r="AB116" s="63"/>
      <c r="AC116" s="89"/>
      <c r="AD116" s="89"/>
      <c r="AE116" s="64"/>
      <c r="AF116" s="32" t="s">
        <v>63</v>
      </c>
      <c r="AG116" s="63"/>
      <c r="AH116" s="267"/>
      <c r="AI116" s="272"/>
      <c r="AJ116" s="64"/>
      <c r="AK116" s="32"/>
      <c r="AL116" s="63"/>
      <c r="AM116" s="267"/>
      <c r="AN116" s="272"/>
      <c r="AO116" s="64"/>
    </row>
    <row r="117" spans="5:41">
      <c r="AB117" s="63"/>
      <c r="AC117" s="89"/>
      <c r="AD117" s="89"/>
      <c r="AE117" s="64"/>
      <c r="AF117" s="32" t="s">
        <v>63</v>
      </c>
      <c r="AG117" s="63"/>
      <c r="AH117" s="89"/>
      <c r="AI117" s="89"/>
      <c r="AJ117" s="64"/>
      <c r="AK117" s="32"/>
      <c r="AL117" s="63"/>
      <c r="AM117" s="89"/>
      <c r="AN117" s="89"/>
      <c r="AO117" s="64"/>
    </row>
    <row r="118" spans="5:41">
      <c r="AB118" s="63"/>
      <c r="AC118" s="89"/>
      <c r="AD118" s="89"/>
      <c r="AE118" s="64"/>
      <c r="AF118" s="32" t="s">
        <v>63</v>
      </c>
      <c r="AG118" s="63"/>
      <c r="AH118" s="89"/>
      <c r="AI118" s="89"/>
      <c r="AJ118" s="64"/>
      <c r="AK118" s="32"/>
      <c r="AL118" s="63"/>
      <c r="AM118" s="89"/>
      <c r="AN118" s="89"/>
      <c r="AO118" s="64"/>
    </row>
    <row r="119" spans="5:41">
      <c r="AB119" s="63"/>
      <c r="AC119" s="89"/>
      <c r="AD119" s="89"/>
      <c r="AE119" s="64"/>
      <c r="AF119" s="32" t="s">
        <v>63</v>
      </c>
      <c r="AG119" s="63"/>
      <c r="AH119" s="89"/>
      <c r="AI119" s="89"/>
      <c r="AJ119" s="64"/>
      <c r="AK119" s="32"/>
      <c r="AL119" s="63"/>
      <c r="AM119" s="89"/>
      <c r="AN119" s="89"/>
      <c r="AO119" s="64"/>
    </row>
    <row r="120" spans="5:41">
      <c r="AB120" s="63"/>
      <c r="AC120" s="89"/>
      <c r="AD120" s="89"/>
      <c r="AE120" s="64"/>
      <c r="AF120" s="32" t="s">
        <v>63</v>
      </c>
      <c r="AG120" s="63"/>
      <c r="AH120" s="89"/>
      <c r="AI120" s="89"/>
      <c r="AJ120" s="64"/>
      <c r="AK120" s="32"/>
      <c r="AL120" s="63"/>
      <c r="AM120" s="89"/>
      <c r="AN120" s="89"/>
      <c r="AO120" s="64"/>
    </row>
    <row r="121" spans="5:41">
      <c r="E121" s="307"/>
      <c r="AB121" s="63"/>
      <c r="AC121" s="89"/>
      <c r="AD121" s="89"/>
      <c r="AE121" s="64"/>
      <c r="AF121" s="32" t="s">
        <v>63</v>
      </c>
      <c r="AG121" s="63"/>
      <c r="AH121" s="89"/>
      <c r="AI121" s="89"/>
      <c r="AJ121" s="64"/>
      <c r="AK121" s="32"/>
      <c r="AL121" s="63"/>
      <c r="AM121" s="89"/>
      <c r="AN121" s="89"/>
      <c r="AO121" s="64"/>
    </row>
    <row r="122" spans="5:41">
      <c r="E122" s="307"/>
      <c r="AB122" s="65"/>
      <c r="AC122" s="171"/>
      <c r="AD122" s="171"/>
      <c r="AE122" s="66"/>
      <c r="AF122" s="32" t="s">
        <v>63</v>
      </c>
      <c r="AG122" s="65"/>
      <c r="AH122" s="171"/>
      <c r="AI122" s="171"/>
      <c r="AJ122" s="66"/>
      <c r="AK122" s="32"/>
      <c r="AL122" s="65"/>
      <c r="AM122" s="171"/>
      <c r="AN122" s="171"/>
      <c r="AO122" s="66"/>
    </row>
    <row r="123" spans="5:41">
      <c r="E123" s="307"/>
    </row>
    <row r="124" spans="5:41">
      <c r="E124" s="307"/>
    </row>
    <row r="125" spans="5:41">
      <c r="E125" s="307"/>
    </row>
    <row r="126" spans="5:41">
      <c r="E126" s="307"/>
    </row>
    <row r="127" spans="5:41">
      <c r="E127" s="307"/>
    </row>
    <row r="128" spans="5:41">
      <c r="E128" s="307"/>
    </row>
    <row r="129" spans="5:35">
      <c r="E129" s="307"/>
    </row>
    <row r="130" spans="5:35">
      <c r="E130" s="307"/>
    </row>
    <row r="131" spans="5:35">
      <c r="E131" s="307"/>
    </row>
    <row r="132" spans="5:35">
      <c r="E132" s="307"/>
    </row>
    <row r="133" spans="5:35">
      <c r="E133" s="307"/>
      <c r="AH133" s="32"/>
      <c r="AI133" s="32"/>
    </row>
    <row r="134" spans="5:35">
      <c r="E134" s="307"/>
      <c r="AH134" s="32"/>
      <c r="AI134" s="32"/>
    </row>
    <row r="135" spans="5:35">
      <c r="E135" s="307"/>
      <c r="AH135" s="32"/>
      <c r="AI135" s="32"/>
    </row>
    <row r="136" spans="5:35">
      <c r="E136" s="307"/>
      <c r="AH136" s="32"/>
      <c r="AI136" s="32"/>
    </row>
    <row r="137" spans="5:35">
      <c r="E137" s="307"/>
      <c r="AH137" s="32"/>
      <c r="AI137" s="32"/>
    </row>
    <row r="138" spans="5:35">
      <c r="E138" s="307"/>
      <c r="AH138" s="32"/>
      <c r="AI138" s="32"/>
    </row>
    <row r="139" spans="5:35">
      <c r="E139" s="307"/>
      <c r="AH139" s="32"/>
      <c r="AI139" s="32"/>
    </row>
    <row r="140" spans="5:35">
      <c r="E140" s="307"/>
      <c r="AH140" s="32"/>
      <c r="AI140" s="32"/>
    </row>
    <row r="141" spans="5:35">
      <c r="E141" s="307"/>
      <c r="AH141" s="32"/>
      <c r="AI141" s="32"/>
    </row>
    <row r="142" spans="5:35">
      <c r="E142" s="307"/>
    </row>
    <row r="143" spans="5:35">
      <c r="E143" s="307"/>
    </row>
    <row r="144" spans="5:35">
      <c r="E144" s="307"/>
    </row>
  </sheetData>
  <dataValidations count="2">
    <dataValidation type="list" allowBlank="1" showInputMessage="1" showErrorMessage="1" sqref="AI65 AN89 AN65 AI89">
      <formula1>#REF!</formula1>
    </dataValidation>
    <dataValidation type="list" allowBlank="1" showInputMessage="1" showErrorMessage="1" sqref="AI29 AI37 AI53 AI69 AI93 AN29 AN37 AN53 AN69 AN93">
      <formula1>"FOLLOWING,MOD_FOLLOWING,PRECEDING,MOD_PRECEEDING,NO_CHANGE"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7"/>
  <sheetViews>
    <sheetView showGridLines="0" workbookViewId="0"/>
  </sheetViews>
  <sheetFormatPr defaultRowHeight="15"/>
  <cols>
    <col min="2" max="2" width="15.28515625" bestFit="1" customWidth="1"/>
    <col min="3" max="3" width="17" bestFit="1" customWidth="1"/>
    <col min="5" max="11" width="15.7109375" customWidth="1"/>
    <col min="13" max="13" width="19.28515625" customWidth="1"/>
    <col min="14" max="14" width="15.28515625" bestFit="1" customWidth="1"/>
    <col min="15" max="17" width="12.7109375" customWidth="1"/>
  </cols>
  <sheetData>
    <row r="2" spans="2:17">
      <c r="B2" s="349" t="s">
        <v>550</v>
      </c>
      <c r="C2" s="307"/>
      <c r="D2" s="307"/>
      <c r="E2" s="350" t="s">
        <v>555</v>
      </c>
      <c r="F2" s="307"/>
      <c r="G2" s="307"/>
      <c r="H2" s="307"/>
      <c r="I2" s="307"/>
      <c r="J2" s="307"/>
      <c r="K2" s="307"/>
    </row>
    <row r="3" spans="2:17">
      <c r="B3" s="307"/>
      <c r="C3" s="351" t="s">
        <v>559</v>
      </c>
      <c r="D3" s="307"/>
      <c r="E3" s="307"/>
      <c r="F3" s="307"/>
      <c r="G3" s="351"/>
      <c r="H3" s="307"/>
      <c r="I3" s="307"/>
      <c r="J3" s="307"/>
      <c r="K3" s="307"/>
    </row>
    <row r="4" spans="2:17">
      <c r="B4" s="26" t="s">
        <v>45</v>
      </c>
      <c r="C4" s="352" t="s">
        <v>18</v>
      </c>
      <c r="D4" s="352"/>
      <c r="E4" s="352" t="s">
        <v>45</v>
      </c>
      <c r="F4" s="26" t="s">
        <v>241</v>
      </c>
      <c r="G4" s="26" t="s">
        <v>551</v>
      </c>
      <c r="H4" s="26" t="s">
        <v>552</v>
      </c>
      <c r="I4" s="26" t="s">
        <v>34</v>
      </c>
      <c r="J4" s="26" t="s">
        <v>39</v>
      </c>
      <c r="K4" s="26" t="s">
        <v>553</v>
      </c>
      <c r="M4" s="23" t="s">
        <v>556</v>
      </c>
      <c r="N4" s="23" t="s">
        <v>84</v>
      </c>
      <c r="O4" s="23" t="s">
        <v>557</v>
      </c>
      <c r="P4" s="23" t="s">
        <v>501</v>
      </c>
      <c r="Q4" s="378" t="s">
        <v>558</v>
      </c>
    </row>
    <row r="5" spans="2:17">
      <c r="B5" s="353">
        <f ca="1">_xll.meDateFromTenor(Settings.COB,E5,"MOD_FOLLOWING","SYB:LNB","")</f>
        <v>43279</v>
      </c>
      <c r="C5" s="354">
        <f ca="1">_xll.meDateFromTenor(B5,F5,)</f>
        <v>43286</v>
      </c>
      <c r="D5" s="352"/>
      <c r="E5" s="355" t="s">
        <v>69</v>
      </c>
      <c r="F5" s="356" t="s">
        <v>236</v>
      </c>
      <c r="G5" s="398" t="s">
        <v>554</v>
      </c>
      <c r="H5" s="357" t="s">
        <v>35</v>
      </c>
      <c r="I5" s="358">
        <v>1000000</v>
      </c>
      <c r="J5" s="359">
        <v>0.01</v>
      </c>
      <c r="K5" s="360">
        <v>0</v>
      </c>
      <c r="L5" s="379">
        <v>1</v>
      </c>
      <c r="M5" s="380" t="str">
        <f ca="1">_xll.meLWOSwapCreateFromGenerator("AUDOIS"&amp;L5,G5,H5,I5,B5,C5,J5,K5,,,,,Settings.AllowCalibrationUpdates)</f>
        <v>AUDOIS1@50:0</v>
      </c>
      <c r="N5" s="381" t="s">
        <v>111</v>
      </c>
      <c r="O5" s="382">
        <f ca="1">_xll.meLWOSwapParRate(M5,N5)</f>
        <v>1.4999999994016786E-2</v>
      </c>
      <c r="P5" s="382">
        <f>'AUD CURVE'!G7</f>
        <v>1.4999999999999999E-2</v>
      </c>
      <c r="Q5" s="383">
        <f t="shared" ref="Q5:Q14" ca="1" si="0">(O5-P5)*10000</f>
        <v>-5.9832139243098936E-8</v>
      </c>
    </row>
    <row r="6" spans="2:17">
      <c r="B6" s="361">
        <f ca="1">_xll.meDateFromTenor(Settings.COB,E6,"MOD_FOLLOWING","SYB:LNB","")</f>
        <v>43279</v>
      </c>
      <c r="C6" s="362">
        <f ca="1">_xll.meDateFromTenor(B6,F6,)</f>
        <v>43309</v>
      </c>
      <c r="D6" s="307"/>
      <c r="E6" s="363" t="s">
        <v>69</v>
      </c>
      <c r="F6" s="364" t="s">
        <v>92</v>
      </c>
      <c r="G6" s="399" t="s">
        <v>554</v>
      </c>
      <c r="H6" s="365" t="s">
        <v>35</v>
      </c>
      <c r="I6" s="366">
        <v>1000000</v>
      </c>
      <c r="J6" s="367">
        <v>0.01</v>
      </c>
      <c r="K6" s="368">
        <v>0</v>
      </c>
      <c r="L6" s="379">
        <v>2</v>
      </c>
      <c r="M6" s="384" t="str">
        <f ca="1">_xll.meLWOSwapCreateFromGenerator("AUDOIS"&amp;L6,G6,H6,I6,B6,C6,J6,K6,,,,,Settings.AllowCalibrationUpdates)</f>
        <v>AUDOIS2@55:0</v>
      </c>
      <c r="N6" s="385" t="s">
        <v>111</v>
      </c>
      <c r="O6" s="290">
        <f ca="1">_xll.meLWOSwapParRate(M6,N6)</f>
        <v>1.4990000003300207E-2</v>
      </c>
      <c r="P6" s="290">
        <f>'AUD CURVE'!G8</f>
        <v>1.4990000000000002E-2</v>
      </c>
      <c r="Q6" s="386">
        <f t="shared" ca="1" si="0"/>
        <v>3.3002055949138409E-8</v>
      </c>
    </row>
    <row r="7" spans="2:17">
      <c r="B7" s="361">
        <f ca="1">_xll.meDateFromTenor(Settings.COB,E7,"MOD_FOLLOWING","SYB:LNB","")</f>
        <v>43279</v>
      </c>
      <c r="C7" s="362">
        <f ca="1">_xll.meDateFromTenor(B7,F7,)</f>
        <v>43340</v>
      </c>
      <c r="D7" s="307"/>
      <c r="E7" s="363" t="s">
        <v>69</v>
      </c>
      <c r="F7" s="364" t="s">
        <v>93</v>
      </c>
      <c r="G7" s="399" t="s">
        <v>554</v>
      </c>
      <c r="H7" s="365" t="s">
        <v>35</v>
      </c>
      <c r="I7" s="366">
        <v>1000000</v>
      </c>
      <c r="J7" s="367">
        <v>0.01</v>
      </c>
      <c r="K7" s="368">
        <v>0</v>
      </c>
      <c r="L7" s="379">
        <v>3</v>
      </c>
      <c r="M7" s="384" t="str">
        <f ca="1">_xll.meLWOSwapCreateFromGenerator("AUDOIS"&amp;L7,G7,H7,I7,B7,C7,J7,K7,,,,,Settings.AllowCalibrationUpdates)</f>
        <v>AUDOIS3@48:0</v>
      </c>
      <c r="N7" s="385" t="s">
        <v>111</v>
      </c>
      <c r="O7" s="290">
        <f ca="1">_xll.meLWOSwapParRate(M7,N7)</f>
        <v>1.5000000001993676E-2</v>
      </c>
      <c r="P7" s="290">
        <f>'AUD CURVE'!G9</f>
        <v>1.4999999999999999E-2</v>
      </c>
      <c r="Q7" s="386">
        <f t="shared" ca="1" si="0"/>
        <v>1.993676057576721E-8</v>
      </c>
    </row>
    <row r="8" spans="2:17">
      <c r="B8" s="361">
        <f ca="1">_xll.meDateFromTenor(Settings.COB,E8,"MOD_FOLLOWING","SYB:LNB","")</f>
        <v>43279</v>
      </c>
      <c r="C8" s="362">
        <f ca="1">_xll.meDateFromTenor(B8,F8,)</f>
        <v>43371</v>
      </c>
      <c r="D8" s="307"/>
      <c r="E8" s="363" t="s">
        <v>69</v>
      </c>
      <c r="F8" s="364" t="s">
        <v>94</v>
      </c>
      <c r="G8" s="399" t="s">
        <v>554</v>
      </c>
      <c r="H8" s="365" t="s">
        <v>35</v>
      </c>
      <c r="I8" s="366">
        <v>1000000</v>
      </c>
      <c r="J8" s="367">
        <v>0.01</v>
      </c>
      <c r="K8" s="368">
        <v>0</v>
      </c>
      <c r="L8" s="379">
        <v>4</v>
      </c>
      <c r="M8" s="384" t="str">
        <f ca="1">_xll.meLWOSwapCreateFromGenerator("AUDOIS"&amp;L8,G8,H8,I8,B8,C8,J8,K8,,,,,Settings.AllowCalibrationUpdates)</f>
        <v>AUDOIS4@51:0</v>
      </c>
      <c r="N8" s="385" t="s">
        <v>111</v>
      </c>
      <c r="O8" s="290">
        <f ca="1">_xll.meLWOSwapParRate(M8,N8)</f>
        <v>1.5000000012570732E-2</v>
      </c>
      <c r="P8" s="290">
        <f>'AUD CURVE'!G10</f>
        <v>1.4999999999999999E-2</v>
      </c>
      <c r="Q8" s="386">
        <f t="shared" ca="1" si="0"/>
        <v>1.2570732649264116E-7</v>
      </c>
    </row>
    <row r="9" spans="2:17">
      <c r="B9" s="361">
        <f ca="1">_xll.meDateFromTenor(Settings.COB,E9,"MOD_FOLLOWING","SYB:LNB","")</f>
        <v>43279</v>
      </c>
      <c r="C9" s="362">
        <f ca="1">_xll.meDateFromTenor(B9,F9,)</f>
        <v>43401</v>
      </c>
      <c r="D9" s="307"/>
      <c r="E9" s="363" t="s">
        <v>69</v>
      </c>
      <c r="F9" s="364" t="s">
        <v>237</v>
      </c>
      <c r="G9" s="399" t="s">
        <v>554</v>
      </c>
      <c r="H9" s="365" t="s">
        <v>35</v>
      </c>
      <c r="I9" s="366">
        <v>1000000</v>
      </c>
      <c r="J9" s="367">
        <v>0.01</v>
      </c>
      <c r="K9" s="368">
        <v>0</v>
      </c>
      <c r="L9" s="379">
        <v>5</v>
      </c>
      <c r="M9" s="384" t="str">
        <f ca="1">_xll.meLWOSwapCreateFromGenerator("AUDOIS"&amp;L9,G9,H9,I9,B9,C9,J9,K9,,,,,Settings.AllowCalibrationUpdates)</f>
        <v>AUDOIS5@46:0</v>
      </c>
      <c r="N9" s="385" t="s">
        <v>111</v>
      </c>
      <c r="O9" s="290">
        <f ca="1">_xll.meLWOSwapParRate(M9,N9)</f>
        <v>1.5010000012490412E-2</v>
      </c>
      <c r="P9" s="290">
        <f>'AUD CURVE'!G11</f>
        <v>1.5009999999999999E-2</v>
      </c>
      <c r="Q9" s="386">
        <f t="shared" ca="1" si="0"/>
        <v>1.2490413217602914E-7</v>
      </c>
    </row>
    <row r="10" spans="2:17">
      <c r="B10" s="361">
        <f ca="1">_xll.meDateFromTenor(Settings.COB,E10,"MOD_FOLLOWING","SYB:LNB","")</f>
        <v>43279</v>
      </c>
      <c r="C10" s="362">
        <f ca="1">_xll.meDateFromTenor(B10,F10,)</f>
        <v>43432</v>
      </c>
      <c r="D10" s="307"/>
      <c r="E10" s="363" t="s">
        <v>69</v>
      </c>
      <c r="F10" s="364" t="s">
        <v>238</v>
      </c>
      <c r="G10" s="399" t="s">
        <v>554</v>
      </c>
      <c r="H10" s="365" t="s">
        <v>35</v>
      </c>
      <c r="I10" s="366">
        <v>1000000</v>
      </c>
      <c r="J10" s="367">
        <v>0.01</v>
      </c>
      <c r="K10" s="368">
        <v>0</v>
      </c>
      <c r="L10" s="379">
        <v>6</v>
      </c>
      <c r="M10" s="384" t="str">
        <f ca="1">_xll.meLWOSwapCreateFromGenerator("AUDOIS"&amp;L10,G10,H10,I10,B10,C10,J10,K10,,,,,Settings.AllowCalibrationUpdates)</f>
        <v>AUDOIS6@59:0</v>
      </c>
      <c r="N10" s="385" t="s">
        <v>111</v>
      </c>
      <c r="O10" s="290">
        <f ca="1">_xll.meLWOSwapParRate(M10,N10)</f>
        <v>1.5025000013737222E-2</v>
      </c>
      <c r="P10" s="290">
        <f>'AUD CURVE'!G12</f>
        <v>1.5025E-2</v>
      </c>
      <c r="Q10" s="386">
        <f t="shared" ca="1" si="0"/>
        <v>1.373722142983258E-7</v>
      </c>
    </row>
    <row r="11" spans="2:17">
      <c r="B11" s="361">
        <f ca="1">_xll.meDateFromTenor(Settings.COB,E11,"MOD_FOLLOWING","SYB:LNB","")</f>
        <v>43279</v>
      </c>
      <c r="C11" s="362">
        <f ca="1">_xll.meDateFromTenor(B11,F11,)</f>
        <v>43462</v>
      </c>
      <c r="D11" s="307"/>
      <c r="E11" s="363" t="s">
        <v>69</v>
      </c>
      <c r="F11" s="364" t="s">
        <v>95</v>
      </c>
      <c r="G11" s="399" t="s">
        <v>554</v>
      </c>
      <c r="H11" s="365" t="s">
        <v>35</v>
      </c>
      <c r="I11" s="366">
        <v>1000000</v>
      </c>
      <c r="J11" s="367">
        <v>0.01</v>
      </c>
      <c r="K11" s="368">
        <v>0</v>
      </c>
      <c r="L11" s="379">
        <v>7</v>
      </c>
      <c r="M11" s="384" t="str">
        <f ca="1">_xll.meLWOSwapCreateFromGenerator("AUDOIS"&amp;L11,G11,H11,I11,B11,C11,J11,K11,,,,,Settings.AllowCalibrationUpdates)</f>
        <v>AUDOIS7@42:0</v>
      </c>
      <c r="N11" s="385" t="s">
        <v>111</v>
      </c>
      <c r="O11" s="290">
        <f ca="1">_xll.meLWOSwapParRate(M11,N11)</f>
        <v>1.5040000016655213E-2</v>
      </c>
      <c r="P11" s="290">
        <f>'AUD CURVE'!G13</f>
        <v>1.504E-2</v>
      </c>
      <c r="Q11" s="386">
        <f t="shared" ca="1" si="0"/>
        <v>1.6655213666560975E-7</v>
      </c>
    </row>
    <row r="12" spans="2:17">
      <c r="B12" s="361">
        <f ca="1">_xll.meDateFromTenor(Settings.COB,E12,"MOD_FOLLOWING","SYB:LNB","")</f>
        <v>43279</v>
      </c>
      <c r="C12" s="362">
        <f ca="1">_xll.meDateFromTenor(B12,F12,)</f>
        <v>43552</v>
      </c>
      <c r="D12" s="307"/>
      <c r="E12" s="363" t="s">
        <v>69</v>
      </c>
      <c r="F12" s="364" t="s">
        <v>239</v>
      </c>
      <c r="G12" s="399" t="s">
        <v>554</v>
      </c>
      <c r="H12" s="365" t="s">
        <v>35</v>
      </c>
      <c r="I12" s="366">
        <v>1000000</v>
      </c>
      <c r="J12" s="367">
        <v>0.01</v>
      </c>
      <c r="K12" s="368">
        <v>0</v>
      </c>
      <c r="L12" s="379">
        <v>8</v>
      </c>
      <c r="M12" s="384" t="str">
        <f ca="1">_xll.meLWOSwapCreateFromGenerator("AUDOIS"&amp;L12,G12,H12,I12,B12,C12,J12,K12,,,,,Settings.AllowCalibrationUpdates)</f>
        <v>AUDOIS8@58:0</v>
      </c>
      <c r="N12" s="385" t="s">
        <v>111</v>
      </c>
      <c r="O12" s="290">
        <f ca="1">_xll.meLWOSwapParRate(M12,N12)</f>
        <v>1.5120000012509649E-2</v>
      </c>
      <c r="P12" s="290">
        <f>'AUD CURVE'!G14</f>
        <v>1.512E-2</v>
      </c>
      <c r="Q12" s="386">
        <f t="shared" ca="1" si="0"/>
        <v>1.250964956622802E-7</v>
      </c>
    </row>
    <row r="13" spans="2:17">
      <c r="B13" s="361">
        <f ca="1">_xll.meDateFromTenor(Settings.COB,E13,"MOD_FOLLOWING","SYB:LNB","")</f>
        <v>43279</v>
      </c>
      <c r="C13" s="362">
        <f ca="1">_xll.meDateFromTenor(B13,F13,)</f>
        <v>43644</v>
      </c>
      <c r="D13" s="307"/>
      <c r="E13" s="363" t="s">
        <v>69</v>
      </c>
      <c r="F13" s="364" t="s">
        <v>196</v>
      </c>
      <c r="G13" s="399" t="s">
        <v>554</v>
      </c>
      <c r="H13" s="365" t="s">
        <v>35</v>
      </c>
      <c r="I13" s="366">
        <v>1000000</v>
      </c>
      <c r="J13" s="367">
        <v>0.01</v>
      </c>
      <c r="K13" s="368">
        <v>0</v>
      </c>
      <c r="L13" s="379">
        <v>9</v>
      </c>
      <c r="M13" s="384" t="str">
        <f ca="1">_xll.meLWOSwapCreateFromGenerator("AUDOIS"&amp;L13,G13,H13,I13,B13,C13,J13,K13,,,,,Settings.AllowCalibrationUpdates)</f>
        <v>AUDOIS9@63:0</v>
      </c>
      <c r="N13" s="385" t="s">
        <v>111</v>
      </c>
      <c r="O13" s="290">
        <f ca="1">_xll.meLWOSwapParRate(M13,N13)</f>
        <v>1.5280000013299362E-2</v>
      </c>
      <c r="P13" s="290">
        <f>'AUD CURVE'!G15</f>
        <v>1.528E-2</v>
      </c>
      <c r="Q13" s="386">
        <f t="shared" ca="1" si="0"/>
        <v>1.329936161198475E-7</v>
      </c>
    </row>
    <row r="14" spans="2:17">
      <c r="B14" s="369">
        <f ca="1">_xll.meDateFromTenor(Settings.COB,E14,"MOD_FOLLOWING","SYB:LNB","")</f>
        <v>43279</v>
      </c>
      <c r="C14" s="370">
        <f ca="1">_xll.meDateFromTenor(B14,F14,)</f>
        <v>44010</v>
      </c>
      <c r="D14" s="307"/>
      <c r="E14" s="371" t="s">
        <v>69</v>
      </c>
      <c r="F14" s="372" t="s">
        <v>181</v>
      </c>
      <c r="G14" s="400" t="s">
        <v>554</v>
      </c>
      <c r="H14" s="373" t="s">
        <v>35</v>
      </c>
      <c r="I14" s="374">
        <v>1000000</v>
      </c>
      <c r="J14" s="375">
        <v>0.01</v>
      </c>
      <c r="K14" s="376">
        <v>0</v>
      </c>
      <c r="L14" s="379">
        <v>10</v>
      </c>
      <c r="M14" s="387" t="str">
        <f ca="1">_xll.meLWOSwapCreateFromGenerator("AUDOIS"&amp;L14,G14,H14,I14,B14,C14,J14,K14,,,,,Settings.AllowCalibrationUpdates)</f>
        <v>AUDOIS10@45:0</v>
      </c>
      <c r="N14" s="388" t="s">
        <v>111</v>
      </c>
      <c r="O14" s="389">
        <f ca="1">_xll.meLWOSwapParRate(M14,N14)</f>
        <v>1.6300000010439637E-2</v>
      </c>
      <c r="P14" s="389">
        <f>'AUD CURVE'!G16</f>
        <v>1.6299999999999999E-2</v>
      </c>
      <c r="Q14" s="390">
        <f t="shared" ca="1" si="0"/>
        <v>1.0439638736814416E-7</v>
      </c>
    </row>
    <row r="15" spans="2:17">
      <c r="Q15" s="22"/>
    </row>
    <row r="16" spans="2:17">
      <c r="Q16" s="22"/>
    </row>
    <row r="17" spans="2:17">
      <c r="B17" s="349" t="s">
        <v>550</v>
      </c>
      <c r="C17" s="307"/>
      <c r="D17" s="307"/>
      <c r="E17" s="350" t="s">
        <v>560</v>
      </c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22"/>
    </row>
    <row r="18" spans="2:17">
      <c r="B18" s="307"/>
      <c r="C18" s="351" t="s">
        <v>559</v>
      </c>
      <c r="D18" s="307"/>
      <c r="E18" s="307"/>
      <c r="F18" s="307"/>
      <c r="G18" s="351"/>
      <c r="H18" s="307"/>
      <c r="I18" s="307"/>
      <c r="J18" s="307"/>
      <c r="K18" s="307"/>
      <c r="L18" s="307"/>
      <c r="M18" s="307"/>
      <c r="N18" s="307"/>
      <c r="O18" s="307"/>
      <c r="P18" s="307"/>
      <c r="Q18" s="22"/>
    </row>
    <row r="19" spans="2:17">
      <c r="B19" s="26" t="s">
        <v>45</v>
      </c>
      <c r="C19" s="352" t="s">
        <v>18</v>
      </c>
      <c r="D19" s="352"/>
      <c r="E19" s="352" t="s">
        <v>45</v>
      </c>
      <c r="F19" s="26" t="s">
        <v>241</v>
      </c>
      <c r="G19" s="26" t="s">
        <v>551</v>
      </c>
      <c r="H19" s="26" t="s">
        <v>552</v>
      </c>
      <c r="I19" s="26" t="s">
        <v>34</v>
      </c>
      <c r="J19" s="26" t="s">
        <v>39</v>
      </c>
      <c r="K19" s="26" t="s">
        <v>553</v>
      </c>
      <c r="L19" s="307"/>
      <c r="M19" s="23" t="s">
        <v>556</v>
      </c>
      <c r="N19" s="23" t="s">
        <v>84</v>
      </c>
      <c r="O19" s="23" t="s">
        <v>557</v>
      </c>
      <c r="P19" s="23" t="s">
        <v>501</v>
      </c>
      <c r="Q19" s="393" t="s">
        <v>558</v>
      </c>
    </row>
    <row r="20" spans="2:17">
      <c r="B20" s="353">
        <f ca="1">_xll.meDateFromTenor(Settings.COB,E20,"MOD_FOLLOWING","SYB:LNB","")</f>
        <v>43279</v>
      </c>
      <c r="C20" s="354">
        <f ca="1">_xll.meDateFromTenor(B20,F20,)</f>
        <v>44010</v>
      </c>
      <c r="D20" s="352"/>
      <c r="E20" s="355" t="s">
        <v>69</v>
      </c>
      <c r="F20" s="356" t="s">
        <v>181</v>
      </c>
      <c r="G20" s="394" t="s">
        <v>561</v>
      </c>
      <c r="H20" s="357" t="s">
        <v>35</v>
      </c>
      <c r="I20" s="358">
        <v>1000000</v>
      </c>
      <c r="J20" s="359">
        <v>0.01</v>
      </c>
      <c r="K20" s="360">
        <v>0</v>
      </c>
      <c r="L20" s="379">
        <v>1</v>
      </c>
      <c r="M20" s="380" t="str">
        <f ca="1">_xll.meLWOSwapCreateFromGenerator("AUDIRS"&amp;L20,G20,H20,I20,B20,C20,J20,K20,,,,,Settings.AllowCalibrationUpdates)</f>
        <v>AUDIRS1@54:0</v>
      </c>
      <c r="N20" s="381" t="s">
        <v>111</v>
      </c>
      <c r="O20" s="382">
        <f ca="1">_xll.meLWOSwapParRate(M20,N20)</f>
        <v>2.0799999999999954E-2</v>
      </c>
      <c r="P20" s="382">
        <f>'AUD CURVE'!S39</f>
        <v>2.0799999999999999E-2</v>
      </c>
      <c r="Q20" s="383">
        <f t="shared" ref="Q20:Q27" ca="1" si="1">(O20-P20)*10000</f>
        <v>-4.5102810375396984E-13</v>
      </c>
    </row>
    <row r="21" spans="2:17">
      <c r="B21" s="361">
        <f ca="1">_xll.meDateFromTenor(Settings.COB,E21,"MOD_FOLLOWING","SYB:LNB","")</f>
        <v>43279</v>
      </c>
      <c r="C21" s="362">
        <f ca="1">_xll.meDateFromTenor(B21,F21,)</f>
        <v>44375</v>
      </c>
      <c r="D21" s="307"/>
      <c r="E21" s="363" t="s">
        <v>69</v>
      </c>
      <c r="F21" s="364" t="s">
        <v>182</v>
      </c>
      <c r="G21" s="395" t="s">
        <v>561</v>
      </c>
      <c r="H21" s="365" t="s">
        <v>35</v>
      </c>
      <c r="I21" s="366">
        <v>1000000</v>
      </c>
      <c r="J21" s="367">
        <v>0.01</v>
      </c>
      <c r="K21" s="368">
        <v>0</v>
      </c>
      <c r="L21" s="379">
        <v>2</v>
      </c>
      <c r="M21" s="384" t="str">
        <f ca="1">_xll.meLWOSwapCreateFromGenerator("AUDIRS"&amp;L21,G21,H21,I21,B21,C21,J21,K21,,,,,Settings.AllowCalibrationUpdates)</f>
        <v>AUDIRS2@43:0</v>
      </c>
      <c r="N21" s="385" t="s">
        <v>111</v>
      </c>
      <c r="O21" s="290">
        <f ca="1">_xll.meLWOSwapParRate(M21,N21)</f>
        <v>2.1574999999999983E-2</v>
      </c>
      <c r="P21" s="290">
        <f>'AUD CURVE'!S40</f>
        <v>2.1575E-2</v>
      </c>
      <c r="Q21" s="386">
        <f t="shared" ca="1" si="1"/>
        <v>-1.7347234759768071E-13</v>
      </c>
    </row>
    <row r="22" spans="2:17">
      <c r="B22" s="361">
        <f ca="1">_xll.meDateFromTenor(Settings.COB,E22,"MOD_FOLLOWING","SYB:LNB","")</f>
        <v>43279</v>
      </c>
      <c r="C22" s="362">
        <f ca="1">_xll.meDateFromTenor(B22,F22,)</f>
        <v>43644</v>
      </c>
      <c r="D22" s="307"/>
      <c r="E22" s="363" t="s">
        <v>69</v>
      </c>
      <c r="F22" s="364" t="s">
        <v>196</v>
      </c>
      <c r="G22" s="396" t="s">
        <v>562</v>
      </c>
      <c r="H22" s="365" t="s">
        <v>35</v>
      </c>
      <c r="I22" s="366">
        <v>1000000</v>
      </c>
      <c r="J22" s="367">
        <v>0.01</v>
      </c>
      <c r="K22" s="368">
        <v>0</v>
      </c>
      <c r="L22" s="379">
        <v>3</v>
      </c>
      <c r="M22" s="384" t="str">
        <f ca="1">_xll.meLWOSwapCreateFromGenerator("AUDIRS"&amp;L22,G22,H22,I22,B22,C22,J22,K22,,,,,Settings.AllowCalibrationUpdates)</f>
        <v>AUDIRS3@44:0</v>
      </c>
      <c r="N22" s="385" t="s">
        <v>111</v>
      </c>
      <c r="O22" s="290">
        <f ca="1">_xll.meLWOSwapParRate(M22,N22)</f>
        <v>2.1825000000000119E-2</v>
      </c>
      <c r="P22" s="290">
        <f>'AUD CURVE'!S73</f>
        <v>2.1825000000000001E-2</v>
      </c>
      <c r="Q22" s="386">
        <f t="shared" ca="1" si="1"/>
        <v>1.1796119636642288E-12</v>
      </c>
    </row>
    <row r="23" spans="2:17">
      <c r="B23" s="361">
        <f ca="1">_xll.meDateFromTenor(Settings.COB,E23,"MOD_FOLLOWING","SYB:LNB","")</f>
        <v>43279</v>
      </c>
      <c r="C23" s="362">
        <f ca="1">_xll.meDateFromTenor(B23,F23,)</f>
        <v>44010</v>
      </c>
      <c r="D23" s="307"/>
      <c r="E23" s="363" t="s">
        <v>69</v>
      </c>
      <c r="F23" s="364" t="s">
        <v>181</v>
      </c>
      <c r="G23" s="396" t="s">
        <v>562</v>
      </c>
      <c r="H23" s="365" t="s">
        <v>35</v>
      </c>
      <c r="I23" s="366">
        <v>1000000</v>
      </c>
      <c r="J23" s="367">
        <v>0.01</v>
      </c>
      <c r="K23" s="368">
        <v>0</v>
      </c>
      <c r="L23" s="379">
        <v>4</v>
      </c>
      <c r="M23" s="384" t="str">
        <f ca="1">_xll.meLWOSwapCreateFromGenerator("AUDIRS"&amp;L23,G23,H23,I23,B23,C23,J23,K23,,,,,Settings.AllowCalibrationUpdates)</f>
        <v>AUDIRS4@66:0</v>
      </c>
      <c r="N23" s="385" t="s">
        <v>111</v>
      </c>
      <c r="O23" s="290">
        <f ca="1">_xll.meLWOSwapParRate(M23,N23)</f>
        <v>2.235000000000005E-2</v>
      </c>
      <c r="P23" s="290">
        <f>'AUD CURVE'!S74</f>
        <v>2.2349999999999998E-2</v>
      </c>
      <c r="Q23" s="386">
        <f t="shared" ca="1" si="1"/>
        <v>5.2041704279304213E-13</v>
      </c>
    </row>
    <row r="24" spans="2:17">
      <c r="B24" s="361">
        <f ca="1">_xll.meDateFromTenor(Settings.COB,E24,"MOD_FOLLOWING","SYB:LNB","")</f>
        <v>43279</v>
      </c>
      <c r="C24" s="362">
        <f ca="1">_xll.meDateFromTenor(B24,F24,)</f>
        <v>44375</v>
      </c>
      <c r="D24" s="307"/>
      <c r="E24" s="363" t="s">
        <v>69</v>
      </c>
      <c r="F24" s="364" t="s">
        <v>182</v>
      </c>
      <c r="G24" s="396" t="s">
        <v>562</v>
      </c>
      <c r="H24" s="365" t="s">
        <v>35</v>
      </c>
      <c r="I24" s="366">
        <v>1000000</v>
      </c>
      <c r="J24" s="367">
        <v>0.01</v>
      </c>
      <c r="K24" s="368">
        <v>0</v>
      </c>
      <c r="L24" s="379">
        <v>5</v>
      </c>
      <c r="M24" s="384" t="str">
        <f ca="1">_xll.meLWOSwapCreateFromGenerator("AUDIRS"&amp;L24,G24,H24,I24,B24,C24,J24,K24,,,,,Settings.AllowCalibrationUpdates)</f>
        <v>AUDIRS5@53:0</v>
      </c>
      <c r="N24" s="385" t="s">
        <v>111</v>
      </c>
      <c r="O24" s="290">
        <f ca="1">_xll.meLWOSwapParRate(M24,N24)</f>
        <v>2.3050000000000039E-2</v>
      </c>
      <c r="P24" s="290">
        <f>'AUD CURVE'!S75</f>
        <v>2.3050000000000001E-2</v>
      </c>
      <c r="Q24" s="386">
        <f t="shared" ca="1" si="1"/>
        <v>3.8163916471489756E-13</v>
      </c>
    </row>
    <row r="25" spans="2:17">
      <c r="B25" s="361">
        <f ca="1">_xll.meDateFromTenor(Settings.COB,E25,"MOD_FOLLOWING","SYB:LNB","")</f>
        <v>43279</v>
      </c>
      <c r="C25" s="362">
        <f ca="1">_xll.meDateFromTenor(B25,F25,)</f>
        <v>44740</v>
      </c>
      <c r="D25" s="307"/>
      <c r="E25" s="363" t="s">
        <v>69</v>
      </c>
      <c r="F25" s="364" t="s">
        <v>183</v>
      </c>
      <c r="G25" s="396" t="s">
        <v>562</v>
      </c>
      <c r="H25" s="365" t="s">
        <v>35</v>
      </c>
      <c r="I25" s="366">
        <v>1000000</v>
      </c>
      <c r="J25" s="367">
        <v>0.01</v>
      </c>
      <c r="K25" s="368">
        <v>0</v>
      </c>
      <c r="L25" s="379">
        <v>6</v>
      </c>
      <c r="M25" s="384" t="str">
        <f ca="1">_xll.meLWOSwapCreateFromGenerator("AUDIRS"&amp;L25,G25,H25,I25,B25,C25,J25,K25,,,,,Settings.AllowCalibrationUpdates)</f>
        <v>AUDIRS6@41:0</v>
      </c>
      <c r="N25" s="385" t="s">
        <v>111</v>
      </c>
      <c r="O25" s="290">
        <f ca="1">_xll.meLWOSwapParRate(M25,N25)</f>
        <v>2.3937499999999997E-2</v>
      </c>
      <c r="P25" s="290">
        <f>'AUD CURVE'!S76</f>
        <v>2.3937499999999997E-2</v>
      </c>
      <c r="Q25" s="386">
        <f t="shared" ca="1" si="1"/>
        <v>0</v>
      </c>
    </row>
    <row r="26" spans="2:17">
      <c r="B26" s="361">
        <f ca="1">_xll.meDateFromTenor(Settings.COB,E26,"MOD_FOLLOWING","SYB:LNB","")</f>
        <v>43279</v>
      </c>
      <c r="C26" s="362">
        <f ca="1">_xll.meDateFromTenor(B26,F26,)</f>
        <v>45105</v>
      </c>
      <c r="D26" s="307"/>
      <c r="E26" s="363" t="s">
        <v>69</v>
      </c>
      <c r="F26" s="364" t="s">
        <v>184</v>
      </c>
      <c r="G26" s="396" t="s">
        <v>562</v>
      </c>
      <c r="H26" s="365" t="s">
        <v>35</v>
      </c>
      <c r="I26" s="366">
        <v>1000000</v>
      </c>
      <c r="J26" s="367">
        <v>0.01</v>
      </c>
      <c r="K26" s="368">
        <v>0</v>
      </c>
      <c r="L26" s="379">
        <v>7</v>
      </c>
      <c r="M26" s="384" t="str">
        <f ca="1">_xll.meLWOSwapCreateFromGenerator("AUDIRS"&amp;L26,G26,H26,I26,B26,C26,J26,K26,,,,,Settings.AllowCalibrationUpdates)</f>
        <v>AUDIRS7@64:0</v>
      </c>
      <c r="N26" s="385" t="s">
        <v>111</v>
      </c>
      <c r="O26" s="290">
        <f ca="1">_xll.meLWOSwapParRate(M26,N26)</f>
        <v>2.4859999999999993E-2</v>
      </c>
      <c r="P26" s="290">
        <f>'AUD CURVE'!S77</f>
        <v>2.4860000000000004E-2</v>
      </c>
      <c r="Q26" s="386">
        <f t="shared" ca="1" si="1"/>
        <v>-1.0408340855860843E-13</v>
      </c>
    </row>
    <row r="27" spans="2:17">
      <c r="B27" s="361">
        <f ca="1">_xll.meDateFromTenor(Settings.COB,E27,"MOD_FOLLOWING","SYB:LNB","")</f>
        <v>43279</v>
      </c>
      <c r="C27" s="362">
        <f ca="1">_xll.meDateFromTenor(B27,F27,)</f>
        <v>45471</v>
      </c>
      <c r="D27" s="307"/>
      <c r="E27" s="363" t="s">
        <v>69</v>
      </c>
      <c r="F27" s="364" t="s">
        <v>185</v>
      </c>
      <c r="G27" s="396" t="s">
        <v>562</v>
      </c>
      <c r="H27" s="365" t="s">
        <v>35</v>
      </c>
      <c r="I27" s="366">
        <v>1000000</v>
      </c>
      <c r="J27" s="367">
        <v>0.01</v>
      </c>
      <c r="K27" s="368">
        <v>0</v>
      </c>
      <c r="L27" s="379">
        <v>8</v>
      </c>
      <c r="M27" s="384" t="str">
        <f ca="1">_xll.meLWOSwapCreateFromGenerator("AUDIRS"&amp;L27,G27,H27,I27,B27,C27,J27,K27,,,,,Settings.AllowCalibrationUpdates)</f>
        <v>AUDIRS8@49:0</v>
      </c>
      <c r="N27" s="385" t="s">
        <v>111</v>
      </c>
      <c r="O27" s="290">
        <f ca="1">_xll.meLWOSwapParRate(M27,N27)</f>
        <v>2.5674999999999979E-2</v>
      </c>
      <c r="P27" s="290">
        <f>'AUD CURVE'!S78</f>
        <v>2.5675E-2</v>
      </c>
      <c r="Q27" s="386">
        <f t="shared" ca="1" si="1"/>
        <v>-2.0816681711721685E-13</v>
      </c>
    </row>
    <row r="28" spans="2:17">
      <c r="B28" s="361">
        <f ca="1">_xll.meDateFromTenor(Settings.COB,E28,"MOD_FOLLOWING","SYB:LNB","")</f>
        <v>43279</v>
      </c>
      <c r="C28" s="362">
        <f ca="1">_xll.meDateFromTenor(B28,F28,)</f>
        <v>45836</v>
      </c>
      <c r="D28" s="307"/>
      <c r="E28" s="363" t="s">
        <v>69</v>
      </c>
      <c r="F28" s="364" t="s">
        <v>186</v>
      </c>
      <c r="G28" s="396" t="s">
        <v>562</v>
      </c>
      <c r="H28" s="365" t="s">
        <v>35</v>
      </c>
      <c r="I28" s="366">
        <v>1000000</v>
      </c>
      <c r="J28" s="367">
        <v>0.01</v>
      </c>
      <c r="K28" s="368">
        <v>0</v>
      </c>
      <c r="L28" s="379">
        <v>9</v>
      </c>
      <c r="M28" s="384" t="str">
        <f ca="1">_xll.meLWOSwapCreateFromGenerator("AUDIRS"&amp;L28,G28,H28,I28,B28,C28,J28,K28,,,,,Settings.AllowCalibrationUpdates)</f>
        <v>AUDIRS9@47:0</v>
      </c>
      <c r="N28" s="385" t="s">
        <v>111</v>
      </c>
      <c r="O28" s="290">
        <f ca="1">_xll.meLWOSwapParRate(M28,N28)</f>
        <v>2.6399999999999996E-2</v>
      </c>
      <c r="P28" s="290">
        <f>'AUD CURVE'!S79</f>
        <v>2.64E-2</v>
      </c>
      <c r="Q28" s="386">
        <f t="shared" ref="Q28:Q33" ca="1" si="2">(O28-P28)*10000</f>
        <v>-3.4694469519536142E-14</v>
      </c>
    </row>
    <row r="29" spans="2:17">
      <c r="B29" s="361">
        <f ca="1">_xll.meDateFromTenor(Settings.COB,E29,"MOD_FOLLOWING","SYB:LNB","")</f>
        <v>43279</v>
      </c>
      <c r="C29" s="362">
        <f ca="1">_xll.meDateFromTenor(B29,F29,)</f>
        <v>46201</v>
      </c>
      <c r="D29" s="307"/>
      <c r="E29" s="363" t="s">
        <v>69</v>
      </c>
      <c r="F29" s="364" t="s">
        <v>187</v>
      </c>
      <c r="G29" s="396" t="s">
        <v>562</v>
      </c>
      <c r="H29" s="365" t="s">
        <v>35</v>
      </c>
      <c r="I29" s="366">
        <v>1000000</v>
      </c>
      <c r="J29" s="367">
        <v>0.01</v>
      </c>
      <c r="K29" s="368">
        <v>0</v>
      </c>
      <c r="L29" s="379">
        <v>10</v>
      </c>
      <c r="M29" s="384" t="str">
        <f ca="1">_xll.meLWOSwapCreateFromGenerator("AUDIRS"&amp;L29,G29,H29,I29,B29,C29,J29,K29,,,,,Settings.AllowCalibrationUpdates)</f>
        <v>AUDIRS10@60:0</v>
      </c>
      <c r="N29" s="385" t="s">
        <v>111</v>
      </c>
      <c r="O29" s="290">
        <f ca="1">_xll.meLWOSwapParRate(M29,N29)</f>
        <v>2.7050000000000008E-2</v>
      </c>
      <c r="P29" s="290">
        <f>'AUD CURVE'!S80</f>
        <v>2.7050000000000001E-2</v>
      </c>
      <c r="Q29" s="386">
        <f t="shared" ca="1" si="2"/>
        <v>6.9388939039072284E-14</v>
      </c>
    </row>
    <row r="30" spans="2:17">
      <c r="B30" s="361">
        <f ca="1">_xll.meDateFromTenor(Settings.COB,E30,"MOD_FOLLOWING","SYB:LNB","")</f>
        <v>43279</v>
      </c>
      <c r="C30" s="362">
        <f ca="1">_xll.meDateFromTenor(B30,F30,)</f>
        <v>46566</v>
      </c>
      <c r="D30" s="307"/>
      <c r="E30" s="363" t="s">
        <v>69</v>
      </c>
      <c r="F30" s="364" t="s">
        <v>188</v>
      </c>
      <c r="G30" s="396" t="s">
        <v>562</v>
      </c>
      <c r="H30" s="365" t="s">
        <v>35</v>
      </c>
      <c r="I30" s="366">
        <v>1000000</v>
      </c>
      <c r="J30" s="367">
        <v>0.01</v>
      </c>
      <c r="K30" s="368">
        <v>0</v>
      </c>
      <c r="L30" s="379">
        <v>11</v>
      </c>
      <c r="M30" s="384" t="str">
        <f ca="1">_xll.meLWOSwapCreateFromGenerator("AUDIRS"&amp;L30,G30,H30,I30,B30,C30,J30,K30,,,,,Settings.AllowCalibrationUpdates)</f>
        <v>AUDIRS11@65:0</v>
      </c>
      <c r="N30" s="385" t="s">
        <v>111</v>
      </c>
      <c r="O30" s="290">
        <f ca="1">_xll.meLWOSwapParRate(M30,N30)</f>
        <v>2.7574999999999995E-2</v>
      </c>
      <c r="P30" s="290">
        <f>'AUD CURVE'!S81</f>
        <v>2.7574999999999999E-2</v>
      </c>
      <c r="Q30" s="386">
        <f t="shared" ca="1" si="2"/>
        <v>-3.4694469519536142E-14</v>
      </c>
    </row>
    <row r="31" spans="2:17">
      <c r="B31" s="361">
        <f ca="1">_xll.meDateFromTenor(Settings.COB,E31,"MOD_FOLLOWING","SYB:LNB","")</f>
        <v>43279</v>
      </c>
      <c r="C31" s="362">
        <f ca="1">_xll.meDateFromTenor(B31,F31,)</f>
        <v>46932</v>
      </c>
      <c r="D31" s="307"/>
      <c r="E31" s="363" t="s">
        <v>69</v>
      </c>
      <c r="F31" s="364" t="s">
        <v>190</v>
      </c>
      <c r="G31" s="396" t="s">
        <v>562</v>
      </c>
      <c r="H31" s="365" t="s">
        <v>35</v>
      </c>
      <c r="I31" s="366">
        <v>1000000</v>
      </c>
      <c r="J31" s="367">
        <v>0.01</v>
      </c>
      <c r="K31" s="368">
        <v>0</v>
      </c>
      <c r="L31" s="379">
        <v>12</v>
      </c>
      <c r="M31" s="384" t="str">
        <f ca="1">_xll.meLWOSwapCreateFromGenerator("AUDIRS"&amp;L31,G31,H31,I31,B31,C31,J31,K31,,,,,Settings.AllowCalibrationUpdates)</f>
        <v>AUDIRS12@56:0</v>
      </c>
      <c r="N31" s="385" t="s">
        <v>111</v>
      </c>
      <c r="O31" s="290">
        <f ca="1">_xll.meLWOSwapParRate(M31,N31)</f>
        <v>2.806500000000001E-2</v>
      </c>
      <c r="P31" s="290">
        <f>'AUD CURVE'!S82</f>
        <v>2.8065000000000003E-2</v>
      </c>
      <c r="Q31" s="386">
        <f t="shared" ca="1" si="2"/>
        <v>6.9388939039072284E-14</v>
      </c>
    </row>
    <row r="32" spans="2:17">
      <c r="B32" s="361">
        <f ca="1">_xll.meDateFromTenor(Settings.COB,E32,"MOD_FOLLOWING","SYB:LNB","")</f>
        <v>43279</v>
      </c>
      <c r="C32" s="362">
        <f ca="1">_xll.meDateFromTenor(B32,F32,)</f>
        <v>47662</v>
      </c>
      <c r="D32" s="307"/>
      <c r="E32" s="363" t="s">
        <v>69</v>
      </c>
      <c r="F32" s="364" t="s">
        <v>189</v>
      </c>
      <c r="G32" s="396" t="s">
        <v>562</v>
      </c>
      <c r="H32" s="365" t="s">
        <v>35</v>
      </c>
      <c r="I32" s="366">
        <v>1000000</v>
      </c>
      <c r="J32" s="367">
        <v>0.01</v>
      </c>
      <c r="K32" s="368">
        <v>0</v>
      </c>
      <c r="L32" s="379">
        <v>13</v>
      </c>
      <c r="M32" s="384" t="str">
        <f ca="1">_xll.meLWOSwapCreateFromGenerator("AUDIRS"&amp;L32,G32,H32,I32,B32,C32,J32,K32,,,,,Settings.AllowCalibrationUpdates)</f>
        <v>AUDIRS13@61:0</v>
      </c>
      <c r="N32" s="385" t="s">
        <v>111</v>
      </c>
      <c r="O32" s="290">
        <f ca="1">_xll.meLWOSwapParRate(M32,N32)</f>
        <v>2.8900000000000006E-2</v>
      </c>
      <c r="P32" s="290">
        <f>'AUD CURVE'!S83</f>
        <v>2.8900000000000002E-2</v>
      </c>
      <c r="Q32" s="386">
        <f t="shared" ca="1" si="2"/>
        <v>3.4694469519536142E-14</v>
      </c>
    </row>
    <row r="33" spans="2:18">
      <c r="B33" s="361">
        <f ca="1">_xll.meDateFromTenor(Settings.COB,E33,"MOD_FOLLOWING","SYB:LNB","")</f>
        <v>43279</v>
      </c>
      <c r="C33" s="362">
        <f ca="1">_xll.meDateFromTenor(B33,F33,)</f>
        <v>48758</v>
      </c>
      <c r="D33" s="307"/>
      <c r="E33" s="363" t="s">
        <v>69</v>
      </c>
      <c r="F33" s="364" t="s">
        <v>191</v>
      </c>
      <c r="G33" s="396" t="s">
        <v>562</v>
      </c>
      <c r="H33" s="365" t="s">
        <v>35</v>
      </c>
      <c r="I33" s="366">
        <v>1000000</v>
      </c>
      <c r="J33" s="367">
        <v>0.01</v>
      </c>
      <c r="K33" s="368">
        <v>0</v>
      </c>
      <c r="L33" s="379">
        <v>14</v>
      </c>
      <c r="M33" s="384" t="str">
        <f ca="1">_xll.meLWOSwapCreateFromGenerator("AUDIRS"&amp;L33,G33,H33,I33,B33,C33,J33,K33,,,,,Settings.AllowCalibrationUpdates)</f>
        <v>AUDIRS14@40:0</v>
      </c>
      <c r="N33" s="385" t="s">
        <v>111</v>
      </c>
      <c r="O33" s="290">
        <f ca="1">_xll.meLWOSwapParRate(M33,N33)</f>
        <v>2.9729999999999993E-2</v>
      </c>
      <c r="P33" s="290">
        <f>'AUD CURVE'!S84</f>
        <v>2.9729999999999999E-2</v>
      </c>
      <c r="Q33" s="386">
        <f t="shared" ca="1" si="2"/>
        <v>-6.9388939039072284E-14</v>
      </c>
    </row>
    <row r="34" spans="2:18">
      <c r="B34" s="361">
        <f ca="1">_xll.meDateFromTenor(Settings.COB,E34,"MOD_FOLLOWING","SYB:LNB","")</f>
        <v>43279</v>
      </c>
      <c r="C34" s="362">
        <f ca="1">_xll.meDateFromTenor(B34,F34,)</f>
        <v>50584</v>
      </c>
      <c r="D34" s="307"/>
      <c r="E34" s="363" t="s">
        <v>69</v>
      </c>
      <c r="F34" s="364" t="s">
        <v>192</v>
      </c>
      <c r="G34" s="396" t="s">
        <v>562</v>
      </c>
      <c r="H34" s="365" t="s">
        <v>35</v>
      </c>
      <c r="I34" s="366">
        <v>1000000</v>
      </c>
      <c r="J34" s="367">
        <v>0.01</v>
      </c>
      <c r="K34" s="368">
        <v>0</v>
      </c>
      <c r="L34" s="379">
        <v>15</v>
      </c>
      <c r="M34" s="384" t="str">
        <f ca="1">_xll.meLWOSwapCreateFromGenerator("AUDIRS"&amp;L34,G34,H34,I34,B34,C34,J34,K34,,,,,Settings.AllowCalibrationUpdates)</f>
        <v>AUDIRS15@62:0</v>
      </c>
      <c r="N34" s="385" t="s">
        <v>111</v>
      </c>
      <c r="O34" s="290">
        <f ca="1">_xll.meLWOSwapParRate(M34,N34)</f>
        <v>3.0249999999999996E-2</v>
      </c>
      <c r="P34" s="290">
        <f>'AUD CURVE'!S85</f>
        <v>3.0249999999999999E-2</v>
      </c>
      <c r="Q34" s="386">
        <f t="shared" ref="Q34:Q36" ca="1" si="3">(O34-P34)*10000</f>
        <v>-3.4694469519536142E-14</v>
      </c>
    </row>
    <row r="35" spans="2:18">
      <c r="B35" s="361">
        <f ca="1">_xll.meDateFromTenor(Settings.COB,E35,"MOD_FOLLOWING","SYB:LNB","")</f>
        <v>43279</v>
      </c>
      <c r="C35" s="362">
        <f ca="1">_xll.meDateFromTenor(B35,F35,)</f>
        <v>52410</v>
      </c>
      <c r="D35" s="307"/>
      <c r="E35" s="363" t="s">
        <v>69</v>
      </c>
      <c r="F35" s="364" t="s">
        <v>193</v>
      </c>
      <c r="G35" s="396" t="s">
        <v>562</v>
      </c>
      <c r="H35" s="365" t="s">
        <v>35</v>
      </c>
      <c r="I35" s="366">
        <v>1000000</v>
      </c>
      <c r="J35" s="367">
        <v>0.01</v>
      </c>
      <c r="K35" s="368">
        <v>0</v>
      </c>
      <c r="L35" s="379">
        <v>16</v>
      </c>
      <c r="M35" s="384" t="str">
        <f ca="1">_xll.meLWOSwapCreateFromGenerator("AUDIRS"&amp;L35,G35,H35,I35,B35,C35,J35,K35,,,,,Settings.AllowCalibrationUpdates)</f>
        <v>AUDIRS16@57:0</v>
      </c>
      <c r="N35" s="385" t="s">
        <v>111</v>
      </c>
      <c r="O35" s="290">
        <f ca="1">_xll.meLWOSwapParRate(M35,N35)</f>
        <v>3.0237499999999997E-2</v>
      </c>
      <c r="P35" s="290">
        <f>'AUD CURVE'!S86</f>
        <v>3.02375E-2</v>
      </c>
      <c r="Q35" s="386">
        <f t="shared" ca="1" si="3"/>
        <v>-3.4694469519536142E-14</v>
      </c>
    </row>
    <row r="36" spans="2:18">
      <c r="B36" s="369">
        <f ca="1">_xll.meDateFromTenor(Settings.COB,E36,"MOD_FOLLOWING","SYB:LNB","")</f>
        <v>43279</v>
      </c>
      <c r="C36" s="370">
        <f ca="1">_xll.meDateFromTenor(B36,F36,)</f>
        <v>54237</v>
      </c>
      <c r="D36" s="307"/>
      <c r="E36" s="371" t="s">
        <v>69</v>
      </c>
      <c r="F36" s="372" t="s">
        <v>194</v>
      </c>
      <c r="G36" s="397" t="s">
        <v>562</v>
      </c>
      <c r="H36" s="373" t="s">
        <v>35</v>
      </c>
      <c r="I36" s="374">
        <v>1000000</v>
      </c>
      <c r="J36" s="375">
        <v>0.01</v>
      </c>
      <c r="K36" s="376">
        <v>0</v>
      </c>
      <c r="L36" s="379">
        <v>17</v>
      </c>
      <c r="M36" s="387" t="str">
        <f ca="1">_xll.meLWOSwapCreateFromGenerator("AUDIRS"&amp;L36,G36,H36,I36,B36,C36,J36,K36,,,,,Settings.AllowCalibrationUpdates)</f>
        <v>AUDIRS17@52:0</v>
      </c>
      <c r="N36" s="388" t="s">
        <v>111</v>
      </c>
      <c r="O36" s="389">
        <f ca="1">_xll.meLWOSwapParRate(M36,N36)</f>
        <v>2.9963067538267406E-2</v>
      </c>
      <c r="P36" s="389">
        <f>'AUD CURVE'!S87</f>
        <v>2.99625E-2</v>
      </c>
      <c r="Q36" s="390">
        <f t="shared" ca="1" si="3"/>
        <v>5.6753826740627011E-3</v>
      </c>
      <c r="R36" s="24" t="s">
        <v>565</v>
      </c>
    </row>
    <row r="37" spans="2:18">
      <c r="M37" s="24" t="s">
        <v>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14"/>
  <sheetViews>
    <sheetView showGridLines="0" workbookViewId="0"/>
  </sheetViews>
  <sheetFormatPr defaultRowHeight="15" outlineLevelCol="1"/>
  <cols>
    <col min="1" max="1" width="4.7109375" style="32" customWidth="1"/>
    <col min="2" max="2" width="25.5703125" style="32" customWidth="1"/>
    <col min="3" max="3" width="20.7109375" style="32" customWidth="1"/>
    <col min="4" max="4" width="4.7109375" style="307" customWidth="1"/>
    <col min="5" max="5" width="16.140625" style="32" hidden="1" customWidth="1" outlineLevel="1"/>
    <col min="6" max="6" width="19.28515625" style="32" hidden="1" customWidth="1" outlineLevel="1"/>
    <col min="7" max="10" width="9.140625" style="32" hidden="1" customWidth="1" outlineLevel="1"/>
    <col min="11" max="12" width="9.7109375" style="32" hidden="1" customWidth="1" outlineLevel="1"/>
    <col min="13" max="13" width="4.7109375" style="32" hidden="1" customWidth="1" outlineLevel="1"/>
    <col min="14" max="14" width="30.7109375" style="32" customWidth="1" collapsed="1"/>
    <col min="15" max="16" width="20.7109375" style="32" customWidth="1"/>
    <col min="17" max="17" width="4.7109375" style="32" customWidth="1"/>
    <col min="18" max="18" width="22.5703125" style="32" customWidth="1"/>
    <col min="19" max="19" width="4.7109375" style="32" hidden="1" customWidth="1" outlineLevel="1"/>
    <col min="20" max="20" width="27.42578125" style="32" hidden="1" customWidth="1" outlineLevel="1"/>
    <col min="21" max="22" width="18.7109375" style="32" hidden="1" customWidth="1" outlineLevel="1"/>
    <col min="23" max="23" width="4.7109375" style="32" hidden="1" customWidth="1" outlineLevel="1"/>
    <col min="24" max="24" width="23.5703125" style="32" hidden="1" customWidth="1" outlineLevel="1"/>
    <col min="25" max="25" width="11" style="32" hidden="1" customWidth="1" outlineLevel="1"/>
    <col min="26" max="26" width="12.28515625" style="32" bestFit="1" customWidth="1" collapsed="1"/>
    <col min="27" max="16384" width="9.140625" style="32"/>
  </cols>
  <sheetData>
    <row r="1" spans="2:26">
      <c r="M1" s="23"/>
      <c r="N1" s="349" t="s">
        <v>200</v>
      </c>
      <c r="Z1" s="23" t="s">
        <v>139</v>
      </c>
    </row>
    <row r="2" spans="2:26">
      <c r="M2" s="1"/>
      <c r="Z2" s="23"/>
    </row>
    <row r="3" spans="2:26">
      <c r="B3" s="1" t="s">
        <v>74</v>
      </c>
      <c r="E3" s="1" t="s">
        <v>204</v>
      </c>
      <c r="N3" s="1" t="s">
        <v>291</v>
      </c>
      <c r="Q3" s="32" t="s">
        <v>63</v>
      </c>
    </row>
    <row r="4" spans="2:26">
      <c r="B4" s="17" t="s">
        <v>572</v>
      </c>
      <c r="C4" s="348">
        <f ca="1">Settings.COB</f>
        <v>43278</v>
      </c>
      <c r="D4" s="307" t="s">
        <v>63</v>
      </c>
      <c r="E4" s="97"/>
      <c r="F4" s="98"/>
      <c r="G4" s="94"/>
      <c r="H4" s="94"/>
      <c r="I4" s="94"/>
      <c r="J4" s="112" t="str">
        <f>$C$32</f>
        <v>MID</v>
      </c>
      <c r="K4" s="108"/>
      <c r="L4" s="96"/>
      <c r="M4" s="32" t="s">
        <v>63</v>
      </c>
      <c r="N4" s="4" t="s">
        <v>66</v>
      </c>
      <c r="O4" s="429" t="s">
        <v>413</v>
      </c>
      <c r="P4" s="430"/>
      <c r="Q4" s="32" t="s">
        <v>63</v>
      </c>
    </row>
    <row r="5" spans="2:26">
      <c r="B5" s="308" t="s">
        <v>88</v>
      </c>
      <c r="C5" s="34" t="s">
        <v>55</v>
      </c>
      <c r="D5" s="307" t="s">
        <v>63</v>
      </c>
      <c r="E5" s="99" t="s">
        <v>142</v>
      </c>
      <c r="F5" s="100" t="s">
        <v>165</v>
      </c>
      <c r="G5" s="92" t="s">
        <v>159</v>
      </c>
      <c r="H5" s="92" t="s">
        <v>160</v>
      </c>
      <c r="I5" s="92" t="s">
        <v>162</v>
      </c>
      <c r="J5" s="107" t="s">
        <v>164</v>
      </c>
      <c r="K5" s="107"/>
      <c r="L5" s="95"/>
      <c r="M5" s="32" t="s">
        <v>63</v>
      </c>
      <c r="N5" s="7" t="s">
        <v>409</v>
      </c>
      <c r="O5" s="431" t="str">
        <f ca="1">IF('AUD CURVE'!$D$99,_xll.meLWOSwapCreate(O4,N8:P40),"#LOAD CURVE")</f>
        <v>AUD_SWAP@39:27</v>
      </c>
      <c r="P5" s="432"/>
      <c r="Q5" s="32" t="s">
        <v>63</v>
      </c>
    </row>
    <row r="6" spans="2:26">
      <c r="B6" s="308" t="s">
        <v>73</v>
      </c>
      <c r="C6" s="34" t="s">
        <v>49</v>
      </c>
      <c r="D6" s="307" t="s">
        <v>63</v>
      </c>
      <c r="E6" s="101" t="s">
        <v>143</v>
      </c>
      <c r="F6" s="91">
        <f>(100-J6)%</f>
        <v>2.0875000000000057E-2</v>
      </c>
      <c r="G6" s="93">
        <f>_xll.BDP($E$6,$G$5)</f>
        <v>97.91</v>
      </c>
      <c r="H6" s="93">
        <f>_xll.BDP($E$6,$H$5)</f>
        <v>97.915000000000006</v>
      </c>
      <c r="I6" s="93">
        <f>AVERAGE(G6:H6)</f>
        <v>97.912499999999994</v>
      </c>
      <c r="J6" s="93">
        <f>IF($J$4="BID",G6,IF($J$4="ASK",H6,I6))</f>
        <v>97.912499999999994</v>
      </c>
      <c r="K6" s="107"/>
      <c r="L6" s="95"/>
      <c r="M6" s="32" t="s">
        <v>63</v>
      </c>
      <c r="Q6" s="32" t="s">
        <v>63</v>
      </c>
    </row>
    <row r="7" spans="2:26">
      <c r="B7" s="308" t="s">
        <v>71</v>
      </c>
      <c r="C7" s="34" t="s">
        <v>112</v>
      </c>
      <c r="D7" s="307" t="s">
        <v>63</v>
      </c>
      <c r="E7" s="101"/>
      <c r="F7" s="100"/>
      <c r="G7" s="92"/>
      <c r="H7" s="92"/>
      <c r="I7" s="92"/>
      <c r="J7" s="109" t="str">
        <f>$C$32</f>
        <v>MID</v>
      </c>
      <c r="K7" s="107"/>
      <c r="L7" s="95"/>
      <c r="M7" s="32" t="s">
        <v>63</v>
      </c>
      <c r="N7" s="1" t="s">
        <v>291</v>
      </c>
      <c r="O7" s="9" t="s">
        <v>59</v>
      </c>
      <c r="P7" s="9" t="s">
        <v>60</v>
      </c>
      <c r="Q7" s="32" t="s">
        <v>63</v>
      </c>
    </row>
    <row r="8" spans="2:26">
      <c r="B8" s="309" t="s">
        <v>72</v>
      </c>
      <c r="C8" s="21">
        <f ca="1">_xll.meDateFromTenor(C4,C5,C6,C7)</f>
        <v>43280</v>
      </c>
      <c r="D8" s="307" t="s">
        <v>63</v>
      </c>
      <c r="E8" s="99" t="s">
        <v>140</v>
      </c>
      <c r="F8" s="100"/>
      <c r="G8" s="92" t="s">
        <v>159</v>
      </c>
      <c r="H8" s="92" t="s">
        <v>160</v>
      </c>
      <c r="I8" s="92" t="s">
        <v>162</v>
      </c>
      <c r="J8" s="107" t="s">
        <v>164</v>
      </c>
      <c r="K8" s="107"/>
      <c r="L8" s="95"/>
      <c r="M8" s="32" t="s">
        <v>63</v>
      </c>
      <c r="N8" s="11" t="s">
        <v>32</v>
      </c>
      <c r="O8" s="58" t="s">
        <v>412</v>
      </c>
      <c r="P8" s="58" t="s">
        <v>33</v>
      </c>
      <c r="Q8" s="32" t="s">
        <v>63</v>
      </c>
    </row>
    <row r="9" spans="2:26">
      <c r="D9" s="307" t="s">
        <v>63</v>
      </c>
      <c r="E9" s="101" t="s">
        <v>141</v>
      </c>
      <c r="F9" s="91">
        <f>(100-J9)%</f>
        <v>2.6225000000000023E-2</v>
      </c>
      <c r="G9" s="93">
        <f>_xll.BDP($E$9,$G$5)</f>
        <v>97.375</v>
      </c>
      <c r="H9" s="93">
        <f>_xll.BDP($E$9,$H$5)</f>
        <v>97.38</v>
      </c>
      <c r="I9" s="93">
        <f>AVERAGE(G9:H9)</f>
        <v>97.377499999999998</v>
      </c>
      <c r="J9" s="93">
        <f>IF($J$7="BID",G9,IF($J$7="ASK",H9,I9))</f>
        <v>97.377499999999998</v>
      </c>
      <c r="K9" s="107"/>
      <c r="L9" s="95"/>
      <c r="M9" s="32" t="s">
        <v>63</v>
      </c>
      <c r="N9" s="31" t="s">
        <v>34</v>
      </c>
      <c r="O9" s="316">
        <f>$C$12</f>
        <v>1000000</v>
      </c>
      <c r="P9" s="316">
        <f>$C$12</f>
        <v>1000000</v>
      </c>
      <c r="Q9" s="32" t="s">
        <v>63</v>
      </c>
    </row>
    <row r="10" spans="2:26">
      <c r="B10" s="1" t="s">
        <v>1</v>
      </c>
      <c r="D10" s="307" t="s">
        <v>63</v>
      </c>
      <c r="E10" s="101"/>
      <c r="F10" s="100"/>
      <c r="G10" s="92"/>
      <c r="H10" s="92"/>
      <c r="I10" s="92"/>
      <c r="J10" s="92"/>
      <c r="K10" s="107"/>
      <c r="L10" s="117"/>
      <c r="M10" s="32" t="s">
        <v>63</v>
      </c>
      <c r="N10" s="31" t="s">
        <v>13</v>
      </c>
      <c r="O10" s="48" t="s">
        <v>14</v>
      </c>
      <c r="P10" s="48" t="s">
        <v>14</v>
      </c>
      <c r="Q10" s="32" t="s">
        <v>63</v>
      </c>
    </row>
    <row r="11" spans="2:26">
      <c r="B11" s="11" t="s">
        <v>133</v>
      </c>
      <c r="C11" s="83" t="s">
        <v>135</v>
      </c>
      <c r="D11" s="307" t="s">
        <v>63</v>
      </c>
      <c r="E11" s="99" t="s">
        <v>144</v>
      </c>
      <c r="F11" s="100"/>
      <c r="G11" s="92"/>
      <c r="H11" s="92"/>
      <c r="I11" s="92"/>
      <c r="J11" s="109" t="str">
        <f>$C$32</f>
        <v>MID</v>
      </c>
      <c r="K11" s="107"/>
      <c r="L11" s="117"/>
      <c r="M11" s="32" t="s">
        <v>63</v>
      </c>
      <c r="N11" s="31" t="s">
        <v>11</v>
      </c>
      <c r="O11" s="48" t="s">
        <v>35</v>
      </c>
      <c r="P11" s="48" t="s">
        <v>12</v>
      </c>
      <c r="Q11" s="32" t="s">
        <v>63</v>
      </c>
      <c r="T11" s="23" t="s">
        <v>86</v>
      </c>
    </row>
    <row r="12" spans="2:26">
      <c r="B12" s="31" t="s">
        <v>15</v>
      </c>
      <c r="C12" s="84">
        <v>1000000</v>
      </c>
      <c r="D12" s="307" t="s">
        <v>63</v>
      </c>
      <c r="E12" s="102" t="s">
        <v>90</v>
      </c>
      <c r="F12" s="100" t="s">
        <v>161</v>
      </c>
      <c r="G12" s="92" t="s">
        <v>159</v>
      </c>
      <c r="H12" s="92" t="s">
        <v>160</v>
      </c>
      <c r="I12" s="92" t="s">
        <v>162</v>
      </c>
      <c r="J12" s="107" t="s">
        <v>164</v>
      </c>
      <c r="K12" s="107" t="s">
        <v>205</v>
      </c>
      <c r="L12" s="117" t="s">
        <v>206</v>
      </c>
      <c r="M12" s="32" t="s">
        <v>63</v>
      </c>
      <c r="N12" s="31" t="s">
        <v>36</v>
      </c>
      <c r="O12" s="53"/>
      <c r="P12" s="28" t="str">
        <f>IF(P24="QUARTERLY","AUD3ML","AUD6ML")</f>
        <v>AUD3ML</v>
      </c>
      <c r="Q12" s="32" t="s">
        <v>63</v>
      </c>
      <c r="T12" s="79" t="str">
        <f>IF(P24="QUARTERLY",X41,X42)</f>
        <v>ADBB3M CMPN Curncy</v>
      </c>
    </row>
    <row r="13" spans="2:26">
      <c r="B13" s="308" t="s">
        <v>414</v>
      </c>
      <c r="C13" s="81" t="s">
        <v>321</v>
      </c>
      <c r="D13" s="307" t="s">
        <v>63</v>
      </c>
      <c r="E13" s="102" t="s">
        <v>196</v>
      </c>
      <c r="F13" s="100" t="s">
        <v>197</v>
      </c>
      <c r="G13" s="93">
        <f>_xll.BDP($F13,$G$12)</f>
        <v>-5.75</v>
      </c>
      <c r="H13" s="93">
        <f>_xll.BDP($F13,$H$12)</f>
        <v>-5.75</v>
      </c>
      <c r="I13" s="93">
        <f>AVERAGE(G13:H13)</f>
        <v>-5.75</v>
      </c>
      <c r="J13" s="93">
        <f t="shared" ref="J13:J27" si="0">IF($J$11="BID",G13,IF($J$11="ASK",H13,I13))</f>
        <v>-5.75</v>
      </c>
      <c r="K13" s="116">
        <f t="shared" ref="K13:K18" si="1">IF(COUNT($F$6,J13)=2,$F$6+J13/10000,"#WAIT: BBG")</f>
        <v>2.0300000000000058E-2</v>
      </c>
      <c r="L13" s="118">
        <f>IF(COUNT(K13,J31)=2,K13+J31/10000,"#WAIT: BBG")</f>
        <v>2.1775000000000058E-2</v>
      </c>
      <c r="M13" s="32" t="s">
        <v>63</v>
      </c>
      <c r="N13" s="31" t="s">
        <v>37</v>
      </c>
      <c r="O13" s="48" t="s">
        <v>114</v>
      </c>
      <c r="P13" s="48" t="s">
        <v>114</v>
      </c>
      <c r="Q13" s="32" t="s">
        <v>63</v>
      </c>
      <c r="T13" s="3" t="s">
        <v>129</v>
      </c>
    </row>
    <row r="14" spans="2:26">
      <c r="B14" s="308" t="s">
        <v>415</v>
      </c>
      <c r="C14" s="81" t="s">
        <v>321</v>
      </c>
      <c r="D14" s="307" t="s">
        <v>63</v>
      </c>
      <c r="E14" s="102" t="s">
        <v>181</v>
      </c>
      <c r="F14" s="100" t="s">
        <v>145</v>
      </c>
      <c r="G14" s="93">
        <f>_xll.BDP($F14,$G$12)</f>
        <v>-3.75</v>
      </c>
      <c r="H14" s="93">
        <f>_xll.BDP($F14,$H$12)</f>
        <v>1.25</v>
      </c>
      <c r="I14" s="93">
        <f t="shared" ref="I14:I27" si="2">AVERAGE(G14:H14)</f>
        <v>-1.25</v>
      </c>
      <c r="J14" s="93">
        <f t="shared" si="0"/>
        <v>-1.25</v>
      </c>
      <c r="K14" s="116">
        <f t="shared" si="1"/>
        <v>2.0750000000000057E-2</v>
      </c>
      <c r="L14" s="118">
        <f t="shared" ref="L14:L18" si="3">IF(COUNT(K14,J32)=2,K14+J32/10000,"#WAIT: BBG")</f>
        <v>2.2212500000000055E-2</v>
      </c>
      <c r="M14" s="32" t="s">
        <v>63</v>
      </c>
      <c r="N14" s="31" t="s">
        <v>5</v>
      </c>
      <c r="O14" s="48" t="s">
        <v>113</v>
      </c>
      <c r="P14" s="48" t="s">
        <v>113</v>
      </c>
      <c r="Q14" s="32" t="s">
        <v>63</v>
      </c>
      <c r="T14" s="3" t="s">
        <v>55</v>
      </c>
    </row>
    <row r="15" spans="2:26">
      <c r="B15" s="31" t="s">
        <v>47</v>
      </c>
      <c r="C15" s="85" t="s">
        <v>29</v>
      </c>
      <c r="D15" s="307" t="s">
        <v>63</v>
      </c>
      <c r="E15" s="102" t="s">
        <v>182</v>
      </c>
      <c r="F15" s="100" t="s">
        <v>146</v>
      </c>
      <c r="G15" s="93">
        <f>_xll.BDP($F15,$G$12)</f>
        <v>4.25</v>
      </c>
      <c r="H15" s="93">
        <f>_xll.BDP($F15,$H$12)</f>
        <v>9.25</v>
      </c>
      <c r="I15" s="93">
        <f t="shared" si="2"/>
        <v>6.75</v>
      </c>
      <c r="J15" s="93">
        <f t="shared" si="0"/>
        <v>6.75</v>
      </c>
      <c r="K15" s="116">
        <f t="shared" si="1"/>
        <v>2.1550000000000055E-2</v>
      </c>
      <c r="L15" s="118">
        <f t="shared" si="3"/>
        <v>2.2987500000000056E-2</v>
      </c>
      <c r="M15" s="32" t="s">
        <v>63</v>
      </c>
      <c r="N15" s="31" t="s">
        <v>38</v>
      </c>
      <c r="O15" s="49">
        <v>1</v>
      </c>
      <c r="P15" s="49">
        <v>1</v>
      </c>
      <c r="Q15" s="32" t="s">
        <v>63</v>
      </c>
      <c r="R15" s="23" t="s">
        <v>137</v>
      </c>
      <c r="T15" s="16">
        <f ca="1">_xll.meDateFromTenor(P22,"-"&amp;T14,"MOD_FOLLOWING","LNB:SYB")</f>
        <v>43278</v>
      </c>
    </row>
    <row r="16" spans="2:26">
      <c r="B16" s="308" t="s">
        <v>567</v>
      </c>
      <c r="C16" s="407"/>
      <c r="D16" s="307" t="s">
        <v>63</v>
      </c>
      <c r="E16" s="102" t="s">
        <v>183</v>
      </c>
      <c r="F16" s="100" t="s">
        <v>147</v>
      </c>
      <c r="G16" s="93">
        <f>_xll.BDP($F16,$G$12)</f>
        <v>28</v>
      </c>
      <c r="H16" s="93">
        <f>_xll.BDP($F16,$H$12)</f>
        <v>33</v>
      </c>
      <c r="I16" s="93">
        <f t="shared" si="2"/>
        <v>30.5</v>
      </c>
      <c r="J16" s="93">
        <f t="shared" si="0"/>
        <v>30.5</v>
      </c>
      <c r="K16" s="116">
        <f t="shared" si="1"/>
        <v>2.3925000000000057E-2</v>
      </c>
      <c r="L16" s="118">
        <f t="shared" si="3"/>
        <v>2.5362500000000059E-2</v>
      </c>
      <c r="M16" s="32" t="s">
        <v>63</v>
      </c>
      <c r="N16" s="31" t="s">
        <v>39</v>
      </c>
      <c r="O16" s="391">
        <v>0</v>
      </c>
      <c r="P16" s="50"/>
      <c r="Q16" s="32" t="s">
        <v>63</v>
      </c>
      <c r="R16" s="59">
        <f ca="1">IF(COUNT(T16)=1,T16%,"WAIT: BBG Data Loading")</f>
        <v>2.1152999999999998E-2</v>
      </c>
      <c r="T16" s="88">
        <f ca="1">_xll.BDH(T12,T13,T15,T15)</f>
        <v>2.1153</v>
      </c>
    </row>
    <row r="17" spans="2:21">
      <c r="B17" s="31" t="s">
        <v>83</v>
      </c>
      <c r="C17" s="16">
        <f ca="1">IF(ISBLANK($C$16),C8,_xll.meDateFromTenor(Settings.COB,$C$16,$C$6,$C$7))</f>
        <v>43280</v>
      </c>
      <c r="D17" s="307" t="s">
        <v>63</v>
      </c>
      <c r="E17" s="102" t="s">
        <v>184</v>
      </c>
      <c r="F17" s="100" t="s">
        <v>148</v>
      </c>
      <c r="G17" s="93">
        <f>_xll.BDP($F17,$G$12)</f>
        <v>37.375</v>
      </c>
      <c r="H17" s="93">
        <f>_xll.BDP($F17,$H$12)</f>
        <v>42.375</v>
      </c>
      <c r="I17" s="93">
        <f t="shared" si="2"/>
        <v>39.875</v>
      </c>
      <c r="J17" s="93">
        <f t="shared" si="0"/>
        <v>39.875</v>
      </c>
      <c r="K17" s="116">
        <f t="shared" si="1"/>
        <v>2.4862500000000058E-2</v>
      </c>
      <c r="L17" s="118">
        <f t="shared" si="3"/>
        <v>2.6287500000000057E-2</v>
      </c>
      <c r="N17" s="31" t="s">
        <v>40</v>
      </c>
      <c r="O17" s="48"/>
      <c r="P17" s="48" t="s">
        <v>89</v>
      </c>
      <c r="Q17" s="32" t="s">
        <v>63</v>
      </c>
    </row>
    <row r="18" spans="2:21">
      <c r="B18" s="12" t="s">
        <v>547</v>
      </c>
      <c r="C18" s="86" t="s">
        <v>190</v>
      </c>
      <c r="D18" s="307" t="s">
        <v>63</v>
      </c>
      <c r="E18" s="102" t="s">
        <v>185</v>
      </c>
      <c r="F18" s="100" t="s">
        <v>149</v>
      </c>
      <c r="G18" s="93">
        <f>_xll.BDP($F18,$G$12)</f>
        <v>-7.75</v>
      </c>
      <c r="H18" s="93">
        <f>_xll.BDP($F18,$H$12)</f>
        <v>-2.75</v>
      </c>
      <c r="I18" s="93">
        <f t="shared" si="2"/>
        <v>-5.25</v>
      </c>
      <c r="J18" s="93">
        <f t="shared" si="0"/>
        <v>-5.25</v>
      </c>
      <c r="K18" s="116">
        <f t="shared" si="1"/>
        <v>2.0350000000000056E-2</v>
      </c>
      <c r="L18" s="118">
        <f t="shared" si="3"/>
        <v>2.1737500000000055E-2</v>
      </c>
      <c r="M18" s="32" t="s">
        <v>63</v>
      </c>
      <c r="N18" s="31" t="s">
        <v>41</v>
      </c>
      <c r="O18" s="48"/>
      <c r="P18" s="48" t="s">
        <v>89</v>
      </c>
      <c r="R18" s="23" t="s">
        <v>107</v>
      </c>
    </row>
    <row r="19" spans="2:21">
      <c r="D19" s="307" t="s">
        <v>63</v>
      </c>
      <c r="E19" s="102" t="s">
        <v>186</v>
      </c>
      <c r="F19" s="100" t="s">
        <v>150</v>
      </c>
      <c r="G19" s="93">
        <f>_xll.BDP($F19,$G$12)</f>
        <v>-0.5</v>
      </c>
      <c r="H19" s="93">
        <f>_xll.BDP($F19,$H$12)</f>
        <v>4.5</v>
      </c>
      <c r="I19" s="93">
        <f t="shared" si="2"/>
        <v>2</v>
      </c>
      <c r="J19" s="93">
        <f t="shared" si="0"/>
        <v>2</v>
      </c>
      <c r="K19" s="91">
        <f t="shared" ref="K19:K27" si="4">IF(COUNT(L19,J37)=2,L19-J37/10000,"#WAIT: BBG")</f>
        <v>2.5087500000000023E-2</v>
      </c>
      <c r="L19" s="119">
        <f t="shared" ref="L19:L27" si="5">IF(COUNT($F$9,J19)=2,$F$9+J19/10000,"#WAIT: BBG")</f>
        <v>2.6425000000000021E-2</v>
      </c>
      <c r="M19" s="32" t="s">
        <v>63</v>
      </c>
      <c r="N19" s="31" t="s">
        <v>42</v>
      </c>
      <c r="O19" s="51"/>
      <c r="P19" s="315" t="str">
        <f>IF(ISBLANK($R$19),"",$R$19)</f>
        <v/>
      </c>
      <c r="Q19" s="307"/>
      <c r="R19" s="82"/>
      <c r="S19" s="32" t="s">
        <v>63</v>
      </c>
      <c r="U19" s="32" t="s">
        <v>63</v>
      </c>
    </row>
    <row r="20" spans="2:21">
      <c r="B20" s="1" t="s">
        <v>408</v>
      </c>
      <c r="C20" s="26"/>
      <c r="D20" s="307" t="s">
        <v>63</v>
      </c>
      <c r="E20" s="102" t="s">
        <v>187</v>
      </c>
      <c r="F20" s="100" t="s">
        <v>151</v>
      </c>
      <c r="G20" s="93">
        <f>_xll.BDP($F20,$G$12)</f>
        <v>5.875</v>
      </c>
      <c r="H20" s="93">
        <f>_xll.BDP($F20,$H$12)</f>
        <v>10.875</v>
      </c>
      <c r="I20" s="93">
        <f t="shared" si="2"/>
        <v>8.375</v>
      </c>
      <c r="J20" s="93">
        <f t="shared" si="0"/>
        <v>8.375</v>
      </c>
      <c r="K20" s="91">
        <f t="shared" si="4"/>
        <v>2.5762500000000025E-2</v>
      </c>
      <c r="L20" s="119">
        <f t="shared" si="5"/>
        <v>2.7062500000000024E-2</v>
      </c>
      <c r="M20" s="32" t="s">
        <v>63</v>
      </c>
      <c r="N20" s="31" t="s">
        <v>43</v>
      </c>
      <c r="O20" s="51"/>
      <c r="P20" s="51"/>
      <c r="Q20" s="32" t="s">
        <v>63</v>
      </c>
      <c r="T20" s="25"/>
    </row>
    <row r="21" spans="2:21">
      <c r="B21" s="11" t="s">
        <v>387</v>
      </c>
      <c r="C21" s="418" t="s">
        <v>46</v>
      </c>
      <c r="D21" s="307" t="s">
        <v>63</v>
      </c>
      <c r="E21" s="102" t="s">
        <v>188</v>
      </c>
      <c r="F21" s="100" t="s">
        <v>152</v>
      </c>
      <c r="G21" s="93">
        <f>_xll.BDP($F21,$G$12)</f>
        <v>11.375</v>
      </c>
      <c r="H21" s="93">
        <f>_xll.BDP($F21,$H$12)</f>
        <v>16.375</v>
      </c>
      <c r="I21" s="93">
        <f t="shared" si="2"/>
        <v>13.875</v>
      </c>
      <c r="J21" s="93">
        <f t="shared" si="0"/>
        <v>13.875</v>
      </c>
      <c r="K21" s="91">
        <f t="shared" si="4"/>
        <v>2.6350000000000023E-2</v>
      </c>
      <c r="L21" s="119">
        <f t="shared" si="5"/>
        <v>2.7612500000000022E-2</v>
      </c>
      <c r="M21" s="32" t="s">
        <v>63</v>
      </c>
      <c r="N21" s="31" t="s">
        <v>44</v>
      </c>
      <c r="O21" s="49"/>
      <c r="P21" s="314">
        <f>$C$36</f>
        <v>90</v>
      </c>
      <c r="Q21" s="32" t="s">
        <v>63</v>
      </c>
      <c r="R21" s="23" t="s">
        <v>108</v>
      </c>
      <c r="T21" s="1" t="s">
        <v>110</v>
      </c>
    </row>
    <row r="22" spans="2:21">
      <c r="B22" s="308" t="s">
        <v>388</v>
      </c>
      <c r="C22" s="81" t="s">
        <v>321</v>
      </c>
      <c r="D22" s="307" t="s">
        <v>63</v>
      </c>
      <c r="E22" s="102" t="s">
        <v>190</v>
      </c>
      <c r="F22" s="100" t="s">
        <v>153</v>
      </c>
      <c r="G22" s="93">
        <f>_xll.BDP($F22,$G$12)</f>
        <v>16.25</v>
      </c>
      <c r="H22" s="93">
        <f>_xll.BDP($F22,$H$12)</f>
        <v>21.25</v>
      </c>
      <c r="I22" s="93">
        <f t="shared" si="2"/>
        <v>18.75</v>
      </c>
      <c r="J22" s="93">
        <f t="shared" si="0"/>
        <v>18.75</v>
      </c>
      <c r="K22" s="91">
        <f t="shared" si="4"/>
        <v>2.6887500000000022E-2</v>
      </c>
      <c r="L22" s="119">
        <f t="shared" si="5"/>
        <v>2.8100000000000021E-2</v>
      </c>
      <c r="M22" s="32" t="s">
        <v>63</v>
      </c>
      <c r="N22" s="31" t="s">
        <v>45</v>
      </c>
      <c r="O22" s="45">
        <f ca="1">C17</f>
        <v>43280</v>
      </c>
      <c r="P22" s="45">
        <f ca="1">$C$17</f>
        <v>43280</v>
      </c>
      <c r="Q22" s="13"/>
      <c r="R22" s="59">
        <f ca="1">IF(U22&lt;C4,"RESET REQUIRED",IF(AND(COUNT(V38:V43)=6,'AUD CURVE'!$D$99),_xll.meProductSwapStubRate($U$38:$U$43,$T$38:$T$43,$V$38:$V$43,$T$22:$U$34),"WAIT: BBG Data Loading"))</f>
        <v>2.1153000000000002E-2</v>
      </c>
      <c r="T22" s="11" t="s">
        <v>45</v>
      </c>
      <c r="U22" s="27">
        <f ca="1">P22</f>
        <v>43280</v>
      </c>
    </row>
    <row r="23" spans="2:21">
      <c r="B23" s="309" t="s">
        <v>134</v>
      </c>
      <c r="C23" s="87" t="b">
        <v>0</v>
      </c>
      <c r="D23" s="307" t="s">
        <v>63</v>
      </c>
      <c r="E23" s="102" t="s">
        <v>189</v>
      </c>
      <c r="F23" s="100" t="s">
        <v>154</v>
      </c>
      <c r="G23" s="93">
        <f>_xll.BDP($F23,$G$12)</f>
        <v>24</v>
      </c>
      <c r="H23" s="93">
        <f>_xll.BDP($F23,$H$12)</f>
        <v>30</v>
      </c>
      <c r="I23" s="93">
        <f t="shared" si="2"/>
        <v>27</v>
      </c>
      <c r="J23" s="93">
        <f t="shared" si="0"/>
        <v>27</v>
      </c>
      <c r="K23" s="91">
        <f t="shared" si="4"/>
        <v>2.7775000000000022E-2</v>
      </c>
      <c r="L23" s="119">
        <f t="shared" si="5"/>
        <v>2.8925000000000024E-2</v>
      </c>
      <c r="M23" s="32" t="s">
        <v>63</v>
      </c>
      <c r="N23" s="31" t="s">
        <v>18</v>
      </c>
      <c r="O23" s="30" t="str">
        <f>$C$18</f>
        <v>10Y</v>
      </c>
      <c r="P23" s="30" t="str">
        <f>$C$18</f>
        <v>10Y</v>
      </c>
      <c r="Q23" s="32" t="s">
        <v>63</v>
      </c>
      <c r="T23" s="31" t="s">
        <v>18</v>
      </c>
      <c r="U23" s="16" t="str">
        <f>P23</f>
        <v>10Y</v>
      </c>
    </row>
    <row r="24" spans="2:21">
      <c r="D24" s="307" t="s">
        <v>63</v>
      </c>
      <c r="E24" s="102" t="s">
        <v>191</v>
      </c>
      <c r="F24" s="100" t="s">
        <v>155</v>
      </c>
      <c r="G24" s="93">
        <f>_xll.BDP($F24,$G$12)</f>
        <v>32.25</v>
      </c>
      <c r="H24" s="93">
        <f>_xll.BDP($F24,$H$12)</f>
        <v>38.25</v>
      </c>
      <c r="I24" s="93">
        <f t="shared" si="2"/>
        <v>35.25</v>
      </c>
      <c r="J24" s="93">
        <f t="shared" si="0"/>
        <v>35.25</v>
      </c>
      <c r="K24" s="91">
        <f t="shared" si="4"/>
        <v>2.8650000000000023E-2</v>
      </c>
      <c r="L24" s="119">
        <f t="shared" si="5"/>
        <v>2.9750000000000023E-2</v>
      </c>
      <c r="M24" s="32" t="s">
        <v>63</v>
      </c>
      <c r="N24" s="31" t="s">
        <v>385</v>
      </c>
      <c r="O24" s="28" t="str">
        <f>$C$13</f>
        <v>SEMI-ANNUAL</v>
      </c>
      <c r="P24" s="28" t="str">
        <f>$C$21</f>
        <v>QUARTERLY</v>
      </c>
      <c r="Q24" s="1"/>
      <c r="T24" s="31" t="s">
        <v>84</v>
      </c>
      <c r="U24" s="28" t="str">
        <f>$C$29</f>
        <v>AUDYC</v>
      </c>
    </row>
    <row r="25" spans="2:21">
      <c r="D25" s="307" t="s">
        <v>63</v>
      </c>
      <c r="E25" s="102" t="s">
        <v>192</v>
      </c>
      <c r="F25" s="100" t="s">
        <v>156</v>
      </c>
      <c r="G25" s="93">
        <f>_xll.BDP($F25,$G$12)</f>
        <v>37.5</v>
      </c>
      <c r="H25" s="93">
        <f>_xll.BDP($F25,$H$12)</f>
        <v>43.5</v>
      </c>
      <c r="I25" s="93">
        <f t="shared" si="2"/>
        <v>40.5</v>
      </c>
      <c r="J25" s="93">
        <f t="shared" si="0"/>
        <v>40.5</v>
      </c>
      <c r="K25" s="91">
        <f t="shared" si="4"/>
        <v>2.9212500000000023E-2</v>
      </c>
      <c r="L25" s="119">
        <f t="shared" si="5"/>
        <v>3.0275000000000024E-2</v>
      </c>
      <c r="M25" s="32" t="s">
        <v>63</v>
      </c>
      <c r="N25" s="31" t="s">
        <v>386</v>
      </c>
      <c r="O25" s="28" t="str">
        <f>$C$14</f>
        <v>SEMI-ANNUAL</v>
      </c>
      <c r="P25" s="28" t="str">
        <f>$C$22</f>
        <v>SEMI-ANNUAL</v>
      </c>
      <c r="Q25" s="32" t="s">
        <v>63</v>
      </c>
      <c r="T25" s="31" t="s">
        <v>97</v>
      </c>
      <c r="U25" s="28" t="str">
        <f>P17</f>
        <v>NATURAL</v>
      </c>
    </row>
    <row r="26" spans="2:21">
      <c r="D26" s="307" t="s">
        <v>63</v>
      </c>
      <c r="E26" s="102" t="s">
        <v>193</v>
      </c>
      <c r="F26" s="100" t="s">
        <v>157</v>
      </c>
      <c r="G26" s="93">
        <f>_xll.BDP($F26,$G$12)</f>
        <v>37.5</v>
      </c>
      <c r="H26" s="93">
        <f>_xll.BDP($F26,$H$12)</f>
        <v>43.5</v>
      </c>
      <c r="I26" s="93">
        <f t="shared" si="2"/>
        <v>40.5</v>
      </c>
      <c r="J26" s="93">
        <f t="shared" si="0"/>
        <v>40.5</v>
      </c>
      <c r="K26" s="91">
        <f>IF(COUNT(L26,J44)=2,L26-J44/10000,"#WAIT: BBG")</f>
        <v>2.9187500000000026E-2</v>
      </c>
      <c r="L26" s="115">
        <f t="shared" si="5"/>
        <v>3.0275000000000024E-2</v>
      </c>
      <c r="M26" s="32" t="s">
        <v>63</v>
      </c>
      <c r="N26" s="31" t="s">
        <v>47</v>
      </c>
      <c r="O26" s="317" t="str">
        <f>$C$15</f>
        <v>ACT/ACT</v>
      </c>
      <c r="P26" s="39" t="s">
        <v>120</v>
      </c>
      <c r="T26" s="31" t="s">
        <v>98</v>
      </c>
      <c r="U26" s="28" t="str">
        <f>P24</f>
        <v>QUARTERLY</v>
      </c>
    </row>
    <row r="27" spans="2:21">
      <c r="B27" s="1" t="s">
        <v>576</v>
      </c>
      <c r="C27" s="26"/>
      <c r="D27" s="307" t="s">
        <v>63</v>
      </c>
      <c r="E27" s="102" t="s">
        <v>194</v>
      </c>
      <c r="F27" s="100" t="s">
        <v>158</v>
      </c>
      <c r="G27" s="93">
        <f>_xll.BDP($F27,$G$12)</f>
        <v>34.625</v>
      </c>
      <c r="H27" s="93">
        <f>_xll.BDP($F27,$H$12)</f>
        <v>40.625</v>
      </c>
      <c r="I27" s="93">
        <f t="shared" si="2"/>
        <v>37.625</v>
      </c>
      <c r="J27" s="93">
        <f t="shared" si="0"/>
        <v>37.625</v>
      </c>
      <c r="K27" s="91">
        <f t="shared" si="4"/>
        <v>2.8850000000000021E-2</v>
      </c>
      <c r="L27" s="115">
        <f t="shared" si="5"/>
        <v>2.9987500000000021E-2</v>
      </c>
      <c r="M27" s="32" t="s">
        <v>63</v>
      </c>
      <c r="N27" s="31" t="s">
        <v>48</v>
      </c>
      <c r="O27" s="54"/>
      <c r="P27" s="39" t="s">
        <v>49</v>
      </c>
      <c r="Q27" s="32" t="s">
        <v>63</v>
      </c>
      <c r="T27" s="31" t="s">
        <v>99</v>
      </c>
      <c r="U27" s="28" t="str">
        <f>P26</f>
        <v>ACT/365</v>
      </c>
    </row>
    <row r="28" spans="2:21">
      <c r="B28" s="17" t="s">
        <v>72</v>
      </c>
      <c r="C28" s="348">
        <f ca="1">C8</f>
        <v>43280</v>
      </c>
      <c r="D28" s="307" t="s">
        <v>63</v>
      </c>
      <c r="E28" s="102"/>
      <c r="F28" s="100"/>
      <c r="G28" s="93"/>
      <c r="H28" s="93"/>
      <c r="I28" s="93"/>
      <c r="J28" s="93"/>
      <c r="K28" s="107"/>
      <c r="L28" s="95"/>
      <c r="M28" s="32" t="s">
        <v>63</v>
      </c>
      <c r="N28" s="31" t="s">
        <v>50</v>
      </c>
      <c r="O28" s="39"/>
      <c r="P28" s="39" t="s">
        <v>112</v>
      </c>
      <c r="Q28" s="32" t="s">
        <v>63</v>
      </c>
      <c r="T28" s="31" t="s">
        <v>100</v>
      </c>
      <c r="U28" s="28" t="str">
        <f>P29</f>
        <v>MOD_FOLLOWING</v>
      </c>
    </row>
    <row r="29" spans="2:21">
      <c r="B29" s="309" t="s">
        <v>84</v>
      </c>
      <c r="C29" s="310" t="s">
        <v>111</v>
      </c>
      <c r="D29" s="307" t="s">
        <v>63</v>
      </c>
      <c r="E29" s="105" t="s">
        <v>195</v>
      </c>
      <c r="F29" s="100"/>
      <c r="G29" s="93"/>
      <c r="H29" s="93"/>
      <c r="I29" s="93"/>
      <c r="J29" s="109" t="str">
        <f>$C$32</f>
        <v>MID</v>
      </c>
      <c r="K29" s="107"/>
      <c r="L29" s="95"/>
      <c r="M29" s="32" t="s">
        <v>63</v>
      </c>
      <c r="N29" s="31" t="s">
        <v>21</v>
      </c>
      <c r="O29" s="39" t="s">
        <v>49</v>
      </c>
      <c r="P29" s="39" t="s">
        <v>49</v>
      </c>
      <c r="Q29" s="32" t="s">
        <v>63</v>
      </c>
      <c r="R29" s="67"/>
      <c r="T29" s="31" t="s">
        <v>101</v>
      </c>
      <c r="U29" s="28" t="str">
        <f>P28</f>
        <v>SYB</v>
      </c>
    </row>
    <row r="30" spans="2:21">
      <c r="D30" s="307" t="s">
        <v>63</v>
      </c>
      <c r="E30" s="102" t="s">
        <v>90</v>
      </c>
      <c r="F30" s="100" t="s">
        <v>161</v>
      </c>
      <c r="G30" s="92" t="s">
        <v>159</v>
      </c>
      <c r="H30" s="92" t="s">
        <v>160</v>
      </c>
      <c r="I30" s="92" t="s">
        <v>162</v>
      </c>
      <c r="J30" s="107" t="s">
        <v>164</v>
      </c>
      <c r="K30" s="107"/>
      <c r="L30" s="95"/>
      <c r="M30" s="32" t="s">
        <v>63</v>
      </c>
      <c r="N30" s="31" t="s">
        <v>23</v>
      </c>
      <c r="O30" s="39" t="s">
        <v>112</v>
      </c>
      <c r="P30" s="39" t="s">
        <v>112</v>
      </c>
      <c r="T30" s="31" t="s">
        <v>102</v>
      </c>
      <c r="U30" s="28"/>
    </row>
    <row r="31" spans="2:21">
      <c r="B31" s="1" t="s">
        <v>136</v>
      </c>
      <c r="D31" s="307" t="s">
        <v>63</v>
      </c>
      <c r="E31" s="101" t="s">
        <v>196</v>
      </c>
      <c r="F31" s="100" t="s">
        <v>166</v>
      </c>
      <c r="G31" s="93">
        <f>_xll.BDP($F31,G$30)</f>
        <v>13.75</v>
      </c>
      <c r="H31" s="93">
        <f>_xll.BDP($F31,H$30)</f>
        <v>15.75</v>
      </c>
      <c r="I31" s="93">
        <f>AVERAGE(G31:H31)</f>
        <v>14.75</v>
      </c>
      <c r="J31" s="93">
        <f t="shared" ref="J31:J45" si="6">IF($J$29="BID",G31,IF($J$29="ASK",H31,I31))</f>
        <v>14.75</v>
      </c>
      <c r="K31" s="91"/>
      <c r="L31" s="90"/>
      <c r="M31" s="32" t="s">
        <v>63</v>
      </c>
      <c r="N31" s="31" t="s">
        <v>24</v>
      </c>
      <c r="O31" s="39" t="s">
        <v>49</v>
      </c>
      <c r="P31" s="39" t="s">
        <v>49</v>
      </c>
      <c r="Q31" s="32" t="s">
        <v>63</v>
      </c>
      <c r="T31" s="31" t="s">
        <v>103</v>
      </c>
      <c r="U31" s="28" t="str">
        <f>P36</f>
        <v>0D</v>
      </c>
    </row>
    <row r="32" spans="2:21">
      <c r="B32" s="11" t="s">
        <v>198</v>
      </c>
      <c r="C32" s="120" t="s">
        <v>163</v>
      </c>
      <c r="D32" s="307" t="s">
        <v>63</v>
      </c>
      <c r="E32" s="101" t="s">
        <v>181</v>
      </c>
      <c r="F32" s="100" t="s">
        <v>167</v>
      </c>
      <c r="G32" s="93">
        <f>_xll.BDP($F32,G$30)</f>
        <v>13.625</v>
      </c>
      <c r="H32" s="93">
        <f>_xll.BDP($F32,H$30)</f>
        <v>15.625</v>
      </c>
      <c r="I32" s="93">
        <f>AVERAGE(G32:H32)</f>
        <v>14.625</v>
      </c>
      <c r="J32" s="93">
        <f t="shared" si="6"/>
        <v>14.625</v>
      </c>
      <c r="K32" s="91"/>
      <c r="L32" s="90"/>
      <c r="M32" s="32" t="s">
        <v>63</v>
      </c>
      <c r="N32" s="31" t="s">
        <v>25</v>
      </c>
      <c r="O32" s="39" t="s">
        <v>112</v>
      </c>
      <c r="P32" s="39" t="s">
        <v>112</v>
      </c>
      <c r="Q32" s="32" t="s">
        <v>63</v>
      </c>
      <c r="T32" s="31" t="s">
        <v>104</v>
      </c>
      <c r="U32" s="16" t="str">
        <f>IF(ISBLANK($P$33),"",$P$33)</f>
        <v/>
      </c>
    </row>
    <row r="33" spans="2:25">
      <c r="B33" s="308" t="s">
        <v>199</v>
      </c>
      <c r="C33" s="111" t="s">
        <v>190</v>
      </c>
      <c r="D33" s="307" t="s">
        <v>63</v>
      </c>
      <c r="E33" s="101" t="s">
        <v>182</v>
      </c>
      <c r="F33" s="100" t="s">
        <v>168</v>
      </c>
      <c r="G33" s="93">
        <f>_xll.BDP($F33,G$30)</f>
        <v>13.375</v>
      </c>
      <c r="H33" s="93">
        <f>_xll.BDP($F33,H$30)</f>
        <v>15.375</v>
      </c>
      <c r="I33" s="93">
        <f t="shared" ref="I33:I45" si="7">AVERAGE(G33:H33)</f>
        <v>14.375</v>
      </c>
      <c r="J33" s="93">
        <f t="shared" si="6"/>
        <v>14.375</v>
      </c>
      <c r="K33" s="91"/>
      <c r="L33" s="90"/>
      <c r="M33" s="32" t="s">
        <v>63</v>
      </c>
      <c r="N33" s="31" t="s">
        <v>51</v>
      </c>
      <c r="O33" s="55"/>
      <c r="P33" s="33"/>
      <c r="Q33" s="32" t="s">
        <v>63</v>
      </c>
      <c r="T33" s="31" t="s">
        <v>105</v>
      </c>
      <c r="U33" s="16" t="str">
        <f>IF(ISBLANK($P$34),"",$P$34)</f>
        <v/>
      </c>
    </row>
    <row r="34" spans="2:25">
      <c r="B34" s="308" t="s">
        <v>202</v>
      </c>
      <c r="C34" s="110">
        <f>IF(ISNUMBER(C35),C35,VLOOKUP($C$33,$E$13:$L$27,IF($C$13="QUARTERLY",7,8),FALSE))</f>
        <v>2.8100000000000021E-2</v>
      </c>
      <c r="D34" s="307" t="s">
        <v>63</v>
      </c>
      <c r="E34" s="101" t="s">
        <v>183</v>
      </c>
      <c r="F34" s="100" t="s">
        <v>169</v>
      </c>
      <c r="G34" s="93">
        <f>_xll.BDP($F34,G$30)</f>
        <v>13.375</v>
      </c>
      <c r="H34" s="93">
        <f>_xll.BDP($F34,H$30)</f>
        <v>15.375</v>
      </c>
      <c r="I34" s="93">
        <f t="shared" si="7"/>
        <v>14.375</v>
      </c>
      <c r="J34" s="93">
        <f t="shared" si="6"/>
        <v>14.375</v>
      </c>
      <c r="K34" s="91"/>
      <c r="L34" s="90"/>
      <c r="M34" s="32" t="s">
        <v>63</v>
      </c>
      <c r="N34" s="31" t="s">
        <v>52</v>
      </c>
      <c r="O34" s="55"/>
      <c r="P34" s="39"/>
      <c r="Q34" s="32" t="s">
        <v>63</v>
      </c>
      <c r="T34" s="12" t="s">
        <v>106</v>
      </c>
      <c r="U34" s="29" t="str">
        <f>IF(ISBLANK(P40),"",P40)</f>
        <v>SHORTSTART</v>
      </c>
    </row>
    <row r="35" spans="2:25">
      <c r="B35" s="308" t="s">
        <v>203</v>
      </c>
      <c r="C35" s="121"/>
      <c r="D35" s="307" t="s">
        <v>63</v>
      </c>
      <c r="E35" s="101" t="s">
        <v>184</v>
      </c>
      <c r="F35" s="100" t="s">
        <v>170</v>
      </c>
      <c r="G35" s="93">
        <f>_xll.BDP($F35,G$30)</f>
        <v>13.25</v>
      </c>
      <c r="H35" s="93">
        <f>_xll.BDP($F35,H$30)</f>
        <v>15.25</v>
      </c>
      <c r="I35" s="93">
        <f t="shared" si="7"/>
        <v>14.25</v>
      </c>
      <c r="J35" s="93">
        <f t="shared" si="6"/>
        <v>14.25</v>
      </c>
      <c r="K35" s="91"/>
      <c r="L35" s="90"/>
      <c r="M35" s="32" t="s">
        <v>63</v>
      </c>
      <c r="N35" s="31" t="s">
        <v>53</v>
      </c>
      <c r="O35" s="42"/>
      <c r="P35" s="42"/>
      <c r="Q35" s="32" t="s">
        <v>63</v>
      </c>
    </row>
    <row r="36" spans="2:25">
      <c r="B36" s="308" t="s">
        <v>375</v>
      </c>
      <c r="C36" s="392">
        <v>90</v>
      </c>
      <c r="D36" s="307" t="s">
        <v>63</v>
      </c>
      <c r="E36" s="101" t="s">
        <v>185</v>
      </c>
      <c r="F36" s="100" t="s">
        <v>171</v>
      </c>
      <c r="G36" s="93">
        <f>_xll.BDP($F36,G$30)</f>
        <v>12.875</v>
      </c>
      <c r="H36" s="93">
        <f>_xll.BDP($F36,H$30)</f>
        <v>14.875</v>
      </c>
      <c r="I36" s="93">
        <f t="shared" si="7"/>
        <v>13.875</v>
      </c>
      <c r="J36" s="93">
        <f t="shared" si="6"/>
        <v>13.875</v>
      </c>
      <c r="K36" s="91"/>
      <c r="L36" s="90"/>
      <c r="M36" s="32" t="s">
        <v>63</v>
      </c>
      <c r="N36" s="31" t="s">
        <v>54</v>
      </c>
      <c r="O36" s="39"/>
      <c r="P36" s="39" t="s">
        <v>27</v>
      </c>
      <c r="Q36" s="32" t="s">
        <v>63</v>
      </c>
      <c r="T36" s="1" t="s">
        <v>109</v>
      </c>
      <c r="X36" s="1" t="s">
        <v>132</v>
      </c>
    </row>
    <row r="37" spans="2:25">
      <c r="B37" s="309" t="s">
        <v>376</v>
      </c>
      <c r="C37" s="342">
        <f>IF(ISNUMBER($C$35),$C$35,$C$34+$C$36/10000)</f>
        <v>3.7100000000000022E-2</v>
      </c>
      <c r="D37" s="307" t="s">
        <v>63</v>
      </c>
      <c r="E37" s="101" t="s">
        <v>186</v>
      </c>
      <c r="F37" s="100" t="s">
        <v>172</v>
      </c>
      <c r="G37" s="93">
        <f>_xll.BDP($F37,G$30)</f>
        <v>12.375</v>
      </c>
      <c r="H37" s="93">
        <f>_xll.BDP($F37,H$30)</f>
        <v>14.375</v>
      </c>
      <c r="I37" s="93">
        <f t="shared" si="7"/>
        <v>13.375</v>
      </c>
      <c r="J37" s="93">
        <f t="shared" si="6"/>
        <v>13.375</v>
      </c>
      <c r="K37" s="91"/>
      <c r="L37" s="90"/>
      <c r="M37" s="32" t="s">
        <v>63</v>
      </c>
      <c r="N37" s="31" t="s">
        <v>56</v>
      </c>
      <c r="O37" s="39"/>
      <c r="P37" s="39"/>
      <c r="Q37" s="32" t="s">
        <v>63</v>
      </c>
      <c r="T37" s="26" t="s">
        <v>90</v>
      </c>
      <c r="U37" s="26" t="s">
        <v>91</v>
      </c>
      <c r="V37" s="26" t="s">
        <v>85</v>
      </c>
      <c r="X37" s="60" t="s">
        <v>130</v>
      </c>
      <c r="Y37" s="60" t="s">
        <v>131</v>
      </c>
    </row>
    <row r="38" spans="2:25">
      <c r="B38" s="307"/>
      <c r="C38" s="22"/>
      <c r="D38" s="307" t="s">
        <v>63</v>
      </c>
      <c r="E38" s="101" t="s">
        <v>187</v>
      </c>
      <c r="F38" s="100" t="s">
        <v>173</v>
      </c>
      <c r="G38" s="93">
        <f>_xll.BDP($F38,G$30)</f>
        <v>12</v>
      </c>
      <c r="H38" s="93">
        <f>_xll.BDP($F38,H$30)</f>
        <v>14</v>
      </c>
      <c r="I38" s="93">
        <f t="shared" si="7"/>
        <v>13</v>
      </c>
      <c r="J38" s="93">
        <f t="shared" si="6"/>
        <v>13</v>
      </c>
      <c r="K38" s="91"/>
      <c r="L38" s="90"/>
      <c r="M38" s="32" t="s">
        <v>63</v>
      </c>
      <c r="N38" s="31" t="s">
        <v>26</v>
      </c>
      <c r="O38" s="39" t="s">
        <v>27</v>
      </c>
      <c r="P38" s="39" t="s">
        <v>27</v>
      </c>
      <c r="Q38" s="32" t="s">
        <v>63</v>
      </c>
      <c r="T38" s="70" t="s">
        <v>69</v>
      </c>
      <c r="U38" s="71" t="s">
        <v>114</v>
      </c>
      <c r="V38" s="72">
        <f>_xll.BDP(X38,Y38)%</f>
        <v>1.4999999999999999E-2</v>
      </c>
      <c r="X38" s="302" t="s">
        <v>122</v>
      </c>
      <c r="Y38" s="303" t="s">
        <v>128</v>
      </c>
    </row>
    <row r="39" spans="2:25">
      <c r="B39" s="343" t="s">
        <v>541</v>
      </c>
      <c r="C39" s="22"/>
      <c r="D39" s="307" t="s">
        <v>63</v>
      </c>
      <c r="E39" s="101" t="s">
        <v>188</v>
      </c>
      <c r="F39" s="100" t="s">
        <v>174</v>
      </c>
      <c r="G39" s="93">
        <f>_xll.BDP($F39,G$30)</f>
        <v>11.625</v>
      </c>
      <c r="H39" s="93">
        <f>_xll.BDP($F39,H$30)</f>
        <v>13.625</v>
      </c>
      <c r="I39" s="93">
        <f t="shared" si="7"/>
        <v>12.625</v>
      </c>
      <c r="J39" s="93">
        <f t="shared" si="6"/>
        <v>12.625</v>
      </c>
      <c r="K39" s="91"/>
      <c r="L39" s="90"/>
      <c r="M39" s="32" t="s">
        <v>63</v>
      </c>
      <c r="N39" s="308" t="s">
        <v>410</v>
      </c>
      <c r="O39" s="311"/>
      <c r="P39" s="39" t="s">
        <v>411</v>
      </c>
      <c r="T39" s="73" t="s">
        <v>92</v>
      </c>
      <c r="U39" s="74" t="s">
        <v>116</v>
      </c>
      <c r="V39" s="75">
        <f>_xll.BDP(X39,Y39)%</f>
        <v>0.02</v>
      </c>
      <c r="X39" s="304" t="s">
        <v>123</v>
      </c>
      <c r="Y39" s="139" t="s">
        <v>129</v>
      </c>
    </row>
    <row r="40" spans="2:25">
      <c r="B40" s="344" t="s">
        <v>542</v>
      </c>
      <c r="C40" s="345">
        <f ca="1">_xll.meLWOSwapParRate(O5,B28:C29)</f>
        <v>3.5908466756092994E-2</v>
      </c>
      <c r="D40" s="307" t="s">
        <v>63</v>
      </c>
      <c r="E40" s="101" t="s">
        <v>190</v>
      </c>
      <c r="F40" s="100" t="s">
        <v>175</v>
      </c>
      <c r="G40" s="93">
        <f>_xll.BDP($F40,G$30)</f>
        <v>11.125</v>
      </c>
      <c r="H40" s="93">
        <f>_xll.BDP($F40,H$30)</f>
        <v>13.125</v>
      </c>
      <c r="I40" s="93">
        <f t="shared" si="7"/>
        <v>12.125</v>
      </c>
      <c r="J40" s="93">
        <f t="shared" si="6"/>
        <v>12.125</v>
      </c>
      <c r="K40" s="91"/>
      <c r="L40" s="90"/>
      <c r="M40" s="32" t="s">
        <v>63</v>
      </c>
      <c r="N40" s="309" t="s">
        <v>57</v>
      </c>
      <c r="O40" s="310" t="s">
        <v>61</v>
      </c>
      <c r="P40" s="310" t="s">
        <v>61</v>
      </c>
      <c r="T40" s="73" t="s">
        <v>93</v>
      </c>
      <c r="U40" s="74" t="s">
        <v>117</v>
      </c>
      <c r="V40" s="75">
        <f>_xll.BDP(X40,Y40)%</f>
        <v>2.06E-2</v>
      </c>
      <c r="X40" s="304" t="s">
        <v>124</v>
      </c>
      <c r="Y40" s="139" t="s">
        <v>129</v>
      </c>
    </row>
    <row r="41" spans="2:25">
      <c r="B41" s="307"/>
      <c r="C41" s="307"/>
      <c r="D41" s="307" t="s">
        <v>63</v>
      </c>
      <c r="E41" s="101" t="s">
        <v>189</v>
      </c>
      <c r="F41" s="100" t="s">
        <v>176</v>
      </c>
      <c r="G41" s="93">
        <f>_xll.BDP($F41,G$30)</f>
        <v>10</v>
      </c>
      <c r="H41" s="93">
        <f>_xll.BDP($F41,H$30)</f>
        <v>13</v>
      </c>
      <c r="I41" s="93">
        <f t="shared" si="7"/>
        <v>11.5</v>
      </c>
      <c r="J41" s="93">
        <f t="shared" si="6"/>
        <v>11.5</v>
      </c>
      <c r="K41" s="91"/>
      <c r="L41" s="90"/>
      <c r="M41" s="32" t="s">
        <v>63</v>
      </c>
      <c r="N41" s="307"/>
      <c r="O41" s="307"/>
      <c r="P41" s="307"/>
      <c r="T41" s="73" t="s">
        <v>94</v>
      </c>
      <c r="U41" s="74" t="s">
        <v>115</v>
      </c>
      <c r="V41" s="75">
        <f>_xll.BDP(X41,Y41)%</f>
        <v>2.1152999999999998E-2</v>
      </c>
      <c r="X41" s="304" t="s">
        <v>125</v>
      </c>
      <c r="Y41" s="139" t="s">
        <v>129</v>
      </c>
    </row>
    <row r="42" spans="2:25">
      <c r="B42" s="307"/>
      <c r="C42" s="423"/>
      <c r="D42" s="307" t="s">
        <v>63</v>
      </c>
      <c r="E42" s="101" t="s">
        <v>191</v>
      </c>
      <c r="F42" s="100" t="s">
        <v>177</v>
      </c>
      <c r="G42" s="93">
        <f>_xll.BDP($F42,G$30)</f>
        <v>9.5</v>
      </c>
      <c r="H42" s="93">
        <f>_xll.BDP($F42,H$30)</f>
        <v>12.5</v>
      </c>
      <c r="I42" s="93">
        <f t="shared" si="7"/>
        <v>11</v>
      </c>
      <c r="J42" s="93">
        <f t="shared" si="6"/>
        <v>11</v>
      </c>
      <c r="K42" s="91"/>
      <c r="L42" s="90"/>
      <c r="M42" s="32" t="s">
        <v>63</v>
      </c>
      <c r="N42" s="307"/>
      <c r="O42" s="307"/>
      <c r="P42" s="307"/>
      <c r="T42" s="73" t="s">
        <v>95</v>
      </c>
      <c r="U42" s="74" t="s">
        <v>118</v>
      </c>
      <c r="V42" s="75">
        <f>_xll.BDP(X42,Y42)%</f>
        <v>2.2200000000000001E-2</v>
      </c>
      <c r="X42" s="304" t="s">
        <v>126</v>
      </c>
      <c r="Y42" s="139" t="s">
        <v>129</v>
      </c>
    </row>
    <row r="43" spans="2:25">
      <c r="C43" s="423"/>
      <c r="D43" s="307" t="s">
        <v>63</v>
      </c>
      <c r="E43" s="101" t="s">
        <v>192</v>
      </c>
      <c r="F43" s="100" t="s">
        <v>178</v>
      </c>
      <c r="G43" s="93">
        <f>_xll.BDP($F43,G$30)</f>
        <v>9.125</v>
      </c>
      <c r="H43" s="93">
        <f>_xll.BDP($F43,H$30)</f>
        <v>12.125</v>
      </c>
      <c r="I43" s="93">
        <f t="shared" si="7"/>
        <v>10.625</v>
      </c>
      <c r="J43" s="93">
        <f t="shared" si="6"/>
        <v>10.625</v>
      </c>
      <c r="K43" s="91"/>
      <c r="L43" s="90"/>
      <c r="M43" s="32" t="s">
        <v>63</v>
      </c>
      <c r="N43" s="307"/>
      <c r="O43" s="307"/>
      <c r="P43" s="307"/>
      <c r="T43" s="76" t="s">
        <v>96</v>
      </c>
      <c r="U43" s="77" t="s">
        <v>119</v>
      </c>
      <c r="V43" s="78">
        <f>_xll.BDP(X43,Y43)%</f>
        <v>2.2099999999999998E-2</v>
      </c>
      <c r="X43" s="305" t="s">
        <v>127</v>
      </c>
      <c r="Y43" s="306" t="s">
        <v>129</v>
      </c>
    </row>
    <row r="44" spans="2:25">
      <c r="C44" s="424"/>
      <c r="D44" s="307" t="s">
        <v>63</v>
      </c>
      <c r="E44" s="101" t="s">
        <v>193</v>
      </c>
      <c r="F44" s="100" t="s">
        <v>179</v>
      </c>
      <c r="G44" s="93">
        <f>_xll.BDP($F44,G$30)</f>
        <v>9.375</v>
      </c>
      <c r="H44" s="93">
        <f>_xll.BDP($F44,H$30)</f>
        <v>12.375</v>
      </c>
      <c r="I44" s="93">
        <f t="shared" si="7"/>
        <v>10.875</v>
      </c>
      <c r="J44" s="93">
        <f t="shared" si="6"/>
        <v>10.875</v>
      </c>
      <c r="K44" s="91"/>
      <c r="L44" s="90"/>
      <c r="M44" s="32" t="s">
        <v>63</v>
      </c>
      <c r="N44" s="307"/>
      <c r="O44" s="307"/>
      <c r="P44" s="307"/>
    </row>
    <row r="45" spans="2:25">
      <c r="D45" s="307" t="s">
        <v>63</v>
      </c>
      <c r="E45" s="101" t="s">
        <v>194</v>
      </c>
      <c r="F45" s="100" t="s">
        <v>180</v>
      </c>
      <c r="G45" s="93">
        <f>_xll.BDP($F45,G$30)</f>
        <v>9.875</v>
      </c>
      <c r="H45" s="93">
        <f>_xll.BDP($F45,H$30)</f>
        <v>12.875</v>
      </c>
      <c r="I45" s="93">
        <f t="shared" si="7"/>
        <v>11.375</v>
      </c>
      <c r="J45" s="93">
        <f t="shared" si="6"/>
        <v>11.375</v>
      </c>
      <c r="K45" s="91"/>
      <c r="L45" s="90"/>
      <c r="M45" s="32" t="s">
        <v>63</v>
      </c>
      <c r="N45" s="307"/>
      <c r="O45" s="307"/>
      <c r="P45" s="307"/>
    </row>
    <row r="46" spans="2:25">
      <c r="B46" s="307"/>
      <c r="C46" s="423"/>
      <c r="D46" s="307" t="s">
        <v>63</v>
      </c>
      <c r="E46" s="103"/>
      <c r="F46" s="104"/>
      <c r="G46" s="106"/>
      <c r="H46" s="106"/>
      <c r="I46" s="106"/>
      <c r="J46" s="106"/>
      <c r="K46" s="114"/>
      <c r="L46" s="113"/>
      <c r="M46" s="32" t="s">
        <v>63</v>
      </c>
      <c r="N46" s="307"/>
      <c r="O46" s="307"/>
      <c r="P46" s="307"/>
    </row>
    <row r="47" spans="2:25">
      <c r="B47" s="307"/>
      <c r="C47" s="423"/>
    </row>
    <row r="48" spans="2:25">
      <c r="C48" s="422"/>
    </row>
    <row r="49" spans="3:17">
      <c r="C49" s="22"/>
    </row>
    <row r="50" spans="3:17">
      <c r="Q50" s="313"/>
    </row>
    <row r="51" spans="3:17">
      <c r="C51" s="292"/>
      <c r="N51" s="313"/>
      <c r="Q51" s="313"/>
    </row>
    <row r="52" spans="3:17">
      <c r="N52" s="313"/>
      <c r="Q52" s="313"/>
    </row>
    <row r="53" spans="3:17">
      <c r="N53" s="313"/>
      <c r="Q53" s="313"/>
    </row>
    <row r="54" spans="3:17">
      <c r="N54" s="313"/>
      <c r="Q54" s="313"/>
    </row>
    <row r="55" spans="3:17">
      <c r="N55" s="313"/>
      <c r="Q55" s="313"/>
    </row>
    <row r="56" spans="3:17">
      <c r="N56" s="313"/>
      <c r="Q56" s="313"/>
    </row>
    <row r="57" spans="3:17">
      <c r="N57" s="313"/>
      <c r="Q57" s="313"/>
    </row>
    <row r="58" spans="3:17">
      <c r="N58" s="313"/>
      <c r="Q58" s="313"/>
    </row>
    <row r="59" spans="3:17">
      <c r="N59" s="313"/>
      <c r="Q59" s="313"/>
    </row>
    <row r="60" spans="3:17">
      <c r="N60" s="313"/>
      <c r="Q60" s="313"/>
    </row>
    <row r="61" spans="3:17">
      <c r="N61" s="313"/>
      <c r="Q61" s="313"/>
    </row>
    <row r="62" spans="3:17">
      <c r="N62" s="313"/>
      <c r="Q62" s="313"/>
    </row>
    <row r="63" spans="3:17">
      <c r="N63" s="313"/>
      <c r="Q63" s="313"/>
    </row>
    <row r="64" spans="3:17">
      <c r="N64" s="313"/>
      <c r="Q64" s="313"/>
    </row>
    <row r="65" spans="14:18">
      <c r="N65" s="313"/>
      <c r="Q65" s="313"/>
    </row>
    <row r="66" spans="14:18">
      <c r="N66" s="313"/>
      <c r="Q66" s="313"/>
    </row>
    <row r="67" spans="14:18">
      <c r="N67" s="313"/>
      <c r="Q67" s="313"/>
    </row>
    <row r="68" spans="14:18">
      <c r="N68" s="313"/>
      <c r="Q68" s="313"/>
    </row>
    <row r="69" spans="14:18">
      <c r="N69" s="313"/>
      <c r="Q69" s="313"/>
    </row>
    <row r="70" spans="14:18">
      <c r="N70" s="313"/>
      <c r="Q70" s="313"/>
    </row>
    <row r="71" spans="14:18">
      <c r="N71" s="313"/>
      <c r="Q71" s="313"/>
    </row>
    <row r="74" spans="14:18">
      <c r="R74" s="313"/>
    </row>
    <row r="75" spans="14:18">
      <c r="N75" s="313"/>
      <c r="O75" s="313"/>
      <c r="R75" s="313"/>
    </row>
    <row r="76" spans="14:18">
      <c r="N76" s="313"/>
      <c r="O76" s="313"/>
      <c r="R76" s="313"/>
    </row>
    <row r="77" spans="14:18">
      <c r="N77" s="313"/>
      <c r="O77" s="313"/>
      <c r="R77" s="313"/>
    </row>
    <row r="78" spans="14:18">
      <c r="N78" s="313"/>
      <c r="O78" s="313"/>
      <c r="R78" s="313"/>
    </row>
    <row r="79" spans="14:18">
      <c r="N79" s="313"/>
      <c r="O79" s="313"/>
      <c r="R79" s="313"/>
    </row>
    <row r="80" spans="14:18">
      <c r="N80" s="313"/>
      <c r="O80" s="313"/>
      <c r="R80" s="313"/>
    </row>
    <row r="81" spans="14:18">
      <c r="N81" s="313"/>
      <c r="O81" s="313"/>
      <c r="R81" s="313"/>
    </row>
    <row r="82" spans="14:18">
      <c r="N82" s="313"/>
      <c r="O82" s="313"/>
      <c r="R82" s="313"/>
    </row>
    <row r="83" spans="14:18">
      <c r="N83" s="313"/>
      <c r="O83" s="313"/>
      <c r="R83" s="313"/>
    </row>
    <row r="84" spans="14:18">
      <c r="N84" s="313"/>
      <c r="O84" s="313"/>
      <c r="R84" s="313"/>
    </row>
    <row r="85" spans="14:18">
      <c r="N85" s="313"/>
      <c r="O85" s="313"/>
      <c r="R85" s="313"/>
    </row>
    <row r="86" spans="14:18">
      <c r="N86" s="313"/>
      <c r="O86" s="313"/>
      <c r="R86" s="313"/>
    </row>
    <row r="87" spans="14:18">
      <c r="N87" s="313"/>
      <c r="O87" s="313"/>
      <c r="R87" s="313"/>
    </row>
    <row r="88" spans="14:18">
      <c r="N88" s="313"/>
      <c r="O88" s="313"/>
      <c r="R88" s="313"/>
    </row>
    <row r="89" spans="14:18">
      <c r="N89" s="313"/>
      <c r="O89" s="313"/>
      <c r="R89" s="313"/>
    </row>
    <row r="90" spans="14:18">
      <c r="N90" s="313"/>
      <c r="O90" s="313"/>
      <c r="R90" s="313"/>
    </row>
    <row r="91" spans="14:18">
      <c r="N91" s="313"/>
      <c r="O91" s="313"/>
      <c r="R91" s="313"/>
    </row>
    <row r="92" spans="14:18">
      <c r="N92" s="313"/>
      <c r="O92" s="313"/>
      <c r="R92" s="313"/>
    </row>
    <row r="93" spans="14:18">
      <c r="N93" s="313"/>
      <c r="O93" s="313"/>
      <c r="R93" s="313"/>
    </row>
    <row r="94" spans="14:18">
      <c r="N94" s="313"/>
      <c r="O94" s="313"/>
      <c r="R94" s="313"/>
    </row>
    <row r="95" spans="14:18">
      <c r="N95" s="313"/>
      <c r="O95" s="313"/>
      <c r="R95" s="313"/>
    </row>
    <row r="96" spans="14:18">
      <c r="N96" s="313"/>
      <c r="O96" s="313"/>
      <c r="R96" s="313"/>
    </row>
    <row r="97" spans="14:18">
      <c r="N97" s="313"/>
      <c r="O97" s="313"/>
      <c r="R97" s="313"/>
    </row>
    <row r="98" spans="14:18">
      <c r="N98" s="313"/>
      <c r="O98" s="313"/>
      <c r="R98" s="313"/>
    </row>
    <row r="99" spans="14:18">
      <c r="N99" s="313"/>
      <c r="O99" s="313"/>
      <c r="R99" s="313"/>
    </row>
    <row r="100" spans="14:18">
      <c r="N100" s="313"/>
      <c r="O100" s="313"/>
      <c r="R100" s="313"/>
    </row>
    <row r="101" spans="14:18">
      <c r="N101" s="313"/>
      <c r="O101" s="313"/>
      <c r="R101" s="313"/>
    </row>
    <row r="102" spans="14:18">
      <c r="N102" s="313"/>
      <c r="O102" s="313"/>
      <c r="R102" s="313"/>
    </row>
    <row r="103" spans="14:18">
      <c r="N103" s="313"/>
      <c r="O103" s="313"/>
      <c r="R103" s="313"/>
    </row>
    <row r="104" spans="14:18">
      <c r="N104" s="313"/>
      <c r="O104" s="313"/>
      <c r="R104" s="313"/>
    </row>
    <row r="105" spans="14:18">
      <c r="N105" s="313"/>
      <c r="O105" s="313"/>
      <c r="R105" s="313"/>
    </row>
    <row r="106" spans="14:18">
      <c r="N106" s="313"/>
      <c r="O106" s="313"/>
      <c r="R106" s="313"/>
    </row>
    <row r="107" spans="14:18">
      <c r="N107" s="313"/>
      <c r="O107" s="313"/>
      <c r="R107" s="313"/>
    </row>
    <row r="108" spans="14:18">
      <c r="N108" s="313"/>
      <c r="O108" s="313"/>
      <c r="R108" s="313"/>
    </row>
    <row r="109" spans="14:18">
      <c r="N109" s="313"/>
      <c r="O109" s="313"/>
      <c r="R109" s="313"/>
    </row>
    <row r="110" spans="14:18">
      <c r="N110" s="313"/>
      <c r="O110" s="313"/>
      <c r="R110" s="313"/>
    </row>
    <row r="111" spans="14:18">
      <c r="N111" s="313"/>
      <c r="O111" s="313"/>
      <c r="R111" s="313"/>
    </row>
    <row r="112" spans="14:18">
      <c r="N112" s="313"/>
      <c r="O112" s="313"/>
      <c r="R112" s="313"/>
    </row>
    <row r="113" spans="14:18">
      <c r="N113" s="313"/>
      <c r="O113" s="313"/>
      <c r="R113" s="313"/>
    </row>
    <row r="114" spans="14:18">
      <c r="N114" s="313"/>
      <c r="O114" s="313"/>
      <c r="R114" s="313"/>
    </row>
  </sheetData>
  <mergeCells count="2">
    <mergeCell ref="O4:P4"/>
    <mergeCell ref="O5:P5"/>
  </mergeCells>
  <dataValidations count="9">
    <dataValidation type="list" allowBlank="1" showInputMessage="1" showErrorMessage="1" sqref="C33">
      <formula1>$E$31:$E$45</formula1>
    </dataValidation>
    <dataValidation type="list" allowBlank="1" showInputMessage="1" showErrorMessage="1" sqref="C32 J7 J11 J4 J29">
      <formula1>"BID,ASK,MID"</formula1>
    </dataValidation>
    <dataValidation type="list" allowBlank="1" showInputMessage="1" showErrorMessage="1" sqref="C15">
      <formula1>"ACT/ACT,ACT/360,ACT/365"</formula1>
    </dataValidation>
    <dataValidation type="list" allowBlank="1" showInputMessage="1" showErrorMessage="1" sqref="C13:C14 C21:C22">
      <formula1>"SEMI-ANNUAL,QUARTERLY"</formula1>
    </dataValidation>
    <dataValidation type="list" allowBlank="1" showInputMessage="1" showErrorMessage="1" sqref="P24:P25">
      <formula1>"QUARTERLY,SEMI-ANNUAL"</formula1>
    </dataValidation>
    <dataValidation type="list" allowBlank="1" showInputMessage="1" showErrorMessage="1" sqref="C23">
      <formula1>"TRUE,FALSE"</formula1>
    </dataValidation>
    <dataValidation type="list" allowBlank="1" showInputMessage="1" showErrorMessage="1" sqref="O35:P35">
      <formula1>"EOM,IMM,1,2,3,4,5,6,7,8,9,10,11,12,13,14,15,16,17,18,19,20,21,22,23,24,25,26,27,28,29,30,31"</formula1>
    </dataValidation>
    <dataValidation type="list" allowBlank="1" showInputMessage="1" showErrorMessage="1" sqref="O43:P46 O40:P40">
      <formula1>"SHORTSTART,SHORTEND,LONGSTART,LONGEND"</formula1>
    </dataValidation>
    <dataValidation type="list" allowBlank="1" showInputMessage="1" showErrorMessage="1" sqref="P39">
      <formula1>"FLAT,SIMPLE,GEOMETRIC,ARITHMETIC,NONE"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9"/>
  <sheetViews>
    <sheetView showGridLines="0" workbookViewId="0"/>
  </sheetViews>
  <sheetFormatPr defaultRowHeight="15" outlineLevelCol="1"/>
  <cols>
    <col min="1" max="1" width="4.7109375" style="307" customWidth="1"/>
    <col min="2" max="2" width="33.5703125" style="307" customWidth="1"/>
    <col min="3" max="3" width="25.7109375" style="307" customWidth="1"/>
    <col min="4" max="4" width="15.42578125" style="307" customWidth="1"/>
    <col min="5" max="5" width="30.7109375" style="307" customWidth="1"/>
    <col min="6" max="6" width="29.42578125" style="307" bestFit="1" customWidth="1"/>
    <col min="7" max="7" width="16.140625" style="307" customWidth="1"/>
    <col min="8" max="8" width="30.7109375" style="307" customWidth="1"/>
    <col min="9" max="10" width="20.7109375" style="307" customWidth="1"/>
    <col min="11" max="11" width="11.5703125" style="307" bestFit="1" customWidth="1"/>
    <col min="12" max="12" width="22.5703125" style="307" customWidth="1"/>
    <col min="13" max="13" width="10.28515625" style="307" hidden="1" customWidth="1" outlineLevel="1"/>
    <col min="14" max="14" width="27.42578125" style="307" hidden="1" customWidth="1" outlineLevel="1"/>
    <col min="15" max="16" width="18.7109375" style="307" hidden="1" customWidth="1" outlineLevel="1"/>
    <col min="17" max="17" width="4.7109375" style="307" hidden="1" customWidth="1" outlineLevel="1"/>
    <col min="18" max="18" width="23.5703125" style="307" hidden="1" customWidth="1" outlineLevel="1"/>
    <col min="19" max="19" width="11" style="307" hidden="1" customWidth="1" outlineLevel="1"/>
    <col min="20" max="20" width="12.28515625" style="307" bestFit="1" customWidth="1" collapsed="1"/>
    <col min="21" max="16384" width="9.140625" style="307"/>
  </cols>
  <sheetData>
    <row r="1" spans="2:20">
      <c r="T1" s="23" t="s">
        <v>139</v>
      </c>
    </row>
    <row r="2" spans="2:20">
      <c r="B2" s="1" t="s">
        <v>74</v>
      </c>
      <c r="D2" s="307" t="s">
        <v>63</v>
      </c>
      <c r="E2" s="1" t="s">
        <v>62</v>
      </c>
      <c r="G2" s="307" t="s">
        <v>63</v>
      </c>
      <c r="H2" s="1" t="s">
        <v>58</v>
      </c>
      <c r="K2" s="307" t="s">
        <v>63</v>
      </c>
      <c r="T2" s="23"/>
    </row>
    <row r="3" spans="2:20">
      <c r="B3" s="17" t="s">
        <v>220</v>
      </c>
      <c r="C3" s="293">
        <f ca="1">Settings.COB</f>
        <v>43278</v>
      </c>
      <c r="D3" s="307" t="s">
        <v>63</v>
      </c>
      <c r="E3" s="4" t="s">
        <v>66</v>
      </c>
      <c r="F3" s="15" t="str">
        <f>F10</f>
        <v>AU000XCLWAR9</v>
      </c>
      <c r="G3" s="307" t="s">
        <v>63</v>
      </c>
      <c r="H3" s="4" t="s">
        <v>66</v>
      </c>
      <c r="I3" s="429" t="s">
        <v>138</v>
      </c>
      <c r="J3" s="430"/>
      <c r="K3" s="307" t="s">
        <v>63</v>
      </c>
    </row>
    <row r="4" spans="2:20">
      <c r="B4" s="308" t="s">
        <v>70</v>
      </c>
      <c r="C4" s="34" t="s">
        <v>55</v>
      </c>
      <c r="D4" s="307" t="s">
        <v>63</v>
      </c>
      <c r="E4" s="7" t="s">
        <v>65</v>
      </c>
      <c r="F4" s="14" t="str">
        <f ca="1">IF('AUD CURVE'!$D$99,_xll.meLWOBondCreateFromLVB(F3,E7:F33),"#LOAD Curve")</f>
        <v>AU000XCLWAR9@11:31</v>
      </c>
      <c r="G4" s="307" t="s">
        <v>63</v>
      </c>
      <c r="H4" s="7" t="s">
        <v>64</v>
      </c>
      <c r="I4" s="431" t="str">
        <f ca="1">IF('AUD CURVE'!$D$99,_xll.meLWOSwapCreate(I3,H7:J41),"#LOAD Curve")</f>
        <v>AUD_ASSET_SWAP@10:21</v>
      </c>
      <c r="J4" s="432"/>
      <c r="K4" s="307" t="s">
        <v>63</v>
      </c>
    </row>
    <row r="5" spans="2:20">
      <c r="B5" s="308" t="s">
        <v>73</v>
      </c>
      <c r="C5" s="34" t="s">
        <v>49</v>
      </c>
      <c r="D5" s="307" t="s">
        <v>63</v>
      </c>
      <c r="G5" s="307" t="s">
        <v>63</v>
      </c>
      <c r="K5" s="307" t="s">
        <v>63</v>
      </c>
    </row>
    <row r="6" spans="2:20">
      <c r="B6" s="308" t="s">
        <v>71</v>
      </c>
      <c r="C6" s="34" t="s">
        <v>112</v>
      </c>
      <c r="D6" s="307" t="s">
        <v>63</v>
      </c>
      <c r="E6" s="1" t="s">
        <v>1</v>
      </c>
      <c r="F6" s="2"/>
      <c r="G6" s="307" t="s">
        <v>63</v>
      </c>
      <c r="H6" s="1" t="s">
        <v>58</v>
      </c>
      <c r="I6" s="9" t="s">
        <v>59</v>
      </c>
      <c r="J6" s="9" t="s">
        <v>60</v>
      </c>
      <c r="K6" s="307" t="s">
        <v>63</v>
      </c>
    </row>
    <row r="7" spans="2:20">
      <c r="B7" s="309" t="s">
        <v>68</v>
      </c>
      <c r="C7" s="21">
        <f ca="1">_xll.meDateFromTenor(C3,C4,C5,C6)</f>
        <v>43280</v>
      </c>
      <c r="D7" s="307" t="s">
        <v>63</v>
      </c>
      <c r="E7" s="4" t="s">
        <v>2</v>
      </c>
      <c r="F7" s="35" t="str">
        <f>C12</f>
        <v>AU000XCLWAR9 Govt</v>
      </c>
      <c r="G7" s="307" t="s">
        <v>63</v>
      </c>
      <c r="H7" s="11" t="s">
        <v>32</v>
      </c>
      <c r="I7" s="58" t="s">
        <v>87</v>
      </c>
      <c r="J7" s="58" t="s">
        <v>33</v>
      </c>
      <c r="K7" s="307" t="s">
        <v>63</v>
      </c>
    </row>
    <row r="8" spans="2:20">
      <c r="D8" s="307" t="s">
        <v>63</v>
      </c>
      <c r="E8" s="5" t="s">
        <v>3</v>
      </c>
      <c r="F8" s="36" t="s">
        <v>4</v>
      </c>
      <c r="G8" s="307" t="s">
        <v>63</v>
      </c>
      <c r="H8" s="308" t="s">
        <v>34</v>
      </c>
      <c r="I8" s="47">
        <f>F16</f>
        <v>1000000</v>
      </c>
      <c r="J8" s="47">
        <f>F16</f>
        <v>1000000</v>
      </c>
      <c r="K8" s="307" t="s">
        <v>63</v>
      </c>
    </row>
    <row r="9" spans="2:20">
      <c r="B9" s="1" t="s">
        <v>389</v>
      </c>
      <c r="D9" s="307" t="s">
        <v>63</v>
      </c>
      <c r="E9" s="5" t="s">
        <v>5</v>
      </c>
      <c r="F9" s="39" t="s">
        <v>113</v>
      </c>
      <c r="G9" s="307" t="s">
        <v>63</v>
      </c>
      <c r="H9" s="308" t="s">
        <v>13</v>
      </c>
      <c r="I9" s="48" t="s">
        <v>121</v>
      </c>
      <c r="J9" s="48" t="str">
        <f>I9</f>
        <v>NONE</v>
      </c>
      <c r="K9" s="307" t="s">
        <v>63</v>
      </c>
    </row>
    <row r="10" spans="2:20">
      <c r="B10" s="4" t="s">
        <v>390</v>
      </c>
      <c r="C10" s="294" t="s">
        <v>163</v>
      </c>
      <c r="D10" s="307" t="s">
        <v>63</v>
      </c>
      <c r="E10" s="5" t="s">
        <v>6</v>
      </c>
      <c r="F10" s="46" t="str">
        <f>LEFT(C12,12)</f>
        <v>AU000XCLWAR9</v>
      </c>
      <c r="G10" s="307" t="s">
        <v>63</v>
      </c>
      <c r="H10" s="308" t="s">
        <v>11</v>
      </c>
      <c r="I10" s="48" t="s">
        <v>35</v>
      </c>
      <c r="J10" s="48" t="s">
        <v>12</v>
      </c>
      <c r="K10" s="307" t="s">
        <v>63</v>
      </c>
      <c r="N10" s="23" t="s">
        <v>86</v>
      </c>
    </row>
    <row r="11" spans="2:20">
      <c r="B11" s="5" t="s">
        <v>391</v>
      </c>
      <c r="C11" s="295" t="s">
        <v>392</v>
      </c>
      <c r="D11" s="307" t="s">
        <v>63</v>
      </c>
      <c r="E11" s="5" t="s">
        <v>7</v>
      </c>
      <c r="F11" s="36" t="s">
        <v>8</v>
      </c>
      <c r="G11" s="307" t="s">
        <v>63</v>
      </c>
      <c r="H11" s="308" t="s">
        <v>36</v>
      </c>
      <c r="I11" s="53"/>
      <c r="J11" s="56" t="str">
        <f>IF(J23="QUARTERLY","AUD3ML","AUD6ML")</f>
        <v>AUD3ML</v>
      </c>
      <c r="K11" s="307" t="s">
        <v>63</v>
      </c>
      <c r="N11" s="79" t="str">
        <f>IF(J23="QUARTERLY",R40,R41)</f>
        <v>ADBB3M CMPN Curncy</v>
      </c>
    </row>
    <row r="12" spans="2:20">
      <c r="B12" s="5" t="s">
        <v>393</v>
      </c>
      <c r="C12" s="296" t="s">
        <v>394</v>
      </c>
      <c r="D12" s="307" t="s">
        <v>63</v>
      </c>
      <c r="E12" s="5" t="s">
        <v>9</v>
      </c>
      <c r="F12" s="46" t="b">
        <f>$C$15="CLEAN"</f>
        <v>1</v>
      </c>
      <c r="G12" s="307" t="s">
        <v>63</v>
      </c>
      <c r="H12" s="308" t="s">
        <v>37</v>
      </c>
      <c r="I12" s="48" t="s">
        <v>114</v>
      </c>
      <c r="J12" s="48" t="s">
        <v>114</v>
      </c>
      <c r="K12" s="307" t="s">
        <v>63</v>
      </c>
      <c r="N12" s="3" t="s">
        <v>129</v>
      </c>
    </row>
    <row r="13" spans="2:20">
      <c r="B13" s="5" t="s">
        <v>395</v>
      </c>
      <c r="C13" s="408">
        <f>IF($C$14="",_xll.BDP($C$12,"YAS_BOND_YLD"),$C$14)</f>
        <v>2.6230329999999999</v>
      </c>
      <c r="D13" s="307" t="s">
        <v>63</v>
      </c>
      <c r="E13" s="5" t="s">
        <v>10</v>
      </c>
      <c r="F13" s="38" t="s">
        <v>581</v>
      </c>
      <c r="G13" s="307" t="s">
        <v>63</v>
      </c>
      <c r="H13" s="308" t="s">
        <v>5</v>
      </c>
      <c r="I13" s="48" t="s">
        <v>113</v>
      </c>
      <c r="J13" s="48" t="s">
        <v>113</v>
      </c>
      <c r="K13" s="307" t="s">
        <v>63</v>
      </c>
      <c r="N13" s="3" t="s">
        <v>55</v>
      </c>
    </row>
    <row r="14" spans="2:20">
      <c r="B14" s="5" t="s">
        <v>396</v>
      </c>
      <c r="C14" s="410"/>
      <c r="D14" s="307" t="s">
        <v>63</v>
      </c>
      <c r="E14" s="5" t="s">
        <v>11</v>
      </c>
      <c r="F14" s="39" t="s">
        <v>12</v>
      </c>
      <c r="G14" s="307" t="s">
        <v>63</v>
      </c>
      <c r="H14" s="308" t="s">
        <v>38</v>
      </c>
      <c r="I14" s="49">
        <v>1</v>
      </c>
      <c r="J14" s="49">
        <v>1</v>
      </c>
      <c r="K14" s="307" t="s">
        <v>63</v>
      </c>
      <c r="L14" s="23" t="s">
        <v>137</v>
      </c>
      <c r="N14" s="16">
        <f ca="1">_xll.meDateFromTenor(J21,"-"&amp;N13,"MOD_FOLLOWING","LNB:SYB")</f>
        <v>43278</v>
      </c>
    </row>
    <row r="15" spans="2:20">
      <c r="B15" s="5" t="s">
        <v>569</v>
      </c>
      <c r="C15" s="81" t="s">
        <v>570</v>
      </c>
      <c r="D15" s="307" t="s">
        <v>63</v>
      </c>
      <c r="E15" s="5" t="s">
        <v>13</v>
      </c>
      <c r="F15" s="40" t="s">
        <v>14</v>
      </c>
      <c r="G15" s="307" t="s">
        <v>63</v>
      </c>
      <c r="H15" s="308" t="s">
        <v>39</v>
      </c>
      <c r="I15" s="57">
        <f>F22</f>
        <v>2.2499999999999999E-2</v>
      </c>
      <c r="J15" s="50"/>
      <c r="K15" s="307" t="s">
        <v>63</v>
      </c>
      <c r="L15" s="59">
        <f ca="1">IF(COUNT(N15)=1,N15%,"WAIT: BBG Data Loading")</f>
        <v>2.1152999999999998E-2</v>
      </c>
      <c r="N15" s="88">
        <f ca="1">_xll.BDH(N11,N12,N14,N14)</f>
        <v>2.1153</v>
      </c>
    </row>
    <row r="16" spans="2:20">
      <c r="B16" s="5" t="s">
        <v>201</v>
      </c>
      <c r="C16" s="81" t="s">
        <v>321</v>
      </c>
      <c r="D16" s="307" t="s">
        <v>63</v>
      </c>
      <c r="E16" s="5" t="s">
        <v>15</v>
      </c>
      <c r="F16" s="297">
        <v>1000000</v>
      </c>
      <c r="G16" s="307" t="s">
        <v>63</v>
      </c>
      <c r="H16" s="308" t="s">
        <v>40</v>
      </c>
      <c r="I16" s="48"/>
      <c r="J16" s="48" t="s">
        <v>89</v>
      </c>
      <c r="K16" s="307" t="s">
        <v>63</v>
      </c>
    </row>
    <row r="17" spans="2:15">
      <c r="B17" s="5" t="s">
        <v>568</v>
      </c>
      <c r="C17" s="81" t="s">
        <v>29</v>
      </c>
      <c r="D17" s="307" t="s">
        <v>63</v>
      </c>
      <c r="E17" s="5" t="s">
        <v>82</v>
      </c>
      <c r="F17" s="311">
        <f>VALUE(_xll.BDP($C$12,"ISSUE_DT"))</f>
        <v>42509</v>
      </c>
      <c r="G17" s="307" t="s">
        <v>63</v>
      </c>
      <c r="H17" s="308" t="s">
        <v>41</v>
      </c>
      <c r="I17" s="48"/>
      <c r="J17" s="48" t="s">
        <v>89</v>
      </c>
      <c r="K17" s="307" t="s">
        <v>63</v>
      </c>
      <c r="L17" s="23" t="s">
        <v>107</v>
      </c>
    </row>
    <row r="18" spans="2:15">
      <c r="B18" s="5" t="s">
        <v>387</v>
      </c>
      <c r="C18" s="409" t="s">
        <v>46</v>
      </c>
      <c r="D18" s="307" t="s">
        <v>63</v>
      </c>
      <c r="E18" s="5" t="s">
        <v>83</v>
      </c>
      <c r="F18" s="311">
        <f>VALUE(_xll.BDP($C$12,"START_ACC_DT"))</f>
        <v>42329</v>
      </c>
      <c r="G18" s="307" t="s">
        <v>63</v>
      </c>
      <c r="H18" s="308" t="s">
        <v>42</v>
      </c>
      <c r="I18" s="51"/>
      <c r="J18" s="68" t="str">
        <f>IF(ISBLANK($L$18),"",$L$18)</f>
        <v/>
      </c>
      <c r="K18" s="307" t="s">
        <v>63</v>
      </c>
      <c r="L18" s="82"/>
      <c r="O18" s="307" t="s">
        <v>63</v>
      </c>
    </row>
    <row r="19" spans="2:15">
      <c r="B19" s="5" t="s">
        <v>388</v>
      </c>
      <c r="C19" s="409" t="s">
        <v>46</v>
      </c>
      <c r="D19" s="307" t="s">
        <v>63</v>
      </c>
      <c r="E19" s="6" t="s">
        <v>16</v>
      </c>
      <c r="F19" s="311">
        <f>VALUE(_xll.BDP($C$12,"FIRST_CPN_DT"))</f>
        <v>42511</v>
      </c>
      <c r="G19" s="307" t="s">
        <v>63</v>
      </c>
      <c r="H19" s="308" t="s">
        <v>43</v>
      </c>
      <c r="I19" s="51"/>
      <c r="J19" s="51"/>
      <c r="K19" s="307" t="s">
        <v>63</v>
      </c>
      <c r="L19" s="413"/>
      <c r="N19" s="25"/>
    </row>
    <row r="20" spans="2:15">
      <c r="B20" s="7" t="s">
        <v>571</v>
      </c>
      <c r="C20" s="411" t="b">
        <v>0</v>
      </c>
      <c r="D20" s="307" t="s">
        <v>63</v>
      </c>
      <c r="E20" s="6" t="s">
        <v>17</v>
      </c>
      <c r="F20" s="311">
        <f>VALUE(_xll.BDP($C$12,"PENULTIMATE_CPN_DT"))</f>
        <v>46712</v>
      </c>
      <c r="G20" s="307" t="s">
        <v>63</v>
      </c>
      <c r="H20" s="308" t="s">
        <v>44</v>
      </c>
      <c r="I20" s="49"/>
      <c r="J20" s="52"/>
      <c r="K20" s="307" t="s">
        <v>63</v>
      </c>
      <c r="L20" s="23" t="s">
        <v>108</v>
      </c>
      <c r="N20" s="1" t="s">
        <v>110</v>
      </c>
    </row>
    <row r="21" spans="2:15">
      <c r="D21" s="307" t="s">
        <v>63</v>
      </c>
      <c r="E21" s="5" t="s">
        <v>18</v>
      </c>
      <c r="F21" s="311">
        <f>VALUE(_xll.BDP($C$12,"MATURITY"))</f>
        <v>46894</v>
      </c>
      <c r="G21" s="307" t="s">
        <v>63</v>
      </c>
      <c r="H21" s="308" t="s">
        <v>45</v>
      </c>
      <c r="I21" s="311">
        <f>F34</f>
        <v>43241</v>
      </c>
      <c r="J21" s="311">
        <f ca="1">IF($C$20,$I$21,$C$7)</f>
        <v>43280</v>
      </c>
      <c r="K21" s="307" t="s">
        <v>63</v>
      </c>
      <c r="L21" s="59">
        <f ca="1">IF($O$21&lt;$C$3,"RESET REQUIRED",IF(AND(COUNT($P$37:$P$42)=6,'AUD CURVE'!$D$99),_xll.meProductSwapStubRate($O$37:$O$42,$N$37:$N$42,$P$37:$P$42,$N$21:$O$33),"WAIT: BBG Data Loading"))</f>
        <v>2.0454545454545454E-2</v>
      </c>
      <c r="N21" s="11" t="s">
        <v>45</v>
      </c>
      <c r="O21" s="27">
        <f ca="1">$J$21</f>
        <v>43280</v>
      </c>
    </row>
    <row r="22" spans="2:15">
      <c r="B22" s="1" t="s">
        <v>67</v>
      </c>
      <c r="D22" s="307" t="s">
        <v>63</v>
      </c>
      <c r="E22" s="5" t="s">
        <v>19</v>
      </c>
      <c r="F22" s="69">
        <f>_xll.BDP($C$12,"CPN")/100</f>
        <v>2.2499999999999999E-2</v>
      </c>
      <c r="G22" s="307" t="s">
        <v>63</v>
      </c>
      <c r="H22" s="308" t="s">
        <v>18</v>
      </c>
      <c r="I22" s="30">
        <f>F21</f>
        <v>46894</v>
      </c>
      <c r="J22" s="30">
        <f>I22</f>
        <v>46894</v>
      </c>
      <c r="K22" s="307" t="s">
        <v>63</v>
      </c>
      <c r="N22" s="308" t="s">
        <v>18</v>
      </c>
      <c r="O22" s="16">
        <f>$J$22</f>
        <v>46894</v>
      </c>
    </row>
    <row r="23" spans="2:15">
      <c r="B23" s="4" t="s">
        <v>0</v>
      </c>
      <c r="C23" s="415">
        <f>IF(ISNUMBER($C$13),$C$13%,"#WAIT Loading BB Data")</f>
        <v>2.623033E-2</v>
      </c>
      <c r="D23" s="307" t="s">
        <v>63</v>
      </c>
      <c r="E23" s="5" t="s">
        <v>20</v>
      </c>
      <c r="F23" s="56" t="str">
        <f>$C$16</f>
        <v>SEMI-ANNUAL</v>
      </c>
      <c r="G23" s="307" t="s">
        <v>63</v>
      </c>
      <c r="H23" s="308" t="s">
        <v>385</v>
      </c>
      <c r="I23" s="56" t="str">
        <f>$C$16</f>
        <v>SEMI-ANNUAL</v>
      </c>
      <c r="J23" s="56" t="str">
        <f>$C$18</f>
        <v>QUARTERLY</v>
      </c>
      <c r="K23" s="307" t="s">
        <v>63</v>
      </c>
      <c r="N23" s="308" t="s">
        <v>84</v>
      </c>
      <c r="O23" s="28" t="str">
        <f>$C$41</f>
        <v>AUDYC</v>
      </c>
    </row>
    <row r="24" spans="2:15">
      <c r="B24" s="5" t="s">
        <v>79</v>
      </c>
      <c r="C24" s="414">
        <f ca="1">IF(ISNUMBER($C$13),_xll.meLWOBondPrice($F$4,$C$7,$C$23),"#WAIT Loading BB Data")</f>
        <v>96.766999999999996</v>
      </c>
      <c r="D24" s="307" t="s">
        <v>63</v>
      </c>
      <c r="E24" s="5" t="s">
        <v>21</v>
      </c>
      <c r="F24" s="41" t="s">
        <v>22</v>
      </c>
      <c r="G24" s="307" t="s">
        <v>63</v>
      </c>
      <c r="H24" s="308" t="s">
        <v>386</v>
      </c>
      <c r="I24" s="56" t="str">
        <f>$C$16</f>
        <v>SEMI-ANNUAL</v>
      </c>
      <c r="J24" s="56" t="str">
        <f>$C$19</f>
        <v>QUARTERLY</v>
      </c>
      <c r="K24" s="307" t="s">
        <v>63</v>
      </c>
      <c r="N24" s="308" t="s">
        <v>97</v>
      </c>
      <c r="O24" s="28" t="str">
        <f>$J$16</f>
        <v>NATURAL</v>
      </c>
    </row>
    <row r="25" spans="2:15">
      <c r="B25" s="5" t="s">
        <v>75</v>
      </c>
      <c r="C25" s="18">
        <f ca="1">IF(ISNUMBER($C$13),_xll.meLWOBondCleanPrice($F$4,$C$7,$C$23),"#WAIT Loading BB Data")</f>
        <v>96.766999999999996</v>
      </c>
      <c r="D25" s="307" t="s">
        <v>63</v>
      </c>
      <c r="E25" s="5" t="s">
        <v>23</v>
      </c>
      <c r="F25" s="39" t="s">
        <v>112</v>
      </c>
      <c r="G25" s="307" t="s">
        <v>63</v>
      </c>
      <c r="H25" s="308" t="s">
        <v>47</v>
      </c>
      <c r="I25" s="80" t="str">
        <f>F29</f>
        <v>ACT/ACT</v>
      </c>
      <c r="J25" s="39" t="s">
        <v>120</v>
      </c>
      <c r="K25" s="307" t="s">
        <v>63</v>
      </c>
      <c r="N25" s="308" t="s">
        <v>98</v>
      </c>
      <c r="O25" s="28" t="str">
        <f>$J$23</f>
        <v>QUARTERLY</v>
      </c>
    </row>
    <row r="26" spans="2:15">
      <c r="B26" s="5" t="s">
        <v>76</v>
      </c>
      <c r="C26" s="18">
        <f ca="1">IF(ISNUMBER($C$13),_xll.meLWOBondDirtyPrice($F$4,$C$7,$C$23),"#WAIT Loading BB Data")</f>
        <v>97.004999999999995</v>
      </c>
      <c r="D26" s="307" t="s">
        <v>63</v>
      </c>
      <c r="E26" s="5" t="s">
        <v>24</v>
      </c>
      <c r="F26" s="39" t="s">
        <v>22</v>
      </c>
      <c r="G26" s="307" t="s">
        <v>63</v>
      </c>
      <c r="H26" s="308" t="s">
        <v>48</v>
      </c>
      <c r="I26" s="54"/>
      <c r="J26" s="39" t="s">
        <v>580</v>
      </c>
      <c r="K26" s="307" t="s">
        <v>63</v>
      </c>
      <c r="N26" s="308" t="s">
        <v>99</v>
      </c>
      <c r="O26" s="28" t="str">
        <f>$J$25</f>
        <v>ACT/365</v>
      </c>
    </row>
    <row r="27" spans="2:15">
      <c r="B27" s="5" t="s">
        <v>77</v>
      </c>
      <c r="C27" s="10">
        <f ca="1">_xll.meLWOBondAccruedInterestDays($F$4,$C$7)</f>
        <v>39</v>
      </c>
      <c r="D27" s="307" t="s">
        <v>63</v>
      </c>
      <c r="E27" s="5" t="s">
        <v>25</v>
      </c>
      <c r="F27" s="39" t="s">
        <v>112</v>
      </c>
      <c r="G27" s="307" t="s">
        <v>63</v>
      </c>
      <c r="H27" s="308" t="s">
        <v>50</v>
      </c>
      <c r="I27" s="39"/>
      <c r="J27" s="39" t="s">
        <v>579</v>
      </c>
      <c r="K27" s="307" t="s">
        <v>63</v>
      </c>
      <c r="N27" s="308" t="s">
        <v>100</v>
      </c>
      <c r="O27" s="28" t="str">
        <f>$J$26</f>
        <v>PRECEDING</v>
      </c>
    </row>
    <row r="28" spans="2:15">
      <c r="B28" s="5" t="s">
        <v>78</v>
      </c>
      <c r="C28" s="8">
        <f ca="1">_xll.meLWOBondAccruedInterest($F$4,$C$7)</f>
        <v>2380</v>
      </c>
      <c r="D28" s="307" t="s">
        <v>63</v>
      </c>
      <c r="E28" s="5" t="s">
        <v>26</v>
      </c>
      <c r="F28" s="37" t="s">
        <v>27</v>
      </c>
      <c r="G28" s="307" t="s">
        <v>63</v>
      </c>
      <c r="H28" s="308" t="s">
        <v>21</v>
      </c>
      <c r="I28" s="54" t="s">
        <v>22</v>
      </c>
      <c r="J28" s="39" t="s">
        <v>22</v>
      </c>
      <c r="K28" s="307" t="s">
        <v>63</v>
      </c>
      <c r="N28" s="308" t="s">
        <v>101</v>
      </c>
      <c r="O28" s="28" t="str">
        <f>$J$27</f>
        <v>LNB:SYB</v>
      </c>
    </row>
    <row r="29" spans="2:15">
      <c r="B29" s="5" t="s">
        <v>81</v>
      </c>
      <c r="C29" s="20">
        <f ca="1">IF(ISNUMBER($C$13),_xll.meLWOBondModifiedDuration($F$4,$C$7,$C$23),"#WAIT Loading BB Data")</f>
        <v>8.7687540973771601</v>
      </c>
      <c r="D29" s="307" t="s">
        <v>63</v>
      </c>
      <c r="E29" s="5" t="s">
        <v>28</v>
      </c>
      <c r="F29" s="80" t="str">
        <f>$C$17</f>
        <v>ACT/ACT</v>
      </c>
      <c r="G29" s="307" t="s">
        <v>63</v>
      </c>
      <c r="H29" s="308" t="s">
        <v>23</v>
      </c>
      <c r="I29" s="39" t="s">
        <v>112</v>
      </c>
      <c r="J29" s="39" t="s">
        <v>112</v>
      </c>
      <c r="K29" s="307" t="s">
        <v>63</v>
      </c>
      <c r="L29" s="67"/>
      <c r="N29" s="308" t="s">
        <v>102</v>
      </c>
      <c r="O29" s="28"/>
    </row>
    <row r="30" spans="2:15">
      <c r="B30" s="7" t="s">
        <v>80</v>
      </c>
      <c r="C30" s="19">
        <f ca="1">IF(ISNUMBER($C$13),_xll.meLWOBondDV01($F$4,$C$7,$C$23),"#WAIT Loading BB Data")</f>
        <v>850.61299121607135</v>
      </c>
      <c r="D30" s="307" t="s">
        <v>63</v>
      </c>
      <c r="E30" s="5" t="s">
        <v>30</v>
      </c>
      <c r="F30" s="42"/>
      <c r="G30" s="307" t="s">
        <v>63</v>
      </c>
      <c r="H30" s="308" t="s">
        <v>24</v>
      </c>
      <c r="I30" s="54" t="s">
        <v>22</v>
      </c>
      <c r="J30" s="39" t="s">
        <v>22</v>
      </c>
      <c r="K30" s="307" t="s">
        <v>63</v>
      </c>
      <c r="N30" s="308" t="s">
        <v>103</v>
      </c>
      <c r="O30" s="28" t="str">
        <f>$J$35</f>
        <v>0D</v>
      </c>
    </row>
    <row r="31" spans="2:15">
      <c r="D31" s="307" t="s">
        <v>63</v>
      </c>
      <c r="E31" s="5" t="s">
        <v>31</v>
      </c>
      <c r="F31" s="43" t="str">
        <f>"TYPE"&amp;_xll.BDP($C$12,"CALC_TYP")</f>
        <v>TYPE23</v>
      </c>
      <c r="G31" s="307" t="s">
        <v>63</v>
      </c>
      <c r="H31" s="308" t="s">
        <v>25</v>
      </c>
      <c r="I31" s="39" t="s">
        <v>112</v>
      </c>
      <c r="J31" s="39" t="s">
        <v>112</v>
      </c>
      <c r="K31" s="307" t="s">
        <v>63</v>
      </c>
      <c r="N31" s="308" t="s">
        <v>104</v>
      </c>
      <c r="O31" s="16" t="str">
        <f>IF(ISBLANK($J$33),"",$J$33)</f>
        <v/>
      </c>
    </row>
    <row r="32" spans="2:15">
      <c r="B32" s="1" t="s">
        <v>397</v>
      </c>
      <c r="D32" s="307" t="s">
        <v>63</v>
      </c>
      <c r="E32" s="5" t="s">
        <v>573</v>
      </c>
      <c r="F32" s="417" t="s">
        <v>575</v>
      </c>
      <c r="G32" s="307" t="s">
        <v>63</v>
      </c>
      <c r="H32" s="308" t="s">
        <v>51</v>
      </c>
      <c r="I32" s="55">
        <f>F35</f>
        <v>43425</v>
      </c>
      <c r="J32" s="33"/>
      <c r="K32" s="307" t="s">
        <v>63</v>
      </c>
      <c r="N32" s="308" t="s">
        <v>105</v>
      </c>
      <c r="O32" s="16" t="str">
        <f>IF(ISBLANK($J$34),"",$J$34)</f>
        <v/>
      </c>
    </row>
    <row r="33" spans="2:19">
      <c r="B33" s="4" t="s">
        <v>398</v>
      </c>
      <c r="C33" s="298" t="str">
        <f ca="1">$F$4</f>
        <v>AU000XCLWAR9@11:31</v>
      </c>
      <c r="D33" s="307" t="s">
        <v>63</v>
      </c>
      <c r="E33" s="5" t="s">
        <v>574</v>
      </c>
      <c r="F33" s="417" t="s">
        <v>22</v>
      </c>
      <c r="G33" s="307" t="s">
        <v>63</v>
      </c>
      <c r="H33" s="308" t="s">
        <v>52</v>
      </c>
      <c r="I33" s="55">
        <f>F20</f>
        <v>46712</v>
      </c>
      <c r="J33" s="39"/>
      <c r="K33" s="307" t="s">
        <v>63</v>
      </c>
      <c r="N33" s="309" t="s">
        <v>106</v>
      </c>
      <c r="O33" s="29" t="str">
        <f>$J$38</f>
        <v>SHORTSTART</v>
      </c>
    </row>
    <row r="34" spans="2:19">
      <c r="B34" s="5" t="s">
        <v>68</v>
      </c>
      <c r="C34" s="30">
        <f ca="1">$C$7</f>
        <v>43280</v>
      </c>
      <c r="D34" s="307" t="s">
        <v>63</v>
      </c>
      <c r="E34" s="308" t="s">
        <v>401</v>
      </c>
      <c r="F34" s="43">
        <f>VALUE(_xll.BDP($C$12,"PREV_CPN_DT"))</f>
        <v>43241</v>
      </c>
      <c r="G34" s="307" t="s">
        <v>63</v>
      </c>
      <c r="H34" s="308" t="s">
        <v>53</v>
      </c>
      <c r="I34" s="42" t="str">
        <f>IF(F30="","",F30)</f>
        <v/>
      </c>
      <c r="J34" s="42"/>
      <c r="K34" s="307" t="s">
        <v>63</v>
      </c>
    </row>
    <row r="35" spans="2:19">
      <c r="B35" s="5" t="s">
        <v>399</v>
      </c>
      <c r="C35" s="299">
        <f ca="1">$C$24</f>
        <v>96.766999999999996</v>
      </c>
      <c r="D35" s="307" t="s">
        <v>63</v>
      </c>
      <c r="E35" s="308" t="s">
        <v>402</v>
      </c>
      <c r="F35" s="43">
        <f>VALUE(_xll.BDP($C$12,"NXT_CPN_DT"))</f>
        <v>43425</v>
      </c>
      <c r="G35" s="307" t="s">
        <v>63</v>
      </c>
      <c r="H35" s="308" t="s">
        <v>54</v>
      </c>
      <c r="I35" s="39"/>
      <c r="J35" s="39" t="s">
        <v>27</v>
      </c>
      <c r="K35" s="307" t="s">
        <v>63</v>
      </c>
      <c r="N35" s="1" t="s">
        <v>109</v>
      </c>
      <c r="R35" s="1" t="s">
        <v>132</v>
      </c>
    </row>
    <row r="36" spans="2:19">
      <c r="B36" s="5" t="s">
        <v>84</v>
      </c>
      <c r="C36" s="299" t="str">
        <f>$C$41</f>
        <v>AUDYC</v>
      </c>
      <c r="D36" s="307" t="s">
        <v>63</v>
      </c>
      <c r="E36" s="308"/>
      <c r="F36" s="39"/>
      <c r="G36" s="307" t="s">
        <v>63</v>
      </c>
      <c r="H36" s="308" t="s">
        <v>56</v>
      </c>
      <c r="I36" s="39"/>
      <c r="J36" s="39"/>
      <c r="K36" s="307" t="s">
        <v>63</v>
      </c>
      <c r="N36" s="26" t="s">
        <v>90</v>
      </c>
      <c r="O36" s="26" t="s">
        <v>91</v>
      </c>
      <c r="P36" s="26" t="s">
        <v>85</v>
      </c>
      <c r="R36" s="60" t="s">
        <v>130</v>
      </c>
      <c r="S36" s="60" t="s">
        <v>131</v>
      </c>
    </row>
    <row r="37" spans="2:19">
      <c r="B37" s="5" t="s">
        <v>36</v>
      </c>
      <c r="C37" s="299" t="str">
        <f>$J$11</f>
        <v>AUD3ML</v>
      </c>
      <c r="D37" s="307" t="s">
        <v>63</v>
      </c>
      <c r="E37" s="308"/>
      <c r="F37" s="39"/>
      <c r="G37" s="307" t="s">
        <v>63</v>
      </c>
      <c r="H37" s="308" t="s">
        <v>26</v>
      </c>
      <c r="I37" s="39" t="s">
        <v>27</v>
      </c>
      <c r="J37" s="39" t="s">
        <v>27</v>
      </c>
      <c r="K37" s="307" t="s">
        <v>63</v>
      </c>
      <c r="N37" s="70" t="s">
        <v>69</v>
      </c>
      <c r="O37" s="71" t="s">
        <v>114</v>
      </c>
      <c r="P37" s="72">
        <f>_xll.BDP(R37,S37)%</f>
        <v>1.4999999999999999E-2</v>
      </c>
      <c r="R37" s="302" t="s">
        <v>122</v>
      </c>
      <c r="S37" s="303" t="s">
        <v>128</v>
      </c>
    </row>
    <row r="38" spans="2:19">
      <c r="B38" s="7" t="s">
        <v>400</v>
      </c>
      <c r="C38" s="300">
        <f ca="1">IF(ISNUMBER($C$13),_xll.meLWOBondZSpread(C33,C34,C35,C36,C37),"#WAIT Loading BB Data")</f>
        <v>-5.779930970863953</v>
      </c>
      <c r="D38" s="307" t="s">
        <v>63</v>
      </c>
      <c r="E38" s="308"/>
      <c r="F38" s="39"/>
      <c r="G38" s="307" t="s">
        <v>63</v>
      </c>
      <c r="H38" s="308" t="s">
        <v>57</v>
      </c>
      <c r="I38" s="39"/>
      <c r="J38" s="39" t="s">
        <v>61</v>
      </c>
      <c r="K38" s="307" t="s">
        <v>63</v>
      </c>
      <c r="N38" s="73" t="s">
        <v>92</v>
      </c>
      <c r="O38" s="74" t="s">
        <v>116</v>
      </c>
      <c r="P38" s="75">
        <f>_xll.BDP(R38,S38)%</f>
        <v>0.02</v>
      </c>
      <c r="R38" s="304" t="s">
        <v>123</v>
      </c>
      <c r="S38" s="139" t="s">
        <v>129</v>
      </c>
    </row>
    <row r="39" spans="2:19">
      <c r="D39" s="307" t="s">
        <v>63</v>
      </c>
      <c r="E39" s="308"/>
      <c r="F39" s="39"/>
      <c r="G39" s="307" t="s">
        <v>63</v>
      </c>
      <c r="H39" s="308" t="s">
        <v>31</v>
      </c>
      <c r="I39" s="311" t="str">
        <f>F31</f>
        <v>TYPE23</v>
      </c>
      <c r="J39" s="37"/>
      <c r="K39" s="307" t="s">
        <v>63</v>
      </c>
      <c r="N39" s="73" t="s">
        <v>93</v>
      </c>
      <c r="O39" s="74" t="s">
        <v>117</v>
      </c>
      <c r="P39" s="75">
        <f>_xll.BDP(R39,S39)%</f>
        <v>2.06E-2</v>
      </c>
      <c r="R39" s="304" t="s">
        <v>124</v>
      </c>
      <c r="S39" s="139" t="s">
        <v>129</v>
      </c>
    </row>
    <row r="40" spans="2:19">
      <c r="B40" s="1" t="s">
        <v>403</v>
      </c>
      <c r="D40" s="307" t="s">
        <v>63</v>
      </c>
      <c r="E40" s="308"/>
      <c r="F40" s="39"/>
      <c r="G40" s="307" t="s">
        <v>63</v>
      </c>
      <c r="H40" s="5" t="s">
        <v>573</v>
      </c>
      <c r="I40" s="417" t="str">
        <f>F32</f>
        <v>7D</v>
      </c>
      <c r="J40" s="159"/>
      <c r="K40" s="307" t="s">
        <v>63</v>
      </c>
      <c r="N40" s="73" t="s">
        <v>94</v>
      </c>
      <c r="O40" s="74" t="s">
        <v>115</v>
      </c>
      <c r="P40" s="75">
        <f>_xll.BDP(R40,S40)%</f>
        <v>2.1152999999999998E-2</v>
      </c>
      <c r="R40" s="304" t="s">
        <v>125</v>
      </c>
      <c r="S40" s="139" t="s">
        <v>129</v>
      </c>
    </row>
    <row r="41" spans="2:19">
      <c r="B41" s="419" t="s">
        <v>84</v>
      </c>
      <c r="C41" s="301" t="s">
        <v>111</v>
      </c>
      <c r="D41" s="307" t="s">
        <v>63</v>
      </c>
      <c r="E41" s="308"/>
      <c r="F41" s="39"/>
      <c r="G41" s="307" t="s">
        <v>63</v>
      </c>
      <c r="H41" s="5" t="s">
        <v>574</v>
      </c>
      <c r="I41" s="417" t="str">
        <f>F33</f>
        <v>NO_CHANGE</v>
      </c>
      <c r="J41" s="159"/>
      <c r="K41" s="307" t="s">
        <v>63</v>
      </c>
      <c r="N41" s="73" t="s">
        <v>95</v>
      </c>
      <c r="O41" s="74" t="s">
        <v>118</v>
      </c>
      <c r="P41" s="75">
        <f>_xll.BDP(R41,S41)%</f>
        <v>2.2200000000000001E-2</v>
      </c>
      <c r="R41" s="304" t="s">
        <v>126</v>
      </c>
      <c r="S41" s="139" t="s">
        <v>129</v>
      </c>
    </row>
    <row r="42" spans="2:19">
      <c r="B42" s="416" t="s">
        <v>72</v>
      </c>
      <c r="C42" s="428">
        <f ca="1">C7</f>
        <v>43280</v>
      </c>
      <c r="D42" s="307" t="s">
        <v>63</v>
      </c>
      <c r="E42" s="308"/>
      <c r="F42" s="39"/>
      <c r="G42" s="307" t="s">
        <v>63</v>
      </c>
      <c r="H42" s="308"/>
      <c r="I42" s="39"/>
      <c r="J42" s="39"/>
      <c r="K42" s="307" t="s">
        <v>63</v>
      </c>
      <c r="N42" s="76" t="s">
        <v>96</v>
      </c>
      <c r="O42" s="77" t="s">
        <v>119</v>
      </c>
      <c r="P42" s="78">
        <f>_xll.BDP(R42,S42)%</f>
        <v>2.2099999999999998E-2</v>
      </c>
      <c r="R42" s="305" t="s">
        <v>127</v>
      </c>
      <c r="S42" s="306" t="s">
        <v>129</v>
      </c>
    </row>
    <row r="43" spans="2:19">
      <c r="B43" s="420" t="s">
        <v>404</v>
      </c>
      <c r="C43" s="299">
        <f ca="1">IF($C$44,$C$44,_xll.meLWOAssetSwapSpread($I$4,$F$4,$C$24,$B$41:$C$42))</f>
        <v>-6.3247526941102814</v>
      </c>
      <c r="D43" s="307" t="s">
        <v>63</v>
      </c>
      <c r="E43" s="308"/>
      <c r="F43" s="39"/>
      <c r="G43" s="307" t="s">
        <v>63</v>
      </c>
      <c r="H43" s="308"/>
      <c r="I43" s="39"/>
      <c r="J43" s="39"/>
      <c r="K43" s="307" t="s">
        <v>63</v>
      </c>
    </row>
    <row r="44" spans="2:19">
      <c r="B44" s="420" t="s">
        <v>405</v>
      </c>
      <c r="C44" s="111"/>
      <c r="D44" s="307" t="s">
        <v>63</v>
      </c>
      <c r="E44" s="308"/>
      <c r="F44" s="39"/>
      <c r="G44" s="307" t="s">
        <v>63</v>
      </c>
      <c r="H44" s="308"/>
      <c r="I44" s="39"/>
      <c r="J44" s="39"/>
      <c r="K44" s="307" t="s">
        <v>63</v>
      </c>
    </row>
    <row r="45" spans="2:19">
      <c r="B45" s="420" t="s">
        <v>406</v>
      </c>
      <c r="C45" s="299">
        <f ca="1">_xll.meLWOAssetSwapSpreadToCleanPrice(I4,C43,$B$41:$C$42)</f>
        <v>96.76700000000001</v>
      </c>
      <c r="D45" s="307" t="s">
        <v>63</v>
      </c>
      <c r="E45" s="309"/>
      <c r="F45" s="310"/>
      <c r="G45" s="307" t="s">
        <v>63</v>
      </c>
      <c r="H45" s="309"/>
      <c r="I45" s="310"/>
      <c r="J45" s="310"/>
    </row>
    <row r="46" spans="2:19">
      <c r="B46" s="421" t="s">
        <v>407</v>
      </c>
      <c r="C46" s="412">
        <f ca="1">_xll.meLWOBondYield($F$4,$C$7,C45,TRUE)</f>
        <v>2.6230334698964339E-2</v>
      </c>
      <c r="D46" s="307" t="s">
        <v>63</v>
      </c>
    </row>
    <row r="49" spans="3:3">
      <c r="C49" s="22"/>
    </row>
  </sheetData>
  <mergeCells count="2">
    <mergeCell ref="I3:J3"/>
    <mergeCell ref="I4:J4"/>
  </mergeCells>
  <dataValidations count="10">
    <dataValidation type="list" allowBlank="1" showInputMessage="1" showErrorMessage="1" sqref="C16 C18:C19">
      <formula1>"ANNUAL,SEMI-ANNUAL,QUARTERLY,MONTHLY"</formula1>
    </dataValidation>
    <dataValidation type="list" allowBlank="1" showInputMessage="1" showErrorMessage="1" sqref="C17">
      <formula1>"ACT/ACT,ACT/360,ACT/365,ACT/365_ISDA,30/360,N30/360,E30/360"</formula1>
    </dataValidation>
    <dataValidation type="list" allowBlank="1" showInputMessage="1" showErrorMessage="1" sqref="J23:J24">
      <formula1>"QUARTERLY,SEMI-ANNUAL"</formula1>
    </dataValidation>
    <dataValidation type="list" allowBlank="1" showInputMessage="1" showErrorMessage="1" sqref="C20">
      <formula1>"TRUE,FALSE"</formula1>
    </dataValidation>
    <dataValidation type="list" allowBlank="1" showInputMessage="1" showErrorMessage="1" sqref="C11">
      <formula1>"GOVT,CORP"</formula1>
    </dataValidation>
    <dataValidation type="list" allowBlank="1" showInputMessage="1" showErrorMessage="1" sqref="F30 I34:J34">
      <formula1>"EOM,IMM,1,2,3,4,5,6,7,8,9,10,11,12,13,14,15,16,17,18,19,20,21,22,23,24,25,26,27,28,29,30,31"</formula1>
    </dataValidation>
    <dataValidation type="list" allowBlank="1" showInputMessage="1" showErrorMessage="1" sqref="C10">
      <formula1>"MID,BID,ASK"</formula1>
    </dataValidation>
    <dataValidation type="list" allowBlank="1" showInputMessage="1" showErrorMessage="1" sqref="F24">
      <formula1>"None,ShortStart,ShortEnd,LongStart,LongEnd,SS,SE,LS,LE"</formula1>
    </dataValidation>
    <dataValidation type="list" allowBlank="1" showInputMessage="1" showErrorMessage="1" sqref="C15">
      <formula1>"CLEAN,DIRTY"</formula1>
    </dataValidation>
    <dataValidation type="list" allowBlank="1" showInputMessage="1" showErrorMessage="1" sqref="I42:J45 I38:J38">
      <formula1>"SHORTSTART,SHORTEND,LONGSTART,LONGEND"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SETTINGS</vt:lpstr>
      <vt:lpstr>AUD CURVE TICKERS</vt:lpstr>
      <vt:lpstr>AUD CURVE</vt:lpstr>
      <vt:lpstr>AUD REPRICING</vt:lpstr>
      <vt:lpstr>SYNDICATE AUD IRS</vt:lpstr>
      <vt:lpstr>TAP AUD ASW</vt:lpstr>
      <vt:lpstr>Settings.AllowCalibrationUpdates</vt:lpstr>
      <vt:lpstr>Settings.BloombergPCS</vt:lpstr>
      <vt:lpstr>Settings.COB</vt:lpstr>
      <vt:lpstr>Settings.CurveSide.MidBidAsk</vt:lpstr>
      <vt:lpstr>Settings.EnableCurveChart</vt:lpstr>
      <vt:lpstr>Settings.Futures.Convexity.HW1F.Vol</vt:lpstr>
      <vt:lpstr>Settings.isCOBToday</vt:lpstr>
      <vt:lpstr>Settings.SwapCurve.Interpolation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2018-03-15T12:29:59Z</dcterms:created>
  <dcterms:modified xsi:type="dcterms:W3CDTF">2018-06-27T15:21:41Z</dcterms:modified>
</cp:coreProperties>
</file>