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8830" windowHeight="3945"/>
  </bookViews>
  <sheets>
    <sheet name="USD ASW" sheetId="1" r:id="rId1"/>
    <sheet name="BOND CASHFLOWS" sheetId="2" r:id="rId2"/>
    <sheet name="ASW CASHFLOWS" sheetId="3" r:id="rId3"/>
  </sheets>
  <externalReferences>
    <externalReference r:id="rId4"/>
  </externalReferences>
  <definedNames>
    <definedName name="Curve.BuildProperties">#REF!</definedName>
    <definedName name="Curve.CollectionName">#REF!</definedName>
    <definedName name="Curve.MarketDataTable">#REF!</definedName>
    <definedName name="Curve.OISIndexName">#REF!</definedName>
    <definedName name="isCNH3MLLoaded">#REF!</definedName>
    <definedName name="isUSD3MLLoaded">#REF!</definedName>
    <definedName name="isUSDOISLoaded">#REF!</definedName>
    <definedName name="LiborOISBasis.Conventions">#REF!</definedName>
    <definedName name="LiborOISBasis.MarketData">#REF!</definedName>
    <definedName name="LiborSwap.Conventions">#REF!</definedName>
    <definedName name="LiborSwap.MarketData">#REF!</definedName>
    <definedName name="OIS.Conventions">#REF!</definedName>
    <definedName name="OIS.FixingTable">#REF!</definedName>
    <definedName name="OIS.MarketData">#REF!</definedName>
    <definedName name="Settings.COB">[1]Settings!$B$3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C36" i="1" l="1"/>
  <c r="I33" i="1"/>
  <c r="I24" i="1"/>
  <c r="I23" i="1"/>
  <c r="I22" i="1"/>
  <c r="I15" i="1"/>
  <c r="P24" i="1"/>
  <c r="C35" i="1"/>
  <c r="I37" i="1" l="1"/>
  <c r="P34" i="1" l="1"/>
  <c r="P26" i="1"/>
  <c r="P25" i="1"/>
  <c r="P33" i="1"/>
  <c r="P32" i="1"/>
  <c r="P31" i="1"/>
  <c r="P30" i="1"/>
  <c r="P29" i="1"/>
  <c r="P28" i="1"/>
  <c r="P27" i="1"/>
  <c r="I39" i="1" l="1"/>
  <c r="I38" i="1"/>
  <c r="F3" i="1" l="1"/>
  <c r="C12" i="1"/>
  <c r="F30" i="1"/>
  <c r="F27" i="1"/>
  <c r="J22" i="1"/>
  <c r="P23" i="1" s="1"/>
  <c r="C3" i="1"/>
  <c r="C13" i="1"/>
  <c r="C7" i="1"/>
  <c r="F4" i="1"/>
  <c r="C22" i="1"/>
  <c r="C17" i="1"/>
  <c r="C21" i="1"/>
  <c r="C20" i="1"/>
  <c r="C23" i="1"/>
  <c r="C19" i="1"/>
  <c r="C24" i="1"/>
  <c r="C18" i="1"/>
  <c r="C33" i="1" l="1"/>
  <c r="C34" i="1"/>
  <c r="C32" i="1"/>
  <c r="J21" i="1"/>
  <c r="C37" i="1"/>
  <c r="B3" i="2" a="1"/>
  <c r="I21" i="1"/>
  <c r="M11" i="1"/>
  <c r="M7" i="2" l="1"/>
  <c r="E13" i="2"/>
  <c r="I18" i="2"/>
  <c r="M23" i="2"/>
  <c r="E29" i="2"/>
  <c r="I34" i="2"/>
  <c r="M39" i="2"/>
  <c r="F7" i="2"/>
  <c r="J12" i="2"/>
  <c r="B18" i="2"/>
  <c r="F23" i="2"/>
  <c r="J28" i="2"/>
  <c r="B34" i="2"/>
  <c r="F39" i="2"/>
  <c r="K6" i="2"/>
  <c r="C12" i="2"/>
  <c r="G17" i="2"/>
  <c r="K22" i="2"/>
  <c r="C28" i="2"/>
  <c r="G33" i="2"/>
  <c r="K38" i="2"/>
  <c r="J5" i="2"/>
  <c r="B11" i="2"/>
  <c r="F16" i="2"/>
  <c r="J21" i="2"/>
  <c r="B27" i="2"/>
  <c r="G6" i="2"/>
  <c r="K11" i="2"/>
  <c r="C17" i="2"/>
  <c r="G22" i="2"/>
  <c r="K27" i="2"/>
  <c r="C33" i="2"/>
  <c r="G38" i="2"/>
  <c r="D7" i="2"/>
  <c r="H12" i="2"/>
  <c r="L17" i="2"/>
  <c r="D23" i="2"/>
  <c r="H28" i="2"/>
  <c r="L33" i="2"/>
  <c r="D39" i="2"/>
  <c r="I15" i="2"/>
  <c r="E34" i="2"/>
  <c r="I43" i="2"/>
  <c r="M48" i="2"/>
  <c r="E54" i="2"/>
  <c r="I59" i="2"/>
  <c r="M64" i="2"/>
  <c r="E70" i="2"/>
  <c r="I75" i="2"/>
  <c r="M80" i="2"/>
  <c r="E86" i="2"/>
  <c r="L18" i="2"/>
  <c r="E36" i="2"/>
  <c r="F44" i="2"/>
  <c r="J49" i="2"/>
  <c r="B55" i="2"/>
  <c r="F60" i="2"/>
  <c r="J65" i="2"/>
  <c r="B71" i="2"/>
  <c r="F76" i="2"/>
  <c r="I5" i="2"/>
  <c r="M26" i="2"/>
  <c r="B41" i="2"/>
  <c r="G46" i="2"/>
  <c r="K51" i="2"/>
  <c r="C57" i="2"/>
  <c r="G62" i="2"/>
  <c r="K67" i="2"/>
  <c r="C73" i="2"/>
  <c r="G78" i="2"/>
  <c r="D12" i="2"/>
  <c r="J31" i="2"/>
  <c r="J42" i="2"/>
  <c r="B48" i="2"/>
  <c r="F53" i="2"/>
  <c r="J58" i="2"/>
  <c r="I9" i="2"/>
  <c r="E30" i="2"/>
  <c r="C42" i="2"/>
  <c r="G47" i="2"/>
  <c r="K52" i="2"/>
  <c r="E3" i="2"/>
  <c r="I8" i="2"/>
  <c r="M13" i="2"/>
  <c r="E19" i="2"/>
  <c r="I24" i="2"/>
  <c r="M29" i="2"/>
  <c r="E35" i="2"/>
  <c r="I40" i="2"/>
  <c r="B8" i="2"/>
  <c r="F13" i="2"/>
  <c r="J18" i="2"/>
  <c r="B24" i="2"/>
  <c r="F29" i="2"/>
  <c r="J34" i="2"/>
  <c r="B40" i="2"/>
  <c r="G7" i="2"/>
  <c r="K12" i="2"/>
  <c r="C18" i="2"/>
  <c r="G23" i="2"/>
  <c r="K28" i="2"/>
  <c r="C34" i="2"/>
  <c r="G39" i="2"/>
  <c r="F6" i="2"/>
  <c r="J11" i="2"/>
  <c r="B17" i="2"/>
  <c r="F22" i="2"/>
  <c r="J27" i="2"/>
  <c r="C7" i="2"/>
  <c r="G12" i="2"/>
  <c r="K17" i="2"/>
  <c r="C23" i="2"/>
  <c r="G28" i="2"/>
  <c r="K33" i="2"/>
  <c r="C39" i="2"/>
  <c r="L7" i="2"/>
  <c r="D13" i="2"/>
  <c r="H18" i="2"/>
  <c r="L23" i="2"/>
  <c r="D29" i="2"/>
  <c r="H34" i="2"/>
  <c r="L39" i="2"/>
  <c r="E18" i="2"/>
  <c r="D36" i="2"/>
  <c r="E44" i="2"/>
  <c r="I49" i="2"/>
  <c r="M54" i="2"/>
  <c r="E60" i="2"/>
  <c r="I65" i="2"/>
  <c r="M70" i="2"/>
  <c r="E76" i="2"/>
  <c r="I81" i="2"/>
  <c r="M86" i="2"/>
  <c r="H21" i="2"/>
  <c r="D38" i="2"/>
  <c r="B45" i="2"/>
  <c r="F50" i="2"/>
  <c r="J55" i="2"/>
  <c r="B61" i="2"/>
  <c r="F66" i="2"/>
  <c r="J71" i="2"/>
  <c r="B77" i="2"/>
  <c r="E8" i="2"/>
  <c r="H29" i="2"/>
  <c r="K41" i="2"/>
  <c r="C47" i="2"/>
  <c r="G52" i="2"/>
  <c r="K57" i="2"/>
  <c r="C63" i="2"/>
  <c r="G68" i="2"/>
  <c r="K73" i="2"/>
  <c r="C79" i="2"/>
  <c r="L14" i="2"/>
  <c r="I33" i="2"/>
  <c r="F43" i="2"/>
  <c r="J48" i="2"/>
  <c r="B54" i="2"/>
  <c r="F59" i="2"/>
  <c r="E12" i="2"/>
  <c r="D32" i="2"/>
  <c r="K42" i="2"/>
  <c r="C48" i="2"/>
  <c r="I4" i="2"/>
  <c r="M9" i="2"/>
  <c r="E15" i="2"/>
  <c r="I20" i="2"/>
  <c r="M25" i="2"/>
  <c r="E31" i="2"/>
  <c r="I36" i="2"/>
  <c r="B4" i="2"/>
  <c r="F9" i="2"/>
  <c r="J14" i="2"/>
  <c r="B20" i="2"/>
  <c r="F25" i="2"/>
  <c r="J30" i="2"/>
  <c r="B36" i="2"/>
  <c r="G3" i="2"/>
  <c r="K8" i="2"/>
  <c r="C14" i="2"/>
  <c r="G19" i="2"/>
  <c r="K24" i="2"/>
  <c r="C30" i="2"/>
  <c r="G35" i="2"/>
  <c r="I3" i="2"/>
  <c r="J7" i="2"/>
  <c r="B13" i="2"/>
  <c r="F18" i="2"/>
  <c r="J23" i="2"/>
  <c r="C3" i="2"/>
  <c r="G8" i="2"/>
  <c r="K13" i="2"/>
  <c r="C19" i="2"/>
  <c r="G24" i="2"/>
  <c r="K29" i="2"/>
  <c r="C35" i="2"/>
  <c r="L3" i="2"/>
  <c r="D9" i="2"/>
  <c r="H14" i="2"/>
  <c r="L19" i="2"/>
  <c r="D25" i="2"/>
  <c r="H30" i="2"/>
  <c r="L35" i="2"/>
  <c r="D41" i="2"/>
  <c r="I23" i="2"/>
  <c r="I39" i="2"/>
  <c r="I45" i="2"/>
  <c r="M50" i="2"/>
  <c r="E56" i="2"/>
  <c r="I61" i="2"/>
  <c r="M66" i="2"/>
  <c r="E72" i="2"/>
  <c r="I77" i="2"/>
  <c r="M82" i="2"/>
  <c r="H5" i="2"/>
  <c r="L26" i="2"/>
  <c r="M40" i="2"/>
  <c r="F46" i="2"/>
  <c r="J51" i="2"/>
  <c r="B57" i="2"/>
  <c r="F62" i="2"/>
  <c r="J67" i="2"/>
  <c r="B73" i="2"/>
  <c r="F78" i="2"/>
  <c r="I13" i="2"/>
  <c r="M32" i="2"/>
  <c r="C43" i="2"/>
  <c r="G48" i="2"/>
  <c r="K53" i="2"/>
  <c r="C59" i="2"/>
  <c r="G64" i="2"/>
  <c r="K69" i="2"/>
  <c r="C75" i="2"/>
  <c r="G80" i="2"/>
  <c r="D20" i="2"/>
  <c r="B37" i="2"/>
  <c r="J44" i="2"/>
  <c r="B50" i="2"/>
  <c r="F55" i="2"/>
  <c r="J60" i="2"/>
  <c r="I17" i="2"/>
  <c r="I35" i="2"/>
  <c r="C44" i="2"/>
  <c r="G49" i="2"/>
  <c r="K54" i="2"/>
  <c r="C60" i="2"/>
  <c r="G65" i="2"/>
  <c r="K70" i="2"/>
  <c r="I6" i="2"/>
  <c r="M11" i="2"/>
  <c r="E17" i="2"/>
  <c r="I22" i="2"/>
  <c r="M27" i="2"/>
  <c r="E33" i="2"/>
  <c r="I38" i="2"/>
  <c r="B6" i="2"/>
  <c r="F11" i="2"/>
  <c r="J16" i="2"/>
  <c r="B22" i="2"/>
  <c r="F27" i="2"/>
  <c r="J32" i="2"/>
  <c r="B38" i="2"/>
  <c r="G5" i="2"/>
  <c r="K10" i="2"/>
  <c r="C16" i="2"/>
  <c r="G21" i="2"/>
  <c r="K26" i="2"/>
  <c r="C32" i="2"/>
  <c r="G37" i="2"/>
  <c r="F4" i="2"/>
  <c r="J9" i="2"/>
  <c r="B15" i="2"/>
  <c r="F20" i="2"/>
  <c r="J25" i="2"/>
  <c r="C5" i="2"/>
  <c r="G10" i="2"/>
  <c r="K15" i="2"/>
  <c r="C21" i="2"/>
  <c r="G26" i="2"/>
  <c r="K31" i="2"/>
  <c r="C37" i="2"/>
  <c r="L5" i="2"/>
  <c r="D11" i="2"/>
  <c r="H16" i="2"/>
  <c r="L21" i="2"/>
  <c r="D27" i="2"/>
  <c r="H32" i="2"/>
  <c r="L37" i="2"/>
  <c r="E10" i="2"/>
  <c r="L30" i="2"/>
  <c r="E42" i="2"/>
  <c r="I47" i="2"/>
  <c r="M52" i="2"/>
  <c r="E58" i="2"/>
  <c r="I63" i="2"/>
  <c r="M68" i="2"/>
  <c r="E74" i="2"/>
  <c r="I79" i="2"/>
  <c r="M84" i="2"/>
  <c r="H13" i="2"/>
  <c r="L32" i="2"/>
  <c r="B43" i="2"/>
  <c r="F48" i="2"/>
  <c r="J53" i="2"/>
  <c r="B59" i="2"/>
  <c r="F64" i="2"/>
  <c r="J69" i="2"/>
  <c r="B75" i="2"/>
  <c r="F80" i="2"/>
  <c r="I21" i="2"/>
  <c r="E38" i="2"/>
  <c r="C45" i="2"/>
  <c r="G50" i="2"/>
  <c r="K55" i="2"/>
  <c r="C61" i="2"/>
  <c r="G66" i="2"/>
  <c r="K71" i="2"/>
  <c r="C77" i="2"/>
  <c r="L6" i="2"/>
  <c r="D28" i="2"/>
  <c r="F41" i="2"/>
  <c r="J46" i="2"/>
  <c r="B52" i="2"/>
  <c r="F57" i="2"/>
  <c r="E4" i="2"/>
  <c r="I25" i="2"/>
  <c r="G40" i="2"/>
  <c r="C46" i="2"/>
  <c r="G51" i="2"/>
  <c r="E7" i="2"/>
  <c r="I12" i="2"/>
  <c r="M17" i="2"/>
  <c r="E23" i="2"/>
  <c r="I28" i="2"/>
  <c r="M33" i="2"/>
  <c r="E39" i="2"/>
  <c r="J6" i="2"/>
  <c r="B12" i="2"/>
  <c r="F17" i="2"/>
  <c r="J22" i="2"/>
  <c r="B28" i="2"/>
  <c r="F33" i="2"/>
  <c r="J38" i="2"/>
  <c r="C6" i="2"/>
  <c r="G11" i="2"/>
  <c r="K16" i="2"/>
  <c r="C22" i="2"/>
  <c r="G27" i="2"/>
  <c r="K32" i="2"/>
  <c r="C38" i="2"/>
  <c r="B5" i="2"/>
  <c r="F10" i="2"/>
  <c r="J15" i="2"/>
  <c r="B21" i="2"/>
  <c r="F26" i="2"/>
  <c r="K5" i="2"/>
  <c r="C11" i="2"/>
  <c r="G16" i="2"/>
  <c r="K21" i="2"/>
  <c r="C27" i="2"/>
  <c r="G32" i="2"/>
  <c r="K37" i="2"/>
  <c r="H6" i="2"/>
  <c r="L11" i="2"/>
  <c r="D17" i="2"/>
  <c r="H22" i="2"/>
  <c r="L27" i="2"/>
  <c r="D33" i="2"/>
  <c r="H38" i="2"/>
  <c r="M12" i="2"/>
  <c r="F32" i="2"/>
  <c r="M42" i="2"/>
  <c r="E48" i="2"/>
  <c r="I53" i="2"/>
  <c r="M58" i="2"/>
  <c r="E64" i="2"/>
  <c r="I69" i="2"/>
  <c r="M74" i="2"/>
  <c r="E80" i="2"/>
  <c r="I85" i="2"/>
  <c r="D16" i="2"/>
  <c r="F34" i="2"/>
  <c r="J43" i="2"/>
  <c r="B49" i="2"/>
  <c r="F54" i="2"/>
  <c r="J59" i="2"/>
  <c r="B65" i="2"/>
  <c r="F70" i="2"/>
  <c r="J75" i="2"/>
  <c r="B81" i="2"/>
  <c r="E24" i="2"/>
  <c r="K39" i="2"/>
  <c r="K45" i="2"/>
  <c r="C51" i="2"/>
  <c r="G56" i="2"/>
  <c r="K61" i="2"/>
  <c r="C67" i="2"/>
  <c r="G72" i="2"/>
  <c r="K77" i="2"/>
  <c r="H9" i="2"/>
  <c r="D30" i="2"/>
  <c r="B42" i="2"/>
  <c r="F47" i="2"/>
  <c r="J52" i="2"/>
  <c r="B58" i="2"/>
  <c r="M6" i="2"/>
  <c r="E28" i="2"/>
  <c r="G41" i="2"/>
  <c r="K46" i="2"/>
  <c r="C52" i="2"/>
  <c r="G57" i="2"/>
  <c r="K62" i="2"/>
  <c r="C68" i="2"/>
  <c r="G73" i="2"/>
  <c r="M3" i="2"/>
  <c r="I16" i="2"/>
  <c r="M31" i="2"/>
  <c r="J8" i="2"/>
  <c r="F21" i="2"/>
  <c r="J36" i="2"/>
  <c r="G13" i="2"/>
  <c r="C26" i="2"/>
  <c r="B3" i="2"/>
  <c r="J17" i="2"/>
  <c r="G4" i="2"/>
  <c r="K19" i="2"/>
  <c r="G34" i="2"/>
  <c r="H10" i="2"/>
  <c r="L25" i="2"/>
  <c r="H40" i="2"/>
  <c r="I41" i="2"/>
  <c r="M56" i="2"/>
  <c r="I71" i="2"/>
  <c r="E84" i="2"/>
  <c r="J41" i="2"/>
  <c r="F56" i="2"/>
  <c r="B69" i="2"/>
  <c r="E16" i="2"/>
  <c r="K47" i="2"/>
  <c r="G60" i="2"/>
  <c r="K75" i="2"/>
  <c r="H35" i="2"/>
  <c r="F51" i="2"/>
  <c r="E20" i="2"/>
  <c r="K48" i="2"/>
  <c r="C58" i="2"/>
  <c r="K64" i="2"/>
  <c r="C72" i="2"/>
  <c r="C78" i="2"/>
  <c r="G83" i="2"/>
  <c r="L20" i="2"/>
  <c r="I37" i="2"/>
  <c r="L44" i="2"/>
  <c r="D50" i="2"/>
  <c r="H55" i="2"/>
  <c r="L60" i="2"/>
  <c r="D66" i="2"/>
  <c r="H71" i="2"/>
  <c r="L76" i="2"/>
  <c r="D82" i="2"/>
  <c r="H87" i="2"/>
  <c r="D49" i="2"/>
  <c r="L67" i="2"/>
  <c r="K81" i="2"/>
  <c r="M88" i="2"/>
  <c r="E94" i="2"/>
  <c r="I99" i="2"/>
  <c r="F75" i="2"/>
  <c r="H31" i="2"/>
  <c r="I94" i="2"/>
  <c r="M43" i="2"/>
  <c r="H64" i="2"/>
  <c r="I78" i="2"/>
  <c r="J87" i="2"/>
  <c r="B93" i="2"/>
  <c r="F98" i="2"/>
  <c r="M71" i="2"/>
  <c r="G84" i="2"/>
  <c r="L41" i="2"/>
  <c r="J62" i="2"/>
  <c r="D77" i="2"/>
  <c r="K86" i="2"/>
  <c r="G92" i="2"/>
  <c r="K97" i="2"/>
  <c r="E77" i="2"/>
  <c r="D22" i="2"/>
  <c r="E63" i="2"/>
  <c r="E97" i="2"/>
  <c r="M47" i="2"/>
  <c r="D67" i="2"/>
  <c r="E81" i="2"/>
  <c r="J88" i="2"/>
  <c r="B94" i="2"/>
  <c r="F99" i="2"/>
  <c r="D40" i="2"/>
  <c r="L61" i="2"/>
  <c r="B76" i="2"/>
  <c r="G86" i="2"/>
  <c r="E5" i="2"/>
  <c r="M19" i="2"/>
  <c r="I32" i="2"/>
  <c r="B10" i="2"/>
  <c r="J24" i="2"/>
  <c r="F37" i="2"/>
  <c r="K14" i="2"/>
  <c r="G29" i="2"/>
  <c r="J3" i="2"/>
  <c r="B19" i="2"/>
  <c r="K7" i="2"/>
  <c r="G20" i="2"/>
  <c r="K35" i="2"/>
  <c r="L13" i="2"/>
  <c r="H26" i="2"/>
  <c r="M4" i="2"/>
  <c r="M44" i="2"/>
  <c r="I57" i="2"/>
  <c r="M72" i="2"/>
  <c r="I87" i="2"/>
  <c r="F42" i="2"/>
  <c r="J57" i="2"/>
  <c r="F72" i="2"/>
  <c r="M18" i="2"/>
  <c r="C49" i="2"/>
  <c r="K63" i="2"/>
  <c r="G76" i="2"/>
  <c r="M38" i="2"/>
  <c r="J54" i="2"/>
  <c r="M22" i="2"/>
  <c r="C50" i="2"/>
  <c r="K58" i="2"/>
  <c r="C66" i="2"/>
  <c r="K72" i="2"/>
  <c r="K78" i="2"/>
  <c r="C84" i="2"/>
  <c r="H23" i="2"/>
  <c r="H39" i="2"/>
  <c r="H45" i="2"/>
  <c r="L50" i="2"/>
  <c r="D56" i="2"/>
  <c r="H61" i="2"/>
  <c r="L66" i="2"/>
  <c r="D72" i="2"/>
  <c r="H77" i="2"/>
  <c r="L82" i="2"/>
  <c r="D6" i="2"/>
  <c r="L51" i="2"/>
  <c r="F69" i="2"/>
  <c r="J82" i="2"/>
  <c r="I89" i="2"/>
  <c r="M94" i="2"/>
  <c r="E100" i="2"/>
  <c r="B82" i="2"/>
  <c r="I68" i="2"/>
  <c r="I96" i="2"/>
  <c r="I46" i="2"/>
  <c r="B66" i="2"/>
  <c r="H80" i="2"/>
  <c r="F88" i="2"/>
  <c r="J93" i="2"/>
  <c r="B99" i="2"/>
  <c r="D79" i="2"/>
  <c r="M91" i="2"/>
  <c r="H44" i="2"/>
  <c r="I64" i="2"/>
  <c r="J78" i="2"/>
  <c r="K87" i="2"/>
  <c r="C93" i="2"/>
  <c r="G98" i="2"/>
  <c r="D83" i="2"/>
  <c r="F38" i="2"/>
  <c r="J66" i="2"/>
  <c r="I100" i="2"/>
  <c r="I50" i="2"/>
  <c r="J68" i="2"/>
  <c r="G82" i="2"/>
  <c r="F89" i="2"/>
  <c r="J94" i="2"/>
  <c r="B100" i="2"/>
  <c r="D43" i="2"/>
  <c r="E9" i="2"/>
  <c r="M21" i="2"/>
  <c r="E37" i="2"/>
  <c r="B14" i="2"/>
  <c r="J26" i="2"/>
  <c r="C4" i="2"/>
  <c r="K18" i="2"/>
  <c r="G31" i="2"/>
  <c r="F8" i="2"/>
  <c r="B23" i="2"/>
  <c r="K9" i="2"/>
  <c r="C25" i="2"/>
  <c r="D3" i="2"/>
  <c r="L15" i="2"/>
  <c r="D31" i="2"/>
  <c r="M20" i="2"/>
  <c r="M46" i="2"/>
  <c r="E62" i="2"/>
  <c r="M76" i="2"/>
  <c r="L10" i="2"/>
  <c r="B47" i="2"/>
  <c r="J61" i="2"/>
  <c r="F74" i="2"/>
  <c r="L34" i="2"/>
  <c r="C53" i="2"/>
  <c r="K65" i="2"/>
  <c r="C81" i="2"/>
  <c r="B44" i="2"/>
  <c r="J56" i="2"/>
  <c r="H37" i="2"/>
  <c r="G53" i="2"/>
  <c r="K60" i="2"/>
  <c r="G67" i="2"/>
  <c r="K74" i="2"/>
  <c r="C80" i="2"/>
  <c r="H7" i="2"/>
  <c r="L28" i="2"/>
  <c r="H41" i="2"/>
  <c r="L46" i="2"/>
  <c r="D52" i="2"/>
  <c r="H57" i="2"/>
  <c r="L62" i="2"/>
  <c r="D68" i="2"/>
  <c r="H73" i="2"/>
  <c r="L78" i="2"/>
  <c r="D84" i="2"/>
  <c r="H27" i="2"/>
  <c r="D57" i="2"/>
  <c r="D73" i="2"/>
  <c r="K84" i="2"/>
  <c r="M90" i="2"/>
  <c r="E96" i="2"/>
  <c r="I19" i="2"/>
  <c r="L87" i="2"/>
  <c r="E83" i="2"/>
  <c r="E6" i="2"/>
  <c r="M51" i="2"/>
  <c r="L69" i="2"/>
  <c r="B83" i="2"/>
  <c r="J89" i="2"/>
  <c r="B95" i="2"/>
  <c r="F100" i="2"/>
  <c r="L89" i="2"/>
  <c r="M97" i="2"/>
  <c r="L49" i="2"/>
  <c r="B68" i="2"/>
  <c r="M81" i="2"/>
  <c r="C89" i="2"/>
  <c r="G94" i="2"/>
  <c r="K99" i="2"/>
  <c r="D89" i="2"/>
  <c r="D45" i="2"/>
  <c r="L75" i="2"/>
  <c r="E22" i="2"/>
  <c r="M55" i="2"/>
  <c r="H72" i="2"/>
  <c r="H84" i="2"/>
  <c r="J90" i="2"/>
  <c r="B96" i="2"/>
  <c r="M89" i="2"/>
  <c r="H48" i="2"/>
  <c r="E67" i="2"/>
  <c r="F81" i="2"/>
  <c r="K88" i="2"/>
  <c r="C94" i="2"/>
  <c r="G99" i="2"/>
  <c r="E43" i="2"/>
  <c r="M63" i="2"/>
  <c r="B78" i="2"/>
  <c r="F87" i="2"/>
  <c r="L92" i="2"/>
  <c r="D98" i="2"/>
  <c r="D63" i="2"/>
  <c r="L95" i="2"/>
  <c r="E79" i="2"/>
  <c r="I14" i="2"/>
  <c r="E27" i="2"/>
  <c r="J4" i="2"/>
  <c r="F19" i="2"/>
  <c r="B32" i="2"/>
  <c r="G9" i="2"/>
  <c r="C24" i="2"/>
  <c r="K36" i="2"/>
  <c r="J13" i="2"/>
  <c r="F28" i="2"/>
  <c r="C15" i="2"/>
  <c r="G30" i="2"/>
  <c r="H8" i="2"/>
  <c r="D21" i="2"/>
  <c r="H36" i="2"/>
  <c r="J37" i="2"/>
  <c r="E52" i="2"/>
  <c r="I67" i="2"/>
  <c r="E82" i="2"/>
  <c r="M30" i="2"/>
  <c r="F52" i="2"/>
  <c r="B67" i="2"/>
  <c r="J79" i="2"/>
  <c r="K43" i="2"/>
  <c r="G58" i="2"/>
  <c r="C71" i="2"/>
  <c r="L22" i="2"/>
  <c r="F49" i="2"/>
  <c r="B62" i="2"/>
  <c r="K44" i="2"/>
  <c r="C56" i="2"/>
  <c r="G63" i="2"/>
  <c r="C70" i="2"/>
  <c r="K76" i="2"/>
  <c r="C82" i="2"/>
  <c r="H15" i="2"/>
  <c r="D34" i="2"/>
  <c r="H43" i="2"/>
  <c r="L48" i="2"/>
  <c r="D54" i="2"/>
  <c r="H59" i="2"/>
  <c r="L64" i="2"/>
  <c r="D70" i="2"/>
  <c r="H75" i="2"/>
  <c r="L80" i="2"/>
  <c r="D86" i="2"/>
  <c r="L43" i="2"/>
  <c r="B64" i="2"/>
  <c r="H78" i="2"/>
  <c r="G87" i="2"/>
  <c r="M92" i="2"/>
  <c r="E98" i="2"/>
  <c r="I60" i="2"/>
  <c r="D95" i="2"/>
  <c r="E91" i="2"/>
  <c r="B35" i="2"/>
  <c r="M59" i="2"/>
  <c r="D75" i="2"/>
  <c r="L85" i="2"/>
  <c r="J91" i="2"/>
  <c r="B97" i="2"/>
  <c r="E55" i="2"/>
  <c r="D99" i="2"/>
  <c r="I29" i="2"/>
  <c r="L57" i="2"/>
  <c r="F73" i="2"/>
  <c r="C85" i="2"/>
  <c r="C91" i="2"/>
  <c r="G96" i="2"/>
  <c r="M57" i="2"/>
  <c r="D97" i="2"/>
  <c r="H58" i="2"/>
  <c r="E89" i="2"/>
  <c r="I42" i="2"/>
  <c r="F63" i="2"/>
  <c r="L77" i="2"/>
  <c r="D87" i="2"/>
  <c r="J92" i="2"/>
  <c r="B98" i="2"/>
  <c r="L24" i="2"/>
  <c r="H56" i="2"/>
  <c r="I72" i="2"/>
  <c r="I84" i="2"/>
  <c r="M15" i="2"/>
  <c r="I30" i="2"/>
  <c r="F5" i="2"/>
  <c r="J20" i="2"/>
  <c r="F35" i="2"/>
  <c r="C10" i="2"/>
  <c r="G25" i="2"/>
  <c r="C40" i="2"/>
  <c r="F14" i="2"/>
  <c r="K3" i="2"/>
  <c r="G18" i="2"/>
  <c r="C31" i="2"/>
  <c r="L9" i="2"/>
  <c r="H24" i="2"/>
  <c r="D37" i="2"/>
  <c r="L40" i="2"/>
  <c r="I55" i="2"/>
  <c r="E68" i="2"/>
  <c r="I83" i="2"/>
  <c r="J39" i="2"/>
  <c r="B53" i="2"/>
  <c r="F68" i="2"/>
  <c r="M10" i="2"/>
  <c r="G44" i="2"/>
  <c r="K59" i="2"/>
  <c r="G74" i="2"/>
  <c r="H25" i="2"/>
  <c r="J50" i="2"/>
  <c r="M14" i="2"/>
  <c r="G45" i="2"/>
  <c r="K56" i="2"/>
  <c r="C64" i="2"/>
  <c r="G71" i="2"/>
  <c r="G77" i="2"/>
  <c r="K82" i="2"/>
  <c r="D18" i="2"/>
  <c r="J35" i="2"/>
  <c r="D44" i="2"/>
  <c r="H49" i="2"/>
  <c r="L54" i="2"/>
  <c r="D60" i="2"/>
  <c r="H65" i="2"/>
  <c r="L70" i="2"/>
  <c r="D76" i="2"/>
  <c r="H81" i="2"/>
  <c r="L86" i="2"/>
  <c r="H46" i="2"/>
  <c r="M65" i="2"/>
  <c r="B80" i="2"/>
  <c r="E88" i="2"/>
  <c r="I93" i="2"/>
  <c r="M98" i="2"/>
  <c r="I66" i="2"/>
  <c r="H98" i="2"/>
  <c r="I92" i="2"/>
  <c r="E41" i="2"/>
  <c r="I62" i="2"/>
  <c r="J76" i="2"/>
  <c r="J86" i="2"/>
  <c r="F92" i="2"/>
  <c r="J97" i="2"/>
  <c r="J64" i="2"/>
  <c r="H50" i="2"/>
  <c r="L36" i="2"/>
  <c r="H60" i="2"/>
  <c r="E75" i="2"/>
  <c r="M85" i="2"/>
  <c r="K91" i="2"/>
  <c r="C97" i="2"/>
  <c r="B70" i="2"/>
  <c r="H100" i="2"/>
  <c r="D61" i="2"/>
  <c r="M93" i="2"/>
  <c r="E45" i="2"/>
  <c r="E65" i="2"/>
  <c r="F79" i="2"/>
  <c r="B88" i="2"/>
  <c r="F93" i="2"/>
  <c r="J98" i="2"/>
  <c r="B33" i="2"/>
  <c r="D59" i="2"/>
  <c r="H74" i="2"/>
  <c r="G85" i="2"/>
  <c r="G91" i="2"/>
  <c r="K96" i="2"/>
  <c r="M5" i="2"/>
  <c r="F3" i="2"/>
  <c r="K4" i="2"/>
  <c r="B7" i="2"/>
  <c r="G14" i="2"/>
  <c r="D19" i="2"/>
  <c r="E46" i="2"/>
  <c r="M78" i="2"/>
  <c r="B63" i="2"/>
  <c r="K49" i="2"/>
  <c r="H17" i="2"/>
  <c r="B39" i="2"/>
  <c r="K66" i="2"/>
  <c r="G81" i="2"/>
  <c r="D42" i="2"/>
  <c r="L56" i="2"/>
  <c r="H69" i="2"/>
  <c r="L84" i="2"/>
  <c r="E71" i="2"/>
  <c r="E92" i="2"/>
  <c r="D91" i="2"/>
  <c r="E49" i="2"/>
  <c r="B85" i="2"/>
  <c r="M36" i="2"/>
  <c r="D47" i="2"/>
  <c r="B84" i="2"/>
  <c r="G100" i="2"/>
  <c r="B72" i="2"/>
  <c r="E61" i="2"/>
  <c r="F91" i="2"/>
  <c r="L45" i="2"/>
  <c r="L79" i="2"/>
  <c r="C92" i="2"/>
  <c r="K98" i="2"/>
  <c r="M45" i="2"/>
  <c r="F67" i="2"/>
  <c r="I82" i="2"/>
  <c r="D90" i="2"/>
  <c r="D96" i="2"/>
  <c r="I44" i="2"/>
  <c r="H92" i="2"/>
  <c r="F82" i="2"/>
  <c r="C86" i="2"/>
  <c r="F15" i="2"/>
  <c r="F12" i="2"/>
  <c r="L29" i="2"/>
  <c r="D24" i="2"/>
  <c r="C55" i="2"/>
  <c r="K50" i="2"/>
  <c r="D10" i="2"/>
  <c r="D74" i="2"/>
  <c r="I76" i="2"/>
  <c r="F77" i="2"/>
  <c r="D85" i="2"/>
  <c r="B87" i="2"/>
  <c r="L53" i="2"/>
  <c r="E51" i="2"/>
  <c r="H91" i="2"/>
  <c r="L99" i="2"/>
  <c r="B25" i="2"/>
  <c r="G59" i="2"/>
  <c r="H79" i="2"/>
  <c r="J95" i="2"/>
  <c r="L38" i="2"/>
  <c r="M24" i="2"/>
  <c r="B86" i="2"/>
  <c r="I10" i="2"/>
  <c r="J10" i="2"/>
  <c r="C8" i="2"/>
  <c r="B9" i="2"/>
  <c r="K23" i="2"/>
  <c r="H20" i="2"/>
  <c r="E50" i="2"/>
  <c r="D8" i="2"/>
  <c r="J63" i="2"/>
  <c r="G54" i="2"/>
  <c r="F40" i="2"/>
  <c r="G43" i="2"/>
  <c r="K68" i="2"/>
  <c r="L4" i="2"/>
  <c r="L42" i="2"/>
  <c r="D58" i="2"/>
  <c r="L72" i="2"/>
  <c r="H85" i="2"/>
  <c r="J74" i="2"/>
  <c r="I95" i="2"/>
  <c r="D93" i="2"/>
  <c r="I54" i="2"/>
  <c r="B89" i="2"/>
  <c r="E47" i="2"/>
  <c r="H52" i="2"/>
  <c r="G88" i="2"/>
  <c r="J29" i="2"/>
  <c r="D81" i="2"/>
  <c r="I70" i="2"/>
  <c r="B92" i="2"/>
  <c r="D51" i="2"/>
  <c r="H82" i="2"/>
  <c r="K92" i="2"/>
  <c r="C100" i="2"/>
  <c r="I48" i="2"/>
  <c r="E69" i="2"/>
  <c r="K83" i="2"/>
  <c r="L90" i="2"/>
  <c r="L96" i="2"/>
  <c r="M49" i="2"/>
  <c r="L97" i="2"/>
  <c r="G15" i="2"/>
  <c r="L58" i="2"/>
  <c r="F90" i="2"/>
  <c r="E85" i="2"/>
  <c r="G93" i="2"/>
  <c r="J84" i="2"/>
  <c r="I7" i="2"/>
  <c r="E99" i="2"/>
  <c r="C96" i="2"/>
  <c r="E21" i="2"/>
  <c r="B16" i="2"/>
  <c r="C20" i="2"/>
  <c r="J19" i="2"/>
  <c r="C29" i="2"/>
  <c r="L31" i="2"/>
  <c r="M60" i="2"/>
  <c r="B29" i="2"/>
  <c r="J77" i="2"/>
  <c r="C65" i="2"/>
  <c r="B46" i="2"/>
  <c r="C54" i="2"/>
  <c r="C74" i="2"/>
  <c r="L12" i="2"/>
  <c r="H47" i="2"/>
  <c r="D62" i="2"/>
  <c r="L74" i="2"/>
  <c r="M34" i="2"/>
  <c r="L83" i="2"/>
  <c r="I97" i="2"/>
  <c r="C87" i="2"/>
  <c r="M67" i="2"/>
  <c r="B91" i="2"/>
  <c r="L93" i="2"/>
  <c r="H66" i="2"/>
  <c r="G90" i="2"/>
  <c r="L91" i="2"/>
  <c r="I11" i="2"/>
  <c r="M75" i="2"/>
  <c r="J96" i="2"/>
  <c r="L63" i="2"/>
  <c r="E87" i="2"/>
  <c r="K94" i="2"/>
  <c r="H3" i="2"/>
  <c r="M53" i="2"/>
  <c r="J72" i="2"/>
  <c r="J85" i="2"/>
  <c r="D92" i="2"/>
  <c r="L98" i="2"/>
  <c r="L73" i="2"/>
  <c r="H11" i="2"/>
  <c r="I90" i="2"/>
  <c r="E25" i="2"/>
  <c r="B26" i="2"/>
  <c r="K20" i="2"/>
  <c r="F24" i="2"/>
  <c r="G36" i="2"/>
  <c r="D35" i="2"/>
  <c r="M62" i="2"/>
  <c r="J45" i="2"/>
  <c r="B79" i="2"/>
  <c r="C69" i="2"/>
  <c r="B56" i="2"/>
  <c r="G55" i="2"/>
  <c r="G75" i="2"/>
  <c r="D26" i="2"/>
  <c r="D48" i="2"/>
  <c r="H63" i="2"/>
  <c r="D78" i="2"/>
  <c r="C41" i="2"/>
  <c r="K85" i="2"/>
  <c r="M100" i="2"/>
  <c r="I88" i="2"/>
  <c r="F71" i="2"/>
  <c r="F94" i="2"/>
  <c r="H96" i="2"/>
  <c r="M69" i="2"/>
  <c r="K93" i="2"/>
  <c r="H94" i="2"/>
  <c r="I31" i="2"/>
  <c r="F83" i="2"/>
  <c r="F97" i="2"/>
  <c r="F65" i="2"/>
  <c r="C88" i="2"/>
  <c r="G95" i="2"/>
  <c r="E14" i="2"/>
  <c r="I56" i="2"/>
  <c r="I74" i="2"/>
  <c r="H86" i="2"/>
  <c r="H93" i="2"/>
  <c r="H99" i="2"/>
  <c r="J80" i="2"/>
  <c r="L55" i="2"/>
  <c r="E93" i="2"/>
  <c r="I26" i="2"/>
  <c r="H4" i="2"/>
  <c r="E66" i="2"/>
  <c r="J47" i="2"/>
  <c r="B31" i="2"/>
  <c r="G70" i="2"/>
  <c r="B60" i="2"/>
  <c r="C76" i="2"/>
  <c r="H51" i="2"/>
  <c r="D64" i="2"/>
  <c r="I86" i="2"/>
  <c r="E73" i="2"/>
  <c r="E95" i="2"/>
  <c r="H42" i="2"/>
  <c r="F85" i="2"/>
  <c r="D69" i="2"/>
  <c r="H76" i="2"/>
  <c r="D100" i="2"/>
  <c r="M95" i="2"/>
  <c r="M35" i="2"/>
  <c r="F31" i="2"/>
  <c r="K34" i="2"/>
  <c r="C9" i="2"/>
  <c r="D5" i="2"/>
  <c r="E26" i="2"/>
  <c r="I73" i="2"/>
  <c r="B51" i="2"/>
  <c r="F36" i="2"/>
  <c r="K79" i="2"/>
  <c r="F61" i="2"/>
  <c r="G61" i="2"/>
  <c r="G79" i="2"/>
  <c r="E32" i="2"/>
  <c r="L52" i="2"/>
  <c r="H67" i="2"/>
  <c r="D80" i="2"/>
  <c r="L59" i="2"/>
  <c r="E90" i="2"/>
  <c r="I52" i="2"/>
  <c r="M16" i="2"/>
  <c r="L81" i="2"/>
  <c r="F96" i="2"/>
  <c r="L8" i="2"/>
  <c r="I80" i="2"/>
  <c r="K95" i="2"/>
  <c r="L47" i="2"/>
  <c r="E53" i="2"/>
  <c r="F86" i="2"/>
  <c r="M99" i="2"/>
  <c r="J70" i="2"/>
  <c r="C90" i="2"/>
  <c r="G97" i="2"/>
  <c r="H33" i="2"/>
  <c r="M61" i="2"/>
  <c r="M79" i="2"/>
  <c r="L88" i="2"/>
  <c r="L94" i="2"/>
  <c r="L100" i="2"/>
  <c r="H88" i="2"/>
  <c r="H70" i="2"/>
  <c r="I98" i="2"/>
  <c r="E11" i="2"/>
  <c r="K25" i="2"/>
  <c r="I51" i="2"/>
  <c r="J73" i="2"/>
  <c r="F45" i="2"/>
  <c r="G69" i="2"/>
  <c r="D46" i="2"/>
  <c r="L16" i="2"/>
  <c r="M96" i="2"/>
  <c r="E57" i="2"/>
  <c r="D55" i="2"/>
  <c r="K89" i="2"/>
  <c r="B74" i="2"/>
  <c r="F95" i="2"/>
  <c r="K100" i="2"/>
  <c r="H97" i="2"/>
  <c r="M87" i="2"/>
  <c r="K30" i="2"/>
  <c r="F30" i="2"/>
  <c r="M41" i="2"/>
  <c r="L71" i="2"/>
  <c r="G89" i="2"/>
  <c r="D94" i="2"/>
  <c r="M37" i="2"/>
  <c r="J40" i="2"/>
  <c r="C36" i="2"/>
  <c r="C13" i="2"/>
  <c r="D15" i="2"/>
  <c r="M28" i="2"/>
  <c r="E78" i="2"/>
  <c r="F58" i="2"/>
  <c r="G42" i="2"/>
  <c r="D4" i="2"/>
  <c r="J33" i="2"/>
  <c r="C62" i="2"/>
  <c r="K80" i="2"/>
  <c r="K40" i="2"/>
  <c r="H53" i="2"/>
  <c r="L68" i="2"/>
  <c r="H83" i="2"/>
  <c r="H62" i="2"/>
  <c r="I91" i="2"/>
  <c r="F84" i="2"/>
  <c r="I27" i="2"/>
  <c r="M83" i="2"/>
  <c r="J99" i="2"/>
  <c r="H19" i="2"/>
  <c r="C83" i="2"/>
  <c r="C99" i="2"/>
  <c r="D53" i="2"/>
  <c r="I58" i="2"/>
  <c r="B90" i="2"/>
  <c r="D14" i="2"/>
  <c r="M77" i="2"/>
  <c r="K90" i="2"/>
  <c r="C98" i="2"/>
  <c r="E40" i="2"/>
  <c r="L65" i="2"/>
  <c r="J81" i="2"/>
  <c r="H89" i="2"/>
  <c r="H95" i="2"/>
  <c r="M8" i="2"/>
  <c r="H90" i="2"/>
  <c r="M73" i="2"/>
  <c r="J83" i="2"/>
  <c r="D71" i="2"/>
  <c r="H68" i="2"/>
  <c r="B30" i="2"/>
  <c r="H54" i="2"/>
  <c r="C95" i="2"/>
  <c r="J100" i="2"/>
  <c r="E59" i="2"/>
  <c r="D88" i="2"/>
  <c r="D65" i="2"/>
  <c r="P22" i="1"/>
  <c r="M12" i="1"/>
  <c r="O18" i="1"/>
  <c r="J18" i="1" l="1"/>
  <c r="I4" i="1"/>
  <c r="O3" i="3" s="1" a="1"/>
  <c r="B3" i="3" a="1"/>
  <c r="C28" i="1"/>
  <c r="Q5" i="3" l="1"/>
  <c r="O60" i="3"/>
  <c r="V76" i="3"/>
  <c r="O8" i="3"/>
  <c r="V65" i="3"/>
  <c r="U72" i="3"/>
  <c r="P80" i="3"/>
  <c r="W41" i="3"/>
  <c r="O93" i="3"/>
  <c r="W70" i="3"/>
  <c r="Z97" i="3"/>
  <c r="X5" i="3"/>
  <c r="Q11" i="3"/>
  <c r="P37" i="3"/>
  <c r="AB100" i="3"/>
  <c r="P19" i="3"/>
  <c r="P15" i="3"/>
  <c r="Q30" i="3"/>
  <c r="S36" i="3"/>
  <c r="Z75" i="3"/>
  <c r="R43" i="3"/>
  <c r="X47" i="3"/>
  <c r="U32" i="3"/>
  <c r="T27" i="3"/>
  <c r="V80" i="3"/>
  <c r="X41" i="3"/>
  <c r="R35" i="3"/>
  <c r="U9" i="3"/>
  <c r="Z59" i="3"/>
  <c r="AA12" i="3"/>
  <c r="O100" i="3"/>
  <c r="Q20" i="3"/>
  <c r="O38" i="3"/>
  <c r="U40" i="3"/>
  <c r="Q85" i="3"/>
  <c r="R41" i="3"/>
  <c r="S42" i="3"/>
  <c r="V91" i="3"/>
  <c r="O84" i="3"/>
  <c r="U65" i="3"/>
  <c r="Z89" i="3"/>
  <c r="AB53" i="3"/>
  <c r="O16" i="3"/>
  <c r="AA72" i="3"/>
  <c r="AA28" i="3"/>
  <c r="Y94" i="3"/>
  <c r="R27" i="3"/>
  <c r="Z50" i="3"/>
  <c r="AA70" i="3"/>
  <c r="S70" i="3"/>
  <c r="AB63" i="3"/>
  <c r="S35" i="3"/>
  <c r="S37" i="3"/>
  <c r="U21" i="3"/>
  <c r="R95" i="3"/>
  <c r="W61" i="3"/>
  <c r="P5" i="3"/>
  <c r="P44" i="3"/>
  <c r="W54" i="3"/>
  <c r="V95" i="3"/>
  <c r="AA77" i="3"/>
  <c r="S84" i="3"/>
  <c r="U34" i="3"/>
  <c r="T66" i="3"/>
  <c r="AA10" i="3"/>
  <c r="S73" i="3"/>
  <c r="Y83" i="3"/>
  <c r="AA85" i="3"/>
  <c r="AB4" i="3"/>
  <c r="S90" i="3"/>
  <c r="R80" i="3"/>
  <c r="Q96" i="3"/>
  <c r="AB73" i="3"/>
  <c r="R46" i="3"/>
  <c r="U17" i="3"/>
  <c r="U11" i="3"/>
  <c r="AA13" i="3"/>
  <c r="R31" i="3"/>
  <c r="S21" i="3"/>
  <c r="P47" i="3"/>
  <c r="V22" i="3"/>
  <c r="P70" i="3"/>
  <c r="V79" i="3"/>
  <c r="Q90" i="3"/>
  <c r="O72" i="3"/>
  <c r="U98" i="3"/>
  <c r="S67" i="3"/>
  <c r="U77" i="3"/>
  <c r="S59" i="3"/>
  <c r="W83" i="3"/>
  <c r="R15" i="3"/>
  <c r="R8" i="3"/>
  <c r="AB69" i="3"/>
  <c r="W21" i="3"/>
  <c r="O43" i="3"/>
  <c r="Z81" i="3"/>
  <c r="O95" i="3"/>
  <c r="Q16" i="3"/>
  <c r="Y26" i="3"/>
  <c r="S64" i="3"/>
  <c r="Z17" i="3"/>
  <c r="AB30" i="3"/>
  <c r="S11" i="3"/>
  <c r="P14" i="3"/>
  <c r="O34" i="3"/>
  <c r="U62" i="3"/>
  <c r="W33" i="3"/>
  <c r="AA96" i="3"/>
  <c r="W48" i="3"/>
  <c r="T76" i="3"/>
  <c r="U23" i="3"/>
  <c r="Z78" i="3"/>
  <c r="X6" i="3"/>
  <c r="W11" i="3"/>
  <c r="R52" i="3"/>
  <c r="V11" i="3"/>
  <c r="AB64" i="3"/>
  <c r="AA94" i="3"/>
  <c r="Y41" i="3"/>
  <c r="V55" i="3"/>
  <c r="W56" i="3"/>
  <c r="AA3" i="3"/>
  <c r="P95" i="3"/>
  <c r="U96" i="3"/>
  <c r="P18" i="3"/>
  <c r="S66" i="3"/>
  <c r="T95" i="3"/>
  <c r="U90" i="3"/>
  <c r="Y46" i="3"/>
  <c r="T93" i="3"/>
  <c r="W58" i="3"/>
  <c r="X84" i="3"/>
  <c r="V7" i="3"/>
  <c r="Z94" i="3"/>
  <c r="S86" i="3"/>
  <c r="Z42" i="3"/>
  <c r="W59" i="3"/>
  <c r="V26" i="3"/>
  <c r="AB17" i="3"/>
  <c r="Q92" i="3"/>
  <c r="T11" i="3"/>
  <c r="R69" i="3"/>
  <c r="Y28" i="3"/>
  <c r="T33" i="3"/>
  <c r="O56" i="3"/>
  <c r="Y45" i="3"/>
  <c r="Y15" i="3"/>
  <c r="AB88" i="3"/>
  <c r="Z41" i="3"/>
  <c r="Q36" i="3"/>
  <c r="Z5" i="3"/>
  <c r="V15" i="3"/>
  <c r="V24" i="3"/>
  <c r="P34" i="3"/>
  <c r="O98" i="3"/>
  <c r="AA21" i="3"/>
  <c r="P83" i="3"/>
  <c r="Z45" i="3"/>
  <c r="Q9" i="3"/>
  <c r="AA80" i="3"/>
  <c r="T51" i="3"/>
  <c r="AA31" i="3"/>
  <c r="T39" i="3"/>
  <c r="Y37" i="3"/>
  <c r="X88" i="3"/>
  <c r="Q15" i="3"/>
  <c r="Z67" i="3"/>
  <c r="P97" i="3"/>
  <c r="W69" i="3"/>
  <c r="Z92" i="3"/>
  <c r="Z83" i="3"/>
  <c r="Z3" i="3"/>
  <c r="Y10" i="3"/>
  <c r="AA54" i="3"/>
  <c r="T91" i="3"/>
  <c r="V97" i="3"/>
  <c r="X63" i="3"/>
  <c r="AB24" i="3"/>
  <c r="AB50" i="3"/>
  <c r="R4" i="3"/>
  <c r="S50" i="3"/>
  <c r="U37" i="3"/>
  <c r="Q54" i="3"/>
  <c r="U64" i="3"/>
  <c r="W84" i="3"/>
  <c r="U60" i="3"/>
  <c r="P100" i="3"/>
  <c r="Y100" i="3"/>
  <c r="AA7" i="3"/>
  <c r="Y55" i="3"/>
  <c r="O13" i="3"/>
  <c r="S34" i="3"/>
  <c r="X72" i="3"/>
  <c r="X46" i="3"/>
  <c r="R72" i="3"/>
  <c r="U3" i="3"/>
  <c r="T55" i="3"/>
  <c r="V30" i="3"/>
  <c r="W25" i="3"/>
  <c r="T20" i="3"/>
  <c r="Z54" i="3"/>
  <c r="X64" i="3"/>
  <c r="O49" i="3"/>
  <c r="S45" i="3"/>
  <c r="P87" i="3"/>
  <c r="O52" i="3"/>
  <c r="V18" i="3"/>
  <c r="AB76" i="3"/>
  <c r="S47" i="3"/>
  <c r="O26" i="3"/>
  <c r="U75" i="3"/>
  <c r="W72" i="3"/>
  <c r="X70" i="3"/>
  <c r="U52" i="3"/>
  <c r="Q71" i="3"/>
  <c r="T28" i="3"/>
  <c r="T63" i="3"/>
  <c r="Q87" i="3"/>
  <c r="U71" i="3"/>
  <c r="R48" i="3"/>
  <c r="O11" i="3"/>
  <c r="V82" i="3"/>
  <c r="P56" i="3"/>
  <c r="AA88" i="3"/>
  <c r="S38" i="3"/>
  <c r="Z39" i="3"/>
  <c r="Q55" i="3"/>
  <c r="Y3" i="3"/>
  <c r="AB45" i="3"/>
  <c r="X92" i="3"/>
  <c r="X94" i="3"/>
  <c r="P50" i="3"/>
  <c r="W49" i="3"/>
  <c r="R57" i="3"/>
  <c r="X76" i="3"/>
  <c r="T50" i="3"/>
  <c r="AA14" i="3"/>
  <c r="U41" i="3"/>
  <c r="Y93" i="3"/>
  <c r="R38" i="3"/>
  <c r="S30" i="3"/>
  <c r="X69" i="3"/>
  <c r="Y65" i="3"/>
  <c r="Y60" i="3"/>
  <c r="Y40" i="3"/>
  <c r="AA56" i="3"/>
  <c r="AB55" i="3"/>
  <c r="Y96" i="3"/>
  <c r="U46" i="3"/>
  <c r="AB93" i="3"/>
  <c r="W98" i="3"/>
  <c r="AB87" i="3"/>
  <c r="S58" i="3"/>
  <c r="X42" i="3"/>
  <c r="V33" i="3"/>
  <c r="AA40" i="3"/>
  <c r="Z11" i="3"/>
  <c r="V4" i="3"/>
  <c r="Y49" i="3"/>
  <c r="X18" i="3"/>
  <c r="T92" i="3"/>
  <c r="AB26" i="3"/>
  <c r="R3" i="3"/>
  <c r="X93" i="3"/>
  <c r="Y99" i="3"/>
  <c r="U92" i="3"/>
  <c r="V45" i="3"/>
  <c r="AA16" i="3"/>
  <c r="Y47" i="3"/>
  <c r="S79" i="3"/>
  <c r="O48" i="3"/>
  <c r="Z13" i="3"/>
  <c r="V92" i="3"/>
  <c r="O35" i="3"/>
  <c r="AA41" i="3"/>
  <c r="X39" i="3"/>
  <c r="R67" i="3"/>
  <c r="AA84" i="3"/>
  <c r="X12" i="3"/>
  <c r="R82" i="3"/>
  <c r="P42" i="3"/>
  <c r="Y43" i="3"/>
  <c r="Z93" i="3"/>
  <c r="Q7" i="3"/>
  <c r="V71" i="3"/>
  <c r="AA52" i="3"/>
  <c r="R25" i="3"/>
  <c r="AA61" i="3"/>
  <c r="P77" i="3"/>
  <c r="R97" i="3"/>
  <c r="AA76" i="3"/>
  <c r="Z15" i="3"/>
  <c r="Q73" i="3"/>
  <c r="Q97" i="3"/>
  <c r="V64" i="3"/>
  <c r="U16" i="3"/>
  <c r="Z70" i="3"/>
  <c r="O97" i="3"/>
  <c r="W74" i="3"/>
  <c r="X25" i="3"/>
  <c r="O85" i="3"/>
  <c r="AB85" i="3"/>
  <c r="T6" i="3"/>
  <c r="AB54" i="3"/>
  <c r="V98" i="3"/>
  <c r="Z62" i="3"/>
  <c r="P46" i="3"/>
  <c r="O4" i="3"/>
  <c r="O36" i="3"/>
  <c r="P88" i="3"/>
  <c r="R7" i="3"/>
  <c r="S74" i="3"/>
  <c r="X54" i="3"/>
  <c r="AA39" i="3"/>
  <c r="Z88" i="3"/>
  <c r="S98" i="3"/>
  <c r="U39" i="3"/>
  <c r="V85" i="3"/>
  <c r="Y11" i="3"/>
  <c r="P25" i="3"/>
  <c r="U74" i="3"/>
  <c r="W91" i="3"/>
  <c r="W6" i="3"/>
  <c r="P65" i="3"/>
  <c r="W34" i="3"/>
  <c r="V54" i="3"/>
  <c r="R74" i="3"/>
  <c r="V49" i="3"/>
  <c r="W35" i="3"/>
  <c r="Z6" i="3"/>
  <c r="T78" i="3"/>
  <c r="T82" i="3"/>
  <c r="AA87" i="3"/>
  <c r="X82" i="3"/>
  <c r="P26" i="3"/>
  <c r="AB31" i="3"/>
  <c r="U36" i="3"/>
  <c r="P24" i="3"/>
  <c r="Y70" i="3"/>
  <c r="W8" i="3"/>
  <c r="AB97" i="3"/>
  <c r="AA59" i="3"/>
  <c r="W88" i="3"/>
  <c r="AB92" i="3"/>
  <c r="V61" i="3"/>
  <c r="Y34" i="3"/>
  <c r="R9" i="3"/>
  <c r="O57" i="3"/>
  <c r="O47" i="3"/>
  <c r="V40" i="3"/>
  <c r="AA47" i="3"/>
  <c r="P8" i="3"/>
  <c r="AB67" i="3"/>
  <c r="X98" i="3"/>
  <c r="AB6" i="3"/>
  <c r="S44" i="3"/>
  <c r="X65" i="3"/>
  <c r="T86" i="3"/>
  <c r="U70" i="3"/>
  <c r="U29" i="3"/>
  <c r="AA20" i="3"/>
  <c r="Z56" i="3"/>
  <c r="S95" i="3"/>
  <c r="AA67" i="3"/>
  <c r="Q49" i="3"/>
  <c r="O76" i="3"/>
  <c r="T87" i="3"/>
  <c r="Y42" i="3"/>
  <c r="Y4" i="3"/>
  <c r="X80" i="3"/>
  <c r="X83" i="3"/>
  <c r="O79" i="3"/>
  <c r="O89" i="3"/>
  <c r="S25" i="3"/>
  <c r="P96" i="3"/>
  <c r="O44" i="3"/>
  <c r="Y54" i="3"/>
  <c r="U81" i="3"/>
  <c r="AB47" i="3"/>
  <c r="Q80" i="3"/>
  <c r="W30" i="3"/>
  <c r="Z32" i="3"/>
  <c r="Z100" i="3"/>
  <c r="AB43" i="3"/>
  <c r="W39" i="3"/>
  <c r="P17" i="3"/>
  <c r="V47" i="3"/>
  <c r="Y56" i="3"/>
  <c r="AB80" i="3"/>
  <c r="Q18" i="3"/>
  <c r="S49" i="3"/>
  <c r="W37" i="3"/>
  <c r="U19" i="3"/>
  <c r="W73" i="3"/>
  <c r="P72" i="3"/>
  <c r="R86" i="3"/>
  <c r="R59" i="3"/>
  <c r="O27" i="3"/>
  <c r="T79" i="3"/>
  <c r="R98" i="3"/>
  <c r="AB65" i="3"/>
  <c r="U22" i="3"/>
  <c r="X17" i="3"/>
  <c r="U14" i="3"/>
  <c r="AB48" i="3"/>
  <c r="AA29" i="3"/>
  <c r="X95" i="3"/>
  <c r="Y81" i="3"/>
  <c r="O92" i="3"/>
  <c r="R54" i="3"/>
  <c r="AA42" i="3"/>
  <c r="AA37" i="3"/>
  <c r="X35" i="3"/>
  <c r="X8" i="3"/>
  <c r="S26" i="3"/>
  <c r="Z61" i="3"/>
  <c r="V5" i="3"/>
  <c r="W12" i="3"/>
  <c r="T71" i="3"/>
  <c r="V43" i="3"/>
  <c r="U49" i="3"/>
  <c r="T37" i="3"/>
  <c r="AA74" i="3"/>
  <c r="U26" i="3"/>
  <c r="O3" i="3"/>
  <c r="P79" i="3"/>
  <c r="Y68" i="3"/>
  <c r="T58" i="3"/>
  <c r="R87" i="3"/>
  <c r="S6" i="3"/>
  <c r="Z77" i="3"/>
  <c r="W43" i="3"/>
  <c r="U18" i="3"/>
  <c r="U33" i="3"/>
  <c r="Q84" i="3"/>
  <c r="R90" i="3"/>
  <c r="T38" i="3"/>
  <c r="Y63" i="3"/>
  <c r="Q83" i="3"/>
  <c r="P61" i="3"/>
  <c r="Q57" i="3"/>
  <c r="Q8" i="3"/>
  <c r="AA66" i="3"/>
  <c r="AB38" i="3"/>
  <c r="O87" i="3"/>
  <c r="X53" i="3"/>
  <c r="AB12" i="3"/>
  <c r="O21" i="3"/>
  <c r="AB99" i="3"/>
  <c r="T84" i="3"/>
  <c r="Q25" i="3"/>
  <c r="AB89" i="3"/>
  <c r="T48" i="3"/>
  <c r="W78" i="3"/>
  <c r="V90" i="3"/>
  <c r="U35" i="3"/>
  <c r="AA5" i="3"/>
  <c r="O23" i="3"/>
  <c r="Y44" i="3"/>
  <c r="AB42" i="3"/>
  <c r="AB66" i="3"/>
  <c r="V56" i="3"/>
  <c r="Y16" i="3"/>
  <c r="Q39" i="3"/>
  <c r="AB83" i="3"/>
  <c r="Q76" i="3"/>
  <c r="V94" i="3"/>
  <c r="R10" i="3"/>
  <c r="AB18" i="3"/>
  <c r="X73" i="3"/>
  <c r="AA71" i="3"/>
  <c r="T45" i="3"/>
  <c r="V99" i="3"/>
  <c r="O78" i="3"/>
  <c r="V41" i="3"/>
  <c r="R51" i="3"/>
  <c r="AB44" i="3"/>
  <c r="S52" i="3"/>
  <c r="Q12" i="3"/>
  <c r="R21" i="3"/>
  <c r="T36" i="3"/>
  <c r="T54" i="3"/>
  <c r="AB58" i="3"/>
  <c r="R76" i="3"/>
  <c r="V100" i="3"/>
  <c r="W16" i="3"/>
  <c r="R18" i="3"/>
  <c r="T3" i="3"/>
  <c r="Y20" i="3"/>
  <c r="AA22" i="3"/>
  <c r="X60" i="3"/>
  <c r="AA78" i="3"/>
  <c r="Y8" i="3"/>
  <c r="O88" i="3"/>
  <c r="T70" i="3"/>
  <c r="O80" i="3"/>
  <c r="T67" i="3"/>
  <c r="R94" i="3"/>
  <c r="Q75" i="3"/>
  <c r="Y18" i="3"/>
  <c r="P98" i="3"/>
  <c r="Q32" i="3"/>
  <c r="U53" i="3"/>
  <c r="V96" i="3"/>
  <c r="U54" i="3"/>
  <c r="P63" i="3"/>
  <c r="Y7" i="3"/>
  <c r="AB90" i="3"/>
  <c r="R83" i="3"/>
  <c r="U57" i="3"/>
  <c r="S3" i="3"/>
  <c r="Y86" i="3"/>
  <c r="V27" i="3"/>
  <c r="Z44" i="3"/>
  <c r="T90" i="3"/>
  <c r="O17" i="3"/>
  <c r="U58" i="3"/>
  <c r="T81" i="3"/>
  <c r="AA86" i="3"/>
  <c r="X30" i="3"/>
  <c r="O83" i="3"/>
  <c r="V12" i="3"/>
  <c r="Z34" i="3"/>
  <c r="U38" i="3"/>
  <c r="Y92" i="3"/>
  <c r="R36" i="3"/>
  <c r="Q10" i="3"/>
  <c r="AB77" i="3"/>
  <c r="W75" i="3"/>
  <c r="X75" i="3"/>
  <c r="Z87" i="3"/>
  <c r="T94" i="3"/>
  <c r="W24" i="3"/>
  <c r="O31" i="3"/>
  <c r="S89" i="3"/>
  <c r="W62" i="3"/>
  <c r="Y31" i="3"/>
  <c r="O46" i="3"/>
  <c r="X61" i="3"/>
  <c r="AB57" i="3"/>
  <c r="R29" i="3"/>
  <c r="U97" i="3"/>
  <c r="P73" i="3"/>
  <c r="Q79" i="3"/>
  <c r="AA26" i="3"/>
  <c r="T64" i="3"/>
  <c r="Z76" i="3"/>
  <c r="R34" i="3"/>
  <c r="AA93" i="3"/>
  <c r="Q60" i="3"/>
  <c r="V16" i="3"/>
  <c r="P30" i="3"/>
  <c r="W57" i="3"/>
  <c r="R47" i="3"/>
  <c r="O99" i="3"/>
  <c r="S10" i="3"/>
  <c r="R40" i="3"/>
  <c r="Q63" i="3"/>
  <c r="U86" i="3"/>
  <c r="R68" i="3"/>
  <c r="T57" i="3"/>
  <c r="W17" i="3"/>
  <c r="AA53" i="3"/>
  <c r="W92" i="3"/>
  <c r="O74" i="3"/>
  <c r="Q29" i="3"/>
  <c r="X86" i="3"/>
  <c r="W94" i="3"/>
  <c r="Q62" i="3"/>
  <c r="W80" i="3"/>
  <c r="S55" i="3"/>
  <c r="O65" i="3"/>
  <c r="P31" i="3"/>
  <c r="S41" i="3"/>
  <c r="R84" i="3"/>
  <c r="O62" i="3"/>
  <c r="W38" i="3"/>
  <c r="Z63" i="3"/>
  <c r="S14" i="3"/>
  <c r="X19" i="3"/>
  <c r="U93" i="3"/>
  <c r="AB14" i="3"/>
  <c r="Y12" i="3"/>
  <c r="S77" i="3"/>
  <c r="W64" i="3"/>
  <c r="U6" i="3"/>
  <c r="T18" i="3"/>
  <c r="P99" i="3"/>
  <c r="Q26" i="3"/>
  <c r="Y82" i="3"/>
  <c r="P51" i="3"/>
  <c r="Q35" i="3"/>
  <c r="AA32" i="3"/>
  <c r="X32" i="3"/>
  <c r="O7" i="3"/>
  <c r="Q82" i="3"/>
  <c r="X85" i="3"/>
  <c r="AA9" i="3"/>
  <c r="O25" i="3"/>
  <c r="R71" i="3"/>
  <c r="Z99" i="3"/>
  <c r="AA91" i="3"/>
  <c r="AA65" i="3"/>
  <c r="U48" i="3"/>
  <c r="S76" i="3"/>
  <c r="O15" i="3"/>
  <c r="P11" i="3"/>
  <c r="Y72" i="3"/>
  <c r="X91" i="3"/>
  <c r="AA64" i="3"/>
  <c r="X21" i="3"/>
  <c r="S32" i="3"/>
  <c r="AB13" i="3"/>
  <c r="T49" i="3"/>
  <c r="V23" i="3"/>
  <c r="AB37" i="3"/>
  <c r="AA82" i="3"/>
  <c r="AA6" i="3"/>
  <c r="U30" i="3"/>
  <c r="U56" i="3"/>
  <c r="R81" i="3"/>
  <c r="T44" i="3"/>
  <c r="Q23" i="3"/>
  <c r="O69" i="3"/>
  <c r="T72" i="3"/>
  <c r="Q42" i="3"/>
  <c r="AA75" i="3"/>
  <c r="Z26" i="3"/>
  <c r="AA24" i="3"/>
  <c r="AB35" i="3"/>
  <c r="Y61" i="3"/>
  <c r="Z43" i="3"/>
  <c r="Z20" i="3"/>
  <c r="Y33" i="3"/>
  <c r="S69" i="3"/>
  <c r="Q27" i="3"/>
  <c r="S46" i="3"/>
  <c r="T8" i="3"/>
  <c r="V48" i="3"/>
  <c r="P53" i="3"/>
  <c r="AA69" i="3"/>
  <c r="Y36" i="3"/>
  <c r="X34" i="3"/>
  <c r="AB91" i="3"/>
  <c r="T22" i="3"/>
  <c r="AA62" i="3"/>
  <c r="P64" i="3"/>
  <c r="P84" i="3"/>
  <c r="O19" i="3"/>
  <c r="T80" i="3"/>
  <c r="Y53" i="3"/>
  <c r="S81" i="3"/>
  <c r="O39" i="3"/>
  <c r="P69" i="3"/>
  <c r="Y32" i="3"/>
  <c r="Z10" i="3"/>
  <c r="W36" i="3"/>
  <c r="Z19" i="3"/>
  <c r="S29" i="3"/>
  <c r="X45" i="3"/>
  <c r="V25" i="3"/>
  <c r="Q93" i="3"/>
  <c r="V72" i="3"/>
  <c r="Z38" i="3"/>
  <c r="AA33" i="3"/>
  <c r="O10" i="3"/>
  <c r="W63" i="3"/>
  <c r="U43" i="3"/>
  <c r="AB61" i="3"/>
  <c r="X55" i="3"/>
  <c r="AB46" i="3"/>
  <c r="X58" i="3"/>
  <c r="T56" i="3"/>
  <c r="Q34" i="3"/>
  <c r="Z46" i="3"/>
  <c r="T41" i="3"/>
  <c r="AB10" i="3"/>
  <c r="U20" i="3"/>
  <c r="R39" i="3"/>
  <c r="Q14" i="3"/>
  <c r="AA11" i="3"/>
  <c r="V60" i="3"/>
  <c r="AB96" i="3"/>
  <c r="Y21" i="3"/>
  <c r="O51" i="3"/>
  <c r="V87" i="3"/>
  <c r="P49" i="3"/>
  <c r="X87" i="3"/>
  <c r="T14" i="3"/>
  <c r="Y57" i="3"/>
  <c r="S91" i="3"/>
  <c r="AB28" i="3"/>
  <c r="O86" i="3"/>
  <c r="X96" i="3"/>
  <c r="P38" i="3"/>
  <c r="U76" i="3"/>
  <c r="S22" i="3"/>
  <c r="X44" i="3"/>
  <c r="S100" i="3"/>
  <c r="Z37" i="3"/>
  <c r="AA81" i="3"/>
  <c r="T13" i="3"/>
  <c r="W53" i="3"/>
  <c r="U4" i="3"/>
  <c r="Y48" i="3"/>
  <c r="AB52" i="3"/>
  <c r="Y91" i="3"/>
  <c r="Z40" i="3"/>
  <c r="Q94" i="3"/>
  <c r="S4" i="3"/>
  <c r="AB98" i="3"/>
  <c r="Z58" i="3"/>
  <c r="AA58" i="3"/>
  <c r="O61" i="3"/>
  <c r="R12" i="3"/>
  <c r="X33" i="3"/>
  <c r="AB33" i="3"/>
  <c r="R61" i="3"/>
  <c r="X40" i="3"/>
  <c r="Y29" i="3"/>
  <c r="T65" i="3"/>
  <c r="R37" i="3"/>
  <c r="Z64" i="3"/>
  <c r="AB9" i="3"/>
  <c r="R44" i="3"/>
  <c r="R60" i="3"/>
  <c r="Z21" i="3"/>
  <c r="S39" i="3"/>
  <c r="AB79" i="3"/>
  <c r="AA79" i="3"/>
  <c r="T100" i="3"/>
  <c r="AB5" i="3"/>
  <c r="U55" i="3"/>
  <c r="Z25" i="3"/>
  <c r="Z49" i="3"/>
  <c r="T83" i="3"/>
  <c r="Z69" i="3"/>
  <c r="Q88" i="3"/>
  <c r="AB41" i="3"/>
  <c r="W77" i="3"/>
  <c r="AB27" i="3"/>
  <c r="P81" i="3"/>
  <c r="R5" i="3"/>
  <c r="AA35" i="3"/>
  <c r="R13" i="3"/>
  <c r="Q69" i="3"/>
  <c r="Z71" i="3"/>
  <c r="U12" i="3"/>
  <c r="U68" i="3"/>
  <c r="X14" i="3"/>
  <c r="O42" i="3"/>
  <c r="Z23" i="3"/>
  <c r="Q48" i="3"/>
  <c r="W4" i="3"/>
  <c r="V44" i="3"/>
  <c r="Y38" i="3"/>
  <c r="X15" i="3"/>
  <c r="AA90" i="3"/>
  <c r="U69" i="3"/>
  <c r="Y52" i="3"/>
  <c r="Y98" i="3"/>
  <c r="S75" i="3"/>
  <c r="S16" i="3"/>
  <c r="V19" i="3"/>
  <c r="O96" i="3"/>
  <c r="T32" i="3"/>
  <c r="W97" i="3"/>
  <c r="AB32" i="3"/>
  <c r="AA19" i="3"/>
  <c r="Z95" i="3"/>
  <c r="X38" i="3"/>
  <c r="O18" i="3"/>
  <c r="AB11" i="3"/>
  <c r="V14" i="3"/>
  <c r="P78" i="3"/>
  <c r="Y9" i="3"/>
  <c r="U59" i="3"/>
  <c r="Z29" i="3"/>
  <c r="V89" i="3"/>
  <c r="O71" i="3"/>
  <c r="S71" i="3"/>
  <c r="X26" i="3"/>
  <c r="P39" i="3"/>
  <c r="P28" i="3"/>
  <c r="U63" i="3"/>
  <c r="Q24" i="3"/>
  <c r="Y67" i="3"/>
  <c r="W18" i="3"/>
  <c r="S68" i="3"/>
  <c r="R99" i="3"/>
  <c r="Z72" i="3"/>
  <c r="AA44" i="3"/>
  <c r="Z60" i="3"/>
  <c r="W7" i="3"/>
  <c r="P32" i="3"/>
  <c r="Z9" i="3"/>
  <c r="U51" i="3"/>
  <c r="T60" i="3"/>
  <c r="T31" i="3"/>
  <c r="Y58" i="3"/>
  <c r="AB7" i="3"/>
  <c r="T42" i="3"/>
  <c r="Q51" i="3"/>
  <c r="AA63" i="3"/>
  <c r="Q68" i="3"/>
  <c r="U8" i="3"/>
  <c r="S65" i="3"/>
  <c r="Z84" i="3"/>
  <c r="U84" i="3"/>
  <c r="X36" i="3"/>
  <c r="R89" i="3"/>
  <c r="W90" i="3"/>
  <c r="W100" i="3"/>
  <c r="S99" i="3"/>
  <c r="Q78" i="3"/>
  <c r="Z68" i="3"/>
  <c r="R33" i="3"/>
  <c r="O40" i="3"/>
  <c r="W52" i="3"/>
  <c r="Z4" i="3"/>
  <c r="AB15" i="3"/>
  <c r="P10" i="3"/>
  <c r="Q95" i="3"/>
  <c r="AA98" i="3"/>
  <c r="S53" i="3"/>
  <c r="AB59" i="3"/>
  <c r="P59" i="3"/>
  <c r="V28" i="3"/>
  <c r="U88" i="3"/>
  <c r="P60" i="3"/>
  <c r="AA25" i="3"/>
  <c r="X13" i="3"/>
  <c r="O24" i="3"/>
  <c r="R56" i="3"/>
  <c r="U67" i="3"/>
  <c r="Z55" i="3"/>
  <c r="Z96" i="3"/>
  <c r="AB81" i="3"/>
  <c r="W55" i="3"/>
  <c r="U45" i="3"/>
  <c r="P57" i="3"/>
  <c r="Z47" i="3"/>
  <c r="V38" i="3"/>
  <c r="S78" i="3"/>
  <c r="W28" i="3"/>
  <c r="O32" i="3"/>
  <c r="Y79" i="3"/>
  <c r="Q53" i="3"/>
  <c r="Y39" i="3"/>
  <c r="R42" i="3"/>
  <c r="R65" i="3"/>
  <c r="O82" i="3"/>
  <c r="AA23" i="3"/>
  <c r="X90" i="3"/>
  <c r="R26" i="3"/>
  <c r="S20" i="3"/>
  <c r="Z22" i="3"/>
  <c r="AB40" i="3"/>
  <c r="Q41" i="3"/>
  <c r="X50" i="3"/>
  <c r="Z48" i="3"/>
  <c r="V58" i="3"/>
  <c r="U99" i="3"/>
  <c r="X79" i="3"/>
  <c r="U10" i="3"/>
  <c r="AB39" i="3"/>
  <c r="W85" i="3"/>
  <c r="Q59" i="3"/>
  <c r="Z8" i="3"/>
  <c r="Y30" i="3"/>
  <c r="V69" i="3"/>
  <c r="Q44" i="3"/>
  <c r="Z51" i="3"/>
  <c r="Q67" i="3"/>
  <c r="S7" i="3"/>
  <c r="S92" i="3"/>
  <c r="Q45" i="3"/>
  <c r="O94" i="3"/>
  <c r="P89" i="3"/>
  <c r="T98" i="3"/>
  <c r="S88" i="3"/>
  <c r="O33" i="3"/>
  <c r="Z28" i="3"/>
  <c r="X37" i="3"/>
  <c r="P33" i="3"/>
  <c r="Z82" i="3"/>
  <c r="Z66" i="3"/>
  <c r="Y23" i="3"/>
  <c r="X57" i="3"/>
  <c r="V10" i="3"/>
  <c r="Z24" i="3"/>
  <c r="S80" i="3"/>
  <c r="S51" i="3"/>
  <c r="V29" i="3"/>
  <c r="R92" i="3"/>
  <c r="AA38" i="3"/>
  <c r="P93" i="3"/>
  <c r="Q70" i="3"/>
  <c r="W76" i="3"/>
  <c r="W60" i="3"/>
  <c r="X48" i="3"/>
  <c r="O66" i="3"/>
  <c r="S9" i="3"/>
  <c r="P71" i="3"/>
  <c r="S19" i="3"/>
  <c r="O28" i="3"/>
  <c r="AB56" i="3"/>
  <c r="P36" i="3"/>
  <c r="T26" i="3"/>
  <c r="AB62" i="3"/>
  <c r="Q37" i="3"/>
  <c r="S62" i="3"/>
  <c r="R53" i="3"/>
  <c r="T29" i="3"/>
  <c r="U66" i="3"/>
  <c r="R28" i="3"/>
  <c r="Z80" i="3"/>
  <c r="Q4" i="3"/>
  <c r="S96" i="3"/>
  <c r="V31" i="3"/>
  <c r="V86" i="3"/>
  <c r="Q21" i="3"/>
  <c r="R70" i="3"/>
  <c r="P21" i="3"/>
  <c r="S94" i="3"/>
  <c r="T43" i="3"/>
  <c r="X62" i="3"/>
  <c r="Q81" i="3"/>
  <c r="AB21" i="3"/>
  <c r="W44" i="3"/>
  <c r="Q52" i="3"/>
  <c r="X29" i="3"/>
  <c r="Q72" i="3"/>
  <c r="O58" i="3"/>
  <c r="T5" i="3"/>
  <c r="V66" i="3"/>
  <c r="X52" i="3"/>
  <c r="Z16" i="3"/>
  <c r="P48" i="3"/>
  <c r="Q74" i="3"/>
  <c r="AA50" i="3"/>
  <c r="Y62" i="3"/>
  <c r="W20" i="3"/>
  <c r="O59" i="3"/>
  <c r="U13" i="3"/>
  <c r="P9" i="3"/>
  <c r="AB3" i="3"/>
  <c r="X81" i="3"/>
  <c r="AB22" i="3"/>
  <c r="Y71" i="3"/>
  <c r="W82" i="3"/>
  <c r="T97" i="3"/>
  <c r="O9" i="3"/>
  <c r="X11" i="3"/>
  <c r="Q86" i="3"/>
  <c r="W89" i="3"/>
  <c r="AB84" i="3"/>
  <c r="P20" i="3"/>
  <c r="R32" i="3"/>
  <c r="Y24" i="3"/>
  <c r="W68" i="3"/>
  <c r="W96" i="3"/>
  <c r="O5" i="3"/>
  <c r="Q28" i="3"/>
  <c r="R93" i="3"/>
  <c r="O53" i="3"/>
  <c r="AB70" i="3"/>
  <c r="AA15" i="3"/>
  <c r="W40" i="3"/>
  <c r="Q33" i="3"/>
  <c r="S24" i="3"/>
  <c r="S13" i="3"/>
  <c r="AA83" i="3"/>
  <c r="Q64" i="3"/>
  <c r="S43" i="3"/>
  <c r="Z7" i="3"/>
  <c r="Q22" i="3"/>
  <c r="Y77" i="3"/>
  <c r="R88" i="3"/>
  <c r="U42" i="3"/>
  <c r="W81" i="3"/>
  <c r="V21" i="3"/>
  <c r="V84" i="3"/>
  <c r="Q17" i="3"/>
  <c r="S27" i="3"/>
  <c r="O14" i="3"/>
  <c r="R20" i="3"/>
  <c r="V51" i="3"/>
  <c r="P94" i="3"/>
  <c r="S87" i="3"/>
  <c r="V63" i="3"/>
  <c r="P41" i="3"/>
  <c r="AB60" i="3"/>
  <c r="AB72" i="3"/>
  <c r="X43" i="3"/>
  <c r="AA18" i="3"/>
  <c r="P22" i="3"/>
  <c r="Q47" i="3"/>
  <c r="O22" i="3"/>
  <c r="R45" i="3"/>
  <c r="S40" i="3"/>
  <c r="T15" i="3"/>
  <c r="Z57" i="3"/>
  <c r="AB36" i="3"/>
  <c r="P43" i="3"/>
  <c r="Q91" i="3"/>
  <c r="R16" i="3"/>
  <c r="V9" i="3"/>
  <c r="Z79" i="3"/>
  <c r="AB20" i="3"/>
  <c r="AA51" i="3"/>
  <c r="W42" i="3"/>
  <c r="P3" i="3"/>
  <c r="Z31" i="3"/>
  <c r="Y66" i="3"/>
  <c r="Z53" i="3"/>
  <c r="AB68" i="3"/>
  <c r="P86" i="3"/>
  <c r="W99" i="3"/>
  <c r="AA27" i="3"/>
  <c r="W50" i="3"/>
  <c r="O29" i="3"/>
  <c r="P7" i="3"/>
  <c r="T61" i="3"/>
  <c r="S33" i="3"/>
  <c r="V50" i="3"/>
  <c r="X22" i="3"/>
  <c r="X89" i="3"/>
  <c r="T96" i="3"/>
  <c r="Z91" i="3"/>
  <c r="U61" i="3"/>
  <c r="R79" i="3"/>
  <c r="Q40" i="3"/>
  <c r="Q65" i="3"/>
  <c r="X66" i="3"/>
  <c r="R6" i="3"/>
  <c r="P23" i="3"/>
  <c r="V75" i="3"/>
  <c r="S57" i="3"/>
  <c r="T10" i="3"/>
  <c r="P67" i="3"/>
  <c r="AB19" i="3"/>
  <c r="P45" i="3"/>
  <c r="P92" i="3"/>
  <c r="P91" i="3"/>
  <c r="W15" i="3"/>
  <c r="O50" i="3"/>
  <c r="O75" i="3"/>
  <c r="T17" i="3"/>
  <c r="Q13" i="3"/>
  <c r="X20" i="3"/>
  <c r="W29" i="3"/>
  <c r="Q43" i="3"/>
  <c r="U31" i="3"/>
  <c r="AA49" i="3"/>
  <c r="AA55" i="3"/>
  <c r="Y84" i="3"/>
  <c r="X77" i="3"/>
  <c r="X78" i="3"/>
  <c r="P16" i="3"/>
  <c r="T35" i="3"/>
  <c r="V32" i="3"/>
  <c r="R58" i="3"/>
  <c r="Y75" i="3"/>
  <c r="Y87" i="3"/>
  <c r="R66" i="3"/>
  <c r="X59" i="3"/>
  <c r="T23" i="3"/>
  <c r="AB86" i="3"/>
  <c r="T21" i="3"/>
  <c r="O77" i="3"/>
  <c r="X99" i="3"/>
  <c r="AA73" i="3"/>
  <c r="AA17" i="3"/>
  <c r="Q61" i="3"/>
  <c r="S15" i="3"/>
  <c r="P68" i="3"/>
  <c r="S28" i="3"/>
  <c r="AB82" i="3"/>
  <c r="Y85" i="3"/>
  <c r="Z18" i="3"/>
  <c r="W93" i="3"/>
  <c r="P76" i="3"/>
  <c r="Z74" i="3"/>
  <c r="R85" i="3"/>
  <c r="V81" i="3"/>
  <c r="W26" i="3"/>
  <c r="V8" i="3"/>
  <c r="U95" i="3"/>
  <c r="V36" i="3"/>
  <c r="S83" i="3"/>
  <c r="U82" i="3"/>
  <c r="Y5" i="3"/>
  <c r="U28" i="3"/>
  <c r="Z52" i="3"/>
  <c r="Q100" i="3"/>
  <c r="V77" i="3"/>
  <c r="P12" i="3"/>
  <c r="X31" i="3"/>
  <c r="Q77" i="3"/>
  <c r="U7" i="3"/>
  <c r="T68" i="3"/>
  <c r="S97" i="3"/>
  <c r="AA34" i="3"/>
  <c r="AB51" i="3"/>
  <c r="O41" i="3"/>
  <c r="U50" i="3"/>
  <c r="Y35" i="3"/>
  <c r="AA8" i="3"/>
  <c r="P52" i="3"/>
  <c r="Z86" i="3"/>
  <c r="AA100" i="3"/>
  <c r="AB95" i="3"/>
  <c r="T99" i="3"/>
  <c r="X56" i="3"/>
  <c r="O55" i="3"/>
  <c r="S23" i="3"/>
  <c r="T73" i="3"/>
  <c r="S72" i="3"/>
  <c r="T34" i="3"/>
  <c r="O90" i="3"/>
  <c r="AB29" i="3"/>
  <c r="Y95" i="3"/>
  <c r="X16" i="3"/>
  <c r="W46" i="3"/>
  <c r="U94" i="3"/>
  <c r="R50" i="3"/>
  <c r="V88" i="3"/>
  <c r="W67" i="3"/>
  <c r="O73" i="3"/>
  <c r="AA46" i="3"/>
  <c r="T88" i="3"/>
  <c r="S93" i="3"/>
  <c r="R77" i="3"/>
  <c r="R30" i="3"/>
  <c r="T53" i="3"/>
  <c r="U5" i="3"/>
  <c r="T52" i="3"/>
  <c r="Z30" i="3"/>
  <c r="S18" i="3"/>
  <c r="R11" i="3"/>
  <c r="Q6" i="3"/>
  <c r="Q50" i="3"/>
  <c r="O37" i="3"/>
  <c r="Z90" i="3"/>
  <c r="W66" i="3"/>
  <c r="Y17" i="3"/>
  <c r="S56" i="3"/>
  <c r="T19" i="3"/>
  <c r="V52" i="3"/>
  <c r="V42" i="3"/>
  <c r="T77" i="3"/>
  <c r="U15" i="3"/>
  <c r="U83" i="3"/>
  <c r="R91" i="3"/>
  <c r="R63" i="3"/>
  <c r="Q99" i="3"/>
  <c r="W10" i="3"/>
  <c r="R19" i="3"/>
  <c r="O54" i="3"/>
  <c r="AA30" i="3"/>
  <c r="V6" i="3"/>
  <c r="U91" i="3"/>
  <c r="V13" i="3"/>
  <c r="P27" i="3"/>
  <c r="X10" i="3"/>
  <c r="AB94" i="3"/>
  <c r="V17" i="3"/>
  <c r="AA60" i="3"/>
  <c r="S54" i="3"/>
  <c r="Y78" i="3"/>
  <c r="Y51" i="3"/>
  <c r="V78" i="3"/>
  <c r="W32" i="3"/>
  <c r="V62" i="3"/>
  <c r="T30" i="3"/>
  <c r="Y90" i="3"/>
  <c r="X7" i="3"/>
  <c r="T24" i="3"/>
  <c r="Q46" i="3"/>
  <c r="U44" i="3"/>
  <c r="Y64" i="3"/>
  <c r="O12" i="3"/>
  <c r="R23" i="3"/>
  <c r="Z14" i="3"/>
  <c r="X67" i="3"/>
  <c r="T75" i="3"/>
  <c r="U47" i="3"/>
  <c r="Y80" i="3"/>
  <c r="S61" i="3"/>
  <c r="W14" i="3"/>
  <c r="W5" i="3"/>
  <c r="W23" i="3"/>
  <c r="R17" i="3"/>
  <c r="P29" i="3"/>
  <c r="P85" i="3"/>
  <c r="S63" i="3"/>
  <c r="AA92" i="3"/>
  <c r="X49" i="3"/>
  <c r="P82" i="3"/>
  <c r="T85" i="3"/>
  <c r="AA89" i="3"/>
  <c r="P6" i="3"/>
  <c r="V20" i="3"/>
  <c r="Z98" i="3"/>
  <c r="AA48" i="3"/>
  <c r="AB75" i="3"/>
  <c r="X4" i="3"/>
  <c r="P58" i="3"/>
  <c r="T12" i="3"/>
  <c r="Z85" i="3"/>
  <c r="AB78" i="3"/>
  <c r="T59" i="3"/>
  <c r="P74" i="3"/>
  <c r="T40" i="3"/>
  <c r="O64" i="3"/>
  <c r="AA4" i="3"/>
  <c r="V74" i="3"/>
  <c r="Z27" i="3"/>
  <c r="T4" i="3"/>
  <c r="R24" i="3"/>
  <c r="W45" i="3"/>
  <c r="P54" i="3"/>
  <c r="Z35" i="3"/>
  <c r="X27" i="3"/>
  <c r="AA36" i="3"/>
  <c r="R100" i="3"/>
  <c r="AA95" i="3"/>
  <c r="W51" i="3"/>
  <c r="S5" i="3"/>
  <c r="Y76" i="3"/>
  <c r="W95" i="3"/>
  <c r="Y50" i="3"/>
  <c r="R75" i="3"/>
  <c r="W47" i="3"/>
  <c r="U25" i="3"/>
  <c r="P90" i="3"/>
  <c r="Y69" i="3"/>
  <c r="X23" i="3"/>
  <c r="S17" i="3"/>
  <c r="X68" i="3"/>
  <c r="T69" i="3"/>
  <c r="U73" i="3"/>
  <c r="O63" i="3"/>
  <c r="W71" i="3"/>
  <c r="O20" i="3"/>
  <c r="W86" i="3"/>
  <c r="O68" i="3"/>
  <c r="AB71" i="3"/>
  <c r="R78" i="3"/>
  <c r="U78" i="3"/>
  <c r="P35" i="3"/>
  <c r="Y13" i="3"/>
  <c r="V68" i="3"/>
  <c r="V3" i="3"/>
  <c r="P66" i="3"/>
  <c r="P13" i="3"/>
  <c r="U89" i="3"/>
  <c r="AB25" i="3"/>
  <c r="Y97" i="3"/>
  <c r="Y14" i="3"/>
  <c r="V35" i="3"/>
  <c r="Y88" i="3"/>
  <c r="P55" i="3"/>
  <c r="T47" i="3"/>
  <c r="R64" i="3"/>
  <c r="AB49" i="3"/>
  <c r="AA97" i="3"/>
  <c r="Y74" i="3"/>
  <c r="Z12" i="3"/>
  <c r="X28" i="3"/>
  <c r="W13" i="3"/>
  <c r="Z73" i="3"/>
  <c r="Y27" i="3"/>
  <c r="AB23" i="3"/>
  <c r="V34" i="3"/>
  <c r="Q89" i="3"/>
  <c r="Q58" i="3"/>
  <c r="O6" i="3"/>
  <c r="S31" i="3"/>
  <c r="P75" i="3"/>
  <c r="P4" i="3"/>
  <c r="W79" i="3"/>
  <c r="W3" i="3"/>
  <c r="T46" i="3"/>
  <c r="V67" i="3"/>
  <c r="V59" i="3"/>
  <c r="X51" i="3"/>
  <c r="Q98" i="3"/>
  <c r="V39" i="3"/>
  <c r="Q19" i="3"/>
  <c r="X9" i="3"/>
  <c r="S85" i="3"/>
  <c r="O30" i="3"/>
  <c r="Z36" i="3"/>
  <c r="R14" i="3"/>
  <c r="AA68" i="3"/>
  <c r="P40" i="3"/>
  <c r="U80" i="3"/>
  <c r="Y22" i="3"/>
  <c r="U79" i="3"/>
  <c r="Y73" i="3"/>
  <c r="V57" i="3"/>
  <c r="O70" i="3"/>
  <c r="Y6" i="3"/>
  <c r="O67" i="3"/>
  <c r="V93" i="3"/>
  <c r="S8" i="3"/>
  <c r="X3" i="3"/>
  <c r="O45" i="3"/>
  <c r="Y59" i="3"/>
  <c r="R62" i="3"/>
  <c r="U100" i="3"/>
  <c r="W22" i="3"/>
  <c r="R96" i="3"/>
  <c r="T74" i="3"/>
  <c r="Z33" i="3"/>
  <c r="AA99" i="3"/>
  <c r="T7" i="3"/>
  <c r="W27" i="3"/>
  <c r="V53" i="3"/>
  <c r="Q56" i="3"/>
  <c r="R49" i="3"/>
  <c r="O91" i="3"/>
  <c r="R73" i="3"/>
  <c r="X97" i="3"/>
  <c r="U85" i="3"/>
  <c r="W65" i="3"/>
  <c r="Y19" i="3"/>
  <c r="X71" i="3"/>
  <c r="V83" i="3"/>
  <c r="Q38" i="3"/>
  <c r="U87" i="3"/>
  <c r="T9" i="3"/>
  <c r="W19" i="3"/>
  <c r="S12" i="3"/>
  <c r="AA45" i="3"/>
  <c r="AB16" i="3"/>
  <c r="T16" i="3"/>
  <c r="T89" i="3"/>
  <c r="W9" i="3"/>
  <c r="U27" i="3"/>
  <c r="AA57" i="3"/>
  <c r="AA43" i="3"/>
  <c r="AB34" i="3"/>
  <c r="V46" i="3"/>
  <c r="X100" i="3"/>
  <c r="X74" i="3"/>
  <c r="S82" i="3"/>
  <c r="AB74" i="3"/>
  <c r="AB8" i="3"/>
  <c r="S60" i="3"/>
  <c r="U24" i="3"/>
  <c r="S48" i="3"/>
  <c r="Q66" i="3"/>
  <c r="W31" i="3"/>
  <c r="O81" i="3"/>
  <c r="R55" i="3"/>
  <c r="W87" i="3"/>
  <c r="V70" i="3"/>
  <c r="T25" i="3"/>
  <c r="Y89" i="3"/>
  <c r="Q3" i="3"/>
  <c r="P62" i="3"/>
  <c r="R22" i="3"/>
  <c r="T62" i="3"/>
  <c r="V37" i="3"/>
  <c r="Y25" i="3"/>
  <c r="Z65" i="3"/>
  <c r="X24" i="3"/>
  <c r="V73" i="3"/>
  <c r="Q31" i="3"/>
  <c r="H17" i="3"/>
  <c r="D98" i="3"/>
  <c r="G36" i="3"/>
  <c r="E72" i="3"/>
  <c r="E54" i="3"/>
  <c r="H57" i="3"/>
  <c r="E78" i="3"/>
  <c r="B39" i="3"/>
  <c r="J61" i="3"/>
  <c r="L42" i="3"/>
  <c r="C51" i="3"/>
  <c r="B89" i="3"/>
  <c r="L47" i="3"/>
  <c r="I24" i="3"/>
  <c r="M38" i="3"/>
  <c r="C33" i="3"/>
  <c r="H62" i="3"/>
  <c r="C84" i="3"/>
  <c r="L6" i="3"/>
  <c r="H6" i="3"/>
  <c r="F22" i="3"/>
  <c r="B33" i="3"/>
  <c r="I11" i="3"/>
  <c r="C47" i="3"/>
  <c r="G84" i="3"/>
  <c r="F85" i="3"/>
  <c r="C79" i="3"/>
  <c r="I99" i="3"/>
  <c r="B72" i="3"/>
  <c r="M36" i="3"/>
  <c r="F19" i="3"/>
  <c r="D54" i="3"/>
  <c r="E96" i="3"/>
  <c r="J15" i="3"/>
  <c r="H70" i="3"/>
  <c r="E8" i="3"/>
  <c r="L68" i="3"/>
  <c r="D3" i="3"/>
  <c r="B93" i="3"/>
  <c r="D17" i="3"/>
  <c r="D85" i="3"/>
  <c r="G53" i="3"/>
  <c r="H9" i="3"/>
  <c r="L92" i="3"/>
  <c r="C31" i="3"/>
  <c r="C66" i="3"/>
  <c r="K38" i="3"/>
  <c r="M47" i="3"/>
  <c r="L69" i="3"/>
  <c r="G17" i="3"/>
  <c r="B31" i="3"/>
  <c r="B90" i="3"/>
  <c r="G24" i="3"/>
  <c r="G20" i="3"/>
  <c r="L94" i="3"/>
  <c r="E21" i="3"/>
  <c r="C40" i="3"/>
  <c r="C16" i="3"/>
  <c r="L21" i="3"/>
  <c r="M11" i="3"/>
  <c r="B9" i="3"/>
  <c r="C22" i="3"/>
  <c r="H38" i="3"/>
  <c r="C41" i="3"/>
  <c r="K55" i="3"/>
  <c r="D59" i="3"/>
  <c r="J75" i="3"/>
  <c r="M25" i="3"/>
  <c r="M68" i="3"/>
  <c r="E42" i="3"/>
  <c r="I14" i="3"/>
  <c r="G57" i="3"/>
  <c r="J78" i="3"/>
  <c r="C35" i="3"/>
  <c r="K57" i="3"/>
  <c r="L46" i="3"/>
  <c r="B57" i="3"/>
  <c r="J86" i="3"/>
  <c r="D70" i="3"/>
  <c r="B76" i="3"/>
  <c r="I68" i="3"/>
  <c r="G59" i="3"/>
  <c r="B87" i="3"/>
  <c r="K91" i="3"/>
  <c r="M72" i="3"/>
  <c r="G29" i="3"/>
  <c r="E25" i="3"/>
  <c r="H48" i="3"/>
  <c r="C50" i="3"/>
  <c r="E74" i="3"/>
  <c r="D69" i="3"/>
  <c r="J76" i="3"/>
  <c r="C21" i="3"/>
  <c r="D87" i="3"/>
  <c r="B42" i="3"/>
  <c r="M76" i="3"/>
  <c r="B98" i="3"/>
  <c r="D58" i="3"/>
  <c r="D13" i="3"/>
  <c r="D51" i="3"/>
  <c r="C43" i="3"/>
  <c r="F73" i="3"/>
  <c r="M37" i="3"/>
  <c r="B54" i="3"/>
  <c r="M22" i="3"/>
  <c r="C85" i="3"/>
  <c r="F43" i="3"/>
  <c r="G37" i="3"/>
  <c r="G69" i="3"/>
  <c r="M70" i="3"/>
  <c r="G39" i="3"/>
  <c r="E88" i="3"/>
  <c r="I13" i="3"/>
  <c r="K47" i="3"/>
  <c r="C30" i="3"/>
  <c r="H97" i="3"/>
  <c r="K35" i="3"/>
  <c r="G71" i="3"/>
  <c r="L27" i="3"/>
  <c r="J95" i="3"/>
  <c r="J24" i="3"/>
  <c r="L78" i="3"/>
  <c r="K67" i="3"/>
  <c r="B37" i="3"/>
  <c r="I58" i="3"/>
  <c r="I60" i="3"/>
  <c r="K66" i="3"/>
  <c r="I21" i="3"/>
  <c r="D19" i="3"/>
  <c r="I37" i="3"/>
  <c r="L38" i="3"/>
  <c r="B61" i="3"/>
  <c r="K60" i="3"/>
  <c r="B63" i="3"/>
  <c r="G6" i="3"/>
  <c r="J71" i="3"/>
  <c r="L70" i="3"/>
  <c r="H93" i="3"/>
  <c r="L25" i="3"/>
  <c r="C87" i="3"/>
  <c r="F24" i="3"/>
  <c r="J98" i="3"/>
  <c r="B78" i="3"/>
  <c r="M84" i="3"/>
  <c r="C24" i="3"/>
  <c r="H31" i="3"/>
  <c r="M52" i="3"/>
  <c r="H87" i="3"/>
  <c r="G7" i="3"/>
  <c r="D43" i="3"/>
  <c r="L50" i="3"/>
  <c r="K32" i="3"/>
  <c r="G95" i="3"/>
  <c r="G38" i="3"/>
  <c r="I92" i="3"/>
  <c r="L11" i="3"/>
  <c r="E91" i="3"/>
  <c r="L10" i="3"/>
  <c r="E6" i="3"/>
  <c r="B3" i="3"/>
  <c r="L12" i="3"/>
  <c r="K59" i="3"/>
  <c r="M59" i="3"/>
  <c r="B35" i="3"/>
  <c r="H66" i="3"/>
  <c r="F91" i="3"/>
  <c r="B67" i="3"/>
  <c r="H3" i="3"/>
  <c r="I30" i="3"/>
  <c r="M35" i="3"/>
  <c r="C67" i="3"/>
  <c r="M91" i="3"/>
  <c r="E51" i="3"/>
  <c r="L100" i="3"/>
  <c r="H40" i="3"/>
  <c r="K33" i="3"/>
  <c r="I63" i="3"/>
  <c r="F23" i="3"/>
  <c r="L34" i="3"/>
  <c r="J7" i="3"/>
  <c r="B69" i="3"/>
  <c r="L60" i="3"/>
  <c r="F46" i="3"/>
  <c r="L24" i="3"/>
  <c r="L55" i="3"/>
  <c r="G77" i="3"/>
  <c r="M97" i="3"/>
  <c r="F50" i="3"/>
  <c r="H100" i="3"/>
  <c r="E49" i="3"/>
  <c r="C48" i="3"/>
  <c r="G86" i="3"/>
  <c r="H7" i="3"/>
  <c r="G64" i="3"/>
  <c r="H21" i="3"/>
  <c r="H59" i="3"/>
  <c r="G50" i="3"/>
  <c r="D83" i="3"/>
  <c r="E60" i="3"/>
  <c r="M69" i="3"/>
  <c r="D38" i="3"/>
  <c r="B40" i="3"/>
  <c r="J17" i="3"/>
  <c r="G52" i="3"/>
  <c r="H90" i="3"/>
  <c r="J5" i="3"/>
  <c r="G87" i="3"/>
  <c r="J12" i="3"/>
  <c r="K85" i="3"/>
  <c r="G76" i="3"/>
  <c r="F64" i="3"/>
  <c r="L29" i="3"/>
  <c r="M56" i="3"/>
  <c r="L85" i="3"/>
  <c r="D44" i="3"/>
  <c r="H91" i="3"/>
  <c r="C32" i="3"/>
  <c r="G26" i="3"/>
  <c r="E53" i="3"/>
  <c r="L8" i="3"/>
  <c r="L17" i="3"/>
  <c r="C49" i="3"/>
  <c r="C9" i="3"/>
  <c r="G48" i="3"/>
  <c r="H49" i="3"/>
  <c r="K65" i="3"/>
  <c r="J84" i="3"/>
  <c r="B6" i="3"/>
  <c r="I95" i="3"/>
  <c r="G44" i="3"/>
  <c r="E31" i="3"/>
  <c r="C64" i="3"/>
  <c r="K29" i="3"/>
  <c r="K25" i="3"/>
  <c r="J34" i="3"/>
  <c r="J37" i="3"/>
  <c r="L54" i="3"/>
  <c r="B45" i="3"/>
  <c r="J49" i="3"/>
  <c r="F39" i="3"/>
  <c r="I78" i="3"/>
  <c r="E64" i="3"/>
  <c r="I65" i="3"/>
  <c r="G46" i="3"/>
  <c r="E9" i="3"/>
  <c r="M26" i="3"/>
  <c r="D89" i="3"/>
  <c r="E69" i="3"/>
  <c r="D37" i="3"/>
  <c r="M83" i="3"/>
  <c r="J39" i="3"/>
  <c r="I83" i="3"/>
  <c r="D71" i="3"/>
  <c r="I29" i="3"/>
  <c r="M62" i="3"/>
  <c r="M54" i="3"/>
  <c r="I97" i="3"/>
  <c r="J16" i="3"/>
  <c r="I43" i="3"/>
  <c r="C69" i="3"/>
  <c r="I89" i="3"/>
  <c r="F34" i="3"/>
  <c r="J85" i="3"/>
  <c r="E20" i="3"/>
  <c r="G8" i="3"/>
  <c r="H37" i="3"/>
  <c r="B88" i="3"/>
  <c r="H77" i="3"/>
  <c r="G22" i="3"/>
  <c r="B49" i="3"/>
  <c r="E73" i="3"/>
  <c r="L51" i="3"/>
  <c r="J64" i="3"/>
  <c r="D94" i="3"/>
  <c r="G72" i="3"/>
  <c r="C75" i="3"/>
  <c r="D66" i="3"/>
  <c r="G4" i="3"/>
  <c r="E32" i="3"/>
  <c r="M66" i="3"/>
  <c r="C88" i="3"/>
  <c r="H13" i="3"/>
  <c r="D64" i="3"/>
  <c r="F27" i="3"/>
  <c r="I71" i="3"/>
  <c r="G5" i="3"/>
  <c r="L9" i="3"/>
  <c r="G61" i="3"/>
  <c r="F14" i="3"/>
  <c r="B58" i="3"/>
  <c r="K49" i="3"/>
  <c r="L81" i="3"/>
  <c r="D5" i="3"/>
  <c r="K44" i="3"/>
  <c r="E45" i="3"/>
  <c r="E98" i="3"/>
  <c r="F56" i="3"/>
  <c r="L48" i="3"/>
  <c r="K87" i="3"/>
  <c r="J8" i="3"/>
  <c r="B34" i="3"/>
  <c r="E58" i="3"/>
  <c r="M78" i="3"/>
  <c r="L16" i="3"/>
  <c r="C70" i="3"/>
  <c r="I62" i="3"/>
  <c r="B73" i="3"/>
  <c r="F38" i="3"/>
  <c r="G79" i="3"/>
  <c r="I8" i="3"/>
  <c r="D96" i="3"/>
  <c r="L28" i="3"/>
  <c r="E19" i="3"/>
  <c r="I61" i="3"/>
  <c r="H54" i="3"/>
  <c r="D75" i="3"/>
  <c r="B20" i="3"/>
  <c r="I64" i="3"/>
  <c r="B60" i="3"/>
  <c r="D86" i="3"/>
  <c r="M39" i="3"/>
  <c r="G73" i="3"/>
  <c r="D7" i="3"/>
  <c r="J77" i="3"/>
  <c r="M5" i="3"/>
  <c r="H63" i="3"/>
  <c r="H88" i="3"/>
  <c r="H53" i="3"/>
  <c r="J83" i="3"/>
  <c r="C7" i="3"/>
  <c r="F5" i="3"/>
  <c r="I73" i="3"/>
  <c r="J9" i="3"/>
  <c r="C52" i="3"/>
  <c r="D29" i="3"/>
  <c r="L99" i="3"/>
  <c r="F63" i="3"/>
  <c r="F51" i="3"/>
  <c r="J60" i="3"/>
  <c r="I86" i="3"/>
  <c r="D6" i="3"/>
  <c r="E62" i="3"/>
  <c r="C78" i="3"/>
  <c r="K61" i="3"/>
  <c r="E46" i="3"/>
  <c r="B79" i="3"/>
  <c r="F31" i="3"/>
  <c r="C61" i="3"/>
  <c r="L79" i="3"/>
  <c r="G34" i="3"/>
  <c r="H20" i="3"/>
  <c r="C36" i="3"/>
  <c r="M75" i="3"/>
  <c r="I25" i="3"/>
  <c r="B70" i="3"/>
  <c r="C19" i="3"/>
  <c r="E100" i="3"/>
  <c r="C39" i="3"/>
  <c r="M92" i="3"/>
  <c r="E61" i="3"/>
  <c r="L5" i="3"/>
  <c r="C57" i="3"/>
  <c r="I55" i="3"/>
  <c r="G67" i="3"/>
  <c r="L15" i="3"/>
  <c r="C28" i="3"/>
  <c r="H10" i="3"/>
  <c r="M30" i="3"/>
  <c r="B74" i="3"/>
  <c r="D31" i="3"/>
  <c r="K100" i="3"/>
  <c r="G99" i="3"/>
  <c r="K16" i="3"/>
  <c r="K80" i="3"/>
  <c r="D79" i="3"/>
  <c r="E92" i="3"/>
  <c r="C93" i="3"/>
  <c r="F66" i="3"/>
  <c r="K93" i="3"/>
  <c r="C29" i="3"/>
  <c r="B83" i="3"/>
  <c r="B91" i="3"/>
  <c r="H58" i="3"/>
  <c r="I23" i="3"/>
  <c r="C77" i="3"/>
  <c r="I44" i="3"/>
  <c r="D16" i="3"/>
  <c r="G55" i="3"/>
  <c r="B17" i="3"/>
  <c r="B81" i="3"/>
  <c r="L35" i="3"/>
  <c r="I94" i="3"/>
  <c r="K69" i="3"/>
  <c r="M85" i="3"/>
  <c r="E18" i="3"/>
  <c r="L4" i="3"/>
  <c r="F55" i="3"/>
  <c r="I53" i="3"/>
  <c r="K20" i="3"/>
  <c r="L63" i="3"/>
  <c r="H84" i="3"/>
  <c r="J94" i="3"/>
  <c r="F57" i="3"/>
  <c r="D35" i="3"/>
  <c r="E16" i="3"/>
  <c r="E23" i="3"/>
  <c r="H34" i="3"/>
  <c r="J23" i="3"/>
  <c r="L3" i="3"/>
  <c r="K84" i="3"/>
  <c r="G35" i="3"/>
  <c r="D8" i="3"/>
  <c r="K74" i="3"/>
  <c r="C46" i="3"/>
  <c r="L36" i="3"/>
  <c r="M61" i="3"/>
  <c r="I33" i="3"/>
  <c r="J100" i="3"/>
  <c r="H98" i="3"/>
  <c r="B77" i="3"/>
  <c r="F71" i="3"/>
  <c r="E76" i="3"/>
  <c r="I81" i="3"/>
  <c r="M23" i="3"/>
  <c r="K8" i="3"/>
  <c r="J13" i="3"/>
  <c r="B32" i="3"/>
  <c r="F7" i="3"/>
  <c r="E97" i="3"/>
  <c r="J67" i="3"/>
  <c r="J65" i="3"/>
  <c r="K27" i="3"/>
  <c r="B19" i="3"/>
  <c r="F79" i="3"/>
  <c r="E3" i="3"/>
  <c r="B97" i="3"/>
  <c r="C59" i="3"/>
  <c r="L91" i="3"/>
  <c r="I93" i="3"/>
  <c r="L56" i="3"/>
  <c r="B43" i="3"/>
  <c r="M18" i="3"/>
  <c r="G27" i="3"/>
  <c r="L33" i="3"/>
  <c r="C3" i="3"/>
  <c r="M81" i="3"/>
  <c r="C13" i="3"/>
  <c r="G63" i="3"/>
  <c r="F33" i="3"/>
  <c r="I52" i="3"/>
  <c r="C25" i="3"/>
  <c r="G11" i="3"/>
  <c r="F25" i="3"/>
  <c r="G23" i="3"/>
  <c r="D23" i="3"/>
  <c r="H44" i="3"/>
  <c r="L82" i="3"/>
  <c r="C60" i="3"/>
  <c r="K6" i="3"/>
  <c r="F9" i="3"/>
  <c r="I28" i="3"/>
  <c r="E47" i="3"/>
  <c r="F84" i="3"/>
  <c r="C38" i="3"/>
  <c r="E85" i="3"/>
  <c r="K95" i="3"/>
  <c r="L75" i="3"/>
  <c r="K5" i="3"/>
  <c r="L52" i="3"/>
  <c r="J6" i="3"/>
  <c r="D30" i="3"/>
  <c r="K88" i="3"/>
  <c r="B86" i="3"/>
  <c r="K52" i="3"/>
  <c r="G81" i="3"/>
  <c r="G90" i="3"/>
  <c r="J18" i="3"/>
  <c r="E83" i="3"/>
  <c r="L89" i="3"/>
  <c r="F61" i="3"/>
  <c r="J29" i="3"/>
  <c r="M46" i="3"/>
  <c r="F29" i="3"/>
  <c r="J96" i="3"/>
  <c r="B64" i="3"/>
  <c r="K56" i="3"/>
  <c r="G70" i="3"/>
  <c r="B13" i="3"/>
  <c r="H41" i="3"/>
  <c r="G100" i="3"/>
  <c r="I91" i="3"/>
  <c r="J19" i="3"/>
  <c r="M86" i="3"/>
  <c r="F92" i="3"/>
  <c r="M60" i="3"/>
  <c r="B29" i="3"/>
  <c r="J81" i="3"/>
  <c r="G31" i="3"/>
  <c r="F13" i="3"/>
  <c r="L90" i="3"/>
  <c r="L80" i="3"/>
  <c r="I84" i="3"/>
  <c r="D90" i="3"/>
  <c r="K28" i="3"/>
  <c r="F21" i="3"/>
  <c r="H14" i="3"/>
  <c r="K43" i="3"/>
  <c r="M6" i="3"/>
  <c r="K71" i="3"/>
  <c r="M42" i="3"/>
  <c r="L67" i="3"/>
  <c r="J30" i="3"/>
  <c r="L22" i="3"/>
  <c r="B94" i="3"/>
  <c r="C80" i="3"/>
  <c r="M13" i="3"/>
  <c r="J46" i="3"/>
  <c r="C100" i="3"/>
  <c r="L59" i="3"/>
  <c r="I48" i="3"/>
  <c r="M9" i="3"/>
  <c r="K78" i="3"/>
  <c r="M20" i="3"/>
  <c r="E90" i="3"/>
  <c r="C98" i="3"/>
  <c r="H25" i="3"/>
  <c r="D56" i="3"/>
  <c r="H75" i="3"/>
  <c r="E37" i="3"/>
  <c r="D68" i="3"/>
  <c r="F59" i="3"/>
  <c r="L96" i="3"/>
  <c r="K36" i="3"/>
  <c r="E5" i="3"/>
  <c r="J20" i="3"/>
  <c r="B66" i="3"/>
  <c r="H68" i="3"/>
  <c r="E34" i="3"/>
  <c r="G49" i="3"/>
  <c r="B55" i="3"/>
  <c r="E29" i="3"/>
  <c r="L49" i="3"/>
  <c r="F76" i="3"/>
  <c r="D50" i="3"/>
  <c r="E35" i="3"/>
  <c r="H64" i="3"/>
  <c r="C68" i="3"/>
  <c r="J91" i="3"/>
  <c r="H74" i="3"/>
  <c r="H81" i="3"/>
  <c r="E52" i="3"/>
  <c r="M65" i="3"/>
  <c r="M51" i="3"/>
  <c r="C92" i="3"/>
  <c r="I27" i="3"/>
  <c r="H5" i="3"/>
  <c r="F78" i="3"/>
  <c r="G68" i="3"/>
  <c r="L53" i="3"/>
  <c r="M80" i="3"/>
  <c r="G30" i="3"/>
  <c r="I19" i="3"/>
  <c r="F10" i="3"/>
  <c r="H46" i="3"/>
  <c r="F40" i="3"/>
  <c r="D91" i="3"/>
  <c r="H43" i="3"/>
  <c r="J80" i="3"/>
  <c r="M4" i="3"/>
  <c r="J4" i="3"/>
  <c r="D76" i="3"/>
  <c r="F45" i="3"/>
  <c r="J54" i="3"/>
  <c r="E41" i="3"/>
  <c r="H39" i="3"/>
  <c r="C10" i="3"/>
  <c r="D45" i="3"/>
  <c r="M95" i="3"/>
  <c r="M67" i="3"/>
  <c r="J66" i="3"/>
  <c r="H4" i="3"/>
  <c r="L98" i="3"/>
  <c r="H76" i="3"/>
  <c r="I35" i="3"/>
  <c r="H78" i="3"/>
  <c r="M74" i="3"/>
  <c r="L23" i="3"/>
  <c r="F54" i="3"/>
  <c r="E55" i="3"/>
  <c r="G58" i="3"/>
  <c r="M45" i="3"/>
  <c r="I17" i="3"/>
  <c r="D26" i="3"/>
  <c r="J47" i="3"/>
  <c r="E81" i="3"/>
  <c r="E99" i="3"/>
  <c r="B38" i="3"/>
  <c r="C76" i="3"/>
  <c r="J90" i="3"/>
  <c r="H15" i="3"/>
  <c r="B44" i="3"/>
  <c r="H65" i="3"/>
  <c r="H61" i="3"/>
  <c r="J11" i="3"/>
  <c r="F69" i="3"/>
  <c r="I3" i="3"/>
  <c r="F77" i="3"/>
  <c r="M48" i="3"/>
  <c r="J57" i="3"/>
  <c r="D93" i="3"/>
  <c r="D25" i="3"/>
  <c r="D100" i="3"/>
  <c r="I9" i="3"/>
  <c r="B65" i="3"/>
  <c r="I90" i="3"/>
  <c r="D15" i="3"/>
  <c r="D40" i="3"/>
  <c r="I49" i="3"/>
  <c r="I87" i="3"/>
  <c r="F41" i="3"/>
  <c r="E93" i="3"/>
  <c r="E26" i="3"/>
  <c r="J45" i="3"/>
  <c r="L43" i="3"/>
  <c r="G54" i="3"/>
  <c r="B46" i="3"/>
  <c r="B11" i="3"/>
  <c r="J31" i="3"/>
  <c r="E68" i="3"/>
  <c r="F87" i="3"/>
  <c r="D67" i="3"/>
  <c r="C55" i="3"/>
  <c r="K83" i="3"/>
  <c r="K99" i="3"/>
  <c r="I7" i="3"/>
  <c r="C54" i="3"/>
  <c r="B16" i="3"/>
  <c r="J27" i="3"/>
  <c r="J92" i="3"/>
  <c r="B82" i="3"/>
  <c r="H27" i="3"/>
  <c r="K97" i="3"/>
  <c r="I31" i="3"/>
  <c r="J28" i="3"/>
  <c r="E57" i="3"/>
  <c r="C62" i="3"/>
  <c r="J79" i="3"/>
  <c r="G21" i="3"/>
  <c r="C72" i="3"/>
  <c r="M34" i="3"/>
  <c r="I45" i="3"/>
  <c r="I70" i="3"/>
  <c r="F88" i="3"/>
  <c r="C11" i="3"/>
  <c r="K19" i="3"/>
  <c r="G3" i="3"/>
  <c r="J14" i="3"/>
  <c r="F67" i="3"/>
  <c r="M63" i="3"/>
  <c r="J25" i="3"/>
  <c r="K41" i="3"/>
  <c r="L71" i="3"/>
  <c r="M88" i="3"/>
  <c r="M89" i="3"/>
  <c r="D92" i="3"/>
  <c r="F65" i="3"/>
  <c r="B85" i="3"/>
  <c r="H69" i="3"/>
  <c r="E86" i="3"/>
  <c r="K40" i="3"/>
  <c r="E50" i="3"/>
  <c r="E79" i="3"/>
  <c r="B5" i="3"/>
  <c r="D33" i="3"/>
  <c r="H52" i="3"/>
  <c r="G14" i="3"/>
  <c r="M94" i="3"/>
  <c r="B4" i="3"/>
  <c r="I47" i="3"/>
  <c r="L93" i="3"/>
  <c r="D82" i="3"/>
  <c r="M31" i="3"/>
  <c r="M7" i="3"/>
  <c r="K15" i="3"/>
  <c r="B84" i="3"/>
  <c r="K4" i="3"/>
  <c r="J35" i="3"/>
  <c r="J44" i="3"/>
  <c r="I98" i="3"/>
  <c r="D63" i="3"/>
  <c r="I20" i="3"/>
  <c r="J21" i="3"/>
  <c r="D4" i="3"/>
  <c r="B36" i="3"/>
  <c r="J22" i="3"/>
  <c r="H32" i="3"/>
  <c r="J73" i="3"/>
  <c r="K10" i="3"/>
  <c r="G43" i="3"/>
  <c r="F8" i="3"/>
  <c r="G92" i="3"/>
  <c r="F4" i="3"/>
  <c r="I54" i="3"/>
  <c r="C56" i="3"/>
  <c r="B15" i="3"/>
  <c r="I57" i="3"/>
  <c r="L76" i="3"/>
  <c r="M32" i="3"/>
  <c r="B62" i="3"/>
  <c r="K50" i="3"/>
  <c r="F89" i="3"/>
  <c r="I38" i="3"/>
  <c r="I88" i="3"/>
  <c r="I41" i="3"/>
  <c r="H51" i="3"/>
  <c r="D39" i="3"/>
  <c r="I6" i="3"/>
  <c r="D61" i="3"/>
  <c r="F28" i="3"/>
  <c r="C53" i="3"/>
  <c r="F48" i="3"/>
  <c r="D20" i="3"/>
  <c r="B7" i="3"/>
  <c r="H16" i="3"/>
  <c r="L41" i="3"/>
  <c r="F86" i="3"/>
  <c r="K62" i="3"/>
  <c r="M14" i="3"/>
  <c r="E56" i="3"/>
  <c r="J10" i="3"/>
  <c r="H60" i="3"/>
  <c r="B10" i="3"/>
  <c r="I22" i="3"/>
  <c r="C37" i="3"/>
  <c r="J38" i="3"/>
  <c r="C23" i="3"/>
  <c r="B71" i="3"/>
  <c r="K51" i="3"/>
  <c r="E27" i="3"/>
  <c r="L72" i="3"/>
  <c r="I10" i="3"/>
  <c r="G41" i="3"/>
  <c r="D24" i="3"/>
  <c r="D18" i="3"/>
  <c r="J97" i="3"/>
  <c r="C65" i="3"/>
  <c r="D52" i="3"/>
  <c r="M50" i="3"/>
  <c r="B22" i="3"/>
  <c r="B12" i="3"/>
  <c r="J36" i="3"/>
  <c r="G97" i="3"/>
  <c r="M79" i="3"/>
  <c r="B25" i="3"/>
  <c r="J48" i="3"/>
  <c r="F82" i="3"/>
  <c r="F60" i="3"/>
  <c r="C91" i="3"/>
  <c r="H18" i="3"/>
  <c r="I74" i="3"/>
  <c r="H12" i="3"/>
  <c r="E65" i="3"/>
  <c r="F49" i="3"/>
  <c r="K54" i="3"/>
  <c r="F72" i="3"/>
  <c r="I66" i="3"/>
  <c r="E39" i="3"/>
  <c r="H79" i="3"/>
  <c r="K76" i="3"/>
  <c r="G16" i="3"/>
  <c r="K72" i="3"/>
  <c r="L32" i="3"/>
  <c r="M43" i="3"/>
  <c r="B80" i="3"/>
  <c r="H23" i="3"/>
  <c r="K75" i="3"/>
  <c r="I96" i="3"/>
  <c r="J33" i="3"/>
  <c r="C14" i="3"/>
  <c r="B28" i="3"/>
  <c r="K21" i="3"/>
  <c r="B26" i="3"/>
  <c r="D36" i="3"/>
  <c r="E82" i="3"/>
  <c r="D49" i="3"/>
  <c r="E40" i="3"/>
  <c r="H28" i="3"/>
  <c r="C27" i="3"/>
  <c r="M44" i="3"/>
  <c r="C42" i="3"/>
  <c r="C6" i="3"/>
  <c r="B51" i="3"/>
  <c r="E33" i="3"/>
  <c r="K37" i="3"/>
  <c r="C89" i="3"/>
  <c r="I15" i="3"/>
  <c r="F17" i="3"/>
  <c r="C8" i="3"/>
  <c r="H83" i="3"/>
  <c r="H42" i="3"/>
  <c r="K90" i="3"/>
  <c r="M21" i="3"/>
  <c r="C17" i="3"/>
  <c r="B53" i="3"/>
  <c r="J53" i="3"/>
  <c r="I50" i="3"/>
  <c r="B92" i="3"/>
  <c r="K30" i="3"/>
  <c r="G80" i="3"/>
  <c r="M87" i="3"/>
  <c r="M82" i="3"/>
  <c r="M24" i="3"/>
  <c r="J88" i="3"/>
  <c r="B52" i="3"/>
  <c r="I26" i="3"/>
  <c r="G13" i="3"/>
  <c r="K26" i="3"/>
  <c r="F37" i="3"/>
  <c r="H11" i="3"/>
  <c r="G33" i="3"/>
  <c r="J58" i="3"/>
  <c r="I82" i="3"/>
  <c r="D73" i="3"/>
  <c r="H82" i="3"/>
  <c r="L40" i="3"/>
  <c r="K24" i="3"/>
  <c r="I85" i="3"/>
  <c r="J70" i="3"/>
  <c r="E30" i="3"/>
  <c r="C20" i="3"/>
  <c r="K81" i="3"/>
  <c r="K63" i="3"/>
  <c r="G85" i="3"/>
  <c r="D10" i="3"/>
  <c r="M40" i="3"/>
  <c r="G47" i="3"/>
  <c r="E11" i="3"/>
  <c r="D97" i="3"/>
  <c r="L19" i="3"/>
  <c r="K96" i="3"/>
  <c r="M100" i="3"/>
  <c r="L58" i="3"/>
  <c r="L84" i="3"/>
  <c r="F97" i="3"/>
  <c r="L77" i="3"/>
  <c r="I67" i="3"/>
  <c r="B21" i="3"/>
  <c r="D32" i="3"/>
  <c r="M53" i="3"/>
  <c r="I32" i="3"/>
  <c r="K45" i="3"/>
  <c r="E28" i="3"/>
  <c r="L87" i="3"/>
  <c r="E12" i="3"/>
  <c r="H86" i="3"/>
  <c r="M64" i="3"/>
  <c r="F6" i="3"/>
  <c r="M93" i="3"/>
  <c r="D81" i="3"/>
  <c r="E75" i="3"/>
  <c r="M49" i="3"/>
  <c r="M33" i="3"/>
  <c r="I40" i="3"/>
  <c r="F42" i="3"/>
  <c r="I18" i="3"/>
  <c r="B48" i="3"/>
  <c r="I77" i="3"/>
  <c r="C71" i="3"/>
  <c r="F62" i="3"/>
  <c r="H95" i="3"/>
  <c r="B99" i="3"/>
  <c r="I72" i="3"/>
  <c r="K7" i="3"/>
  <c r="H26" i="3"/>
  <c r="K12" i="3"/>
  <c r="B75" i="3"/>
  <c r="F20" i="3"/>
  <c r="H85" i="3"/>
  <c r="K18" i="3"/>
  <c r="J89" i="3"/>
  <c r="M96" i="3"/>
  <c r="G82" i="3"/>
  <c r="L14" i="3"/>
  <c r="E7" i="3"/>
  <c r="J63" i="3"/>
  <c r="I100" i="3"/>
  <c r="B100" i="3"/>
  <c r="C74" i="3"/>
  <c r="G65" i="3"/>
  <c r="M17" i="3"/>
  <c r="L97" i="3"/>
  <c r="I80" i="3"/>
  <c r="H67" i="3"/>
  <c r="F100" i="3"/>
  <c r="D47" i="3"/>
  <c r="B30" i="3"/>
  <c r="F53" i="3"/>
  <c r="D84" i="3"/>
  <c r="M28" i="3"/>
  <c r="K42" i="3"/>
  <c r="L7" i="3"/>
  <c r="D34" i="3"/>
  <c r="F3" i="3"/>
  <c r="F90" i="3"/>
  <c r="F47" i="3"/>
  <c r="H96" i="3"/>
  <c r="F58" i="3"/>
  <c r="E89" i="3"/>
  <c r="H55" i="3"/>
  <c r="G32" i="3"/>
  <c r="K3" i="3"/>
  <c r="B68" i="3"/>
  <c r="G19" i="3"/>
  <c r="D95" i="3"/>
  <c r="H73" i="3"/>
  <c r="G28" i="3"/>
  <c r="E38" i="3"/>
  <c r="E80" i="3"/>
  <c r="G42" i="3"/>
  <c r="G40" i="3"/>
  <c r="D53" i="3"/>
  <c r="E22" i="3"/>
  <c r="L88" i="3"/>
  <c r="D11" i="3"/>
  <c r="K53" i="3"/>
  <c r="D74" i="3"/>
  <c r="D60" i="3"/>
  <c r="F98" i="3"/>
  <c r="M77" i="3"/>
  <c r="D55" i="3"/>
  <c r="G9" i="3"/>
  <c r="J59" i="3"/>
  <c r="F18" i="3"/>
  <c r="B23" i="3"/>
  <c r="F99" i="3"/>
  <c r="J26" i="3"/>
  <c r="E10" i="3"/>
  <c r="J82" i="3"/>
  <c r="I16" i="3"/>
  <c r="K70" i="3"/>
  <c r="H8" i="3"/>
  <c r="D48" i="3"/>
  <c r="H45" i="3"/>
  <c r="L18" i="3"/>
  <c r="E4" i="3"/>
  <c r="I56" i="3"/>
  <c r="D27" i="3"/>
  <c r="F36" i="3"/>
  <c r="G91" i="3"/>
  <c r="I4" i="3"/>
  <c r="G74" i="3"/>
  <c r="C5" i="3"/>
  <c r="G51" i="3"/>
  <c r="J69" i="3"/>
  <c r="L26" i="3"/>
  <c r="L95" i="3"/>
  <c r="G15" i="3"/>
  <c r="F30" i="3"/>
  <c r="C34" i="3"/>
  <c r="K92" i="3"/>
  <c r="K34" i="3"/>
  <c r="J99" i="3"/>
  <c r="C63" i="3"/>
  <c r="G98" i="3"/>
  <c r="G83" i="3"/>
  <c r="H35" i="3"/>
  <c r="K48" i="3"/>
  <c r="J32" i="3"/>
  <c r="D9" i="3"/>
  <c r="J42" i="3"/>
  <c r="E87" i="3"/>
  <c r="M41" i="3"/>
  <c r="H47" i="3"/>
  <c r="C4" i="3"/>
  <c r="H72" i="3"/>
  <c r="M98" i="3"/>
  <c r="B8" i="3"/>
  <c r="B96" i="3"/>
  <c r="M12" i="3"/>
  <c r="H99" i="3"/>
  <c r="G60" i="3"/>
  <c r="E94" i="3"/>
  <c r="K17" i="3"/>
  <c r="M16" i="3"/>
  <c r="M8" i="3"/>
  <c r="E67" i="3"/>
  <c r="C18" i="3"/>
  <c r="L62" i="3"/>
  <c r="J50" i="3"/>
  <c r="D42" i="3"/>
  <c r="L65" i="3"/>
  <c r="F32" i="3"/>
  <c r="F70" i="3"/>
  <c r="L61" i="3"/>
  <c r="E36" i="3"/>
  <c r="D28" i="3"/>
  <c r="C96" i="3"/>
  <c r="K23" i="3"/>
  <c r="F11" i="3"/>
  <c r="G56" i="3"/>
  <c r="H71" i="3"/>
  <c r="F12" i="3"/>
  <c r="E44" i="3"/>
  <c r="K68" i="3"/>
  <c r="I42" i="3"/>
  <c r="E48" i="3"/>
  <c r="H33" i="3"/>
  <c r="L39" i="3"/>
  <c r="K79" i="3"/>
  <c r="L83" i="3"/>
  <c r="M27" i="3"/>
  <c r="F68" i="3"/>
  <c r="C95" i="3"/>
  <c r="K9" i="3"/>
  <c r="M71" i="3"/>
  <c r="F81" i="3"/>
  <c r="H94" i="3"/>
  <c r="C15" i="3"/>
  <c r="F75" i="3"/>
  <c r="C73" i="3"/>
  <c r="E77" i="3"/>
  <c r="J74" i="3"/>
  <c r="J72" i="3"/>
  <c r="C86" i="3"/>
  <c r="H50" i="3"/>
  <c r="G78" i="3"/>
  <c r="F44" i="3"/>
  <c r="M99" i="3"/>
  <c r="C12" i="3"/>
  <c r="D41" i="3"/>
  <c r="E70" i="3"/>
  <c r="B59" i="3"/>
  <c r="I79" i="3"/>
  <c r="C45" i="3"/>
  <c r="G62" i="3"/>
  <c r="E17" i="3"/>
  <c r="H30" i="3"/>
  <c r="L37" i="3"/>
  <c r="D80" i="3"/>
  <c r="E59" i="3"/>
  <c r="D62" i="3"/>
  <c r="K13" i="3"/>
  <c r="K31" i="3"/>
  <c r="C90" i="3"/>
  <c r="H24" i="3"/>
  <c r="I12" i="3"/>
  <c r="F95" i="3"/>
  <c r="L66" i="3"/>
  <c r="I75" i="3"/>
  <c r="F93" i="3"/>
  <c r="E66" i="3"/>
  <c r="G25" i="3"/>
  <c r="B18" i="3"/>
  <c r="K11" i="3"/>
  <c r="B24" i="3"/>
  <c r="M15" i="3"/>
  <c r="K46" i="3"/>
  <c r="I34" i="3"/>
  <c r="L30" i="3"/>
  <c r="G89" i="3"/>
  <c r="H56" i="3"/>
  <c r="F96" i="3"/>
  <c r="K14" i="3"/>
  <c r="D22" i="3"/>
  <c r="B27" i="3"/>
  <c r="M10" i="3"/>
  <c r="F15" i="3"/>
  <c r="E14" i="3"/>
  <c r="H89" i="3"/>
  <c r="M57" i="3"/>
  <c r="L20" i="3"/>
  <c r="L44" i="3"/>
  <c r="G12" i="3"/>
  <c r="G10" i="3"/>
  <c r="E63" i="3"/>
  <c r="J43" i="3"/>
  <c r="L45" i="3"/>
  <c r="K77" i="3"/>
  <c r="I36" i="3"/>
  <c r="E95" i="3"/>
  <c r="C58" i="3"/>
  <c r="M73" i="3"/>
  <c r="F35" i="3"/>
  <c r="G75" i="3"/>
  <c r="D12" i="3"/>
  <c r="L73" i="3"/>
  <c r="E84" i="3"/>
  <c r="I76" i="3"/>
  <c r="E24" i="3"/>
  <c r="K64" i="3"/>
  <c r="D65" i="3"/>
  <c r="J68" i="3"/>
  <c r="G96" i="3"/>
  <c r="H36" i="3"/>
  <c r="C99" i="3"/>
  <c r="M3" i="3"/>
  <c r="F83" i="3"/>
  <c r="J62" i="3"/>
  <c r="J51" i="3"/>
  <c r="G94" i="3"/>
  <c r="H29" i="3"/>
  <c r="M19" i="3"/>
  <c r="I39" i="3"/>
  <c r="M90" i="3"/>
  <c r="I69" i="3"/>
  <c r="C82" i="3"/>
  <c r="K98" i="3"/>
  <c r="B56" i="3"/>
  <c r="D21" i="3"/>
  <c r="K39" i="3"/>
  <c r="E15" i="3"/>
  <c r="C26" i="3"/>
  <c r="G93" i="3"/>
  <c r="D88" i="3"/>
  <c r="F94" i="3"/>
  <c r="D14" i="3"/>
  <c r="L74" i="3"/>
  <c r="I46" i="3"/>
  <c r="L57" i="3"/>
  <c r="L31" i="3"/>
  <c r="F16" i="3"/>
  <c r="G88" i="3"/>
  <c r="M55" i="3"/>
  <c r="H22" i="3"/>
  <c r="J87" i="3"/>
  <c r="B14" i="3"/>
  <c r="J93" i="3"/>
  <c r="L13" i="3"/>
  <c r="I59" i="3"/>
  <c r="H19" i="3"/>
  <c r="H92" i="3"/>
  <c r="E43" i="3"/>
  <c r="K94" i="3"/>
  <c r="B41" i="3"/>
  <c r="D72" i="3"/>
  <c r="H80" i="3"/>
  <c r="G66" i="3"/>
  <c r="K82" i="3"/>
  <c r="I5" i="3"/>
  <c r="E71" i="3"/>
  <c r="K73" i="3"/>
  <c r="G18" i="3"/>
  <c r="B50" i="3"/>
  <c r="D77" i="3"/>
  <c r="K89" i="3"/>
  <c r="C83" i="3"/>
  <c r="L86" i="3"/>
  <c r="K22" i="3"/>
  <c r="J41" i="3"/>
  <c r="D46" i="3"/>
  <c r="M58" i="3"/>
  <c r="B47" i="3"/>
  <c r="I51" i="3"/>
  <c r="L64" i="3"/>
  <c r="F80" i="3"/>
  <c r="J55" i="3"/>
  <c r="J3" i="3"/>
  <c r="C97" i="3"/>
  <c r="F52" i="3"/>
  <c r="K86" i="3"/>
  <c r="F74" i="3"/>
  <c r="F26" i="3"/>
  <c r="E13" i="3"/>
  <c r="J52" i="3"/>
  <c r="M29" i="3"/>
  <c r="K58" i="3"/>
  <c r="J40" i="3"/>
  <c r="G45" i="3"/>
  <c r="D57" i="3"/>
  <c r="D78" i="3"/>
  <c r="C94" i="3"/>
  <c r="B95" i="3"/>
  <c r="D99" i="3"/>
  <c r="C44" i="3"/>
  <c r="C81" i="3"/>
  <c r="J56" i="3"/>
</calcChain>
</file>

<file path=xl/sharedStrings.xml><?xml version="1.0" encoding="utf-8"?>
<sst xmlns="http://schemas.openxmlformats.org/spreadsheetml/2006/main" count="315" uniqueCount="157">
  <si>
    <t>Yield</t>
  </si>
  <si>
    <t>BOND SPECIFICATION</t>
  </si>
  <si>
    <t>BondDescription</t>
  </si>
  <si>
    <t>US912828N308</t>
  </si>
  <si>
    <t>BondType</t>
  </si>
  <si>
    <t>FIXED</t>
  </si>
  <si>
    <t>Currency</t>
  </si>
  <si>
    <t>USD</t>
  </si>
  <si>
    <t>ISIN</t>
  </si>
  <si>
    <t>YieldType</t>
  </si>
  <si>
    <t>YIELD-TO-MATURITY</t>
  </si>
  <si>
    <t>IsCleanPrice</t>
  </si>
  <si>
    <t>BondQuoteConvention</t>
  </si>
  <si>
    <t>QUOTE_IN_32NDS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</si>
  <si>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</si>
  <si>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</si>
  <si>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</si>
  <si>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</si>
  <si>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</si>
  <si>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</si>
  <si>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</si>
  <si>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</si>
  <si>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</si>
  <si>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</si>
  <si>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</si>
  <si>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</si>
  <si>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</si>
  <si>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NYB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</si>
  <si>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</si>
  <si>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</si>
  <si>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</si>
  <si>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</si>
  <si>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</si>
  <si>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</si>
  <si>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</si>
  <si>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</si>
  <si>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TYPE1_STREET_CONVENTION</t>
  </si>
  <si>
    <t>Bloomberg ID</t>
  </si>
  <si>
    <t>BID</t>
  </si>
  <si>
    <t>Side: Bid/Ask</t>
  </si>
  <si>
    <t>LegType</t>
  </si>
  <si>
    <t>Leg2:Float</t>
  </si>
  <si>
    <t>Notional</t>
  </si>
  <si>
    <t>NONE</t>
  </si>
  <si>
    <t>PAY</t>
  </si>
  <si>
    <t>ForecastCurve</t>
  </si>
  <si>
    <t>USD3ML</t>
  </si>
  <si>
    <t>DiscountCurve</t>
  </si>
  <si>
    <t>USDOIS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</si>
  <si>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</si>
  <si>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</si>
  <si>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</si>
  <si>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</si>
  <si>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</si>
  <si>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</si>
  <si>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</si>
  <si>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</si>
  <si>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</si>
  <si>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</si>
  <si>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ACT/360</t>
  </si>
  <si>
    <t>FixingBusinessDayAdjustment</t>
  </si>
  <si>
    <t>MOD_FOLLOWING</t>
  </si>
  <si>
    <t>FixingCalendar</t>
  </si>
  <si>
    <t>LNB:NYB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</si>
  <si>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</si>
  <si>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</si>
  <si>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</si>
  <si>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</si>
  <si>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</si>
  <si>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</si>
  <si>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</si>
  <si>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</si>
  <si>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</si>
  <si>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</si>
  <si>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</si>
  <si>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SEMI-ANNUAL</t>
  </si>
  <si>
    <t>*</t>
  </si>
  <si>
    <t>BOND</t>
  </si>
  <si>
    <t xml:space="preserve"> </t>
  </si>
  <si>
    <t>Create Asset Swap</t>
  </si>
  <si>
    <t>Create Bond</t>
  </si>
  <si>
    <t>Handle Name</t>
  </si>
  <si>
    <t>UST 2 1/8 31-DEC-22</t>
  </si>
  <si>
    <t>USD_ASSET_SWAP</t>
  </si>
  <si>
    <t>USDYC</t>
  </si>
  <si>
    <t>ASSET SWAP RESULTS</t>
  </si>
  <si>
    <t>BOND RESULTS</t>
  </si>
  <si>
    <t>SettlementDate</t>
  </si>
  <si>
    <t>1D</t>
  </si>
  <si>
    <t>SettlementLag</t>
  </si>
  <si>
    <t>Calendar</t>
  </si>
  <si>
    <t>US0003M Index</t>
  </si>
  <si>
    <t>PX_ASK</t>
  </si>
  <si>
    <t>ValuationDate</t>
  </si>
  <si>
    <t>BusDayAdjustment</t>
  </si>
  <si>
    <t>SETTLEMENT DATE</t>
  </si>
  <si>
    <t>Clean Price</t>
  </si>
  <si>
    <t>Dirty Price</t>
  </si>
  <si>
    <t>Quote Override</t>
  </si>
  <si>
    <t>Bloomberg Quote</t>
  </si>
  <si>
    <t>AccruedInterestDays</t>
  </si>
  <si>
    <t>AccruedInterest</t>
  </si>
  <si>
    <t>Type: Govt/Corp</t>
  </si>
  <si>
    <t>GOVT</t>
  </si>
  <si>
    <t>Quote Price</t>
  </si>
  <si>
    <t>DV01</t>
  </si>
  <si>
    <t>ModifiedDuration</t>
  </si>
  <si>
    <t>IssueDate</t>
  </si>
  <si>
    <t>AccrualStartDate</t>
  </si>
  <si>
    <t>Asset Swap</t>
  </si>
  <si>
    <t>CurveCollection</t>
  </si>
  <si>
    <t>PRICING PARAMETERS</t>
  </si>
  <si>
    <t>ResetLag</t>
  </si>
  <si>
    <t>ResetDate</t>
  </si>
  <si>
    <t>ResetRate</t>
  </si>
  <si>
    <t>LiborIndex</t>
  </si>
  <si>
    <t>RESET LOOKUP</t>
  </si>
  <si>
    <t>BOND CASHFLOWS</t>
  </si>
  <si>
    <t>ASW: BOND LEG CASHFLOWS</t>
  </si>
  <si>
    <t>ASW: FUNDING LEG CASHFLOWS</t>
  </si>
  <si>
    <t>Leg1:FixedBond</t>
  </si>
  <si>
    <t>ValuationLag</t>
  </si>
  <si>
    <t>ValuationCalendar</t>
  </si>
  <si>
    <t>ValuationBusinessDayAdjustment</t>
  </si>
  <si>
    <t>NATURAL</t>
  </si>
  <si>
    <t>USD1ML</t>
  </si>
  <si>
    <t>Tenor</t>
  </si>
  <si>
    <t>CurveIndex</t>
  </si>
  <si>
    <t>1M</t>
  </si>
  <si>
    <t>2M</t>
  </si>
  <si>
    <t>USD2ML</t>
  </si>
  <si>
    <t>3M</t>
  </si>
  <si>
    <t>6M</t>
  </si>
  <si>
    <t>USD6ML</t>
  </si>
  <si>
    <t>12M</t>
  </si>
  <si>
    <t>USD12ML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</si>
  <si>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</si>
  <si>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</si>
  <si>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</si>
  <si>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</si>
  <si>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</si>
  <si>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</si>
  <si>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</si>
  <si>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</si>
  <si>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</si>
  <si>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</si>
  <si>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FIXING OVERRIDE</t>
  </si>
  <si>
    <t>INCLUDE ACCRUED</t>
  </si>
  <si>
    <t>STUB RATE</t>
  </si>
  <si>
    <t>STUB RATE TABLE</t>
  </si>
  <si>
    <t>STUB RATE FLOAT LEG LVB</t>
  </si>
  <si>
    <t>* Set effective date to the last coupon date to include accrued, use meLWOBondLastCouponDate</t>
  </si>
  <si>
    <t>Bid/Ask</t>
  </si>
  <si>
    <t>BOND Z-SPREAD</t>
  </si>
  <si>
    <t>BondName</t>
  </si>
  <si>
    <t>BondPrice</t>
  </si>
  <si>
    <t>Z-Spread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</si>
</sst>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"/>
    <numFmt numFmtId="165" formatCode="0.000000%"/>
    <numFmt numFmtId="166" formatCode="ddd\ d\-mmm\-yy"/>
    <numFmt numFmtId="167" formatCode="#,##0.0000"/>
    <numFmt numFmtId="168" formatCode="ddd\,\ d\-mmm\-yy"/>
    <numFmt numFmtId="169" formatCode="0.00000%"/>
    <numFmt numFmtId="170" formatCode="0.000%"/>
    <numFmt numFmtId="171" formatCode="0.0000%"/>
    <numFmt numFmtId="172" formatCode="#,##0.000000"/>
    <numFmt numFmtId="173" formatCode="_(&quot;$&quot;* #,##0.00_);_(&quot;$&quot;* \(#,##0.00\);_(&quot;$&quot;* &quot;-&quot;??_);_(@_)"/>
    <numFmt numFmtId="174" formatCode="0\ &quot; days&quot;"/>
    <numFmt numFmtId="175" formatCode="mmm\-yyyy"/>
    <numFmt numFmtId="176" formatCode="0.000"/>
    <numFmt numFmtId="177" formatCode="dd/m/yy"/>
    <numFmt numFmtId="178" formatCode="_(&quot;$&quot;* #,##0_);_(&quot;$&quot;* \(#,##0\);_(&quot;$&quot;* &quot;-&quot;_);_(@_)"/>
    <numFmt numFmtId="179" formatCode="0.00_)"/>
    <numFmt numFmtId="180" formatCode="dd\-mmm\-yy;dd\-mmm\-yy;"/>
    <numFmt numFmtId="181" formatCode="_ * #,##0_ ;_ * \-#,##0_ ;_ * &quot;-&quot;_ ;_ @_ "/>
  </numFmts>
  <fonts count="9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7360">
    <xf numFmtId="0" fontId="0" fillId="0" borderId="0"/>
    <xf numFmtId="41" fontId="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3" fillId="0" borderId="0">
      <alignment vertical="center"/>
    </xf>
    <xf numFmtId="9" fontId="14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1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9" borderId="0" applyNumberFormat="0" applyBorder="0" applyAlignment="0" applyProtection="0"/>
    <xf numFmtId="0" fontId="16" fillId="30" borderId="0" applyNumberFormat="0" applyBorder="0" applyAlignment="0" applyProtection="0"/>
    <xf numFmtId="0" fontId="16" fillId="18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4" borderId="0" applyNumberFormat="0" applyBorder="0" applyAlignment="0" applyProtection="0"/>
    <xf numFmtId="0" fontId="16" fillId="31" borderId="0" applyNumberFormat="0" applyBorder="0" applyAlignment="0" applyProtection="0"/>
    <xf numFmtId="0" fontId="16" fillId="2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28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2" borderId="0" applyNumberFormat="0" applyBorder="0" applyAlignment="0" applyProtection="0"/>
    <xf numFmtId="0" fontId="16" fillId="30" borderId="0" applyNumberFormat="0" applyBorder="0" applyAlignment="0" applyProtection="0"/>
    <xf numFmtId="0" fontId="16" fillId="38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9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0" borderId="10" applyNumberFormat="0" applyFill="0" applyAlignment="0" applyProtection="0">
      <alignment horizontal="left"/>
    </xf>
    <xf numFmtId="0" fontId="18" fillId="0" borderId="10">
      <protection hidden="1"/>
    </xf>
    <xf numFmtId="0" fontId="19" fillId="41" borderId="0" applyNumberFormat="0" applyFont="0" applyBorder="0" applyAlignment="0" applyProtection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20" fillId="42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43" borderId="0"/>
    <xf numFmtId="0" fontId="24" fillId="44" borderId="0" applyNumberFormat="0" applyFont="0" applyBorder="0" applyAlignment="0" applyProtection="0">
      <alignment horizontal="center"/>
    </xf>
    <xf numFmtId="0" fontId="25" fillId="0" borderId="0">
      <alignment horizontal="right"/>
    </xf>
    <xf numFmtId="170" fontId="26" fillId="45" borderId="0"/>
    <xf numFmtId="0" fontId="27" fillId="46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3" fillId="36" borderId="12" applyNumberFormat="0" applyAlignment="0" applyProtection="0"/>
    <xf numFmtId="0" fontId="23" fillId="47" borderId="12" applyNumberFormat="0" applyAlignment="0" applyProtection="0"/>
    <xf numFmtId="0" fontId="23" fillId="47" borderId="12" applyNumberFormat="0" applyAlignment="0" applyProtection="0"/>
    <xf numFmtId="0" fontId="23" fillId="47" borderId="12" applyNumberFormat="0" applyAlignment="0" applyProtection="0"/>
    <xf numFmtId="0" fontId="29" fillId="0" borderId="10" applyNumberFormat="0" applyBorder="0" applyAlignment="0" applyProtection="0">
      <alignment horizontal="left"/>
    </xf>
    <xf numFmtId="38" fontId="3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33" fillId="0" borderId="0">
      <alignment horizontal="right"/>
    </xf>
    <xf numFmtId="0" fontId="14" fillId="48" borderId="13" applyNumberFormat="0" applyFont="0" applyBorder="0" applyAlignment="0" applyProtection="0">
      <alignment horizontal="centerContinuous"/>
    </xf>
    <xf numFmtId="0" fontId="34" fillId="49" borderId="0" applyNumberFormat="0" applyBorder="0" applyAlignment="0">
      <alignment horizontal="center"/>
    </xf>
    <xf numFmtId="0" fontId="35" fillId="50" borderId="14">
      <alignment horizontal="center"/>
      <protection locked="0"/>
    </xf>
    <xf numFmtId="15" fontId="36" fillId="51" borderId="15" applyFont="0" applyFill="0" applyBorder="0" applyAlignment="0" applyProtection="0">
      <alignment horizontal="left"/>
    </xf>
    <xf numFmtId="17" fontId="36" fillId="51" borderId="15" applyFont="0" applyFill="0" applyBorder="0" applyAlignment="0" applyProtection="0">
      <alignment horizontal="left"/>
    </xf>
    <xf numFmtId="0" fontId="36" fillId="51" borderId="0">
      <alignment vertical="center"/>
    </xf>
    <xf numFmtId="174" fontId="36" fillId="0" borderId="0" applyFont="0" applyFill="0" applyBorder="0" applyAlignment="0" applyProtection="0"/>
    <xf numFmtId="0" fontId="19" fillId="1" borderId="16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6" borderId="0"/>
    <xf numFmtId="175" fontId="39" fillId="52" borderId="17" applyBorder="0"/>
    <xf numFmtId="0" fontId="12" fillId="21" borderId="16"/>
    <xf numFmtId="0" fontId="12" fillId="21" borderId="16"/>
    <xf numFmtId="0" fontId="12" fillId="21" borderId="16"/>
    <xf numFmtId="0" fontId="12" fillId="21" borderId="16"/>
    <xf numFmtId="176" fontId="40" fillId="46" borderId="0"/>
    <xf numFmtId="0" fontId="41" fillId="53" borderId="16"/>
    <xf numFmtId="175" fontId="39" fillId="0" borderId="16"/>
    <xf numFmtId="175" fontId="39" fillId="54" borderId="16"/>
    <xf numFmtId="175" fontId="39" fillId="55" borderId="18" applyBorder="0"/>
    <xf numFmtId="175" fontId="39" fillId="56" borderId="16"/>
    <xf numFmtId="0" fontId="42" fillId="46" borderId="16"/>
    <xf numFmtId="0" fontId="38" fillId="57" borderId="16"/>
    <xf numFmtId="0" fontId="43" fillId="58" borderId="19" applyBorder="0">
      <alignment horizontal="right"/>
    </xf>
    <xf numFmtId="38" fontId="12" fillId="0" borderId="16"/>
    <xf numFmtId="0" fontId="12" fillId="0" borderId="16"/>
    <xf numFmtId="0" fontId="12" fillId="9" borderId="16"/>
    <xf numFmtId="0" fontId="12" fillId="9" borderId="16"/>
    <xf numFmtId="0" fontId="12" fillId="9" borderId="16"/>
    <xf numFmtId="0" fontId="12" fillId="9" borderId="16"/>
    <xf numFmtId="175" fontId="39" fillId="54" borderId="16"/>
    <xf numFmtId="0" fontId="44" fillId="52" borderId="20">
      <alignment horizontal="center"/>
    </xf>
    <xf numFmtId="175" fontId="39" fillId="46" borderId="16"/>
    <xf numFmtId="0" fontId="45" fillId="59" borderId="0"/>
    <xf numFmtId="0" fontId="46" fillId="0" borderId="0"/>
    <xf numFmtId="0" fontId="47" fillId="0" borderId="0" applyNumberFormat="0" applyFill="0" applyBorder="0" applyAlignment="0" applyProtection="0"/>
    <xf numFmtId="0" fontId="48" fillId="36" borderId="0">
      <alignment horizontal="center"/>
    </xf>
    <xf numFmtId="0" fontId="49" fillId="21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50" fillId="60" borderId="21" applyNumberFormat="0" applyFont="0" applyBorder="0" applyAlignment="0">
      <alignment horizontal="centerContinuous"/>
    </xf>
    <xf numFmtId="0" fontId="51" fillId="19" borderId="16" applyProtection="0">
      <alignment horizontal="center"/>
      <protection locked="0"/>
    </xf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2" fillId="0" borderId="24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1" borderId="0" applyNumberFormat="0" applyFon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1" fillId="24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2" fontId="12" fillId="62" borderId="30" applyNumberFormat="0" applyBorder="0">
      <alignment horizontal="right" vertical="center"/>
    </xf>
    <xf numFmtId="2" fontId="62" fillId="63" borderId="31" applyBorder="0">
      <alignment horizontal="left" vertical="center"/>
    </xf>
    <xf numFmtId="10" fontId="63" fillId="46" borderId="0" applyBorder="0">
      <alignment horizontal="right"/>
      <protection locked="0"/>
    </xf>
    <xf numFmtId="15" fontId="63" fillId="46" borderId="16" applyBorder="0">
      <alignment horizontal="center"/>
      <protection locked="0"/>
    </xf>
    <xf numFmtId="15" fontId="63" fillId="46" borderId="0" applyBorder="0">
      <alignment horizontal="left"/>
      <protection locked="0"/>
    </xf>
    <xf numFmtId="0" fontId="64" fillId="64" borderId="0" applyFont="0" applyFill="0" applyBorder="0" applyAlignment="0" applyProtection="0">
      <alignment horizontal="right" vertical="center"/>
    </xf>
    <xf numFmtId="2" fontId="65" fillId="65" borderId="31" applyNumberFormat="0">
      <alignment horizontal="center" vertical="center"/>
    </xf>
    <xf numFmtId="0" fontId="66" fillId="0" borderId="10" applyNumberFormat="0" applyFill="0" applyBorder="0" applyAlignment="0" applyProtection="0"/>
    <xf numFmtId="177" fontId="67" fillId="19" borderId="21" applyBorder="0">
      <alignment horizontal="left"/>
      <protection locked="0"/>
    </xf>
    <xf numFmtId="177" fontId="67" fillId="19" borderId="32" applyBorder="0">
      <alignment horizontal="right"/>
      <protection locked="0"/>
    </xf>
    <xf numFmtId="0" fontId="68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43" fillId="0" borderId="20"/>
    <xf numFmtId="0" fontId="19" fillId="0" borderId="0"/>
    <xf numFmtId="0" fontId="71" fillId="0" borderId="10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0" fontId="72" fillId="66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179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>
      <alignment vertical="center"/>
    </xf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9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75" fillId="0" borderId="10" applyNumberFormat="0" applyFill="0" applyBorder="0" applyAlignment="0" applyProtection="0">
      <alignment horizontal="left"/>
      <protection locked="0"/>
    </xf>
    <xf numFmtId="0" fontId="76" fillId="46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7" fillId="67" borderId="0" applyNumberFormat="0" applyFont="0" applyBorder="0" applyAlignment="0" applyProtection="0"/>
    <xf numFmtId="0" fontId="77" fillId="68" borderId="0" applyNumberFormat="0" applyFont="0" applyBorder="0" applyAlignment="0" applyProtection="0"/>
    <xf numFmtId="0" fontId="77" fillId="69" borderId="0" applyNumberFormat="0" applyFont="0" applyBorder="0" applyAlignment="0" applyProtection="0">
      <alignment horizontal="center"/>
    </xf>
    <xf numFmtId="0" fontId="77" fillId="70" borderId="36" applyNumberFormat="0" applyFont="0" applyBorder="0" applyAlignment="0" applyProtection="0"/>
    <xf numFmtId="0" fontId="77" fillId="71" borderId="36" applyNumberFormat="0" applyFont="0" applyBorder="0" applyAlignment="0"/>
    <xf numFmtId="0" fontId="77" fillId="72" borderId="36" applyNumberFormat="0" applyFont="0" applyBorder="0" applyAlignment="0"/>
    <xf numFmtId="0" fontId="19" fillId="73" borderId="0" applyNumberFormat="0" applyFont="0" applyBorder="0" applyAlignment="0" applyProtection="0">
      <alignment horizontal="center"/>
      <protection hidden="1"/>
    </xf>
    <xf numFmtId="0" fontId="12" fillId="41" borderId="0" applyNumberFormat="0" applyFont="0" applyBorder="0" applyAlignment="0" applyProtection="0">
      <protection hidden="1"/>
    </xf>
    <xf numFmtId="0" fontId="12" fillId="74" borderId="0" applyNumberFormat="0" applyFont="0" applyBorder="0" applyAlignment="0" applyProtection="0">
      <protection hidden="1"/>
    </xf>
    <xf numFmtId="0" fontId="12" fillId="75" borderId="0" applyNumberFormat="0" applyFont="0" applyBorder="0" applyAlignment="0" applyProtection="0">
      <protection hidden="1"/>
    </xf>
    <xf numFmtId="0" fontId="12" fillId="76" borderId="0" applyNumberFormat="0" applyFont="0" applyBorder="0" applyAlignment="0" applyProtection="0">
      <protection hidden="1"/>
    </xf>
    <xf numFmtId="0" fontId="12" fillId="77" borderId="0" applyNumberFormat="0" applyFont="0" applyBorder="0" applyAlignment="0" applyProtection="0">
      <protection hidden="1"/>
    </xf>
    <xf numFmtId="0" fontId="12" fillId="78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6" fillId="51" borderId="15" applyFont="0" applyFill="0" applyBorder="0" applyAlignment="0" applyProtection="0">
      <alignment horizontal="left"/>
    </xf>
    <xf numFmtId="0" fontId="78" fillId="0" borderId="37" applyBorder="0"/>
    <xf numFmtId="0" fontId="36" fillId="79" borderId="0" applyFont="0" applyFill="0" applyBorder="0">
      <alignment horizontal="left"/>
    </xf>
    <xf numFmtId="0" fontId="79" fillId="0" borderId="0"/>
    <xf numFmtId="180" fontId="80" fillId="0" borderId="37" applyBorder="0">
      <alignment horizontal="center"/>
      <protection locked="0"/>
    </xf>
    <xf numFmtId="0" fontId="12" fillId="0" borderId="0">
      <alignment horizontal="left" wrapText="1"/>
    </xf>
    <xf numFmtId="0" fontId="12" fillId="0" borderId="0"/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46" borderId="16" applyAlignment="0">
      <alignment horizontal="right"/>
    </xf>
    <xf numFmtId="0" fontId="12" fillId="46" borderId="16" applyAlignment="0">
      <alignment horizontal="right"/>
    </xf>
    <xf numFmtId="0" fontId="82" fillId="0" borderId="0"/>
    <xf numFmtId="0" fontId="83" fillId="0" borderId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>
      <alignment horizontal="center"/>
    </xf>
    <xf numFmtId="0" fontId="88" fillId="18" borderId="10"/>
    <xf numFmtId="0" fontId="89" fillId="0" borderId="38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90" fillId="19" borderId="0" applyNumberFormat="0" applyFont="0" applyBorder="0" applyAlignment="0" applyProtection="0">
      <alignment horizontal="lef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81" fontId="12" fillId="0" borderId="0" applyFont="0" applyFill="0" applyBorder="0" applyAlignment="0" applyProtection="0"/>
    <xf numFmtId="0" fontId="30" fillId="0" borderId="0">
      <alignment vertical="center"/>
    </xf>
    <xf numFmtId="0" fontId="9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</cellStyleXfs>
  <cellXfs count="110">
    <xf numFmtId="0" fontId="0" fillId="0" borderId="0" xfId="0"/>
    <xf numFmtId="0" fontId="2" fillId="0" borderId="0" xfId="0" applyFont="1"/>
    <xf numFmtId="164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7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7" fillId="0" borderId="0" xfId="0" applyFont="1" applyFill="1"/>
    <xf numFmtId="165" fontId="3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169" fontId="1" fillId="5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65" fontId="6" fillId="0" borderId="2" xfId="0" applyNumberFormat="1" applyFont="1" applyFill="1" applyBorder="1" applyAlignment="1">
      <alignment horizontal="center"/>
    </xf>
    <xf numFmtId="167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7" fontId="0" fillId="4" borderId="2" xfId="0" applyNumberFormat="1" applyFont="1" applyFill="1" applyBorder="1" applyAlignment="1">
      <alignment horizontal="center" vertical="center"/>
    </xf>
    <xf numFmtId="167" fontId="0" fillId="4" borderId="1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4" fontId="0" fillId="0" borderId="0" xfId="0" applyNumberFormat="1"/>
    <xf numFmtId="167" fontId="6" fillId="0" borderId="3" xfId="0" applyNumberFormat="1" applyFont="1" applyBorder="1" applyAlignment="1">
      <alignment horizontal="center" vertical="center"/>
    </xf>
    <xf numFmtId="166" fontId="4" fillId="4" borderId="9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8" fontId="2" fillId="0" borderId="0" xfId="0" applyNumberFormat="1" applyFont="1"/>
    <xf numFmtId="3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68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71" fontId="6" fillId="2" borderId="0" xfId="0" applyNumberFormat="1" applyFont="1" applyFill="1" applyAlignment="1">
      <alignment horizontal="center" vertical="center"/>
    </xf>
    <xf numFmtId="172" fontId="6" fillId="2" borderId="0" xfId="0" applyNumberFormat="1" applyFont="1" applyFill="1" applyAlignment="1">
      <alignment horizontal="center" vertical="center"/>
    </xf>
    <xf numFmtId="168" fontId="6" fillId="2" borderId="0" xfId="0" applyNumberFormat="1" applyFont="1" applyFill="1"/>
    <xf numFmtId="4" fontId="6" fillId="2" borderId="0" xfId="0" applyNumberFormat="1" applyFont="1" applyFill="1"/>
    <xf numFmtId="3" fontId="6" fillId="2" borderId="0" xfId="0" applyNumberFormat="1" applyFont="1" applyFill="1"/>
    <xf numFmtId="171" fontId="6" fillId="2" borderId="0" xfId="0" applyNumberFormat="1" applyFont="1" applyFill="1"/>
    <xf numFmtId="172" fontId="6" fillId="2" borderId="0" xfId="0" applyNumberFormat="1" applyFont="1" applyFill="1"/>
    <xf numFmtId="168" fontId="6" fillId="2" borderId="0" xfId="0" applyNumberFormat="1" applyFont="1" applyFill="1" applyAlignment="1">
      <alignment horizontal="left" vertical="center"/>
    </xf>
    <xf numFmtId="167" fontId="6" fillId="2" borderId="0" xfId="0" applyNumberFormat="1" applyFont="1" applyFill="1"/>
    <xf numFmtId="167" fontId="6" fillId="2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8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1" fillId="5" borderId="3" xfId="0" applyNumberFormat="1" applyFont="1" applyFill="1" applyBorder="1" applyAlignment="1">
      <alignment horizontal="center" vertical="center"/>
    </xf>
    <xf numFmtId="169" fontId="10" fillId="5" borderId="0" xfId="0" applyNumberFormat="1" applyFont="1" applyFill="1" applyAlignment="1">
      <alignment horizontal="center" vertical="center"/>
    </xf>
    <xf numFmtId="0" fontId="7" fillId="0" borderId="0" xfId="0" applyFont="1"/>
    <xf numFmtId="170" fontId="0" fillId="0" borderId="0" xfId="0" applyNumberFormat="1"/>
    <xf numFmtId="0" fontId="0" fillId="80" borderId="2" xfId="0" applyFill="1" applyBorder="1"/>
    <xf numFmtId="0" fontId="0" fillId="80" borderId="1" xfId="0" applyFill="1" applyBorder="1"/>
    <xf numFmtId="0" fontId="0" fillId="80" borderId="3" xfId="0" applyFill="1" applyBorder="1"/>
    <xf numFmtId="0" fontId="0" fillId="0" borderId="0" xfId="0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1" fontId="2" fillId="3" borderId="8" xfId="0" applyNumberFormat="1" applyFont="1" applyFill="1" applyBorder="1" applyAlignment="1">
      <alignment horizontal="center" vertical="center"/>
    </xf>
    <xf numFmtId="171" fontId="2" fillId="3" borderId="44" xfId="0" applyNumberFormat="1" applyFont="1" applyFill="1" applyBorder="1" applyAlignment="1">
      <alignment horizontal="center" vertical="center"/>
    </xf>
    <xf numFmtId="171" fontId="2" fillId="3" borderId="6" xfId="0" applyNumberFormat="1" applyFont="1" applyFill="1" applyBorder="1" applyAlignment="1">
      <alignment horizontal="center" vertical="center"/>
    </xf>
    <xf numFmtId="170" fontId="5" fillId="2" borderId="41" xfId="0" applyNumberFormat="1" applyFont="1" applyFill="1" applyBorder="1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9" fontId="1" fillId="5" borderId="0" xfId="0" applyNumberFormat="1" applyFont="1" applyFill="1" applyAlignment="1">
      <alignment horizontal="center" vertical="center"/>
    </xf>
    <xf numFmtId="169" fontId="0" fillId="0" borderId="0" xfId="0" applyNumberFormat="1"/>
    <xf numFmtId="169" fontId="6" fillId="2" borderId="0" xfId="0" applyNumberFormat="1" applyFont="1" applyFill="1" applyAlignment="1">
      <alignment horizontal="center" vertical="center"/>
    </xf>
    <xf numFmtId="169" fontId="6" fillId="2" borderId="0" xfId="0" applyNumberFormat="1" applyFont="1" applyFill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</cellXfs>
  <cellStyles count="7360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 2" xfId="382"/>
    <cellStyle name="20% - Accent5 2 2" xfId="383"/>
    <cellStyle name="20% - Accent5 3" xfId="384"/>
    <cellStyle name="20% - Accent5 4" xfId="385"/>
    <cellStyle name="20% - Accent6 2" xfId="386"/>
    <cellStyle name="20% - Accent6 2 2" xfId="387"/>
    <cellStyle name="20% - Accent6 3" xfId="388"/>
    <cellStyle name="20% - Accent6 4" xfId="389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 2" xfId="396"/>
    <cellStyle name="40% - Accent2 2 2" xfId="397"/>
    <cellStyle name="40% - Accent2 3" xfId="398"/>
    <cellStyle name="40% - Accent2 4" xfId="399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 2" xfId="412"/>
    <cellStyle name="40% - Accent5 2 2" xfId="413"/>
    <cellStyle name="40% - Accent5 3" xfId="414"/>
    <cellStyle name="40% - Accent5 4" xfId="415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 2" xfId="428"/>
    <cellStyle name="60% - Accent2 2 2" xfId="429"/>
    <cellStyle name="60% - Accent2 3" xfId="430"/>
    <cellStyle name="60% - Accent2 4" xfId="43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 2" xfId="444"/>
    <cellStyle name="60% - Accent5 2 2" xfId="445"/>
    <cellStyle name="60% - Accent5 3" xfId="446"/>
    <cellStyle name="60% - Accent5 4" xfId="447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 2" xfId="460"/>
    <cellStyle name="Accent2 2 2" xfId="461"/>
    <cellStyle name="Accent2 3" xfId="462"/>
    <cellStyle name="Accent2 4" xfId="463"/>
    <cellStyle name="Accent3 2" xfId="464"/>
    <cellStyle name="Accent3 2 2" xfId="465"/>
    <cellStyle name="Accent3 3" xfId="466"/>
    <cellStyle name="Accent3 4" xfId="467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 2" xfId="474"/>
    <cellStyle name="Accent5 2 2" xfId="475"/>
    <cellStyle name="Accent5 3" xfId="476"/>
    <cellStyle name="Accent5 4" xfId="477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3" xfId="1805"/>
    <cellStyle name="Comma [0] 3 2" xfId="1806"/>
    <cellStyle name="Comma [0] 3 2 2" xfId="1807"/>
    <cellStyle name="Comma [0] 4" xfId="1808"/>
    <cellStyle name="Comma [0] 4 2" xfId="1809"/>
    <cellStyle name="Comma [0] 5" xfId="1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3" xfId="1815"/>
    <cellStyle name="Comma 10 2 3" xfId="1816"/>
    <cellStyle name="Comma 10 2 3 2" xfId="1817"/>
    <cellStyle name="Comma 10 2 4" xfId="1818"/>
    <cellStyle name="Comma 10 3" xfId="1819"/>
    <cellStyle name="Comma 10 3 2" xfId="1820"/>
    <cellStyle name="Comma 10 3 2 2" xfId="1821"/>
    <cellStyle name="Comma 10 3 3" xfId="1822"/>
    <cellStyle name="Comma 10 4" xfId="1823"/>
    <cellStyle name="Comma 10 4 2" xfId="1824"/>
    <cellStyle name="Comma 10 5" xfId="1825"/>
    <cellStyle name="Comma 10 5 2" xfId="1826"/>
    <cellStyle name="Comma 10 6" xfId="1827"/>
    <cellStyle name="Comma 100" xfId="1828"/>
    <cellStyle name="Comma 101" xfId="1829"/>
    <cellStyle name="Comma 102" xfId="1830"/>
    <cellStyle name="Comma 103" xfId="1831"/>
    <cellStyle name="Comma 104" xfId="1832"/>
    <cellStyle name="Comma 105" xfId="1833"/>
    <cellStyle name="Comma 106" xfId="1834"/>
    <cellStyle name="Comma 107" xfId="1835"/>
    <cellStyle name="Comma 108" xfId="1836"/>
    <cellStyle name="Comma 109" xfId="1837"/>
    <cellStyle name="Comma 11" xfId="1838"/>
    <cellStyle name="Comma 11 2" xfId="1839"/>
    <cellStyle name="Comma 11 2 2" xfId="1840"/>
    <cellStyle name="Comma 11 2 2 2" xfId="1841"/>
    <cellStyle name="Comma 11 2 3" xfId="1842"/>
    <cellStyle name="Comma 11 3" xfId="1843"/>
    <cellStyle name="Comma 11 3 2" xfId="1844"/>
    <cellStyle name="Comma 11 4" xfId="1845"/>
    <cellStyle name="Comma 11 4 2" xfId="1846"/>
    <cellStyle name="Comma 11 5" xfId="1847"/>
    <cellStyle name="Comma 110" xfId="1848"/>
    <cellStyle name="Comma 111" xfId="1849"/>
    <cellStyle name="Comma 112" xfId="1850"/>
    <cellStyle name="Comma 113" xfId="1851"/>
    <cellStyle name="Comma 114" xfId="1852"/>
    <cellStyle name="Comma 115" xfId="1853"/>
    <cellStyle name="Comma 116" xfId="1854"/>
    <cellStyle name="Comma 117" xfId="1855"/>
    <cellStyle name="Comma 118" xfId="1856"/>
    <cellStyle name="Comma 119" xfId="1857"/>
    <cellStyle name="Comma 12" xfId="1858"/>
    <cellStyle name="Comma 12 2" xfId="1859"/>
    <cellStyle name="Comma 12 2 2" xfId="1860"/>
    <cellStyle name="Comma 12 2 2 2" xfId="1861"/>
    <cellStyle name="Comma 12 2 3" xfId="1862"/>
    <cellStyle name="Comma 12 3" xfId="1863"/>
    <cellStyle name="Comma 12 3 2" xfId="1864"/>
    <cellStyle name="Comma 12 4" xfId="1865"/>
    <cellStyle name="Comma 12 4 2" xfId="1866"/>
    <cellStyle name="Comma 12 5" xfId="1867"/>
    <cellStyle name="Comma 120" xfId="1868"/>
    <cellStyle name="Comma 121" xfId="1869"/>
    <cellStyle name="Comma 122" xfId="1870"/>
    <cellStyle name="Comma 123" xfId="1871"/>
    <cellStyle name="Comma 124" xfId="1872"/>
    <cellStyle name="Comma 125" xfId="1873"/>
    <cellStyle name="Comma 126" xfId="1874"/>
    <cellStyle name="Comma 127" xfId="1875"/>
    <cellStyle name="Comma 128" xfId="1876"/>
    <cellStyle name="Comma 13" xfId="1877"/>
    <cellStyle name="Comma 13 2" xfId="1878"/>
    <cellStyle name="Comma 14" xfId="1879"/>
    <cellStyle name="Comma 14 2" xfId="1880"/>
    <cellStyle name="Comma 15" xfId="1881"/>
    <cellStyle name="Comma 15 2" xfId="1882"/>
    <cellStyle name="Comma 16" xfId="1883"/>
    <cellStyle name="Comma 16 2" xfId="1884"/>
    <cellStyle name="Comma 17" xfId="1885"/>
    <cellStyle name="Comma 17 2" xfId="1886"/>
    <cellStyle name="Comma 18" xfId="1887"/>
    <cellStyle name="Comma 18 2" xfId="1888"/>
    <cellStyle name="Comma 19" xfId="1889"/>
    <cellStyle name="Comma 19 2" xfId="1890"/>
    <cellStyle name="Comma 2" xfId="1891"/>
    <cellStyle name="Comma 2 2" xfId="1892"/>
    <cellStyle name="Comma 2 2 2" xfId="1893"/>
    <cellStyle name="Comma 2 3" xfId="1894"/>
    <cellStyle name="Comma 20" xfId="1895"/>
    <cellStyle name="Comma 20 2" xfId="1896"/>
    <cellStyle name="Comma 21" xfId="1897"/>
    <cellStyle name="Comma 21 2" xfId="1898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7" xfId="1905"/>
    <cellStyle name="Comma 27 2" xfId="1906"/>
    <cellStyle name="Comma 28" xfId="1907"/>
    <cellStyle name="Comma 28 2" xfId="1908"/>
    <cellStyle name="Comma 29" xfId="1909"/>
    <cellStyle name="Comma 29 2" xfId="1910"/>
    <cellStyle name="Comma 3" xfId="1911"/>
    <cellStyle name="Comma 3 2" xfId="1912"/>
    <cellStyle name="Comma 30" xfId="1913"/>
    <cellStyle name="Comma 30 2" xfId="1914"/>
    <cellStyle name="Comma 31" xfId="1915"/>
    <cellStyle name="Comma 31 2" xfId="1916"/>
    <cellStyle name="Comma 32" xfId="1917"/>
    <cellStyle name="Comma 32 2" xfId="1918"/>
    <cellStyle name="Comma 33" xfId="1919"/>
    <cellStyle name="Comma 33 2" xfId="1920"/>
    <cellStyle name="Comma 34" xfId="1921"/>
    <cellStyle name="Comma 34 2" xfId="1922"/>
    <cellStyle name="Comma 35" xfId="1923"/>
    <cellStyle name="Comma 35 2" xfId="1924"/>
    <cellStyle name="Comma 36" xfId="1925"/>
    <cellStyle name="Comma 36 2" xfId="1926"/>
    <cellStyle name="Comma 37" xfId="1927"/>
    <cellStyle name="Comma 37 2" xfId="1928"/>
    <cellStyle name="Comma 38" xfId="1929"/>
    <cellStyle name="Comma 38 2" xfId="1930"/>
    <cellStyle name="Comma 39" xfId="1931"/>
    <cellStyle name="Comma 39 2" xfId="1932"/>
    <cellStyle name="Comma 4" xfId="1933"/>
    <cellStyle name="Comma 4 2" xfId="1934"/>
    <cellStyle name="Comma 40" xfId="1935"/>
    <cellStyle name="Comma 40 2" xfId="1936"/>
    <cellStyle name="Comma 41" xfId="1937"/>
    <cellStyle name="Comma 41 2" xfId="1938"/>
    <cellStyle name="Comma 42" xfId="1939"/>
    <cellStyle name="Comma 42 2" xfId="1940"/>
    <cellStyle name="Comma 43" xfId="1941"/>
    <cellStyle name="Comma 43 2" xfId="1942"/>
    <cellStyle name="Comma 44" xfId="1943"/>
    <cellStyle name="Comma 44 2" xfId="1944"/>
    <cellStyle name="Comma 45" xfId="1945"/>
    <cellStyle name="Comma 45 2" xfId="1946"/>
    <cellStyle name="Comma 46" xfId="1947"/>
    <cellStyle name="Comma 46 2" xfId="1948"/>
    <cellStyle name="Comma 47" xfId="1949"/>
    <cellStyle name="Comma 47 2" xfId="1950"/>
    <cellStyle name="Comma 48" xfId="1951"/>
    <cellStyle name="Comma 48 2" xfId="1952"/>
    <cellStyle name="Comma 49" xfId="1953"/>
    <cellStyle name="Comma 49 2" xfId="1954"/>
    <cellStyle name="Comma 5" xfId="1955"/>
    <cellStyle name="Comma 5 2" xfId="1956"/>
    <cellStyle name="Comma 5 2 2" xfId="1957"/>
    <cellStyle name="Comma 5 3" xfId="1958"/>
    <cellStyle name="Comma 50" xfId="1959"/>
    <cellStyle name="Comma 50 2" xfId="1960"/>
    <cellStyle name="Comma 51" xfId="1961"/>
    <cellStyle name="Comma 51 2" xfId="1962"/>
    <cellStyle name="Comma 52" xfId="1963"/>
    <cellStyle name="Comma 52 2" xfId="1964"/>
    <cellStyle name="Comma 53" xfId="1965"/>
    <cellStyle name="Comma 53 2" xfId="1966"/>
    <cellStyle name="Comma 54" xfId="1967"/>
    <cellStyle name="Comma 54 2" xfId="1968"/>
    <cellStyle name="Comma 55" xfId="1969"/>
    <cellStyle name="Comma 55 2" xfId="1970"/>
    <cellStyle name="Comma 56" xfId="1971"/>
    <cellStyle name="Comma 56 2" xfId="1972"/>
    <cellStyle name="Comma 57" xfId="1973"/>
    <cellStyle name="Comma 57 2" xfId="1974"/>
    <cellStyle name="Comma 58" xfId="1975"/>
    <cellStyle name="Comma 58 2" xfId="1976"/>
    <cellStyle name="Comma 59" xfId="1977"/>
    <cellStyle name="Comma 59 2" xfId="1978"/>
    <cellStyle name="Comma 6" xfId="1979"/>
    <cellStyle name="Comma 6 2" xfId="1980"/>
    <cellStyle name="Comma 6 2 2" xfId="1981"/>
    <cellStyle name="Comma 6 3" xfId="1982"/>
    <cellStyle name="Comma 60" xfId="1983"/>
    <cellStyle name="Comma 60 2" xfId="1984"/>
    <cellStyle name="Comma 61" xfId="1985"/>
    <cellStyle name="Comma 62" xfId="1986"/>
    <cellStyle name="Comma 63" xfId="1987"/>
    <cellStyle name="Comma 64" xfId="1988"/>
    <cellStyle name="Comma 65" xfId="1989"/>
    <cellStyle name="Comma 66" xfId="1990"/>
    <cellStyle name="Comma 67" xfId="1991"/>
    <cellStyle name="Comma 68" xfId="1992"/>
    <cellStyle name="Comma 69" xfId="1993"/>
    <cellStyle name="Comma 7" xfId="1994"/>
    <cellStyle name="Comma 7 2" xfId="1995"/>
    <cellStyle name="Comma 7 2 2" xfId="1996"/>
    <cellStyle name="Comma 7 2 2 2" xfId="1997"/>
    <cellStyle name="Comma 7 2 3" xfId="1998"/>
    <cellStyle name="Comma 7 3" xfId="1999"/>
    <cellStyle name="Comma 7 3 2" xfId="2000"/>
    <cellStyle name="Comma 7 4" xfId="2001"/>
    <cellStyle name="Comma 7 4 2" xfId="2002"/>
    <cellStyle name="Comma 7 5" xfId="2003"/>
    <cellStyle name="Comma 70" xfId="2004"/>
    <cellStyle name="Comma 71" xfId="2005"/>
    <cellStyle name="Comma 72" xfId="2006"/>
    <cellStyle name="Comma 73" xfId="2007"/>
    <cellStyle name="Comma 74" xfId="2008"/>
    <cellStyle name="Comma 75" xfId="2009"/>
    <cellStyle name="Comma 76" xfId="2010"/>
    <cellStyle name="Comma 77" xfId="2011"/>
    <cellStyle name="Comma 78" xfId="2012"/>
    <cellStyle name="Comma 79" xfId="2013"/>
    <cellStyle name="Comma 8" xfId="2014"/>
    <cellStyle name="Comma 8 2" xfId="2015"/>
    <cellStyle name="Comma 8 2 2" xfId="2016"/>
    <cellStyle name="Comma 8 2 2 2" xfId="2017"/>
    <cellStyle name="Comma 8 2 3" xfId="2018"/>
    <cellStyle name="Comma 8 3" xfId="2019"/>
    <cellStyle name="Comma 8 3 2" xfId="2020"/>
    <cellStyle name="Comma 8 4" xfId="2021"/>
    <cellStyle name="Comma 8 4 2" xfId="2022"/>
    <cellStyle name="Comma 8 5" xfId="2023"/>
    <cellStyle name="Comma 80" xfId="2024"/>
    <cellStyle name="Comma 81" xfId="2025"/>
    <cellStyle name="Comma 82" xfId="2026"/>
    <cellStyle name="Comma 83" xfId="2027"/>
    <cellStyle name="Comma 84" xfId="2028"/>
    <cellStyle name="Comma 85" xfId="2029"/>
    <cellStyle name="Comma 86" xfId="2030"/>
    <cellStyle name="Comma 87" xfId="2031"/>
    <cellStyle name="Comma 88" xfId="2032"/>
    <cellStyle name="Comma 89" xfId="2033"/>
    <cellStyle name="Comma 9" xfId="2034"/>
    <cellStyle name="Comma 9 2" xfId="2035"/>
    <cellStyle name="Comma 9 2 2" xfId="2036"/>
    <cellStyle name="Comma 9 2 2 2" xfId="2037"/>
    <cellStyle name="Comma 9 2 3" xfId="2038"/>
    <cellStyle name="Comma 9 3" xfId="2039"/>
    <cellStyle name="Comma 9 3 2" xfId="2040"/>
    <cellStyle name="Comma 9 4" xfId="2041"/>
    <cellStyle name="Comma 9 4 2" xfId="2042"/>
    <cellStyle name="Comma 9 5" xfId="2043"/>
    <cellStyle name="Comma 90" xfId="2044"/>
    <cellStyle name="Comma 91" xfId="2045"/>
    <cellStyle name="Comma 92" xfId="2046"/>
    <cellStyle name="Comma 93" xfId="2047"/>
    <cellStyle name="Comma 94" xfId="2048"/>
    <cellStyle name="Comma 95" xfId="2049"/>
    <cellStyle name="Comma 96" xfId="2050"/>
    <cellStyle name="Comma 97" xfId="2051"/>
    <cellStyle name="Comma 98" xfId="2052"/>
    <cellStyle name="Comma 99" xfId="2053"/>
    <cellStyle name="COMMENTS" xfId="2054"/>
    <cellStyle name="Currency 2" xfId="2055"/>
    <cellStyle name="Currency 2 2" xfId="2056"/>
    <cellStyle name="Currency 3" xfId="2057"/>
    <cellStyle name="Currency 3 2" xfId="2058"/>
    <cellStyle name="Currency 4" xfId="2059"/>
    <cellStyle name="Currency 4 2" xfId="2060"/>
    <cellStyle name="Currency 5" xfId="2061"/>
    <cellStyle name="Currency 5 2" xfId="2062"/>
    <cellStyle name="Currency 6" xfId="2063"/>
    <cellStyle name="Currency 6 2" xfId="2064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</cellStyles>
  <dxfs count="0"/>
  <tableStyles count="0" defaultTableStyle="TableStyleMedium2" defaultPivotStyle="PivotStyleLight16"/>
  <colors>
    <mruColors>
      <color rgb="FFFFFF99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2.29155</v>
        <stp/>
        <stp>##V3_BDHV12</stp>
        <stp>US0003M Index</stp>
        <stp>PX_ASK</stp>
        <stp>23/03/2018</stp>
        <stp>23/03/2018</stp>
        <stp>[USD_ASSETSWAP.xlsx]USD ASW!R12C13</stp>
        <tr r="M12" s="1"/>
        <tr r="M12" s="1"/>
      </tp>
      <tp>
        <v>97.765625</v>
        <stp/>
        <stp>##V3_BDPV12</stp>
        <stp>US912828N308 Govt</stp>
        <stp>BID</stp>
        <stp>[USD_ASSETSWAP.xlsx]USD ASW!R13C3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Pricing\USD_CURV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OIS"/>
      <sheetName val="USD_3ML"/>
      <sheetName val="USD_Curve"/>
      <sheetName val="USD_Swaps"/>
    </sheetNames>
    <sheetDataSet>
      <sheetData sheetId="0">
        <row r="3">
          <cell r="B3">
            <v>43179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0"/>
  <sheetViews>
    <sheetView showGridLines="0" tabSelected="1" workbookViewId="0"/>
  </sheetViews>
  <sheetFormatPr defaultRowHeight="15"/>
  <cols>
    <col min="1" max="1" width="4.7109375" customWidth="1"/>
    <col min="2" max="3" width="25.7109375" customWidth="1"/>
    <col min="4" max="4" width="9.140625" customWidth="1"/>
    <col min="5" max="6" width="30.7109375" customWidth="1"/>
    <col min="7" max="7" width="9.140625" customWidth="1"/>
    <col min="8" max="8" width="30.7109375" customWidth="1"/>
    <col min="9" max="10" width="20.7109375" customWidth="1"/>
    <col min="11" max="11" width="9.140625" customWidth="1"/>
    <col min="12" max="12" width="10.85546875" customWidth="1"/>
    <col min="13" max="13" width="16" customWidth="1"/>
    <col min="14" max="14" width="9.140625" customWidth="1"/>
    <col min="15" max="17" width="18.7109375" customWidth="1"/>
  </cols>
  <sheetData>
    <row r="2" spans="2:17">
      <c r="B2" s="1" t="s">
        <v>95</v>
      </c>
      <c r="D2" t="s">
        <v>78</v>
      </c>
      <c r="E2" s="1" t="s">
        <v>77</v>
      </c>
      <c r="G2" t="s">
        <v>78</v>
      </c>
      <c r="H2" s="1" t="s">
        <v>71</v>
      </c>
      <c r="K2" t="s">
        <v>78</v>
      </c>
    </row>
    <row r="3" spans="2:17">
      <c r="B3" s="43" t="s">
        <v>93</v>
      </c>
      <c r="C3" s="37">
        <f ca="1">TODAY()</f>
        <v>43185</v>
      </c>
      <c r="D3" t="s">
        <v>78</v>
      </c>
      <c r="E3" s="4" t="s">
        <v>81</v>
      </c>
      <c r="F3" s="35" t="str">
        <f>F10</f>
        <v>US912828N308</v>
      </c>
      <c r="G3" t="s">
        <v>78</v>
      </c>
      <c r="H3" s="4" t="s">
        <v>81</v>
      </c>
      <c r="I3" s="103" t="s">
        <v>83</v>
      </c>
      <c r="J3" s="104"/>
      <c r="K3" t="s">
        <v>78</v>
      </c>
    </row>
    <row r="4" spans="2:17">
      <c r="B4" s="26" t="s">
        <v>89</v>
      </c>
      <c r="C4" s="17" t="s">
        <v>88</v>
      </c>
      <c r="D4" t="s">
        <v>78</v>
      </c>
      <c r="E4" s="7" t="s">
        <v>80</v>
      </c>
      <c r="F4" s="34" t="str">
        <f ca="1">_xll.meLWOBondCreateFromLVB(F3,E7:F31)</f>
        <v>US912828N308@149:45</v>
      </c>
      <c r="G4" t="s">
        <v>78</v>
      </c>
      <c r="H4" s="7" t="s">
        <v>79</v>
      </c>
      <c r="I4" s="105" t="str">
        <f ca="1">_xll.meLWOSwapCreate(I3,H7:J40)</f>
        <v>USD_ASSET_SWAP@150:45</v>
      </c>
      <c r="J4" s="106"/>
      <c r="K4" t="s">
        <v>78</v>
      </c>
    </row>
    <row r="5" spans="2:17">
      <c r="B5" s="26" t="s">
        <v>94</v>
      </c>
      <c r="C5" s="17" t="s">
        <v>61</v>
      </c>
      <c r="D5" t="s">
        <v>78</v>
      </c>
      <c r="G5" t="s">
        <v>78</v>
      </c>
      <c r="K5" t="s">
        <v>78</v>
      </c>
    </row>
    <row r="6" spans="2:17">
      <c r="B6" s="26" t="s">
        <v>90</v>
      </c>
      <c r="C6" s="17" t="s">
        <v>27</v>
      </c>
      <c r="D6" t="s">
        <v>78</v>
      </c>
      <c r="E6" s="1" t="s">
        <v>1</v>
      </c>
      <c r="F6" s="2"/>
      <c r="G6" t="s">
        <v>78</v>
      </c>
      <c r="H6" s="1" t="s">
        <v>71</v>
      </c>
      <c r="I6" s="22" t="s">
        <v>72</v>
      </c>
      <c r="J6" s="22" t="s">
        <v>73</v>
      </c>
      <c r="K6" t="s">
        <v>78</v>
      </c>
      <c r="O6" s="1" t="s">
        <v>149</v>
      </c>
    </row>
    <row r="7" spans="2:17">
      <c r="B7" s="27" t="s">
        <v>87</v>
      </c>
      <c r="C7" s="50">
        <f ca="1">_xll.meDateFromTenor(C3,C4,C5,C6)</f>
        <v>43186</v>
      </c>
      <c r="D7" t="s">
        <v>78</v>
      </c>
      <c r="E7" s="4" t="s">
        <v>2</v>
      </c>
      <c r="F7" s="11" t="s">
        <v>82</v>
      </c>
      <c r="G7" t="s">
        <v>78</v>
      </c>
      <c r="H7" s="25" t="s">
        <v>40</v>
      </c>
      <c r="I7" s="75" t="s">
        <v>120</v>
      </c>
      <c r="J7" s="75" t="s">
        <v>41</v>
      </c>
      <c r="K7" t="s">
        <v>78</v>
      </c>
      <c r="M7" s="1" t="s">
        <v>116</v>
      </c>
      <c r="O7" s="85" t="s">
        <v>126</v>
      </c>
      <c r="P7" s="85" t="s">
        <v>127</v>
      </c>
      <c r="Q7" s="85" t="s">
        <v>114</v>
      </c>
    </row>
    <row r="8" spans="2:17">
      <c r="D8" t="s">
        <v>78</v>
      </c>
      <c r="E8" s="5" t="s">
        <v>4</v>
      </c>
      <c r="F8" s="14" t="s">
        <v>5</v>
      </c>
      <c r="G8" t="s">
        <v>78</v>
      </c>
      <c r="H8" s="26" t="s">
        <v>42</v>
      </c>
      <c r="I8" s="12">
        <v>1000000</v>
      </c>
      <c r="J8" s="12">
        <v>1000000</v>
      </c>
      <c r="K8" t="s">
        <v>78</v>
      </c>
      <c r="L8" t="s">
        <v>115</v>
      </c>
      <c r="M8" s="42" t="s">
        <v>91</v>
      </c>
      <c r="O8" s="89" t="s">
        <v>88</v>
      </c>
      <c r="P8" s="86" t="s">
        <v>48</v>
      </c>
      <c r="Q8" s="92">
        <v>0</v>
      </c>
    </row>
    <row r="9" spans="2:17">
      <c r="B9" s="1" t="s">
        <v>111</v>
      </c>
      <c r="D9" t="s">
        <v>78</v>
      </c>
      <c r="E9" s="5" t="s">
        <v>6</v>
      </c>
      <c r="F9" s="9" t="s">
        <v>7</v>
      </c>
      <c r="G9" t="s">
        <v>78</v>
      </c>
      <c r="H9" s="26" t="s">
        <v>16</v>
      </c>
      <c r="I9" s="13" t="s">
        <v>43</v>
      </c>
      <c r="J9" s="13" t="s">
        <v>43</v>
      </c>
      <c r="K9" t="s">
        <v>78</v>
      </c>
      <c r="L9" t="s">
        <v>152</v>
      </c>
      <c r="M9" s="3" t="s">
        <v>92</v>
      </c>
      <c r="O9" s="90" t="s">
        <v>128</v>
      </c>
      <c r="P9" s="87" t="s">
        <v>125</v>
      </c>
      <c r="Q9" s="93">
        <v>0.1</v>
      </c>
    </row>
    <row r="10" spans="2:17">
      <c r="B10" s="4" t="s">
        <v>39</v>
      </c>
      <c r="C10" s="48" t="s">
        <v>38</v>
      </c>
      <c r="D10" t="s">
        <v>78</v>
      </c>
      <c r="E10" s="5" t="s">
        <v>8</v>
      </c>
      <c r="F10" s="14" t="s">
        <v>3</v>
      </c>
      <c r="G10" t="s">
        <v>78</v>
      </c>
      <c r="H10" s="26" t="s">
        <v>14</v>
      </c>
      <c r="I10" s="9" t="s">
        <v>44</v>
      </c>
      <c r="J10" s="9" t="s">
        <v>15</v>
      </c>
      <c r="K10" t="s">
        <v>78</v>
      </c>
      <c r="L10" t="s">
        <v>112</v>
      </c>
      <c r="M10" s="3" t="s">
        <v>68</v>
      </c>
      <c r="O10" s="90" t="s">
        <v>129</v>
      </c>
      <c r="P10" s="87" t="s">
        <v>130</v>
      </c>
      <c r="Q10" s="93">
        <v>0.2</v>
      </c>
    </row>
    <row r="11" spans="2:17">
      <c r="B11" s="5" t="s">
        <v>102</v>
      </c>
      <c r="C11" s="49" t="s">
        <v>103</v>
      </c>
      <c r="D11" t="s">
        <v>78</v>
      </c>
      <c r="E11" s="5" t="s">
        <v>9</v>
      </c>
      <c r="F11" s="14" t="s">
        <v>10</v>
      </c>
      <c r="G11" t="s">
        <v>78</v>
      </c>
      <c r="H11" s="26" t="s">
        <v>45</v>
      </c>
      <c r="I11" s="9"/>
      <c r="J11" s="9" t="s">
        <v>46</v>
      </c>
      <c r="K11" t="s">
        <v>78</v>
      </c>
      <c r="L11" t="s">
        <v>113</v>
      </c>
      <c r="M11" s="38">
        <f ca="1">_xll.meDateFromTenor(J21,"-"&amp;M10,"MOD_FOLLOWING","LNB")</f>
        <v>43182</v>
      </c>
      <c r="O11" s="90" t="s">
        <v>131</v>
      </c>
      <c r="P11" s="87" t="s">
        <v>46</v>
      </c>
      <c r="Q11" s="93">
        <v>0.3</v>
      </c>
    </row>
    <row r="12" spans="2:17">
      <c r="B12" s="5" t="s">
        <v>37</v>
      </c>
      <c r="C12" s="23" t="str">
        <f>F10&amp;" Govt"</f>
        <v>US912828N308 Govt</v>
      </c>
      <c r="D12" t="s">
        <v>78</v>
      </c>
      <c r="E12" s="5" t="s">
        <v>11</v>
      </c>
      <c r="F12" s="8" t="b">
        <v>1</v>
      </c>
      <c r="G12" t="s">
        <v>78</v>
      </c>
      <c r="H12" s="26" t="s">
        <v>47</v>
      </c>
      <c r="I12" s="9" t="s">
        <v>48</v>
      </c>
      <c r="J12" s="9" t="s">
        <v>48</v>
      </c>
      <c r="K12" t="s">
        <v>78</v>
      </c>
      <c r="L12" t="s">
        <v>114</v>
      </c>
      <c r="M12" s="54">
        <f ca="1">IF(ISNUMBER(_xll.BDH(M8,M9,M11,M11)),_xll.BDH(M8,M9,M11,M11),"#WAIT")</f>
        <v>2.29155</v>
      </c>
      <c r="O12" s="90" t="s">
        <v>132</v>
      </c>
      <c r="P12" s="87" t="s">
        <v>133</v>
      </c>
      <c r="Q12" s="93">
        <v>0.6</v>
      </c>
    </row>
    <row r="13" spans="2:17">
      <c r="B13" s="5" t="s">
        <v>99</v>
      </c>
      <c r="C13" s="47">
        <f ca="1">IF(C14="",_xll.BDP($C$12,$C$10),C14)</f>
        <v>97.765625</v>
      </c>
      <c r="D13" t="s">
        <v>78</v>
      </c>
      <c r="E13" s="5" t="s">
        <v>12</v>
      </c>
      <c r="F13" s="53" t="s">
        <v>13</v>
      </c>
      <c r="G13" t="s">
        <v>78</v>
      </c>
      <c r="H13" s="26" t="s">
        <v>6</v>
      </c>
      <c r="I13" s="9" t="s">
        <v>7</v>
      </c>
      <c r="J13" s="9" t="s">
        <v>7</v>
      </c>
      <c r="K13" t="s">
        <v>78</v>
      </c>
      <c r="O13" s="91" t="s">
        <v>134</v>
      </c>
      <c r="P13" s="88" t="s">
        <v>135</v>
      </c>
      <c r="Q13" s="94">
        <v>1.2</v>
      </c>
    </row>
    <row r="14" spans="2:17">
      <c r="B14" s="7" t="s">
        <v>98</v>
      </c>
      <c r="C14" s="78"/>
      <c r="D14" t="s">
        <v>78</v>
      </c>
      <c r="E14" s="5" t="s">
        <v>14</v>
      </c>
      <c r="F14" s="13" t="s">
        <v>15</v>
      </c>
      <c r="G14" t="s">
        <v>78</v>
      </c>
      <c r="H14" s="26" t="s">
        <v>49</v>
      </c>
      <c r="I14" s="33">
        <v>1</v>
      </c>
      <c r="J14" s="33">
        <v>1</v>
      </c>
      <c r="K14" t="s">
        <v>78</v>
      </c>
    </row>
    <row r="15" spans="2:17">
      <c r="D15" t="s">
        <v>78</v>
      </c>
      <c r="E15" s="5" t="s">
        <v>16</v>
      </c>
      <c r="F15" s="15" t="s">
        <v>17</v>
      </c>
      <c r="G15" t="s">
        <v>78</v>
      </c>
      <c r="H15" s="26" t="s">
        <v>50</v>
      </c>
      <c r="I15" s="29">
        <f ca="1">F22</f>
        <v>2.1250000000000002E-2</v>
      </c>
      <c r="J15" s="29"/>
      <c r="K15" t="s">
        <v>78</v>
      </c>
    </row>
    <row r="16" spans="2:17">
      <c r="B16" s="1" t="s">
        <v>86</v>
      </c>
      <c r="D16" t="s">
        <v>78</v>
      </c>
      <c r="E16" s="5" t="s">
        <v>18</v>
      </c>
      <c r="F16" s="12">
        <v>1000000</v>
      </c>
      <c r="G16" t="s">
        <v>78</v>
      </c>
      <c r="H16" s="26" t="s">
        <v>51</v>
      </c>
      <c r="I16" s="13"/>
      <c r="J16" s="13" t="s">
        <v>124</v>
      </c>
      <c r="K16" t="s">
        <v>78</v>
      </c>
    </row>
    <row r="17" spans="2:16">
      <c r="B17" s="4" t="s">
        <v>0</v>
      </c>
      <c r="C17" s="44">
        <f ca="1">_xll.meLWOBondYield($F$4,$C$7,$C$13)</f>
        <v>2.6268068212764738E-2</v>
      </c>
      <c r="D17" t="s">
        <v>78</v>
      </c>
      <c r="E17" s="5" t="s">
        <v>107</v>
      </c>
      <c r="F17" s="18">
        <v>42369</v>
      </c>
      <c r="G17" t="s">
        <v>78</v>
      </c>
      <c r="H17" s="26" t="s">
        <v>52</v>
      </c>
      <c r="I17" s="13"/>
      <c r="J17" s="13" t="s">
        <v>124</v>
      </c>
      <c r="M17" s="77" t="s">
        <v>146</v>
      </c>
      <c r="O17" s="1" t="s">
        <v>148</v>
      </c>
    </row>
    <row r="18" spans="2:16">
      <c r="B18" s="5" t="s">
        <v>104</v>
      </c>
      <c r="C18" s="45">
        <f ca="1">_xll.meLWOBondPrice($F$4,$C$7,$C$17)</f>
        <v>97.765624999999005</v>
      </c>
      <c r="D18" t="s">
        <v>78</v>
      </c>
      <c r="E18" s="5" t="s">
        <v>108</v>
      </c>
      <c r="F18" s="18">
        <v>42369</v>
      </c>
      <c r="G18" t="s">
        <v>78</v>
      </c>
      <c r="H18" s="26" t="s">
        <v>53</v>
      </c>
      <c r="I18" s="19"/>
      <c r="J18" s="39" t="str">
        <f ca="1">IF(ISBLANK($M$18),IF($M$21,$M$12%,""),$M$18)</f>
        <v/>
      </c>
      <c r="K18" s="80"/>
      <c r="M18" s="99"/>
      <c r="N18" t="s">
        <v>78</v>
      </c>
      <c r="O18" s="95">
        <f ca="1">IF(P22&lt;C3,"RESET REQUIRED",_xll.meProductSwapStubRate(P8:P13,O8:O13,Q8:Q13,O22:P34))</f>
        <v>3.3333333333334506E-3</v>
      </c>
      <c r="P18" t="s">
        <v>78</v>
      </c>
    </row>
    <row r="19" spans="2:16">
      <c r="B19" s="5" t="s">
        <v>96</v>
      </c>
      <c r="C19" s="45">
        <f ca="1">_xll.meLWOBondCleanPrice($F$4,$C$7,$C$17)</f>
        <v>97.765624999999005</v>
      </c>
      <c r="D19" t="s">
        <v>78</v>
      </c>
      <c r="E19" s="6" t="s">
        <v>19</v>
      </c>
      <c r="F19" s="18">
        <v>42551</v>
      </c>
      <c r="G19" t="s">
        <v>78</v>
      </c>
      <c r="H19" s="26" t="s">
        <v>54</v>
      </c>
      <c r="I19" s="19"/>
      <c r="J19" s="19"/>
      <c r="K19" t="s">
        <v>78</v>
      </c>
      <c r="O19" s="81"/>
    </row>
    <row r="20" spans="2:16">
      <c r="B20" s="5" t="s">
        <v>97</v>
      </c>
      <c r="C20" s="45">
        <f ca="1">_xll.meLWOBondDirtyPrice($F$4,$C$7,$C$17)</f>
        <v>98.270459254142651</v>
      </c>
      <c r="D20" t="s">
        <v>78</v>
      </c>
      <c r="E20" s="6" t="s">
        <v>20</v>
      </c>
      <c r="F20" s="18"/>
      <c r="G20" t="s">
        <v>78</v>
      </c>
      <c r="H20" s="26" t="s">
        <v>55</v>
      </c>
      <c r="I20" s="33"/>
      <c r="J20" s="33"/>
      <c r="K20" t="s">
        <v>78</v>
      </c>
      <c r="M20" s="77" t="s">
        <v>147</v>
      </c>
    </row>
    <row r="21" spans="2:16">
      <c r="B21" s="5" t="s">
        <v>100</v>
      </c>
      <c r="C21" s="24">
        <f ca="1">_xll.meLWOBondAccruedInterestDays($F$4,$C$7)</f>
        <v>86</v>
      </c>
      <c r="D21" t="s">
        <v>78</v>
      </c>
      <c r="E21" s="5" t="s">
        <v>21</v>
      </c>
      <c r="F21" s="18">
        <v>44926</v>
      </c>
      <c r="G21" t="s">
        <v>78</v>
      </c>
      <c r="H21" s="26" t="s">
        <v>56</v>
      </c>
      <c r="I21" s="38">
        <f ca="1">_xll.meLWOBondLastCouponDate($F$4,$C$7)</f>
        <v>43100</v>
      </c>
      <c r="J21" s="76">
        <f ca="1">IF($M$21,$I$21,$C$7)</f>
        <v>43186</v>
      </c>
      <c r="K21" s="30" t="s">
        <v>76</v>
      </c>
      <c r="L21" s="30"/>
      <c r="M21" s="76" t="b">
        <v>0</v>
      </c>
      <c r="O21" s="1" t="s">
        <v>150</v>
      </c>
    </row>
    <row r="22" spans="2:16">
      <c r="B22" s="5" t="s">
        <v>101</v>
      </c>
      <c r="C22" s="10">
        <f ca="1">_xll.meLWOBondAccruedInterest($F$4,$C$7)</f>
        <v>5048.3425414364647</v>
      </c>
      <c r="D22" t="s">
        <v>78</v>
      </c>
      <c r="E22" s="5" t="s">
        <v>22</v>
      </c>
      <c r="F22" s="19">
        <v>2.1250000000000002E-2</v>
      </c>
      <c r="G22" t="s">
        <v>78</v>
      </c>
      <c r="H22" s="26" t="s">
        <v>21</v>
      </c>
      <c r="I22" s="18">
        <f ca="1">F21</f>
        <v>44926</v>
      </c>
      <c r="J22" s="18">
        <f>I22</f>
        <v>44926</v>
      </c>
      <c r="K22" t="s">
        <v>78</v>
      </c>
      <c r="O22" s="82" t="s">
        <v>56</v>
      </c>
      <c r="P22" s="96">
        <f ca="1">J21</f>
        <v>43186</v>
      </c>
    </row>
    <row r="23" spans="2:16">
      <c r="B23" s="5" t="s">
        <v>106</v>
      </c>
      <c r="C23" s="47">
        <f ca="1">_xll.meLWOBondModifiedDuration($F$4,$C$7,$C$17)</f>
        <v>4.4702745147805665</v>
      </c>
      <c r="D23" t="s">
        <v>78</v>
      </c>
      <c r="E23" s="5" t="s">
        <v>23</v>
      </c>
      <c r="F23" s="9" t="s">
        <v>75</v>
      </c>
      <c r="G23" t="s">
        <v>78</v>
      </c>
      <c r="H23" s="26" t="s">
        <v>23</v>
      </c>
      <c r="I23" s="9" t="str">
        <f ca="1">F23</f>
        <v>SEMI-ANNUAL</v>
      </c>
      <c r="J23" s="9" t="s">
        <v>57</v>
      </c>
      <c r="K23" t="s">
        <v>78</v>
      </c>
      <c r="O23" s="83" t="s">
        <v>21</v>
      </c>
      <c r="P23" s="38">
        <f>J22</f>
        <v>44926</v>
      </c>
    </row>
    <row r="24" spans="2:16">
      <c r="B24" s="7" t="s">
        <v>105</v>
      </c>
      <c r="C24" s="46">
        <f ca="1">_xll.meLWOBondDV01($F$4,$C$7,$C$17)</f>
        <v>439.295929559576</v>
      </c>
      <c r="D24" t="s">
        <v>78</v>
      </c>
      <c r="E24" s="5" t="s">
        <v>24</v>
      </c>
      <c r="F24" s="16" t="s">
        <v>25</v>
      </c>
      <c r="G24" t="s">
        <v>78</v>
      </c>
      <c r="H24" s="26" t="s">
        <v>58</v>
      </c>
      <c r="I24" s="20" t="str">
        <f ca="1">F29</f>
        <v>ACT/ACT</v>
      </c>
      <c r="J24" s="9" t="s">
        <v>59</v>
      </c>
      <c r="K24" t="s">
        <v>78</v>
      </c>
      <c r="O24" s="83" t="s">
        <v>110</v>
      </c>
      <c r="P24" s="97" t="str">
        <f ca="1">C27</f>
        <v>USDYC</v>
      </c>
    </row>
    <row r="25" spans="2:16">
      <c r="D25" t="s">
        <v>78</v>
      </c>
      <c r="E25" s="5" t="s">
        <v>26</v>
      </c>
      <c r="F25" s="13" t="s">
        <v>27</v>
      </c>
      <c r="G25" t="s">
        <v>78</v>
      </c>
      <c r="H25" s="26" t="s">
        <v>60</v>
      </c>
      <c r="I25" s="32"/>
      <c r="J25" s="13" t="s">
        <v>61</v>
      </c>
      <c r="K25" t="s">
        <v>78</v>
      </c>
      <c r="O25" s="83" t="s">
        <v>136</v>
      </c>
      <c r="P25" s="97" t="str">
        <f>J16</f>
        <v>NATURAL</v>
      </c>
    </row>
    <row r="26" spans="2:16">
      <c r="B26" s="1" t="s">
        <v>85</v>
      </c>
      <c r="D26" t="s">
        <v>78</v>
      </c>
      <c r="E26" s="5" t="s">
        <v>28</v>
      </c>
      <c r="F26" s="13" t="s">
        <v>25</v>
      </c>
      <c r="G26" t="s">
        <v>78</v>
      </c>
      <c r="H26" s="26" t="s">
        <v>62</v>
      </c>
      <c r="I26" s="13"/>
      <c r="J26" s="13" t="s">
        <v>63</v>
      </c>
      <c r="K26" t="s">
        <v>78</v>
      </c>
      <c r="O26" s="83" t="s">
        <v>137</v>
      </c>
      <c r="P26" s="97" t="str">
        <f>J23</f>
        <v>QUARTERLY</v>
      </c>
    </row>
    <row r="27" spans="2:16">
      <c r="B27" s="4" t="s">
        <v>110</v>
      </c>
      <c r="C27" s="41" t="s">
        <v>84</v>
      </c>
      <c r="D27" t="s">
        <v>78</v>
      </c>
      <c r="E27" s="5" t="s">
        <v>29</v>
      </c>
      <c r="F27" s="13" t="str">
        <f>F25</f>
        <v>NYB</v>
      </c>
      <c r="G27" t="s">
        <v>78</v>
      </c>
      <c r="H27" s="26" t="s">
        <v>24</v>
      </c>
      <c r="I27" s="32" t="s">
        <v>25</v>
      </c>
      <c r="J27" s="13" t="s">
        <v>61</v>
      </c>
      <c r="K27" t="s">
        <v>78</v>
      </c>
      <c r="O27" s="83" t="s">
        <v>138</v>
      </c>
      <c r="P27" s="97" t="str">
        <f>J24</f>
        <v>ACT/360</v>
      </c>
    </row>
    <row r="28" spans="2:16">
      <c r="B28" s="7" t="s">
        <v>109</v>
      </c>
      <c r="C28" s="52">
        <f ca="1">_xll.meLWOAssetSwapSpread($I$4,$F$4,$C$7,$C$18,$C$27)</f>
        <v>-14.83230672421085</v>
      </c>
      <c r="D28" t="s">
        <v>78</v>
      </c>
      <c r="E28" s="5" t="s">
        <v>30</v>
      </c>
      <c r="F28" s="13" t="s">
        <v>31</v>
      </c>
      <c r="G28" t="s">
        <v>78</v>
      </c>
      <c r="H28" s="26" t="s">
        <v>26</v>
      </c>
      <c r="I28" s="13" t="s">
        <v>27</v>
      </c>
      <c r="J28" s="13" t="s">
        <v>63</v>
      </c>
      <c r="K28" t="s">
        <v>78</v>
      </c>
      <c r="O28" s="83" t="s">
        <v>139</v>
      </c>
      <c r="P28" s="97" t="str">
        <f>J27</f>
        <v>MOD_FOLLOWING</v>
      </c>
    </row>
    <row r="29" spans="2:16">
      <c r="D29" t="s">
        <v>78</v>
      </c>
      <c r="E29" s="5" t="s">
        <v>32</v>
      </c>
      <c r="F29" s="20" t="s">
        <v>33</v>
      </c>
      <c r="G29" t="s">
        <v>78</v>
      </c>
      <c r="H29" s="26" t="s">
        <v>28</v>
      </c>
      <c r="I29" s="32" t="s">
        <v>25</v>
      </c>
      <c r="J29" s="13" t="s">
        <v>61</v>
      </c>
      <c r="K29" t="s">
        <v>78</v>
      </c>
      <c r="O29" s="83" t="s">
        <v>140</v>
      </c>
      <c r="P29" s="97" t="str">
        <f>J28</f>
        <v>LNB:NYB</v>
      </c>
    </row>
    <row r="30" spans="2:16">
      <c r="D30" t="s">
        <v>78</v>
      </c>
      <c r="E30" s="5" t="s">
        <v>34</v>
      </c>
      <c r="F30" s="21" t="str">
        <f>IF(DAY(F21+1)=1, "EOM","")</f>
        <v>EOM</v>
      </c>
      <c r="G30" t="s">
        <v>78</v>
      </c>
      <c r="H30" s="26" t="s">
        <v>29</v>
      </c>
      <c r="I30" s="13" t="s">
        <v>27</v>
      </c>
      <c r="J30" s="13" t="s">
        <v>63</v>
      </c>
      <c r="K30" t="s">
        <v>78</v>
      </c>
      <c r="O30" s="83" t="s">
        <v>141</v>
      </c>
      <c r="P30" s="97">
        <f ca="1">J33</f>
        <v>0</v>
      </c>
    </row>
    <row r="31" spans="2:16">
      <c r="B31" s="1" t="s">
        <v>153</v>
      </c>
      <c r="D31" t="s">
        <v>78</v>
      </c>
      <c r="E31" s="5" t="s">
        <v>35</v>
      </c>
      <c r="F31" s="36" t="s">
        <v>36</v>
      </c>
      <c r="G31" t="s">
        <v>78</v>
      </c>
      <c r="H31" s="26" t="s">
        <v>64</v>
      </c>
      <c r="I31" s="17"/>
      <c r="J31" s="17"/>
      <c r="K31" t="s">
        <v>78</v>
      </c>
      <c r="O31" s="83" t="s">
        <v>142</v>
      </c>
      <c r="P31" s="97" t="str">
        <f>J34</f>
        <v>0D</v>
      </c>
    </row>
    <row r="32" spans="2:16">
      <c r="B32" s="4" t="s">
        <v>154</v>
      </c>
      <c r="C32" s="107" t="str">
        <f ca="1">F4</f>
        <v>US912828N308@149:45</v>
      </c>
      <c r="D32" t="s">
        <v>78</v>
      </c>
      <c r="E32" s="26"/>
      <c r="F32" s="13"/>
      <c r="G32" t="s">
        <v>78</v>
      </c>
      <c r="H32" s="26" t="s">
        <v>65</v>
      </c>
      <c r="I32" s="13"/>
      <c r="J32" s="13"/>
      <c r="K32" t="s">
        <v>78</v>
      </c>
      <c r="O32" s="83" t="s">
        <v>143</v>
      </c>
      <c r="P32" s="38" t="str">
        <f>IF(ISBLANK(J31),"",J31)</f>
        <v/>
      </c>
    </row>
    <row r="33" spans="2:16">
      <c r="B33" s="5" t="s">
        <v>87</v>
      </c>
      <c r="C33" s="108">
        <f ca="1">C7</f>
        <v>43186</v>
      </c>
      <c r="D33" t="s">
        <v>78</v>
      </c>
      <c r="E33" s="26"/>
      <c r="F33" s="13"/>
      <c r="G33" t="s">
        <v>78</v>
      </c>
      <c r="H33" s="26" t="s">
        <v>66</v>
      </c>
      <c r="I33" s="21" t="str">
        <f ca="1">F30</f>
        <v>EOM</v>
      </c>
      <c r="J33" s="21"/>
      <c r="K33" t="s">
        <v>78</v>
      </c>
      <c r="O33" s="83" t="s">
        <v>144</v>
      </c>
      <c r="P33" s="38" t="str">
        <f>IF(ISBLANK(J32),"",J32)</f>
        <v/>
      </c>
    </row>
    <row r="34" spans="2:16">
      <c r="B34" s="5" t="s">
        <v>155</v>
      </c>
      <c r="C34" s="109">
        <f ca="1">C13</f>
        <v>97.765625</v>
      </c>
      <c r="D34" t="s">
        <v>78</v>
      </c>
      <c r="E34" s="26"/>
      <c r="F34" s="13"/>
      <c r="G34" t="s">
        <v>78</v>
      </c>
      <c r="H34" s="26" t="s">
        <v>67</v>
      </c>
      <c r="I34" s="13"/>
      <c r="J34" s="13" t="s">
        <v>31</v>
      </c>
      <c r="K34" t="s">
        <v>78</v>
      </c>
      <c r="O34" s="84" t="s">
        <v>145</v>
      </c>
      <c r="P34" s="98" t="str">
        <f>IF(ISBLANK(J40),"",J40)</f>
        <v>SHORTSTART</v>
      </c>
    </row>
    <row r="35" spans="2:16">
      <c r="B35" s="5" t="s">
        <v>110</v>
      </c>
      <c r="C35" s="109" t="str">
        <f ca="1">C27</f>
        <v>USDYC</v>
      </c>
      <c r="D35" t="s">
        <v>78</v>
      </c>
      <c r="E35" s="26"/>
      <c r="F35" s="13"/>
      <c r="G35" t="s">
        <v>78</v>
      </c>
      <c r="H35" s="26" t="s">
        <v>69</v>
      </c>
      <c r="I35" s="13"/>
      <c r="J35" s="13"/>
      <c r="K35" t="s">
        <v>78</v>
      </c>
    </row>
    <row r="36" spans="2:16">
      <c r="B36" s="5" t="s">
        <v>45</v>
      </c>
      <c r="C36" s="109" t="str">
        <f ca="1">J11</f>
        <v>USD3ML</v>
      </c>
      <c r="D36" t="s">
        <v>78</v>
      </c>
      <c r="E36" s="26"/>
      <c r="F36" s="13"/>
      <c r="G36" t="s">
        <v>78</v>
      </c>
      <c r="H36" s="26" t="s">
        <v>30</v>
      </c>
      <c r="I36" s="13" t="s">
        <v>31</v>
      </c>
      <c r="J36" s="13" t="s">
        <v>31</v>
      </c>
      <c r="K36" t="s">
        <v>78</v>
      </c>
    </row>
    <row r="37" spans="2:16">
      <c r="B37" s="7" t="s">
        <v>156</v>
      </c>
      <c r="C37" s="52">
        <f ca="1">_xll.meLWOBondZSpread(C32,C33,C34,C35,C36)</f>
        <v>-15.000831919986968</v>
      </c>
      <c r="D37" t="s">
        <v>78</v>
      </c>
      <c r="E37" s="27"/>
      <c r="F37" s="31"/>
      <c r="G37" t="s">
        <v>78</v>
      </c>
      <c r="H37" s="26" t="s">
        <v>121</v>
      </c>
      <c r="I37" s="18" t="str">
        <f>C4</f>
        <v>1D</v>
      </c>
      <c r="J37" s="9"/>
      <c r="K37" t="s">
        <v>78</v>
      </c>
    </row>
    <row r="38" spans="2:16">
      <c r="H38" s="26" t="s">
        <v>123</v>
      </c>
      <c r="I38" s="9" t="str">
        <f>C5</f>
        <v>MOD_FOLLOWING</v>
      </c>
      <c r="J38" s="9"/>
    </row>
    <row r="39" spans="2:16">
      <c r="H39" s="26" t="s">
        <v>122</v>
      </c>
      <c r="I39" s="9" t="str">
        <f>C6</f>
        <v>NYB</v>
      </c>
      <c r="J39" s="9"/>
    </row>
    <row r="40" spans="2:16">
      <c r="H40" s="27" t="s">
        <v>70</v>
      </c>
      <c r="I40" s="31" t="s">
        <v>74</v>
      </c>
      <c r="J40" s="31" t="s">
        <v>74</v>
      </c>
    </row>
    <row r="41" spans="2:16">
      <c r="H41" s="28" t="s">
        <v>151</v>
      </c>
    </row>
    <row r="42" spans="2:16">
      <c r="G42" t="s">
        <v>78</v>
      </c>
      <c r="H42" s="28"/>
    </row>
    <row r="43" spans="2:16">
      <c r="C43" s="60"/>
      <c r="G43" t="s">
        <v>78</v>
      </c>
    </row>
    <row r="44" spans="2:16">
      <c r="G44" t="s">
        <v>78</v>
      </c>
    </row>
    <row r="45" spans="2:16">
      <c r="G45" t="s">
        <v>78</v>
      </c>
    </row>
    <row r="46" spans="2:16">
      <c r="G46" t="s">
        <v>78</v>
      </c>
    </row>
    <row r="47" spans="2:16">
      <c r="G47" t="s">
        <v>78</v>
      </c>
    </row>
    <row r="48" spans="2:16">
      <c r="G48" t="s">
        <v>78</v>
      </c>
    </row>
    <row r="49" spans="7:7">
      <c r="G49" t="s">
        <v>78</v>
      </c>
    </row>
    <row r="50" spans="7:7">
      <c r="G50" t="s">
        <v>78</v>
      </c>
    </row>
  </sheetData>
  <mergeCells count="2">
    <mergeCell ref="I3:J3"/>
    <mergeCell ref="I4:J4"/>
  </mergeCells>
  <dataValidations count="7">
    <dataValidation type="list" allowBlank="1" showInputMessage="1" showErrorMessage="1" sqref="F9">
      <formula1>"PAYER,RECEIVER"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0">
      <formula1>"BID,ASK"</formula1>
    </dataValidation>
    <dataValidation type="list" allowBlank="1" showInputMessage="1" showErrorMessage="1" sqref="F30 I33:J33">
      <formula1>"EOM,IMM,1,2,3,4,5,6,7,8,9,10,11,12,13,14,15,16,17,18,19,20,21,22,23,24,25,26,27,28,29,30,31"</formula1>
    </dataValidation>
    <dataValidation type="list" allowBlank="1" showInputMessage="1" showErrorMessage="1" sqref="I40:J40">
      <formula1>"SHORTSTART,SHORTEND,LONGSTART,LONGEND"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M21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"/>
  <sheetViews>
    <sheetView showGridLines="0" workbookViewId="0"/>
  </sheetViews>
  <sheetFormatPr defaultRowHeight="15"/>
  <cols>
    <col min="2" max="3" width="18.7109375" style="40" customWidth="1"/>
    <col min="4" max="4" width="19.5703125" style="60" bestFit="1" customWidth="1"/>
    <col min="5" max="5" width="21.7109375" style="60" bestFit="1" customWidth="1"/>
    <col min="6" max="6" width="18.7109375" style="40" customWidth="1"/>
    <col min="7" max="8" width="17.7109375" style="58" customWidth="1"/>
    <col min="9" max="9" width="9.140625" style="51"/>
    <col min="10" max="10" width="10.7109375" style="59" customWidth="1"/>
    <col min="11" max="11" width="17.7109375" style="58" customWidth="1"/>
    <col min="12" max="12" width="14.28515625" style="61" bestFit="1" customWidth="1"/>
    <col min="13" max="13" width="17.7109375" style="58" customWidth="1"/>
  </cols>
  <sheetData>
    <row r="2" spans="2:13">
      <c r="B2" s="57" t="s">
        <v>117</v>
      </c>
    </row>
    <row r="3" spans="2:13">
      <c r="B3" s="62" t="str">
        <f t="array" aca="1" ref="B3:M100" ca="1">_xll.meUtilityResize(_xll.meLWOBondDisplayCashflows('USD ASW'!$F$4,'USD ASW'!$C$7),200,100)</f>
        <v>AccrualStart</v>
      </c>
      <c r="C3" s="62" t="str">
        <f ca="1"/>
        <v>AccrualEnd</v>
      </c>
      <c r="D3" s="74" t="str">
        <f ca="1"/>
        <v>AccrualYearFractions</v>
      </c>
      <c r="E3" s="74" t="str">
        <f ca="1"/>
        <v>TrueYieldYearFractions</v>
      </c>
      <c r="F3" s="62" t="str">
        <f ca="1"/>
        <v>PaymentDate</v>
      </c>
      <c r="G3" s="64" t="str">
        <f ca="1"/>
        <v>Notional</v>
      </c>
      <c r="H3" s="64" t="str">
        <f ca="1"/>
        <v>NotionalExchange</v>
      </c>
      <c r="I3" s="63" t="str">
        <f ca="1"/>
        <v>Leverage</v>
      </c>
      <c r="J3" s="65" t="str">
        <f ca="1"/>
        <v>FixedRate</v>
      </c>
      <c r="K3" s="64" t="str">
        <f ca="1"/>
        <v>Coupon</v>
      </c>
      <c r="L3" s="66" t="str">
        <f ca="1"/>
        <v>DiscountFactor</v>
      </c>
      <c r="M3" s="64" t="str">
        <f ca="1"/>
        <v>CouponPV</v>
      </c>
    </row>
    <row r="4" spans="2:13">
      <c r="B4" s="62" t="str">
        <f ca="1"/>
        <v/>
      </c>
      <c r="C4" s="62" t="str">
        <f ca="1"/>
        <v/>
      </c>
      <c r="D4" s="74" t="str">
        <f ca="1"/>
        <v/>
      </c>
      <c r="E4" s="74" t="str">
        <f ca="1"/>
        <v/>
      </c>
      <c r="F4" s="62">
        <f ca="1"/>
        <v>42369</v>
      </c>
      <c r="G4" s="64" t="str">
        <f ca="1"/>
        <v/>
      </c>
      <c r="H4" s="64">
        <f ca="1"/>
        <v>-1000000</v>
      </c>
      <c r="I4" s="63">
        <f ca="1"/>
        <v>1</v>
      </c>
      <c r="J4" s="65" t="str">
        <f ca="1"/>
        <v/>
      </c>
      <c r="K4" s="64">
        <f ca="1"/>
        <v>-1000000</v>
      </c>
      <c r="L4" s="66">
        <f ca="1"/>
        <v>0</v>
      </c>
      <c r="M4" s="64">
        <f ca="1"/>
        <v>0</v>
      </c>
    </row>
    <row r="5" spans="2:13">
      <c r="B5" s="62">
        <f ca="1"/>
        <v>42369</v>
      </c>
      <c r="C5" s="62">
        <f ca="1"/>
        <v>42551</v>
      </c>
      <c r="D5" s="74">
        <f ca="1"/>
        <v>0.5</v>
      </c>
      <c r="E5" s="74">
        <f ca="1"/>
        <v>0.5</v>
      </c>
      <c r="F5" s="62">
        <f ca="1"/>
        <v>42551</v>
      </c>
      <c r="G5" s="64">
        <f ca="1"/>
        <v>1000000</v>
      </c>
      <c r="H5" s="64">
        <f ca="1"/>
        <v>0</v>
      </c>
      <c r="I5" s="63">
        <f ca="1"/>
        <v>1</v>
      </c>
      <c r="J5" s="65">
        <f ca="1"/>
        <v>2.1250000000000002E-2</v>
      </c>
      <c r="K5" s="64">
        <f ca="1"/>
        <v>10625</v>
      </c>
      <c r="L5" s="66">
        <f ca="1"/>
        <v>0</v>
      </c>
      <c r="M5" s="64">
        <f ca="1"/>
        <v>0</v>
      </c>
    </row>
    <row r="6" spans="2:13">
      <c r="B6" s="62">
        <f ca="1"/>
        <v>42551</v>
      </c>
      <c r="C6" s="62">
        <f ca="1"/>
        <v>42735</v>
      </c>
      <c r="D6" s="74">
        <f ca="1"/>
        <v>0.5</v>
      </c>
      <c r="E6" s="74">
        <f ca="1"/>
        <v>0.5</v>
      </c>
      <c r="F6" s="62">
        <f ca="1"/>
        <v>42735</v>
      </c>
      <c r="G6" s="64">
        <f ca="1"/>
        <v>1000000</v>
      </c>
      <c r="H6" s="64">
        <f ca="1"/>
        <v>0</v>
      </c>
      <c r="I6" s="63">
        <f ca="1"/>
        <v>1</v>
      </c>
      <c r="J6" s="65">
        <f ca="1"/>
        <v>2.1250000000000002E-2</v>
      </c>
      <c r="K6" s="64">
        <f ca="1"/>
        <v>10625</v>
      </c>
      <c r="L6" s="66">
        <f ca="1"/>
        <v>0</v>
      </c>
      <c r="M6" s="64">
        <f ca="1"/>
        <v>0</v>
      </c>
    </row>
    <row r="7" spans="2:13">
      <c r="B7" s="62">
        <f ca="1"/>
        <v>42735</v>
      </c>
      <c r="C7" s="62">
        <f ca="1"/>
        <v>42916</v>
      </c>
      <c r="D7" s="74">
        <f ca="1"/>
        <v>0.5</v>
      </c>
      <c r="E7" s="74">
        <f ca="1"/>
        <v>0.5</v>
      </c>
      <c r="F7" s="62">
        <f ca="1"/>
        <v>42916</v>
      </c>
      <c r="G7" s="64">
        <f ca="1"/>
        <v>1000000</v>
      </c>
      <c r="H7" s="64">
        <f ca="1"/>
        <v>0</v>
      </c>
      <c r="I7" s="63">
        <f ca="1"/>
        <v>1</v>
      </c>
      <c r="J7" s="65">
        <f ca="1"/>
        <v>2.1250000000000002E-2</v>
      </c>
      <c r="K7" s="64">
        <f ca="1"/>
        <v>10625</v>
      </c>
      <c r="L7" s="66">
        <f ca="1"/>
        <v>0</v>
      </c>
      <c r="M7" s="64">
        <f ca="1"/>
        <v>0</v>
      </c>
    </row>
    <row r="8" spans="2:13">
      <c r="B8" s="62">
        <f ca="1"/>
        <v>42916</v>
      </c>
      <c r="C8" s="62">
        <f ca="1"/>
        <v>43100</v>
      </c>
      <c r="D8" s="74">
        <f ca="1"/>
        <v>0.5</v>
      </c>
      <c r="E8" s="74">
        <f ca="1"/>
        <v>0.5</v>
      </c>
      <c r="F8" s="62">
        <f ca="1"/>
        <v>43100</v>
      </c>
      <c r="G8" s="64">
        <f ca="1"/>
        <v>1000000</v>
      </c>
      <c r="H8" s="64">
        <f ca="1"/>
        <v>0</v>
      </c>
      <c r="I8" s="63">
        <f ca="1"/>
        <v>1</v>
      </c>
      <c r="J8" s="65">
        <f ca="1"/>
        <v>2.1250000000000002E-2</v>
      </c>
      <c r="K8" s="64">
        <f ca="1"/>
        <v>10625</v>
      </c>
      <c r="L8" s="66">
        <f ca="1"/>
        <v>0</v>
      </c>
      <c r="M8" s="64">
        <f ca="1"/>
        <v>0</v>
      </c>
    </row>
    <row r="9" spans="2:13">
      <c r="B9" s="62">
        <f ca="1"/>
        <v>43100</v>
      </c>
      <c r="C9" s="62">
        <f ca="1"/>
        <v>43281</v>
      </c>
      <c r="D9" s="74">
        <f ca="1"/>
        <v>0.5</v>
      </c>
      <c r="E9" s="74">
        <f ca="1"/>
        <v>0.5</v>
      </c>
      <c r="F9" s="62">
        <f ca="1"/>
        <v>43281</v>
      </c>
      <c r="G9" s="64">
        <f ca="1"/>
        <v>1000000</v>
      </c>
      <c r="H9" s="64">
        <f ca="1"/>
        <v>0</v>
      </c>
      <c r="I9" s="63">
        <f ca="1"/>
        <v>1</v>
      </c>
      <c r="J9" s="65">
        <f ca="1"/>
        <v>2.1250000000000002E-2</v>
      </c>
      <c r="K9" s="64">
        <f ca="1"/>
        <v>10625</v>
      </c>
      <c r="L9" s="66">
        <f ca="1"/>
        <v>1</v>
      </c>
      <c r="M9" s="64">
        <f ca="1"/>
        <v>10625</v>
      </c>
    </row>
    <row r="10" spans="2:13">
      <c r="B10" s="62">
        <f ca="1"/>
        <v>43281</v>
      </c>
      <c r="C10" s="62">
        <f ca="1"/>
        <v>43465</v>
      </c>
      <c r="D10" s="74">
        <f ca="1"/>
        <v>0.5</v>
      </c>
      <c r="E10" s="74">
        <f ca="1"/>
        <v>0.5</v>
      </c>
      <c r="F10" s="62">
        <f ca="1"/>
        <v>43465</v>
      </c>
      <c r="G10" s="64">
        <f ca="1"/>
        <v>1000000</v>
      </c>
      <c r="H10" s="64">
        <f ca="1"/>
        <v>0</v>
      </c>
      <c r="I10" s="63">
        <f ca="1"/>
        <v>1</v>
      </c>
      <c r="J10" s="65">
        <f ca="1"/>
        <v>2.1250000000000002E-2</v>
      </c>
      <c r="K10" s="64">
        <f ca="1"/>
        <v>10625</v>
      </c>
      <c r="L10" s="66">
        <f ca="1"/>
        <v>1</v>
      </c>
      <c r="M10" s="64">
        <f ca="1"/>
        <v>10625</v>
      </c>
    </row>
    <row r="11" spans="2:13">
      <c r="B11" s="62">
        <f ca="1"/>
        <v>43465</v>
      </c>
      <c r="C11" s="62">
        <f ca="1"/>
        <v>43646</v>
      </c>
      <c r="D11" s="74">
        <f ca="1"/>
        <v>0.5</v>
      </c>
      <c r="E11" s="74">
        <f ca="1"/>
        <v>0.5</v>
      </c>
      <c r="F11" s="62">
        <f ca="1"/>
        <v>43646</v>
      </c>
      <c r="G11" s="64">
        <f ca="1"/>
        <v>1000000</v>
      </c>
      <c r="H11" s="64">
        <f ca="1"/>
        <v>0</v>
      </c>
      <c r="I11" s="63">
        <f ca="1"/>
        <v>1</v>
      </c>
      <c r="J11" s="65">
        <f ca="1"/>
        <v>2.1250000000000002E-2</v>
      </c>
      <c r="K11" s="64">
        <f ca="1"/>
        <v>10625</v>
      </c>
      <c r="L11" s="66">
        <f ca="1"/>
        <v>1</v>
      </c>
      <c r="M11" s="64">
        <f ca="1"/>
        <v>10625</v>
      </c>
    </row>
    <row r="12" spans="2:13">
      <c r="B12" s="62">
        <f ca="1"/>
        <v>43646</v>
      </c>
      <c r="C12" s="62">
        <f ca="1"/>
        <v>43830</v>
      </c>
      <c r="D12" s="74">
        <f ca="1"/>
        <v>0.5</v>
      </c>
      <c r="E12" s="74">
        <f ca="1"/>
        <v>0.5</v>
      </c>
      <c r="F12" s="62">
        <f ca="1"/>
        <v>43830</v>
      </c>
      <c r="G12" s="64">
        <f ca="1"/>
        <v>1000000</v>
      </c>
      <c r="H12" s="64">
        <f ca="1"/>
        <v>0</v>
      </c>
      <c r="I12" s="63">
        <f ca="1"/>
        <v>1</v>
      </c>
      <c r="J12" s="65">
        <f ca="1"/>
        <v>2.1250000000000002E-2</v>
      </c>
      <c r="K12" s="64">
        <f ca="1"/>
        <v>10625</v>
      </c>
      <c r="L12" s="66">
        <f ca="1"/>
        <v>1</v>
      </c>
      <c r="M12" s="64">
        <f ca="1"/>
        <v>10625</v>
      </c>
    </row>
    <row r="13" spans="2:13">
      <c r="B13" s="62">
        <f ca="1"/>
        <v>43830</v>
      </c>
      <c r="C13" s="62">
        <f ca="1"/>
        <v>44012</v>
      </c>
      <c r="D13" s="74">
        <f ca="1"/>
        <v>0.5</v>
      </c>
      <c r="E13" s="74">
        <f ca="1"/>
        <v>0.5</v>
      </c>
      <c r="F13" s="62">
        <f ca="1"/>
        <v>44012</v>
      </c>
      <c r="G13" s="64">
        <f ca="1"/>
        <v>1000000</v>
      </c>
      <c r="H13" s="64">
        <f ca="1"/>
        <v>0</v>
      </c>
      <c r="I13" s="63">
        <f ca="1"/>
        <v>1</v>
      </c>
      <c r="J13" s="65">
        <f ca="1"/>
        <v>2.1250000000000002E-2</v>
      </c>
      <c r="K13" s="64">
        <f ca="1"/>
        <v>10625</v>
      </c>
      <c r="L13" s="66">
        <f ca="1"/>
        <v>1</v>
      </c>
      <c r="M13" s="64">
        <f ca="1"/>
        <v>10625</v>
      </c>
    </row>
    <row r="14" spans="2:13">
      <c r="B14" s="62">
        <f ca="1"/>
        <v>44012</v>
      </c>
      <c r="C14" s="62">
        <f ca="1"/>
        <v>44196</v>
      </c>
      <c r="D14" s="74">
        <f ca="1"/>
        <v>0.5</v>
      </c>
      <c r="E14" s="74">
        <f ca="1"/>
        <v>0.5</v>
      </c>
      <c r="F14" s="62">
        <f ca="1"/>
        <v>44196</v>
      </c>
      <c r="G14" s="64">
        <f ca="1"/>
        <v>1000000</v>
      </c>
      <c r="H14" s="64">
        <f ca="1"/>
        <v>0</v>
      </c>
      <c r="I14" s="63">
        <f ca="1"/>
        <v>1</v>
      </c>
      <c r="J14" s="65">
        <f ca="1"/>
        <v>2.1250000000000002E-2</v>
      </c>
      <c r="K14" s="64">
        <f ca="1"/>
        <v>10625</v>
      </c>
      <c r="L14" s="66">
        <f ca="1"/>
        <v>1</v>
      </c>
      <c r="M14" s="64">
        <f ca="1"/>
        <v>10625</v>
      </c>
    </row>
    <row r="15" spans="2:13">
      <c r="B15" s="62">
        <f ca="1"/>
        <v>44196</v>
      </c>
      <c r="C15" s="62">
        <f ca="1"/>
        <v>44377</v>
      </c>
      <c r="D15" s="74">
        <f ca="1"/>
        <v>0.5</v>
      </c>
      <c r="E15" s="74">
        <f ca="1"/>
        <v>0.5</v>
      </c>
      <c r="F15" s="62">
        <f ca="1"/>
        <v>44377</v>
      </c>
      <c r="G15" s="64">
        <f ca="1"/>
        <v>1000000</v>
      </c>
      <c r="H15" s="64">
        <f ca="1"/>
        <v>0</v>
      </c>
      <c r="I15" s="63">
        <f ca="1"/>
        <v>1</v>
      </c>
      <c r="J15" s="65">
        <f ca="1"/>
        <v>2.1250000000000002E-2</v>
      </c>
      <c r="K15" s="64">
        <f ca="1"/>
        <v>10625</v>
      </c>
      <c r="L15" s="66">
        <f ca="1"/>
        <v>1</v>
      </c>
      <c r="M15" s="64">
        <f ca="1"/>
        <v>10625</v>
      </c>
    </row>
    <row r="16" spans="2:13">
      <c r="B16" s="62">
        <f ca="1"/>
        <v>44377</v>
      </c>
      <c r="C16" s="62">
        <f ca="1"/>
        <v>44561</v>
      </c>
      <c r="D16" s="74">
        <f ca="1"/>
        <v>0.5</v>
      </c>
      <c r="E16" s="74">
        <f ca="1"/>
        <v>0.5</v>
      </c>
      <c r="F16" s="62">
        <f ca="1"/>
        <v>44561</v>
      </c>
      <c r="G16" s="64">
        <f ca="1"/>
        <v>1000000</v>
      </c>
      <c r="H16" s="64">
        <f ca="1"/>
        <v>0</v>
      </c>
      <c r="I16" s="63">
        <f ca="1"/>
        <v>1</v>
      </c>
      <c r="J16" s="65">
        <f ca="1"/>
        <v>2.1250000000000002E-2</v>
      </c>
      <c r="K16" s="64">
        <f ca="1"/>
        <v>10625</v>
      </c>
      <c r="L16" s="66">
        <f ca="1"/>
        <v>1</v>
      </c>
      <c r="M16" s="64">
        <f ca="1"/>
        <v>10625</v>
      </c>
    </row>
    <row r="17" spans="2:13">
      <c r="B17" s="62">
        <f ca="1"/>
        <v>44561</v>
      </c>
      <c r="C17" s="62">
        <f ca="1"/>
        <v>44742</v>
      </c>
      <c r="D17" s="74">
        <f ca="1"/>
        <v>0.5</v>
      </c>
      <c r="E17" s="74">
        <f ca="1"/>
        <v>0.5</v>
      </c>
      <c r="F17" s="62">
        <f ca="1"/>
        <v>44742</v>
      </c>
      <c r="G17" s="64">
        <f ca="1"/>
        <v>1000000</v>
      </c>
      <c r="H17" s="64">
        <f ca="1"/>
        <v>0</v>
      </c>
      <c r="I17" s="63">
        <f ca="1"/>
        <v>1</v>
      </c>
      <c r="J17" s="65">
        <f ca="1"/>
        <v>2.1250000000000002E-2</v>
      </c>
      <c r="K17" s="64">
        <f ca="1"/>
        <v>10625</v>
      </c>
      <c r="L17" s="66">
        <f ca="1"/>
        <v>1</v>
      </c>
      <c r="M17" s="64">
        <f ca="1"/>
        <v>10625</v>
      </c>
    </row>
    <row r="18" spans="2:13">
      <c r="B18" s="62">
        <f ca="1"/>
        <v>44742</v>
      </c>
      <c r="C18" s="62">
        <f ca="1"/>
        <v>44926</v>
      </c>
      <c r="D18" s="74">
        <f ca="1"/>
        <v>0.5</v>
      </c>
      <c r="E18" s="74">
        <f ca="1"/>
        <v>0.5</v>
      </c>
      <c r="F18" s="62">
        <f ca="1"/>
        <v>44926</v>
      </c>
      <c r="G18" s="64">
        <f ca="1"/>
        <v>1000000</v>
      </c>
      <c r="H18" s="64">
        <f ca="1"/>
        <v>1000000</v>
      </c>
      <c r="I18" s="63">
        <f ca="1"/>
        <v>1</v>
      </c>
      <c r="J18" s="65">
        <f ca="1"/>
        <v>2.1250000000000002E-2</v>
      </c>
      <c r="K18" s="64">
        <f ca="1"/>
        <v>1010625</v>
      </c>
      <c r="L18" s="66">
        <f ca="1"/>
        <v>1</v>
      </c>
      <c r="M18" s="64">
        <f ca="1"/>
        <v>1010625</v>
      </c>
    </row>
    <row r="19" spans="2:13">
      <c r="B19" s="62" t="str">
        <f ca="1"/>
        <v/>
      </c>
      <c r="C19" s="62" t="str">
        <f ca="1"/>
        <v/>
      </c>
      <c r="D19" s="74" t="str">
        <f ca="1"/>
        <v/>
      </c>
      <c r="E19" s="74" t="str">
        <f ca="1"/>
        <v/>
      </c>
      <c r="F19" s="62" t="str">
        <f ca="1"/>
        <v/>
      </c>
      <c r="G19" s="64" t="str">
        <f ca="1"/>
        <v/>
      </c>
      <c r="H19" s="64" t="str">
        <f ca="1"/>
        <v/>
      </c>
      <c r="I19" s="63" t="str">
        <f ca="1"/>
        <v/>
      </c>
      <c r="J19" s="65" t="str">
        <f ca="1"/>
        <v/>
      </c>
      <c r="K19" s="64" t="str">
        <f ca="1"/>
        <v/>
      </c>
      <c r="L19" s="66" t="str">
        <f ca="1"/>
        <v/>
      </c>
      <c r="M19" s="64" t="str">
        <f ca="1"/>
        <v/>
      </c>
    </row>
    <row r="20" spans="2:13">
      <c r="B20" s="62" t="str">
        <f ca="1"/>
        <v/>
      </c>
      <c r="C20" s="62" t="str">
        <f ca="1"/>
        <v/>
      </c>
      <c r="D20" s="74" t="str">
        <f ca="1"/>
        <v/>
      </c>
      <c r="E20" s="74" t="str">
        <f ca="1"/>
        <v/>
      </c>
      <c r="F20" s="62" t="str">
        <f ca="1"/>
        <v/>
      </c>
      <c r="G20" s="64" t="str">
        <f ca="1"/>
        <v/>
      </c>
      <c r="H20" s="64" t="str">
        <f ca="1"/>
        <v/>
      </c>
      <c r="I20" s="63" t="str">
        <f ca="1"/>
        <v/>
      </c>
      <c r="J20" s="65" t="str">
        <f ca="1"/>
        <v/>
      </c>
      <c r="K20" s="64" t="str">
        <f ca="1"/>
        <v/>
      </c>
      <c r="L20" s="66" t="str">
        <f ca="1"/>
        <v/>
      </c>
      <c r="M20" s="64" t="str">
        <f ca="1"/>
        <v/>
      </c>
    </row>
    <row r="21" spans="2:13">
      <c r="B21" s="62" t="str">
        <f ca="1"/>
        <v/>
      </c>
      <c r="C21" s="62" t="str">
        <f ca="1"/>
        <v/>
      </c>
      <c r="D21" s="74" t="str">
        <f ca="1"/>
        <v/>
      </c>
      <c r="E21" s="74" t="str">
        <f ca="1"/>
        <v/>
      </c>
      <c r="F21" s="62" t="str">
        <f ca="1"/>
        <v/>
      </c>
      <c r="G21" s="64" t="str">
        <f ca="1"/>
        <v/>
      </c>
      <c r="H21" s="64" t="str">
        <f ca="1"/>
        <v/>
      </c>
      <c r="I21" s="63" t="str">
        <f ca="1"/>
        <v/>
      </c>
      <c r="J21" s="65" t="str">
        <f ca="1"/>
        <v/>
      </c>
      <c r="K21" s="64" t="str">
        <f ca="1"/>
        <v/>
      </c>
      <c r="L21" s="66" t="str">
        <f ca="1"/>
        <v/>
      </c>
      <c r="M21" s="64" t="str">
        <f ca="1"/>
        <v/>
      </c>
    </row>
    <row r="22" spans="2:13">
      <c r="B22" s="62" t="str">
        <f ca="1"/>
        <v/>
      </c>
      <c r="C22" s="62" t="str">
        <f ca="1"/>
        <v/>
      </c>
      <c r="D22" s="74" t="str">
        <f ca="1"/>
        <v/>
      </c>
      <c r="E22" s="74" t="str">
        <f ca="1"/>
        <v/>
      </c>
      <c r="F22" s="62" t="str">
        <f ca="1"/>
        <v/>
      </c>
      <c r="G22" s="64" t="str">
        <f ca="1"/>
        <v/>
      </c>
      <c r="H22" s="64" t="str">
        <f ca="1"/>
        <v/>
      </c>
      <c r="I22" s="63" t="str">
        <f ca="1"/>
        <v/>
      </c>
      <c r="J22" s="65" t="str">
        <f ca="1"/>
        <v/>
      </c>
      <c r="K22" s="64" t="str">
        <f ca="1"/>
        <v/>
      </c>
      <c r="L22" s="66" t="str">
        <f ca="1"/>
        <v/>
      </c>
      <c r="M22" s="64" t="str">
        <f ca="1"/>
        <v/>
      </c>
    </row>
    <row r="23" spans="2:13">
      <c r="B23" s="62" t="str">
        <f ca="1"/>
        <v/>
      </c>
      <c r="C23" s="62" t="str">
        <f ca="1"/>
        <v/>
      </c>
      <c r="D23" s="74" t="str">
        <f ca="1"/>
        <v/>
      </c>
      <c r="E23" s="74" t="str">
        <f ca="1"/>
        <v/>
      </c>
      <c r="F23" s="62" t="str">
        <f ca="1"/>
        <v/>
      </c>
      <c r="G23" s="64" t="str">
        <f ca="1"/>
        <v/>
      </c>
      <c r="H23" s="64" t="str">
        <f ca="1"/>
        <v/>
      </c>
      <c r="I23" s="63" t="str">
        <f ca="1"/>
        <v/>
      </c>
      <c r="J23" s="65" t="str">
        <f ca="1"/>
        <v/>
      </c>
      <c r="K23" s="64" t="str">
        <f ca="1"/>
        <v/>
      </c>
      <c r="L23" s="66" t="str">
        <f ca="1"/>
        <v/>
      </c>
      <c r="M23" s="64" t="str">
        <f ca="1"/>
        <v/>
      </c>
    </row>
    <row r="24" spans="2:13">
      <c r="B24" s="62" t="str">
        <f ca="1"/>
        <v/>
      </c>
      <c r="C24" s="62" t="str">
        <f ca="1"/>
        <v/>
      </c>
      <c r="D24" s="74" t="str">
        <f ca="1"/>
        <v/>
      </c>
      <c r="E24" s="74" t="str">
        <f ca="1"/>
        <v/>
      </c>
      <c r="F24" s="62" t="str">
        <f ca="1"/>
        <v/>
      </c>
      <c r="G24" s="64" t="str">
        <f ca="1"/>
        <v/>
      </c>
      <c r="H24" s="64" t="str">
        <f ca="1"/>
        <v/>
      </c>
      <c r="I24" s="63" t="str">
        <f ca="1"/>
        <v/>
      </c>
      <c r="J24" s="65" t="str">
        <f ca="1"/>
        <v/>
      </c>
      <c r="K24" s="64" t="str">
        <f ca="1"/>
        <v/>
      </c>
      <c r="L24" s="66" t="str">
        <f ca="1"/>
        <v/>
      </c>
      <c r="M24" s="64" t="str">
        <f ca="1"/>
        <v/>
      </c>
    </row>
    <row r="25" spans="2:13">
      <c r="B25" s="62" t="str">
        <f ca="1"/>
        <v/>
      </c>
      <c r="C25" s="62" t="str">
        <f ca="1"/>
        <v/>
      </c>
      <c r="D25" s="74" t="str">
        <f ca="1"/>
        <v/>
      </c>
      <c r="E25" s="74" t="str">
        <f ca="1"/>
        <v/>
      </c>
      <c r="F25" s="62" t="str">
        <f ca="1"/>
        <v/>
      </c>
      <c r="G25" s="64" t="str">
        <f ca="1"/>
        <v/>
      </c>
      <c r="H25" s="64" t="str">
        <f ca="1"/>
        <v/>
      </c>
      <c r="I25" s="63" t="str">
        <f ca="1"/>
        <v/>
      </c>
      <c r="J25" s="65" t="str">
        <f ca="1"/>
        <v/>
      </c>
      <c r="K25" s="64" t="str">
        <f ca="1"/>
        <v/>
      </c>
      <c r="L25" s="66" t="str">
        <f ca="1"/>
        <v/>
      </c>
      <c r="M25" s="64" t="str">
        <f ca="1"/>
        <v/>
      </c>
    </row>
    <row r="26" spans="2:13">
      <c r="B26" s="62" t="str">
        <f ca="1"/>
        <v/>
      </c>
      <c r="C26" s="62" t="str">
        <f ca="1"/>
        <v/>
      </c>
      <c r="D26" s="74" t="str">
        <f ca="1"/>
        <v/>
      </c>
      <c r="E26" s="74" t="str">
        <f ca="1"/>
        <v/>
      </c>
      <c r="F26" s="62" t="str">
        <f ca="1"/>
        <v/>
      </c>
      <c r="G26" s="64" t="str">
        <f ca="1"/>
        <v/>
      </c>
      <c r="H26" s="64" t="str">
        <f ca="1"/>
        <v/>
      </c>
      <c r="I26" s="63" t="str">
        <f ca="1"/>
        <v/>
      </c>
      <c r="J26" s="65" t="str">
        <f ca="1"/>
        <v/>
      </c>
      <c r="K26" s="64" t="str">
        <f ca="1"/>
        <v/>
      </c>
      <c r="L26" s="66" t="str">
        <f ca="1"/>
        <v/>
      </c>
      <c r="M26" s="64" t="str">
        <f ca="1"/>
        <v/>
      </c>
    </row>
    <row r="27" spans="2:13">
      <c r="B27" s="62" t="str">
        <f ca="1"/>
        <v/>
      </c>
      <c r="C27" s="62" t="str">
        <f ca="1"/>
        <v/>
      </c>
      <c r="D27" s="74" t="str">
        <f ca="1"/>
        <v/>
      </c>
      <c r="E27" s="74" t="str">
        <f ca="1"/>
        <v/>
      </c>
      <c r="F27" s="62" t="str">
        <f ca="1"/>
        <v/>
      </c>
      <c r="G27" s="64" t="str">
        <f ca="1"/>
        <v/>
      </c>
      <c r="H27" s="64" t="str">
        <f ca="1"/>
        <v/>
      </c>
      <c r="I27" s="63" t="str">
        <f ca="1"/>
        <v/>
      </c>
      <c r="J27" s="65" t="str">
        <f ca="1"/>
        <v/>
      </c>
      <c r="K27" s="64" t="str">
        <f ca="1"/>
        <v/>
      </c>
      <c r="L27" s="66" t="str">
        <f ca="1"/>
        <v/>
      </c>
      <c r="M27" s="64" t="str">
        <f ca="1"/>
        <v/>
      </c>
    </row>
    <row r="28" spans="2:13">
      <c r="B28" s="62" t="str">
        <f ca="1"/>
        <v/>
      </c>
      <c r="C28" s="62" t="str">
        <f ca="1"/>
        <v/>
      </c>
      <c r="D28" s="74" t="str">
        <f ca="1"/>
        <v/>
      </c>
      <c r="E28" s="74" t="str">
        <f ca="1"/>
        <v/>
      </c>
      <c r="F28" s="62" t="str">
        <f ca="1"/>
        <v/>
      </c>
      <c r="G28" s="64" t="str">
        <f ca="1"/>
        <v/>
      </c>
      <c r="H28" s="64" t="str">
        <f ca="1"/>
        <v/>
      </c>
      <c r="I28" s="63" t="str">
        <f ca="1"/>
        <v/>
      </c>
      <c r="J28" s="65" t="str">
        <f ca="1"/>
        <v/>
      </c>
      <c r="K28" s="64" t="str">
        <f ca="1"/>
        <v/>
      </c>
      <c r="L28" s="66" t="str">
        <f ca="1"/>
        <v/>
      </c>
      <c r="M28" s="64" t="str">
        <f ca="1"/>
        <v/>
      </c>
    </row>
    <row r="29" spans="2:13">
      <c r="B29" s="62" t="str">
        <f ca="1"/>
        <v/>
      </c>
      <c r="C29" s="62" t="str">
        <f ca="1"/>
        <v/>
      </c>
      <c r="D29" s="74" t="str">
        <f ca="1"/>
        <v/>
      </c>
      <c r="E29" s="74" t="str">
        <f ca="1"/>
        <v/>
      </c>
      <c r="F29" s="62" t="str">
        <f ca="1"/>
        <v/>
      </c>
      <c r="G29" s="64" t="str">
        <f ca="1"/>
        <v/>
      </c>
      <c r="H29" s="64" t="str">
        <f ca="1"/>
        <v/>
      </c>
      <c r="I29" s="63" t="str">
        <f ca="1"/>
        <v/>
      </c>
      <c r="J29" s="65" t="str">
        <f ca="1"/>
        <v/>
      </c>
      <c r="K29" s="64" t="str">
        <f ca="1"/>
        <v/>
      </c>
      <c r="L29" s="66" t="str">
        <f ca="1"/>
        <v/>
      </c>
      <c r="M29" s="64" t="str">
        <f ca="1"/>
        <v/>
      </c>
    </row>
    <row r="30" spans="2:13">
      <c r="B30" s="62" t="str">
        <f ca="1"/>
        <v/>
      </c>
      <c r="C30" s="62" t="str">
        <f ca="1"/>
        <v/>
      </c>
      <c r="D30" s="74" t="str">
        <f ca="1"/>
        <v/>
      </c>
      <c r="E30" s="74" t="str">
        <f ca="1"/>
        <v/>
      </c>
      <c r="F30" s="62" t="str">
        <f ca="1"/>
        <v/>
      </c>
      <c r="G30" s="64" t="str">
        <f ca="1"/>
        <v/>
      </c>
      <c r="H30" s="64" t="str">
        <f ca="1"/>
        <v/>
      </c>
      <c r="I30" s="63" t="str">
        <f ca="1"/>
        <v/>
      </c>
      <c r="J30" s="65" t="str">
        <f ca="1"/>
        <v/>
      </c>
      <c r="K30" s="64" t="str">
        <f ca="1"/>
        <v/>
      </c>
      <c r="L30" s="66" t="str">
        <f ca="1"/>
        <v/>
      </c>
      <c r="M30" s="64" t="str">
        <f ca="1"/>
        <v/>
      </c>
    </row>
    <row r="31" spans="2:13">
      <c r="B31" s="62" t="str">
        <f ca="1"/>
        <v/>
      </c>
      <c r="C31" s="62" t="str">
        <f ca="1"/>
        <v/>
      </c>
      <c r="D31" s="74" t="str">
        <f ca="1"/>
        <v/>
      </c>
      <c r="E31" s="74" t="str">
        <f ca="1"/>
        <v/>
      </c>
      <c r="F31" s="62" t="str">
        <f ca="1"/>
        <v/>
      </c>
      <c r="G31" s="64" t="str">
        <f ca="1"/>
        <v/>
      </c>
      <c r="H31" s="64" t="str">
        <f ca="1"/>
        <v/>
      </c>
      <c r="I31" s="63" t="str">
        <f ca="1"/>
        <v/>
      </c>
      <c r="J31" s="65" t="str">
        <f ca="1"/>
        <v/>
      </c>
      <c r="K31" s="64" t="str">
        <f ca="1"/>
        <v/>
      </c>
      <c r="L31" s="66" t="str">
        <f ca="1"/>
        <v/>
      </c>
      <c r="M31" s="64" t="str">
        <f ca="1"/>
        <v/>
      </c>
    </row>
    <row r="32" spans="2:13">
      <c r="B32" s="62" t="str">
        <f ca="1"/>
        <v/>
      </c>
      <c r="C32" s="62" t="str">
        <f ca="1"/>
        <v/>
      </c>
      <c r="D32" s="74" t="str">
        <f ca="1"/>
        <v/>
      </c>
      <c r="E32" s="74" t="str">
        <f ca="1"/>
        <v/>
      </c>
      <c r="F32" s="62" t="str">
        <f ca="1"/>
        <v/>
      </c>
      <c r="G32" s="64" t="str">
        <f ca="1"/>
        <v/>
      </c>
      <c r="H32" s="64" t="str">
        <f ca="1"/>
        <v/>
      </c>
      <c r="I32" s="63" t="str">
        <f ca="1"/>
        <v/>
      </c>
      <c r="J32" s="65" t="str">
        <f ca="1"/>
        <v/>
      </c>
      <c r="K32" s="64" t="str">
        <f ca="1"/>
        <v/>
      </c>
      <c r="L32" s="66" t="str">
        <f ca="1"/>
        <v/>
      </c>
      <c r="M32" s="64" t="str">
        <f ca="1"/>
        <v/>
      </c>
    </row>
    <row r="33" spans="2:13">
      <c r="B33" s="62" t="str">
        <f ca="1"/>
        <v/>
      </c>
      <c r="C33" s="62" t="str">
        <f ca="1"/>
        <v/>
      </c>
      <c r="D33" s="74" t="str">
        <f ca="1"/>
        <v/>
      </c>
      <c r="E33" s="74" t="str">
        <f ca="1"/>
        <v/>
      </c>
      <c r="F33" s="62" t="str">
        <f ca="1"/>
        <v/>
      </c>
      <c r="G33" s="64" t="str">
        <f ca="1"/>
        <v/>
      </c>
      <c r="H33" s="64" t="str">
        <f ca="1"/>
        <v/>
      </c>
      <c r="I33" s="63" t="str">
        <f ca="1"/>
        <v/>
      </c>
      <c r="J33" s="65" t="str">
        <f ca="1"/>
        <v/>
      </c>
      <c r="K33" s="64" t="str">
        <f ca="1"/>
        <v/>
      </c>
      <c r="L33" s="66" t="str">
        <f ca="1"/>
        <v/>
      </c>
      <c r="M33" s="64" t="str">
        <f ca="1"/>
        <v/>
      </c>
    </row>
    <row r="34" spans="2:13">
      <c r="B34" s="62" t="str">
        <f ca="1"/>
        <v/>
      </c>
      <c r="C34" s="62" t="str">
        <f ca="1"/>
        <v/>
      </c>
      <c r="D34" s="74" t="str">
        <f ca="1"/>
        <v/>
      </c>
      <c r="E34" s="74" t="str">
        <f ca="1"/>
        <v/>
      </c>
      <c r="F34" s="62" t="str">
        <f ca="1"/>
        <v/>
      </c>
      <c r="G34" s="64" t="str">
        <f ca="1"/>
        <v/>
      </c>
      <c r="H34" s="64" t="str">
        <f ca="1"/>
        <v/>
      </c>
      <c r="I34" s="63" t="str">
        <f ca="1"/>
        <v/>
      </c>
      <c r="J34" s="65" t="str">
        <f ca="1"/>
        <v/>
      </c>
      <c r="K34" s="64" t="str">
        <f ca="1"/>
        <v/>
      </c>
      <c r="L34" s="66" t="str">
        <f ca="1"/>
        <v/>
      </c>
      <c r="M34" s="64" t="str">
        <f ca="1"/>
        <v/>
      </c>
    </row>
    <row r="35" spans="2:13">
      <c r="B35" s="62" t="str">
        <f ca="1"/>
        <v/>
      </c>
      <c r="C35" s="62" t="str">
        <f ca="1"/>
        <v/>
      </c>
      <c r="D35" s="74" t="str">
        <f ca="1"/>
        <v/>
      </c>
      <c r="E35" s="74" t="str">
        <f ca="1"/>
        <v/>
      </c>
      <c r="F35" s="62" t="str">
        <f ca="1"/>
        <v/>
      </c>
      <c r="G35" s="64" t="str">
        <f ca="1"/>
        <v/>
      </c>
      <c r="H35" s="64" t="str">
        <f ca="1"/>
        <v/>
      </c>
      <c r="I35" s="63" t="str">
        <f ca="1"/>
        <v/>
      </c>
      <c r="J35" s="65" t="str">
        <f ca="1"/>
        <v/>
      </c>
      <c r="K35" s="64" t="str">
        <f ca="1"/>
        <v/>
      </c>
      <c r="L35" s="66" t="str">
        <f ca="1"/>
        <v/>
      </c>
      <c r="M35" s="64" t="str">
        <f ca="1"/>
        <v/>
      </c>
    </row>
    <row r="36" spans="2:13">
      <c r="B36" s="62" t="str">
        <f ca="1"/>
        <v/>
      </c>
      <c r="C36" s="62" t="str">
        <f ca="1"/>
        <v/>
      </c>
      <c r="D36" s="74" t="str">
        <f ca="1"/>
        <v/>
      </c>
      <c r="E36" s="74" t="str">
        <f ca="1"/>
        <v/>
      </c>
      <c r="F36" s="62" t="str">
        <f ca="1"/>
        <v/>
      </c>
      <c r="G36" s="64" t="str">
        <f ca="1"/>
        <v/>
      </c>
      <c r="H36" s="64" t="str">
        <f ca="1"/>
        <v/>
      </c>
      <c r="I36" s="63" t="str">
        <f ca="1"/>
        <v/>
      </c>
      <c r="J36" s="65" t="str">
        <f ca="1"/>
        <v/>
      </c>
      <c r="K36" s="64" t="str">
        <f ca="1"/>
        <v/>
      </c>
      <c r="L36" s="66" t="str">
        <f ca="1"/>
        <v/>
      </c>
      <c r="M36" s="64" t="str">
        <f ca="1"/>
        <v/>
      </c>
    </row>
    <row r="37" spans="2:13">
      <c r="B37" s="62" t="str">
        <f ca="1"/>
        <v/>
      </c>
      <c r="C37" s="62" t="str">
        <f ca="1"/>
        <v/>
      </c>
      <c r="D37" s="74" t="str">
        <f ca="1"/>
        <v/>
      </c>
      <c r="E37" s="74" t="str">
        <f ca="1"/>
        <v/>
      </c>
      <c r="F37" s="62" t="str">
        <f ca="1"/>
        <v/>
      </c>
      <c r="G37" s="64" t="str">
        <f ca="1"/>
        <v/>
      </c>
      <c r="H37" s="64" t="str">
        <f ca="1"/>
        <v/>
      </c>
      <c r="I37" s="63" t="str">
        <f ca="1"/>
        <v/>
      </c>
      <c r="J37" s="65" t="str">
        <f ca="1"/>
        <v/>
      </c>
      <c r="K37" s="64" t="str">
        <f ca="1"/>
        <v/>
      </c>
      <c r="L37" s="66" t="str">
        <f ca="1"/>
        <v/>
      </c>
      <c r="M37" s="64" t="str">
        <f ca="1"/>
        <v/>
      </c>
    </row>
    <row r="38" spans="2:13">
      <c r="B38" s="62" t="str">
        <f ca="1"/>
        <v/>
      </c>
      <c r="C38" s="62" t="str">
        <f ca="1"/>
        <v/>
      </c>
      <c r="D38" s="74" t="str">
        <f ca="1"/>
        <v/>
      </c>
      <c r="E38" s="74" t="str">
        <f ca="1"/>
        <v/>
      </c>
      <c r="F38" s="62" t="str">
        <f ca="1"/>
        <v/>
      </c>
      <c r="G38" s="64" t="str">
        <f ca="1"/>
        <v/>
      </c>
      <c r="H38" s="64" t="str">
        <f ca="1"/>
        <v/>
      </c>
      <c r="I38" s="63" t="str">
        <f ca="1"/>
        <v/>
      </c>
      <c r="J38" s="65" t="str">
        <f ca="1"/>
        <v/>
      </c>
      <c r="K38" s="64" t="str">
        <f ca="1"/>
        <v/>
      </c>
      <c r="L38" s="66" t="str">
        <f ca="1"/>
        <v/>
      </c>
      <c r="M38" s="64" t="str">
        <f ca="1"/>
        <v/>
      </c>
    </row>
    <row r="39" spans="2:13">
      <c r="B39" s="62" t="str">
        <f ca="1"/>
        <v/>
      </c>
      <c r="C39" s="62" t="str">
        <f ca="1"/>
        <v/>
      </c>
      <c r="D39" s="74" t="str">
        <f ca="1"/>
        <v/>
      </c>
      <c r="E39" s="74" t="str">
        <f ca="1"/>
        <v/>
      </c>
      <c r="F39" s="62" t="str">
        <f ca="1"/>
        <v/>
      </c>
      <c r="G39" s="64" t="str">
        <f ca="1"/>
        <v/>
      </c>
      <c r="H39" s="64" t="str">
        <f ca="1"/>
        <v/>
      </c>
      <c r="I39" s="63" t="str">
        <f ca="1"/>
        <v/>
      </c>
      <c r="J39" s="65" t="str">
        <f ca="1"/>
        <v/>
      </c>
      <c r="K39" s="64" t="str">
        <f ca="1"/>
        <v/>
      </c>
      <c r="L39" s="66" t="str">
        <f ca="1"/>
        <v/>
      </c>
      <c r="M39" s="64" t="str">
        <f ca="1"/>
        <v/>
      </c>
    </row>
    <row r="40" spans="2:13">
      <c r="B40" s="62" t="str">
        <f ca="1"/>
        <v/>
      </c>
      <c r="C40" s="62" t="str">
        <f ca="1"/>
        <v/>
      </c>
      <c r="D40" s="74" t="str">
        <f ca="1"/>
        <v/>
      </c>
      <c r="E40" s="74" t="str">
        <f ca="1"/>
        <v/>
      </c>
      <c r="F40" s="62" t="str">
        <f ca="1"/>
        <v/>
      </c>
      <c r="G40" s="64" t="str">
        <f ca="1"/>
        <v/>
      </c>
      <c r="H40" s="64" t="str">
        <f ca="1"/>
        <v/>
      </c>
      <c r="I40" s="63" t="str">
        <f ca="1"/>
        <v/>
      </c>
      <c r="J40" s="65" t="str">
        <f ca="1"/>
        <v/>
      </c>
      <c r="K40" s="64" t="str">
        <f ca="1"/>
        <v/>
      </c>
      <c r="L40" s="66" t="str">
        <f ca="1"/>
        <v/>
      </c>
      <c r="M40" s="64" t="str">
        <f ca="1"/>
        <v/>
      </c>
    </row>
    <row r="41" spans="2:13">
      <c r="B41" s="62" t="str">
        <f ca="1"/>
        <v/>
      </c>
      <c r="C41" s="62" t="str">
        <f ca="1"/>
        <v/>
      </c>
      <c r="D41" s="74" t="str">
        <f ca="1"/>
        <v/>
      </c>
      <c r="E41" s="74" t="str">
        <f ca="1"/>
        <v/>
      </c>
      <c r="F41" s="62" t="str">
        <f ca="1"/>
        <v/>
      </c>
      <c r="G41" s="64" t="str">
        <f ca="1"/>
        <v/>
      </c>
      <c r="H41" s="64" t="str">
        <f ca="1"/>
        <v/>
      </c>
      <c r="I41" s="63" t="str">
        <f ca="1"/>
        <v/>
      </c>
      <c r="J41" s="65" t="str">
        <f ca="1"/>
        <v/>
      </c>
      <c r="K41" s="64" t="str">
        <f ca="1"/>
        <v/>
      </c>
      <c r="L41" s="66" t="str">
        <f ca="1"/>
        <v/>
      </c>
      <c r="M41" s="64" t="str">
        <f ca="1"/>
        <v/>
      </c>
    </row>
    <row r="42" spans="2:13">
      <c r="B42" s="62" t="str">
        <f ca="1"/>
        <v/>
      </c>
      <c r="C42" s="62" t="str">
        <f ca="1"/>
        <v/>
      </c>
      <c r="D42" s="74" t="str">
        <f ca="1"/>
        <v/>
      </c>
      <c r="E42" s="74" t="str">
        <f ca="1"/>
        <v/>
      </c>
      <c r="F42" s="62" t="str">
        <f ca="1"/>
        <v/>
      </c>
      <c r="G42" s="64" t="str">
        <f ca="1"/>
        <v/>
      </c>
      <c r="H42" s="64" t="str">
        <f ca="1"/>
        <v/>
      </c>
      <c r="I42" s="63" t="str">
        <f ca="1"/>
        <v/>
      </c>
      <c r="J42" s="65" t="str">
        <f ca="1"/>
        <v/>
      </c>
      <c r="K42" s="64" t="str">
        <f ca="1"/>
        <v/>
      </c>
      <c r="L42" s="66" t="str">
        <f ca="1"/>
        <v/>
      </c>
      <c r="M42" s="64" t="str">
        <f ca="1"/>
        <v/>
      </c>
    </row>
    <row r="43" spans="2:13">
      <c r="B43" s="62" t="str">
        <f ca="1"/>
        <v/>
      </c>
      <c r="C43" s="62" t="str">
        <f ca="1"/>
        <v/>
      </c>
      <c r="D43" s="74" t="str">
        <f ca="1"/>
        <v/>
      </c>
      <c r="E43" s="74" t="str">
        <f ca="1"/>
        <v/>
      </c>
      <c r="F43" s="62" t="str">
        <f ca="1"/>
        <v/>
      </c>
      <c r="G43" s="64" t="str">
        <f ca="1"/>
        <v/>
      </c>
      <c r="H43" s="64" t="str">
        <f ca="1"/>
        <v/>
      </c>
      <c r="I43" s="63" t="str">
        <f ca="1"/>
        <v/>
      </c>
      <c r="J43" s="65" t="str">
        <f ca="1"/>
        <v/>
      </c>
      <c r="K43" s="64" t="str">
        <f ca="1"/>
        <v/>
      </c>
      <c r="L43" s="66" t="str">
        <f ca="1"/>
        <v/>
      </c>
      <c r="M43" s="64" t="str">
        <f ca="1"/>
        <v/>
      </c>
    </row>
    <row r="44" spans="2:13">
      <c r="B44" s="62" t="str">
        <f ca="1"/>
        <v/>
      </c>
      <c r="C44" s="62" t="str">
        <f ca="1"/>
        <v/>
      </c>
      <c r="D44" s="74" t="str">
        <f ca="1"/>
        <v/>
      </c>
      <c r="E44" s="74" t="str">
        <f ca="1"/>
        <v/>
      </c>
      <c r="F44" s="62" t="str">
        <f ca="1"/>
        <v/>
      </c>
      <c r="G44" s="64" t="str">
        <f ca="1"/>
        <v/>
      </c>
      <c r="H44" s="64" t="str">
        <f ca="1"/>
        <v/>
      </c>
      <c r="I44" s="63" t="str">
        <f ca="1"/>
        <v/>
      </c>
      <c r="J44" s="65" t="str">
        <f ca="1"/>
        <v/>
      </c>
      <c r="K44" s="64" t="str">
        <f ca="1"/>
        <v/>
      </c>
      <c r="L44" s="66" t="str">
        <f ca="1"/>
        <v/>
      </c>
      <c r="M44" s="64" t="str">
        <f ca="1"/>
        <v/>
      </c>
    </row>
    <row r="45" spans="2:13">
      <c r="B45" s="62" t="str">
        <f ca="1"/>
        <v/>
      </c>
      <c r="C45" s="62" t="str">
        <f ca="1"/>
        <v/>
      </c>
      <c r="D45" s="74" t="str">
        <f ca="1"/>
        <v/>
      </c>
      <c r="E45" s="74" t="str">
        <f ca="1"/>
        <v/>
      </c>
      <c r="F45" s="62" t="str">
        <f ca="1"/>
        <v/>
      </c>
      <c r="G45" s="64" t="str">
        <f ca="1"/>
        <v/>
      </c>
      <c r="H45" s="64" t="str">
        <f ca="1"/>
        <v/>
      </c>
      <c r="I45" s="63" t="str">
        <f ca="1"/>
        <v/>
      </c>
      <c r="J45" s="65" t="str">
        <f ca="1"/>
        <v/>
      </c>
      <c r="K45" s="64" t="str">
        <f ca="1"/>
        <v/>
      </c>
      <c r="L45" s="66" t="str">
        <f ca="1"/>
        <v/>
      </c>
      <c r="M45" s="64" t="str">
        <f ca="1"/>
        <v/>
      </c>
    </row>
    <row r="46" spans="2:13">
      <c r="B46" s="62" t="str">
        <f ca="1"/>
        <v/>
      </c>
      <c r="C46" s="62" t="str">
        <f ca="1"/>
        <v/>
      </c>
      <c r="D46" s="74" t="str">
        <f ca="1"/>
        <v/>
      </c>
      <c r="E46" s="74" t="str">
        <f ca="1"/>
        <v/>
      </c>
      <c r="F46" s="62" t="str">
        <f ca="1"/>
        <v/>
      </c>
      <c r="G46" s="64" t="str">
        <f ca="1"/>
        <v/>
      </c>
      <c r="H46" s="64" t="str">
        <f ca="1"/>
        <v/>
      </c>
      <c r="I46" s="63" t="str">
        <f ca="1"/>
        <v/>
      </c>
      <c r="J46" s="65" t="str">
        <f ca="1"/>
        <v/>
      </c>
      <c r="K46" s="64" t="str">
        <f ca="1"/>
        <v/>
      </c>
      <c r="L46" s="66" t="str">
        <f ca="1"/>
        <v/>
      </c>
      <c r="M46" s="64" t="str">
        <f ca="1"/>
        <v/>
      </c>
    </row>
    <row r="47" spans="2:13">
      <c r="B47" s="62" t="str">
        <f ca="1"/>
        <v/>
      </c>
      <c r="C47" s="62" t="str">
        <f ca="1"/>
        <v/>
      </c>
      <c r="D47" s="74" t="str">
        <f ca="1"/>
        <v/>
      </c>
      <c r="E47" s="74" t="str">
        <f ca="1"/>
        <v/>
      </c>
      <c r="F47" s="62" t="str">
        <f ca="1"/>
        <v/>
      </c>
      <c r="G47" s="64" t="str">
        <f ca="1"/>
        <v/>
      </c>
      <c r="H47" s="64" t="str">
        <f ca="1"/>
        <v/>
      </c>
      <c r="I47" s="63" t="str">
        <f ca="1"/>
        <v/>
      </c>
      <c r="J47" s="65" t="str">
        <f ca="1"/>
        <v/>
      </c>
      <c r="K47" s="64" t="str">
        <f ca="1"/>
        <v/>
      </c>
      <c r="L47" s="66" t="str">
        <f ca="1"/>
        <v/>
      </c>
      <c r="M47" s="64" t="str">
        <f ca="1"/>
        <v/>
      </c>
    </row>
    <row r="48" spans="2:13">
      <c r="B48" s="62" t="str">
        <f ca="1"/>
        <v/>
      </c>
      <c r="C48" s="62" t="str">
        <f ca="1"/>
        <v/>
      </c>
      <c r="D48" s="74" t="str">
        <f ca="1"/>
        <v/>
      </c>
      <c r="E48" s="74" t="str">
        <f ca="1"/>
        <v/>
      </c>
      <c r="F48" s="62" t="str">
        <f ca="1"/>
        <v/>
      </c>
      <c r="G48" s="64" t="str">
        <f ca="1"/>
        <v/>
      </c>
      <c r="H48" s="64" t="str">
        <f ca="1"/>
        <v/>
      </c>
      <c r="I48" s="63" t="str">
        <f ca="1"/>
        <v/>
      </c>
      <c r="J48" s="65" t="str">
        <f ca="1"/>
        <v/>
      </c>
      <c r="K48" s="64" t="str">
        <f ca="1"/>
        <v/>
      </c>
      <c r="L48" s="66" t="str">
        <f ca="1"/>
        <v/>
      </c>
      <c r="M48" s="64" t="str">
        <f ca="1"/>
        <v/>
      </c>
    </row>
    <row r="49" spans="2:13">
      <c r="B49" s="62" t="str">
        <f ca="1"/>
        <v/>
      </c>
      <c r="C49" s="62" t="str">
        <f ca="1"/>
        <v/>
      </c>
      <c r="D49" s="74" t="str">
        <f ca="1"/>
        <v/>
      </c>
      <c r="E49" s="74" t="str">
        <f ca="1"/>
        <v/>
      </c>
      <c r="F49" s="62" t="str">
        <f ca="1"/>
        <v/>
      </c>
      <c r="G49" s="64" t="str">
        <f ca="1"/>
        <v/>
      </c>
      <c r="H49" s="64" t="str">
        <f ca="1"/>
        <v/>
      </c>
      <c r="I49" s="63" t="str">
        <f ca="1"/>
        <v/>
      </c>
      <c r="J49" s="65" t="str">
        <f ca="1"/>
        <v/>
      </c>
      <c r="K49" s="64" t="str">
        <f ca="1"/>
        <v/>
      </c>
      <c r="L49" s="66" t="str">
        <f ca="1"/>
        <v/>
      </c>
      <c r="M49" s="64" t="str">
        <f ca="1"/>
        <v/>
      </c>
    </row>
    <row r="50" spans="2:13">
      <c r="B50" s="62" t="str">
        <f ca="1"/>
        <v/>
      </c>
      <c r="C50" s="62" t="str">
        <f ca="1"/>
        <v/>
      </c>
      <c r="D50" s="74" t="str">
        <f ca="1"/>
        <v/>
      </c>
      <c r="E50" s="74" t="str">
        <f ca="1"/>
        <v/>
      </c>
      <c r="F50" s="62" t="str">
        <f ca="1"/>
        <v/>
      </c>
      <c r="G50" s="64" t="str">
        <f ca="1"/>
        <v/>
      </c>
      <c r="H50" s="64" t="str">
        <f ca="1"/>
        <v/>
      </c>
      <c r="I50" s="63" t="str">
        <f ca="1"/>
        <v/>
      </c>
      <c r="J50" s="65" t="str">
        <f ca="1"/>
        <v/>
      </c>
      <c r="K50" s="64" t="str">
        <f ca="1"/>
        <v/>
      </c>
      <c r="L50" s="66" t="str">
        <f ca="1"/>
        <v/>
      </c>
      <c r="M50" s="64" t="str">
        <f ca="1"/>
        <v/>
      </c>
    </row>
    <row r="51" spans="2:13">
      <c r="B51" s="67" t="str">
        <f ca="1"/>
        <v/>
      </c>
      <c r="C51" s="67" t="str">
        <f ca="1"/>
        <v/>
      </c>
      <c r="D51" s="73" t="str">
        <f ca="1"/>
        <v/>
      </c>
      <c r="E51" s="73" t="str">
        <f ca="1"/>
        <v/>
      </c>
      <c r="F51" s="67" t="str">
        <f ca="1"/>
        <v/>
      </c>
      <c r="G51" s="69" t="str">
        <f ca="1"/>
        <v/>
      </c>
      <c r="H51" s="69" t="str">
        <f ca="1"/>
        <v/>
      </c>
      <c r="I51" s="68" t="str">
        <f ca="1"/>
        <v/>
      </c>
      <c r="J51" s="70" t="str">
        <f ca="1"/>
        <v/>
      </c>
      <c r="K51" s="69" t="str">
        <f ca="1"/>
        <v/>
      </c>
      <c r="L51" s="71" t="str">
        <f ca="1"/>
        <v/>
      </c>
      <c r="M51" s="69" t="str">
        <f ca="1"/>
        <v/>
      </c>
    </row>
    <row r="52" spans="2:13">
      <c r="B52" s="67" t="str">
        <f ca="1"/>
        <v/>
      </c>
      <c r="C52" s="67" t="str">
        <f ca="1"/>
        <v/>
      </c>
      <c r="D52" s="73" t="str">
        <f ca="1"/>
        <v/>
      </c>
      <c r="E52" s="73" t="str">
        <f ca="1"/>
        <v/>
      </c>
      <c r="F52" s="67" t="str">
        <f ca="1"/>
        <v/>
      </c>
      <c r="G52" s="69" t="str">
        <f ca="1"/>
        <v/>
      </c>
      <c r="H52" s="69" t="str">
        <f ca="1"/>
        <v/>
      </c>
      <c r="I52" s="68" t="str">
        <f ca="1"/>
        <v/>
      </c>
      <c r="J52" s="70" t="str">
        <f ca="1"/>
        <v/>
      </c>
      <c r="K52" s="69" t="str">
        <f ca="1"/>
        <v/>
      </c>
      <c r="L52" s="71" t="str">
        <f ca="1"/>
        <v/>
      </c>
      <c r="M52" s="69" t="str">
        <f ca="1"/>
        <v/>
      </c>
    </row>
    <row r="53" spans="2:13">
      <c r="B53" s="67" t="str">
        <f ca="1"/>
        <v/>
      </c>
      <c r="C53" s="67" t="str">
        <f ca="1"/>
        <v/>
      </c>
      <c r="D53" s="73" t="str">
        <f ca="1"/>
        <v/>
      </c>
      <c r="E53" s="73" t="str">
        <f ca="1"/>
        <v/>
      </c>
      <c r="F53" s="67" t="str">
        <f ca="1"/>
        <v/>
      </c>
      <c r="G53" s="69" t="str">
        <f ca="1"/>
        <v/>
      </c>
      <c r="H53" s="69" t="str">
        <f ca="1"/>
        <v/>
      </c>
      <c r="I53" s="68" t="str">
        <f ca="1"/>
        <v/>
      </c>
      <c r="J53" s="70" t="str">
        <f ca="1"/>
        <v/>
      </c>
      <c r="K53" s="69" t="str">
        <f ca="1"/>
        <v/>
      </c>
      <c r="L53" s="71" t="str">
        <f ca="1"/>
        <v/>
      </c>
      <c r="M53" s="69" t="str">
        <f ca="1"/>
        <v/>
      </c>
    </row>
    <row r="54" spans="2:13">
      <c r="B54" s="67" t="str">
        <f ca="1"/>
        <v/>
      </c>
      <c r="C54" s="67" t="str">
        <f ca="1"/>
        <v/>
      </c>
      <c r="D54" s="73" t="str">
        <f ca="1"/>
        <v/>
      </c>
      <c r="E54" s="73" t="str">
        <f ca="1"/>
        <v/>
      </c>
      <c r="F54" s="67" t="str">
        <f ca="1"/>
        <v/>
      </c>
      <c r="G54" s="69" t="str">
        <f ca="1"/>
        <v/>
      </c>
      <c r="H54" s="69" t="str">
        <f ca="1"/>
        <v/>
      </c>
      <c r="I54" s="68" t="str">
        <f ca="1"/>
        <v/>
      </c>
      <c r="J54" s="70" t="str">
        <f ca="1"/>
        <v/>
      </c>
      <c r="K54" s="69" t="str">
        <f ca="1"/>
        <v/>
      </c>
      <c r="L54" s="71" t="str">
        <f ca="1"/>
        <v/>
      </c>
      <c r="M54" s="69" t="str">
        <f ca="1"/>
        <v/>
      </c>
    </row>
    <row r="55" spans="2:13">
      <c r="B55" s="67" t="str">
        <f ca="1"/>
        <v/>
      </c>
      <c r="C55" s="67" t="str">
        <f ca="1"/>
        <v/>
      </c>
      <c r="D55" s="73" t="str">
        <f ca="1"/>
        <v/>
      </c>
      <c r="E55" s="73" t="str">
        <f ca="1"/>
        <v/>
      </c>
      <c r="F55" s="67" t="str">
        <f ca="1"/>
        <v/>
      </c>
      <c r="G55" s="69" t="str">
        <f ca="1"/>
        <v/>
      </c>
      <c r="H55" s="69" t="str">
        <f ca="1"/>
        <v/>
      </c>
      <c r="I55" s="68" t="str">
        <f ca="1"/>
        <v/>
      </c>
      <c r="J55" s="70" t="str">
        <f ca="1"/>
        <v/>
      </c>
      <c r="K55" s="69" t="str">
        <f ca="1"/>
        <v/>
      </c>
      <c r="L55" s="71" t="str">
        <f ca="1"/>
        <v/>
      </c>
      <c r="M55" s="69" t="str">
        <f ca="1"/>
        <v/>
      </c>
    </row>
    <row r="56" spans="2:13">
      <c r="B56" s="67" t="str">
        <f ca="1"/>
        <v/>
      </c>
      <c r="C56" s="67" t="str">
        <f ca="1"/>
        <v/>
      </c>
      <c r="D56" s="73" t="str">
        <f ca="1"/>
        <v/>
      </c>
      <c r="E56" s="73" t="str">
        <f ca="1"/>
        <v/>
      </c>
      <c r="F56" s="67" t="str">
        <f ca="1"/>
        <v/>
      </c>
      <c r="G56" s="69" t="str">
        <f ca="1"/>
        <v/>
      </c>
      <c r="H56" s="69" t="str">
        <f ca="1"/>
        <v/>
      </c>
      <c r="I56" s="68" t="str">
        <f ca="1"/>
        <v/>
      </c>
      <c r="J56" s="70" t="str">
        <f ca="1"/>
        <v/>
      </c>
      <c r="K56" s="69" t="str">
        <f ca="1"/>
        <v/>
      </c>
      <c r="L56" s="71" t="str">
        <f ca="1"/>
        <v/>
      </c>
      <c r="M56" s="69" t="str">
        <f ca="1"/>
        <v/>
      </c>
    </row>
    <row r="57" spans="2:13">
      <c r="B57" s="67" t="str">
        <f ca="1"/>
        <v/>
      </c>
      <c r="C57" s="67" t="str">
        <f ca="1"/>
        <v/>
      </c>
      <c r="D57" s="73" t="str">
        <f ca="1"/>
        <v/>
      </c>
      <c r="E57" s="73" t="str">
        <f ca="1"/>
        <v/>
      </c>
      <c r="F57" s="67" t="str">
        <f ca="1"/>
        <v/>
      </c>
      <c r="G57" s="69" t="str">
        <f ca="1"/>
        <v/>
      </c>
      <c r="H57" s="69" t="str">
        <f ca="1"/>
        <v/>
      </c>
      <c r="I57" s="68" t="str">
        <f ca="1"/>
        <v/>
      </c>
      <c r="J57" s="70" t="str">
        <f ca="1"/>
        <v/>
      </c>
      <c r="K57" s="69" t="str">
        <f ca="1"/>
        <v/>
      </c>
      <c r="L57" s="71" t="str">
        <f ca="1"/>
        <v/>
      </c>
      <c r="M57" s="69" t="str">
        <f ca="1"/>
        <v/>
      </c>
    </row>
    <row r="58" spans="2:13">
      <c r="B58" s="67" t="str">
        <f ca="1"/>
        <v/>
      </c>
      <c r="C58" s="67" t="str">
        <f ca="1"/>
        <v/>
      </c>
      <c r="D58" s="73" t="str">
        <f ca="1"/>
        <v/>
      </c>
      <c r="E58" s="73" t="str">
        <f ca="1"/>
        <v/>
      </c>
      <c r="F58" s="67" t="str">
        <f ca="1"/>
        <v/>
      </c>
      <c r="G58" s="69" t="str">
        <f ca="1"/>
        <v/>
      </c>
      <c r="H58" s="69" t="str">
        <f ca="1"/>
        <v/>
      </c>
      <c r="I58" s="68" t="str">
        <f ca="1"/>
        <v/>
      </c>
      <c r="J58" s="70" t="str">
        <f ca="1"/>
        <v/>
      </c>
      <c r="K58" s="69" t="str">
        <f ca="1"/>
        <v/>
      </c>
      <c r="L58" s="71" t="str">
        <f ca="1"/>
        <v/>
      </c>
      <c r="M58" s="69" t="str">
        <f ca="1"/>
        <v/>
      </c>
    </row>
    <row r="59" spans="2:13">
      <c r="B59" s="67" t="str">
        <f ca="1"/>
        <v/>
      </c>
      <c r="C59" s="67" t="str">
        <f ca="1"/>
        <v/>
      </c>
      <c r="D59" s="73" t="str">
        <f ca="1"/>
        <v/>
      </c>
      <c r="E59" s="73" t="str">
        <f ca="1"/>
        <v/>
      </c>
      <c r="F59" s="67" t="str">
        <f ca="1"/>
        <v/>
      </c>
      <c r="G59" s="69" t="str">
        <f ca="1"/>
        <v/>
      </c>
      <c r="H59" s="69" t="str">
        <f ca="1"/>
        <v/>
      </c>
      <c r="I59" s="68" t="str">
        <f ca="1"/>
        <v/>
      </c>
      <c r="J59" s="70" t="str">
        <f ca="1"/>
        <v/>
      </c>
      <c r="K59" s="69" t="str">
        <f ca="1"/>
        <v/>
      </c>
      <c r="L59" s="71" t="str">
        <f ca="1"/>
        <v/>
      </c>
      <c r="M59" s="69" t="str">
        <f ca="1"/>
        <v/>
      </c>
    </row>
    <row r="60" spans="2:13">
      <c r="B60" s="67" t="str">
        <f ca="1"/>
        <v/>
      </c>
      <c r="C60" s="67" t="str">
        <f ca="1"/>
        <v/>
      </c>
      <c r="D60" s="73" t="str">
        <f ca="1"/>
        <v/>
      </c>
      <c r="E60" s="73" t="str">
        <f ca="1"/>
        <v/>
      </c>
      <c r="F60" s="67" t="str">
        <f ca="1"/>
        <v/>
      </c>
      <c r="G60" s="69" t="str">
        <f ca="1"/>
        <v/>
      </c>
      <c r="H60" s="69" t="str">
        <f ca="1"/>
        <v/>
      </c>
      <c r="I60" s="68" t="str">
        <f ca="1"/>
        <v/>
      </c>
      <c r="J60" s="70" t="str">
        <f ca="1"/>
        <v/>
      </c>
      <c r="K60" s="69" t="str">
        <f ca="1"/>
        <v/>
      </c>
      <c r="L60" s="71" t="str">
        <f ca="1"/>
        <v/>
      </c>
      <c r="M60" s="69" t="str">
        <f ca="1"/>
        <v/>
      </c>
    </row>
    <row r="61" spans="2:13">
      <c r="B61" s="67" t="str">
        <f ca="1"/>
        <v/>
      </c>
      <c r="C61" s="67" t="str">
        <f ca="1"/>
        <v/>
      </c>
      <c r="D61" s="73" t="str">
        <f ca="1"/>
        <v/>
      </c>
      <c r="E61" s="73" t="str">
        <f ca="1"/>
        <v/>
      </c>
      <c r="F61" s="67" t="str">
        <f ca="1"/>
        <v/>
      </c>
      <c r="G61" s="69" t="str">
        <f ca="1"/>
        <v/>
      </c>
      <c r="H61" s="69" t="str">
        <f ca="1"/>
        <v/>
      </c>
      <c r="I61" s="68" t="str">
        <f ca="1"/>
        <v/>
      </c>
      <c r="J61" s="70" t="str">
        <f ca="1"/>
        <v/>
      </c>
      <c r="K61" s="69" t="str">
        <f ca="1"/>
        <v/>
      </c>
      <c r="L61" s="71" t="str">
        <f ca="1"/>
        <v/>
      </c>
      <c r="M61" s="69" t="str">
        <f ca="1"/>
        <v/>
      </c>
    </row>
    <row r="62" spans="2:13">
      <c r="B62" s="67" t="str">
        <f ca="1"/>
        <v/>
      </c>
      <c r="C62" s="67" t="str">
        <f ca="1"/>
        <v/>
      </c>
      <c r="D62" s="73" t="str">
        <f ca="1"/>
        <v/>
      </c>
      <c r="E62" s="73" t="str">
        <f ca="1"/>
        <v/>
      </c>
      <c r="F62" s="67" t="str">
        <f ca="1"/>
        <v/>
      </c>
      <c r="G62" s="69" t="str">
        <f ca="1"/>
        <v/>
      </c>
      <c r="H62" s="69" t="str">
        <f ca="1"/>
        <v/>
      </c>
      <c r="I62" s="68" t="str">
        <f ca="1"/>
        <v/>
      </c>
      <c r="J62" s="70" t="str">
        <f ca="1"/>
        <v/>
      </c>
      <c r="K62" s="69" t="str">
        <f ca="1"/>
        <v/>
      </c>
      <c r="L62" s="71" t="str">
        <f ca="1"/>
        <v/>
      </c>
      <c r="M62" s="69" t="str">
        <f ca="1"/>
        <v/>
      </c>
    </row>
    <row r="63" spans="2:13">
      <c r="B63" s="67" t="str">
        <f ca="1"/>
        <v/>
      </c>
      <c r="C63" s="67" t="str">
        <f ca="1"/>
        <v/>
      </c>
      <c r="D63" s="73" t="str">
        <f ca="1"/>
        <v/>
      </c>
      <c r="E63" s="73" t="str">
        <f ca="1"/>
        <v/>
      </c>
      <c r="F63" s="67" t="str">
        <f ca="1"/>
        <v/>
      </c>
      <c r="G63" s="69" t="str">
        <f ca="1"/>
        <v/>
      </c>
      <c r="H63" s="69" t="str">
        <f ca="1"/>
        <v/>
      </c>
      <c r="I63" s="68" t="str">
        <f ca="1"/>
        <v/>
      </c>
      <c r="J63" s="70" t="str">
        <f ca="1"/>
        <v/>
      </c>
      <c r="K63" s="69" t="str">
        <f ca="1"/>
        <v/>
      </c>
      <c r="L63" s="71" t="str">
        <f ca="1"/>
        <v/>
      </c>
      <c r="M63" s="69" t="str">
        <f ca="1"/>
        <v/>
      </c>
    </row>
    <row r="64" spans="2:13">
      <c r="B64" s="67" t="str">
        <f ca="1"/>
        <v/>
      </c>
      <c r="C64" s="67" t="str">
        <f ca="1"/>
        <v/>
      </c>
      <c r="D64" s="73" t="str">
        <f ca="1"/>
        <v/>
      </c>
      <c r="E64" s="73" t="str">
        <f ca="1"/>
        <v/>
      </c>
      <c r="F64" s="67" t="str">
        <f ca="1"/>
        <v/>
      </c>
      <c r="G64" s="69" t="str">
        <f ca="1"/>
        <v/>
      </c>
      <c r="H64" s="69" t="str">
        <f ca="1"/>
        <v/>
      </c>
      <c r="I64" s="68" t="str">
        <f ca="1"/>
        <v/>
      </c>
      <c r="J64" s="70" t="str">
        <f ca="1"/>
        <v/>
      </c>
      <c r="K64" s="69" t="str">
        <f ca="1"/>
        <v/>
      </c>
      <c r="L64" s="71" t="str">
        <f ca="1"/>
        <v/>
      </c>
      <c r="M64" s="69" t="str">
        <f ca="1"/>
        <v/>
      </c>
    </row>
    <row r="65" spans="2:13">
      <c r="B65" s="67" t="str">
        <f ca="1"/>
        <v/>
      </c>
      <c r="C65" s="67" t="str">
        <f ca="1"/>
        <v/>
      </c>
      <c r="D65" s="73" t="str">
        <f ca="1"/>
        <v/>
      </c>
      <c r="E65" s="73" t="str">
        <f ca="1"/>
        <v/>
      </c>
      <c r="F65" s="67" t="str">
        <f ca="1"/>
        <v/>
      </c>
      <c r="G65" s="69" t="str">
        <f ca="1"/>
        <v/>
      </c>
      <c r="H65" s="69" t="str">
        <f ca="1"/>
        <v/>
      </c>
      <c r="I65" s="68" t="str">
        <f ca="1"/>
        <v/>
      </c>
      <c r="J65" s="70" t="str">
        <f ca="1"/>
        <v/>
      </c>
      <c r="K65" s="69" t="str">
        <f ca="1"/>
        <v/>
      </c>
      <c r="L65" s="71" t="str">
        <f ca="1"/>
        <v/>
      </c>
      <c r="M65" s="69" t="str">
        <f ca="1"/>
        <v/>
      </c>
    </row>
    <row r="66" spans="2:13">
      <c r="B66" s="67" t="str">
        <f ca="1"/>
        <v/>
      </c>
      <c r="C66" s="67" t="str">
        <f ca="1"/>
        <v/>
      </c>
      <c r="D66" s="73" t="str">
        <f ca="1"/>
        <v/>
      </c>
      <c r="E66" s="73" t="str">
        <f ca="1"/>
        <v/>
      </c>
      <c r="F66" s="67" t="str">
        <f ca="1"/>
        <v/>
      </c>
      <c r="G66" s="69" t="str">
        <f ca="1"/>
        <v/>
      </c>
      <c r="H66" s="69" t="str">
        <f ca="1"/>
        <v/>
      </c>
      <c r="I66" s="68" t="str">
        <f ca="1"/>
        <v/>
      </c>
      <c r="J66" s="70" t="str">
        <f ca="1"/>
        <v/>
      </c>
      <c r="K66" s="69" t="str">
        <f ca="1"/>
        <v/>
      </c>
      <c r="L66" s="71" t="str">
        <f ca="1"/>
        <v/>
      </c>
      <c r="M66" s="69" t="str">
        <f ca="1"/>
        <v/>
      </c>
    </row>
    <row r="67" spans="2:13">
      <c r="B67" s="67" t="str">
        <f ca="1"/>
        <v/>
      </c>
      <c r="C67" s="67" t="str">
        <f ca="1"/>
        <v/>
      </c>
      <c r="D67" s="73" t="str">
        <f ca="1"/>
        <v/>
      </c>
      <c r="E67" s="73" t="str">
        <f ca="1"/>
        <v/>
      </c>
      <c r="F67" s="67" t="str">
        <f ca="1"/>
        <v/>
      </c>
      <c r="G67" s="69" t="str">
        <f ca="1"/>
        <v/>
      </c>
      <c r="H67" s="69" t="str">
        <f ca="1"/>
        <v/>
      </c>
      <c r="I67" s="68" t="str">
        <f ca="1"/>
        <v/>
      </c>
      <c r="J67" s="70" t="str">
        <f ca="1"/>
        <v/>
      </c>
      <c r="K67" s="69" t="str">
        <f ca="1"/>
        <v/>
      </c>
      <c r="L67" s="71" t="str">
        <f ca="1"/>
        <v/>
      </c>
      <c r="M67" s="69" t="str">
        <f ca="1"/>
        <v/>
      </c>
    </row>
    <row r="68" spans="2:13">
      <c r="B68" s="67" t="str">
        <f ca="1"/>
        <v/>
      </c>
      <c r="C68" s="67" t="str">
        <f ca="1"/>
        <v/>
      </c>
      <c r="D68" s="73" t="str">
        <f ca="1"/>
        <v/>
      </c>
      <c r="E68" s="73" t="str">
        <f ca="1"/>
        <v/>
      </c>
      <c r="F68" s="67" t="str">
        <f ca="1"/>
        <v/>
      </c>
      <c r="G68" s="69" t="str">
        <f ca="1"/>
        <v/>
      </c>
      <c r="H68" s="69" t="str">
        <f ca="1"/>
        <v/>
      </c>
      <c r="I68" s="68" t="str">
        <f ca="1"/>
        <v/>
      </c>
      <c r="J68" s="70" t="str">
        <f ca="1"/>
        <v/>
      </c>
      <c r="K68" s="69" t="str">
        <f ca="1"/>
        <v/>
      </c>
      <c r="L68" s="71" t="str">
        <f ca="1"/>
        <v/>
      </c>
      <c r="M68" s="69" t="str">
        <f ca="1"/>
        <v/>
      </c>
    </row>
    <row r="69" spans="2:13">
      <c r="B69" s="67" t="str">
        <f ca="1"/>
        <v/>
      </c>
      <c r="C69" s="67" t="str">
        <f ca="1"/>
        <v/>
      </c>
      <c r="D69" s="73" t="str">
        <f ca="1"/>
        <v/>
      </c>
      <c r="E69" s="73" t="str">
        <f ca="1"/>
        <v/>
      </c>
      <c r="F69" s="67" t="str">
        <f ca="1"/>
        <v/>
      </c>
      <c r="G69" s="69" t="str">
        <f ca="1"/>
        <v/>
      </c>
      <c r="H69" s="69" t="str">
        <f ca="1"/>
        <v/>
      </c>
      <c r="I69" s="68" t="str">
        <f ca="1"/>
        <v/>
      </c>
      <c r="J69" s="70" t="str">
        <f ca="1"/>
        <v/>
      </c>
      <c r="K69" s="69" t="str">
        <f ca="1"/>
        <v/>
      </c>
      <c r="L69" s="71" t="str">
        <f ca="1"/>
        <v/>
      </c>
      <c r="M69" s="69" t="str">
        <f ca="1"/>
        <v/>
      </c>
    </row>
    <row r="70" spans="2:13">
      <c r="B70" s="67" t="str">
        <f ca="1"/>
        <v/>
      </c>
      <c r="C70" s="67" t="str">
        <f ca="1"/>
        <v/>
      </c>
      <c r="D70" s="73" t="str">
        <f ca="1"/>
        <v/>
      </c>
      <c r="E70" s="73" t="str">
        <f ca="1"/>
        <v/>
      </c>
      <c r="F70" s="67" t="str">
        <f ca="1"/>
        <v/>
      </c>
      <c r="G70" s="69" t="str">
        <f ca="1"/>
        <v/>
      </c>
      <c r="H70" s="69" t="str">
        <f ca="1"/>
        <v/>
      </c>
      <c r="I70" s="68" t="str">
        <f ca="1"/>
        <v/>
      </c>
      <c r="J70" s="70" t="str">
        <f ca="1"/>
        <v/>
      </c>
      <c r="K70" s="69" t="str">
        <f ca="1"/>
        <v/>
      </c>
      <c r="L70" s="71" t="str">
        <f ca="1"/>
        <v/>
      </c>
      <c r="M70" s="69" t="str">
        <f ca="1"/>
        <v/>
      </c>
    </row>
    <row r="71" spans="2:13">
      <c r="B71" s="67" t="str">
        <f ca="1"/>
        <v/>
      </c>
      <c r="C71" s="67" t="str">
        <f ca="1"/>
        <v/>
      </c>
      <c r="D71" s="73" t="str">
        <f ca="1"/>
        <v/>
      </c>
      <c r="E71" s="73" t="str">
        <f ca="1"/>
        <v/>
      </c>
      <c r="F71" s="67" t="str">
        <f ca="1"/>
        <v/>
      </c>
      <c r="G71" s="69" t="str">
        <f ca="1"/>
        <v/>
      </c>
      <c r="H71" s="69" t="str">
        <f ca="1"/>
        <v/>
      </c>
      <c r="I71" s="68" t="str">
        <f ca="1"/>
        <v/>
      </c>
      <c r="J71" s="70" t="str">
        <f ca="1"/>
        <v/>
      </c>
      <c r="K71" s="69" t="str">
        <f ca="1"/>
        <v/>
      </c>
      <c r="L71" s="71" t="str">
        <f ca="1"/>
        <v/>
      </c>
      <c r="M71" s="69" t="str">
        <f ca="1"/>
        <v/>
      </c>
    </row>
    <row r="72" spans="2:13">
      <c r="B72" s="67" t="str">
        <f ca="1"/>
        <v/>
      </c>
      <c r="C72" s="67" t="str">
        <f ca="1"/>
        <v/>
      </c>
      <c r="D72" s="73" t="str">
        <f ca="1"/>
        <v/>
      </c>
      <c r="E72" s="73" t="str">
        <f ca="1"/>
        <v/>
      </c>
      <c r="F72" s="67" t="str">
        <f ca="1"/>
        <v/>
      </c>
      <c r="G72" s="69" t="str">
        <f ca="1"/>
        <v/>
      </c>
      <c r="H72" s="69" t="str">
        <f ca="1"/>
        <v/>
      </c>
      <c r="I72" s="68" t="str">
        <f ca="1"/>
        <v/>
      </c>
      <c r="J72" s="70" t="str">
        <f ca="1"/>
        <v/>
      </c>
      <c r="K72" s="69" t="str">
        <f ca="1"/>
        <v/>
      </c>
      <c r="L72" s="71" t="str">
        <f ca="1"/>
        <v/>
      </c>
      <c r="M72" s="69" t="str">
        <f ca="1"/>
        <v/>
      </c>
    </row>
    <row r="73" spans="2:13">
      <c r="B73" s="67" t="str">
        <f ca="1"/>
        <v/>
      </c>
      <c r="C73" s="67" t="str">
        <f ca="1"/>
        <v/>
      </c>
      <c r="D73" s="73" t="str">
        <f ca="1"/>
        <v/>
      </c>
      <c r="E73" s="73" t="str">
        <f ca="1"/>
        <v/>
      </c>
      <c r="F73" s="67" t="str">
        <f ca="1"/>
        <v/>
      </c>
      <c r="G73" s="69" t="str">
        <f ca="1"/>
        <v/>
      </c>
      <c r="H73" s="69" t="str">
        <f ca="1"/>
        <v/>
      </c>
      <c r="I73" s="68" t="str">
        <f ca="1"/>
        <v/>
      </c>
      <c r="J73" s="70" t="str">
        <f ca="1"/>
        <v/>
      </c>
      <c r="K73" s="69" t="str">
        <f ca="1"/>
        <v/>
      </c>
      <c r="L73" s="71" t="str">
        <f ca="1"/>
        <v/>
      </c>
      <c r="M73" s="69" t="str">
        <f ca="1"/>
        <v/>
      </c>
    </row>
    <row r="74" spans="2:13">
      <c r="B74" s="67" t="str">
        <f ca="1"/>
        <v/>
      </c>
      <c r="C74" s="67" t="str">
        <f ca="1"/>
        <v/>
      </c>
      <c r="D74" s="73" t="str">
        <f ca="1"/>
        <v/>
      </c>
      <c r="E74" s="73" t="str">
        <f ca="1"/>
        <v/>
      </c>
      <c r="F74" s="67" t="str">
        <f ca="1"/>
        <v/>
      </c>
      <c r="G74" s="69" t="str">
        <f ca="1"/>
        <v/>
      </c>
      <c r="H74" s="69" t="str">
        <f ca="1"/>
        <v/>
      </c>
      <c r="I74" s="68" t="str">
        <f ca="1"/>
        <v/>
      </c>
      <c r="J74" s="70" t="str">
        <f ca="1"/>
        <v/>
      </c>
      <c r="K74" s="69" t="str">
        <f ca="1"/>
        <v/>
      </c>
      <c r="L74" s="71" t="str">
        <f ca="1"/>
        <v/>
      </c>
      <c r="M74" s="69" t="str">
        <f ca="1"/>
        <v/>
      </c>
    </row>
    <row r="75" spans="2:13">
      <c r="B75" s="67" t="str">
        <f ca="1"/>
        <v/>
      </c>
      <c r="C75" s="67" t="str">
        <f ca="1"/>
        <v/>
      </c>
      <c r="D75" s="73" t="str">
        <f ca="1"/>
        <v/>
      </c>
      <c r="E75" s="73" t="str">
        <f ca="1"/>
        <v/>
      </c>
      <c r="F75" s="67" t="str">
        <f ca="1"/>
        <v/>
      </c>
      <c r="G75" s="69" t="str">
        <f ca="1"/>
        <v/>
      </c>
      <c r="H75" s="69" t="str">
        <f ca="1"/>
        <v/>
      </c>
      <c r="I75" s="68" t="str">
        <f ca="1"/>
        <v/>
      </c>
      <c r="J75" s="70" t="str">
        <f ca="1"/>
        <v/>
      </c>
      <c r="K75" s="69" t="str">
        <f ca="1"/>
        <v/>
      </c>
      <c r="L75" s="71" t="str">
        <f ca="1"/>
        <v/>
      </c>
      <c r="M75" s="69" t="str">
        <f ca="1"/>
        <v/>
      </c>
    </row>
    <row r="76" spans="2:13">
      <c r="B76" s="67" t="str">
        <f ca="1"/>
        <v/>
      </c>
      <c r="C76" s="67" t="str">
        <f ca="1"/>
        <v/>
      </c>
      <c r="D76" s="73" t="str">
        <f ca="1"/>
        <v/>
      </c>
      <c r="E76" s="73" t="str">
        <f ca="1"/>
        <v/>
      </c>
      <c r="F76" s="67" t="str">
        <f ca="1"/>
        <v/>
      </c>
      <c r="G76" s="69" t="str">
        <f ca="1"/>
        <v/>
      </c>
      <c r="H76" s="69" t="str">
        <f ca="1"/>
        <v/>
      </c>
      <c r="I76" s="68" t="str">
        <f ca="1"/>
        <v/>
      </c>
      <c r="J76" s="70" t="str">
        <f ca="1"/>
        <v/>
      </c>
      <c r="K76" s="69" t="str">
        <f ca="1"/>
        <v/>
      </c>
      <c r="L76" s="71" t="str">
        <f ca="1"/>
        <v/>
      </c>
      <c r="M76" s="69" t="str">
        <f ca="1"/>
        <v/>
      </c>
    </row>
    <row r="77" spans="2:13">
      <c r="B77" s="67" t="str">
        <f ca="1"/>
        <v/>
      </c>
      <c r="C77" s="67" t="str">
        <f ca="1"/>
        <v/>
      </c>
      <c r="D77" s="73" t="str">
        <f ca="1"/>
        <v/>
      </c>
      <c r="E77" s="73" t="str">
        <f ca="1"/>
        <v/>
      </c>
      <c r="F77" s="67" t="str">
        <f ca="1"/>
        <v/>
      </c>
      <c r="G77" s="69" t="str">
        <f ca="1"/>
        <v/>
      </c>
      <c r="H77" s="69" t="str">
        <f ca="1"/>
        <v/>
      </c>
      <c r="I77" s="68" t="str">
        <f ca="1"/>
        <v/>
      </c>
      <c r="J77" s="70" t="str">
        <f ca="1"/>
        <v/>
      </c>
      <c r="K77" s="69" t="str">
        <f ca="1"/>
        <v/>
      </c>
      <c r="L77" s="71" t="str">
        <f ca="1"/>
        <v/>
      </c>
      <c r="M77" s="69" t="str">
        <f ca="1"/>
        <v/>
      </c>
    </row>
    <row r="78" spans="2:13">
      <c r="B78" s="67" t="str">
        <f ca="1"/>
        <v/>
      </c>
      <c r="C78" s="67" t="str">
        <f ca="1"/>
        <v/>
      </c>
      <c r="D78" s="73" t="str">
        <f ca="1"/>
        <v/>
      </c>
      <c r="E78" s="73" t="str">
        <f ca="1"/>
        <v/>
      </c>
      <c r="F78" s="67" t="str">
        <f ca="1"/>
        <v/>
      </c>
      <c r="G78" s="69" t="str">
        <f ca="1"/>
        <v/>
      </c>
      <c r="H78" s="69" t="str">
        <f ca="1"/>
        <v/>
      </c>
      <c r="I78" s="68" t="str">
        <f ca="1"/>
        <v/>
      </c>
      <c r="J78" s="70" t="str">
        <f ca="1"/>
        <v/>
      </c>
      <c r="K78" s="69" t="str">
        <f ca="1"/>
        <v/>
      </c>
      <c r="L78" s="71" t="str">
        <f ca="1"/>
        <v/>
      </c>
      <c r="M78" s="69" t="str">
        <f ca="1"/>
        <v/>
      </c>
    </row>
    <row r="79" spans="2:13">
      <c r="B79" s="67" t="str">
        <f ca="1"/>
        <v/>
      </c>
      <c r="C79" s="67" t="str">
        <f ca="1"/>
        <v/>
      </c>
      <c r="D79" s="73" t="str">
        <f ca="1"/>
        <v/>
      </c>
      <c r="E79" s="73" t="str">
        <f ca="1"/>
        <v/>
      </c>
      <c r="F79" s="67" t="str">
        <f ca="1"/>
        <v/>
      </c>
      <c r="G79" s="69" t="str">
        <f ca="1"/>
        <v/>
      </c>
      <c r="H79" s="69" t="str">
        <f ca="1"/>
        <v/>
      </c>
      <c r="I79" s="68" t="str">
        <f ca="1"/>
        <v/>
      </c>
      <c r="J79" s="70" t="str">
        <f ca="1"/>
        <v/>
      </c>
      <c r="K79" s="69" t="str">
        <f ca="1"/>
        <v/>
      </c>
      <c r="L79" s="71" t="str">
        <f ca="1"/>
        <v/>
      </c>
      <c r="M79" s="69" t="str">
        <f ca="1"/>
        <v/>
      </c>
    </row>
    <row r="80" spans="2:13">
      <c r="B80" s="67" t="str">
        <f ca="1"/>
        <v/>
      </c>
      <c r="C80" s="67" t="str">
        <f ca="1"/>
        <v/>
      </c>
      <c r="D80" s="73" t="str">
        <f ca="1"/>
        <v/>
      </c>
      <c r="E80" s="73" t="str">
        <f ca="1"/>
        <v/>
      </c>
      <c r="F80" s="67" t="str">
        <f ca="1"/>
        <v/>
      </c>
      <c r="G80" s="69" t="str">
        <f ca="1"/>
        <v/>
      </c>
      <c r="H80" s="69" t="str">
        <f ca="1"/>
        <v/>
      </c>
      <c r="I80" s="68" t="str">
        <f ca="1"/>
        <v/>
      </c>
      <c r="J80" s="70" t="str">
        <f ca="1"/>
        <v/>
      </c>
      <c r="K80" s="69" t="str">
        <f ca="1"/>
        <v/>
      </c>
      <c r="L80" s="71" t="str">
        <f ca="1"/>
        <v/>
      </c>
      <c r="M80" s="69" t="str">
        <f ca="1"/>
        <v/>
      </c>
    </row>
    <row r="81" spans="2:13">
      <c r="B81" s="67" t="str">
        <f ca="1"/>
        <v/>
      </c>
      <c r="C81" s="67" t="str">
        <f ca="1"/>
        <v/>
      </c>
      <c r="D81" s="73" t="str">
        <f ca="1"/>
        <v/>
      </c>
      <c r="E81" s="73" t="str">
        <f ca="1"/>
        <v/>
      </c>
      <c r="F81" s="67" t="str">
        <f ca="1"/>
        <v/>
      </c>
      <c r="G81" s="69" t="str">
        <f ca="1"/>
        <v/>
      </c>
      <c r="H81" s="69" t="str">
        <f ca="1"/>
        <v/>
      </c>
      <c r="I81" s="68" t="str">
        <f ca="1"/>
        <v/>
      </c>
      <c r="J81" s="70" t="str">
        <f ca="1"/>
        <v/>
      </c>
      <c r="K81" s="69" t="str">
        <f ca="1"/>
        <v/>
      </c>
      <c r="L81" s="71" t="str">
        <f ca="1"/>
        <v/>
      </c>
      <c r="M81" s="69" t="str">
        <f ca="1"/>
        <v/>
      </c>
    </row>
    <row r="82" spans="2:13">
      <c r="B82" s="67" t="str">
        <f ca="1"/>
        <v/>
      </c>
      <c r="C82" s="67" t="str">
        <f ca="1"/>
        <v/>
      </c>
      <c r="D82" s="73" t="str">
        <f ca="1"/>
        <v/>
      </c>
      <c r="E82" s="73" t="str">
        <f ca="1"/>
        <v/>
      </c>
      <c r="F82" s="67" t="str">
        <f ca="1"/>
        <v/>
      </c>
      <c r="G82" s="69" t="str">
        <f ca="1"/>
        <v/>
      </c>
      <c r="H82" s="69" t="str">
        <f ca="1"/>
        <v/>
      </c>
      <c r="I82" s="68" t="str">
        <f ca="1"/>
        <v/>
      </c>
      <c r="J82" s="70" t="str">
        <f ca="1"/>
        <v/>
      </c>
      <c r="K82" s="69" t="str">
        <f ca="1"/>
        <v/>
      </c>
      <c r="L82" s="71" t="str">
        <f ca="1"/>
        <v/>
      </c>
      <c r="M82" s="69" t="str">
        <f ca="1"/>
        <v/>
      </c>
    </row>
    <row r="83" spans="2:13">
      <c r="B83" s="67" t="str">
        <f ca="1"/>
        <v/>
      </c>
      <c r="C83" s="67" t="str">
        <f ca="1"/>
        <v/>
      </c>
      <c r="D83" s="73" t="str">
        <f ca="1"/>
        <v/>
      </c>
      <c r="E83" s="73" t="str">
        <f ca="1"/>
        <v/>
      </c>
      <c r="F83" s="67" t="str">
        <f ca="1"/>
        <v/>
      </c>
      <c r="G83" s="69" t="str">
        <f ca="1"/>
        <v/>
      </c>
      <c r="H83" s="69" t="str">
        <f ca="1"/>
        <v/>
      </c>
      <c r="I83" s="68" t="str">
        <f ca="1"/>
        <v/>
      </c>
      <c r="J83" s="70" t="str">
        <f ca="1"/>
        <v/>
      </c>
      <c r="K83" s="69" t="str">
        <f ca="1"/>
        <v/>
      </c>
      <c r="L83" s="71" t="str">
        <f ca="1"/>
        <v/>
      </c>
      <c r="M83" s="69" t="str">
        <f ca="1"/>
        <v/>
      </c>
    </row>
    <row r="84" spans="2:13">
      <c r="B84" s="67" t="str">
        <f ca="1"/>
        <v/>
      </c>
      <c r="C84" s="67" t="str">
        <f ca="1"/>
        <v/>
      </c>
      <c r="D84" s="73" t="str">
        <f ca="1"/>
        <v/>
      </c>
      <c r="E84" s="73" t="str">
        <f ca="1"/>
        <v/>
      </c>
      <c r="F84" s="67" t="str">
        <f ca="1"/>
        <v/>
      </c>
      <c r="G84" s="69" t="str">
        <f ca="1"/>
        <v/>
      </c>
      <c r="H84" s="69" t="str">
        <f ca="1"/>
        <v/>
      </c>
      <c r="I84" s="68" t="str">
        <f ca="1"/>
        <v/>
      </c>
      <c r="J84" s="70" t="str">
        <f ca="1"/>
        <v/>
      </c>
      <c r="K84" s="69" t="str">
        <f ca="1"/>
        <v/>
      </c>
      <c r="L84" s="71" t="str">
        <f ca="1"/>
        <v/>
      </c>
      <c r="M84" s="69" t="str">
        <f ca="1"/>
        <v/>
      </c>
    </row>
    <row r="85" spans="2:13">
      <c r="B85" s="67" t="str">
        <f ca="1"/>
        <v/>
      </c>
      <c r="C85" s="67" t="str">
        <f ca="1"/>
        <v/>
      </c>
      <c r="D85" s="73" t="str">
        <f ca="1"/>
        <v/>
      </c>
      <c r="E85" s="73" t="str">
        <f ca="1"/>
        <v/>
      </c>
      <c r="F85" s="67" t="str">
        <f ca="1"/>
        <v/>
      </c>
      <c r="G85" s="69" t="str">
        <f ca="1"/>
        <v/>
      </c>
      <c r="H85" s="69" t="str">
        <f ca="1"/>
        <v/>
      </c>
      <c r="I85" s="68" t="str">
        <f ca="1"/>
        <v/>
      </c>
      <c r="J85" s="70" t="str">
        <f ca="1"/>
        <v/>
      </c>
      <c r="K85" s="69" t="str">
        <f ca="1"/>
        <v/>
      </c>
      <c r="L85" s="71" t="str">
        <f ca="1"/>
        <v/>
      </c>
      <c r="M85" s="69" t="str">
        <f ca="1"/>
        <v/>
      </c>
    </row>
    <row r="86" spans="2:13">
      <c r="B86" s="67" t="str">
        <f ca="1"/>
        <v/>
      </c>
      <c r="C86" s="67" t="str">
        <f ca="1"/>
        <v/>
      </c>
      <c r="D86" s="73" t="str">
        <f ca="1"/>
        <v/>
      </c>
      <c r="E86" s="73" t="str">
        <f ca="1"/>
        <v/>
      </c>
      <c r="F86" s="67" t="str">
        <f ca="1"/>
        <v/>
      </c>
      <c r="G86" s="69" t="str">
        <f ca="1"/>
        <v/>
      </c>
      <c r="H86" s="69" t="str">
        <f ca="1"/>
        <v/>
      </c>
      <c r="I86" s="68" t="str">
        <f ca="1"/>
        <v/>
      </c>
      <c r="J86" s="70" t="str">
        <f ca="1"/>
        <v/>
      </c>
      <c r="K86" s="69" t="str">
        <f ca="1"/>
        <v/>
      </c>
      <c r="L86" s="71" t="str">
        <f ca="1"/>
        <v/>
      </c>
      <c r="M86" s="69" t="str">
        <f ca="1"/>
        <v/>
      </c>
    </row>
    <row r="87" spans="2:13">
      <c r="B87" s="67" t="str">
        <f ca="1"/>
        <v/>
      </c>
      <c r="C87" s="67" t="str">
        <f ca="1"/>
        <v/>
      </c>
      <c r="D87" s="73" t="str">
        <f ca="1"/>
        <v/>
      </c>
      <c r="E87" s="73" t="str">
        <f ca="1"/>
        <v/>
      </c>
      <c r="F87" s="67" t="str">
        <f ca="1"/>
        <v/>
      </c>
      <c r="G87" s="69" t="str">
        <f ca="1"/>
        <v/>
      </c>
      <c r="H87" s="69" t="str">
        <f ca="1"/>
        <v/>
      </c>
      <c r="I87" s="68" t="str">
        <f ca="1"/>
        <v/>
      </c>
      <c r="J87" s="70" t="str">
        <f ca="1"/>
        <v/>
      </c>
      <c r="K87" s="69" t="str">
        <f ca="1"/>
        <v/>
      </c>
      <c r="L87" s="71" t="str">
        <f ca="1"/>
        <v/>
      </c>
      <c r="M87" s="69" t="str">
        <f ca="1"/>
        <v/>
      </c>
    </row>
    <row r="88" spans="2:13">
      <c r="B88" s="67" t="str">
        <f ca="1"/>
        <v/>
      </c>
      <c r="C88" s="67" t="str">
        <f ca="1"/>
        <v/>
      </c>
      <c r="D88" s="73" t="str">
        <f ca="1"/>
        <v/>
      </c>
      <c r="E88" s="73" t="str">
        <f ca="1"/>
        <v/>
      </c>
      <c r="F88" s="67" t="str">
        <f ca="1"/>
        <v/>
      </c>
      <c r="G88" s="69" t="str">
        <f ca="1"/>
        <v/>
      </c>
      <c r="H88" s="69" t="str">
        <f ca="1"/>
        <v/>
      </c>
      <c r="I88" s="68" t="str">
        <f ca="1"/>
        <v/>
      </c>
      <c r="J88" s="70" t="str">
        <f ca="1"/>
        <v/>
      </c>
      <c r="K88" s="69" t="str">
        <f ca="1"/>
        <v/>
      </c>
      <c r="L88" s="71" t="str">
        <f ca="1"/>
        <v/>
      </c>
      <c r="M88" s="69" t="str">
        <f ca="1"/>
        <v/>
      </c>
    </row>
    <row r="89" spans="2:13">
      <c r="B89" s="67" t="str">
        <f ca="1"/>
        <v/>
      </c>
      <c r="C89" s="67" t="str">
        <f ca="1"/>
        <v/>
      </c>
      <c r="D89" s="73" t="str">
        <f ca="1"/>
        <v/>
      </c>
      <c r="E89" s="73" t="str">
        <f ca="1"/>
        <v/>
      </c>
      <c r="F89" s="67" t="str">
        <f ca="1"/>
        <v/>
      </c>
      <c r="G89" s="69" t="str">
        <f ca="1"/>
        <v/>
      </c>
      <c r="H89" s="69" t="str">
        <f ca="1"/>
        <v/>
      </c>
      <c r="I89" s="68" t="str">
        <f ca="1"/>
        <v/>
      </c>
      <c r="J89" s="70" t="str">
        <f ca="1"/>
        <v/>
      </c>
      <c r="K89" s="69" t="str">
        <f ca="1"/>
        <v/>
      </c>
      <c r="L89" s="71" t="str">
        <f ca="1"/>
        <v/>
      </c>
      <c r="M89" s="69" t="str">
        <f ca="1"/>
        <v/>
      </c>
    </row>
    <row r="90" spans="2:13">
      <c r="B90" s="67" t="str">
        <f ca="1"/>
        <v/>
      </c>
      <c r="C90" s="67" t="str">
        <f ca="1"/>
        <v/>
      </c>
      <c r="D90" s="73" t="str">
        <f ca="1"/>
        <v/>
      </c>
      <c r="E90" s="73" t="str">
        <f ca="1"/>
        <v/>
      </c>
      <c r="F90" s="67" t="str">
        <f ca="1"/>
        <v/>
      </c>
      <c r="G90" s="69" t="str">
        <f ca="1"/>
        <v/>
      </c>
      <c r="H90" s="69" t="str">
        <f ca="1"/>
        <v/>
      </c>
      <c r="I90" s="68" t="str">
        <f ca="1"/>
        <v/>
      </c>
      <c r="J90" s="70" t="str">
        <f ca="1"/>
        <v/>
      </c>
      <c r="K90" s="69" t="str">
        <f ca="1"/>
        <v/>
      </c>
      <c r="L90" s="71" t="str">
        <f ca="1"/>
        <v/>
      </c>
      <c r="M90" s="69" t="str">
        <f ca="1"/>
        <v/>
      </c>
    </row>
    <row r="91" spans="2:13">
      <c r="B91" s="67" t="str">
        <f ca="1"/>
        <v/>
      </c>
      <c r="C91" s="67" t="str">
        <f ca="1"/>
        <v/>
      </c>
      <c r="D91" s="73" t="str">
        <f ca="1"/>
        <v/>
      </c>
      <c r="E91" s="73" t="str">
        <f ca="1"/>
        <v/>
      </c>
      <c r="F91" s="67" t="str">
        <f ca="1"/>
        <v/>
      </c>
      <c r="G91" s="69" t="str">
        <f ca="1"/>
        <v/>
      </c>
      <c r="H91" s="69" t="str">
        <f ca="1"/>
        <v/>
      </c>
      <c r="I91" s="68" t="str">
        <f ca="1"/>
        <v/>
      </c>
      <c r="J91" s="70" t="str">
        <f ca="1"/>
        <v/>
      </c>
      <c r="K91" s="69" t="str">
        <f ca="1"/>
        <v/>
      </c>
      <c r="L91" s="71" t="str">
        <f ca="1"/>
        <v/>
      </c>
      <c r="M91" s="69" t="str">
        <f ca="1"/>
        <v/>
      </c>
    </row>
    <row r="92" spans="2:13">
      <c r="B92" s="67" t="str">
        <f ca="1"/>
        <v/>
      </c>
      <c r="C92" s="67" t="str">
        <f ca="1"/>
        <v/>
      </c>
      <c r="D92" s="73" t="str">
        <f ca="1"/>
        <v/>
      </c>
      <c r="E92" s="73" t="str">
        <f ca="1"/>
        <v/>
      </c>
      <c r="F92" s="67" t="str">
        <f ca="1"/>
        <v/>
      </c>
      <c r="G92" s="69" t="str">
        <f ca="1"/>
        <v/>
      </c>
      <c r="H92" s="69" t="str">
        <f ca="1"/>
        <v/>
      </c>
      <c r="I92" s="68" t="str">
        <f ca="1"/>
        <v/>
      </c>
      <c r="J92" s="70" t="str">
        <f ca="1"/>
        <v/>
      </c>
      <c r="K92" s="69" t="str">
        <f ca="1"/>
        <v/>
      </c>
      <c r="L92" s="71" t="str">
        <f ca="1"/>
        <v/>
      </c>
      <c r="M92" s="69" t="str">
        <f ca="1"/>
        <v/>
      </c>
    </row>
    <row r="93" spans="2:13">
      <c r="B93" s="67" t="str">
        <f ca="1"/>
        <v/>
      </c>
      <c r="C93" s="67" t="str">
        <f ca="1"/>
        <v/>
      </c>
      <c r="D93" s="73" t="str">
        <f ca="1"/>
        <v/>
      </c>
      <c r="E93" s="73" t="str">
        <f ca="1"/>
        <v/>
      </c>
      <c r="F93" s="67" t="str">
        <f ca="1"/>
        <v/>
      </c>
      <c r="G93" s="69" t="str">
        <f ca="1"/>
        <v/>
      </c>
      <c r="H93" s="69" t="str">
        <f ca="1"/>
        <v/>
      </c>
      <c r="I93" s="68" t="str">
        <f ca="1"/>
        <v/>
      </c>
      <c r="J93" s="70" t="str">
        <f ca="1"/>
        <v/>
      </c>
      <c r="K93" s="69" t="str">
        <f ca="1"/>
        <v/>
      </c>
      <c r="L93" s="71" t="str">
        <f ca="1"/>
        <v/>
      </c>
      <c r="M93" s="69" t="str">
        <f ca="1"/>
        <v/>
      </c>
    </row>
    <row r="94" spans="2:13">
      <c r="B94" s="67" t="str">
        <f ca="1"/>
        <v/>
      </c>
      <c r="C94" s="67" t="str">
        <f ca="1"/>
        <v/>
      </c>
      <c r="D94" s="73" t="str">
        <f ca="1"/>
        <v/>
      </c>
      <c r="E94" s="73" t="str">
        <f ca="1"/>
        <v/>
      </c>
      <c r="F94" s="67" t="str">
        <f ca="1"/>
        <v/>
      </c>
      <c r="G94" s="69" t="str">
        <f ca="1"/>
        <v/>
      </c>
      <c r="H94" s="69" t="str">
        <f ca="1"/>
        <v/>
      </c>
      <c r="I94" s="68" t="str">
        <f ca="1"/>
        <v/>
      </c>
      <c r="J94" s="70" t="str">
        <f ca="1"/>
        <v/>
      </c>
      <c r="K94" s="69" t="str">
        <f ca="1"/>
        <v/>
      </c>
      <c r="L94" s="71" t="str">
        <f ca="1"/>
        <v/>
      </c>
      <c r="M94" s="69" t="str">
        <f ca="1"/>
        <v/>
      </c>
    </row>
    <row r="95" spans="2:13">
      <c r="B95" s="67" t="str">
        <f ca="1"/>
        <v/>
      </c>
      <c r="C95" s="67" t="str">
        <f ca="1"/>
        <v/>
      </c>
      <c r="D95" s="73" t="str">
        <f ca="1"/>
        <v/>
      </c>
      <c r="E95" s="73" t="str">
        <f ca="1"/>
        <v/>
      </c>
      <c r="F95" s="67" t="str">
        <f ca="1"/>
        <v/>
      </c>
      <c r="G95" s="69" t="str">
        <f ca="1"/>
        <v/>
      </c>
      <c r="H95" s="69" t="str">
        <f ca="1"/>
        <v/>
      </c>
      <c r="I95" s="68" t="str">
        <f ca="1"/>
        <v/>
      </c>
      <c r="J95" s="70" t="str">
        <f ca="1"/>
        <v/>
      </c>
      <c r="K95" s="69" t="str">
        <f ca="1"/>
        <v/>
      </c>
      <c r="L95" s="71" t="str">
        <f ca="1"/>
        <v/>
      </c>
      <c r="M95" s="69" t="str">
        <f ca="1"/>
        <v/>
      </c>
    </row>
    <row r="96" spans="2:13">
      <c r="B96" s="67" t="str">
        <f ca="1"/>
        <v/>
      </c>
      <c r="C96" s="67" t="str">
        <f ca="1"/>
        <v/>
      </c>
      <c r="D96" s="73" t="str">
        <f ca="1"/>
        <v/>
      </c>
      <c r="E96" s="73" t="str">
        <f ca="1"/>
        <v/>
      </c>
      <c r="F96" s="67" t="str">
        <f ca="1"/>
        <v/>
      </c>
      <c r="G96" s="69" t="str">
        <f ca="1"/>
        <v/>
      </c>
      <c r="H96" s="69" t="str">
        <f ca="1"/>
        <v/>
      </c>
      <c r="I96" s="68" t="str">
        <f ca="1"/>
        <v/>
      </c>
      <c r="J96" s="70" t="str">
        <f ca="1"/>
        <v/>
      </c>
      <c r="K96" s="69" t="str">
        <f ca="1"/>
        <v/>
      </c>
      <c r="L96" s="71" t="str">
        <f ca="1"/>
        <v/>
      </c>
      <c r="M96" s="69" t="str">
        <f ca="1"/>
        <v/>
      </c>
    </row>
    <row r="97" spans="2:13">
      <c r="B97" s="67" t="str">
        <f ca="1"/>
        <v/>
      </c>
      <c r="C97" s="67" t="str">
        <f ca="1"/>
        <v/>
      </c>
      <c r="D97" s="73" t="str">
        <f ca="1"/>
        <v/>
      </c>
      <c r="E97" s="73" t="str">
        <f ca="1"/>
        <v/>
      </c>
      <c r="F97" s="67" t="str">
        <f ca="1"/>
        <v/>
      </c>
      <c r="G97" s="69" t="str">
        <f ca="1"/>
        <v/>
      </c>
      <c r="H97" s="69" t="str">
        <f ca="1"/>
        <v/>
      </c>
      <c r="I97" s="68" t="str">
        <f ca="1"/>
        <v/>
      </c>
      <c r="J97" s="70" t="str">
        <f ca="1"/>
        <v/>
      </c>
      <c r="K97" s="69" t="str">
        <f ca="1"/>
        <v/>
      </c>
      <c r="L97" s="71" t="str">
        <f ca="1"/>
        <v/>
      </c>
      <c r="M97" s="69" t="str">
        <f ca="1"/>
        <v/>
      </c>
    </row>
    <row r="98" spans="2:13">
      <c r="B98" s="67" t="str">
        <f ca="1"/>
        <v/>
      </c>
      <c r="C98" s="67" t="str">
        <f ca="1"/>
        <v/>
      </c>
      <c r="D98" s="73" t="str">
        <f ca="1"/>
        <v/>
      </c>
      <c r="E98" s="73" t="str">
        <f ca="1"/>
        <v/>
      </c>
      <c r="F98" s="67" t="str">
        <f ca="1"/>
        <v/>
      </c>
      <c r="G98" s="69" t="str">
        <f ca="1"/>
        <v/>
      </c>
      <c r="H98" s="69" t="str">
        <f ca="1"/>
        <v/>
      </c>
      <c r="I98" s="68" t="str">
        <f ca="1"/>
        <v/>
      </c>
      <c r="J98" s="70" t="str">
        <f ca="1"/>
        <v/>
      </c>
      <c r="K98" s="69" t="str">
        <f ca="1"/>
        <v/>
      </c>
      <c r="L98" s="71" t="str">
        <f ca="1"/>
        <v/>
      </c>
      <c r="M98" s="69" t="str">
        <f ca="1"/>
        <v/>
      </c>
    </row>
    <row r="99" spans="2:13">
      <c r="B99" s="67" t="str">
        <f ca="1"/>
        <v/>
      </c>
      <c r="C99" s="67" t="str">
        <f ca="1"/>
        <v/>
      </c>
      <c r="D99" s="73" t="str">
        <f ca="1"/>
        <v/>
      </c>
      <c r="E99" s="73" t="str">
        <f ca="1"/>
        <v/>
      </c>
      <c r="F99" s="67" t="str">
        <f ca="1"/>
        <v/>
      </c>
      <c r="G99" s="69" t="str">
        <f ca="1"/>
        <v/>
      </c>
      <c r="H99" s="69" t="str">
        <f ca="1"/>
        <v/>
      </c>
      <c r="I99" s="68" t="str">
        <f ca="1"/>
        <v/>
      </c>
      <c r="J99" s="70" t="str">
        <f ca="1"/>
        <v/>
      </c>
      <c r="K99" s="69" t="str">
        <f ca="1"/>
        <v/>
      </c>
      <c r="L99" s="71" t="str">
        <f ca="1"/>
        <v/>
      </c>
      <c r="M99" s="69" t="str">
        <f ca="1"/>
        <v/>
      </c>
    </row>
    <row r="100" spans="2:13">
      <c r="B100" s="67" t="str">
        <f ca="1"/>
        <v/>
      </c>
      <c r="C100" s="67" t="str">
        <f ca="1"/>
        <v/>
      </c>
      <c r="D100" s="73" t="str">
        <f ca="1"/>
        <v/>
      </c>
      <c r="E100" s="73" t="str">
        <f ca="1"/>
        <v/>
      </c>
      <c r="F100" s="67" t="str">
        <f ca="1"/>
        <v/>
      </c>
      <c r="G100" s="69" t="str">
        <f ca="1"/>
        <v/>
      </c>
      <c r="H100" s="69" t="str">
        <f ca="1"/>
        <v/>
      </c>
      <c r="I100" s="68" t="str">
        <f ca="1"/>
        <v/>
      </c>
      <c r="J100" s="70" t="str">
        <f ca="1"/>
        <v/>
      </c>
      <c r="K100" s="69" t="str">
        <f ca="1"/>
        <v/>
      </c>
      <c r="L100" s="71" t="str">
        <f ca="1"/>
        <v/>
      </c>
      <c r="M100" s="69" t="str">
        <f ca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00"/>
  <sheetViews>
    <sheetView showGridLines="0" workbookViewId="0"/>
  </sheetViews>
  <sheetFormatPr defaultRowHeight="15"/>
  <cols>
    <col min="2" max="3" width="18.7109375" customWidth="1"/>
    <col min="4" max="4" width="11.5703125" style="58" bestFit="1" customWidth="1"/>
    <col min="5" max="5" width="19.5703125" style="60" bestFit="1" customWidth="1"/>
    <col min="6" max="6" width="18.7109375" customWidth="1"/>
    <col min="7" max="7" width="9.85546875" bestFit="1" customWidth="1"/>
    <col min="8" max="8" width="17.28515625" bestFit="1" customWidth="1"/>
    <col min="9" max="9" width="9.28515625" bestFit="1" customWidth="1"/>
    <col min="10" max="10" width="10.140625" bestFit="1" customWidth="1"/>
    <col min="11" max="11" width="9.28515625" bestFit="1" customWidth="1"/>
    <col min="12" max="12" width="14.28515625" bestFit="1" customWidth="1"/>
    <col min="13" max="13" width="10.28515625" bestFit="1" customWidth="1"/>
    <col min="15" max="17" width="16.7109375" style="40" customWidth="1"/>
    <col min="18" max="18" width="11.5703125" style="58" bestFit="1" customWidth="1"/>
    <col min="19" max="19" width="19.5703125" style="60" bestFit="1" customWidth="1"/>
    <col min="20" max="20" width="16.7109375" style="40" customWidth="1"/>
    <col min="21" max="21" width="12.7109375" customWidth="1"/>
    <col min="22" max="22" width="17.28515625" style="58" bestFit="1" customWidth="1"/>
    <col min="23" max="23" width="10.140625" style="51" bestFit="1" customWidth="1"/>
    <col min="24" max="24" width="11.5703125" style="51" bestFit="1" customWidth="1"/>
    <col min="25" max="25" width="11.140625" style="100" customWidth="1"/>
    <col min="26" max="26" width="15.7109375" customWidth="1"/>
    <col min="27" max="27" width="15.7109375" style="56" customWidth="1"/>
    <col min="28" max="28" width="15.7109375" style="55" customWidth="1"/>
  </cols>
  <sheetData>
    <row r="2" spans="2:28">
      <c r="B2" s="1" t="s">
        <v>118</v>
      </c>
      <c r="O2" s="57" t="s">
        <v>119</v>
      </c>
    </row>
    <row r="3" spans="2:28">
      <c r="B3" s="72" t="str">
        <f t="array" aca="1" ref="B3:M100" ca="1">_xll.meUtilityResize(_xll.meLWOSwapDisplayCashflows('USD ASW'!$I$4,'USD ASW'!$C$27,"Leg1:FixedBond"),200,100)</f>
        <v>LEG1:FIXEDBOND Leg Schedule &amp; Cashflows</v>
      </c>
      <c r="C3" s="62" t="str">
        <f ca="1"/>
        <v/>
      </c>
      <c r="D3" s="64" t="str">
        <f ca="1"/>
        <v/>
      </c>
      <c r="E3" s="74" t="str">
        <f ca="1"/>
        <v/>
      </c>
      <c r="F3" s="62" t="str">
        <f ca="1"/>
        <v/>
      </c>
      <c r="G3" s="64" t="str">
        <f ca="1"/>
        <v/>
      </c>
      <c r="H3" s="64" t="str">
        <f ca="1"/>
        <v/>
      </c>
      <c r="I3" s="63" t="str">
        <f ca="1"/>
        <v/>
      </c>
      <c r="J3" s="65" t="str">
        <f ca="1"/>
        <v/>
      </c>
      <c r="K3" s="64" t="str">
        <f ca="1"/>
        <v/>
      </c>
      <c r="L3" s="66" t="str">
        <f ca="1"/>
        <v/>
      </c>
      <c r="M3" s="64" t="str">
        <f ca="1"/>
        <v/>
      </c>
      <c r="O3" s="72" t="str">
        <f t="array" aca="1" ref="O3:AB100" ca="1">_xll.meUtilityResize(_xll.meLWOSwapDisplayCashflows('USD ASW'!$I$4,'USD ASW'!$C$27,"Leg2:Float"),200,100)</f>
        <v>LEG2:FLOAT Leg Schedule &amp; Cashflows</v>
      </c>
      <c r="P3" s="62" t="str">
        <f ca="1"/>
        <v/>
      </c>
      <c r="Q3" s="62" t="str">
        <f ca="1"/>
        <v/>
      </c>
      <c r="R3" s="64" t="str">
        <f ca="1"/>
        <v/>
      </c>
      <c r="S3" s="74" t="str">
        <f ca="1"/>
        <v/>
      </c>
      <c r="T3" s="62" t="str">
        <f ca="1"/>
        <v/>
      </c>
      <c r="U3" s="64" t="str">
        <f ca="1"/>
        <v/>
      </c>
      <c r="V3" s="64" t="str">
        <f ca="1"/>
        <v/>
      </c>
      <c r="W3" s="63" t="str">
        <f ca="1"/>
        <v/>
      </c>
      <c r="X3" s="63" t="str">
        <f ca="1"/>
        <v/>
      </c>
      <c r="Y3" s="101" t="str">
        <f ca="1"/>
        <v/>
      </c>
      <c r="Z3" s="64" t="str">
        <f ca="1"/>
        <v/>
      </c>
      <c r="AA3" s="66" t="str">
        <f ca="1"/>
        <v/>
      </c>
      <c r="AB3" s="64" t="str">
        <f ca="1"/>
        <v/>
      </c>
    </row>
    <row r="4" spans="2:28">
      <c r="B4" s="62" t="str">
        <f ca="1"/>
        <v>AccrualStart</v>
      </c>
      <c r="C4" s="62" t="str">
        <f ca="1"/>
        <v>AccrualEnd</v>
      </c>
      <c r="D4" s="64" t="str">
        <f ca="1"/>
        <v>AccrualDays</v>
      </c>
      <c r="E4" s="74" t="str">
        <f ca="1"/>
        <v>AccrualYearFractions</v>
      </c>
      <c r="F4" s="62" t="str">
        <f ca="1"/>
        <v>PaymentDate</v>
      </c>
      <c r="G4" s="64" t="str">
        <f ca="1"/>
        <v>Notional</v>
      </c>
      <c r="H4" s="64" t="str">
        <f ca="1"/>
        <v>NotionalExchange</v>
      </c>
      <c r="I4" s="63" t="str">
        <f ca="1"/>
        <v>Leverage</v>
      </c>
      <c r="J4" s="65" t="str">
        <f ca="1"/>
        <v>FixedRate</v>
      </c>
      <c r="K4" s="64" t="str">
        <f ca="1"/>
        <v>Coupon</v>
      </c>
      <c r="L4" s="66" t="str">
        <f ca="1"/>
        <v>DiscountFactor</v>
      </c>
      <c r="M4" s="64" t="str">
        <f ca="1"/>
        <v>CouponPV</v>
      </c>
      <c r="O4" s="62" t="str">
        <f ca="1"/>
        <v>FixingDate</v>
      </c>
      <c r="P4" s="62" t="str">
        <f ca="1"/>
        <v>AccrualStart</v>
      </c>
      <c r="Q4" s="62" t="str">
        <f ca="1"/>
        <v>AccrualEnd</v>
      </c>
      <c r="R4" s="64" t="str">
        <f ca="1"/>
        <v>AccrualDays</v>
      </c>
      <c r="S4" s="74" t="str">
        <f ca="1"/>
        <v>AccrualYearFractions</v>
      </c>
      <c r="T4" s="62" t="str">
        <f ca="1"/>
        <v>PaymentDate</v>
      </c>
      <c r="U4" s="64" t="str">
        <f ca="1"/>
        <v>Notional</v>
      </c>
      <c r="V4" s="64" t="str">
        <f ca="1"/>
        <v>NotionalExchange</v>
      </c>
      <c r="W4" s="63" t="str">
        <f ca="1"/>
        <v>Leverage</v>
      </c>
      <c r="X4" s="63" t="str">
        <f ca="1"/>
        <v>FloatSpread</v>
      </c>
      <c r="Y4" s="101" t="str">
        <f ca="1"/>
        <v>FloatRate</v>
      </c>
      <c r="Z4" s="64" t="str">
        <f ca="1"/>
        <v>Coupon</v>
      </c>
      <c r="AA4" s="66" t="str">
        <f ca="1"/>
        <v>DiscountFactor</v>
      </c>
      <c r="AB4" s="64" t="str">
        <f ca="1"/>
        <v>CouponPV</v>
      </c>
    </row>
    <row r="5" spans="2:28">
      <c r="B5" s="62">
        <f ca="1"/>
        <v>43100</v>
      </c>
      <c r="C5" s="62">
        <f ca="1"/>
        <v>43281</v>
      </c>
      <c r="D5" s="64">
        <f ca="1"/>
        <v>181</v>
      </c>
      <c r="E5" s="74">
        <f ca="1"/>
        <v>0.49589041095890402</v>
      </c>
      <c r="F5" s="62">
        <f ca="1"/>
        <v>43281</v>
      </c>
      <c r="G5" s="64">
        <f ca="1"/>
        <v>-1000000</v>
      </c>
      <c r="H5" s="64">
        <f ca="1"/>
        <v>0</v>
      </c>
      <c r="I5" s="63">
        <f ca="1"/>
        <v>1</v>
      </c>
      <c r="J5" s="65">
        <f ca="1"/>
        <v>2.1426104972375699E-2</v>
      </c>
      <c r="K5" s="64">
        <f ca="1"/>
        <v>-10625</v>
      </c>
      <c r="L5" s="66">
        <f ca="1"/>
        <v>0.99542965821945995</v>
      </c>
      <c r="M5" s="64">
        <f ca="1"/>
        <v>-10576.440118581801</v>
      </c>
      <c r="O5" s="62">
        <f ca="1"/>
        <v>43186</v>
      </c>
      <c r="P5" s="62">
        <f ca="1"/>
        <v>43186</v>
      </c>
      <c r="Q5" s="62">
        <f ca="1"/>
        <v>43188</v>
      </c>
      <c r="R5" s="64">
        <f ca="1"/>
        <v>2</v>
      </c>
      <c r="S5" s="74">
        <f ca="1"/>
        <v>5.5555555555555601E-3</v>
      </c>
      <c r="T5" s="62">
        <f ca="1"/>
        <v>43188</v>
      </c>
      <c r="U5" s="64">
        <f ca="1"/>
        <v>1000000</v>
      </c>
      <c r="V5" s="64">
        <f ca="1"/>
        <v>0</v>
      </c>
      <c r="W5" s="63">
        <f ca="1"/>
        <v>1</v>
      </c>
      <c r="X5" s="63">
        <f ca="1"/>
        <v>0</v>
      </c>
      <c r="Y5" s="79">
        <f ca="1"/>
        <v>1.6864663178835199E-2</v>
      </c>
      <c r="Z5" s="64">
        <f ca="1"/>
        <v>93.692573215750897</v>
      </c>
      <c r="AA5" s="66">
        <f ca="1"/>
        <v>0.99986045573901405</v>
      </c>
      <c r="AB5" s="64">
        <f ca="1"/>
        <v>93.6794989548617</v>
      </c>
    </row>
    <row r="6" spans="2:28">
      <c r="B6" s="62">
        <f ca="1"/>
        <v>43281</v>
      </c>
      <c r="C6" s="62">
        <f ca="1"/>
        <v>43465</v>
      </c>
      <c r="D6" s="64">
        <f ca="1"/>
        <v>184</v>
      </c>
      <c r="E6" s="74">
        <f ca="1"/>
        <v>0.50410958904109604</v>
      </c>
      <c r="F6" s="62">
        <f ca="1"/>
        <v>43465</v>
      </c>
      <c r="G6" s="64">
        <f ca="1"/>
        <v>-1000000</v>
      </c>
      <c r="H6" s="64">
        <f ca="1"/>
        <v>0</v>
      </c>
      <c r="I6" s="63">
        <f ca="1"/>
        <v>1</v>
      </c>
      <c r="J6" s="65">
        <f ca="1"/>
        <v>2.1076766304347801E-2</v>
      </c>
      <c r="K6" s="64">
        <f ca="1"/>
        <v>-10625</v>
      </c>
      <c r="L6" s="66">
        <f ca="1"/>
        <v>0.98537514027111295</v>
      </c>
      <c r="M6" s="64">
        <f ca="1"/>
        <v>-10469.6108653806</v>
      </c>
      <c r="O6" s="62">
        <f ca="1"/>
        <v>43188</v>
      </c>
      <c r="P6" s="62">
        <f ca="1"/>
        <v>43188</v>
      </c>
      <c r="Q6" s="62">
        <f ca="1"/>
        <v>43280</v>
      </c>
      <c r="R6" s="64">
        <f ca="1"/>
        <v>92</v>
      </c>
      <c r="S6" s="74">
        <f ca="1"/>
        <v>0.25555555555555598</v>
      </c>
      <c r="T6" s="62">
        <f ca="1"/>
        <v>43280</v>
      </c>
      <c r="U6" s="64">
        <f ca="1"/>
        <v>1000000</v>
      </c>
      <c r="V6" s="64">
        <f ca="1"/>
        <v>0</v>
      </c>
      <c r="W6" s="63">
        <f ca="1"/>
        <v>1</v>
      </c>
      <c r="X6" s="63">
        <f ca="1"/>
        <v>0</v>
      </c>
      <c r="Y6" s="101">
        <f ca="1"/>
        <v>2.2953035005404999E-2</v>
      </c>
      <c r="Z6" s="64">
        <f ca="1"/>
        <v>5865.7756124923799</v>
      </c>
      <c r="AA6" s="66">
        <f ca="1"/>
        <v>0.995480661753125</v>
      </c>
      <c r="AB6" s="64">
        <f ca="1"/>
        <v>5839.2661884192603</v>
      </c>
    </row>
    <row r="7" spans="2:28">
      <c r="B7" s="62">
        <f ca="1"/>
        <v>43465</v>
      </c>
      <c r="C7" s="62">
        <f ca="1"/>
        <v>43646</v>
      </c>
      <c r="D7" s="64">
        <f ca="1"/>
        <v>181</v>
      </c>
      <c r="E7" s="74">
        <f ca="1"/>
        <v>0.49589041095890402</v>
      </c>
      <c r="F7" s="62">
        <f ca="1"/>
        <v>43646</v>
      </c>
      <c r="G7" s="64">
        <f ca="1"/>
        <v>-1000000</v>
      </c>
      <c r="H7" s="64">
        <f ca="1"/>
        <v>0</v>
      </c>
      <c r="I7" s="63">
        <f ca="1"/>
        <v>1</v>
      </c>
      <c r="J7" s="65">
        <f ca="1"/>
        <v>2.1426104972375699E-2</v>
      </c>
      <c r="K7" s="64">
        <f ca="1"/>
        <v>-10625</v>
      </c>
      <c r="L7" s="66">
        <f ca="1"/>
        <v>0.97420598919280099</v>
      </c>
      <c r="M7" s="64">
        <f ca="1"/>
        <v>-10350.938635173499</v>
      </c>
      <c r="O7" s="62">
        <f ca="1"/>
        <v>43280</v>
      </c>
      <c r="P7" s="62">
        <f ca="1"/>
        <v>43280</v>
      </c>
      <c r="Q7" s="62">
        <f ca="1"/>
        <v>43371</v>
      </c>
      <c r="R7" s="64">
        <f ca="1"/>
        <v>91</v>
      </c>
      <c r="S7" s="74">
        <f ca="1"/>
        <v>0.25277777777777799</v>
      </c>
      <c r="T7" s="62">
        <f ca="1"/>
        <v>43371</v>
      </c>
      <c r="U7" s="64">
        <f ca="1"/>
        <v>1000000</v>
      </c>
      <c r="V7" s="64">
        <f ca="1"/>
        <v>0</v>
      </c>
      <c r="W7" s="63">
        <f ca="1"/>
        <v>1</v>
      </c>
      <c r="X7" s="63">
        <f ca="1"/>
        <v>0</v>
      </c>
      <c r="Y7" s="101">
        <f ca="1"/>
        <v>2.3328473876397301E-2</v>
      </c>
      <c r="Z7" s="64">
        <f ca="1"/>
        <v>5896.9197854226404</v>
      </c>
      <c r="AA7" s="66">
        <f ca="1"/>
        <v>0.99072487462493997</v>
      </c>
      <c r="AB7" s="64">
        <f ca="1"/>
        <v>5842.2251150861803</v>
      </c>
    </row>
    <row r="8" spans="2:28">
      <c r="B8" s="62">
        <f ca="1"/>
        <v>43646</v>
      </c>
      <c r="C8" s="62">
        <f ca="1"/>
        <v>43830</v>
      </c>
      <c r="D8" s="64">
        <f ca="1"/>
        <v>184</v>
      </c>
      <c r="E8" s="74">
        <f ca="1"/>
        <v>0.50410958904109604</v>
      </c>
      <c r="F8" s="62">
        <f ca="1"/>
        <v>43830</v>
      </c>
      <c r="G8" s="64">
        <f ca="1"/>
        <v>-1000000</v>
      </c>
      <c r="H8" s="64">
        <f ca="1"/>
        <v>0</v>
      </c>
      <c r="I8" s="63">
        <f ca="1"/>
        <v>1</v>
      </c>
      <c r="J8" s="65">
        <f ca="1"/>
        <v>2.1076766304347801E-2</v>
      </c>
      <c r="K8" s="64">
        <f ca="1"/>
        <v>-10625</v>
      </c>
      <c r="L8" s="66">
        <f ca="1"/>
        <v>0.96194804882498697</v>
      </c>
      <c r="M8" s="64">
        <f ca="1"/>
        <v>-10220.698018765501</v>
      </c>
      <c r="O8" s="62">
        <f ca="1"/>
        <v>43371</v>
      </c>
      <c r="P8" s="62">
        <f ca="1"/>
        <v>43371</v>
      </c>
      <c r="Q8" s="62">
        <f ca="1"/>
        <v>43465</v>
      </c>
      <c r="R8" s="64">
        <f ca="1"/>
        <v>94</v>
      </c>
      <c r="S8" s="74">
        <f ca="1"/>
        <v>0.26111111111111102</v>
      </c>
      <c r="T8" s="62">
        <f ca="1"/>
        <v>43465</v>
      </c>
      <c r="U8" s="64">
        <f ca="1"/>
        <v>1000000</v>
      </c>
      <c r="V8" s="64">
        <f ca="1"/>
        <v>0</v>
      </c>
      <c r="W8" s="63">
        <f ca="1"/>
        <v>1</v>
      </c>
      <c r="X8" s="63">
        <f ca="1"/>
        <v>0</v>
      </c>
      <c r="Y8" s="101">
        <f ca="1"/>
        <v>2.41381661682919E-2</v>
      </c>
      <c r="Z8" s="64">
        <f ca="1"/>
        <v>6302.74338838733</v>
      </c>
      <c r="AA8" s="66">
        <f ca="1"/>
        <v>0.98537514027111295</v>
      </c>
      <c r="AB8" s="64">
        <f ca="1"/>
        <v>6210.5666504250003</v>
      </c>
    </row>
    <row r="9" spans="2:28">
      <c r="B9" s="62">
        <f ca="1"/>
        <v>43830</v>
      </c>
      <c r="C9" s="62">
        <f ca="1"/>
        <v>44012</v>
      </c>
      <c r="D9" s="64">
        <f ca="1"/>
        <v>182</v>
      </c>
      <c r="E9" s="74">
        <f ca="1"/>
        <v>0.49727524515308003</v>
      </c>
      <c r="F9" s="62">
        <f ca="1"/>
        <v>44012</v>
      </c>
      <c r="G9" s="64">
        <f ca="1"/>
        <v>-1000000</v>
      </c>
      <c r="H9" s="64">
        <f ca="1"/>
        <v>0</v>
      </c>
      <c r="I9" s="63">
        <f ca="1"/>
        <v>1</v>
      </c>
      <c r="J9" s="65">
        <f ca="1"/>
        <v>2.1366436603393001E-2</v>
      </c>
      <c r="K9" s="64">
        <f ca="1"/>
        <v>-10625</v>
      </c>
      <c r="L9" s="66">
        <f ca="1"/>
        <v>0.94976987870271201</v>
      </c>
      <c r="M9" s="64">
        <f ca="1"/>
        <v>-10091.304961216299</v>
      </c>
      <c r="O9" s="62">
        <f ca="1"/>
        <v>43465</v>
      </c>
      <c r="P9" s="62">
        <f ca="1"/>
        <v>43465</v>
      </c>
      <c r="Q9" s="62">
        <f ca="1"/>
        <v>43553</v>
      </c>
      <c r="R9" s="64">
        <f ca="1"/>
        <v>88</v>
      </c>
      <c r="S9" s="74">
        <f ca="1"/>
        <v>0.24444444444444399</v>
      </c>
      <c r="T9" s="62">
        <f ca="1"/>
        <v>43553</v>
      </c>
      <c r="U9" s="64">
        <f ca="1"/>
        <v>1000000</v>
      </c>
      <c r="V9" s="64">
        <f ca="1"/>
        <v>0</v>
      </c>
      <c r="W9" s="63">
        <f ca="1"/>
        <v>1</v>
      </c>
      <c r="X9" s="63">
        <f ca="1"/>
        <v>0</v>
      </c>
      <c r="Y9" s="101">
        <f ca="1"/>
        <v>2.53914070588179E-2</v>
      </c>
      <c r="Z9" s="64">
        <f ca="1"/>
        <v>6206.7883921554803</v>
      </c>
      <c r="AA9" s="66">
        <f ca="1"/>
        <v>0.98007262664531403</v>
      </c>
      <c r="AB9" s="64">
        <f ca="1"/>
        <v>6083.1034025314702</v>
      </c>
    </row>
    <row r="10" spans="2:28">
      <c r="B10" s="62">
        <f ca="1"/>
        <v>44012</v>
      </c>
      <c r="C10" s="62">
        <f ca="1"/>
        <v>44196</v>
      </c>
      <c r="D10" s="64">
        <f ca="1"/>
        <v>184</v>
      </c>
      <c r="E10" s="74">
        <f ca="1"/>
        <v>0.50273224043715803</v>
      </c>
      <c r="F10" s="62">
        <f ca="1"/>
        <v>44196</v>
      </c>
      <c r="G10" s="64">
        <f ca="1"/>
        <v>-1000000</v>
      </c>
      <c r="H10" s="64">
        <f ca="1"/>
        <v>0</v>
      </c>
      <c r="I10" s="63">
        <f ca="1"/>
        <v>1</v>
      </c>
      <c r="J10" s="65">
        <f ca="1"/>
        <v>2.11345108695652E-2</v>
      </c>
      <c r="K10" s="64">
        <f ca="1"/>
        <v>-10625</v>
      </c>
      <c r="L10" s="66">
        <f ca="1"/>
        <v>0.93793854241163699</v>
      </c>
      <c r="M10" s="64">
        <f ca="1"/>
        <v>-9965.5970131236409</v>
      </c>
      <c r="O10" s="62">
        <f ca="1"/>
        <v>43553</v>
      </c>
      <c r="P10" s="62">
        <f ca="1"/>
        <v>43553</v>
      </c>
      <c r="Q10" s="62">
        <f ca="1"/>
        <v>43644</v>
      </c>
      <c r="R10" s="64">
        <f ca="1"/>
        <v>91</v>
      </c>
      <c r="S10" s="74">
        <f ca="1"/>
        <v>0.25277777777777799</v>
      </c>
      <c r="T10" s="62">
        <f ca="1"/>
        <v>43644</v>
      </c>
      <c r="U10" s="64">
        <f ca="1"/>
        <v>1000000</v>
      </c>
      <c r="V10" s="64">
        <f ca="1"/>
        <v>0</v>
      </c>
      <c r="W10" s="63">
        <f ca="1"/>
        <v>1</v>
      </c>
      <c r="X10" s="63">
        <f ca="1"/>
        <v>0</v>
      </c>
      <c r="Y10" s="101">
        <f ca="1"/>
        <v>2.6335199889320701E-2</v>
      </c>
      <c r="Z10" s="64">
        <f ca="1"/>
        <v>6656.9533053560699</v>
      </c>
      <c r="AA10" s="66">
        <f ca="1"/>
        <v>0.97433506977228901</v>
      </c>
      <c r="AB10" s="64">
        <f ca="1"/>
        <v>6486.1030632449801</v>
      </c>
    </row>
    <row r="11" spans="2:28">
      <c r="B11" s="62">
        <f ca="1"/>
        <v>44196</v>
      </c>
      <c r="C11" s="62">
        <f ca="1"/>
        <v>44377</v>
      </c>
      <c r="D11" s="64">
        <f ca="1"/>
        <v>181</v>
      </c>
      <c r="E11" s="74">
        <f ca="1"/>
        <v>0.49588292536866502</v>
      </c>
      <c r="F11" s="62">
        <f ca="1"/>
        <v>44377</v>
      </c>
      <c r="G11" s="64">
        <f ca="1"/>
        <v>-1000000</v>
      </c>
      <c r="H11" s="64">
        <f ca="1"/>
        <v>0</v>
      </c>
      <c r="I11" s="63">
        <f ca="1"/>
        <v>1</v>
      </c>
      <c r="J11" s="65">
        <f ca="1"/>
        <v>2.1426428409691299E-2</v>
      </c>
      <c r="K11" s="64">
        <f ca="1"/>
        <v>-10625</v>
      </c>
      <c r="L11" s="66">
        <f ca="1"/>
        <v>0.92641025470983995</v>
      </c>
      <c r="M11" s="64">
        <f ca="1"/>
        <v>-9843.1089562920406</v>
      </c>
      <c r="O11" s="62">
        <f ca="1"/>
        <v>43644</v>
      </c>
      <c r="P11" s="62">
        <f ca="1"/>
        <v>43644</v>
      </c>
      <c r="Q11" s="62">
        <f ca="1"/>
        <v>43738</v>
      </c>
      <c r="R11" s="64">
        <f ca="1"/>
        <v>94</v>
      </c>
      <c r="S11" s="74">
        <f ca="1"/>
        <v>0.26111111111111102</v>
      </c>
      <c r="T11" s="62">
        <f ca="1"/>
        <v>43738</v>
      </c>
      <c r="U11" s="64">
        <f ca="1"/>
        <v>1000000</v>
      </c>
      <c r="V11" s="64">
        <f ca="1"/>
        <v>0</v>
      </c>
      <c r="W11" s="63">
        <f ca="1"/>
        <v>1</v>
      </c>
      <c r="X11" s="63">
        <f ca="1"/>
        <v>0</v>
      </c>
      <c r="Y11" s="101">
        <f ca="1"/>
        <v>2.7292449657389601E-2</v>
      </c>
      <c r="Z11" s="64">
        <f ca="1"/>
        <v>7126.3618549850498</v>
      </c>
      <c r="AA11" s="66">
        <f ca="1"/>
        <v>0.96815223387522398</v>
      </c>
      <c r="AB11" s="64">
        <f ca="1"/>
        <v>6899.4031493069597</v>
      </c>
    </row>
    <row r="12" spans="2:28">
      <c r="B12" s="62">
        <f ca="1"/>
        <v>44377</v>
      </c>
      <c r="C12" s="62">
        <f ca="1"/>
        <v>44561</v>
      </c>
      <c r="D12" s="64">
        <f ca="1"/>
        <v>184</v>
      </c>
      <c r="E12" s="74">
        <f ca="1"/>
        <v>0.50410958904109604</v>
      </c>
      <c r="F12" s="62">
        <f ca="1"/>
        <v>44561</v>
      </c>
      <c r="G12" s="64">
        <f ca="1"/>
        <v>-1000000</v>
      </c>
      <c r="H12" s="64">
        <f ca="1"/>
        <v>0</v>
      </c>
      <c r="I12" s="63">
        <f ca="1"/>
        <v>1</v>
      </c>
      <c r="J12" s="65">
        <f ca="1"/>
        <v>2.1076766304347801E-2</v>
      </c>
      <c r="K12" s="64">
        <f ca="1"/>
        <v>-10625</v>
      </c>
      <c r="L12" s="66">
        <f ca="1"/>
        <v>0.91458736169682497</v>
      </c>
      <c r="M12" s="64">
        <f ca="1"/>
        <v>-9717.4907180287701</v>
      </c>
      <c r="O12" s="62">
        <f ca="1"/>
        <v>43738</v>
      </c>
      <c r="P12" s="62">
        <f ca="1"/>
        <v>43738</v>
      </c>
      <c r="Q12" s="62">
        <f ca="1"/>
        <v>43830</v>
      </c>
      <c r="R12" s="64">
        <f ca="1"/>
        <v>92</v>
      </c>
      <c r="S12" s="74">
        <f ca="1"/>
        <v>0.25555555555555598</v>
      </c>
      <c r="T12" s="62">
        <f ca="1"/>
        <v>43830</v>
      </c>
      <c r="U12" s="64">
        <f ca="1"/>
        <v>1000000</v>
      </c>
      <c r="V12" s="64">
        <f ca="1"/>
        <v>0</v>
      </c>
      <c r="W12" s="63">
        <f ca="1"/>
        <v>1</v>
      </c>
      <c r="X12" s="63">
        <f ca="1"/>
        <v>0</v>
      </c>
      <c r="Y12" s="101">
        <f ca="1"/>
        <v>2.7876452111196801E-2</v>
      </c>
      <c r="Z12" s="64">
        <f ca="1"/>
        <v>7123.9822061947398</v>
      </c>
      <c r="AA12" s="66">
        <f ca="1"/>
        <v>0.96194804882498697</v>
      </c>
      <c r="AB12" s="64">
        <f ca="1"/>
        <v>6852.9007831129502</v>
      </c>
    </row>
    <row r="13" spans="2:28">
      <c r="B13" s="62">
        <f ca="1"/>
        <v>44561</v>
      </c>
      <c r="C13" s="62">
        <f ca="1"/>
        <v>44742</v>
      </c>
      <c r="D13" s="64">
        <f ca="1"/>
        <v>181</v>
      </c>
      <c r="E13" s="74">
        <f ca="1"/>
        <v>0.49589041095890402</v>
      </c>
      <c r="F13" s="62">
        <f ca="1"/>
        <v>44742</v>
      </c>
      <c r="G13" s="64">
        <f ca="1"/>
        <v>-1000000</v>
      </c>
      <c r="H13" s="64">
        <f ca="1"/>
        <v>0</v>
      </c>
      <c r="I13" s="63">
        <f ca="1"/>
        <v>1</v>
      </c>
      <c r="J13" s="65">
        <f ca="1"/>
        <v>2.1426104972375699E-2</v>
      </c>
      <c r="K13" s="64">
        <f ca="1"/>
        <v>-10625</v>
      </c>
      <c r="L13" s="66">
        <f ca="1"/>
        <v>0.90310589489317095</v>
      </c>
      <c r="M13" s="64">
        <f ca="1"/>
        <v>-9595.5001332399406</v>
      </c>
      <c r="O13" s="62">
        <f ca="1"/>
        <v>43830</v>
      </c>
      <c r="P13" s="62">
        <f ca="1"/>
        <v>43830</v>
      </c>
      <c r="Q13" s="62">
        <f ca="1"/>
        <v>43921</v>
      </c>
      <c r="R13" s="64">
        <f ca="1"/>
        <v>91</v>
      </c>
      <c r="S13" s="74">
        <f ca="1"/>
        <v>0.25277777777777799</v>
      </c>
      <c r="T13" s="62">
        <f ca="1"/>
        <v>43921</v>
      </c>
      <c r="U13" s="64">
        <f ca="1"/>
        <v>1000000</v>
      </c>
      <c r="V13" s="64">
        <f ca="1"/>
        <v>0</v>
      </c>
      <c r="W13" s="63">
        <f ca="1"/>
        <v>1</v>
      </c>
      <c r="X13" s="63">
        <f ca="1"/>
        <v>0</v>
      </c>
      <c r="Y13" s="101">
        <f ca="1"/>
        <v>2.8358312118777099E-2</v>
      </c>
      <c r="Z13" s="64">
        <f ca="1"/>
        <v>7168.3511189131004</v>
      </c>
      <c r="AA13" s="66">
        <f ca="1"/>
        <v>0.95580649158166098</v>
      </c>
      <c r="AB13" s="64">
        <f ca="1"/>
        <v>6851.5565333938102</v>
      </c>
    </row>
    <row r="14" spans="2:28">
      <c r="B14" s="62">
        <f ca="1"/>
        <v>44742</v>
      </c>
      <c r="C14" s="62">
        <f ca="1"/>
        <v>44926</v>
      </c>
      <c r="D14" s="64">
        <f ca="1"/>
        <v>184</v>
      </c>
      <c r="E14" s="74">
        <f ca="1"/>
        <v>0.50410958904109604</v>
      </c>
      <c r="F14" s="62">
        <f ca="1"/>
        <v>44926</v>
      </c>
      <c r="G14" s="64">
        <f ca="1"/>
        <v>-1000000</v>
      </c>
      <c r="H14" s="64">
        <f ca="1"/>
        <v>0</v>
      </c>
      <c r="I14" s="63">
        <f ca="1"/>
        <v>1</v>
      </c>
      <c r="J14" s="65">
        <f ca="1"/>
        <v>2.1076766304347801E-2</v>
      </c>
      <c r="K14" s="64">
        <f ca="1"/>
        <v>-10625</v>
      </c>
      <c r="L14" s="66">
        <f ca="1"/>
        <v>0.89172425923908005</v>
      </c>
      <c r="M14" s="64">
        <f ca="1"/>
        <v>-9474.5702544152191</v>
      </c>
      <c r="O14" s="62">
        <f ca="1"/>
        <v>43921</v>
      </c>
      <c r="P14" s="62">
        <f ca="1"/>
        <v>43921</v>
      </c>
      <c r="Q14" s="62">
        <f ca="1"/>
        <v>44012</v>
      </c>
      <c r="R14" s="64">
        <f ca="1"/>
        <v>91</v>
      </c>
      <c r="S14" s="74">
        <f ca="1"/>
        <v>0.25277777777777799</v>
      </c>
      <c r="T14" s="62">
        <f ca="1"/>
        <v>44012</v>
      </c>
      <c r="U14" s="64">
        <f ca="1"/>
        <v>1000000</v>
      </c>
      <c r="V14" s="64">
        <f ca="1"/>
        <v>0</v>
      </c>
      <c r="W14" s="63">
        <f ca="1"/>
        <v>1</v>
      </c>
      <c r="X14" s="63">
        <f ca="1"/>
        <v>0</v>
      </c>
      <c r="Y14" s="101">
        <f ca="1"/>
        <v>2.8493928990189599E-2</v>
      </c>
      <c r="Z14" s="64">
        <f ca="1"/>
        <v>7202.6320502979397</v>
      </c>
      <c r="AA14" s="66">
        <f ca="1"/>
        <v>0.94976987870271201</v>
      </c>
      <c r="AB14" s="64">
        <f ca="1"/>
        <v>6840.84296875174</v>
      </c>
    </row>
    <row r="15" spans="2:28">
      <c r="B15" s="62" t="str">
        <f ca="1"/>
        <v/>
      </c>
      <c r="C15" s="62" t="str">
        <f ca="1"/>
        <v/>
      </c>
      <c r="D15" s="64" t="str">
        <f ca="1"/>
        <v/>
      </c>
      <c r="E15" s="74" t="str">
        <f ca="1"/>
        <v/>
      </c>
      <c r="F15" s="62" t="str">
        <f ca="1"/>
        <v/>
      </c>
      <c r="G15" s="64" t="str">
        <f ca="1"/>
        <v/>
      </c>
      <c r="H15" s="64" t="str">
        <f ca="1"/>
        <v/>
      </c>
      <c r="I15" s="63" t="str">
        <f ca="1"/>
        <v/>
      </c>
      <c r="J15" s="65" t="str">
        <f ca="1"/>
        <v/>
      </c>
      <c r="K15" s="64" t="str">
        <f ca="1"/>
        <v/>
      </c>
      <c r="L15" s="66" t="str">
        <f ca="1"/>
        <v/>
      </c>
      <c r="M15" s="64" t="str">
        <f ca="1"/>
        <v/>
      </c>
      <c r="O15" s="62">
        <f ca="1"/>
        <v>44012</v>
      </c>
      <c r="P15" s="62">
        <f ca="1"/>
        <v>44012</v>
      </c>
      <c r="Q15" s="62">
        <f ca="1"/>
        <v>44104</v>
      </c>
      <c r="R15" s="64">
        <f ca="1"/>
        <v>92</v>
      </c>
      <c r="S15" s="74">
        <f ca="1"/>
        <v>0.25555555555555598</v>
      </c>
      <c r="T15" s="62">
        <f ca="1"/>
        <v>44104</v>
      </c>
      <c r="U15" s="64">
        <f ca="1"/>
        <v>1000000</v>
      </c>
      <c r="V15" s="64">
        <f ca="1"/>
        <v>0</v>
      </c>
      <c r="W15" s="63">
        <f ca="1"/>
        <v>1</v>
      </c>
      <c r="X15" s="63">
        <f ca="1"/>
        <v>0</v>
      </c>
      <c r="Y15" s="101">
        <f ca="1"/>
        <v>2.8749540558178899E-2</v>
      </c>
      <c r="Z15" s="64">
        <f ca="1"/>
        <v>7347.10480931239</v>
      </c>
      <c r="AA15" s="66">
        <f ca="1"/>
        <v>0.94380162280806101</v>
      </c>
      <c r="AB15" s="64">
        <f ca="1"/>
        <v>6934.2094419699497</v>
      </c>
    </row>
    <row r="16" spans="2:28">
      <c r="B16" s="62" t="str">
        <f ca="1"/>
        <v/>
      </c>
      <c r="C16" s="62" t="str">
        <f ca="1"/>
        <v/>
      </c>
      <c r="D16" s="64" t="str">
        <f ca="1"/>
        <v/>
      </c>
      <c r="E16" s="74" t="str">
        <f ca="1"/>
        <v/>
      </c>
      <c r="F16" s="62" t="str">
        <f ca="1"/>
        <v/>
      </c>
      <c r="G16" s="64" t="str">
        <f ca="1"/>
        <v/>
      </c>
      <c r="H16" s="64" t="str">
        <f ca="1"/>
        <v/>
      </c>
      <c r="I16" s="63" t="str">
        <f ca="1"/>
        <v/>
      </c>
      <c r="J16" s="65" t="str">
        <f ca="1"/>
        <v/>
      </c>
      <c r="K16" s="64" t="str">
        <f ca="1"/>
        <v/>
      </c>
      <c r="L16" s="66" t="str">
        <f ca="1"/>
        <v/>
      </c>
      <c r="M16" s="64" t="str">
        <f ca="1"/>
        <v/>
      </c>
      <c r="O16" s="62">
        <f ca="1"/>
        <v>44104</v>
      </c>
      <c r="P16" s="62">
        <f ca="1"/>
        <v>44104</v>
      </c>
      <c r="Q16" s="62">
        <f ca="1"/>
        <v>44196</v>
      </c>
      <c r="R16" s="64">
        <f ca="1"/>
        <v>92</v>
      </c>
      <c r="S16" s="74">
        <f ca="1"/>
        <v>0.25555555555555598</v>
      </c>
      <c r="T16" s="62">
        <f ca="1"/>
        <v>44196</v>
      </c>
      <c r="U16" s="64">
        <f ca="1"/>
        <v>1000000</v>
      </c>
      <c r="V16" s="64">
        <f ca="1"/>
        <v>0</v>
      </c>
      <c r="W16" s="63">
        <f ca="1"/>
        <v>1</v>
      </c>
      <c r="X16" s="63">
        <f ca="1"/>
        <v>0</v>
      </c>
      <c r="Y16" s="101">
        <f ca="1"/>
        <v>2.88978715163631E-2</v>
      </c>
      <c r="Z16" s="64">
        <f ca="1"/>
        <v>7385.0116097372402</v>
      </c>
      <c r="AA16" s="66">
        <f ca="1"/>
        <v>0.93793854241163699</v>
      </c>
      <c r="AB16" s="64">
        <f ca="1"/>
        <v>6926.68702492996</v>
      </c>
    </row>
    <row r="17" spans="2:28">
      <c r="B17" s="62" t="str">
        <f ca="1"/>
        <v/>
      </c>
      <c r="C17" s="62" t="str">
        <f ca="1"/>
        <v/>
      </c>
      <c r="D17" s="64" t="str">
        <f ca="1"/>
        <v/>
      </c>
      <c r="E17" s="74" t="str">
        <f ca="1"/>
        <v/>
      </c>
      <c r="F17" s="62" t="str">
        <f ca="1"/>
        <v/>
      </c>
      <c r="G17" s="64" t="str">
        <f ca="1"/>
        <v/>
      </c>
      <c r="H17" s="64" t="str">
        <f ca="1"/>
        <v/>
      </c>
      <c r="I17" s="63" t="str">
        <f ca="1"/>
        <v/>
      </c>
      <c r="J17" s="65" t="str">
        <f ca="1"/>
        <v/>
      </c>
      <c r="K17" s="64" t="str">
        <f ca="1"/>
        <v/>
      </c>
      <c r="L17" s="66" t="str">
        <f ca="1"/>
        <v/>
      </c>
      <c r="M17" s="64" t="str">
        <f ca="1"/>
        <v/>
      </c>
      <c r="O17" s="62">
        <f ca="1"/>
        <v>44196</v>
      </c>
      <c r="P17" s="62">
        <f ca="1"/>
        <v>44196</v>
      </c>
      <c r="Q17" s="62">
        <f ca="1"/>
        <v>44286</v>
      </c>
      <c r="R17" s="64">
        <f ca="1"/>
        <v>90</v>
      </c>
      <c r="S17" s="74">
        <f ca="1"/>
        <v>0.25</v>
      </c>
      <c r="T17" s="62">
        <f ca="1"/>
        <v>44286</v>
      </c>
      <c r="U17" s="64">
        <f ca="1"/>
        <v>1000000</v>
      </c>
      <c r="V17" s="64">
        <f ca="1"/>
        <v>0</v>
      </c>
      <c r="W17" s="63">
        <f ca="1"/>
        <v>1</v>
      </c>
      <c r="X17" s="63">
        <f ca="1"/>
        <v>0</v>
      </c>
      <c r="Y17" s="101">
        <f ca="1"/>
        <v>2.89572053461386E-2</v>
      </c>
      <c r="Z17" s="64">
        <f ca="1"/>
        <v>7239.3013365346496</v>
      </c>
      <c r="AA17" s="66">
        <f ca="1"/>
        <v>0.932224367284337</v>
      </c>
      <c r="AB17" s="64">
        <f ca="1"/>
        <v>6748.6531080316699</v>
      </c>
    </row>
    <row r="18" spans="2:28">
      <c r="B18" s="62" t="str">
        <f ca="1"/>
        <v/>
      </c>
      <c r="C18" s="62" t="str">
        <f ca="1"/>
        <v/>
      </c>
      <c r="D18" s="64" t="str">
        <f ca="1"/>
        <v/>
      </c>
      <c r="E18" s="74" t="str">
        <f ca="1"/>
        <v/>
      </c>
      <c r="F18" s="62" t="str">
        <f ca="1"/>
        <v/>
      </c>
      <c r="G18" s="64" t="str">
        <f ca="1"/>
        <v/>
      </c>
      <c r="H18" s="64" t="str">
        <f ca="1"/>
        <v/>
      </c>
      <c r="I18" s="63" t="str">
        <f ca="1"/>
        <v/>
      </c>
      <c r="J18" s="65" t="str">
        <f ca="1"/>
        <v/>
      </c>
      <c r="K18" s="64" t="str">
        <f ca="1"/>
        <v/>
      </c>
      <c r="L18" s="66" t="str">
        <f ca="1"/>
        <v/>
      </c>
      <c r="M18" s="64" t="str">
        <f ca="1"/>
        <v/>
      </c>
      <c r="O18" s="62">
        <f ca="1"/>
        <v>44286</v>
      </c>
      <c r="P18" s="62">
        <f ca="1"/>
        <v>44286</v>
      </c>
      <c r="Q18" s="62">
        <f ca="1"/>
        <v>44377</v>
      </c>
      <c r="R18" s="64">
        <f ca="1"/>
        <v>91</v>
      </c>
      <c r="S18" s="74">
        <f ca="1"/>
        <v>0.25277777777777799</v>
      </c>
      <c r="T18" s="62">
        <f ca="1"/>
        <v>44377</v>
      </c>
      <c r="U18" s="64">
        <f ca="1"/>
        <v>1000000</v>
      </c>
      <c r="V18" s="64">
        <f ca="1"/>
        <v>0</v>
      </c>
      <c r="W18" s="63">
        <f ca="1"/>
        <v>1</v>
      </c>
      <c r="X18" s="63">
        <f ca="1"/>
        <v>0</v>
      </c>
      <c r="Y18" s="101">
        <f ca="1"/>
        <v>2.8818935117290501E-2</v>
      </c>
      <c r="Z18" s="64">
        <f ca="1"/>
        <v>7284.7863768706502</v>
      </c>
      <c r="AA18" s="66">
        <f ca="1"/>
        <v>0.92641025470983995</v>
      </c>
      <c r="AB18" s="64">
        <f ca="1"/>
        <v>6748.7008029035096</v>
      </c>
    </row>
    <row r="19" spans="2:28">
      <c r="B19" s="62" t="str">
        <f ca="1"/>
        <v/>
      </c>
      <c r="C19" s="62" t="str">
        <f ca="1"/>
        <v/>
      </c>
      <c r="D19" s="64" t="str">
        <f ca="1"/>
        <v/>
      </c>
      <c r="E19" s="74" t="str">
        <f ca="1"/>
        <v/>
      </c>
      <c r="F19" s="62" t="str">
        <f ca="1"/>
        <v/>
      </c>
      <c r="G19" s="64" t="str">
        <f ca="1"/>
        <v/>
      </c>
      <c r="H19" s="64" t="str">
        <f ca="1"/>
        <v/>
      </c>
      <c r="I19" s="63" t="str">
        <f ca="1"/>
        <v/>
      </c>
      <c r="J19" s="65" t="str">
        <f ca="1"/>
        <v/>
      </c>
      <c r="K19" s="64" t="str">
        <f ca="1"/>
        <v/>
      </c>
      <c r="L19" s="66" t="str">
        <f ca="1"/>
        <v/>
      </c>
      <c r="M19" s="64" t="str">
        <f ca="1"/>
        <v/>
      </c>
      <c r="O19" s="62">
        <f ca="1"/>
        <v>44377</v>
      </c>
      <c r="P19" s="62">
        <f ca="1"/>
        <v>44377</v>
      </c>
      <c r="Q19" s="62">
        <f ca="1"/>
        <v>44469</v>
      </c>
      <c r="R19" s="64">
        <f ca="1"/>
        <v>92</v>
      </c>
      <c r="S19" s="74">
        <f ca="1"/>
        <v>0.25555555555555598</v>
      </c>
      <c r="T19" s="62">
        <f ca="1"/>
        <v>44469</v>
      </c>
      <c r="U19" s="64">
        <f ca="1"/>
        <v>1000000</v>
      </c>
      <c r="V19" s="64">
        <f ca="1"/>
        <v>0</v>
      </c>
      <c r="W19" s="63">
        <f ca="1"/>
        <v>1</v>
      </c>
      <c r="X19" s="63">
        <f ca="1"/>
        <v>0</v>
      </c>
      <c r="Y19" s="101">
        <f ca="1"/>
        <v>2.86911603759408E-2</v>
      </c>
      <c r="Z19" s="64">
        <f ca="1"/>
        <v>7332.1854294070799</v>
      </c>
      <c r="AA19" s="66">
        <f ca="1"/>
        <v>0.92049924178222298</v>
      </c>
      <c r="AB19" s="64">
        <f ca="1"/>
        <v>6749.2711283758799</v>
      </c>
    </row>
    <row r="20" spans="2:28">
      <c r="B20" s="62" t="str">
        <f ca="1"/>
        <v/>
      </c>
      <c r="C20" s="62" t="str">
        <f ca="1"/>
        <v/>
      </c>
      <c r="D20" s="64" t="str">
        <f ca="1"/>
        <v/>
      </c>
      <c r="E20" s="74" t="str">
        <f ca="1"/>
        <v/>
      </c>
      <c r="F20" s="62" t="str">
        <f ca="1"/>
        <v/>
      </c>
      <c r="G20" s="64" t="str">
        <f ca="1"/>
        <v/>
      </c>
      <c r="H20" s="64" t="str">
        <f ca="1"/>
        <v/>
      </c>
      <c r="I20" s="63" t="str">
        <f ca="1"/>
        <v/>
      </c>
      <c r="J20" s="65" t="str">
        <f ca="1"/>
        <v/>
      </c>
      <c r="K20" s="64" t="str">
        <f ca="1"/>
        <v/>
      </c>
      <c r="L20" s="66" t="str">
        <f ca="1"/>
        <v/>
      </c>
      <c r="M20" s="64" t="str">
        <f ca="1"/>
        <v/>
      </c>
      <c r="O20" s="62">
        <f ca="1"/>
        <v>44469</v>
      </c>
      <c r="P20" s="62">
        <f ca="1"/>
        <v>44469</v>
      </c>
      <c r="Q20" s="62">
        <f ca="1"/>
        <v>44561</v>
      </c>
      <c r="R20" s="64">
        <f ca="1"/>
        <v>92</v>
      </c>
      <c r="S20" s="74">
        <f ca="1"/>
        <v>0.25555555555555598</v>
      </c>
      <c r="T20" s="62">
        <f ca="1"/>
        <v>44561</v>
      </c>
      <c r="U20" s="64">
        <f ca="1"/>
        <v>1000000</v>
      </c>
      <c r="V20" s="64">
        <f ca="1"/>
        <v>0</v>
      </c>
      <c r="W20" s="63">
        <f ca="1"/>
        <v>1</v>
      </c>
      <c r="X20" s="63">
        <f ca="1"/>
        <v>0</v>
      </c>
      <c r="Y20" s="101">
        <f ca="1"/>
        <v>2.8606827752034401E-2</v>
      </c>
      <c r="Z20" s="64">
        <f ca="1"/>
        <v>7310.6337588532397</v>
      </c>
      <c r="AA20" s="66">
        <f ca="1"/>
        <v>0.91458736169682497</v>
      </c>
      <c r="AB20" s="64">
        <f ca="1"/>
        <v>6686.2132418413303</v>
      </c>
    </row>
    <row r="21" spans="2:28">
      <c r="B21" s="62" t="str">
        <f ca="1"/>
        <v/>
      </c>
      <c r="C21" s="62" t="str">
        <f ca="1"/>
        <v/>
      </c>
      <c r="D21" s="64" t="str">
        <f ca="1"/>
        <v/>
      </c>
      <c r="E21" s="74" t="str">
        <f ca="1"/>
        <v/>
      </c>
      <c r="F21" s="62" t="str">
        <f ca="1"/>
        <v/>
      </c>
      <c r="G21" s="64" t="str">
        <f ca="1"/>
        <v/>
      </c>
      <c r="H21" s="64" t="str">
        <f ca="1"/>
        <v/>
      </c>
      <c r="I21" s="63" t="str">
        <f ca="1"/>
        <v/>
      </c>
      <c r="J21" s="65" t="str">
        <f ca="1"/>
        <v/>
      </c>
      <c r="K21" s="64" t="str">
        <f ca="1"/>
        <v/>
      </c>
      <c r="L21" s="66" t="str">
        <f ca="1"/>
        <v/>
      </c>
      <c r="M21" s="64" t="str">
        <f ca="1"/>
        <v/>
      </c>
      <c r="O21" s="62">
        <f ca="1"/>
        <v>44561</v>
      </c>
      <c r="P21" s="62">
        <f ca="1"/>
        <v>44561</v>
      </c>
      <c r="Q21" s="62">
        <f ca="1"/>
        <v>44651</v>
      </c>
      <c r="R21" s="64">
        <f ca="1"/>
        <v>90</v>
      </c>
      <c r="S21" s="74">
        <f ca="1"/>
        <v>0.25</v>
      </c>
      <c r="T21" s="62">
        <f ca="1"/>
        <v>44651</v>
      </c>
      <c r="U21" s="64">
        <f ca="1"/>
        <v>1000000</v>
      </c>
      <c r="V21" s="64">
        <f ca="1"/>
        <v>0</v>
      </c>
      <c r="W21" s="63">
        <f ca="1"/>
        <v>1</v>
      </c>
      <c r="X21" s="63">
        <f ca="1"/>
        <v>0</v>
      </c>
      <c r="Y21" s="101">
        <f ca="1"/>
        <v>2.85660723585488E-2</v>
      </c>
      <c r="Z21" s="64">
        <f ca="1"/>
        <v>7141.5180896372003</v>
      </c>
      <c r="AA21" s="66">
        <f ca="1"/>
        <v>0.90884179249055097</v>
      </c>
      <c r="AB21" s="64">
        <f ca="1"/>
        <v>6490.5101016895696</v>
      </c>
    </row>
    <row r="22" spans="2:28">
      <c r="B22" s="62" t="str">
        <f ca="1"/>
        <v/>
      </c>
      <c r="C22" s="62" t="str">
        <f ca="1"/>
        <v/>
      </c>
      <c r="D22" s="64" t="str">
        <f ca="1"/>
        <v/>
      </c>
      <c r="E22" s="74" t="str">
        <f ca="1"/>
        <v/>
      </c>
      <c r="F22" s="62" t="str">
        <f ca="1"/>
        <v/>
      </c>
      <c r="G22" s="64" t="str">
        <f ca="1"/>
        <v/>
      </c>
      <c r="H22" s="64" t="str">
        <f ca="1"/>
        <v/>
      </c>
      <c r="I22" s="63" t="str">
        <f ca="1"/>
        <v/>
      </c>
      <c r="J22" s="65" t="str">
        <f ca="1"/>
        <v/>
      </c>
      <c r="K22" s="64" t="str">
        <f ca="1"/>
        <v/>
      </c>
      <c r="L22" s="66" t="str">
        <f ca="1"/>
        <v/>
      </c>
      <c r="M22" s="64" t="str">
        <f ca="1"/>
        <v/>
      </c>
      <c r="O22" s="62">
        <f ca="1"/>
        <v>44651</v>
      </c>
      <c r="P22" s="62">
        <f ca="1"/>
        <v>44651</v>
      </c>
      <c r="Q22" s="62">
        <f ca="1"/>
        <v>44742</v>
      </c>
      <c r="R22" s="64">
        <f ca="1"/>
        <v>91</v>
      </c>
      <c r="S22" s="74">
        <f ca="1"/>
        <v>0.25277777777777799</v>
      </c>
      <c r="T22" s="62">
        <f ca="1"/>
        <v>44742</v>
      </c>
      <c r="U22" s="64">
        <f ca="1"/>
        <v>1000000</v>
      </c>
      <c r="V22" s="64">
        <f ca="1"/>
        <v>0</v>
      </c>
      <c r="W22" s="63">
        <f ca="1"/>
        <v>1</v>
      </c>
      <c r="X22" s="63">
        <f ca="1"/>
        <v>0</v>
      </c>
      <c r="Y22" s="101">
        <f ca="1"/>
        <v>2.85674614502032E-2</v>
      </c>
      <c r="Z22" s="64">
        <f ca="1"/>
        <v>7221.2194221346899</v>
      </c>
      <c r="AA22" s="66">
        <f ca="1"/>
        <v>0.90310589489317095</v>
      </c>
      <c r="AB22" s="64">
        <f ca="1"/>
        <v>6521.5258284469001</v>
      </c>
    </row>
    <row r="23" spans="2:28">
      <c r="B23" s="62" t="str">
        <f ca="1"/>
        <v/>
      </c>
      <c r="C23" s="62" t="str">
        <f ca="1"/>
        <v/>
      </c>
      <c r="D23" s="64" t="str">
        <f ca="1"/>
        <v/>
      </c>
      <c r="E23" s="74" t="str">
        <f ca="1"/>
        <v/>
      </c>
      <c r="F23" s="62" t="str">
        <f ca="1"/>
        <v/>
      </c>
      <c r="G23" s="64" t="str">
        <f ca="1"/>
        <v/>
      </c>
      <c r="H23" s="64" t="str">
        <f ca="1"/>
        <v/>
      </c>
      <c r="I23" s="63" t="str">
        <f ca="1"/>
        <v/>
      </c>
      <c r="J23" s="65" t="str">
        <f ca="1"/>
        <v/>
      </c>
      <c r="K23" s="64" t="str">
        <f ca="1"/>
        <v/>
      </c>
      <c r="L23" s="66" t="str">
        <f ca="1"/>
        <v/>
      </c>
      <c r="M23" s="64" t="str">
        <f ca="1"/>
        <v/>
      </c>
      <c r="O23" s="62">
        <f ca="1"/>
        <v>44742</v>
      </c>
      <c r="P23" s="62">
        <f ca="1"/>
        <v>44742</v>
      </c>
      <c r="Q23" s="62">
        <f ca="1"/>
        <v>44834</v>
      </c>
      <c r="R23" s="64">
        <f ca="1"/>
        <v>92</v>
      </c>
      <c r="S23" s="74">
        <f ca="1"/>
        <v>0.25555555555555598</v>
      </c>
      <c r="T23" s="62">
        <f ca="1"/>
        <v>44834</v>
      </c>
      <c r="U23" s="64">
        <f ca="1"/>
        <v>1000000</v>
      </c>
      <c r="V23" s="64">
        <f ca="1"/>
        <v>0</v>
      </c>
      <c r="W23" s="63">
        <f ca="1"/>
        <v>1</v>
      </c>
      <c r="X23" s="63">
        <f ca="1"/>
        <v>0</v>
      </c>
      <c r="Y23" s="101">
        <f ca="1"/>
        <v>2.85788532639197E-2</v>
      </c>
      <c r="Z23" s="64">
        <f ca="1"/>
        <v>7303.4847230017103</v>
      </c>
      <c r="AA23" s="66">
        <f ca="1"/>
        <v>0.89738288406211597</v>
      </c>
      <c r="AB23" s="64">
        <f ca="1"/>
        <v>6554.0221844308799</v>
      </c>
    </row>
    <row r="24" spans="2:28">
      <c r="B24" s="62" t="str">
        <f ca="1"/>
        <v/>
      </c>
      <c r="C24" s="62" t="str">
        <f ca="1"/>
        <v/>
      </c>
      <c r="D24" s="64" t="str">
        <f ca="1"/>
        <v/>
      </c>
      <c r="E24" s="74" t="str">
        <f ca="1"/>
        <v/>
      </c>
      <c r="F24" s="62" t="str">
        <f ca="1"/>
        <v/>
      </c>
      <c r="G24" s="64" t="str">
        <f ca="1"/>
        <v/>
      </c>
      <c r="H24" s="64" t="str">
        <f ca="1"/>
        <v/>
      </c>
      <c r="I24" s="63" t="str">
        <f ca="1"/>
        <v/>
      </c>
      <c r="J24" s="65" t="str">
        <f ca="1"/>
        <v/>
      </c>
      <c r="K24" s="64" t="str">
        <f ca="1"/>
        <v/>
      </c>
      <c r="L24" s="66" t="str">
        <f ca="1"/>
        <v/>
      </c>
      <c r="M24" s="64" t="str">
        <f ca="1"/>
        <v/>
      </c>
      <c r="O24" s="62">
        <f ca="1"/>
        <v>44834</v>
      </c>
      <c r="P24" s="62">
        <f ca="1"/>
        <v>44834</v>
      </c>
      <c r="Q24" s="62">
        <f ca="1"/>
        <v>44925</v>
      </c>
      <c r="R24" s="64">
        <f ca="1"/>
        <v>91</v>
      </c>
      <c r="S24" s="74">
        <f ca="1"/>
        <v>0.25277777777777799</v>
      </c>
      <c r="T24" s="62">
        <f ca="1"/>
        <v>44925</v>
      </c>
      <c r="U24" s="64">
        <f ca="1"/>
        <v>1000000</v>
      </c>
      <c r="V24" s="64">
        <f ca="1"/>
        <v>0</v>
      </c>
      <c r="W24" s="63">
        <f ca="1"/>
        <v>1</v>
      </c>
      <c r="X24" s="63">
        <f ca="1"/>
        <v>0</v>
      </c>
      <c r="Y24" s="101">
        <f ca="1"/>
        <v>2.85961167956028E-2</v>
      </c>
      <c r="Z24" s="64">
        <f ca="1"/>
        <v>7228.4628566662705</v>
      </c>
      <c r="AA24" s="66">
        <f ca="1"/>
        <v>0.89178547543159503</v>
      </c>
      <c r="AB24" s="64">
        <f ca="1"/>
        <v>6446.2381852717599</v>
      </c>
    </row>
    <row r="25" spans="2:28">
      <c r="B25" s="62" t="str">
        <f ca="1"/>
        <v/>
      </c>
      <c r="C25" s="62" t="str">
        <f ca="1"/>
        <v/>
      </c>
      <c r="D25" s="64" t="str">
        <f ca="1"/>
        <v/>
      </c>
      <c r="E25" s="74" t="str">
        <f ca="1"/>
        <v/>
      </c>
      <c r="F25" s="62" t="str">
        <f ca="1"/>
        <v/>
      </c>
      <c r="G25" s="64" t="str">
        <f ca="1"/>
        <v/>
      </c>
      <c r="H25" s="64" t="str">
        <f ca="1"/>
        <v/>
      </c>
      <c r="I25" s="63" t="str">
        <f ca="1"/>
        <v/>
      </c>
      <c r="J25" s="65" t="str">
        <f ca="1"/>
        <v/>
      </c>
      <c r="K25" s="64" t="str">
        <f ca="1"/>
        <v/>
      </c>
      <c r="L25" s="66" t="str">
        <f ca="1"/>
        <v/>
      </c>
      <c r="M25" s="64" t="str">
        <f ca="1"/>
        <v/>
      </c>
      <c r="O25" s="62" t="str">
        <f ca="1"/>
        <v/>
      </c>
      <c r="P25" s="62" t="str">
        <f ca="1"/>
        <v/>
      </c>
      <c r="Q25" s="62" t="str">
        <f ca="1"/>
        <v/>
      </c>
      <c r="R25" s="64" t="str">
        <f ca="1"/>
        <v/>
      </c>
      <c r="S25" s="74" t="str">
        <f ca="1"/>
        <v/>
      </c>
      <c r="T25" s="62" t="str">
        <f ca="1"/>
        <v/>
      </c>
      <c r="U25" s="64" t="str">
        <f ca="1"/>
        <v/>
      </c>
      <c r="V25" s="64" t="str">
        <f ca="1"/>
        <v/>
      </c>
      <c r="W25" s="63" t="str">
        <f ca="1"/>
        <v/>
      </c>
      <c r="X25" s="63" t="str">
        <f ca="1"/>
        <v/>
      </c>
      <c r="Y25" s="101" t="str">
        <f ca="1"/>
        <v/>
      </c>
      <c r="Z25" s="64" t="str">
        <f ca="1"/>
        <v/>
      </c>
      <c r="AA25" s="66" t="str">
        <f ca="1"/>
        <v/>
      </c>
      <c r="AB25" s="64" t="str">
        <f ca="1"/>
        <v/>
      </c>
    </row>
    <row r="26" spans="2:28">
      <c r="B26" s="62" t="str">
        <f ca="1"/>
        <v/>
      </c>
      <c r="C26" s="62" t="str">
        <f ca="1"/>
        <v/>
      </c>
      <c r="D26" s="64" t="str">
        <f ca="1"/>
        <v/>
      </c>
      <c r="E26" s="74" t="str">
        <f ca="1"/>
        <v/>
      </c>
      <c r="F26" s="62" t="str">
        <f ca="1"/>
        <v/>
      </c>
      <c r="G26" s="64" t="str">
        <f ca="1"/>
        <v/>
      </c>
      <c r="H26" s="64" t="str">
        <f ca="1"/>
        <v/>
      </c>
      <c r="I26" s="63" t="str">
        <f ca="1"/>
        <v/>
      </c>
      <c r="J26" s="65" t="str">
        <f ca="1"/>
        <v/>
      </c>
      <c r="K26" s="64" t="str">
        <f ca="1"/>
        <v/>
      </c>
      <c r="L26" s="66" t="str">
        <f ca="1"/>
        <v/>
      </c>
      <c r="M26" s="64" t="str">
        <f ca="1"/>
        <v/>
      </c>
      <c r="O26" s="62" t="str">
        <f ca="1"/>
        <v/>
      </c>
      <c r="P26" s="62" t="str">
        <f ca="1"/>
        <v/>
      </c>
      <c r="Q26" s="62" t="str">
        <f ca="1"/>
        <v/>
      </c>
      <c r="R26" s="64" t="str">
        <f ca="1"/>
        <v/>
      </c>
      <c r="S26" s="74" t="str">
        <f ca="1"/>
        <v/>
      </c>
      <c r="T26" s="62" t="str">
        <f ca="1"/>
        <v/>
      </c>
      <c r="U26" s="64" t="str">
        <f ca="1"/>
        <v/>
      </c>
      <c r="V26" s="64" t="str">
        <f ca="1"/>
        <v/>
      </c>
      <c r="W26" s="63" t="str">
        <f ca="1"/>
        <v/>
      </c>
      <c r="X26" s="63" t="str">
        <f ca="1"/>
        <v/>
      </c>
      <c r="Y26" s="101" t="str">
        <f ca="1"/>
        <v/>
      </c>
      <c r="Z26" s="64" t="str">
        <f ca="1"/>
        <v/>
      </c>
      <c r="AA26" s="66" t="str">
        <f ca="1"/>
        <v/>
      </c>
      <c r="AB26" s="64" t="str">
        <f ca="1"/>
        <v/>
      </c>
    </row>
    <row r="27" spans="2:28">
      <c r="B27" s="62" t="str">
        <f ca="1"/>
        <v/>
      </c>
      <c r="C27" s="62" t="str">
        <f ca="1"/>
        <v/>
      </c>
      <c r="D27" s="64" t="str">
        <f ca="1"/>
        <v/>
      </c>
      <c r="E27" s="74" t="str">
        <f ca="1"/>
        <v/>
      </c>
      <c r="F27" s="62" t="str">
        <f ca="1"/>
        <v/>
      </c>
      <c r="G27" s="64" t="str">
        <f ca="1"/>
        <v/>
      </c>
      <c r="H27" s="64" t="str">
        <f ca="1"/>
        <v/>
      </c>
      <c r="I27" s="63" t="str">
        <f ca="1"/>
        <v/>
      </c>
      <c r="J27" s="65" t="str">
        <f ca="1"/>
        <v/>
      </c>
      <c r="K27" s="64" t="str">
        <f ca="1"/>
        <v/>
      </c>
      <c r="L27" s="66" t="str">
        <f ca="1"/>
        <v/>
      </c>
      <c r="M27" s="64" t="str">
        <f ca="1"/>
        <v/>
      </c>
      <c r="O27" s="62" t="str">
        <f ca="1"/>
        <v/>
      </c>
      <c r="P27" s="62" t="str">
        <f ca="1"/>
        <v/>
      </c>
      <c r="Q27" s="62" t="str">
        <f ca="1"/>
        <v/>
      </c>
      <c r="R27" s="64" t="str">
        <f ca="1"/>
        <v/>
      </c>
      <c r="S27" s="74" t="str">
        <f ca="1"/>
        <v/>
      </c>
      <c r="T27" s="62" t="str">
        <f ca="1"/>
        <v/>
      </c>
      <c r="U27" s="64" t="str">
        <f ca="1"/>
        <v/>
      </c>
      <c r="V27" s="64" t="str">
        <f ca="1"/>
        <v/>
      </c>
      <c r="W27" s="63" t="str">
        <f ca="1"/>
        <v/>
      </c>
      <c r="X27" s="63" t="str">
        <f ca="1"/>
        <v/>
      </c>
      <c r="Y27" s="101" t="str">
        <f ca="1"/>
        <v/>
      </c>
      <c r="Z27" s="64" t="str">
        <f ca="1"/>
        <v/>
      </c>
      <c r="AA27" s="66" t="str">
        <f ca="1"/>
        <v/>
      </c>
      <c r="AB27" s="64" t="str">
        <f ca="1"/>
        <v/>
      </c>
    </row>
    <row r="28" spans="2:28">
      <c r="B28" s="62" t="str">
        <f ca="1"/>
        <v/>
      </c>
      <c r="C28" s="62" t="str">
        <f ca="1"/>
        <v/>
      </c>
      <c r="D28" s="64" t="str">
        <f ca="1"/>
        <v/>
      </c>
      <c r="E28" s="74" t="str">
        <f ca="1"/>
        <v/>
      </c>
      <c r="F28" s="62" t="str">
        <f ca="1"/>
        <v/>
      </c>
      <c r="G28" s="64" t="str">
        <f ca="1"/>
        <v/>
      </c>
      <c r="H28" s="64" t="str">
        <f ca="1"/>
        <v/>
      </c>
      <c r="I28" s="63" t="str">
        <f ca="1"/>
        <v/>
      </c>
      <c r="J28" s="65" t="str">
        <f ca="1"/>
        <v/>
      </c>
      <c r="K28" s="64" t="str">
        <f ca="1"/>
        <v/>
      </c>
      <c r="L28" s="66" t="str">
        <f ca="1"/>
        <v/>
      </c>
      <c r="M28" s="64" t="str">
        <f ca="1"/>
        <v/>
      </c>
      <c r="O28" s="62" t="str">
        <f ca="1"/>
        <v/>
      </c>
      <c r="P28" s="62" t="str">
        <f ca="1"/>
        <v/>
      </c>
      <c r="Q28" s="62" t="str">
        <f ca="1"/>
        <v/>
      </c>
      <c r="R28" s="64" t="str">
        <f ca="1"/>
        <v/>
      </c>
      <c r="S28" s="74" t="str">
        <f ca="1"/>
        <v/>
      </c>
      <c r="T28" s="62" t="str">
        <f ca="1"/>
        <v/>
      </c>
      <c r="U28" s="64" t="str">
        <f ca="1"/>
        <v/>
      </c>
      <c r="V28" s="64" t="str">
        <f ca="1"/>
        <v/>
      </c>
      <c r="W28" s="63" t="str">
        <f ca="1"/>
        <v/>
      </c>
      <c r="X28" s="63" t="str">
        <f ca="1"/>
        <v/>
      </c>
      <c r="Y28" s="101" t="str">
        <f ca="1"/>
        <v/>
      </c>
      <c r="Z28" s="64" t="str">
        <f ca="1"/>
        <v/>
      </c>
      <c r="AA28" s="66" t="str">
        <f ca="1"/>
        <v/>
      </c>
      <c r="AB28" s="64" t="str">
        <f ca="1"/>
        <v/>
      </c>
    </row>
    <row r="29" spans="2:28">
      <c r="B29" s="62" t="str">
        <f ca="1"/>
        <v/>
      </c>
      <c r="C29" s="62" t="str">
        <f ca="1"/>
        <v/>
      </c>
      <c r="D29" s="64" t="str">
        <f ca="1"/>
        <v/>
      </c>
      <c r="E29" s="74" t="str">
        <f ca="1"/>
        <v/>
      </c>
      <c r="F29" s="62" t="str">
        <f ca="1"/>
        <v/>
      </c>
      <c r="G29" s="64" t="str">
        <f ca="1"/>
        <v/>
      </c>
      <c r="H29" s="64" t="str">
        <f ca="1"/>
        <v/>
      </c>
      <c r="I29" s="63" t="str">
        <f ca="1"/>
        <v/>
      </c>
      <c r="J29" s="65" t="str">
        <f ca="1"/>
        <v/>
      </c>
      <c r="K29" s="64" t="str">
        <f ca="1"/>
        <v/>
      </c>
      <c r="L29" s="66" t="str">
        <f ca="1"/>
        <v/>
      </c>
      <c r="M29" s="64" t="str">
        <f ca="1"/>
        <v/>
      </c>
      <c r="O29" s="62" t="str">
        <f ca="1"/>
        <v/>
      </c>
      <c r="P29" s="62" t="str">
        <f ca="1"/>
        <v/>
      </c>
      <c r="Q29" s="62" t="str">
        <f ca="1"/>
        <v/>
      </c>
      <c r="R29" s="64" t="str">
        <f ca="1"/>
        <v/>
      </c>
      <c r="S29" s="74" t="str">
        <f ca="1"/>
        <v/>
      </c>
      <c r="T29" s="62" t="str">
        <f ca="1"/>
        <v/>
      </c>
      <c r="U29" s="64" t="str">
        <f ca="1"/>
        <v/>
      </c>
      <c r="V29" s="64" t="str">
        <f ca="1"/>
        <v/>
      </c>
      <c r="W29" s="63" t="str">
        <f ca="1"/>
        <v/>
      </c>
      <c r="X29" s="63" t="str">
        <f ca="1"/>
        <v/>
      </c>
      <c r="Y29" s="101" t="str">
        <f ca="1"/>
        <v/>
      </c>
      <c r="Z29" s="64" t="str">
        <f ca="1"/>
        <v/>
      </c>
      <c r="AA29" s="66" t="str">
        <f ca="1"/>
        <v/>
      </c>
      <c r="AB29" s="64" t="str">
        <f ca="1"/>
        <v/>
      </c>
    </row>
    <row r="30" spans="2:28">
      <c r="B30" s="62" t="str">
        <f ca="1"/>
        <v/>
      </c>
      <c r="C30" s="62" t="str">
        <f ca="1"/>
        <v/>
      </c>
      <c r="D30" s="64" t="str">
        <f ca="1"/>
        <v/>
      </c>
      <c r="E30" s="74" t="str">
        <f ca="1"/>
        <v/>
      </c>
      <c r="F30" s="62" t="str">
        <f ca="1"/>
        <v/>
      </c>
      <c r="G30" s="64" t="str">
        <f ca="1"/>
        <v/>
      </c>
      <c r="H30" s="64" t="str">
        <f ca="1"/>
        <v/>
      </c>
      <c r="I30" s="63" t="str">
        <f ca="1"/>
        <v/>
      </c>
      <c r="J30" s="65" t="str">
        <f ca="1"/>
        <v/>
      </c>
      <c r="K30" s="64" t="str">
        <f ca="1"/>
        <v/>
      </c>
      <c r="L30" s="66" t="str">
        <f ca="1"/>
        <v/>
      </c>
      <c r="M30" s="64" t="str">
        <f ca="1"/>
        <v/>
      </c>
      <c r="O30" s="62" t="str">
        <f ca="1"/>
        <v/>
      </c>
      <c r="P30" s="62" t="str">
        <f ca="1"/>
        <v/>
      </c>
      <c r="Q30" s="62" t="str">
        <f ca="1"/>
        <v/>
      </c>
      <c r="R30" s="64" t="str">
        <f ca="1"/>
        <v/>
      </c>
      <c r="S30" s="74" t="str">
        <f ca="1"/>
        <v/>
      </c>
      <c r="T30" s="62" t="str">
        <f ca="1"/>
        <v/>
      </c>
      <c r="U30" s="64" t="str">
        <f ca="1"/>
        <v/>
      </c>
      <c r="V30" s="64" t="str">
        <f ca="1"/>
        <v/>
      </c>
      <c r="W30" s="63" t="str">
        <f ca="1"/>
        <v/>
      </c>
      <c r="X30" s="63" t="str">
        <f ca="1"/>
        <v/>
      </c>
      <c r="Y30" s="101" t="str">
        <f ca="1"/>
        <v/>
      </c>
      <c r="Z30" s="64" t="str">
        <f ca="1"/>
        <v/>
      </c>
      <c r="AA30" s="66" t="str">
        <f ca="1"/>
        <v/>
      </c>
      <c r="AB30" s="64" t="str">
        <f ca="1"/>
        <v/>
      </c>
    </row>
    <row r="31" spans="2:28">
      <c r="B31" s="62" t="str">
        <f ca="1"/>
        <v/>
      </c>
      <c r="C31" s="62" t="str">
        <f ca="1"/>
        <v/>
      </c>
      <c r="D31" s="64" t="str">
        <f ca="1"/>
        <v/>
      </c>
      <c r="E31" s="74" t="str">
        <f ca="1"/>
        <v/>
      </c>
      <c r="F31" s="62" t="str">
        <f ca="1"/>
        <v/>
      </c>
      <c r="G31" s="64" t="str">
        <f ca="1"/>
        <v/>
      </c>
      <c r="H31" s="64" t="str">
        <f ca="1"/>
        <v/>
      </c>
      <c r="I31" s="63" t="str">
        <f ca="1"/>
        <v/>
      </c>
      <c r="J31" s="65" t="str">
        <f ca="1"/>
        <v/>
      </c>
      <c r="K31" s="64" t="str">
        <f ca="1"/>
        <v/>
      </c>
      <c r="L31" s="66" t="str">
        <f ca="1"/>
        <v/>
      </c>
      <c r="M31" s="64" t="str">
        <f ca="1"/>
        <v/>
      </c>
      <c r="O31" s="62" t="str">
        <f ca="1"/>
        <v/>
      </c>
      <c r="P31" s="62" t="str">
        <f ca="1"/>
        <v/>
      </c>
      <c r="Q31" s="62" t="str">
        <f ca="1"/>
        <v/>
      </c>
      <c r="R31" s="64" t="str">
        <f ca="1"/>
        <v/>
      </c>
      <c r="S31" s="74" t="str">
        <f ca="1"/>
        <v/>
      </c>
      <c r="T31" s="62" t="str">
        <f ca="1"/>
        <v/>
      </c>
      <c r="U31" s="64" t="str">
        <f ca="1"/>
        <v/>
      </c>
      <c r="V31" s="64" t="str">
        <f ca="1"/>
        <v/>
      </c>
      <c r="W31" s="63" t="str">
        <f ca="1"/>
        <v/>
      </c>
      <c r="X31" s="63" t="str">
        <f ca="1"/>
        <v/>
      </c>
      <c r="Y31" s="101" t="str">
        <f ca="1"/>
        <v/>
      </c>
      <c r="Z31" s="64" t="str">
        <f ca="1"/>
        <v/>
      </c>
      <c r="AA31" s="66" t="str">
        <f ca="1"/>
        <v/>
      </c>
      <c r="AB31" s="64" t="str">
        <f ca="1"/>
        <v/>
      </c>
    </row>
    <row r="32" spans="2:28">
      <c r="B32" s="62" t="str">
        <f ca="1"/>
        <v/>
      </c>
      <c r="C32" s="62" t="str">
        <f ca="1"/>
        <v/>
      </c>
      <c r="D32" s="64" t="str">
        <f ca="1"/>
        <v/>
      </c>
      <c r="E32" s="74" t="str">
        <f ca="1"/>
        <v/>
      </c>
      <c r="F32" s="62" t="str">
        <f ca="1"/>
        <v/>
      </c>
      <c r="G32" s="64" t="str">
        <f ca="1"/>
        <v/>
      </c>
      <c r="H32" s="64" t="str">
        <f ca="1"/>
        <v/>
      </c>
      <c r="I32" s="63" t="str">
        <f ca="1"/>
        <v/>
      </c>
      <c r="J32" s="65" t="str">
        <f ca="1"/>
        <v/>
      </c>
      <c r="K32" s="64" t="str">
        <f ca="1"/>
        <v/>
      </c>
      <c r="L32" s="66" t="str">
        <f ca="1"/>
        <v/>
      </c>
      <c r="M32" s="64" t="str">
        <f ca="1"/>
        <v/>
      </c>
      <c r="O32" s="62" t="str">
        <f ca="1"/>
        <v/>
      </c>
      <c r="P32" s="62" t="str">
        <f ca="1"/>
        <v/>
      </c>
      <c r="Q32" s="62" t="str">
        <f ca="1"/>
        <v/>
      </c>
      <c r="R32" s="64" t="str">
        <f ca="1"/>
        <v/>
      </c>
      <c r="S32" s="74" t="str">
        <f ca="1"/>
        <v/>
      </c>
      <c r="T32" s="62" t="str">
        <f ca="1"/>
        <v/>
      </c>
      <c r="U32" s="64" t="str">
        <f ca="1"/>
        <v/>
      </c>
      <c r="V32" s="64" t="str">
        <f ca="1"/>
        <v/>
      </c>
      <c r="W32" s="63" t="str">
        <f ca="1"/>
        <v/>
      </c>
      <c r="X32" s="63" t="str">
        <f ca="1"/>
        <v/>
      </c>
      <c r="Y32" s="101" t="str">
        <f ca="1"/>
        <v/>
      </c>
      <c r="Z32" s="64" t="str">
        <f ca="1"/>
        <v/>
      </c>
      <c r="AA32" s="66" t="str">
        <f ca="1"/>
        <v/>
      </c>
      <c r="AB32" s="64" t="str">
        <f ca="1"/>
        <v/>
      </c>
    </row>
    <row r="33" spans="2:28">
      <c r="B33" s="62" t="str">
        <f ca="1"/>
        <v/>
      </c>
      <c r="C33" s="62" t="str">
        <f ca="1"/>
        <v/>
      </c>
      <c r="D33" s="64" t="str">
        <f ca="1"/>
        <v/>
      </c>
      <c r="E33" s="74" t="str">
        <f ca="1"/>
        <v/>
      </c>
      <c r="F33" s="62" t="str">
        <f ca="1"/>
        <v/>
      </c>
      <c r="G33" s="64" t="str">
        <f ca="1"/>
        <v/>
      </c>
      <c r="H33" s="64" t="str">
        <f ca="1"/>
        <v/>
      </c>
      <c r="I33" s="63" t="str">
        <f ca="1"/>
        <v/>
      </c>
      <c r="J33" s="65" t="str">
        <f ca="1"/>
        <v/>
      </c>
      <c r="K33" s="64" t="str">
        <f ca="1"/>
        <v/>
      </c>
      <c r="L33" s="66" t="str">
        <f ca="1"/>
        <v/>
      </c>
      <c r="M33" s="64" t="str">
        <f ca="1"/>
        <v/>
      </c>
      <c r="O33" s="62" t="str">
        <f ca="1"/>
        <v/>
      </c>
      <c r="P33" s="62" t="str">
        <f ca="1"/>
        <v/>
      </c>
      <c r="Q33" s="62" t="str">
        <f ca="1"/>
        <v/>
      </c>
      <c r="R33" s="64" t="str">
        <f ca="1"/>
        <v/>
      </c>
      <c r="S33" s="74" t="str">
        <f ca="1"/>
        <v/>
      </c>
      <c r="T33" s="62" t="str">
        <f ca="1"/>
        <v/>
      </c>
      <c r="U33" s="64" t="str">
        <f ca="1"/>
        <v/>
      </c>
      <c r="V33" s="64" t="str">
        <f ca="1"/>
        <v/>
      </c>
      <c r="W33" s="63" t="str">
        <f ca="1"/>
        <v/>
      </c>
      <c r="X33" s="63" t="str">
        <f ca="1"/>
        <v/>
      </c>
      <c r="Y33" s="101" t="str">
        <f ca="1"/>
        <v/>
      </c>
      <c r="Z33" s="64" t="str">
        <f ca="1"/>
        <v/>
      </c>
      <c r="AA33" s="66" t="str">
        <f ca="1"/>
        <v/>
      </c>
      <c r="AB33" s="64" t="str">
        <f ca="1"/>
        <v/>
      </c>
    </row>
    <row r="34" spans="2:28">
      <c r="B34" s="62" t="str">
        <f ca="1"/>
        <v/>
      </c>
      <c r="C34" s="62" t="str">
        <f ca="1"/>
        <v/>
      </c>
      <c r="D34" s="64" t="str">
        <f ca="1"/>
        <v/>
      </c>
      <c r="E34" s="74" t="str">
        <f ca="1"/>
        <v/>
      </c>
      <c r="F34" s="62" t="str">
        <f ca="1"/>
        <v/>
      </c>
      <c r="G34" s="64" t="str">
        <f ca="1"/>
        <v/>
      </c>
      <c r="H34" s="64" t="str">
        <f ca="1"/>
        <v/>
      </c>
      <c r="I34" s="63" t="str">
        <f ca="1"/>
        <v/>
      </c>
      <c r="J34" s="65" t="str">
        <f ca="1"/>
        <v/>
      </c>
      <c r="K34" s="64" t="str">
        <f ca="1"/>
        <v/>
      </c>
      <c r="L34" s="66" t="str">
        <f ca="1"/>
        <v/>
      </c>
      <c r="M34" s="64" t="str">
        <f ca="1"/>
        <v/>
      </c>
      <c r="O34" s="62" t="str">
        <f ca="1"/>
        <v/>
      </c>
      <c r="P34" s="62" t="str">
        <f ca="1"/>
        <v/>
      </c>
      <c r="Q34" s="62" t="str">
        <f ca="1"/>
        <v/>
      </c>
      <c r="R34" s="64" t="str">
        <f ca="1"/>
        <v/>
      </c>
      <c r="S34" s="74" t="str">
        <f ca="1"/>
        <v/>
      </c>
      <c r="T34" s="62" t="str">
        <f ca="1"/>
        <v/>
      </c>
      <c r="U34" s="64" t="str">
        <f ca="1"/>
        <v/>
      </c>
      <c r="V34" s="64" t="str">
        <f ca="1"/>
        <v/>
      </c>
      <c r="W34" s="63" t="str">
        <f ca="1"/>
        <v/>
      </c>
      <c r="X34" s="63" t="str">
        <f ca="1"/>
        <v/>
      </c>
      <c r="Y34" s="101" t="str">
        <f ca="1"/>
        <v/>
      </c>
      <c r="Z34" s="64" t="str">
        <f ca="1"/>
        <v/>
      </c>
      <c r="AA34" s="66" t="str">
        <f ca="1"/>
        <v/>
      </c>
      <c r="AB34" s="64" t="str">
        <f ca="1"/>
        <v/>
      </c>
    </row>
    <row r="35" spans="2:28">
      <c r="B35" s="62" t="str">
        <f ca="1"/>
        <v/>
      </c>
      <c r="C35" s="62" t="str">
        <f ca="1"/>
        <v/>
      </c>
      <c r="D35" s="64" t="str">
        <f ca="1"/>
        <v/>
      </c>
      <c r="E35" s="74" t="str">
        <f ca="1"/>
        <v/>
      </c>
      <c r="F35" s="62" t="str">
        <f ca="1"/>
        <v/>
      </c>
      <c r="G35" s="64" t="str">
        <f ca="1"/>
        <v/>
      </c>
      <c r="H35" s="64" t="str">
        <f ca="1"/>
        <v/>
      </c>
      <c r="I35" s="63" t="str">
        <f ca="1"/>
        <v/>
      </c>
      <c r="J35" s="65" t="str">
        <f ca="1"/>
        <v/>
      </c>
      <c r="K35" s="64" t="str">
        <f ca="1"/>
        <v/>
      </c>
      <c r="L35" s="66" t="str">
        <f ca="1"/>
        <v/>
      </c>
      <c r="M35" s="64" t="str">
        <f ca="1"/>
        <v/>
      </c>
      <c r="O35" s="62" t="str">
        <f ca="1"/>
        <v/>
      </c>
      <c r="P35" s="62" t="str">
        <f ca="1"/>
        <v/>
      </c>
      <c r="Q35" s="62" t="str">
        <f ca="1"/>
        <v/>
      </c>
      <c r="R35" s="64" t="str">
        <f ca="1"/>
        <v/>
      </c>
      <c r="S35" s="74" t="str">
        <f ca="1"/>
        <v/>
      </c>
      <c r="T35" s="62" t="str">
        <f ca="1"/>
        <v/>
      </c>
      <c r="U35" s="64" t="str">
        <f ca="1"/>
        <v/>
      </c>
      <c r="V35" s="64" t="str">
        <f ca="1"/>
        <v/>
      </c>
      <c r="W35" s="63" t="str">
        <f ca="1"/>
        <v/>
      </c>
      <c r="X35" s="63" t="str">
        <f ca="1"/>
        <v/>
      </c>
      <c r="Y35" s="101" t="str">
        <f ca="1"/>
        <v/>
      </c>
      <c r="Z35" s="64" t="str">
        <f ca="1"/>
        <v/>
      </c>
      <c r="AA35" s="66" t="str">
        <f ca="1"/>
        <v/>
      </c>
      <c r="AB35" s="64" t="str">
        <f ca="1"/>
        <v/>
      </c>
    </row>
    <row r="36" spans="2:28">
      <c r="B36" s="62" t="str">
        <f ca="1"/>
        <v/>
      </c>
      <c r="C36" s="62" t="str">
        <f ca="1"/>
        <v/>
      </c>
      <c r="D36" s="64" t="str">
        <f ca="1"/>
        <v/>
      </c>
      <c r="E36" s="74" t="str">
        <f ca="1"/>
        <v/>
      </c>
      <c r="F36" s="62" t="str">
        <f ca="1"/>
        <v/>
      </c>
      <c r="G36" s="64" t="str">
        <f ca="1"/>
        <v/>
      </c>
      <c r="H36" s="64" t="str">
        <f ca="1"/>
        <v/>
      </c>
      <c r="I36" s="63" t="str">
        <f ca="1"/>
        <v/>
      </c>
      <c r="J36" s="65" t="str">
        <f ca="1"/>
        <v/>
      </c>
      <c r="K36" s="64" t="str">
        <f ca="1"/>
        <v/>
      </c>
      <c r="L36" s="66" t="str">
        <f ca="1"/>
        <v/>
      </c>
      <c r="M36" s="64" t="str">
        <f ca="1"/>
        <v/>
      </c>
      <c r="O36" s="62" t="str">
        <f ca="1"/>
        <v/>
      </c>
      <c r="P36" s="62" t="str">
        <f ca="1"/>
        <v/>
      </c>
      <c r="Q36" s="62" t="str">
        <f ca="1"/>
        <v/>
      </c>
      <c r="R36" s="64" t="str">
        <f ca="1"/>
        <v/>
      </c>
      <c r="S36" s="74" t="str">
        <f ca="1"/>
        <v/>
      </c>
      <c r="T36" s="62" t="str">
        <f ca="1"/>
        <v/>
      </c>
      <c r="U36" s="64" t="str">
        <f ca="1"/>
        <v/>
      </c>
      <c r="V36" s="64" t="str">
        <f ca="1"/>
        <v/>
      </c>
      <c r="W36" s="63" t="str">
        <f ca="1"/>
        <v/>
      </c>
      <c r="X36" s="63" t="str">
        <f ca="1"/>
        <v/>
      </c>
      <c r="Y36" s="101" t="str">
        <f ca="1"/>
        <v/>
      </c>
      <c r="Z36" s="64" t="str">
        <f ca="1"/>
        <v/>
      </c>
      <c r="AA36" s="66" t="str">
        <f ca="1"/>
        <v/>
      </c>
      <c r="AB36" s="64" t="str">
        <f ca="1"/>
        <v/>
      </c>
    </row>
    <row r="37" spans="2:28">
      <c r="B37" s="62" t="str">
        <f ca="1"/>
        <v/>
      </c>
      <c r="C37" s="62" t="str">
        <f ca="1"/>
        <v/>
      </c>
      <c r="D37" s="64" t="str">
        <f ca="1"/>
        <v/>
      </c>
      <c r="E37" s="74" t="str">
        <f ca="1"/>
        <v/>
      </c>
      <c r="F37" s="62" t="str">
        <f ca="1"/>
        <v/>
      </c>
      <c r="G37" s="64" t="str">
        <f ca="1"/>
        <v/>
      </c>
      <c r="H37" s="64" t="str">
        <f ca="1"/>
        <v/>
      </c>
      <c r="I37" s="63" t="str">
        <f ca="1"/>
        <v/>
      </c>
      <c r="J37" s="65" t="str">
        <f ca="1"/>
        <v/>
      </c>
      <c r="K37" s="64" t="str">
        <f ca="1"/>
        <v/>
      </c>
      <c r="L37" s="66" t="str">
        <f ca="1"/>
        <v/>
      </c>
      <c r="M37" s="64" t="str">
        <f ca="1"/>
        <v/>
      </c>
      <c r="O37" s="62" t="str">
        <f ca="1"/>
        <v/>
      </c>
      <c r="P37" s="62" t="str">
        <f ca="1"/>
        <v/>
      </c>
      <c r="Q37" s="62" t="str">
        <f ca="1"/>
        <v/>
      </c>
      <c r="R37" s="64" t="str">
        <f ca="1"/>
        <v/>
      </c>
      <c r="S37" s="74" t="str">
        <f ca="1"/>
        <v/>
      </c>
      <c r="T37" s="62" t="str">
        <f ca="1"/>
        <v/>
      </c>
      <c r="U37" s="64" t="str">
        <f ca="1"/>
        <v/>
      </c>
      <c r="V37" s="64" t="str">
        <f ca="1"/>
        <v/>
      </c>
      <c r="W37" s="63" t="str">
        <f ca="1"/>
        <v/>
      </c>
      <c r="X37" s="63" t="str">
        <f ca="1"/>
        <v/>
      </c>
      <c r="Y37" s="101" t="str">
        <f ca="1"/>
        <v/>
      </c>
      <c r="Z37" s="64" t="str">
        <f ca="1"/>
        <v/>
      </c>
      <c r="AA37" s="66" t="str">
        <f ca="1"/>
        <v/>
      </c>
      <c r="AB37" s="64" t="str">
        <f ca="1"/>
        <v/>
      </c>
    </row>
    <row r="38" spans="2:28">
      <c r="B38" s="62" t="str">
        <f ca="1"/>
        <v/>
      </c>
      <c r="C38" s="62" t="str">
        <f ca="1"/>
        <v/>
      </c>
      <c r="D38" s="64" t="str">
        <f ca="1"/>
        <v/>
      </c>
      <c r="E38" s="74" t="str">
        <f ca="1"/>
        <v/>
      </c>
      <c r="F38" s="62" t="str">
        <f ca="1"/>
        <v/>
      </c>
      <c r="G38" s="64" t="str">
        <f ca="1"/>
        <v/>
      </c>
      <c r="H38" s="64" t="str">
        <f ca="1"/>
        <v/>
      </c>
      <c r="I38" s="63" t="str">
        <f ca="1"/>
        <v/>
      </c>
      <c r="J38" s="65" t="str">
        <f ca="1"/>
        <v/>
      </c>
      <c r="K38" s="64" t="str">
        <f ca="1"/>
        <v/>
      </c>
      <c r="L38" s="66" t="str">
        <f ca="1"/>
        <v/>
      </c>
      <c r="M38" s="64" t="str">
        <f ca="1"/>
        <v/>
      </c>
      <c r="O38" s="62" t="str">
        <f ca="1"/>
        <v/>
      </c>
      <c r="P38" s="62" t="str">
        <f ca="1"/>
        <v/>
      </c>
      <c r="Q38" s="62" t="str">
        <f ca="1"/>
        <v/>
      </c>
      <c r="R38" s="64" t="str">
        <f ca="1"/>
        <v/>
      </c>
      <c r="S38" s="74" t="str">
        <f ca="1"/>
        <v/>
      </c>
      <c r="T38" s="62" t="str">
        <f ca="1"/>
        <v/>
      </c>
      <c r="U38" s="64" t="str">
        <f ca="1"/>
        <v/>
      </c>
      <c r="V38" s="64" t="str">
        <f ca="1"/>
        <v/>
      </c>
      <c r="W38" s="63" t="str">
        <f ca="1"/>
        <v/>
      </c>
      <c r="X38" s="63" t="str">
        <f ca="1"/>
        <v/>
      </c>
      <c r="Y38" s="101" t="str">
        <f ca="1"/>
        <v/>
      </c>
      <c r="Z38" s="64" t="str">
        <f ca="1"/>
        <v/>
      </c>
      <c r="AA38" s="66" t="str">
        <f ca="1"/>
        <v/>
      </c>
      <c r="AB38" s="64" t="str">
        <f ca="1"/>
        <v/>
      </c>
    </row>
    <row r="39" spans="2:28">
      <c r="B39" s="62" t="str">
        <f ca="1"/>
        <v/>
      </c>
      <c r="C39" s="62" t="str">
        <f ca="1"/>
        <v/>
      </c>
      <c r="D39" s="64" t="str">
        <f ca="1"/>
        <v/>
      </c>
      <c r="E39" s="74" t="str">
        <f ca="1"/>
        <v/>
      </c>
      <c r="F39" s="62" t="str">
        <f ca="1"/>
        <v/>
      </c>
      <c r="G39" s="64" t="str">
        <f ca="1"/>
        <v/>
      </c>
      <c r="H39" s="64" t="str">
        <f ca="1"/>
        <v/>
      </c>
      <c r="I39" s="63" t="str">
        <f ca="1"/>
        <v/>
      </c>
      <c r="J39" s="65" t="str">
        <f ca="1"/>
        <v/>
      </c>
      <c r="K39" s="64" t="str">
        <f ca="1"/>
        <v/>
      </c>
      <c r="L39" s="66" t="str">
        <f ca="1"/>
        <v/>
      </c>
      <c r="M39" s="64" t="str">
        <f ca="1"/>
        <v/>
      </c>
      <c r="O39" s="62" t="str">
        <f ca="1"/>
        <v/>
      </c>
      <c r="P39" s="62" t="str">
        <f ca="1"/>
        <v/>
      </c>
      <c r="Q39" s="62" t="str">
        <f ca="1"/>
        <v/>
      </c>
      <c r="R39" s="64" t="str">
        <f ca="1"/>
        <v/>
      </c>
      <c r="S39" s="74" t="str">
        <f ca="1"/>
        <v/>
      </c>
      <c r="T39" s="62" t="str">
        <f ca="1"/>
        <v/>
      </c>
      <c r="U39" s="64" t="str">
        <f ca="1"/>
        <v/>
      </c>
      <c r="V39" s="64" t="str">
        <f ca="1"/>
        <v/>
      </c>
      <c r="W39" s="63" t="str">
        <f ca="1"/>
        <v/>
      </c>
      <c r="X39" s="63" t="str">
        <f ca="1"/>
        <v/>
      </c>
      <c r="Y39" s="101" t="str">
        <f ca="1"/>
        <v/>
      </c>
      <c r="Z39" s="64" t="str">
        <f ca="1"/>
        <v/>
      </c>
      <c r="AA39" s="66" t="str">
        <f ca="1"/>
        <v/>
      </c>
      <c r="AB39" s="64" t="str">
        <f ca="1"/>
        <v/>
      </c>
    </row>
    <row r="40" spans="2:28">
      <c r="B40" s="62" t="str">
        <f ca="1"/>
        <v/>
      </c>
      <c r="C40" s="62" t="str">
        <f ca="1"/>
        <v/>
      </c>
      <c r="D40" s="64" t="str">
        <f ca="1"/>
        <v/>
      </c>
      <c r="E40" s="74" t="str">
        <f ca="1"/>
        <v/>
      </c>
      <c r="F40" s="62" t="str">
        <f ca="1"/>
        <v/>
      </c>
      <c r="G40" s="64" t="str">
        <f ca="1"/>
        <v/>
      </c>
      <c r="H40" s="64" t="str">
        <f ca="1"/>
        <v/>
      </c>
      <c r="I40" s="63" t="str">
        <f ca="1"/>
        <v/>
      </c>
      <c r="J40" s="65" t="str">
        <f ca="1"/>
        <v/>
      </c>
      <c r="K40" s="64" t="str">
        <f ca="1"/>
        <v/>
      </c>
      <c r="L40" s="66" t="str">
        <f ca="1"/>
        <v/>
      </c>
      <c r="M40" s="64" t="str">
        <f ca="1"/>
        <v/>
      </c>
      <c r="O40" s="62" t="str">
        <f ca="1"/>
        <v/>
      </c>
      <c r="P40" s="62" t="str">
        <f ca="1"/>
        <v/>
      </c>
      <c r="Q40" s="62" t="str">
        <f ca="1"/>
        <v/>
      </c>
      <c r="R40" s="64" t="str">
        <f ca="1"/>
        <v/>
      </c>
      <c r="S40" s="74" t="str">
        <f ca="1"/>
        <v/>
      </c>
      <c r="T40" s="62" t="str">
        <f ca="1"/>
        <v/>
      </c>
      <c r="U40" s="64" t="str">
        <f ca="1"/>
        <v/>
      </c>
      <c r="V40" s="64" t="str">
        <f ca="1"/>
        <v/>
      </c>
      <c r="W40" s="63" t="str">
        <f ca="1"/>
        <v/>
      </c>
      <c r="X40" s="63" t="str">
        <f ca="1"/>
        <v/>
      </c>
      <c r="Y40" s="101" t="str">
        <f ca="1"/>
        <v/>
      </c>
      <c r="Z40" s="64" t="str">
        <f ca="1"/>
        <v/>
      </c>
      <c r="AA40" s="66" t="str">
        <f ca="1"/>
        <v/>
      </c>
      <c r="AB40" s="64" t="str">
        <f ca="1"/>
        <v/>
      </c>
    </row>
    <row r="41" spans="2:28">
      <c r="B41" s="62" t="str">
        <f ca="1"/>
        <v/>
      </c>
      <c r="C41" s="62" t="str">
        <f ca="1"/>
        <v/>
      </c>
      <c r="D41" s="64" t="str">
        <f ca="1"/>
        <v/>
      </c>
      <c r="E41" s="74" t="str">
        <f ca="1"/>
        <v/>
      </c>
      <c r="F41" s="62" t="str">
        <f ca="1"/>
        <v/>
      </c>
      <c r="G41" s="64" t="str">
        <f ca="1"/>
        <v/>
      </c>
      <c r="H41" s="64" t="str">
        <f ca="1"/>
        <v/>
      </c>
      <c r="I41" s="63" t="str">
        <f ca="1"/>
        <v/>
      </c>
      <c r="J41" s="65" t="str">
        <f ca="1"/>
        <v/>
      </c>
      <c r="K41" s="64" t="str">
        <f ca="1"/>
        <v/>
      </c>
      <c r="L41" s="66" t="str">
        <f ca="1"/>
        <v/>
      </c>
      <c r="M41" s="64" t="str">
        <f ca="1"/>
        <v/>
      </c>
      <c r="O41" s="62" t="str">
        <f ca="1"/>
        <v/>
      </c>
      <c r="P41" s="62" t="str">
        <f ca="1"/>
        <v/>
      </c>
      <c r="Q41" s="62" t="str">
        <f ca="1"/>
        <v/>
      </c>
      <c r="R41" s="64" t="str">
        <f ca="1"/>
        <v/>
      </c>
      <c r="S41" s="74" t="str">
        <f ca="1"/>
        <v/>
      </c>
      <c r="T41" s="62" t="str">
        <f ca="1"/>
        <v/>
      </c>
      <c r="U41" s="64" t="str">
        <f ca="1"/>
        <v/>
      </c>
      <c r="V41" s="64" t="str">
        <f ca="1"/>
        <v/>
      </c>
      <c r="W41" s="63" t="str">
        <f ca="1"/>
        <v/>
      </c>
      <c r="X41" s="63" t="str">
        <f ca="1"/>
        <v/>
      </c>
      <c r="Y41" s="101" t="str">
        <f ca="1"/>
        <v/>
      </c>
      <c r="Z41" s="64" t="str">
        <f ca="1"/>
        <v/>
      </c>
      <c r="AA41" s="66" t="str">
        <f ca="1"/>
        <v/>
      </c>
      <c r="AB41" s="64" t="str">
        <f ca="1"/>
        <v/>
      </c>
    </row>
    <row r="42" spans="2:28">
      <c r="B42" s="62" t="str">
        <f ca="1"/>
        <v/>
      </c>
      <c r="C42" s="62" t="str">
        <f ca="1"/>
        <v/>
      </c>
      <c r="D42" s="64" t="str">
        <f ca="1"/>
        <v/>
      </c>
      <c r="E42" s="74" t="str">
        <f ca="1"/>
        <v/>
      </c>
      <c r="F42" s="62" t="str">
        <f ca="1"/>
        <v/>
      </c>
      <c r="G42" s="64" t="str">
        <f ca="1"/>
        <v/>
      </c>
      <c r="H42" s="64" t="str">
        <f ca="1"/>
        <v/>
      </c>
      <c r="I42" s="63" t="str">
        <f ca="1"/>
        <v/>
      </c>
      <c r="J42" s="65" t="str">
        <f ca="1"/>
        <v/>
      </c>
      <c r="K42" s="64" t="str">
        <f ca="1"/>
        <v/>
      </c>
      <c r="L42" s="66" t="str">
        <f ca="1"/>
        <v/>
      </c>
      <c r="M42" s="64" t="str">
        <f ca="1"/>
        <v/>
      </c>
      <c r="O42" s="62" t="str">
        <f ca="1"/>
        <v/>
      </c>
      <c r="P42" s="62" t="str">
        <f ca="1"/>
        <v/>
      </c>
      <c r="Q42" s="62" t="str">
        <f ca="1"/>
        <v/>
      </c>
      <c r="R42" s="64" t="str">
        <f ca="1"/>
        <v/>
      </c>
      <c r="S42" s="74" t="str">
        <f ca="1"/>
        <v/>
      </c>
      <c r="T42" s="62" t="str">
        <f ca="1"/>
        <v/>
      </c>
      <c r="U42" s="64" t="str">
        <f ca="1"/>
        <v/>
      </c>
      <c r="V42" s="64" t="str">
        <f ca="1"/>
        <v/>
      </c>
      <c r="W42" s="63" t="str">
        <f ca="1"/>
        <v/>
      </c>
      <c r="X42" s="63" t="str">
        <f ca="1"/>
        <v/>
      </c>
      <c r="Y42" s="101" t="str">
        <f ca="1"/>
        <v/>
      </c>
      <c r="Z42" s="64" t="str">
        <f ca="1"/>
        <v/>
      </c>
      <c r="AA42" s="66" t="str">
        <f ca="1"/>
        <v/>
      </c>
      <c r="AB42" s="64" t="str">
        <f ca="1"/>
        <v/>
      </c>
    </row>
    <row r="43" spans="2:28">
      <c r="B43" s="62" t="str">
        <f ca="1"/>
        <v/>
      </c>
      <c r="C43" s="62" t="str">
        <f ca="1"/>
        <v/>
      </c>
      <c r="D43" s="64" t="str">
        <f ca="1"/>
        <v/>
      </c>
      <c r="E43" s="74" t="str">
        <f ca="1"/>
        <v/>
      </c>
      <c r="F43" s="62" t="str">
        <f ca="1"/>
        <v/>
      </c>
      <c r="G43" s="64" t="str">
        <f ca="1"/>
        <v/>
      </c>
      <c r="H43" s="64" t="str">
        <f ca="1"/>
        <v/>
      </c>
      <c r="I43" s="63" t="str">
        <f ca="1"/>
        <v/>
      </c>
      <c r="J43" s="65" t="str">
        <f ca="1"/>
        <v/>
      </c>
      <c r="K43" s="64" t="str">
        <f ca="1"/>
        <v/>
      </c>
      <c r="L43" s="66" t="str">
        <f ca="1"/>
        <v/>
      </c>
      <c r="M43" s="64" t="str">
        <f ca="1"/>
        <v/>
      </c>
      <c r="O43" s="62" t="str">
        <f ca="1"/>
        <v/>
      </c>
      <c r="P43" s="62" t="str">
        <f ca="1"/>
        <v/>
      </c>
      <c r="Q43" s="62" t="str">
        <f ca="1"/>
        <v/>
      </c>
      <c r="R43" s="64" t="str">
        <f ca="1"/>
        <v/>
      </c>
      <c r="S43" s="74" t="str">
        <f ca="1"/>
        <v/>
      </c>
      <c r="T43" s="62" t="str">
        <f ca="1"/>
        <v/>
      </c>
      <c r="U43" s="64" t="str">
        <f ca="1"/>
        <v/>
      </c>
      <c r="V43" s="64" t="str">
        <f ca="1"/>
        <v/>
      </c>
      <c r="W43" s="63" t="str">
        <f ca="1"/>
        <v/>
      </c>
      <c r="X43" s="63" t="str">
        <f ca="1"/>
        <v/>
      </c>
      <c r="Y43" s="101" t="str">
        <f ca="1"/>
        <v/>
      </c>
      <c r="Z43" s="64" t="str">
        <f ca="1"/>
        <v/>
      </c>
      <c r="AA43" s="66" t="str">
        <f ca="1"/>
        <v/>
      </c>
      <c r="AB43" s="64" t="str">
        <f ca="1"/>
        <v/>
      </c>
    </row>
    <row r="44" spans="2:28">
      <c r="B44" s="62" t="str">
        <f ca="1"/>
        <v/>
      </c>
      <c r="C44" s="62" t="str">
        <f ca="1"/>
        <v/>
      </c>
      <c r="D44" s="64" t="str">
        <f ca="1"/>
        <v/>
      </c>
      <c r="E44" s="74" t="str">
        <f ca="1"/>
        <v/>
      </c>
      <c r="F44" s="62" t="str">
        <f ca="1"/>
        <v/>
      </c>
      <c r="G44" s="64" t="str">
        <f ca="1"/>
        <v/>
      </c>
      <c r="H44" s="64" t="str">
        <f ca="1"/>
        <v/>
      </c>
      <c r="I44" s="63" t="str">
        <f ca="1"/>
        <v/>
      </c>
      <c r="J44" s="65" t="str">
        <f ca="1"/>
        <v/>
      </c>
      <c r="K44" s="64" t="str">
        <f ca="1"/>
        <v/>
      </c>
      <c r="L44" s="66" t="str">
        <f ca="1"/>
        <v/>
      </c>
      <c r="M44" s="64" t="str">
        <f ca="1"/>
        <v/>
      </c>
      <c r="O44" s="62" t="str">
        <f ca="1"/>
        <v/>
      </c>
      <c r="P44" s="62" t="str">
        <f ca="1"/>
        <v/>
      </c>
      <c r="Q44" s="62" t="str">
        <f ca="1"/>
        <v/>
      </c>
      <c r="R44" s="64" t="str">
        <f ca="1"/>
        <v/>
      </c>
      <c r="S44" s="74" t="str">
        <f ca="1"/>
        <v/>
      </c>
      <c r="T44" s="62" t="str">
        <f ca="1"/>
        <v/>
      </c>
      <c r="U44" s="64" t="str">
        <f ca="1"/>
        <v/>
      </c>
      <c r="V44" s="64" t="str">
        <f ca="1"/>
        <v/>
      </c>
      <c r="W44" s="63" t="str">
        <f ca="1"/>
        <v/>
      </c>
      <c r="X44" s="63" t="str">
        <f ca="1"/>
        <v/>
      </c>
      <c r="Y44" s="101" t="str">
        <f ca="1"/>
        <v/>
      </c>
      <c r="Z44" s="64" t="str">
        <f ca="1"/>
        <v/>
      </c>
      <c r="AA44" s="66" t="str">
        <f ca="1"/>
        <v/>
      </c>
      <c r="AB44" s="64" t="str">
        <f ca="1"/>
        <v/>
      </c>
    </row>
    <row r="45" spans="2:28">
      <c r="B45" s="62" t="str">
        <f ca="1"/>
        <v/>
      </c>
      <c r="C45" s="62" t="str">
        <f ca="1"/>
        <v/>
      </c>
      <c r="D45" s="64" t="str">
        <f ca="1"/>
        <v/>
      </c>
      <c r="E45" s="74" t="str">
        <f ca="1"/>
        <v/>
      </c>
      <c r="F45" s="62" t="str">
        <f ca="1"/>
        <v/>
      </c>
      <c r="G45" s="64" t="str">
        <f ca="1"/>
        <v/>
      </c>
      <c r="H45" s="64" t="str">
        <f ca="1"/>
        <v/>
      </c>
      <c r="I45" s="63" t="str">
        <f ca="1"/>
        <v/>
      </c>
      <c r="J45" s="65" t="str">
        <f ca="1"/>
        <v/>
      </c>
      <c r="K45" s="64" t="str">
        <f ca="1"/>
        <v/>
      </c>
      <c r="L45" s="66" t="str">
        <f ca="1"/>
        <v/>
      </c>
      <c r="M45" s="64" t="str">
        <f ca="1"/>
        <v/>
      </c>
      <c r="O45" s="62" t="str">
        <f ca="1"/>
        <v/>
      </c>
      <c r="P45" s="62" t="str">
        <f ca="1"/>
        <v/>
      </c>
      <c r="Q45" s="62" t="str">
        <f ca="1"/>
        <v/>
      </c>
      <c r="R45" s="64" t="str">
        <f ca="1"/>
        <v/>
      </c>
      <c r="S45" s="74" t="str">
        <f ca="1"/>
        <v/>
      </c>
      <c r="T45" s="62" t="str">
        <f ca="1"/>
        <v/>
      </c>
      <c r="U45" s="64" t="str">
        <f ca="1"/>
        <v/>
      </c>
      <c r="V45" s="64" t="str">
        <f ca="1"/>
        <v/>
      </c>
      <c r="W45" s="63" t="str">
        <f ca="1"/>
        <v/>
      </c>
      <c r="X45" s="63" t="str">
        <f ca="1"/>
        <v/>
      </c>
      <c r="Y45" s="101" t="str">
        <f ca="1"/>
        <v/>
      </c>
      <c r="Z45" s="64" t="str">
        <f ca="1"/>
        <v/>
      </c>
      <c r="AA45" s="66" t="str">
        <f ca="1"/>
        <v/>
      </c>
      <c r="AB45" s="64" t="str">
        <f ca="1"/>
        <v/>
      </c>
    </row>
    <row r="46" spans="2:28">
      <c r="B46" s="62" t="str">
        <f ca="1"/>
        <v/>
      </c>
      <c r="C46" s="62" t="str">
        <f ca="1"/>
        <v/>
      </c>
      <c r="D46" s="64" t="str">
        <f ca="1"/>
        <v/>
      </c>
      <c r="E46" s="74" t="str">
        <f ca="1"/>
        <v/>
      </c>
      <c r="F46" s="62" t="str">
        <f ca="1"/>
        <v/>
      </c>
      <c r="G46" s="64" t="str">
        <f ca="1"/>
        <v/>
      </c>
      <c r="H46" s="64" t="str">
        <f ca="1"/>
        <v/>
      </c>
      <c r="I46" s="63" t="str">
        <f ca="1"/>
        <v/>
      </c>
      <c r="J46" s="65" t="str">
        <f ca="1"/>
        <v/>
      </c>
      <c r="K46" s="64" t="str">
        <f ca="1"/>
        <v/>
      </c>
      <c r="L46" s="66" t="str">
        <f ca="1"/>
        <v/>
      </c>
      <c r="M46" s="64" t="str">
        <f ca="1"/>
        <v/>
      </c>
      <c r="O46" s="62" t="str">
        <f ca="1"/>
        <v/>
      </c>
      <c r="P46" s="62" t="str">
        <f ca="1"/>
        <v/>
      </c>
      <c r="Q46" s="62" t="str">
        <f ca="1"/>
        <v/>
      </c>
      <c r="R46" s="64" t="str">
        <f ca="1"/>
        <v/>
      </c>
      <c r="S46" s="74" t="str">
        <f ca="1"/>
        <v/>
      </c>
      <c r="T46" s="62" t="str">
        <f ca="1"/>
        <v/>
      </c>
      <c r="U46" s="64" t="str">
        <f ca="1"/>
        <v/>
      </c>
      <c r="V46" s="64" t="str">
        <f ca="1"/>
        <v/>
      </c>
      <c r="W46" s="63" t="str">
        <f ca="1"/>
        <v/>
      </c>
      <c r="X46" s="63" t="str">
        <f ca="1"/>
        <v/>
      </c>
      <c r="Y46" s="101" t="str">
        <f ca="1"/>
        <v/>
      </c>
      <c r="Z46" s="64" t="str">
        <f ca="1"/>
        <v/>
      </c>
      <c r="AA46" s="66" t="str">
        <f ca="1"/>
        <v/>
      </c>
      <c r="AB46" s="64" t="str">
        <f ca="1"/>
        <v/>
      </c>
    </row>
    <row r="47" spans="2:28">
      <c r="B47" s="62" t="str">
        <f ca="1"/>
        <v/>
      </c>
      <c r="C47" s="62" t="str">
        <f ca="1"/>
        <v/>
      </c>
      <c r="D47" s="64" t="str">
        <f ca="1"/>
        <v/>
      </c>
      <c r="E47" s="74" t="str">
        <f ca="1"/>
        <v/>
      </c>
      <c r="F47" s="62" t="str">
        <f ca="1"/>
        <v/>
      </c>
      <c r="G47" s="64" t="str">
        <f ca="1"/>
        <v/>
      </c>
      <c r="H47" s="64" t="str">
        <f ca="1"/>
        <v/>
      </c>
      <c r="I47" s="63" t="str">
        <f ca="1"/>
        <v/>
      </c>
      <c r="J47" s="65" t="str">
        <f ca="1"/>
        <v/>
      </c>
      <c r="K47" s="64" t="str">
        <f ca="1"/>
        <v/>
      </c>
      <c r="L47" s="66" t="str">
        <f ca="1"/>
        <v/>
      </c>
      <c r="M47" s="64" t="str">
        <f ca="1"/>
        <v/>
      </c>
      <c r="O47" s="62" t="str">
        <f ca="1"/>
        <v/>
      </c>
      <c r="P47" s="62" t="str">
        <f ca="1"/>
        <v/>
      </c>
      <c r="Q47" s="62" t="str">
        <f ca="1"/>
        <v/>
      </c>
      <c r="R47" s="64" t="str">
        <f ca="1"/>
        <v/>
      </c>
      <c r="S47" s="74" t="str">
        <f ca="1"/>
        <v/>
      </c>
      <c r="T47" s="62" t="str">
        <f ca="1"/>
        <v/>
      </c>
      <c r="U47" s="64" t="str">
        <f ca="1"/>
        <v/>
      </c>
      <c r="V47" s="64" t="str">
        <f ca="1"/>
        <v/>
      </c>
      <c r="W47" s="63" t="str">
        <f ca="1"/>
        <v/>
      </c>
      <c r="X47" s="63" t="str">
        <f ca="1"/>
        <v/>
      </c>
      <c r="Y47" s="101" t="str">
        <f ca="1"/>
        <v/>
      </c>
      <c r="Z47" s="64" t="str">
        <f ca="1"/>
        <v/>
      </c>
      <c r="AA47" s="66" t="str">
        <f ca="1"/>
        <v/>
      </c>
      <c r="AB47" s="64" t="str">
        <f ca="1"/>
        <v/>
      </c>
    </row>
    <row r="48" spans="2:28">
      <c r="B48" s="62" t="str">
        <f ca="1"/>
        <v/>
      </c>
      <c r="C48" s="62" t="str">
        <f ca="1"/>
        <v/>
      </c>
      <c r="D48" s="64" t="str">
        <f ca="1"/>
        <v/>
      </c>
      <c r="E48" s="74" t="str">
        <f ca="1"/>
        <v/>
      </c>
      <c r="F48" s="62" t="str">
        <f ca="1"/>
        <v/>
      </c>
      <c r="G48" s="64" t="str">
        <f ca="1"/>
        <v/>
      </c>
      <c r="H48" s="64" t="str">
        <f ca="1"/>
        <v/>
      </c>
      <c r="I48" s="63" t="str">
        <f ca="1"/>
        <v/>
      </c>
      <c r="J48" s="65" t="str">
        <f ca="1"/>
        <v/>
      </c>
      <c r="K48" s="64" t="str">
        <f ca="1"/>
        <v/>
      </c>
      <c r="L48" s="66" t="str">
        <f ca="1"/>
        <v/>
      </c>
      <c r="M48" s="64" t="str">
        <f ca="1"/>
        <v/>
      </c>
      <c r="O48" s="62" t="str">
        <f ca="1"/>
        <v/>
      </c>
      <c r="P48" s="62" t="str">
        <f ca="1"/>
        <v/>
      </c>
      <c r="Q48" s="62" t="str">
        <f ca="1"/>
        <v/>
      </c>
      <c r="R48" s="64" t="str">
        <f ca="1"/>
        <v/>
      </c>
      <c r="S48" s="74" t="str">
        <f ca="1"/>
        <v/>
      </c>
      <c r="T48" s="62" t="str">
        <f ca="1"/>
        <v/>
      </c>
      <c r="U48" s="64" t="str">
        <f ca="1"/>
        <v/>
      </c>
      <c r="V48" s="64" t="str">
        <f ca="1"/>
        <v/>
      </c>
      <c r="W48" s="63" t="str">
        <f ca="1"/>
        <v/>
      </c>
      <c r="X48" s="63" t="str">
        <f ca="1"/>
        <v/>
      </c>
      <c r="Y48" s="101" t="str">
        <f ca="1"/>
        <v/>
      </c>
      <c r="Z48" s="64" t="str">
        <f ca="1"/>
        <v/>
      </c>
      <c r="AA48" s="66" t="str">
        <f ca="1"/>
        <v/>
      </c>
      <c r="AB48" s="64" t="str">
        <f ca="1"/>
        <v/>
      </c>
    </row>
    <row r="49" spans="2:28">
      <c r="B49" s="62" t="str">
        <f ca="1"/>
        <v/>
      </c>
      <c r="C49" s="62" t="str">
        <f ca="1"/>
        <v/>
      </c>
      <c r="D49" s="64" t="str">
        <f ca="1"/>
        <v/>
      </c>
      <c r="E49" s="74" t="str">
        <f ca="1"/>
        <v/>
      </c>
      <c r="F49" s="62" t="str">
        <f ca="1"/>
        <v/>
      </c>
      <c r="G49" s="64" t="str">
        <f ca="1"/>
        <v/>
      </c>
      <c r="H49" s="64" t="str">
        <f ca="1"/>
        <v/>
      </c>
      <c r="I49" s="63" t="str">
        <f ca="1"/>
        <v/>
      </c>
      <c r="J49" s="65" t="str">
        <f ca="1"/>
        <v/>
      </c>
      <c r="K49" s="64" t="str">
        <f ca="1"/>
        <v/>
      </c>
      <c r="L49" s="66" t="str">
        <f ca="1"/>
        <v/>
      </c>
      <c r="M49" s="64" t="str">
        <f ca="1"/>
        <v/>
      </c>
      <c r="O49" s="62" t="str">
        <f ca="1"/>
        <v/>
      </c>
      <c r="P49" s="62" t="str">
        <f ca="1"/>
        <v/>
      </c>
      <c r="Q49" s="62" t="str">
        <f ca="1"/>
        <v/>
      </c>
      <c r="R49" s="64" t="str">
        <f ca="1"/>
        <v/>
      </c>
      <c r="S49" s="74" t="str">
        <f ca="1"/>
        <v/>
      </c>
      <c r="T49" s="62" t="str">
        <f ca="1"/>
        <v/>
      </c>
      <c r="U49" s="64" t="str">
        <f ca="1"/>
        <v/>
      </c>
      <c r="V49" s="64" t="str">
        <f ca="1"/>
        <v/>
      </c>
      <c r="W49" s="63" t="str">
        <f ca="1"/>
        <v/>
      </c>
      <c r="X49" s="63" t="str">
        <f ca="1"/>
        <v/>
      </c>
      <c r="Y49" s="101" t="str">
        <f ca="1"/>
        <v/>
      </c>
      <c r="Z49" s="64" t="str">
        <f ca="1"/>
        <v/>
      </c>
      <c r="AA49" s="66" t="str">
        <f ca="1"/>
        <v/>
      </c>
      <c r="AB49" s="64" t="str">
        <f ca="1"/>
        <v/>
      </c>
    </row>
    <row r="50" spans="2:28">
      <c r="B50" s="62" t="str">
        <f ca="1"/>
        <v/>
      </c>
      <c r="C50" s="62" t="str">
        <f ca="1"/>
        <v/>
      </c>
      <c r="D50" s="64" t="str">
        <f ca="1"/>
        <v/>
      </c>
      <c r="E50" s="74" t="str">
        <f ca="1"/>
        <v/>
      </c>
      <c r="F50" s="62" t="str">
        <f ca="1"/>
        <v/>
      </c>
      <c r="G50" s="64" t="str">
        <f ca="1"/>
        <v/>
      </c>
      <c r="H50" s="64" t="str">
        <f ca="1"/>
        <v/>
      </c>
      <c r="I50" s="63" t="str">
        <f ca="1"/>
        <v/>
      </c>
      <c r="J50" s="65" t="str">
        <f ca="1"/>
        <v/>
      </c>
      <c r="K50" s="64" t="str">
        <f ca="1"/>
        <v/>
      </c>
      <c r="L50" s="66" t="str">
        <f ca="1"/>
        <v/>
      </c>
      <c r="M50" s="64" t="str">
        <f ca="1"/>
        <v/>
      </c>
      <c r="O50" s="62" t="str">
        <f ca="1"/>
        <v/>
      </c>
      <c r="P50" s="62" t="str">
        <f ca="1"/>
        <v/>
      </c>
      <c r="Q50" s="62" t="str">
        <f ca="1"/>
        <v/>
      </c>
      <c r="R50" s="64" t="str">
        <f ca="1"/>
        <v/>
      </c>
      <c r="S50" s="74" t="str">
        <f ca="1"/>
        <v/>
      </c>
      <c r="T50" s="62" t="str">
        <f ca="1"/>
        <v/>
      </c>
      <c r="U50" s="64" t="str">
        <f ca="1"/>
        <v/>
      </c>
      <c r="V50" s="64" t="str">
        <f ca="1"/>
        <v/>
      </c>
      <c r="W50" s="63" t="str">
        <f ca="1"/>
        <v/>
      </c>
      <c r="X50" s="63" t="str">
        <f ca="1"/>
        <v/>
      </c>
      <c r="Y50" s="101" t="str">
        <f ca="1"/>
        <v/>
      </c>
      <c r="Z50" s="64" t="str">
        <f ca="1"/>
        <v/>
      </c>
      <c r="AA50" s="66" t="str">
        <f ca="1"/>
        <v/>
      </c>
      <c r="AB50" s="64" t="str">
        <f ca="1"/>
        <v/>
      </c>
    </row>
    <row r="51" spans="2:28">
      <c r="B51" s="67" t="str">
        <f ca="1"/>
        <v/>
      </c>
      <c r="C51" s="67" t="str">
        <f ca="1"/>
        <v/>
      </c>
      <c r="D51" s="69" t="str">
        <f ca="1"/>
        <v/>
      </c>
      <c r="E51" s="73" t="str">
        <f ca="1"/>
        <v/>
      </c>
      <c r="F51" s="67" t="str">
        <f ca="1"/>
        <v/>
      </c>
      <c r="G51" s="69" t="str">
        <f ca="1"/>
        <v/>
      </c>
      <c r="H51" s="69" t="str">
        <f ca="1"/>
        <v/>
      </c>
      <c r="I51" s="68" t="str">
        <f ca="1"/>
        <v/>
      </c>
      <c r="J51" s="70" t="str">
        <f ca="1"/>
        <v/>
      </c>
      <c r="K51" s="69" t="str">
        <f ca="1"/>
        <v/>
      </c>
      <c r="L51" s="71" t="str">
        <f ca="1"/>
        <v/>
      </c>
      <c r="M51" s="69" t="str">
        <f ca="1"/>
        <v/>
      </c>
      <c r="O51" s="67" t="str">
        <f ca="1"/>
        <v/>
      </c>
      <c r="P51" s="67" t="str">
        <f ca="1"/>
        <v/>
      </c>
      <c r="Q51" s="67" t="str">
        <f ca="1"/>
        <v/>
      </c>
      <c r="R51" s="69" t="str">
        <f ca="1"/>
        <v/>
      </c>
      <c r="S51" s="73" t="str">
        <f ca="1"/>
        <v/>
      </c>
      <c r="T51" s="67" t="str">
        <f ca="1"/>
        <v/>
      </c>
      <c r="U51" s="69" t="str">
        <f ca="1"/>
        <v/>
      </c>
      <c r="V51" s="69" t="str">
        <f ca="1"/>
        <v/>
      </c>
      <c r="W51" s="68" t="str">
        <f ca="1"/>
        <v/>
      </c>
      <c r="X51" s="68" t="str">
        <f ca="1"/>
        <v/>
      </c>
      <c r="Y51" s="102" t="str">
        <f ca="1"/>
        <v/>
      </c>
      <c r="Z51" s="69" t="str">
        <f ca="1"/>
        <v/>
      </c>
      <c r="AA51" s="66" t="str">
        <f ca="1"/>
        <v/>
      </c>
      <c r="AB51" s="64" t="str">
        <f ca="1"/>
        <v/>
      </c>
    </row>
    <row r="52" spans="2:28">
      <c r="B52" s="67" t="str">
        <f ca="1"/>
        <v/>
      </c>
      <c r="C52" s="67" t="str">
        <f ca="1"/>
        <v/>
      </c>
      <c r="D52" s="69" t="str">
        <f ca="1"/>
        <v/>
      </c>
      <c r="E52" s="73" t="str">
        <f ca="1"/>
        <v/>
      </c>
      <c r="F52" s="67" t="str">
        <f ca="1"/>
        <v/>
      </c>
      <c r="G52" s="69" t="str">
        <f ca="1"/>
        <v/>
      </c>
      <c r="H52" s="69" t="str">
        <f ca="1"/>
        <v/>
      </c>
      <c r="I52" s="68" t="str">
        <f ca="1"/>
        <v/>
      </c>
      <c r="J52" s="70" t="str">
        <f ca="1"/>
        <v/>
      </c>
      <c r="K52" s="69" t="str">
        <f ca="1"/>
        <v/>
      </c>
      <c r="L52" s="71" t="str">
        <f ca="1"/>
        <v/>
      </c>
      <c r="M52" s="69" t="str">
        <f ca="1"/>
        <v/>
      </c>
      <c r="O52" s="67" t="str">
        <f ca="1"/>
        <v/>
      </c>
      <c r="P52" s="67" t="str">
        <f ca="1"/>
        <v/>
      </c>
      <c r="Q52" s="67" t="str">
        <f ca="1"/>
        <v/>
      </c>
      <c r="R52" s="69" t="str">
        <f ca="1"/>
        <v/>
      </c>
      <c r="S52" s="73" t="str">
        <f ca="1"/>
        <v/>
      </c>
      <c r="T52" s="67" t="str">
        <f ca="1"/>
        <v/>
      </c>
      <c r="U52" s="69" t="str">
        <f ca="1"/>
        <v/>
      </c>
      <c r="V52" s="69" t="str">
        <f ca="1"/>
        <v/>
      </c>
      <c r="W52" s="68" t="str">
        <f ca="1"/>
        <v/>
      </c>
      <c r="X52" s="68" t="str">
        <f ca="1"/>
        <v/>
      </c>
      <c r="Y52" s="102" t="str">
        <f ca="1"/>
        <v/>
      </c>
      <c r="Z52" s="69" t="str">
        <f ca="1"/>
        <v/>
      </c>
      <c r="AA52" s="66" t="str">
        <f ca="1"/>
        <v/>
      </c>
      <c r="AB52" s="64" t="str">
        <f ca="1"/>
        <v/>
      </c>
    </row>
    <row r="53" spans="2:28">
      <c r="B53" s="67" t="str">
        <f ca="1"/>
        <v/>
      </c>
      <c r="C53" s="67" t="str">
        <f ca="1"/>
        <v/>
      </c>
      <c r="D53" s="69" t="str">
        <f ca="1"/>
        <v/>
      </c>
      <c r="E53" s="73" t="str">
        <f ca="1"/>
        <v/>
      </c>
      <c r="F53" s="67" t="str">
        <f ca="1"/>
        <v/>
      </c>
      <c r="G53" s="69" t="str">
        <f ca="1"/>
        <v/>
      </c>
      <c r="H53" s="69" t="str">
        <f ca="1"/>
        <v/>
      </c>
      <c r="I53" s="68" t="str">
        <f ca="1"/>
        <v/>
      </c>
      <c r="J53" s="70" t="str">
        <f ca="1"/>
        <v/>
      </c>
      <c r="K53" s="69" t="str">
        <f ca="1"/>
        <v/>
      </c>
      <c r="L53" s="71" t="str">
        <f ca="1"/>
        <v/>
      </c>
      <c r="M53" s="69" t="str">
        <f ca="1"/>
        <v/>
      </c>
      <c r="O53" s="67" t="str">
        <f ca="1"/>
        <v/>
      </c>
      <c r="P53" s="67" t="str">
        <f ca="1"/>
        <v/>
      </c>
      <c r="Q53" s="67" t="str">
        <f ca="1"/>
        <v/>
      </c>
      <c r="R53" s="69" t="str">
        <f ca="1"/>
        <v/>
      </c>
      <c r="S53" s="73" t="str">
        <f ca="1"/>
        <v/>
      </c>
      <c r="T53" s="67" t="str">
        <f ca="1"/>
        <v/>
      </c>
      <c r="U53" s="69" t="str">
        <f ca="1"/>
        <v/>
      </c>
      <c r="V53" s="69" t="str">
        <f ca="1"/>
        <v/>
      </c>
      <c r="W53" s="68" t="str">
        <f ca="1"/>
        <v/>
      </c>
      <c r="X53" s="68" t="str">
        <f ca="1"/>
        <v/>
      </c>
      <c r="Y53" s="102" t="str">
        <f ca="1"/>
        <v/>
      </c>
      <c r="Z53" s="69" t="str">
        <f ca="1"/>
        <v/>
      </c>
      <c r="AA53" s="66" t="str">
        <f ca="1"/>
        <v/>
      </c>
      <c r="AB53" s="64" t="str">
        <f ca="1"/>
        <v/>
      </c>
    </row>
    <row r="54" spans="2:28">
      <c r="B54" s="67" t="str">
        <f ca="1"/>
        <v/>
      </c>
      <c r="C54" s="67" t="str">
        <f ca="1"/>
        <v/>
      </c>
      <c r="D54" s="69" t="str">
        <f ca="1"/>
        <v/>
      </c>
      <c r="E54" s="73" t="str">
        <f ca="1"/>
        <v/>
      </c>
      <c r="F54" s="67" t="str">
        <f ca="1"/>
        <v/>
      </c>
      <c r="G54" s="69" t="str">
        <f ca="1"/>
        <v/>
      </c>
      <c r="H54" s="69" t="str">
        <f ca="1"/>
        <v/>
      </c>
      <c r="I54" s="68" t="str">
        <f ca="1"/>
        <v/>
      </c>
      <c r="J54" s="70" t="str">
        <f ca="1"/>
        <v/>
      </c>
      <c r="K54" s="69" t="str">
        <f ca="1"/>
        <v/>
      </c>
      <c r="L54" s="71" t="str">
        <f ca="1"/>
        <v/>
      </c>
      <c r="M54" s="69" t="str">
        <f ca="1"/>
        <v/>
      </c>
      <c r="O54" s="67" t="str">
        <f ca="1"/>
        <v/>
      </c>
      <c r="P54" s="67" t="str">
        <f ca="1"/>
        <v/>
      </c>
      <c r="Q54" s="67" t="str">
        <f ca="1"/>
        <v/>
      </c>
      <c r="R54" s="69" t="str">
        <f ca="1"/>
        <v/>
      </c>
      <c r="S54" s="73" t="str">
        <f ca="1"/>
        <v/>
      </c>
      <c r="T54" s="67" t="str">
        <f ca="1"/>
        <v/>
      </c>
      <c r="U54" s="69" t="str">
        <f ca="1"/>
        <v/>
      </c>
      <c r="V54" s="69" t="str">
        <f ca="1"/>
        <v/>
      </c>
      <c r="W54" s="68" t="str">
        <f ca="1"/>
        <v/>
      </c>
      <c r="X54" s="68" t="str">
        <f ca="1"/>
        <v/>
      </c>
      <c r="Y54" s="102" t="str">
        <f ca="1"/>
        <v/>
      </c>
      <c r="Z54" s="69" t="str">
        <f ca="1"/>
        <v/>
      </c>
      <c r="AA54" s="66" t="str">
        <f ca="1"/>
        <v/>
      </c>
      <c r="AB54" s="64" t="str">
        <f ca="1"/>
        <v/>
      </c>
    </row>
    <row r="55" spans="2:28">
      <c r="B55" s="67" t="str">
        <f ca="1"/>
        <v/>
      </c>
      <c r="C55" s="67" t="str">
        <f ca="1"/>
        <v/>
      </c>
      <c r="D55" s="69" t="str">
        <f ca="1"/>
        <v/>
      </c>
      <c r="E55" s="73" t="str">
        <f ca="1"/>
        <v/>
      </c>
      <c r="F55" s="67" t="str">
        <f ca="1"/>
        <v/>
      </c>
      <c r="G55" s="69" t="str">
        <f ca="1"/>
        <v/>
      </c>
      <c r="H55" s="69" t="str">
        <f ca="1"/>
        <v/>
      </c>
      <c r="I55" s="68" t="str">
        <f ca="1"/>
        <v/>
      </c>
      <c r="J55" s="70" t="str">
        <f ca="1"/>
        <v/>
      </c>
      <c r="K55" s="69" t="str">
        <f ca="1"/>
        <v/>
      </c>
      <c r="L55" s="71" t="str">
        <f ca="1"/>
        <v/>
      </c>
      <c r="M55" s="69" t="str">
        <f ca="1"/>
        <v/>
      </c>
      <c r="O55" s="67" t="str">
        <f ca="1"/>
        <v/>
      </c>
      <c r="P55" s="67" t="str">
        <f ca="1"/>
        <v/>
      </c>
      <c r="Q55" s="67" t="str">
        <f ca="1"/>
        <v/>
      </c>
      <c r="R55" s="69" t="str">
        <f ca="1"/>
        <v/>
      </c>
      <c r="S55" s="73" t="str">
        <f ca="1"/>
        <v/>
      </c>
      <c r="T55" s="67" t="str">
        <f ca="1"/>
        <v/>
      </c>
      <c r="U55" s="69" t="str">
        <f ca="1"/>
        <v/>
      </c>
      <c r="V55" s="69" t="str">
        <f ca="1"/>
        <v/>
      </c>
      <c r="W55" s="68" t="str">
        <f ca="1"/>
        <v/>
      </c>
      <c r="X55" s="68" t="str">
        <f ca="1"/>
        <v/>
      </c>
      <c r="Y55" s="102" t="str">
        <f ca="1"/>
        <v/>
      </c>
      <c r="Z55" s="69" t="str">
        <f ca="1"/>
        <v/>
      </c>
      <c r="AA55" s="66" t="str">
        <f ca="1"/>
        <v/>
      </c>
      <c r="AB55" s="64" t="str">
        <f ca="1"/>
        <v/>
      </c>
    </row>
    <row r="56" spans="2:28">
      <c r="B56" s="67" t="str">
        <f ca="1"/>
        <v/>
      </c>
      <c r="C56" s="67" t="str">
        <f ca="1"/>
        <v/>
      </c>
      <c r="D56" s="69" t="str">
        <f ca="1"/>
        <v/>
      </c>
      <c r="E56" s="73" t="str">
        <f ca="1"/>
        <v/>
      </c>
      <c r="F56" s="67" t="str">
        <f ca="1"/>
        <v/>
      </c>
      <c r="G56" s="69" t="str">
        <f ca="1"/>
        <v/>
      </c>
      <c r="H56" s="69" t="str">
        <f ca="1"/>
        <v/>
      </c>
      <c r="I56" s="68" t="str">
        <f ca="1"/>
        <v/>
      </c>
      <c r="J56" s="70" t="str">
        <f ca="1"/>
        <v/>
      </c>
      <c r="K56" s="69" t="str">
        <f ca="1"/>
        <v/>
      </c>
      <c r="L56" s="71" t="str">
        <f ca="1"/>
        <v/>
      </c>
      <c r="M56" s="69" t="str">
        <f ca="1"/>
        <v/>
      </c>
      <c r="O56" s="67" t="str">
        <f ca="1"/>
        <v/>
      </c>
      <c r="P56" s="67" t="str">
        <f ca="1"/>
        <v/>
      </c>
      <c r="Q56" s="67" t="str">
        <f ca="1"/>
        <v/>
      </c>
      <c r="R56" s="69" t="str">
        <f ca="1"/>
        <v/>
      </c>
      <c r="S56" s="73" t="str">
        <f ca="1"/>
        <v/>
      </c>
      <c r="T56" s="67" t="str">
        <f ca="1"/>
        <v/>
      </c>
      <c r="U56" s="69" t="str">
        <f ca="1"/>
        <v/>
      </c>
      <c r="V56" s="69" t="str">
        <f ca="1"/>
        <v/>
      </c>
      <c r="W56" s="68" t="str">
        <f ca="1"/>
        <v/>
      </c>
      <c r="X56" s="68" t="str">
        <f ca="1"/>
        <v/>
      </c>
      <c r="Y56" s="102" t="str">
        <f ca="1"/>
        <v/>
      </c>
      <c r="Z56" s="69" t="str">
        <f ca="1"/>
        <v/>
      </c>
      <c r="AA56" s="66" t="str">
        <f ca="1"/>
        <v/>
      </c>
      <c r="AB56" s="64" t="str">
        <f ca="1"/>
        <v/>
      </c>
    </row>
    <row r="57" spans="2:28">
      <c r="B57" s="67" t="str">
        <f ca="1"/>
        <v/>
      </c>
      <c r="C57" s="67" t="str">
        <f ca="1"/>
        <v/>
      </c>
      <c r="D57" s="69" t="str">
        <f ca="1"/>
        <v/>
      </c>
      <c r="E57" s="73" t="str">
        <f ca="1"/>
        <v/>
      </c>
      <c r="F57" s="67" t="str">
        <f ca="1"/>
        <v/>
      </c>
      <c r="G57" s="69" t="str">
        <f ca="1"/>
        <v/>
      </c>
      <c r="H57" s="69" t="str">
        <f ca="1"/>
        <v/>
      </c>
      <c r="I57" s="68" t="str">
        <f ca="1"/>
        <v/>
      </c>
      <c r="J57" s="70" t="str">
        <f ca="1"/>
        <v/>
      </c>
      <c r="K57" s="69" t="str">
        <f ca="1"/>
        <v/>
      </c>
      <c r="L57" s="71" t="str">
        <f ca="1"/>
        <v/>
      </c>
      <c r="M57" s="69" t="str">
        <f ca="1"/>
        <v/>
      </c>
      <c r="O57" s="67" t="str">
        <f ca="1"/>
        <v/>
      </c>
      <c r="P57" s="67" t="str">
        <f ca="1"/>
        <v/>
      </c>
      <c r="Q57" s="67" t="str">
        <f ca="1"/>
        <v/>
      </c>
      <c r="R57" s="69" t="str">
        <f ca="1"/>
        <v/>
      </c>
      <c r="S57" s="73" t="str">
        <f ca="1"/>
        <v/>
      </c>
      <c r="T57" s="67" t="str">
        <f ca="1"/>
        <v/>
      </c>
      <c r="U57" s="69" t="str">
        <f ca="1"/>
        <v/>
      </c>
      <c r="V57" s="69" t="str">
        <f ca="1"/>
        <v/>
      </c>
      <c r="W57" s="68" t="str">
        <f ca="1"/>
        <v/>
      </c>
      <c r="X57" s="68" t="str">
        <f ca="1"/>
        <v/>
      </c>
      <c r="Y57" s="102" t="str">
        <f ca="1"/>
        <v/>
      </c>
      <c r="Z57" s="69" t="str">
        <f ca="1"/>
        <v/>
      </c>
      <c r="AA57" s="66" t="str">
        <f ca="1"/>
        <v/>
      </c>
      <c r="AB57" s="64" t="str">
        <f ca="1"/>
        <v/>
      </c>
    </row>
    <row r="58" spans="2:28">
      <c r="B58" s="67" t="str">
        <f ca="1"/>
        <v/>
      </c>
      <c r="C58" s="67" t="str">
        <f ca="1"/>
        <v/>
      </c>
      <c r="D58" s="69" t="str">
        <f ca="1"/>
        <v/>
      </c>
      <c r="E58" s="73" t="str">
        <f ca="1"/>
        <v/>
      </c>
      <c r="F58" s="67" t="str">
        <f ca="1"/>
        <v/>
      </c>
      <c r="G58" s="69" t="str">
        <f ca="1"/>
        <v/>
      </c>
      <c r="H58" s="69" t="str">
        <f ca="1"/>
        <v/>
      </c>
      <c r="I58" s="68" t="str">
        <f ca="1"/>
        <v/>
      </c>
      <c r="J58" s="70" t="str">
        <f ca="1"/>
        <v/>
      </c>
      <c r="K58" s="69" t="str">
        <f ca="1"/>
        <v/>
      </c>
      <c r="L58" s="71" t="str">
        <f ca="1"/>
        <v/>
      </c>
      <c r="M58" s="69" t="str">
        <f ca="1"/>
        <v/>
      </c>
      <c r="O58" s="67" t="str">
        <f ca="1"/>
        <v/>
      </c>
      <c r="P58" s="67" t="str">
        <f ca="1"/>
        <v/>
      </c>
      <c r="Q58" s="67" t="str">
        <f ca="1"/>
        <v/>
      </c>
      <c r="R58" s="69" t="str">
        <f ca="1"/>
        <v/>
      </c>
      <c r="S58" s="73" t="str">
        <f ca="1"/>
        <v/>
      </c>
      <c r="T58" s="67" t="str">
        <f ca="1"/>
        <v/>
      </c>
      <c r="U58" s="69" t="str">
        <f ca="1"/>
        <v/>
      </c>
      <c r="V58" s="69" t="str">
        <f ca="1"/>
        <v/>
      </c>
      <c r="W58" s="68" t="str">
        <f ca="1"/>
        <v/>
      </c>
      <c r="X58" s="68" t="str">
        <f ca="1"/>
        <v/>
      </c>
      <c r="Y58" s="102" t="str">
        <f ca="1"/>
        <v/>
      </c>
      <c r="Z58" s="69" t="str">
        <f ca="1"/>
        <v/>
      </c>
      <c r="AA58" s="66" t="str">
        <f ca="1"/>
        <v/>
      </c>
      <c r="AB58" s="64" t="str">
        <f ca="1"/>
        <v/>
      </c>
    </row>
    <row r="59" spans="2:28">
      <c r="B59" s="67" t="str">
        <f ca="1"/>
        <v/>
      </c>
      <c r="C59" s="67" t="str">
        <f ca="1"/>
        <v/>
      </c>
      <c r="D59" s="69" t="str">
        <f ca="1"/>
        <v/>
      </c>
      <c r="E59" s="73" t="str">
        <f ca="1"/>
        <v/>
      </c>
      <c r="F59" s="67" t="str">
        <f ca="1"/>
        <v/>
      </c>
      <c r="G59" s="69" t="str">
        <f ca="1"/>
        <v/>
      </c>
      <c r="H59" s="69" t="str">
        <f ca="1"/>
        <v/>
      </c>
      <c r="I59" s="68" t="str">
        <f ca="1"/>
        <v/>
      </c>
      <c r="J59" s="70" t="str">
        <f ca="1"/>
        <v/>
      </c>
      <c r="K59" s="69" t="str">
        <f ca="1"/>
        <v/>
      </c>
      <c r="L59" s="71" t="str">
        <f ca="1"/>
        <v/>
      </c>
      <c r="M59" s="69" t="str">
        <f ca="1"/>
        <v/>
      </c>
      <c r="O59" s="67" t="str">
        <f ca="1"/>
        <v/>
      </c>
      <c r="P59" s="67" t="str">
        <f ca="1"/>
        <v/>
      </c>
      <c r="Q59" s="67" t="str">
        <f ca="1"/>
        <v/>
      </c>
      <c r="R59" s="69" t="str">
        <f ca="1"/>
        <v/>
      </c>
      <c r="S59" s="73" t="str">
        <f ca="1"/>
        <v/>
      </c>
      <c r="T59" s="67" t="str">
        <f ca="1"/>
        <v/>
      </c>
      <c r="U59" s="69" t="str">
        <f ca="1"/>
        <v/>
      </c>
      <c r="V59" s="69" t="str">
        <f ca="1"/>
        <v/>
      </c>
      <c r="W59" s="68" t="str">
        <f ca="1"/>
        <v/>
      </c>
      <c r="X59" s="68" t="str">
        <f ca="1"/>
        <v/>
      </c>
      <c r="Y59" s="102" t="str">
        <f ca="1"/>
        <v/>
      </c>
      <c r="Z59" s="69" t="str">
        <f ca="1"/>
        <v/>
      </c>
      <c r="AA59" s="66" t="str">
        <f ca="1"/>
        <v/>
      </c>
      <c r="AB59" s="64" t="str">
        <f ca="1"/>
        <v/>
      </c>
    </row>
    <row r="60" spans="2:28">
      <c r="B60" s="67" t="str">
        <f ca="1"/>
        <v/>
      </c>
      <c r="C60" s="67" t="str">
        <f ca="1"/>
        <v/>
      </c>
      <c r="D60" s="69" t="str">
        <f ca="1"/>
        <v/>
      </c>
      <c r="E60" s="73" t="str">
        <f ca="1"/>
        <v/>
      </c>
      <c r="F60" s="67" t="str">
        <f ca="1"/>
        <v/>
      </c>
      <c r="G60" s="69" t="str">
        <f ca="1"/>
        <v/>
      </c>
      <c r="H60" s="69" t="str">
        <f ca="1"/>
        <v/>
      </c>
      <c r="I60" s="68" t="str">
        <f ca="1"/>
        <v/>
      </c>
      <c r="J60" s="70" t="str">
        <f ca="1"/>
        <v/>
      </c>
      <c r="K60" s="69" t="str">
        <f ca="1"/>
        <v/>
      </c>
      <c r="L60" s="71" t="str">
        <f ca="1"/>
        <v/>
      </c>
      <c r="M60" s="69" t="str">
        <f ca="1"/>
        <v/>
      </c>
      <c r="O60" s="67" t="str">
        <f ca="1"/>
        <v/>
      </c>
      <c r="P60" s="67" t="str">
        <f ca="1"/>
        <v/>
      </c>
      <c r="Q60" s="67" t="str">
        <f ca="1"/>
        <v/>
      </c>
      <c r="R60" s="69" t="str">
        <f ca="1"/>
        <v/>
      </c>
      <c r="S60" s="73" t="str">
        <f ca="1"/>
        <v/>
      </c>
      <c r="T60" s="67" t="str">
        <f ca="1"/>
        <v/>
      </c>
      <c r="U60" s="69" t="str">
        <f ca="1"/>
        <v/>
      </c>
      <c r="V60" s="69" t="str">
        <f ca="1"/>
        <v/>
      </c>
      <c r="W60" s="68" t="str">
        <f ca="1"/>
        <v/>
      </c>
      <c r="X60" s="68" t="str">
        <f ca="1"/>
        <v/>
      </c>
      <c r="Y60" s="102" t="str">
        <f ca="1"/>
        <v/>
      </c>
      <c r="Z60" s="69" t="str">
        <f ca="1"/>
        <v/>
      </c>
      <c r="AA60" s="66" t="str">
        <f ca="1"/>
        <v/>
      </c>
      <c r="AB60" s="64" t="str">
        <f ca="1"/>
        <v/>
      </c>
    </row>
    <row r="61" spans="2:28">
      <c r="B61" s="67" t="str">
        <f ca="1"/>
        <v/>
      </c>
      <c r="C61" s="67" t="str">
        <f ca="1"/>
        <v/>
      </c>
      <c r="D61" s="69" t="str">
        <f ca="1"/>
        <v/>
      </c>
      <c r="E61" s="73" t="str">
        <f ca="1"/>
        <v/>
      </c>
      <c r="F61" s="67" t="str">
        <f ca="1"/>
        <v/>
      </c>
      <c r="G61" s="69" t="str">
        <f ca="1"/>
        <v/>
      </c>
      <c r="H61" s="69" t="str">
        <f ca="1"/>
        <v/>
      </c>
      <c r="I61" s="68" t="str">
        <f ca="1"/>
        <v/>
      </c>
      <c r="J61" s="70" t="str">
        <f ca="1"/>
        <v/>
      </c>
      <c r="K61" s="69" t="str">
        <f ca="1"/>
        <v/>
      </c>
      <c r="L61" s="71" t="str">
        <f ca="1"/>
        <v/>
      </c>
      <c r="M61" s="69" t="str">
        <f ca="1"/>
        <v/>
      </c>
      <c r="O61" s="67" t="str">
        <f ca="1"/>
        <v/>
      </c>
      <c r="P61" s="67" t="str">
        <f ca="1"/>
        <v/>
      </c>
      <c r="Q61" s="67" t="str">
        <f ca="1"/>
        <v/>
      </c>
      <c r="R61" s="69" t="str">
        <f ca="1"/>
        <v/>
      </c>
      <c r="S61" s="73" t="str">
        <f ca="1"/>
        <v/>
      </c>
      <c r="T61" s="67" t="str">
        <f ca="1"/>
        <v/>
      </c>
      <c r="U61" s="69" t="str">
        <f ca="1"/>
        <v/>
      </c>
      <c r="V61" s="69" t="str">
        <f ca="1"/>
        <v/>
      </c>
      <c r="W61" s="68" t="str">
        <f ca="1"/>
        <v/>
      </c>
      <c r="X61" s="68" t="str">
        <f ca="1"/>
        <v/>
      </c>
      <c r="Y61" s="102" t="str">
        <f ca="1"/>
        <v/>
      </c>
      <c r="Z61" s="69" t="str">
        <f ca="1"/>
        <v/>
      </c>
      <c r="AA61" s="66" t="str">
        <f ca="1"/>
        <v/>
      </c>
      <c r="AB61" s="64" t="str">
        <f ca="1"/>
        <v/>
      </c>
    </row>
    <row r="62" spans="2:28">
      <c r="B62" s="67" t="str">
        <f ca="1"/>
        <v/>
      </c>
      <c r="C62" s="67" t="str">
        <f ca="1"/>
        <v/>
      </c>
      <c r="D62" s="69" t="str">
        <f ca="1"/>
        <v/>
      </c>
      <c r="E62" s="73" t="str">
        <f ca="1"/>
        <v/>
      </c>
      <c r="F62" s="67" t="str">
        <f ca="1"/>
        <v/>
      </c>
      <c r="G62" s="69" t="str">
        <f ca="1"/>
        <v/>
      </c>
      <c r="H62" s="69" t="str">
        <f ca="1"/>
        <v/>
      </c>
      <c r="I62" s="68" t="str">
        <f ca="1"/>
        <v/>
      </c>
      <c r="J62" s="70" t="str">
        <f ca="1"/>
        <v/>
      </c>
      <c r="K62" s="69" t="str">
        <f ca="1"/>
        <v/>
      </c>
      <c r="L62" s="71" t="str">
        <f ca="1"/>
        <v/>
      </c>
      <c r="M62" s="69" t="str">
        <f ca="1"/>
        <v/>
      </c>
      <c r="O62" s="67" t="str">
        <f ca="1"/>
        <v/>
      </c>
      <c r="P62" s="67" t="str">
        <f ca="1"/>
        <v/>
      </c>
      <c r="Q62" s="67" t="str">
        <f ca="1"/>
        <v/>
      </c>
      <c r="R62" s="69" t="str">
        <f ca="1"/>
        <v/>
      </c>
      <c r="S62" s="73" t="str">
        <f ca="1"/>
        <v/>
      </c>
      <c r="T62" s="67" t="str">
        <f ca="1"/>
        <v/>
      </c>
      <c r="U62" s="69" t="str">
        <f ca="1"/>
        <v/>
      </c>
      <c r="V62" s="69" t="str">
        <f ca="1"/>
        <v/>
      </c>
      <c r="W62" s="68" t="str">
        <f ca="1"/>
        <v/>
      </c>
      <c r="X62" s="68" t="str">
        <f ca="1"/>
        <v/>
      </c>
      <c r="Y62" s="102" t="str">
        <f ca="1"/>
        <v/>
      </c>
      <c r="Z62" s="69" t="str">
        <f ca="1"/>
        <v/>
      </c>
      <c r="AA62" s="66" t="str">
        <f ca="1"/>
        <v/>
      </c>
      <c r="AB62" s="64" t="str">
        <f ca="1"/>
        <v/>
      </c>
    </row>
    <row r="63" spans="2:28">
      <c r="B63" s="67" t="str">
        <f ca="1"/>
        <v/>
      </c>
      <c r="C63" s="67" t="str">
        <f ca="1"/>
        <v/>
      </c>
      <c r="D63" s="69" t="str">
        <f ca="1"/>
        <v/>
      </c>
      <c r="E63" s="73" t="str">
        <f ca="1"/>
        <v/>
      </c>
      <c r="F63" s="67" t="str">
        <f ca="1"/>
        <v/>
      </c>
      <c r="G63" s="69" t="str">
        <f ca="1"/>
        <v/>
      </c>
      <c r="H63" s="69" t="str">
        <f ca="1"/>
        <v/>
      </c>
      <c r="I63" s="68" t="str">
        <f ca="1"/>
        <v/>
      </c>
      <c r="J63" s="70" t="str">
        <f ca="1"/>
        <v/>
      </c>
      <c r="K63" s="69" t="str">
        <f ca="1"/>
        <v/>
      </c>
      <c r="L63" s="71" t="str">
        <f ca="1"/>
        <v/>
      </c>
      <c r="M63" s="69" t="str">
        <f ca="1"/>
        <v/>
      </c>
      <c r="O63" s="67" t="str">
        <f ca="1"/>
        <v/>
      </c>
      <c r="P63" s="67" t="str">
        <f ca="1"/>
        <v/>
      </c>
      <c r="Q63" s="67" t="str">
        <f ca="1"/>
        <v/>
      </c>
      <c r="R63" s="69" t="str">
        <f ca="1"/>
        <v/>
      </c>
      <c r="S63" s="73" t="str">
        <f ca="1"/>
        <v/>
      </c>
      <c r="T63" s="67" t="str">
        <f ca="1"/>
        <v/>
      </c>
      <c r="U63" s="69" t="str">
        <f ca="1"/>
        <v/>
      </c>
      <c r="V63" s="69" t="str">
        <f ca="1"/>
        <v/>
      </c>
      <c r="W63" s="68" t="str">
        <f ca="1"/>
        <v/>
      </c>
      <c r="X63" s="68" t="str">
        <f ca="1"/>
        <v/>
      </c>
      <c r="Y63" s="102" t="str">
        <f ca="1"/>
        <v/>
      </c>
      <c r="Z63" s="69" t="str">
        <f ca="1"/>
        <v/>
      </c>
      <c r="AA63" s="66" t="str">
        <f ca="1"/>
        <v/>
      </c>
      <c r="AB63" s="64" t="str">
        <f ca="1"/>
        <v/>
      </c>
    </row>
    <row r="64" spans="2:28">
      <c r="B64" s="67" t="str">
        <f ca="1"/>
        <v/>
      </c>
      <c r="C64" s="67" t="str">
        <f ca="1"/>
        <v/>
      </c>
      <c r="D64" s="69" t="str">
        <f ca="1"/>
        <v/>
      </c>
      <c r="E64" s="73" t="str">
        <f ca="1"/>
        <v/>
      </c>
      <c r="F64" s="67" t="str">
        <f ca="1"/>
        <v/>
      </c>
      <c r="G64" s="69" t="str">
        <f ca="1"/>
        <v/>
      </c>
      <c r="H64" s="69" t="str">
        <f ca="1"/>
        <v/>
      </c>
      <c r="I64" s="68" t="str">
        <f ca="1"/>
        <v/>
      </c>
      <c r="J64" s="70" t="str">
        <f ca="1"/>
        <v/>
      </c>
      <c r="K64" s="69" t="str">
        <f ca="1"/>
        <v/>
      </c>
      <c r="L64" s="71" t="str">
        <f ca="1"/>
        <v/>
      </c>
      <c r="M64" s="69" t="str">
        <f ca="1"/>
        <v/>
      </c>
      <c r="O64" s="67" t="str">
        <f ca="1"/>
        <v/>
      </c>
      <c r="P64" s="67" t="str">
        <f ca="1"/>
        <v/>
      </c>
      <c r="Q64" s="67" t="str">
        <f ca="1"/>
        <v/>
      </c>
      <c r="R64" s="69" t="str">
        <f ca="1"/>
        <v/>
      </c>
      <c r="S64" s="73" t="str">
        <f ca="1"/>
        <v/>
      </c>
      <c r="T64" s="67" t="str">
        <f ca="1"/>
        <v/>
      </c>
      <c r="U64" s="69" t="str">
        <f ca="1"/>
        <v/>
      </c>
      <c r="V64" s="69" t="str">
        <f ca="1"/>
        <v/>
      </c>
      <c r="W64" s="68" t="str">
        <f ca="1"/>
        <v/>
      </c>
      <c r="X64" s="68" t="str">
        <f ca="1"/>
        <v/>
      </c>
      <c r="Y64" s="102" t="str">
        <f ca="1"/>
        <v/>
      </c>
      <c r="Z64" s="69" t="str">
        <f ca="1"/>
        <v/>
      </c>
      <c r="AA64" s="66" t="str">
        <f ca="1"/>
        <v/>
      </c>
      <c r="AB64" s="64" t="str">
        <f ca="1"/>
        <v/>
      </c>
    </row>
    <row r="65" spans="2:28">
      <c r="B65" s="67" t="str">
        <f ca="1"/>
        <v/>
      </c>
      <c r="C65" s="67" t="str">
        <f ca="1"/>
        <v/>
      </c>
      <c r="D65" s="69" t="str">
        <f ca="1"/>
        <v/>
      </c>
      <c r="E65" s="73" t="str">
        <f ca="1"/>
        <v/>
      </c>
      <c r="F65" s="67" t="str">
        <f ca="1"/>
        <v/>
      </c>
      <c r="G65" s="69" t="str">
        <f ca="1"/>
        <v/>
      </c>
      <c r="H65" s="69" t="str">
        <f ca="1"/>
        <v/>
      </c>
      <c r="I65" s="68" t="str">
        <f ca="1"/>
        <v/>
      </c>
      <c r="J65" s="70" t="str">
        <f ca="1"/>
        <v/>
      </c>
      <c r="K65" s="69" t="str">
        <f ca="1"/>
        <v/>
      </c>
      <c r="L65" s="71" t="str">
        <f ca="1"/>
        <v/>
      </c>
      <c r="M65" s="69" t="str">
        <f ca="1"/>
        <v/>
      </c>
      <c r="O65" s="67" t="str">
        <f ca="1"/>
        <v/>
      </c>
      <c r="P65" s="67" t="str">
        <f ca="1"/>
        <v/>
      </c>
      <c r="Q65" s="67" t="str">
        <f ca="1"/>
        <v/>
      </c>
      <c r="R65" s="69" t="str">
        <f ca="1"/>
        <v/>
      </c>
      <c r="S65" s="73" t="str">
        <f ca="1"/>
        <v/>
      </c>
      <c r="T65" s="67" t="str">
        <f ca="1"/>
        <v/>
      </c>
      <c r="U65" s="69" t="str">
        <f ca="1"/>
        <v/>
      </c>
      <c r="V65" s="69" t="str">
        <f ca="1"/>
        <v/>
      </c>
      <c r="W65" s="68" t="str">
        <f ca="1"/>
        <v/>
      </c>
      <c r="X65" s="68" t="str">
        <f ca="1"/>
        <v/>
      </c>
      <c r="Y65" s="102" t="str">
        <f ca="1"/>
        <v/>
      </c>
      <c r="Z65" s="69" t="str">
        <f ca="1"/>
        <v/>
      </c>
      <c r="AA65" s="66" t="str">
        <f ca="1"/>
        <v/>
      </c>
      <c r="AB65" s="64" t="str">
        <f ca="1"/>
        <v/>
      </c>
    </row>
    <row r="66" spans="2:28">
      <c r="B66" s="67" t="str">
        <f ca="1"/>
        <v/>
      </c>
      <c r="C66" s="67" t="str">
        <f ca="1"/>
        <v/>
      </c>
      <c r="D66" s="69" t="str">
        <f ca="1"/>
        <v/>
      </c>
      <c r="E66" s="73" t="str">
        <f ca="1"/>
        <v/>
      </c>
      <c r="F66" s="67" t="str">
        <f ca="1"/>
        <v/>
      </c>
      <c r="G66" s="69" t="str">
        <f ca="1"/>
        <v/>
      </c>
      <c r="H66" s="69" t="str">
        <f ca="1"/>
        <v/>
      </c>
      <c r="I66" s="68" t="str">
        <f ca="1"/>
        <v/>
      </c>
      <c r="J66" s="70" t="str">
        <f ca="1"/>
        <v/>
      </c>
      <c r="K66" s="69" t="str">
        <f ca="1"/>
        <v/>
      </c>
      <c r="L66" s="71" t="str">
        <f ca="1"/>
        <v/>
      </c>
      <c r="M66" s="69" t="str">
        <f ca="1"/>
        <v/>
      </c>
      <c r="O66" s="67" t="str">
        <f ca="1"/>
        <v/>
      </c>
      <c r="P66" s="67" t="str">
        <f ca="1"/>
        <v/>
      </c>
      <c r="Q66" s="67" t="str">
        <f ca="1"/>
        <v/>
      </c>
      <c r="R66" s="69" t="str">
        <f ca="1"/>
        <v/>
      </c>
      <c r="S66" s="73" t="str">
        <f ca="1"/>
        <v/>
      </c>
      <c r="T66" s="67" t="str">
        <f ca="1"/>
        <v/>
      </c>
      <c r="U66" s="69" t="str">
        <f ca="1"/>
        <v/>
      </c>
      <c r="V66" s="69" t="str">
        <f ca="1"/>
        <v/>
      </c>
      <c r="W66" s="68" t="str">
        <f ca="1"/>
        <v/>
      </c>
      <c r="X66" s="68" t="str">
        <f ca="1"/>
        <v/>
      </c>
      <c r="Y66" s="102" t="str">
        <f ca="1"/>
        <v/>
      </c>
      <c r="Z66" s="69" t="str">
        <f ca="1"/>
        <v/>
      </c>
      <c r="AA66" s="66" t="str">
        <f ca="1"/>
        <v/>
      </c>
      <c r="AB66" s="64" t="str">
        <f ca="1"/>
        <v/>
      </c>
    </row>
    <row r="67" spans="2:28">
      <c r="B67" s="67" t="str">
        <f ca="1"/>
        <v/>
      </c>
      <c r="C67" s="67" t="str">
        <f ca="1"/>
        <v/>
      </c>
      <c r="D67" s="69" t="str">
        <f ca="1"/>
        <v/>
      </c>
      <c r="E67" s="73" t="str">
        <f ca="1"/>
        <v/>
      </c>
      <c r="F67" s="67" t="str">
        <f ca="1"/>
        <v/>
      </c>
      <c r="G67" s="69" t="str">
        <f ca="1"/>
        <v/>
      </c>
      <c r="H67" s="69" t="str">
        <f ca="1"/>
        <v/>
      </c>
      <c r="I67" s="68" t="str">
        <f ca="1"/>
        <v/>
      </c>
      <c r="J67" s="70" t="str">
        <f ca="1"/>
        <v/>
      </c>
      <c r="K67" s="69" t="str">
        <f ca="1"/>
        <v/>
      </c>
      <c r="L67" s="71" t="str">
        <f ca="1"/>
        <v/>
      </c>
      <c r="M67" s="69" t="str">
        <f ca="1"/>
        <v/>
      </c>
      <c r="O67" s="67" t="str">
        <f ca="1"/>
        <v/>
      </c>
      <c r="P67" s="67" t="str">
        <f ca="1"/>
        <v/>
      </c>
      <c r="Q67" s="67" t="str">
        <f ca="1"/>
        <v/>
      </c>
      <c r="R67" s="69" t="str">
        <f ca="1"/>
        <v/>
      </c>
      <c r="S67" s="73" t="str">
        <f ca="1"/>
        <v/>
      </c>
      <c r="T67" s="67" t="str">
        <f ca="1"/>
        <v/>
      </c>
      <c r="U67" s="69" t="str">
        <f ca="1"/>
        <v/>
      </c>
      <c r="V67" s="69" t="str">
        <f ca="1"/>
        <v/>
      </c>
      <c r="W67" s="68" t="str">
        <f ca="1"/>
        <v/>
      </c>
      <c r="X67" s="68" t="str">
        <f ca="1"/>
        <v/>
      </c>
      <c r="Y67" s="102" t="str">
        <f ca="1"/>
        <v/>
      </c>
      <c r="Z67" s="69" t="str">
        <f ca="1"/>
        <v/>
      </c>
      <c r="AA67" s="66" t="str">
        <f ca="1"/>
        <v/>
      </c>
      <c r="AB67" s="64" t="str">
        <f ca="1"/>
        <v/>
      </c>
    </row>
    <row r="68" spans="2:28">
      <c r="B68" s="67" t="str">
        <f ca="1"/>
        <v/>
      </c>
      <c r="C68" s="67" t="str">
        <f ca="1"/>
        <v/>
      </c>
      <c r="D68" s="69" t="str">
        <f ca="1"/>
        <v/>
      </c>
      <c r="E68" s="73" t="str">
        <f ca="1"/>
        <v/>
      </c>
      <c r="F68" s="67" t="str">
        <f ca="1"/>
        <v/>
      </c>
      <c r="G68" s="69" t="str">
        <f ca="1"/>
        <v/>
      </c>
      <c r="H68" s="69" t="str">
        <f ca="1"/>
        <v/>
      </c>
      <c r="I68" s="68" t="str">
        <f ca="1"/>
        <v/>
      </c>
      <c r="J68" s="70" t="str">
        <f ca="1"/>
        <v/>
      </c>
      <c r="K68" s="69" t="str">
        <f ca="1"/>
        <v/>
      </c>
      <c r="L68" s="71" t="str">
        <f ca="1"/>
        <v/>
      </c>
      <c r="M68" s="69" t="str">
        <f ca="1"/>
        <v/>
      </c>
      <c r="O68" s="67" t="str">
        <f ca="1"/>
        <v/>
      </c>
      <c r="P68" s="67" t="str">
        <f ca="1"/>
        <v/>
      </c>
      <c r="Q68" s="67" t="str">
        <f ca="1"/>
        <v/>
      </c>
      <c r="R68" s="69" t="str">
        <f ca="1"/>
        <v/>
      </c>
      <c r="S68" s="73" t="str">
        <f ca="1"/>
        <v/>
      </c>
      <c r="T68" s="67" t="str">
        <f ca="1"/>
        <v/>
      </c>
      <c r="U68" s="69" t="str">
        <f ca="1"/>
        <v/>
      </c>
      <c r="V68" s="69" t="str">
        <f ca="1"/>
        <v/>
      </c>
      <c r="W68" s="68" t="str">
        <f ca="1"/>
        <v/>
      </c>
      <c r="X68" s="68" t="str">
        <f ca="1"/>
        <v/>
      </c>
      <c r="Y68" s="102" t="str">
        <f ca="1"/>
        <v/>
      </c>
      <c r="Z68" s="69" t="str">
        <f ca="1"/>
        <v/>
      </c>
      <c r="AA68" s="66" t="str">
        <f ca="1"/>
        <v/>
      </c>
      <c r="AB68" s="64" t="str">
        <f ca="1"/>
        <v/>
      </c>
    </row>
    <row r="69" spans="2:28">
      <c r="B69" s="67" t="str">
        <f ca="1"/>
        <v/>
      </c>
      <c r="C69" s="67" t="str">
        <f ca="1"/>
        <v/>
      </c>
      <c r="D69" s="69" t="str">
        <f ca="1"/>
        <v/>
      </c>
      <c r="E69" s="73" t="str">
        <f ca="1"/>
        <v/>
      </c>
      <c r="F69" s="67" t="str">
        <f ca="1"/>
        <v/>
      </c>
      <c r="G69" s="69" t="str">
        <f ca="1"/>
        <v/>
      </c>
      <c r="H69" s="69" t="str">
        <f ca="1"/>
        <v/>
      </c>
      <c r="I69" s="68" t="str">
        <f ca="1"/>
        <v/>
      </c>
      <c r="J69" s="70" t="str">
        <f ca="1"/>
        <v/>
      </c>
      <c r="K69" s="69" t="str">
        <f ca="1"/>
        <v/>
      </c>
      <c r="L69" s="71" t="str">
        <f ca="1"/>
        <v/>
      </c>
      <c r="M69" s="69" t="str">
        <f ca="1"/>
        <v/>
      </c>
      <c r="O69" s="67" t="str">
        <f ca="1"/>
        <v/>
      </c>
      <c r="P69" s="67" t="str">
        <f ca="1"/>
        <v/>
      </c>
      <c r="Q69" s="67" t="str">
        <f ca="1"/>
        <v/>
      </c>
      <c r="R69" s="69" t="str">
        <f ca="1"/>
        <v/>
      </c>
      <c r="S69" s="73" t="str">
        <f ca="1"/>
        <v/>
      </c>
      <c r="T69" s="67" t="str">
        <f ca="1"/>
        <v/>
      </c>
      <c r="U69" s="69" t="str">
        <f ca="1"/>
        <v/>
      </c>
      <c r="V69" s="69" t="str">
        <f ca="1"/>
        <v/>
      </c>
      <c r="W69" s="68" t="str">
        <f ca="1"/>
        <v/>
      </c>
      <c r="X69" s="68" t="str">
        <f ca="1"/>
        <v/>
      </c>
      <c r="Y69" s="102" t="str">
        <f ca="1"/>
        <v/>
      </c>
      <c r="Z69" s="69" t="str">
        <f ca="1"/>
        <v/>
      </c>
      <c r="AA69" s="66" t="str">
        <f ca="1"/>
        <v/>
      </c>
      <c r="AB69" s="64" t="str">
        <f ca="1"/>
        <v/>
      </c>
    </row>
    <row r="70" spans="2:28">
      <c r="B70" s="67" t="str">
        <f ca="1"/>
        <v/>
      </c>
      <c r="C70" s="67" t="str">
        <f ca="1"/>
        <v/>
      </c>
      <c r="D70" s="69" t="str">
        <f ca="1"/>
        <v/>
      </c>
      <c r="E70" s="73" t="str">
        <f ca="1"/>
        <v/>
      </c>
      <c r="F70" s="67" t="str">
        <f ca="1"/>
        <v/>
      </c>
      <c r="G70" s="69" t="str">
        <f ca="1"/>
        <v/>
      </c>
      <c r="H70" s="69" t="str">
        <f ca="1"/>
        <v/>
      </c>
      <c r="I70" s="68" t="str">
        <f ca="1"/>
        <v/>
      </c>
      <c r="J70" s="70" t="str">
        <f ca="1"/>
        <v/>
      </c>
      <c r="K70" s="69" t="str">
        <f ca="1"/>
        <v/>
      </c>
      <c r="L70" s="71" t="str">
        <f ca="1"/>
        <v/>
      </c>
      <c r="M70" s="69" t="str">
        <f ca="1"/>
        <v/>
      </c>
      <c r="O70" s="67" t="str">
        <f ca="1"/>
        <v/>
      </c>
      <c r="P70" s="67" t="str">
        <f ca="1"/>
        <v/>
      </c>
      <c r="Q70" s="67" t="str">
        <f ca="1"/>
        <v/>
      </c>
      <c r="R70" s="69" t="str">
        <f ca="1"/>
        <v/>
      </c>
      <c r="S70" s="73" t="str">
        <f ca="1"/>
        <v/>
      </c>
      <c r="T70" s="67" t="str">
        <f ca="1"/>
        <v/>
      </c>
      <c r="U70" s="69" t="str">
        <f ca="1"/>
        <v/>
      </c>
      <c r="V70" s="69" t="str">
        <f ca="1"/>
        <v/>
      </c>
      <c r="W70" s="68" t="str">
        <f ca="1"/>
        <v/>
      </c>
      <c r="X70" s="68" t="str">
        <f ca="1"/>
        <v/>
      </c>
      <c r="Y70" s="102" t="str">
        <f ca="1"/>
        <v/>
      </c>
      <c r="Z70" s="69" t="str">
        <f ca="1"/>
        <v/>
      </c>
      <c r="AA70" s="66" t="str">
        <f ca="1"/>
        <v/>
      </c>
      <c r="AB70" s="64" t="str">
        <f ca="1"/>
        <v/>
      </c>
    </row>
    <row r="71" spans="2:28">
      <c r="B71" s="67" t="str">
        <f ca="1"/>
        <v/>
      </c>
      <c r="C71" s="67" t="str">
        <f ca="1"/>
        <v/>
      </c>
      <c r="D71" s="69" t="str">
        <f ca="1"/>
        <v/>
      </c>
      <c r="E71" s="73" t="str">
        <f ca="1"/>
        <v/>
      </c>
      <c r="F71" s="67" t="str">
        <f ca="1"/>
        <v/>
      </c>
      <c r="G71" s="69" t="str">
        <f ca="1"/>
        <v/>
      </c>
      <c r="H71" s="69" t="str">
        <f ca="1"/>
        <v/>
      </c>
      <c r="I71" s="68" t="str">
        <f ca="1"/>
        <v/>
      </c>
      <c r="J71" s="70" t="str">
        <f ca="1"/>
        <v/>
      </c>
      <c r="K71" s="69" t="str">
        <f ca="1"/>
        <v/>
      </c>
      <c r="L71" s="71" t="str">
        <f ca="1"/>
        <v/>
      </c>
      <c r="M71" s="69" t="str">
        <f ca="1"/>
        <v/>
      </c>
      <c r="O71" s="67" t="str">
        <f ca="1"/>
        <v/>
      </c>
      <c r="P71" s="67" t="str">
        <f ca="1"/>
        <v/>
      </c>
      <c r="Q71" s="67" t="str">
        <f ca="1"/>
        <v/>
      </c>
      <c r="R71" s="69" t="str">
        <f ca="1"/>
        <v/>
      </c>
      <c r="S71" s="73" t="str">
        <f ca="1"/>
        <v/>
      </c>
      <c r="T71" s="67" t="str">
        <f ca="1"/>
        <v/>
      </c>
      <c r="U71" s="69" t="str">
        <f ca="1"/>
        <v/>
      </c>
      <c r="V71" s="69" t="str">
        <f ca="1"/>
        <v/>
      </c>
      <c r="W71" s="68" t="str">
        <f ca="1"/>
        <v/>
      </c>
      <c r="X71" s="68" t="str">
        <f ca="1"/>
        <v/>
      </c>
      <c r="Y71" s="102" t="str">
        <f ca="1"/>
        <v/>
      </c>
      <c r="Z71" s="69" t="str">
        <f ca="1"/>
        <v/>
      </c>
      <c r="AA71" s="66" t="str">
        <f ca="1"/>
        <v/>
      </c>
      <c r="AB71" s="64" t="str">
        <f ca="1"/>
        <v/>
      </c>
    </row>
    <row r="72" spans="2:28">
      <c r="B72" s="67" t="str">
        <f ca="1"/>
        <v/>
      </c>
      <c r="C72" s="67" t="str">
        <f ca="1"/>
        <v/>
      </c>
      <c r="D72" s="69" t="str">
        <f ca="1"/>
        <v/>
      </c>
      <c r="E72" s="73" t="str">
        <f ca="1"/>
        <v/>
      </c>
      <c r="F72" s="67" t="str">
        <f ca="1"/>
        <v/>
      </c>
      <c r="G72" s="69" t="str">
        <f ca="1"/>
        <v/>
      </c>
      <c r="H72" s="69" t="str">
        <f ca="1"/>
        <v/>
      </c>
      <c r="I72" s="68" t="str">
        <f ca="1"/>
        <v/>
      </c>
      <c r="J72" s="70" t="str">
        <f ca="1"/>
        <v/>
      </c>
      <c r="K72" s="69" t="str">
        <f ca="1"/>
        <v/>
      </c>
      <c r="L72" s="71" t="str">
        <f ca="1"/>
        <v/>
      </c>
      <c r="M72" s="69" t="str">
        <f ca="1"/>
        <v/>
      </c>
      <c r="O72" s="67" t="str">
        <f ca="1"/>
        <v/>
      </c>
      <c r="P72" s="67" t="str">
        <f ca="1"/>
        <v/>
      </c>
      <c r="Q72" s="67" t="str">
        <f ca="1"/>
        <v/>
      </c>
      <c r="R72" s="69" t="str">
        <f ca="1"/>
        <v/>
      </c>
      <c r="S72" s="73" t="str">
        <f ca="1"/>
        <v/>
      </c>
      <c r="T72" s="67" t="str">
        <f ca="1"/>
        <v/>
      </c>
      <c r="U72" s="69" t="str">
        <f ca="1"/>
        <v/>
      </c>
      <c r="V72" s="69" t="str">
        <f ca="1"/>
        <v/>
      </c>
      <c r="W72" s="68" t="str">
        <f ca="1"/>
        <v/>
      </c>
      <c r="X72" s="68" t="str">
        <f ca="1"/>
        <v/>
      </c>
      <c r="Y72" s="102" t="str">
        <f ca="1"/>
        <v/>
      </c>
      <c r="Z72" s="69" t="str">
        <f ca="1"/>
        <v/>
      </c>
      <c r="AA72" s="66" t="str">
        <f ca="1"/>
        <v/>
      </c>
      <c r="AB72" s="64" t="str">
        <f ca="1"/>
        <v/>
      </c>
    </row>
    <row r="73" spans="2:28">
      <c r="B73" s="67" t="str">
        <f ca="1"/>
        <v/>
      </c>
      <c r="C73" s="67" t="str">
        <f ca="1"/>
        <v/>
      </c>
      <c r="D73" s="69" t="str">
        <f ca="1"/>
        <v/>
      </c>
      <c r="E73" s="73" t="str">
        <f ca="1"/>
        <v/>
      </c>
      <c r="F73" s="67" t="str">
        <f ca="1"/>
        <v/>
      </c>
      <c r="G73" s="69" t="str">
        <f ca="1"/>
        <v/>
      </c>
      <c r="H73" s="69" t="str">
        <f ca="1"/>
        <v/>
      </c>
      <c r="I73" s="68" t="str">
        <f ca="1"/>
        <v/>
      </c>
      <c r="J73" s="70" t="str">
        <f ca="1"/>
        <v/>
      </c>
      <c r="K73" s="69" t="str">
        <f ca="1"/>
        <v/>
      </c>
      <c r="L73" s="71" t="str">
        <f ca="1"/>
        <v/>
      </c>
      <c r="M73" s="69" t="str">
        <f ca="1"/>
        <v/>
      </c>
      <c r="O73" s="67" t="str">
        <f ca="1"/>
        <v/>
      </c>
      <c r="P73" s="67" t="str">
        <f ca="1"/>
        <v/>
      </c>
      <c r="Q73" s="67" t="str">
        <f ca="1"/>
        <v/>
      </c>
      <c r="R73" s="69" t="str">
        <f ca="1"/>
        <v/>
      </c>
      <c r="S73" s="73" t="str">
        <f ca="1"/>
        <v/>
      </c>
      <c r="T73" s="67" t="str">
        <f ca="1"/>
        <v/>
      </c>
      <c r="U73" s="69" t="str">
        <f ca="1"/>
        <v/>
      </c>
      <c r="V73" s="69" t="str">
        <f ca="1"/>
        <v/>
      </c>
      <c r="W73" s="68" t="str">
        <f ca="1"/>
        <v/>
      </c>
      <c r="X73" s="68" t="str">
        <f ca="1"/>
        <v/>
      </c>
      <c r="Y73" s="102" t="str">
        <f ca="1"/>
        <v/>
      </c>
      <c r="Z73" s="69" t="str">
        <f ca="1"/>
        <v/>
      </c>
      <c r="AA73" s="66" t="str">
        <f ca="1"/>
        <v/>
      </c>
      <c r="AB73" s="64" t="str">
        <f ca="1"/>
        <v/>
      </c>
    </row>
    <row r="74" spans="2:28">
      <c r="B74" s="67" t="str">
        <f ca="1"/>
        <v/>
      </c>
      <c r="C74" s="67" t="str">
        <f ca="1"/>
        <v/>
      </c>
      <c r="D74" s="69" t="str">
        <f ca="1"/>
        <v/>
      </c>
      <c r="E74" s="73" t="str">
        <f ca="1"/>
        <v/>
      </c>
      <c r="F74" s="67" t="str">
        <f ca="1"/>
        <v/>
      </c>
      <c r="G74" s="69" t="str">
        <f ca="1"/>
        <v/>
      </c>
      <c r="H74" s="69" t="str">
        <f ca="1"/>
        <v/>
      </c>
      <c r="I74" s="68" t="str">
        <f ca="1"/>
        <v/>
      </c>
      <c r="J74" s="70" t="str">
        <f ca="1"/>
        <v/>
      </c>
      <c r="K74" s="69" t="str">
        <f ca="1"/>
        <v/>
      </c>
      <c r="L74" s="71" t="str">
        <f ca="1"/>
        <v/>
      </c>
      <c r="M74" s="69" t="str">
        <f ca="1"/>
        <v/>
      </c>
      <c r="O74" s="67" t="str">
        <f ca="1"/>
        <v/>
      </c>
      <c r="P74" s="67" t="str">
        <f ca="1"/>
        <v/>
      </c>
      <c r="Q74" s="67" t="str">
        <f ca="1"/>
        <v/>
      </c>
      <c r="R74" s="69" t="str">
        <f ca="1"/>
        <v/>
      </c>
      <c r="S74" s="73" t="str">
        <f ca="1"/>
        <v/>
      </c>
      <c r="T74" s="67" t="str">
        <f ca="1"/>
        <v/>
      </c>
      <c r="U74" s="69" t="str">
        <f ca="1"/>
        <v/>
      </c>
      <c r="V74" s="69" t="str">
        <f ca="1"/>
        <v/>
      </c>
      <c r="W74" s="68" t="str">
        <f ca="1"/>
        <v/>
      </c>
      <c r="X74" s="68" t="str">
        <f ca="1"/>
        <v/>
      </c>
      <c r="Y74" s="102" t="str">
        <f ca="1"/>
        <v/>
      </c>
      <c r="Z74" s="69" t="str">
        <f ca="1"/>
        <v/>
      </c>
      <c r="AA74" s="66" t="str">
        <f ca="1"/>
        <v/>
      </c>
      <c r="AB74" s="64" t="str">
        <f ca="1"/>
        <v/>
      </c>
    </row>
    <row r="75" spans="2:28">
      <c r="B75" s="67" t="str">
        <f ca="1"/>
        <v/>
      </c>
      <c r="C75" s="67" t="str">
        <f ca="1"/>
        <v/>
      </c>
      <c r="D75" s="69" t="str">
        <f ca="1"/>
        <v/>
      </c>
      <c r="E75" s="73" t="str">
        <f ca="1"/>
        <v/>
      </c>
      <c r="F75" s="67" t="str">
        <f ca="1"/>
        <v/>
      </c>
      <c r="G75" s="69" t="str">
        <f ca="1"/>
        <v/>
      </c>
      <c r="H75" s="69" t="str">
        <f ca="1"/>
        <v/>
      </c>
      <c r="I75" s="68" t="str">
        <f ca="1"/>
        <v/>
      </c>
      <c r="J75" s="70" t="str">
        <f ca="1"/>
        <v/>
      </c>
      <c r="K75" s="69" t="str">
        <f ca="1"/>
        <v/>
      </c>
      <c r="L75" s="71" t="str">
        <f ca="1"/>
        <v/>
      </c>
      <c r="M75" s="69" t="str">
        <f ca="1"/>
        <v/>
      </c>
      <c r="O75" s="67" t="str">
        <f ca="1"/>
        <v/>
      </c>
      <c r="P75" s="67" t="str">
        <f ca="1"/>
        <v/>
      </c>
      <c r="Q75" s="67" t="str">
        <f ca="1"/>
        <v/>
      </c>
      <c r="R75" s="69" t="str">
        <f ca="1"/>
        <v/>
      </c>
      <c r="S75" s="73" t="str">
        <f ca="1"/>
        <v/>
      </c>
      <c r="T75" s="67" t="str">
        <f ca="1"/>
        <v/>
      </c>
      <c r="U75" s="69" t="str">
        <f ca="1"/>
        <v/>
      </c>
      <c r="V75" s="69" t="str">
        <f ca="1"/>
        <v/>
      </c>
      <c r="W75" s="68" t="str">
        <f ca="1"/>
        <v/>
      </c>
      <c r="X75" s="68" t="str">
        <f ca="1"/>
        <v/>
      </c>
      <c r="Y75" s="102" t="str">
        <f ca="1"/>
        <v/>
      </c>
      <c r="Z75" s="69" t="str">
        <f ca="1"/>
        <v/>
      </c>
      <c r="AA75" s="66" t="str">
        <f ca="1"/>
        <v/>
      </c>
      <c r="AB75" s="64" t="str">
        <f ca="1"/>
        <v/>
      </c>
    </row>
    <row r="76" spans="2:28">
      <c r="B76" s="67" t="str">
        <f ca="1"/>
        <v/>
      </c>
      <c r="C76" s="67" t="str">
        <f ca="1"/>
        <v/>
      </c>
      <c r="D76" s="69" t="str">
        <f ca="1"/>
        <v/>
      </c>
      <c r="E76" s="73" t="str">
        <f ca="1"/>
        <v/>
      </c>
      <c r="F76" s="67" t="str">
        <f ca="1"/>
        <v/>
      </c>
      <c r="G76" s="69" t="str">
        <f ca="1"/>
        <v/>
      </c>
      <c r="H76" s="69" t="str">
        <f ca="1"/>
        <v/>
      </c>
      <c r="I76" s="68" t="str">
        <f ca="1"/>
        <v/>
      </c>
      <c r="J76" s="70" t="str">
        <f ca="1"/>
        <v/>
      </c>
      <c r="K76" s="69" t="str">
        <f ca="1"/>
        <v/>
      </c>
      <c r="L76" s="71" t="str">
        <f ca="1"/>
        <v/>
      </c>
      <c r="M76" s="69" t="str">
        <f ca="1"/>
        <v/>
      </c>
      <c r="O76" s="67" t="str">
        <f ca="1"/>
        <v/>
      </c>
      <c r="P76" s="67" t="str">
        <f ca="1"/>
        <v/>
      </c>
      <c r="Q76" s="67" t="str">
        <f ca="1"/>
        <v/>
      </c>
      <c r="R76" s="69" t="str">
        <f ca="1"/>
        <v/>
      </c>
      <c r="S76" s="73" t="str">
        <f ca="1"/>
        <v/>
      </c>
      <c r="T76" s="67" t="str">
        <f ca="1"/>
        <v/>
      </c>
      <c r="U76" s="69" t="str">
        <f ca="1"/>
        <v/>
      </c>
      <c r="V76" s="69" t="str">
        <f ca="1"/>
        <v/>
      </c>
      <c r="W76" s="68" t="str">
        <f ca="1"/>
        <v/>
      </c>
      <c r="X76" s="68" t="str">
        <f ca="1"/>
        <v/>
      </c>
      <c r="Y76" s="102" t="str">
        <f ca="1"/>
        <v/>
      </c>
      <c r="Z76" s="69" t="str">
        <f ca="1"/>
        <v/>
      </c>
      <c r="AA76" s="66" t="str">
        <f ca="1"/>
        <v/>
      </c>
      <c r="AB76" s="64" t="str">
        <f ca="1"/>
        <v/>
      </c>
    </row>
    <row r="77" spans="2:28">
      <c r="B77" s="67" t="str">
        <f ca="1"/>
        <v/>
      </c>
      <c r="C77" s="67" t="str">
        <f ca="1"/>
        <v/>
      </c>
      <c r="D77" s="69" t="str">
        <f ca="1"/>
        <v/>
      </c>
      <c r="E77" s="73" t="str">
        <f ca="1"/>
        <v/>
      </c>
      <c r="F77" s="67" t="str">
        <f ca="1"/>
        <v/>
      </c>
      <c r="G77" s="69" t="str">
        <f ca="1"/>
        <v/>
      </c>
      <c r="H77" s="69" t="str">
        <f ca="1"/>
        <v/>
      </c>
      <c r="I77" s="68" t="str">
        <f ca="1"/>
        <v/>
      </c>
      <c r="J77" s="70" t="str">
        <f ca="1"/>
        <v/>
      </c>
      <c r="K77" s="69" t="str">
        <f ca="1"/>
        <v/>
      </c>
      <c r="L77" s="71" t="str">
        <f ca="1"/>
        <v/>
      </c>
      <c r="M77" s="69" t="str">
        <f ca="1"/>
        <v/>
      </c>
      <c r="O77" s="67" t="str">
        <f ca="1"/>
        <v/>
      </c>
      <c r="P77" s="67" t="str">
        <f ca="1"/>
        <v/>
      </c>
      <c r="Q77" s="67" t="str">
        <f ca="1"/>
        <v/>
      </c>
      <c r="R77" s="69" t="str">
        <f ca="1"/>
        <v/>
      </c>
      <c r="S77" s="73" t="str">
        <f ca="1"/>
        <v/>
      </c>
      <c r="T77" s="67" t="str">
        <f ca="1"/>
        <v/>
      </c>
      <c r="U77" s="69" t="str">
        <f ca="1"/>
        <v/>
      </c>
      <c r="V77" s="69" t="str">
        <f ca="1"/>
        <v/>
      </c>
      <c r="W77" s="68" t="str">
        <f ca="1"/>
        <v/>
      </c>
      <c r="X77" s="68" t="str">
        <f ca="1"/>
        <v/>
      </c>
      <c r="Y77" s="102" t="str">
        <f ca="1"/>
        <v/>
      </c>
      <c r="Z77" s="69" t="str">
        <f ca="1"/>
        <v/>
      </c>
      <c r="AA77" s="66" t="str">
        <f ca="1"/>
        <v/>
      </c>
      <c r="AB77" s="64" t="str">
        <f ca="1"/>
        <v/>
      </c>
    </row>
    <row r="78" spans="2:28">
      <c r="B78" s="67" t="str">
        <f ca="1"/>
        <v/>
      </c>
      <c r="C78" s="67" t="str">
        <f ca="1"/>
        <v/>
      </c>
      <c r="D78" s="69" t="str">
        <f ca="1"/>
        <v/>
      </c>
      <c r="E78" s="73" t="str">
        <f ca="1"/>
        <v/>
      </c>
      <c r="F78" s="67" t="str">
        <f ca="1"/>
        <v/>
      </c>
      <c r="G78" s="69" t="str">
        <f ca="1"/>
        <v/>
      </c>
      <c r="H78" s="69" t="str">
        <f ca="1"/>
        <v/>
      </c>
      <c r="I78" s="68" t="str">
        <f ca="1"/>
        <v/>
      </c>
      <c r="J78" s="70" t="str">
        <f ca="1"/>
        <v/>
      </c>
      <c r="K78" s="69" t="str">
        <f ca="1"/>
        <v/>
      </c>
      <c r="L78" s="71" t="str">
        <f ca="1"/>
        <v/>
      </c>
      <c r="M78" s="69" t="str">
        <f ca="1"/>
        <v/>
      </c>
      <c r="O78" s="67" t="str">
        <f ca="1"/>
        <v/>
      </c>
      <c r="P78" s="67" t="str">
        <f ca="1"/>
        <v/>
      </c>
      <c r="Q78" s="67" t="str">
        <f ca="1"/>
        <v/>
      </c>
      <c r="R78" s="69" t="str">
        <f ca="1"/>
        <v/>
      </c>
      <c r="S78" s="73" t="str">
        <f ca="1"/>
        <v/>
      </c>
      <c r="T78" s="67" t="str">
        <f ca="1"/>
        <v/>
      </c>
      <c r="U78" s="69" t="str">
        <f ca="1"/>
        <v/>
      </c>
      <c r="V78" s="69" t="str">
        <f ca="1"/>
        <v/>
      </c>
      <c r="W78" s="68" t="str">
        <f ca="1"/>
        <v/>
      </c>
      <c r="X78" s="68" t="str">
        <f ca="1"/>
        <v/>
      </c>
      <c r="Y78" s="102" t="str">
        <f ca="1"/>
        <v/>
      </c>
      <c r="Z78" s="69" t="str">
        <f ca="1"/>
        <v/>
      </c>
      <c r="AA78" s="66" t="str">
        <f ca="1"/>
        <v/>
      </c>
      <c r="AB78" s="64" t="str">
        <f ca="1"/>
        <v/>
      </c>
    </row>
    <row r="79" spans="2:28">
      <c r="B79" s="67" t="str">
        <f ca="1"/>
        <v/>
      </c>
      <c r="C79" s="67" t="str">
        <f ca="1"/>
        <v/>
      </c>
      <c r="D79" s="69" t="str">
        <f ca="1"/>
        <v/>
      </c>
      <c r="E79" s="73" t="str">
        <f ca="1"/>
        <v/>
      </c>
      <c r="F79" s="67" t="str">
        <f ca="1"/>
        <v/>
      </c>
      <c r="G79" s="69" t="str">
        <f ca="1"/>
        <v/>
      </c>
      <c r="H79" s="69" t="str">
        <f ca="1"/>
        <v/>
      </c>
      <c r="I79" s="68" t="str">
        <f ca="1"/>
        <v/>
      </c>
      <c r="J79" s="70" t="str">
        <f ca="1"/>
        <v/>
      </c>
      <c r="K79" s="69" t="str">
        <f ca="1"/>
        <v/>
      </c>
      <c r="L79" s="71" t="str">
        <f ca="1"/>
        <v/>
      </c>
      <c r="M79" s="69" t="str">
        <f ca="1"/>
        <v/>
      </c>
      <c r="O79" s="67" t="str">
        <f ca="1"/>
        <v/>
      </c>
      <c r="P79" s="67" t="str">
        <f ca="1"/>
        <v/>
      </c>
      <c r="Q79" s="67" t="str">
        <f ca="1"/>
        <v/>
      </c>
      <c r="R79" s="69" t="str">
        <f ca="1"/>
        <v/>
      </c>
      <c r="S79" s="73" t="str">
        <f ca="1"/>
        <v/>
      </c>
      <c r="T79" s="67" t="str">
        <f ca="1"/>
        <v/>
      </c>
      <c r="U79" s="69" t="str">
        <f ca="1"/>
        <v/>
      </c>
      <c r="V79" s="69" t="str">
        <f ca="1"/>
        <v/>
      </c>
      <c r="W79" s="68" t="str">
        <f ca="1"/>
        <v/>
      </c>
      <c r="X79" s="68" t="str">
        <f ca="1"/>
        <v/>
      </c>
      <c r="Y79" s="102" t="str">
        <f ca="1"/>
        <v/>
      </c>
      <c r="Z79" s="69" t="str">
        <f ca="1"/>
        <v/>
      </c>
      <c r="AA79" s="66" t="str">
        <f ca="1"/>
        <v/>
      </c>
      <c r="AB79" s="64" t="str">
        <f ca="1"/>
        <v/>
      </c>
    </row>
    <row r="80" spans="2:28">
      <c r="B80" s="67" t="str">
        <f ca="1"/>
        <v/>
      </c>
      <c r="C80" s="67" t="str">
        <f ca="1"/>
        <v/>
      </c>
      <c r="D80" s="69" t="str">
        <f ca="1"/>
        <v/>
      </c>
      <c r="E80" s="73" t="str">
        <f ca="1"/>
        <v/>
      </c>
      <c r="F80" s="67" t="str">
        <f ca="1"/>
        <v/>
      </c>
      <c r="G80" s="69" t="str">
        <f ca="1"/>
        <v/>
      </c>
      <c r="H80" s="69" t="str">
        <f ca="1"/>
        <v/>
      </c>
      <c r="I80" s="68" t="str">
        <f ca="1"/>
        <v/>
      </c>
      <c r="J80" s="70" t="str">
        <f ca="1"/>
        <v/>
      </c>
      <c r="K80" s="69" t="str">
        <f ca="1"/>
        <v/>
      </c>
      <c r="L80" s="71" t="str">
        <f ca="1"/>
        <v/>
      </c>
      <c r="M80" s="69" t="str">
        <f ca="1"/>
        <v/>
      </c>
      <c r="O80" s="67" t="str">
        <f ca="1"/>
        <v/>
      </c>
      <c r="P80" s="67" t="str">
        <f ca="1"/>
        <v/>
      </c>
      <c r="Q80" s="67" t="str">
        <f ca="1"/>
        <v/>
      </c>
      <c r="R80" s="69" t="str">
        <f ca="1"/>
        <v/>
      </c>
      <c r="S80" s="73" t="str">
        <f ca="1"/>
        <v/>
      </c>
      <c r="T80" s="67" t="str">
        <f ca="1"/>
        <v/>
      </c>
      <c r="U80" s="69" t="str">
        <f ca="1"/>
        <v/>
      </c>
      <c r="V80" s="69" t="str">
        <f ca="1"/>
        <v/>
      </c>
      <c r="W80" s="68" t="str">
        <f ca="1"/>
        <v/>
      </c>
      <c r="X80" s="68" t="str">
        <f ca="1"/>
        <v/>
      </c>
      <c r="Y80" s="102" t="str">
        <f ca="1"/>
        <v/>
      </c>
      <c r="Z80" s="69" t="str">
        <f ca="1"/>
        <v/>
      </c>
      <c r="AA80" s="66" t="str">
        <f ca="1"/>
        <v/>
      </c>
      <c r="AB80" s="64" t="str">
        <f ca="1"/>
        <v/>
      </c>
    </row>
    <row r="81" spans="2:28">
      <c r="B81" s="67" t="str">
        <f ca="1"/>
        <v/>
      </c>
      <c r="C81" s="67" t="str">
        <f ca="1"/>
        <v/>
      </c>
      <c r="D81" s="69" t="str">
        <f ca="1"/>
        <v/>
      </c>
      <c r="E81" s="73" t="str">
        <f ca="1"/>
        <v/>
      </c>
      <c r="F81" s="67" t="str">
        <f ca="1"/>
        <v/>
      </c>
      <c r="G81" s="69" t="str">
        <f ca="1"/>
        <v/>
      </c>
      <c r="H81" s="69" t="str">
        <f ca="1"/>
        <v/>
      </c>
      <c r="I81" s="68" t="str">
        <f ca="1"/>
        <v/>
      </c>
      <c r="J81" s="70" t="str">
        <f ca="1"/>
        <v/>
      </c>
      <c r="K81" s="69" t="str">
        <f ca="1"/>
        <v/>
      </c>
      <c r="L81" s="71" t="str">
        <f ca="1"/>
        <v/>
      </c>
      <c r="M81" s="69" t="str">
        <f ca="1"/>
        <v/>
      </c>
      <c r="O81" s="67" t="str">
        <f ca="1"/>
        <v/>
      </c>
      <c r="P81" s="67" t="str">
        <f ca="1"/>
        <v/>
      </c>
      <c r="Q81" s="67" t="str">
        <f ca="1"/>
        <v/>
      </c>
      <c r="R81" s="69" t="str">
        <f ca="1"/>
        <v/>
      </c>
      <c r="S81" s="73" t="str">
        <f ca="1"/>
        <v/>
      </c>
      <c r="T81" s="67" t="str">
        <f ca="1"/>
        <v/>
      </c>
      <c r="U81" s="69" t="str">
        <f ca="1"/>
        <v/>
      </c>
      <c r="V81" s="69" t="str">
        <f ca="1"/>
        <v/>
      </c>
      <c r="W81" s="68" t="str">
        <f ca="1"/>
        <v/>
      </c>
      <c r="X81" s="68" t="str">
        <f ca="1"/>
        <v/>
      </c>
      <c r="Y81" s="102" t="str">
        <f ca="1"/>
        <v/>
      </c>
      <c r="Z81" s="69" t="str">
        <f ca="1"/>
        <v/>
      </c>
      <c r="AA81" s="66" t="str">
        <f ca="1"/>
        <v/>
      </c>
      <c r="AB81" s="64" t="str">
        <f ca="1"/>
        <v/>
      </c>
    </row>
    <row r="82" spans="2:28">
      <c r="B82" s="67" t="str">
        <f ca="1"/>
        <v/>
      </c>
      <c r="C82" s="67" t="str">
        <f ca="1"/>
        <v/>
      </c>
      <c r="D82" s="69" t="str">
        <f ca="1"/>
        <v/>
      </c>
      <c r="E82" s="73" t="str">
        <f ca="1"/>
        <v/>
      </c>
      <c r="F82" s="67" t="str">
        <f ca="1"/>
        <v/>
      </c>
      <c r="G82" s="69" t="str">
        <f ca="1"/>
        <v/>
      </c>
      <c r="H82" s="69" t="str">
        <f ca="1"/>
        <v/>
      </c>
      <c r="I82" s="68" t="str">
        <f ca="1"/>
        <v/>
      </c>
      <c r="J82" s="70" t="str">
        <f ca="1"/>
        <v/>
      </c>
      <c r="K82" s="69" t="str">
        <f ca="1"/>
        <v/>
      </c>
      <c r="L82" s="71" t="str">
        <f ca="1"/>
        <v/>
      </c>
      <c r="M82" s="69" t="str">
        <f ca="1"/>
        <v/>
      </c>
      <c r="O82" s="67" t="str">
        <f ca="1"/>
        <v/>
      </c>
      <c r="P82" s="67" t="str">
        <f ca="1"/>
        <v/>
      </c>
      <c r="Q82" s="67" t="str">
        <f ca="1"/>
        <v/>
      </c>
      <c r="R82" s="69" t="str">
        <f ca="1"/>
        <v/>
      </c>
      <c r="S82" s="73" t="str">
        <f ca="1"/>
        <v/>
      </c>
      <c r="T82" s="67" t="str">
        <f ca="1"/>
        <v/>
      </c>
      <c r="U82" s="69" t="str">
        <f ca="1"/>
        <v/>
      </c>
      <c r="V82" s="69" t="str">
        <f ca="1"/>
        <v/>
      </c>
      <c r="W82" s="68" t="str">
        <f ca="1"/>
        <v/>
      </c>
      <c r="X82" s="68" t="str">
        <f ca="1"/>
        <v/>
      </c>
      <c r="Y82" s="102" t="str">
        <f ca="1"/>
        <v/>
      </c>
      <c r="Z82" s="69" t="str">
        <f ca="1"/>
        <v/>
      </c>
      <c r="AA82" s="66" t="str">
        <f ca="1"/>
        <v/>
      </c>
      <c r="AB82" s="64" t="str">
        <f ca="1"/>
        <v/>
      </c>
    </row>
    <row r="83" spans="2:28">
      <c r="B83" s="67" t="str">
        <f ca="1"/>
        <v/>
      </c>
      <c r="C83" s="67" t="str">
        <f ca="1"/>
        <v/>
      </c>
      <c r="D83" s="69" t="str">
        <f ca="1"/>
        <v/>
      </c>
      <c r="E83" s="73" t="str">
        <f ca="1"/>
        <v/>
      </c>
      <c r="F83" s="67" t="str">
        <f ca="1"/>
        <v/>
      </c>
      <c r="G83" s="69" t="str">
        <f ca="1"/>
        <v/>
      </c>
      <c r="H83" s="69" t="str">
        <f ca="1"/>
        <v/>
      </c>
      <c r="I83" s="68" t="str">
        <f ca="1"/>
        <v/>
      </c>
      <c r="J83" s="70" t="str">
        <f ca="1"/>
        <v/>
      </c>
      <c r="K83" s="69" t="str">
        <f ca="1"/>
        <v/>
      </c>
      <c r="L83" s="71" t="str">
        <f ca="1"/>
        <v/>
      </c>
      <c r="M83" s="69" t="str">
        <f ca="1"/>
        <v/>
      </c>
      <c r="O83" s="67" t="str">
        <f ca="1"/>
        <v/>
      </c>
      <c r="P83" s="67" t="str">
        <f ca="1"/>
        <v/>
      </c>
      <c r="Q83" s="67" t="str">
        <f ca="1"/>
        <v/>
      </c>
      <c r="R83" s="69" t="str">
        <f ca="1"/>
        <v/>
      </c>
      <c r="S83" s="73" t="str">
        <f ca="1"/>
        <v/>
      </c>
      <c r="T83" s="67" t="str">
        <f ca="1"/>
        <v/>
      </c>
      <c r="U83" s="69" t="str">
        <f ca="1"/>
        <v/>
      </c>
      <c r="V83" s="69" t="str">
        <f ca="1"/>
        <v/>
      </c>
      <c r="W83" s="68" t="str">
        <f ca="1"/>
        <v/>
      </c>
      <c r="X83" s="68" t="str">
        <f ca="1"/>
        <v/>
      </c>
      <c r="Y83" s="102" t="str">
        <f ca="1"/>
        <v/>
      </c>
      <c r="Z83" s="69" t="str">
        <f ca="1"/>
        <v/>
      </c>
      <c r="AA83" s="66" t="str">
        <f ca="1"/>
        <v/>
      </c>
      <c r="AB83" s="64" t="str">
        <f ca="1"/>
        <v/>
      </c>
    </row>
    <row r="84" spans="2:28">
      <c r="B84" s="67" t="str">
        <f ca="1"/>
        <v/>
      </c>
      <c r="C84" s="67" t="str">
        <f ca="1"/>
        <v/>
      </c>
      <c r="D84" s="69" t="str">
        <f ca="1"/>
        <v/>
      </c>
      <c r="E84" s="73" t="str">
        <f ca="1"/>
        <v/>
      </c>
      <c r="F84" s="67" t="str">
        <f ca="1"/>
        <v/>
      </c>
      <c r="G84" s="69" t="str">
        <f ca="1"/>
        <v/>
      </c>
      <c r="H84" s="69" t="str">
        <f ca="1"/>
        <v/>
      </c>
      <c r="I84" s="68" t="str">
        <f ca="1"/>
        <v/>
      </c>
      <c r="J84" s="70" t="str">
        <f ca="1"/>
        <v/>
      </c>
      <c r="K84" s="69" t="str">
        <f ca="1"/>
        <v/>
      </c>
      <c r="L84" s="71" t="str">
        <f ca="1"/>
        <v/>
      </c>
      <c r="M84" s="69" t="str">
        <f ca="1"/>
        <v/>
      </c>
      <c r="O84" s="67" t="str">
        <f ca="1"/>
        <v/>
      </c>
      <c r="P84" s="67" t="str">
        <f ca="1"/>
        <v/>
      </c>
      <c r="Q84" s="67" t="str">
        <f ca="1"/>
        <v/>
      </c>
      <c r="R84" s="69" t="str">
        <f ca="1"/>
        <v/>
      </c>
      <c r="S84" s="73" t="str">
        <f ca="1"/>
        <v/>
      </c>
      <c r="T84" s="67" t="str">
        <f ca="1"/>
        <v/>
      </c>
      <c r="U84" s="69" t="str">
        <f ca="1"/>
        <v/>
      </c>
      <c r="V84" s="69" t="str">
        <f ca="1"/>
        <v/>
      </c>
      <c r="W84" s="68" t="str">
        <f ca="1"/>
        <v/>
      </c>
      <c r="X84" s="68" t="str">
        <f ca="1"/>
        <v/>
      </c>
      <c r="Y84" s="102" t="str">
        <f ca="1"/>
        <v/>
      </c>
      <c r="Z84" s="69" t="str">
        <f ca="1"/>
        <v/>
      </c>
      <c r="AA84" s="66" t="str">
        <f ca="1"/>
        <v/>
      </c>
      <c r="AB84" s="64" t="str">
        <f ca="1"/>
        <v/>
      </c>
    </row>
    <row r="85" spans="2:28">
      <c r="B85" s="67" t="str">
        <f ca="1"/>
        <v/>
      </c>
      <c r="C85" s="67" t="str">
        <f ca="1"/>
        <v/>
      </c>
      <c r="D85" s="69" t="str">
        <f ca="1"/>
        <v/>
      </c>
      <c r="E85" s="73" t="str">
        <f ca="1"/>
        <v/>
      </c>
      <c r="F85" s="67" t="str">
        <f ca="1"/>
        <v/>
      </c>
      <c r="G85" s="69" t="str">
        <f ca="1"/>
        <v/>
      </c>
      <c r="H85" s="69" t="str">
        <f ca="1"/>
        <v/>
      </c>
      <c r="I85" s="68" t="str">
        <f ca="1"/>
        <v/>
      </c>
      <c r="J85" s="70" t="str">
        <f ca="1"/>
        <v/>
      </c>
      <c r="K85" s="69" t="str">
        <f ca="1"/>
        <v/>
      </c>
      <c r="L85" s="71" t="str">
        <f ca="1"/>
        <v/>
      </c>
      <c r="M85" s="69" t="str">
        <f ca="1"/>
        <v/>
      </c>
      <c r="O85" s="67" t="str">
        <f ca="1"/>
        <v/>
      </c>
      <c r="P85" s="67" t="str">
        <f ca="1"/>
        <v/>
      </c>
      <c r="Q85" s="67" t="str">
        <f ca="1"/>
        <v/>
      </c>
      <c r="R85" s="69" t="str">
        <f ca="1"/>
        <v/>
      </c>
      <c r="S85" s="73" t="str">
        <f ca="1"/>
        <v/>
      </c>
      <c r="T85" s="67" t="str">
        <f ca="1"/>
        <v/>
      </c>
      <c r="U85" s="69" t="str">
        <f ca="1"/>
        <v/>
      </c>
      <c r="V85" s="69" t="str">
        <f ca="1"/>
        <v/>
      </c>
      <c r="W85" s="68" t="str">
        <f ca="1"/>
        <v/>
      </c>
      <c r="X85" s="68" t="str">
        <f ca="1"/>
        <v/>
      </c>
      <c r="Y85" s="102" t="str">
        <f ca="1"/>
        <v/>
      </c>
      <c r="Z85" s="69" t="str">
        <f ca="1"/>
        <v/>
      </c>
      <c r="AA85" s="66" t="str">
        <f ca="1"/>
        <v/>
      </c>
      <c r="AB85" s="64" t="str">
        <f ca="1"/>
        <v/>
      </c>
    </row>
    <row r="86" spans="2:28">
      <c r="B86" s="67" t="str">
        <f ca="1"/>
        <v/>
      </c>
      <c r="C86" s="67" t="str">
        <f ca="1"/>
        <v/>
      </c>
      <c r="D86" s="69" t="str">
        <f ca="1"/>
        <v/>
      </c>
      <c r="E86" s="73" t="str">
        <f ca="1"/>
        <v/>
      </c>
      <c r="F86" s="67" t="str">
        <f ca="1"/>
        <v/>
      </c>
      <c r="G86" s="69" t="str">
        <f ca="1"/>
        <v/>
      </c>
      <c r="H86" s="69" t="str">
        <f ca="1"/>
        <v/>
      </c>
      <c r="I86" s="68" t="str">
        <f ca="1"/>
        <v/>
      </c>
      <c r="J86" s="70" t="str">
        <f ca="1"/>
        <v/>
      </c>
      <c r="K86" s="69" t="str">
        <f ca="1"/>
        <v/>
      </c>
      <c r="L86" s="71" t="str">
        <f ca="1"/>
        <v/>
      </c>
      <c r="M86" s="69" t="str">
        <f ca="1"/>
        <v/>
      </c>
      <c r="O86" s="67" t="str">
        <f ca="1"/>
        <v/>
      </c>
      <c r="P86" s="67" t="str">
        <f ca="1"/>
        <v/>
      </c>
      <c r="Q86" s="67" t="str">
        <f ca="1"/>
        <v/>
      </c>
      <c r="R86" s="69" t="str">
        <f ca="1"/>
        <v/>
      </c>
      <c r="S86" s="73" t="str">
        <f ca="1"/>
        <v/>
      </c>
      <c r="T86" s="67" t="str">
        <f ca="1"/>
        <v/>
      </c>
      <c r="U86" s="69" t="str">
        <f ca="1"/>
        <v/>
      </c>
      <c r="V86" s="69" t="str">
        <f ca="1"/>
        <v/>
      </c>
      <c r="W86" s="68" t="str">
        <f ca="1"/>
        <v/>
      </c>
      <c r="X86" s="68" t="str">
        <f ca="1"/>
        <v/>
      </c>
      <c r="Y86" s="102" t="str">
        <f ca="1"/>
        <v/>
      </c>
      <c r="Z86" s="69" t="str">
        <f ca="1"/>
        <v/>
      </c>
      <c r="AA86" s="66" t="str">
        <f ca="1"/>
        <v/>
      </c>
      <c r="AB86" s="64" t="str">
        <f ca="1"/>
        <v/>
      </c>
    </row>
    <row r="87" spans="2:28">
      <c r="B87" s="67" t="str">
        <f ca="1"/>
        <v/>
      </c>
      <c r="C87" s="67" t="str">
        <f ca="1"/>
        <v/>
      </c>
      <c r="D87" s="69" t="str">
        <f ca="1"/>
        <v/>
      </c>
      <c r="E87" s="73" t="str">
        <f ca="1"/>
        <v/>
      </c>
      <c r="F87" s="67" t="str">
        <f ca="1"/>
        <v/>
      </c>
      <c r="G87" s="69" t="str">
        <f ca="1"/>
        <v/>
      </c>
      <c r="H87" s="69" t="str">
        <f ca="1"/>
        <v/>
      </c>
      <c r="I87" s="68" t="str">
        <f ca="1"/>
        <v/>
      </c>
      <c r="J87" s="70" t="str">
        <f ca="1"/>
        <v/>
      </c>
      <c r="K87" s="69" t="str">
        <f ca="1"/>
        <v/>
      </c>
      <c r="L87" s="71" t="str">
        <f ca="1"/>
        <v/>
      </c>
      <c r="M87" s="69" t="str">
        <f ca="1"/>
        <v/>
      </c>
      <c r="O87" s="67" t="str">
        <f ca="1"/>
        <v/>
      </c>
      <c r="P87" s="67" t="str">
        <f ca="1"/>
        <v/>
      </c>
      <c r="Q87" s="67" t="str">
        <f ca="1"/>
        <v/>
      </c>
      <c r="R87" s="69" t="str">
        <f ca="1"/>
        <v/>
      </c>
      <c r="S87" s="73" t="str">
        <f ca="1"/>
        <v/>
      </c>
      <c r="T87" s="67" t="str">
        <f ca="1"/>
        <v/>
      </c>
      <c r="U87" s="69" t="str">
        <f ca="1"/>
        <v/>
      </c>
      <c r="V87" s="69" t="str">
        <f ca="1"/>
        <v/>
      </c>
      <c r="W87" s="68" t="str">
        <f ca="1"/>
        <v/>
      </c>
      <c r="X87" s="68" t="str">
        <f ca="1"/>
        <v/>
      </c>
      <c r="Y87" s="102" t="str">
        <f ca="1"/>
        <v/>
      </c>
      <c r="Z87" s="69" t="str">
        <f ca="1"/>
        <v/>
      </c>
      <c r="AA87" s="66" t="str">
        <f ca="1"/>
        <v/>
      </c>
      <c r="AB87" s="64" t="str">
        <f ca="1"/>
        <v/>
      </c>
    </row>
    <row r="88" spans="2:28">
      <c r="B88" s="67" t="str">
        <f ca="1"/>
        <v/>
      </c>
      <c r="C88" s="67" t="str">
        <f ca="1"/>
        <v/>
      </c>
      <c r="D88" s="69" t="str">
        <f ca="1"/>
        <v/>
      </c>
      <c r="E88" s="73" t="str">
        <f ca="1"/>
        <v/>
      </c>
      <c r="F88" s="67" t="str">
        <f ca="1"/>
        <v/>
      </c>
      <c r="G88" s="69" t="str">
        <f ca="1"/>
        <v/>
      </c>
      <c r="H88" s="69" t="str">
        <f ca="1"/>
        <v/>
      </c>
      <c r="I88" s="68" t="str">
        <f ca="1"/>
        <v/>
      </c>
      <c r="J88" s="70" t="str">
        <f ca="1"/>
        <v/>
      </c>
      <c r="K88" s="69" t="str">
        <f ca="1"/>
        <v/>
      </c>
      <c r="L88" s="71" t="str">
        <f ca="1"/>
        <v/>
      </c>
      <c r="M88" s="69" t="str">
        <f ca="1"/>
        <v/>
      </c>
      <c r="O88" s="67" t="str">
        <f ca="1"/>
        <v/>
      </c>
      <c r="P88" s="67" t="str">
        <f ca="1"/>
        <v/>
      </c>
      <c r="Q88" s="67" t="str">
        <f ca="1"/>
        <v/>
      </c>
      <c r="R88" s="69" t="str">
        <f ca="1"/>
        <v/>
      </c>
      <c r="S88" s="73" t="str">
        <f ca="1"/>
        <v/>
      </c>
      <c r="T88" s="67" t="str">
        <f ca="1"/>
        <v/>
      </c>
      <c r="U88" s="69" t="str">
        <f ca="1"/>
        <v/>
      </c>
      <c r="V88" s="69" t="str">
        <f ca="1"/>
        <v/>
      </c>
      <c r="W88" s="68" t="str">
        <f ca="1"/>
        <v/>
      </c>
      <c r="X88" s="68" t="str">
        <f ca="1"/>
        <v/>
      </c>
      <c r="Y88" s="102" t="str">
        <f ca="1"/>
        <v/>
      </c>
      <c r="Z88" s="69" t="str">
        <f ca="1"/>
        <v/>
      </c>
      <c r="AA88" s="66" t="str">
        <f ca="1"/>
        <v/>
      </c>
      <c r="AB88" s="64" t="str">
        <f ca="1"/>
        <v/>
      </c>
    </row>
    <row r="89" spans="2:28">
      <c r="B89" s="67" t="str">
        <f ca="1"/>
        <v/>
      </c>
      <c r="C89" s="67" t="str">
        <f ca="1"/>
        <v/>
      </c>
      <c r="D89" s="69" t="str">
        <f ca="1"/>
        <v/>
      </c>
      <c r="E89" s="73" t="str">
        <f ca="1"/>
        <v/>
      </c>
      <c r="F89" s="67" t="str">
        <f ca="1"/>
        <v/>
      </c>
      <c r="G89" s="69" t="str">
        <f ca="1"/>
        <v/>
      </c>
      <c r="H89" s="69" t="str">
        <f ca="1"/>
        <v/>
      </c>
      <c r="I89" s="68" t="str">
        <f ca="1"/>
        <v/>
      </c>
      <c r="J89" s="70" t="str">
        <f ca="1"/>
        <v/>
      </c>
      <c r="K89" s="69" t="str">
        <f ca="1"/>
        <v/>
      </c>
      <c r="L89" s="71" t="str">
        <f ca="1"/>
        <v/>
      </c>
      <c r="M89" s="69" t="str">
        <f ca="1"/>
        <v/>
      </c>
      <c r="O89" s="67" t="str">
        <f ca="1"/>
        <v/>
      </c>
      <c r="P89" s="67" t="str">
        <f ca="1"/>
        <v/>
      </c>
      <c r="Q89" s="67" t="str">
        <f ca="1"/>
        <v/>
      </c>
      <c r="R89" s="69" t="str">
        <f ca="1"/>
        <v/>
      </c>
      <c r="S89" s="73" t="str">
        <f ca="1"/>
        <v/>
      </c>
      <c r="T89" s="67" t="str">
        <f ca="1"/>
        <v/>
      </c>
      <c r="U89" s="69" t="str">
        <f ca="1"/>
        <v/>
      </c>
      <c r="V89" s="69" t="str">
        <f ca="1"/>
        <v/>
      </c>
      <c r="W89" s="68" t="str">
        <f ca="1"/>
        <v/>
      </c>
      <c r="X89" s="68" t="str">
        <f ca="1"/>
        <v/>
      </c>
      <c r="Y89" s="102" t="str">
        <f ca="1"/>
        <v/>
      </c>
      <c r="Z89" s="69" t="str">
        <f ca="1"/>
        <v/>
      </c>
      <c r="AA89" s="66" t="str">
        <f ca="1"/>
        <v/>
      </c>
      <c r="AB89" s="64" t="str">
        <f ca="1"/>
        <v/>
      </c>
    </row>
    <row r="90" spans="2:28">
      <c r="B90" s="67" t="str">
        <f ca="1"/>
        <v/>
      </c>
      <c r="C90" s="67" t="str">
        <f ca="1"/>
        <v/>
      </c>
      <c r="D90" s="69" t="str">
        <f ca="1"/>
        <v/>
      </c>
      <c r="E90" s="73" t="str">
        <f ca="1"/>
        <v/>
      </c>
      <c r="F90" s="67" t="str">
        <f ca="1"/>
        <v/>
      </c>
      <c r="G90" s="69" t="str">
        <f ca="1"/>
        <v/>
      </c>
      <c r="H90" s="69" t="str">
        <f ca="1"/>
        <v/>
      </c>
      <c r="I90" s="68" t="str">
        <f ca="1"/>
        <v/>
      </c>
      <c r="J90" s="70" t="str">
        <f ca="1"/>
        <v/>
      </c>
      <c r="K90" s="69" t="str">
        <f ca="1"/>
        <v/>
      </c>
      <c r="L90" s="71" t="str">
        <f ca="1"/>
        <v/>
      </c>
      <c r="M90" s="69" t="str">
        <f ca="1"/>
        <v/>
      </c>
      <c r="O90" s="67" t="str">
        <f ca="1"/>
        <v/>
      </c>
      <c r="P90" s="67" t="str">
        <f ca="1"/>
        <v/>
      </c>
      <c r="Q90" s="67" t="str">
        <f ca="1"/>
        <v/>
      </c>
      <c r="R90" s="69" t="str">
        <f ca="1"/>
        <v/>
      </c>
      <c r="S90" s="73" t="str">
        <f ca="1"/>
        <v/>
      </c>
      <c r="T90" s="67" t="str">
        <f ca="1"/>
        <v/>
      </c>
      <c r="U90" s="69" t="str">
        <f ca="1"/>
        <v/>
      </c>
      <c r="V90" s="69" t="str">
        <f ca="1"/>
        <v/>
      </c>
      <c r="W90" s="68" t="str">
        <f ca="1"/>
        <v/>
      </c>
      <c r="X90" s="68" t="str">
        <f ca="1"/>
        <v/>
      </c>
      <c r="Y90" s="102" t="str">
        <f ca="1"/>
        <v/>
      </c>
      <c r="Z90" s="69" t="str">
        <f ca="1"/>
        <v/>
      </c>
      <c r="AA90" s="66" t="str">
        <f ca="1"/>
        <v/>
      </c>
      <c r="AB90" s="64" t="str">
        <f ca="1"/>
        <v/>
      </c>
    </row>
    <row r="91" spans="2:28">
      <c r="B91" s="67" t="str">
        <f ca="1"/>
        <v/>
      </c>
      <c r="C91" s="67" t="str">
        <f ca="1"/>
        <v/>
      </c>
      <c r="D91" s="69" t="str">
        <f ca="1"/>
        <v/>
      </c>
      <c r="E91" s="73" t="str">
        <f ca="1"/>
        <v/>
      </c>
      <c r="F91" s="67" t="str">
        <f ca="1"/>
        <v/>
      </c>
      <c r="G91" s="69" t="str">
        <f ca="1"/>
        <v/>
      </c>
      <c r="H91" s="69" t="str">
        <f ca="1"/>
        <v/>
      </c>
      <c r="I91" s="68" t="str">
        <f ca="1"/>
        <v/>
      </c>
      <c r="J91" s="70" t="str">
        <f ca="1"/>
        <v/>
      </c>
      <c r="K91" s="69" t="str">
        <f ca="1"/>
        <v/>
      </c>
      <c r="L91" s="71" t="str">
        <f ca="1"/>
        <v/>
      </c>
      <c r="M91" s="69" t="str">
        <f ca="1"/>
        <v/>
      </c>
      <c r="O91" s="67" t="str">
        <f ca="1"/>
        <v/>
      </c>
      <c r="P91" s="67" t="str">
        <f ca="1"/>
        <v/>
      </c>
      <c r="Q91" s="67" t="str">
        <f ca="1"/>
        <v/>
      </c>
      <c r="R91" s="69" t="str">
        <f ca="1"/>
        <v/>
      </c>
      <c r="S91" s="73" t="str">
        <f ca="1"/>
        <v/>
      </c>
      <c r="T91" s="67" t="str">
        <f ca="1"/>
        <v/>
      </c>
      <c r="U91" s="69" t="str">
        <f ca="1"/>
        <v/>
      </c>
      <c r="V91" s="69" t="str">
        <f ca="1"/>
        <v/>
      </c>
      <c r="W91" s="68" t="str">
        <f ca="1"/>
        <v/>
      </c>
      <c r="X91" s="68" t="str">
        <f ca="1"/>
        <v/>
      </c>
      <c r="Y91" s="102" t="str">
        <f ca="1"/>
        <v/>
      </c>
      <c r="Z91" s="69" t="str">
        <f ca="1"/>
        <v/>
      </c>
      <c r="AA91" s="66" t="str">
        <f ca="1"/>
        <v/>
      </c>
      <c r="AB91" s="64" t="str">
        <f ca="1"/>
        <v/>
      </c>
    </row>
    <row r="92" spans="2:28">
      <c r="B92" s="67" t="str">
        <f ca="1"/>
        <v/>
      </c>
      <c r="C92" s="67" t="str">
        <f ca="1"/>
        <v/>
      </c>
      <c r="D92" s="69" t="str">
        <f ca="1"/>
        <v/>
      </c>
      <c r="E92" s="73" t="str">
        <f ca="1"/>
        <v/>
      </c>
      <c r="F92" s="67" t="str">
        <f ca="1"/>
        <v/>
      </c>
      <c r="G92" s="69" t="str">
        <f ca="1"/>
        <v/>
      </c>
      <c r="H92" s="69" t="str">
        <f ca="1"/>
        <v/>
      </c>
      <c r="I92" s="68" t="str">
        <f ca="1"/>
        <v/>
      </c>
      <c r="J92" s="70" t="str">
        <f ca="1"/>
        <v/>
      </c>
      <c r="K92" s="69" t="str">
        <f ca="1"/>
        <v/>
      </c>
      <c r="L92" s="71" t="str">
        <f ca="1"/>
        <v/>
      </c>
      <c r="M92" s="69" t="str">
        <f ca="1"/>
        <v/>
      </c>
      <c r="O92" s="67" t="str">
        <f ca="1"/>
        <v/>
      </c>
      <c r="P92" s="67" t="str">
        <f ca="1"/>
        <v/>
      </c>
      <c r="Q92" s="67" t="str">
        <f ca="1"/>
        <v/>
      </c>
      <c r="R92" s="69" t="str">
        <f ca="1"/>
        <v/>
      </c>
      <c r="S92" s="73" t="str">
        <f ca="1"/>
        <v/>
      </c>
      <c r="T92" s="67" t="str">
        <f ca="1"/>
        <v/>
      </c>
      <c r="U92" s="69" t="str">
        <f ca="1"/>
        <v/>
      </c>
      <c r="V92" s="69" t="str">
        <f ca="1"/>
        <v/>
      </c>
      <c r="W92" s="68" t="str">
        <f ca="1"/>
        <v/>
      </c>
      <c r="X92" s="68" t="str">
        <f ca="1"/>
        <v/>
      </c>
      <c r="Y92" s="102" t="str">
        <f ca="1"/>
        <v/>
      </c>
      <c r="Z92" s="69" t="str">
        <f ca="1"/>
        <v/>
      </c>
      <c r="AA92" s="66" t="str">
        <f ca="1"/>
        <v/>
      </c>
      <c r="AB92" s="64" t="str">
        <f ca="1"/>
        <v/>
      </c>
    </row>
    <row r="93" spans="2:28">
      <c r="B93" s="67" t="str">
        <f ca="1"/>
        <v/>
      </c>
      <c r="C93" s="67" t="str">
        <f ca="1"/>
        <v/>
      </c>
      <c r="D93" s="69" t="str">
        <f ca="1"/>
        <v/>
      </c>
      <c r="E93" s="73" t="str">
        <f ca="1"/>
        <v/>
      </c>
      <c r="F93" s="67" t="str">
        <f ca="1"/>
        <v/>
      </c>
      <c r="G93" s="69" t="str">
        <f ca="1"/>
        <v/>
      </c>
      <c r="H93" s="69" t="str">
        <f ca="1"/>
        <v/>
      </c>
      <c r="I93" s="68" t="str">
        <f ca="1"/>
        <v/>
      </c>
      <c r="J93" s="70" t="str">
        <f ca="1"/>
        <v/>
      </c>
      <c r="K93" s="69" t="str">
        <f ca="1"/>
        <v/>
      </c>
      <c r="L93" s="71" t="str">
        <f ca="1"/>
        <v/>
      </c>
      <c r="M93" s="69" t="str">
        <f ca="1"/>
        <v/>
      </c>
      <c r="O93" s="67" t="str">
        <f ca="1"/>
        <v/>
      </c>
      <c r="P93" s="67" t="str">
        <f ca="1"/>
        <v/>
      </c>
      <c r="Q93" s="67" t="str">
        <f ca="1"/>
        <v/>
      </c>
      <c r="R93" s="69" t="str">
        <f ca="1"/>
        <v/>
      </c>
      <c r="S93" s="73" t="str">
        <f ca="1"/>
        <v/>
      </c>
      <c r="T93" s="67" t="str">
        <f ca="1"/>
        <v/>
      </c>
      <c r="U93" s="69" t="str">
        <f ca="1"/>
        <v/>
      </c>
      <c r="V93" s="69" t="str">
        <f ca="1"/>
        <v/>
      </c>
      <c r="W93" s="68" t="str">
        <f ca="1"/>
        <v/>
      </c>
      <c r="X93" s="68" t="str">
        <f ca="1"/>
        <v/>
      </c>
      <c r="Y93" s="102" t="str">
        <f ca="1"/>
        <v/>
      </c>
      <c r="Z93" s="69" t="str">
        <f ca="1"/>
        <v/>
      </c>
      <c r="AA93" s="66" t="str">
        <f ca="1"/>
        <v/>
      </c>
      <c r="AB93" s="64" t="str">
        <f ca="1"/>
        <v/>
      </c>
    </row>
    <row r="94" spans="2:28">
      <c r="B94" s="67" t="str">
        <f ca="1"/>
        <v/>
      </c>
      <c r="C94" s="67" t="str">
        <f ca="1"/>
        <v/>
      </c>
      <c r="D94" s="69" t="str">
        <f ca="1"/>
        <v/>
      </c>
      <c r="E94" s="73" t="str">
        <f ca="1"/>
        <v/>
      </c>
      <c r="F94" s="67" t="str">
        <f ca="1"/>
        <v/>
      </c>
      <c r="G94" s="69" t="str">
        <f ca="1"/>
        <v/>
      </c>
      <c r="H94" s="69" t="str">
        <f ca="1"/>
        <v/>
      </c>
      <c r="I94" s="68" t="str">
        <f ca="1"/>
        <v/>
      </c>
      <c r="J94" s="70" t="str">
        <f ca="1"/>
        <v/>
      </c>
      <c r="K94" s="69" t="str">
        <f ca="1"/>
        <v/>
      </c>
      <c r="L94" s="71" t="str">
        <f ca="1"/>
        <v/>
      </c>
      <c r="M94" s="69" t="str">
        <f ca="1"/>
        <v/>
      </c>
      <c r="O94" s="67" t="str">
        <f ca="1"/>
        <v/>
      </c>
      <c r="P94" s="67" t="str">
        <f ca="1"/>
        <v/>
      </c>
      <c r="Q94" s="67" t="str">
        <f ca="1"/>
        <v/>
      </c>
      <c r="R94" s="69" t="str">
        <f ca="1"/>
        <v/>
      </c>
      <c r="S94" s="73" t="str">
        <f ca="1"/>
        <v/>
      </c>
      <c r="T94" s="67" t="str">
        <f ca="1"/>
        <v/>
      </c>
      <c r="U94" s="69" t="str">
        <f ca="1"/>
        <v/>
      </c>
      <c r="V94" s="69" t="str">
        <f ca="1"/>
        <v/>
      </c>
      <c r="W94" s="68" t="str">
        <f ca="1"/>
        <v/>
      </c>
      <c r="X94" s="68" t="str">
        <f ca="1"/>
        <v/>
      </c>
      <c r="Y94" s="102" t="str">
        <f ca="1"/>
        <v/>
      </c>
      <c r="Z94" s="69" t="str">
        <f ca="1"/>
        <v/>
      </c>
      <c r="AA94" s="66" t="str">
        <f ca="1"/>
        <v/>
      </c>
      <c r="AB94" s="64" t="str">
        <f ca="1"/>
        <v/>
      </c>
    </row>
    <row r="95" spans="2:28">
      <c r="B95" s="67" t="str">
        <f ca="1"/>
        <v/>
      </c>
      <c r="C95" s="67" t="str">
        <f ca="1"/>
        <v/>
      </c>
      <c r="D95" s="69" t="str">
        <f ca="1"/>
        <v/>
      </c>
      <c r="E95" s="73" t="str">
        <f ca="1"/>
        <v/>
      </c>
      <c r="F95" s="67" t="str">
        <f ca="1"/>
        <v/>
      </c>
      <c r="G95" s="69" t="str">
        <f ca="1"/>
        <v/>
      </c>
      <c r="H95" s="69" t="str">
        <f ca="1"/>
        <v/>
      </c>
      <c r="I95" s="68" t="str">
        <f ca="1"/>
        <v/>
      </c>
      <c r="J95" s="70" t="str">
        <f ca="1"/>
        <v/>
      </c>
      <c r="K95" s="69" t="str">
        <f ca="1"/>
        <v/>
      </c>
      <c r="L95" s="71" t="str">
        <f ca="1"/>
        <v/>
      </c>
      <c r="M95" s="69" t="str">
        <f ca="1"/>
        <v/>
      </c>
      <c r="O95" s="67" t="str">
        <f ca="1"/>
        <v/>
      </c>
      <c r="P95" s="67" t="str">
        <f ca="1"/>
        <v/>
      </c>
      <c r="Q95" s="67" t="str">
        <f ca="1"/>
        <v/>
      </c>
      <c r="R95" s="69" t="str">
        <f ca="1"/>
        <v/>
      </c>
      <c r="S95" s="73" t="str">
        <f ca="1"/>
        <v/>
      </c>
      <c r="T95" s="67" t="str">
        <f ca="1"/>
        <v/>
      </c>
      <c r="U95" s="69" t="str">
        <f ca="1"/>
        <v/>
      </c>
      <c r="V95" s="69" t="str">
        <f ca="1"/>
        <v/>
      </c>
      <c r="W95" s="68" t="str">
        <f ca="1"/>
        <v/>
      </c>
      <c r="X95" s="68" t="str">
        <f ca="1"/>
        <v/>
      </c>
      <c r="Y95" s="102" t="str">
        <f ca="1"/>
        <v/>
      </c>
      <c r="Z95" s="69" t="str">
        <f ca="1"/>
        <v/>
      </c>
      <c r="AA95" s="66" t="str">
        <f ca="1"/>
        <v/>
      </c>
      <c r="AB95" s="64" t="str">
        <f ca="1"/>
        <v/>
      </c>
    </row>
    <row r="96" spans="2:28">
      <c r="B96" s="67" t="str">
        <f ca="1"/>
        <v/>
      </c>
      <c r="C96" s="67" t="str">
        <f ca="1"/>
        <v/>
      </c>
      <c r="D96" s="69" t="str">
        <f ca="1"/>
        <v/>
      </c>
      <c r="E96" s="73" t="str">
        <f ca="1"/>
        <v/>
      </c>
      <c r="F96" s="67" t="str">
        <f ca="1"/>
        <v/>
      </c>
      <c r="G96" s="69" t="str">
        <f ca="1"/>
        <v/>
      </c>
      <c r="H96" s="69" t="str">
        <f ca="1"/>
        <v/>
      </c>
      <c r="I96" s="68" t="str">
        <f ca="1"/>
        <v/>
      </c>
      <c r="J96" s="70" t="str">
        <f ca="1"/>
        <v/>
      </c>
      <c r="K96" s="69" t="str">
        <f ca="1"/>
        <v/>
      </c>
      <c r="L96" s="71" t="str">
        <f ca="1"/>
        <v/>
      </c>
      <c r="M96" s="69" t="str">
        <f ca="1"/>
        <v/>
      </c>
      <c r="O96" s="67" t="str">
        <f ca="1"/>
        <v/>
      </c>
      <c r="P96" s="67" t="str">
        <f ca="1"/>
        <v/>
      </c>
      <c r="Q96" s="67" t="str">
        <f ca="1"/>
        <v/>
      </c>
      <c r="R96" s="69" t="str">
        <f ca="1"/>
        <v/>
      </c>
      <c r="S96" s="73" t="str">
        <f ca="1"/>
        <v/>
      </c>
      <c r="T96" s="67" t="str">
        <f ca="1"/>
        <v/>
      </c>
      <c r="U96" s="69" t="str">
        <f ca="1"/>
        <v/>
      </c>
      <c r="V96" s="69" t="str">
        <f ca="1"/>
        <v/>
      </c>
      <c r="W96" s="68" t="str">
        <f ca="1"/>
        <v/>
      </c>
      <c r="X96" s="68" t="str">
        <f ca="1"/>
        <v/>
      </c>
      <c r="Y96" s="102" t="str">
        <f ca="1"/>
        <v/>
      </c>
      <c r="Z96" s="69" t="str">
        <f ca="1"/>
        <v/>
      </c>
      <c r="AA96" s="66" t="str">
        <f ca="1"/>
        <v/>
      </c>
      <c r="AB96" s="64" t="str">
        <f ca="1"/>
        <v/>
      </c>
    </row>
    <row r="97" spans="2:28">
      <c r="B97" s="67" t="str">
        <f ca="1"/>
        <v/>
      </c>
      <c r="C97" s="67" t="str">
        <f ca="1"/>
        <v/>
      </c>
      <c r="D97" s="69" t="str">
        <f ca="1"/>
        <v/>
      </c>
      <c r="E97" s="73" t="str">
        <f ca="1"/>
        <v/>
      </c>
      <c r="F97" s="67" t="str">
        <f ca="1"/>
        <v/>
      </c>
      <c r="G97" s="69" t="str">
        <f ca="1"/>
        <v/>
      </c>
      <c r="H97" s="69" t="str">
        <f ca="1"/>
        <v/>
      </c>
      <c r="I97" s="68" t="str">
        <f ca="1"/>
        <v/>
      </c>
      <c r="J97" s="70" t="str">
        <f ca="1"/>
        <v/>
      </c>
      <c r="K97" s="69" t="str">
        <f ca="1"/>
        <v/>
      </c>
      <c r="L97" s="71" t="str">
        <f ca="1"/>
        <v/>
      </c>
      <c r="M97" s="69" t="str">
        <f ca="1"/>
        <v/>
      </c>
      <c r="O97" s="67" t="str">
        <f ca="1"/>
        <v/>
      </c>
      <c r="P97" s="67" t="str">
        <f ca="1"/>
        <v/>
      </c>
      <c r="Q97" s="67" t="str">
        <f ca="1"/>
        <v/>
      </c>
      <c r="R97" s="69" t="str">
        <f ca="1"/>
        <v/>
      </c>
      <c r="S97" s="73" t="str">
        <f ca="1"/>
        <v/>
      </c>
      <c r="T97" s="67" t="str">
        <f ca="1"/>
        <v/>
      </c>
      <c r="U97" s="69" t="str">
        <f ca="1"/>
        <v/>
      </c>
      <c r="V97" s="69" t="str">
        <f ca="1"/>
        <v/>
      </c>
      <c r="W97" s="68" t="str">
        <f ca="1"/>
        <v/>
      </c>
      <c r="X97" s="68" t="str">
        <f ca="1"/>
        <v/>
      </c>
      <c r="Y97" s="102" t="str">
        <f ca="1"/>
        <v/>
      </c>
      <c r="Z97" s="69" t="str">
        <f ca="1"/>
        <v/>
      </c>
      <c r="AA97" s="66" t="str">
        <f ca="1"/>
        <v/>
      </c>
      <c r="AB97" s="64" t="str">
        <f ca="1"/>
        <v/>
      </c>
    </row>
    <row r="98" spans="2:28">
      <c r="B98" s="67" t="str">
        <f ca="1"/>
        <v/>
      </c>
      <c r="C98" s="67" t="str">
        <f ca="1"/>
        <v/>
      </c>
      <c r="D98" s="69" t="str">
        <f ca="1"/>
        <v/>
      </c>
      <c r="E98" s="73" t="str">
        <f ca="1"/>
        <v/>
      </c>
      <c r="F98" s="67" t="str">
        <f ca="1"/>
        <v/>
      </c>
      <c r="G98" s="69" t="str">
        <f ca="1"/>
        <v/>
      </c>
      <c r="H98" s="69" t="str">
        <f ca="1"/>
        <v/>
      </c>
      <c r="I98" s="68" t="str">
        <f ca="1"/>
        <v/>
      </c>
      <c r="J98" s="70" t="str">
        <f ca="1"/>
        <v/>
      </c>
      <c r="K98" s="69" t="str">
        <f ca="1"/>
        <v/>
      </c>
      <c r="L98" s="71" t="str">
        <f ca="1"/>
        <v/>
      </c>
      <c r="M98" s="69" t="str">
        <f ca="1"/>
        <v/>
      </c>
      <c r="O98" s="67" t="str">
        <f ca="1"/>
        <v/>
      </c>
      <c r="P98" s="67" t="str">
        <f ca="1"/>
        <v/>
      </c>
      <c r="Q98" s="67" t="str">
        <f ca="1"/>
        <v/>
      </c>
      <c r="R98" s="69" t="str">
        <f ca="1"/>
        <v/>
      </c>
      <c r="S98" s="73" t="str">
        <f ca="1"/>
        <v/>
      </c>
      <c r="T98" s="67" t="str">
        <f ca="1"/>
        <v/>
      </c>
      <c r="U98" s="69" t="str">
        <f ca="1"/>
        <v/>
      </c>
      <c r="V98" s="69" t="str">
        <f ca="1"/>
        <v/>
      </c>
      <c r="W98" s="68" t="str">
        <f ca="1"/>
        <v/>
      </c>
      <c r="X98" s="68" t="str">
        <f ca="1"/>
        <v/>
      </c>
      <c r="Y98" s="102" t="str">
        <f ca="1"/>
        <v/>
      </c>
      <c r="Z98" s="69" t="str">
        <f ca="1"/>
        <v/>
      </c>
      <c r="AA98" s="66" t="str">
        <f ca="1"/>
        <v/>
      </c>
      <c r="AB98" s="64" t="str">
        <f ca="1"/>
        <v/>
      </c>
    </row>
    <row r="99" spans="2:28">
      <c r="B99" s="67" t="str">
        <f ca="1"/>
        <v/>
      </c>
      <c r="C99" s="67" t="str">
        <f ca="1"/>
        <v/>
      </c>
      <c r="D99" s="69" t="str">
        <f ca="1"/>
        <v/>
      </c>
      <c r="E99" s="73" t="str">
        <f ca="1"/>
        <v/>
      </c>
      <c r="F99" s="67" t="str">
        <f ca="1"/>
        <v/>
      </c>
      <c r="G99" s="69" t="str">
        <f ca="1"/>
        <v/>
      </c>
      <c r="H99" s="69" t="str">
        <f ca="1"/>
        <v/>
      </c>
      <c r="I99" s="68" t="str">
        <f ca="1"/>
        <v/>
      </c>
      <c r="J99" s="70" t="str">
        <f ca="1"/>
        <v/>
      </c>
      <c r="K99" s="69" t="str">
        <f ca="1"/>
        <v/>
      </c>
      <c r="L99" s="71" t="str">
        <f ca="1"/>
        <v/>
      </c>
      <c r="M99" s="69" t="str">
        <f ca="1"/>
        <v/>
      </c>
      <c r="O99" s="67" t="str">
        <f ca="1"/>
        <v/>
      </c>
      <c r="P99" s="67" t="str">
        <f ca="1"/>
        <v/>
      </c>
      <c r="Q99" s="67" t="str">
        <f ca="1"/>
        <v/>
      </c>
      <c r="R99" s="69" t="str">
        <f ca="1"/>
        <v/>
      </c>
      <c r="S99" s="73" t="str">
        <f ca="1"/>
        <v/>
      </c>
      <c r="T99" s="67" t="str">
        <f ca="1"/>
        <v/>
      </c>
      <c r="U99" s="69" t="str">
        <f ca="1"/>
        <v/>
      </c>
      <c r="V99" s="69" t="str">
        <f ca="1"/>
        <v/>
      </c>
      <c r="W99" s="68" t="str">
        <f ca="1"/>
        <v/>
      </c>
      <c r="X99" s="68" t="str">
        <f ca="1"/>
        <v/>
      </c>
      <c r="Y99" s="102" t="str">
        <f ca="1"/>
        <v/>
      </c>
      <c r="Z99" s="69" t="str">
        <f ca="1"/>
        <v/>
      </c>
      <c r="AA99" s="66" t="str">
        <f ca="1"/>
        <v/>
      </c>
      <c r="AB99" s="64" t="str">
        <f ca="1"/>
        <v/>
      </c>
    </row>
    <row r="100" spans="2:28">
      <c r="B100" s="67" t="str">
        <f ca="1"/>
        <v/>
      </c>
      <c r="C100" s="67" t="str">
        <f ca="1"/>
        <v/>
      </c>
      <c r="D100" s="69" t="str">
        <f ca="1"/>
        <v/>
      </c>
      <c r="E100" s="73" t="str">
        <f ca="1"/>
        <v/>
      </c>
      <c r="F100" s="67" t="str">
        <f ca="1"/>
        <v/>
      </c>
      <c r="G100" s="69" t="str">
        <f ca="1"/>
        <v/>
      </c>
      <c r="H100" s="69" t="str">
        <f ca="1"/>
        <v/>
      </c>
      <c r="I100" s="68" t="str">
        <f ca="1"/>
        <v/>
      </c>
      <c r="J100" s="70" t="str">
        <f ca="1"/>
        <v/>
      </c>
      <c r="K100" s="69" t="str">
        <f ca="1"/>
        <v/>
      </c>
      <c r="L100" s="71" t="str">
        <f ca="1"/>
        <v/>
      </c>
      <c r="M100" s="69" t="str">
        <f ca="1"/>
        <v/>
      </c>
      <c r="O100" s="67" t="str">
        <f ca="1"/>
        <v/>
      </c>
      <c r="P100" s="67" t="str">
        <f ca="1"/>
        <v/>
      </c>
      <c r="Q100" s="67" t="str">
        <f ca="1"/>
        <v/>
      </c>
      <c r="R100" s="69" t="str">
        <f ca="1"/>
        <v/>
      </c>
      <c r="S100" s="73" t="str">
        <f ca="1"/>
        <v/>
      </c>
      <c r="T100" s="67" t="str">
        <f ca="1"/>
        <v/>
      </c>
      <c r="U100" s="69" t="str">
        <f ca="1"/>
        <v/>
      </c>
      <c r="V100" s="69" t="str">
        <f ca="1"/>
        <v/>
      </c>
      <c r="W100" s="68" t="str">
        <f ca="1"/>
        <v/>
      </c>
      <c r="X100" s="68" t="str">
        <f ca="1"/>
        <v/>
      </c>
      <c r="Y100" s="102" t="str">
        <f ca="1"/>
        <v/>
      </c>
      <c r="Z100" s="69" t="str">
        <f ca="1"/>
        <v/>
      </c>
      <c r="AA100" s="66" t="str">
        <f ca="1"/>
        <v/>
      </c>
      <c r="AB100" s="64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USD ASW</vt:lpstr>
      <vt:lpstr>BOND CASHFLOWS</vt:lpstr>
      <vt:lpstr>ASW CASHFLOWS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2018-03-26T13:24:43Z</dcterms:modified>
</cp:coreProperties>
</file>