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003\BurgNi$\DESKTOP\"/>
    </mc:Choice>
  </mc:AlternateContent>
  <bookViews>
    <workbookView xWindow="10395" yWindow="-105" windowWidth="14850" windowHeight="12735" activeTab="3"/>
  </bookViews>
  <sheets>
    <sheet name="FIXINGS" sheetId="2" r:id="rId1"/>
    <sheet name="TEMPLATES" sheetId="7" r:id="rId2"/>
    <sheet name="INFLATION_CURVE" sheetId="6" r:id="rId3"/>
    <sheet name="ZC_INFLATION_SWAP" sheetId="8" r:id="rId4"/>
  </sheets>
  <calcPr calcId="162913" calcMode="manual" calcCompleted="0" calcOnSave="0" concurrentCalc="0"/>
</workbook>
</file>

<file path=xl/calcChain.xml><?xml version="1.0" encoding="utf-8"?>
<calcChain xmlns="http://schemas.openxmlformats.org/spreadsheetml/2006/main">
  <c r="B26" i="8" l="1" a="1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B16" i="8" a="1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F12" i="8"/>
  <c r="F11" i="8"/>
  <c r="F10" i="8"/>
  <c r="F8" i="8"/>
  <c r="C6" i="8"/>
  <c r="G8" i="2"/>
  <c r="B8" i="2"/>
  <c r="C8" i="6"/>
  <c r="C17" i="6"/>
  <c r="C4" i="6"/>
  <c r="C3" i="8"/>
  <c r="F3" i="7"/>
  <c r="B6" i="7" a="1"/>
  <c r="B6" i="7"/>
  <c r="C6" i="7"/>
  <c r="D6" i="7"/>
  <c r="B7" i="7"/>
  <c r="C7" i="7"/>
  <c r="D7" i="7"/>
  <c r="B8" i="7"/>
  <c r="C8" i="7"/>
  <c r="D8" i="7"/>
  <c r="B9" i="7"/>
  <c r="C9" i="7"/>
  <c r="D9" i="7"/>
  <c r="B10" i="7"/>
  <c r="C10" i="7"/>
  <c r="D10" i="7"/>
  <c r="B11" i="7"/>
  <c r="C11" i="7"/>
  <c r="D11" i="7"/>
  <c r="B12" i="7"/>
  <c r="C12" i="7"/>
  <c r="D12" i="7"/>
  <c r="B13" i="7"/>
  <c r="C13" i="7"/>
  <c r="D13" i="7"/>
  <c r="B14" i="7"/>
  <c r="C14" i="7"/>
  <c r="D14" i="7"/>
  <c r="B15" i="7"/>
  <c r="C15" i="7"/>
  <c r="D15" i="7"/>
  <c r="B16" i="7"/>
  <c r="C16" i="7"/>
  <c r="D16" i="7"/>
  <c r="B17" i="7"/>
  <c r="C17" i="7"/>
  <c r="D17" i="7"/>
  <c r="B18" i="7"/>
  <c r="C18" i="7"/>
  <c r="D18" i="7"/>
  <c r="B19" i="7"/>
  <c r="C19" i="7"/>
  <c r="D19" i="7"/>
  <c r="B20" i="7"/>
  <c r="C20" i="7"/>
  <c r="D20" i="7"/>
  <c r="B21" i="7"/>
  <c r="C21" i="7"/>
  <c r="D21" i="7"/>
  <c r="B22" i="7"/>
  <c r="C22" i="7"/>
  <c r="D22" i="7"/>
  <c r="B23" i="7"/>
  <c r="C23" i="7"/>
  <c r="D23" i="7"/>
  <c r="B24" i="7"/>
  <c r="C24" i="7"/>
  <c r="D24" i="7"/>
  <c r="B25" i="7"/>
  <c r="C25" i="7"/>
  <c r="D25" i="7"/>
  <c r="B26" i="7"/>
  <c r="C26" i="7"/>
  <c r="D26" i="7"/>
  <c r="B27" i="7"/>
  <c r="C27" i="7"/>
  <c r="D27" i="7"/>
  <c r="B28" i="7"/>
  <c r="C28" i="7"/>
  <c r="D28" i="7"/>
  <c r="B29" i="7"/>
  <c r="C29" i="7"/>
  <c r="D29" i="7"/>
  <c r="B30" i="7"/>
  <c r="C30" i="7"/>
  <c r="D30" i="7"/>
  <c r="B31" i="7"/>
  <c r="C31" i="7"/>
  <c r="D31" i="7"/>
  <c r="B32" i="7"/>
  <c r="C32" i="7"/>
  <c r="D32" i="7"/>
  <c r="B33" i="7"/>
  <c r="C33" i="7"/>
  <c r="D33" i="7"/>
  <c r="B34" i="7"/>
  <c r="C34" i="7"/>
  <c r="D34" i="7"/>
  <c r="B35" i="7"/>
  <c r="C35" i="7"/>
  <c r="D35" i="7"/>
  <c r="B36" i="7"/>
  <c r="C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B42" i="7"/>
  <c r="C42" i="7"/>
  <c r="D42" i="7"/>
  <c r="B43" i="7"/>
  <c r="C43" i="7"/>
  <c r="D43" i="7"/>
  <c r="B44" i="7"/>
  <c r="C44" i="7"/>
  <c r="D44" i="7"/>
  <c r="B45" i="7"/>
  <c r="C45" i="7"/>
  <c r="D45" i="7"/>
  <c r="B46" i="7"/>
  <c r="C46" i="7"/>
  <c r="D46" i="7"/>
  <c r="B47" i="7"/>
  <c r="C47" i="7"/>
  <c r="D47" i="7"/>
  <c r="B48" i="7"/>
  <c r="C48" i="7"/>
  <c r="D48" i="7"/>
  <c r="B49" i="7"/>
  <c r="C49" i="7"/>
  <c r="D49" i="7"/>
  <c r="B50" i="7"/>
  <c r="C50" i="7"/>
  <c r="D50" i="7"/>
  <c r="K8" i="6" a="1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I10" i="2"/>
  <c r="I4" i="2"/>
  <c r="I5" i="2"/>
  <c r="I6" i="2"/>
  <c r="I7" i="2"/>
  <c r="I8" i="2"/>
  <c r="I9" i="2"/>
  <c r="I3" i="2"/>
  <c r="J3" i="2" a="1"/>
  <c r="J3" i="2"/>
  <c r="J4" i="2"/>
  <c r="J5" i="2"/>
  <c r="J8" i="2"/>
  <c r="J9" i="2"/>
  <c r="J10" i="2"/>
  <c r="J6" i="2"/>
  <c r="J7" i="2"/>
</calcChain>
</file>

<file path=xl/sharedStrings.xml><?xml version="1.0" encoding="utf-8"?>
<sst xmlns="http://schemas.openxmlformats.org/spreadsheetml/2006/main" count="199" uniqueCount="146">
  <si>
    <t>Security</t>
  </si>
  <si>
    <t>Start Date</t>
  </si>
  <si>
    <t>End Date</t>
  </si>
  <si>
    <t>Period</t>
  </si>
  <si>
    <t>M</t>
  </si>
  <si>
    <t>Date</t>
  </si>
  <si>
    <t>PX_LAST</t>
  </si>
  <si>
    <t>PX_MID</t>
  </si>
  <si>
    <t>TableName</t>
  </si>
  <si>
    <t>UKRPI</t>
  </si>
  <si>
    <t>Currency</t>
  </si>
  <si>
    <t>GBP</t>
  </si>
  <si>
    <t>INFLATION</t>
  </si>
  <si>
    <t>TableType</t>
  </si>
  <si>
    <t>InflationIndex</t>
  </si>
  <si>
    <t>RPI</t>
  </si>
  <si>
    <t>50Y</t>
  </si>
  <si>
    <t>40Y</t>
  </si>
  <si>
    <t>30Y</t>
  </si>
  <si>
    <t>25Y</t>
  </si>
  <si>
    <t>20Y</t>
  </si>
  <si>
    <t>December</t>
  </si>
  <si>
    <t>15Y</t>
  </si>
  <si>
    <t>November</t>
  </si>
  <si>
    <t>12Y</t>
  </si>
  <si>
    <t>October</t>
  </si>
  <si>
    <t>10Y</t>
  </si>
  <si>
    <t>FixingTable</t>
  </si>
  <si>
    <t>September</t>
  </si>
  <si>
    <t>9Y</t>
  </si>
  <si>
    <t>PiecewiseConstant</t>
  </si>
  <si>
    <t>Interpolation</t>
  </si>
  <si>
    <t>August</t>
  </si>
  <si>
    <t>8Y</t>
  </si>
  <si>
    <t>GBP_ZC_UKRPI</t>
  </si>
  <si>
    <t>SwapGenerator</t>
  </si>
  <si>
    <t>July</t>
  </si>
  <si>
    <t>7Y</t>
  </si>
  <si>
    <t>June</t>
  </si>
  <si>
    <t>6Y</t>
  </si>
  <si>
    <t>GBPYC</t>
  </si>
  <si>
    <t>CurveCollection</t>
  </si>
  <si>
    <t>May</t>
  </si>
  <si>
    <t>5Y</t>
  </si>
  <si>
    <t>April</t>
  </si>
  <si>
    <t>4Y</t>
  </si>
  <si>
    <t>LNB</t>
  </si>
  <si>
    <t>SpotCalendar</t>
  </si>
  <si>
    <t>March</t>
  </si>
  <si>
    <t>3Y</t>
  </si>
  <si>
    <t>FOLLOWING</t>
  </si>
  <si>
    <t>SpotBusinessDayAdjustment</t>
  </si>
  <si>
    <t>Febuary</t>
  </si>
  <si>
    <t>2Y</t>
  </si>
  <si>
    <t>2D</t>
  </si>
  <si>
    <t>SpotLag</t>
  </si>
  <si>
    <t>January</t>
  </si>
  <si>
    <t>1Y</t>
  </si>
  <si>
    <t>AsOfDate</t>
  </si>
  <si>
    <t>Index Level</t>
  </si>
  <si>
    <t>Adjustment</t>
  </si>
  <si>
    <t>Month</t>
  </si>
  <si>
    <t>Break even</t>
  </si>
  <si>
    <t>CURVE_PROPERTIES</t>
  </si>
  <si>
    <t>SEASONALITY</t>
  </si>
  <si>
    <t>ZC_INFLATIONSWAPS</t>
  </si>
  <si>
    <t>CreateCurve</t>
  </si>
  <si>
    <t>InflationCurve_GBP_RPI</t>
  </si>
  <si>
    <t>CurveName</t>
  </si>
  <si>
    <t>CREATE CURVE</t>
  </si>
  <si>
    <t>NearestNode</t>
  </si>
  <si>
    <t>INFLATIONRESETTYPE</t>
  </si>
  <si>
    <t/>
  </si>
  <si>
    <t>PAYMENTTRIGGER</t>
  </si>
  <si>
    <t>NATURAL</t>
  </si>
  <si>
    <t>LASTSTUBCURVEINDEX</t>
  </si>
  <si>
    <t>FIRSTSTUBCURVEINDEX</t>
  </si>
  <si>
    <t>ISFWDINTER</t>
  </si>
  <si>
    <t>FIXINGADVANCEORARREAR</t>
  </si>
  <si>
    <t>2M</t>
  </si>
  <si>
    <t>FIXINGLAG</t>
  </si>
  <si>
    <t>FIXINGCALENDAR</t>
  </si>
  <si>
    <t>NO_CHANGE</t>
  </si>
  <si>
    <t>FIXINGBUSINESSDAYADJUSTMENT</t>
  </si>
  <si>
    <t>ShortStart</t>
  </si>
  <si>
    <t>STUBTYPE</t>
  </si>
  <si>
    <t>NORMAL</t>
  </si>
  <si>
    <t>ROLLDAY</t>
  </si>
  <si>
    <t>LASTSTUBDATE</t>
  </si>
  <si>
    <t>FIRSTSTUBDATE</t>
  </si>
  <si>
    <t>0D</t>
  </si>
  <si>
    <t>PAYMENTLAG</t>
  </si>
  <si>
    <t>PAYMENTCALENDAR</t>
  </si>
  <si>
    <t>MOD_FOLLOWING</t>
  </si>
  <si>
    <t>PAYMENTBUSINESSDAYADJUSTMENT</t>
  </si>
  <si>
    <t>AtMaturity</t>
  </si>
  <si>
    <t>PAYMENTFREQUENCY</t>
  </si>
  <si>
    <t>ACT/ACT</t>
  </si>
  <si>
    <t>ACCRUALDAYCOUNT</t>
  </si>
  <si>
    <t>ACCRUALCALENDAR</t>
  </si>
  <si>
    <t>ACCRUALBUSINESSDAYADJUSTMENT</t>
  </si>
  <si>
    <t>Annual</t>
  </si>
  <si>
    <t>ACCRUALFREQUENCY</t>
  </si>
  <si>
    <t>CURRENCY</t>
  </si>
  <si>
    <t>VALUATIONCURRENCY</t>
  </si>
  <si>
    <t>GBPOIS</t>
  </si>
  <si>
    <t>DISCOUNTCURVE</t>
  </si>
  <si>
    <t>NONE</t>
  </si>
  <si>
    <t>NOTIONALEXCHANGE</t>
  </si>
  <si>
    <t>COMPOUNDMETHOD</t>
  </si>
  <si>
    <t>GBPUKRPI</t>
  </si>
  <si>
    <t>FORECASTCURVE</t>
  </si>
  <si>
    <t>1</t>
  </si>
  <si>
    <t>LEVERAGE</t>
  </si>
  <si>
    <t>Leg2:Inflation</t>
  </si>
  <si>
    <t>Leg1:Fixed</t>
  </si>
  <si>
    <t>LEGTYPE</t>
  </si>
  <si>
    <t>Custom_RPI</t>
  </si>
  <si>
    <t>Par Rate</t>
  </si>
  <si>
    <t>Leg PV</t>
  </si>
  <si>
    <t>Leg</t>
  </si>
  <si>
    <t>Reset Rate</t>
  </si>
  <si>
    <t>Reset Index</t>
  </si>
  <si>
    <t>Base Index</t>
  </si>
  <si>
    <t>SwapCreate</t>
  </si>
  <si>
    <t>RateorSpread2</t>
  </si>
  <si>
    <t>RateOrSpread1</t>
  </si>
  <si>
    <t>MaturityDate</t>
  </si>
  <si>
    <t>EffectiveDate</t>
  </si>
  <si>
    <t>Notional</t>
  </si>
  <si>
    <t>PAY</t>
  </si>
  <si>
    <t>PayReceive</t>
  </si>
  <si>
    <t>ZCSWAP_UKRPI</t>
  </si>
  <si>
    <t>SwapName</t>
  </si>
  <si>
    <t>Create Inflation Fixing Table</t>
  </si>
  <si>
    <t>Display Selected Fixings</t>
  </si>
  <si>
    <t>Create Object</t>
  </si>
  <si>
    <t>Total PV</t>
  </si>
  <si>
    <t>CALIBRATION OUTPUT</t>
  </si>
  <si>
    <t xml:space="preserve">UKRPI Index </t>
  </si>
  <si>
    <t>Zero Coupon Inflation Swap</t>
  </si>
  <si>
    <t>Term / Maturity</t>
  </si>
  <si>
    <t>ZC INFLATION SWAP</t>
  </si>
  <si>
    <t>Cashflows :</t>
  </si>
  <si>
    <t>VALUATION</t>
  </si>
  <si>
    <t>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</si>
</sst>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-* #,##0.00_-;\-* #,##0.00_-;_-* &quot;-&quot;??_-;_-@_-"/>
    <numFmt numFmtId="164" formatCode="0.0000%"/>
    <numFmt numFmtId="165" formatCode="_-* #,##0.0000_-;\-* #,##0.0000_-;_-* &quot;-&quot;??_-;_-@_-"/>
    <numFmt numFmtId="168" formatCode="0.000000"/>
    <numFmt numFmtId="169" formatCode="ddd\,\ d\-mmm\-yy"/>
    <numFmt numFmtId="172" formatCode="#,##0.0000"/>
    <numFmt numFmtId="176" formatCode="0.00000%"/>
    <numFmt numFmtId="177" formatCode="#,##0.0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dotted">
        <color theme="0" tint="-0.24994659260841701"/>
      </bottom>
      <diagonal/>
    </border>
  </borders>
  <cellStyleXfs count="46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99">
    <xf numFmtId="0" fontId="0" fillId="0" borderId="0" xfId="0"/>
    <xf numFmtId="0" fontId="0" fillId="0" borderId="0" xfId="0"/>
    <xf numFmtId="0" fontId="19" fillId="33" borderId="10" xfId="0" applyNumberFormat="1" applyFont="1" applyFill="1" applyBorder="1" applyAlignment="1">
      <alignment horizontal="center" vertical="center"/>
    </xf>
    <xf numFmtId="15" fontId="0" fillId="34" borderId="10" xfId="0" applyNumberFormat="1" applyFill="1" applyBorder="1" applyAlignment="1">
      <alignment horizontal="center"/>
    </xf>
    <xf numFmtId="164" fontId="19" fillId="33" borderId="10" xfId="0" applyNumberFormat="1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/>
    </xf>
    <xf numFmtId="0" fontId="19" fillId="33" borderId="11" xfId="0" applyNumberFormat="1" applyFont="1" applyFill="1" applyBorder="1" applyAlignment="1">
      <alignment horizontal="center" vertical="center"/>
    </xf>
    <xf numFmtId="15" fontId="0" fillId="34" borderId="11" xfId="0" applyNumberFormat="1" applyFill="1" applyBorder="1" applyAlignment="1">
      <alignment horizontal="center"/>
    </xf>
    <xf numFmtId="164" fontId="19" fillId="33" borderId="11" xfId="0" applyNumberFormat="1" applyFont="1" applyFill="1" applyBorder="1" applyAlignment="1">
      <alignment horizontal="center" vertical="center"/>
    </xf>
    <xf numFmtId="0" fontId="0" fillId="34" borderId="11" xfId="0" applyFill="1" applyBorder="1" applyAlignment="1">
      <alignment horizontal="center"/>
    </xf>
    <xf numFmtId="0" fontId="0" fillId="34" borderId="10" xfId="0" applyNumberFormat="1" applyFill="1" applyBorder="1"/>
    <xf numFmtId="0" fontId="0" fillId="34" borderId="11" xfId="0" applyNumberFormat="1" applyFill="1" applyBorder="1"/>
    <xf numFmtId="0" fontId="19" fillId="33" borderId="12" xfId="0" applyNumberFormat="1" applyFont="1" applyFill="1" applyBorder="1" applyAlignment="1">
      <alignment horizontal="center" vertical="center"/>
    </xf>
    <xf numFmtId="15" fontId="0" fillId="34" borderId="12" xfId="0" applyNumberFormat="1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164" fontId="19" fillId="33" borderId="12" xfId="0" applyNumberFormat="1" applyFont="1" applyFill="1" applyBorder="1" applyAlignment="1">
      <alignment horizontal="center" vertical="center"/>
    </xf>
    <xf numFmtId="15" fontId="19" fillId="33" borderId="12" xfId="0" applyNumberFormat="1" applyFont="1" applyFill="1" applyBorder="1" applyAlignment="1">
      <alignment horizontal="center" vertical="center"/>
    </xf>
    <xf numFmtId="0" fontId="0" fillId="34" borderId="12" xfId="0" applyNumberFormat="1" applyFill="1" applyBorder="1"/>
    <xf numFmtId="0" fontId="0" fillId="35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35" borderId="0" xfId="0" applyFont="1" applyFill="1" applyBorder="1"/>
    <xf numFmtId="0" fontId="0" fillId="0" borderId="12" xfId="0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165" fontId="0" fillId="0" borderId="0" xfId="44" applyNumberFormat="1" applyFont="1"/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34" borderId="12" xfId="0" applyNumberFormat="1" applyFont="1" applyFill="1" applyBorder="1" applyAlignment="1">
      <alignment horizontal="center" vertical="center"/>
    </xf>
    <xf numFmtId="0" fontId="0" fillId="34" borderId="11" xfId="0" applyNumberFormat="1" applyFont="1" applyFill="1" applyBorder="1" applyAlignment="1">
      <alignment horizontal="center" vertical="center"/>
    </xf>
    <xf numFmtId="0" fontId="0" fillId="34" borderId="10" xfId="0" applyNumberFormat="1" applyFont="1" applyFill="1" applyBorder="1" applyAlignment="1">
      <alignment horizontal="center" vertical="center"/>
    </xf>
    <xf numFmtId="0" fontId="17" fillId="0" borderId="0" xfId="0" applyFont="1"/>
    <xf numFmtId="0" fontId="0" fillId="34" borderId="13" xfId="0" applyNumberFormat="1" applyFill="1" applyBorder="1"/>
    <xf numFmtId="0" fontId="0" fillId="0" borderId="12" xfId="0" applyBorder="1"/>
    <xf numFmtId="0" fontId="0" fillId="0" borderId="11" xfId="0" applyBorder="1"/>
    <xf numFmtId="0" fontId="0" fillId="0" borderId="10" xfId="0" applyBorder="1"/>
    <xf numFmtId="15" fontId="1" fillId="33" borderId="11" xfId="42" applyNumberFormat="1" applyFont="1" applyFill="1" applyBorder="1" applyAlignment="1" applyProtection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69" fontId="22" fillId="0" borderId="0" xfId="0" applyNumberFormat="1" applyFont="1" applyAlignment="1">
      <alignment horizontal="center" vertical="center"/>
    </xf>
    <xf numFmtId="4" fontId="22" fillId="0" borderId="0" xfId="0" applyNumberFormat="1" applyFont="1" applyAlignment="1">
      <alignment horizontal="center" vertical="center"/>
    </xf>
    <xf numFmtId="0" fontId="0" fillId="34" borderId="13" xfId="0" applyFill="1" applyBorder="1"/>
    <xf numFmtId="0" fontId="0" fillId="0" borderId="12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19" fillId="0" borderId="11" xfId="0" applyNumberFormat="1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0" fontId="0" fillId="33" borderId="13" xfId="0" applyFill="1" applyBorder="1"/>
    <xf numFmtId="0" fontId="17" fillId="36" borderId="13" xfId="45" applyNumberFormat="1" applyFont="1" applyFill="1" applyBorder="1" applyAlignment="1">
      <alignment horizontal="center" vertical="center"/>
    </xf>
    <xf numFmtId="0" fontId="17" fillId="36" borderId="10" xfId="45" applyNumberFormat="1" applyFont="1" applyFill="1" applyBorder="1" applyAlignment="1">
      <alignment horizontal="center" vertical="center"/>
    </xf>
    <xf numFmtId="169" fontId="21" fillId="34" borderId="12" xfId="0" applyNumberFormat="1" applyFont="1" applyFill="1" applyBorder="1" applyAlignment="1">
      <alignment horizontal="center"/>
    </xf>
    <xf numFmtId="169" fontId="21" fillId="34" borderId="11" xfId="0" applyNumberFormat="1" applyFont="1" applyFill="1" applyBorder="1" applyAlignment="1">
      <alignment horizontal="center"/>
    </xf>
    <xf numFmtId="169" fontId="21" fillId="34" borderId="10" xfId="0" applyNumberFormat="1" applyFont="1" applyFill="1" applyBorder="1" applyAlignment="1">
      <alignment horizontal="center"/>
    </xf>
    <xf numFmtId="172" fontId="21" fillId="34" borderId="12" xfId="0" applyNumberFormat="1" applyFont="1" applyFill="1" applyBorder="1" applyAlignment="1">
      <alignment horizontal="center" vertical="center"/>
    </xf>
    <xf numFmtId="172" fontId="21" fillId="34" borderId="11" xfId="0" applyNumberFormat="1" applyFont="1" applyFill="1" applyBorder="1" applyAlignment="1">
      <alignment horizontal="center" vertical="center"/>
    </xf>
    <xf numFmtId="172" fontId="21" fillId="34" borderId="10" xfId="0" applyNumberFormat="1" applyFon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3" fontId="19" fillId="33" borderId="11" xfId="44" applyNumberFormat="1" applyFont="1" applyFill="1" applyBorder="1" applyAlignment="1">
      <alignment horizontal="center" vertical="center"/>
    </xf>
    <xf numFmtId="176" fontId="19" fillId="33" borderId="10" xfId="43" applyNumberFormat="1" applyFont="1" applyFill="1" applyBorder="1" applyAlignment="1">
      <alignment horizontal="center" vertical="center"/>
    </xf>
    <xf numFmtId="0" fontId="0" fillId="34" borderId="14" xfId="0" applyFill="1" applyBorder="1"/>
    <xf numFmtId="0" fontId="23" fillId="36" borderId="14" xfId="0" applyFont="1" applyFill="1" applyBorder="1" applyAlignment="1">
      <alignment horizontal="center" vertical="center"/>
    </xf>
    <xf numFmtId="0" fontId="17" fillId="0" borderId="0" xfId="0" applyFont="1" applyFill="1" applyBorder="1"/>
    <xf numFmtId="169" fontId="19" fillId="33" borderId="12" xfId="0" applyNumberFormat="1" applyFont="1" applyFill="1" applyBorder="1" applyAlignment="1">
      <alignment horizontal="center" vertical="center"/>
    </xf>
    <xf numFmtId="169" fontId="19" fillId="33" borderId="11" xfId="0" applyNumberFormat="1" applyFont="1" applyFill="1" applyBorder="1" applyAlignment="1">
      <alignment horizontal="center" vertical="center"/>
    </xf>
    <xf numFmtId="176" fontId="19" fillId="33" borderId="11" xfId="43" applyNumberFormat="1" applyFont="1" applyFill="1" applyBorder="1" applyAlignment="1">
      <alignment horizontal="center" vertical="center"/>
    </xf>
    <xf numFmtId="0" fontId="21" fillId="34" borderId="15" xfId="0" applyFont="1" applyFill="1" applyBorder="1"/>
    <xf numFmtId="0" fontId="21" fillId="34" borderId="16" xfId="0" applyFont="1" applyFill="1" applyBorder="1"/>
    <xf numFmtId="0" fontId="21" fillId="34" borderId="17" xfId="0" applyFont="1" applyFill="1" applyBorder="1"/>
    <xf numFmtId="0" fontId="21" fillId="34" borderId="18" xfId="0" applyFont="1" applyFill="1" applyBorder="1" applyAlignment="1">
      <alignment horizontal="center"/>
    </xf>
    <xf numFmtId="0" fontId="21" fillId="34" borderId="0" xfId="0" applyFont="1" applyFill="1" applyBorder="1" applyAlignment="1">
      <alignment horizontal="center"/>
    </xf>
    <xf numFmtId="0" fontId="21" fillId="34" borderId="19" xfId="0" applyFont="1" applyFill="1" applyBorder="1"/>
    <xf numFmtId="15" fontId="21" fillId="34" borderId="18" xfId="0" applyNumberFormat="1" applyFont="1" applyFill="1" applyBorder="1" applyAlignment="1">
      <alignment horizontal="center"/>
    </xf>
    <xf numFmtId="15" fontId="21" fillId="34" borderId="0" xfId="0" applyNumberFormat="1" applyFont="1" applyFill="1" applyBorder="1" applyAlignment="1">
      <alignment horizontal="center"/>
    </xf>
    <xf numFmtId="172" fontId="21" fillId="34" borderId="0" xfId="0" applyNumberFormat="1" applyFont="1" applyFill="1" applyBorder="1" applyAlignment="1">
      <alignment horizontal="center"/>
    </xf>
    <xf numFmtId="3" fontId="21" fillId="34" borderId="0" xfId="0" applyNumberFormat="1" applyFont="1" applyFill="1" applyBorder="1" applyAlignment="1">
      <alignment horizontal="center"/>
    </xf>
    <xf numFmtId="4" fontId="21" fillId="34" borderId="0" xfId="0" applyNumberFormat="1" applyFont="1" applyFill="1" applyBorder="1" applyAlignment="1">
      <alignment horizontal="center"/>
    </xf>
    <xf numFmtId="176" fontId="21" fillId="34" borderId="0" xfId="0" applyNumberFormat="1" applyFont="1" applyFill="1" applyBorder="1" applyAlignment="1">
      <alignment horizontal="center"/>
    </xf>
    <xf numFmtId="177" fontId="21" fillId="34" borderId="0" xfId="0" applyNumberFormat="1" applyFont="1" applyFill="1" applyBorder="1" applyAlignment="1">
      <alignment horizontal="center"/>
    </xf>
    <xf numFmtId="3" fontId="21" fillId="34" borderId="0" xfId="44" applyNumberFormat="1" applyFont="1" applyFill="1" applyBorder="1" applyAlignment="1">
      <alignment horizontal="center"/>
    </xf>
    <xf numFmtId="15" fontId="21" fillId="34" borderId="20" xfId="0" applyNumberFormat="1" applyFont="1" applyFill="1" applyBorder="1" applyAlignment="1">
      <alignment horizontal="center"/>
    </xf>
    <xf numFmtId="15" fontId="21" fillId="34" borderId="21" xfId="0" applyNumberFormat="1" applyFont="1" applyFill="1" applyBorder="1" applyAlignment="1">
      <alignment horizontal="center"/>
    </xf>
    <xf numFmtId="0" fontId="21" fillId="34" borderId="21" xfId="0" applyFont="1" applyFill="1" applyBorder="1" applyAlignment="1">
      <alignment horizontal="center"/>
    </xf>
    <xf numFmtId="172" fontId="21" fillId="34" borderId="21" xfId="0" applyNumberFormat="1" applyFont="1" applyFill="1" applyBorder="1" applyAlignment="1">
      <alignment horizontal="center"/>
    </xf>
    <xf numFmtId="3" fontId="21" fillId="34" borderId="21" xfId="0" applyNumberFormat="1" applyFont="1" applyFill="1" applyBorder="1" applyAlignment="1">
      <alignment horizontal="center"/>
    </xf>
    <xf numFmtId="4" fontId="21" fillId="34" borderId="21" xfId="0" applyNumberFormat="1" applyFont="1" applyFill="1" applyBorder="1" applyAlignment="1">
      <alignment horizontal="center"/>
    </xf>
    <xf numFmtId="176" fontId="21" fillId="34" borderId="21" xfId="0" applyNumberFormat="1" applyFont="1" applyFill="1" applyBorder="1" applyAlignment="1">
      <alignment horizontal="center"/>
    </xf>
    <xf numFmtId="177" fontId="21" fillId="34" borderId="21" xfId="0" applyNumberFormat="1" applyFont="1" applyFill="1" applyBorder="1" applyAlignment="1">
      <alignment horizontal="center"/>
    </xf>
    <xf numFmtId="0" fontId="21" fillId="34" borderId="22" xfId="0" applyFont="1" applyFill="1" applyBorder="1"/>
    <xf numFmtId="0" fontId="21" fillId="34" borderId="0" xfId="0" applyFont="1" applyFill="1" applyBorder="1"/>
    <xf numFmtId="3" fontId="21" fillId="34" borderId="0" xfId="0" applyNumberFormat="1" applyFont="1" applyFill="1" applyBorder="1" applyAlignment="1">
      <alignment horizontal="center" vertical="center"/>
    </xf>
    <xf numFmtId="4" fontId="21" fillId="34" borderId="0" xfId="44" applyNumberFormat="1" applyFont="1" applyFill="1" applyBorder="1" applyAlignment="1">
      <alignment horizontal="center"/>
    </xf>
    <xf numFmtId="177" fontId="21" fillId="34" borderId="0" xfId="44" applyNumberFormat="1" applyFont="1" applyFill="1" applyBorder="1" applyAlignment="1">
      <alignment horizontal="center"/>
    </xf>
    <xf numFmtId="3" fontId="21" fillId="34" borderId="21" xfId="0" applyNumberFormat="1" applyFont="1" applyFill="1" applyBorder="1" applyAlignment="1">
      <alignment horizontal="center" vertical="center"/>
    </xf>
    <xf numFmtId="168" fontId="24" fillId="0" borderId="13" xfId="0" applyNumberFormat="1" applyFont="1" applyFill="1" applyBorder="1" applyAlignment="1">
      <alignment horizontal="center" vertical="center"/>
    </xf>
    <xf numFmtId="3" fontId="21" fillId="0" borderId="11" xfId="44" applyNumberFormat="1" applyFont="1" applyFill="1" applyBorder="1" applyAlignment="1">
      <alignment horizontal="center" vertical="center"/>
    </xf>
    <xf numFmtId="176" fontId="21" fillId="0" borderId="10" xfId="43" applyNumberFormat="1" applyFont="1" applyFill="1" applyBorder="1" applyAlignment="1">
      <alignment horizontal="center" vertical="center"/>
    </xf>
    <xf numFmtId="4" fontId="24" fillId="33" borderId="12" xfId="0" applyNumberFormat="1" applyFont="1" applyFill="1" applyBorder="1" applyAlignment="1">
      <alignment horizontal="center" vertical="center"/>
    </xf>
    <xf numFmtId="4" fontId="24" fillId="33" borderId="11" xfId="0" applyNumberFormat="1" applyFont="1" applyFill="1" applyBorder="1" applyAlignment="1">
      <alignment horizontal="center" vertical="center"/>
    </xf>
    <xf numFmtId="0" fontId="0" fillId="34" borderId="23" xfId="0" applyFill="1" applyBorder="1"/>
    <xf numFmtId="168" fontId="23" fillId="33" borderId="23" xfId="0" applyNumberFormat="1" applyFont="1" applyFill="1" applyBorder="1" applyAlignment="1">
      <alignment horizontal="center" vertical="center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/>
    <cellStyle name="Calculation" xfId="26" builtinId="22" customBuiltin="1"/>
    <cellStyle name="Check Cell" xfId="27" builtinId="23" customBuiltin="1"/>
    <cellStyle name="Comma" xfId="44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45" builtinId="8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3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mruColors>
      <color rgb="FFFFFFCC"/>
      <color rgb="FF0066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43921</v>
        <stp/>
        <stp>##V3_BDHV12</stp>
        <stp xml:space="preserve">UKRPI Index </stp>
        <stp>PX_LAST_x0002_PX_MID</stp>
        <stp>30/03/2000</stp>
        <stp>30/03/2020</stp>
        <stp>[InflationDemo_20200604.xlsx]Inflation Fixings from BBG!R8C2</stp>
        <stp>Dir=V</stp>
        <stp>Dts=S</stp>
        <stp>Sort=D</stp>
        <stp>Quote=C</stp>
        <stp>QtTyp=P</stp>
        <stp>Days=T</stp>
        <stp>Per=cM</stp>
        <stp>DtFmt=D</stp>
        <stp>UseDPDF=Y</stp>
        <stp>cols=3;rows=241</stp>
        <tr r="B8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UKRPI@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48"/>
  <sheetViews>
    <sheetView showGridLines="0" workbookViewId="0"/>
  </sheetViews>
  <sheetFormatPr defaultRowHeight="15" x14ac:dyDescent="0.25"/>
  <cols>
    <col min="1" max="1" width="9.140625" style="1"/>
    <col min="2" max="2" width="15.42578125" bestFit="1" customWidth="1"/>
    <col min="3" max="4" width="12.7109375" customWidth="1"/>
    <col min="6" max="6" width="20.5703125" customWidth="1"/>
    <col min="7" max="7" width="13.42578125" customWidth="1"/>
    <col min="8" max="8" width="9.5703125" customWidth="1"/>
    <col min="9" max="9" width="24.140625" customWidth="1"/>
    <col min="10" max="10" width="22.42578125" bestFit="1" customWidth="1"/>
    <col min="11" max="11" width="13" customWidth="1"/>
    <col min="12" max="12" width="22.42578125" bestFit="1" customWidth="1"/>
    <col min="13" max="13" width="12" customWidth="1"/>
  </cols>
  <sheetData>
    <row r="2" spans="2:10" x14ac:dyDescent="0.25">
      <c r="B2" s="32" t="s">
        <v>0</v>
      </c>
      <c r="C2" s="36" t="s">
        <v>139</v>
      </c>
      <c r="F2" s="30" t="s">
        <v>134</v>
      </c>
      <c r="G2" s="1"/>
      <c r="H2" s="1"/>
      <c r="I2" s="30" t="s">
        <v>135</v>
      </c>
      <c r="J2" s="1"/>
    </row>
    <row r="3" spans="2:10" x14ac:dyDescent="0.25">
      <c r="B3" s="33" t="s">
        <v>1</v>
      </c>
      <c r="C3" s="35">
        <v>36615</v>
      </c>
      <c r="F3" s="17" t="s">
        <v>8</v>
      </c>
      <c r="G3" s="12" t="s">
        <v>9</v>
      </c>
      <c r="H3" s="1"/>
      <c r="I3" s="13">
        <f ca="1">B11</f>
        <v>43830</v>
      </c>
      <c r="J3" s="27">
        <f t="array" aca="1" ref="J3:J10" ca="1">_xll.meLWOFixingTableValuesLVB(G8,F4:G6,I3:I10)</f>
        <v>291.89999999999998</v>
      </c>
    </row>
    <row r="4" spans="2:10" x14ac:dyDescent="0.25">
      <c r="B4" s="33" t="s">
        <v>2</v>
      </c>
      <c r="C4" s="35">
        <v>43920</v>
      </c>
      <c r="F4" s="11" t="s">
        <v>13</v>
      </c>
      <c r="G4" s="6" t="s">
        <v>12</v>
      </c>
      <c r="H4" s="1"/>
      <c r="I4" s="7">
        <f ca="1">B12</f>
        <v>43799</v>
      </c>
      <c r="J4" s="28">
        <f ca="1"/>
        <v>291</v>
      </c>
    </row>
    <row r="5" spans="2:10" x14ac:dyDescent="0.25">
      <c r="B5" s="34" t="s">
        <v>3</v>
      </c>
      <c r="C5" s="37" t="s">
        <v>4</v>
      </c>
      <c r="F5" s="11" t="s">
        <v>14</v>
      </c>
      <c r="G5" s="6" t="s">
        <v>15</v>
      </c>
      <c r="H5" s="1"/>
      <c r="I5" s="7">
        <f ca="1">B13</f>
        <v>43769</v>
      </c>
      <c r="J5" s="28">
        <f ca="1"/>
        <v>290.39999999999998</v>
      </c>
    </row>
    <row r="6" spans="2:10" x14ac:dyDescent="0.25">
      <c r="F6" s="10" t="s">
        <v>10</v>
      </c>
      <c r="G6" s="2" t="s">
        <v>11</v>
      </c>
      <c r="H6" s="1"/>
      <c r="I6" s="7">
        <f ca="1">B14</f>
        <v>43738</v>
      </c>
      <c r="J6" s="28">
        <f ca="1"/>
        <v>291</v>
      </c>
    </row>
    <row r="7" spans="2:10" x14ac:dyDescent="0.25">
      <c r="B7" s="38" t="s">
        <v>5</v>
      </c>
      <c r="C7" s="38" t="s">
        <v>6</v>
      </c>
      <c r="D7" s="38" t="s">
        <v>7</v>
      </c>
      <c r="E7" s="1"/>
      <c r="F7" s="1"/>
      <c r="G7" s="1"/>
      <c r="H7" s="1"/>
      <c r="I7" s="7">
        <f ca="1">B15</f>
        <v>43708</v>
      </c>
      <c r="J7" s="28">
        <f ca="1"/>
        <v>291.7</v>
      </c>
    </row>
    <row r="8" spans="2:10" x14ac:dyDescent="0.25">
      <c r="B8" s="39">
        <f ca="1">_xll.BDH(C2,C7:D7,C3,C4,"Dir=V","Dts=S","Sort=D","Quote=C","QtTyp=P","Days=T",CONCATENATE("Per=c",C5),"DtFmt=D","UseDPDF=Y","cols=3;rows=241")</f>
        <v>43921</v>
      </c>
      <c r="C8" s="40">
        <v>292.60000000000002</v>
      </c>
      <c r="D8" s="40">
        <v>292.60000000000002</v>
      </c>
      <c r="F8" s="31" t="s">
        <v>136</v>
      </c>
      <c r="G8" s="47" t="str">
        <f ca="1">_xll.meLWOFixingTableCreateFromLVB(G3,F4:G6,B9:B248,C9:C248)</f>
        <v>UKRPI@3:3</v>
      </c>
      <c r="H8" s="1"/>
      <c r="I8" s="7">
        <f ca="1">B16</f>
        <v>43677</v>
      </c>
      <c r="J8" s="28">
        <f ca="1"/>
        <v>289.5</v>
      </c>
    </row>
    <row r="9" spans="2:10" x14ac:dyDescent="0.25">
      <c r="B9" s="39">
        <v>43890</v>
      </c>
      <c r="C9" s="40">
        <v>292</v>
      </c>
      <c r="D9" s="40">
        <v>292</v>
      </c>
      <c r="F9" s="1"/>
      <c r="G9" s="1"/>
      <c r="H9" s="1"/>
      <c r="I9" s="7">
        <f ca="1">B17</f>
        <v>43646</v>
      </c>
      <c r="J9" s="28">
        <f ca="1"/>
        <v>289.60000000000002</v>
      </c>
    </row>
    <row r="10" spans="2:10" x14ac:dyDescent="0.25">
      <c r="B10" s="39">
        <v>43861</v>
      </c>
      <c r="C10" s="40">
        <v>290.60000000000002</v>
      </c>
      <c r="D10" s="40">
        <v>290.60000000000002</v>
      </c>
      <c r="F10" s="1"/>
      <c r="G10" s="1"/>
      <c r="H10" s="1"/>
      <c r="I10" s="3">
        <f ca="1">B18</f>
        <v>43616</v>
      </c>
      <c r="J10" s="29">
        <f ca="1"/>
        <v>289.2</v>
      </c>
    </row>
    <row r="11" spans="2:10" x14ac:dyDescent="0.25">
      <c r="B11" s="39">
        <v>43830</v>
      </c>
      <c r="C11" s="40">
        <v>291.89999999999998</v>
      </c>
      <c r="D11" s="40">
        <v>291.89999999999998</v>
      </c>
      <c r="F11" s="1"/>
      <c r="G11" s="1"/>
      <c r="H11" s="1"/>
    </row>
    <row r="12" spans="2:10" x14ac:dyDescent="0.25">
      <c r="B12" s="39">
        <v>43799</v>
      </c>
      <c r="C12" s="40">
        <v>291</v>
      </c>
      <c r="D12" s="40">
        <v>291</v>
      </c>
      <c r="F12" s="1"/>
      <c r="G12" s="1"/>
      <c r="H12" s="1"/>
      <c r="I12" s="1"/>
    </row>
    <row r="13" spans="2:10" x14ac:dyDescent="0.25">
      <c r="B13" s="39">
        <v>43769</v>
      </c>
      <c r="C13" s="40">
        <v>290.39999999999998</v>
      </c>
      <c r="D13" s="40">
        <v>290.39999999999998</v>
      </c>
    </row>
    <row r="14" spans="2:10" x14ac:dyDescent="0.25">
      <c r="B14" s="39">
        <v>43738</v>
      </c>
      <c r="C14" s="40">
        <v>291</v>
      </c>
      <c r="D14" s="40">
        <v>291</v>
      </c>
    </row>
    <row r="15" spans="2:10" x14ac:dyDescent="0.25">
      <c r="B15" s="39">
        <v>43708</v>
      </c>
      <c r="C15" s="40">
        <v>291.7</v>
      </c>
      <c r="D15" s="40">
        <v>291.7</v>
      </c>
    </row>
    <row r="16" spans="2:10" x14ac:dyDescent="0.25">
      <c r="B16" s="39">
        <v>43677</v>
      </c>
      <c r="C16" s="40">
        <v>289.5</v>
      </c>
      <c r="D16" s="40">
        <v>289.5</v>
      </c>
    </row>
    <row r="17" spans="2:4" x14ac:dyDescent="0.25">
      <c r="B17" s="39">
        <v>43646</v>
      </c>
      <c r="C17" s="40">
        <v>289.60000000000002</v>
      </c>
      <c r="D17" s="40">
        <v>289.60000000000002</v>
      </c>
    </row>
    <row r="18" spans="2:4" x14ac:dyDescent="0.25">
      <c r="B18" s="39">
        <v>43616</v>
      </c>
      <c r="C18" s="40">
        <v>289.2</v>
      </c>
      <c r="D18" s="40">
        <v>289.2</v>
      </c>
    </row>
    <row r="19" spans="2:4" x14ac:dyDescent="0.25">
      <c r="B19" s="39">
        <v>43585</v>
      </c>
      <c r="C19" s="40">
        <v>288.2</v>
      </c>
      <c r="D19" s="40">
        <v>288.2</v>
      </c>
    </row>
    <row r="20" spans="2:4" x14ac:dyDescent="0.25">
      <c r="B20" s="39">
        <v>43555</v>
      </c>
      <c r="C20" s="40">
        <v>285.10000000000002</v>
      </c>
      <c r="D20" s="40">
        <v>285.10000000000002</v>
      </c>
    </row>
    <row r="21" spans="2:4" x14ac:dyDescent="0.25">
      <c r="B21" s="39">
        <v>43524</v>
      </c>
      <c r="C21" s="40">
        <v>285</v>
      </c>
      <c r="D21" s="40">
        <v>285</v>
      </c>
    </row>
    <row r="22" spans="2:4" x14ac:dyDescent="0.25">
      <c r="B22" s="39">
        <v>43496</v>
      </c>
      <c r="C22" s="40">
        <v>283</v>
      </c>
      <c r="D22" s="40">
        <v>283</v>
      </c>
    </row>
    <row r="23" spans="2:4" x14ac:dyDescent="0.25">
      <c r="B23" s="39">
        <v>43465</v>
      </c>
      <c r="C23" s="40">
        <v>285.60000000000002</v>
      </c>
      <c r="D23" s="40">
        <v>285.60000000000002</v>
      </c>
    </row>
    <row r="24" spans="2:4" x14ac:dyDescent="0.25">
      <c r="B24" s="39">
        <v>43434</v>
      </c>
      <c r="C24" s="40">
        <v>284.60000000000002</v>
      </c>
      <c r="D24" s="40">
        <v>284.60000000000002</v>
      </c>
    </row>
    <row r="25" spans="2:4" x14ac:dyDescent="0.25">
      <c r="B25" s="39">
        <v>43404</v>
      </c>
      <c r="C25" s="40">
        <v>284.5</v>
      </c>
      <c r="D25" s="40">
        <v>284.5</v>
      </c>
    </row>
    <row r="26" spans="2:4" x14ac:dyDescent="0.25">
      <c r="B26" s="39">
        <v>43373</v>
      </c>
      <c r="C26" s="40">
        <v>284.10000000000002</v>
      </c>
      <c r="D26" s="40">
        <v>284.10000000000002</v>
      </c>
    </row>
    <row r="27" spans="2:4" x14ac:dyDescent="0.25">
      <c r="B27" s="39">
        <v>43343</v>
      </c>
      <c r="C27" s="40">
        <v>284.2</v>
      </c>
      <c r="D27" s="40">
        <v>284.2</v>
      </c>
    </row>
    <row r="28" spans="2:4" x14ac:dyDescent="0.25">
      <c r="B28" s="39">
        <v>43312</v>
      </c>
      <c r="C28" s="40">
        <v>281.7</v>
      </c>
      <c r="D28" s="40">
        <v>281.7</v>
      </c>
    </row>
    <row r="29" spans="2:4" x14ac:dyDescent="0.25">
      <c r="B29" s="39">
        <v>43281</v>
      </c>
      <c r="C29" s="40">
        <v>281.5</v>
      </c>
      <c r="D29" s="40">
        <v>281.5</v>
      </c>
    </row>
    <row r="30" spans="2:4" x14ac:dyDescent="0.25">
      <c r="B30" s="39">
        <v>43251</v>
      </c>
      <c r="C30" s="40">
        <v>280.7</v>
      </c>
      <c r="D30" s="40">
        <v>280.7</v>
      </c>
    </row>
    <row r="31" spans="2:4" x14ac:dyDescent="0.25">
      <c r="B31" s="39">
        <v>43220</v>
      </c>
      <c r="C31" s="40">
        <v>279.7</v>
      </c>
      <c r="D31" s="40">
        <v>279.7</v>
      </c>
    </row>
    <row r="32" spans="2:4" x14ac:dyDescent="0.25">
      <c r="B32" s="39">
        <v>43190</v>
      </c>
      <c r="C32" s="40">
        <v>278.3</v>
      </c>
      <c r="D32" s="40">
        <v>278.3</v>
      </c>
    </row>
    <row r="33" spans="2:4" x14ac:dyDescent="0.25">
      <c r="B33" s="39">
        <v>43159</v>
      </c>
      <c r="C33" s="40">
        <v>278.10000000000002</v>
      </c>
      <c r="D33" s="40">
        <v>278.10000000000002</v>
      </c>
    </row>
    <row r="34" spans="2:4" x14ac:dyDescent="0.25">
      <c r="B34" s="39">
        <v>43131</v>
      </c>
      <c r="C34" s="40">
        <v>276</v>
      </c>
      <c r="D34" s="40">
        <v>276</v>
      </c>
    </row>
    <row r="35" spans="2:4" x14ac:dyDescent="0.25">
      <c r="B35" s="39">
        <v>43100</v>
      </c>
      <c r="C35" s="40">
        <v>278.10000000000002</v>
      </c>
      <c r="D35" s="40">
        <v>278.10000000000002</v>
      </c>
    </row>
    <row r="36" spans="2:4" x14ac:dyDescent="0.25">
      <c r="B36" s="39">
        <v>43069</v>
      </c>
      <c r="C36" s="40">
        <v>275.8</v>
      </c>
      <c r="D36" s="40">
        <v>275.8</v>
      </c>
    </row>
    <row r="37" spans="2:4" x14ac:dyDescent="0.25">
      <c r="B37" s="39">
        <v>43039</v>
      </c>
      <c r="C37" s="40">
        <v>275.3</v>
      </c>
      <c r="D37" s="40">
        <v>275.3</v>
      </c>
    </row>
    <row r="38" spans="2:4" x14ac:dyDescent="0.25">
      <c r="B38" s="39">
        <v>43008</v>
      </c>
      <c r="C38" s="40">
        <v>275.10000000000002</v>
      </c>
      <c r="D38" s="40">
        <v>275.10000000000002</v>
      </c>
    </row>
    <row r="39" spans="2:4" x14ac:dyDescent="0.25">
      <c r="B39" s="39">
        <v>42978</v>
      </c>
      <c r="C39" s="40">
        <v>274.7</v>
      </c>
      <c r="D39" s="40">
        <v>274.7</v>
      </c>
    </row>
    <row r="40" spans="2:4" x14ac:dyDescent="0.25">
      <c r="B40" s="39">
        <v>42947</v>
      </c>
      <c r="C40" s="40">
        <v>272.89999999999998</v>
      </c>
      <c r="D40" s="40">
        <v>272.89999999999998</v>
      </c>
    </row>
    <row r="41" spans="2:4" x14ac:dyDescent="0.25">
      <c r="B41" s="39">
        <v>42916</v>
      </c>
      <c r="C41" s="40">
        <v>272.3</v>
      </c>
      <c r="D41" s="40">
        <v>272.3</v>
      </c>
    </row>
    <row r="42" spans="2:4" x14ac:dyDescent="0.25">
      <c r="B42" s="39">
        <v>42886</v>
      </c>
      <c r="C42" s="40">
        <v>271.7</v>
      </c>
      <c r="D42" s="40">
        <v>271.7</v>
      </c>
    </row>
    <row r="43" spans="2:4" x14ac:dyDescent="0.25">
      <c r="B43" s="39">
        <v>42855</v>
      </c>
      <c r="C43" s="40">
        <v>270.60000000000002</v>
      </c>
      <c r="D43" s="40">
        <v>270.60000000000002</v>
      </c>
    </row>
    <row r="44" spans="2:4" x14ac:dyDescent="0.25">
      <c r="B44" s="39">
        <v>42825</v>
      </c>
      <c r="C44" s="40">
        <v>269.3</v>
      </c>
      <c r="D44" s="40">
        <v>269.3</v>
      </c>
    </row>
    <row r="45" spans="2:4" x14ac:dyDescent="0.25">
      <c r="B45" s="39">
        <v>42794</v>
      </c>
      <c r="C45" s="40">
        <v>268.39999999999998</v>
      </c>
      <c r="D45" s="40">
        <v>268.39999999999998</v>
      </c>
    </row>
    <row r="46" spans="2:4" x14ac:dyDescent="0.25">
      <c r="B46" s="39">
        <v>42766</v>
      </c>
      <c r="C46" s="40">
        <v>265.5</v>
      </c>
      <c r="D46" s="40">
        <v>265.5</v>
      </c>
    </row>
    <row r="47" spans="2:4" x14ac:dyDescent="0.25">
      <c r="B47" s="39">
        <v>42735</v>
      </c>
      <c r="C47" s="40">
        <v>267.10000000000002</v>
      </c>
      <c r="D47" s="40">
        <v>267.10000000000002</v>
      </c>
    </row>
    <row r="48" spans="2:4" x14ac:dyDescent="0.25">
      <c r="B48" s="39">
        <v>42704</v>
      </c>
      <c r="C48" s="40">
        <v>265.5</v>
      </c>
      <c r="D48" s="40">
        <v>265.5</v>
      </c>
    </row>
    <row r="49" spans="2:4" x14ac:dyDescent="0.25">
      <c r="B49" s="39">
        <v>42674</v>
      </c>
      <c r="C49" s="40">
        <v>264.8</v>
      </c>
      <c r="D49" s="40">
        <v>264.8</v>
      </c>
    </row>
    <row r="50" spans="2:4" x14ac:dyDescent="0.25">
      <c r="B50" s="39">
        <v>42643</v>
      </c>
      <c r="C50" s="40">
        <v>264.89999999999998</v>
      </c>
      <c r="D50" s="40">
        <v>264.89999999999998</v>
      </c>
    </row>
    <row r="51" spans="2:4" x14ac:dyDescent="0.25">
      <c r="B51" s="39">
        <v>42613</v>
      </c>
      <c r="C51" s="40">
        <v>264.39999999999998</v>
      </c>
      <c r="D51" s="40">
        <v>264.39999999999998</v>
      </c>
    </row>
    <row r="52" spans="2:4" x14ac:dyDescent="0.25">
      <c r="B52" s="39">
        <v>42582</v>
      </c>
      <c r="C52" s="40">
        <v>263.39999999999998</v>
      </c>
      <c r="D52" s="40">
        <v>263.39999999999998</v>
      </c>
    </row>
    <row r="53" spans="2:4" x14ac:dyDescent="0.25">
      <c r="B53" s="39">
        <v>42551</v>
      </c>
      <c r="C53" s="40">
        <v>263.10000000000002</v>
      </c>
      <c r="D53" s="40">
        <v>263.10000000000002</v>
      </c>
    </row>
    <row r="54" spans="2:4" x14ac:dyDescent="0.25">
      <c r="B54" s="39">
        <v>42521</v>
      </c>
      <c r="C54" s="40">
        <v>262.10000000000002</v>
      </c>
      <c r="D54" s="40">
        <v>262.10000000000002</v>
      </c>
    </row>
    <row r="55" spans="2:4" x14ac:dyDescent="0.25">
      <c r="B55" s="39">
        <v>42490</v>
      </c>
      <c r="C55" s="40">
        <v>261.39999999999998</v>
      </c>
      <c r="D55" s="40">
        <v>261.39999999999998</v>
      </c>
    </row>
    <row r="56" spans="2:4" x14ac:dyDescent="0.25">
      <c r="B56" s="39">
        <v>42460</v>
      </c>
      <c r="C56" s="40">
        <v>261.10000000000002</v>
      </c>
      <c r="D56" s="40">
        <v>261.10000000000002</v>
      </c>
    </row>
    <row r="57" spans="2:4" x14ac:dyDescent="0.25">
      <c r="B57" s="39">
        <v>42429</v>
      </c>
      <c r="C57" s="40">
        <v>260</v>
      </c>
      <c r="D57" s="40">
        <v>260</v>
      </c>
    </row>
    <row r="58" spans="2:4" x14ac:dyDescent="0.25">
      <c r="B58" s="39">
        <v>42400</v>
      </c>
      <c r="C58" s="40">
        <v>258.8</v>
      </c>
      <c r="D58" s="40">
        <v>258.8</v>
      </c>
    </row>
    <row r="59" spans="2:4" x14ac:dyDescent="0.25">
      <c r="B59" s="39">
        <v>42369</v>
      </c>
      <c r="C59" s="40">
        <v>260.60000000000002</v>
      </c>
      <c r="D59" s="40">
        <v>260.60000000000002</v>
      </c>
    </row>
    <row r="60" spans="2:4" x14ac:dyDescent="0.25">
      <c r="B60" s="39">
        <v>42338</v>
      </c>
      <c r="C60" s="40">
        <v>259.8</v>
      </c>
      <c r="D60" s="40">
        <v>259.8</v>
      </c>
    </row>
    <row r="61" spans="2:4" x14ac:dyDescent="0.25">
      <c r="B61" s="39">
        <v>42308</v>
      </c>
      <c r="C61" s="40">
        <v>259.5</v>
      </c>
      <c r="D61" s="40">
        <v>259.5</v>
      </c>
    </row>
    <row r="62" spans="2:4" x14ac:dyDescent="0.25">
      <c r="B62" s="39">
        <v>42277</v>
      </c>
      <c r="C62" s="40">
        <v>259.60000000000002</v>
      </c>
      <c r="D62" s="40">
        <v>259.60000000000002</v>
      </c>
    </row>
    <row r="63" spans="2:4" x14ac:dyDescent="0.25">
      <c r="B63" s="39">
        <v>42247</v>
      </c>
      <c r="C63" s="40">
        <v>259.8</v>
      </c>
      <c r="D63" s="40">
        <v>259.8</v>
      </c>
    </row>
    <row r="64" spans="2:4" x14ac:dyDescent="0.25">
      <c r="B64" s="39">
        <v>42216</v>
      </c>
      <c r="C64" s="40">
        <v>258.60000000000002</v>
      </c>
      <c r="D64" s="40">
        <v>258.60000000000002</v>
      </c>
    </row>
    <row r="65" spans="2:4" x14ac:dyDescent="0.25">
      <c r="B65" s="39">
        <v>42185</v>
      </c>
      <c r="C65" s="40">
        <v>258.89999999999998</v>
      </c>
      <c r="D65" s="40">
        <v>258.89999999999998</v>
      </c>
    </row>
    <row r="66" spans="2:4" x14ac:dyDescent="0.25">
      <c r="B66" s="39">
        <v>42155</v>
      </c>
      <c r="C66" s="40">
        <v>258.5</v>
      </c>
      <c r="D66" s="40">
        <v>258.5</v>
      </c>
    </row>
    <row r="67" spans="2:4" x14ac:dyDescent="0.25">
      <c r="B67" s="39">
        <v>42124</v>
      </c>
      <c r="C67" s="40">
        <v>258</v>
      </c>
      <c r="D67" s="40">
        <v>258</v>
      </c>
    </row>
    <row r="68" spans="2:4" x14ac:dyDescent="0.25">
      <c r="B68" s="39">
        <v>42094</v>
      </c>
      <c r="C68" s="40">
        <v>257.10000000000002</v>
      </c>
      <c r="D68" s="40">
        <v>257.10000000000002</v>
      </c>
    </row>
    <row r="69" spans="2:4" x14ac:dyDescent="0.25">
      <c r="B69" s="39">
        <v>42063</v>
      </c>
      <c r="C69" s="40">
        <v>256.7</v>
      </c>
      <c r="D69" s="40">
        <v>256.7</v>
      </c>
    </row>
    <row r="70" spans="2:4" x14ac:dyDescent="0.25">
      <c r="B70" s="39">
        <v>42035</v>
      </c>
      <c r="C70" s="40">
        <v>255.4</v>
      </c>
      <c r="D70" s="40">
        <v>255.4</v>
      </c>
    </row>
    <row r="71" spans="2:4" x14ac:dyDescent="0.25">
      <c r="B71" s="39">
        <v>42004</v>
      </c>
      <c r="C71" s="40">
        <v>257.5</v>
      </c>
      <c r="D71" s="40">
        <v>257.5</v>
      </c>
    </row>
    <row r="72" spans="2:4" x14ac:dyDescent="0.25">
      <c r="B72" s="39">
        <v>41973</v>
      </c>
      <c r="C72" s="40">
        <v>257.10000000000002</v>
      </c>
      <c r="D72" s="40">
        <v>257.10000000000002</v>
      </c>
    </row>
    <row r="73" spans="2:4" x14ac:dyDescent="0.25">
      <c r="B73" s="39">
        <v>41943</v>
      </c>
      <c r="C73" s="40">
        <v>257.7</v>
      </c>
      <c r="D73" s="40">
        <v>257.7</v>
      </c>
    </row>
    <row r="74" spans="2:4" x14ac:dyDescent="0.25">
      <c r="B74" s="39">
        <v>41912</v>
      </c>
      <c r="C74" s="40">
        <v>257.60000000000002</v>
      </c>
      <c r="D74" s="40">
        <v>257.60000000000002</v>
      </c>
    </row>
    <row r="75" spans="2:4" x14ac:dyDescent="0.25">
      <c r="B75" s="39">
        <v>41882</v>
      </c>
      <c r="C75" s="40">
        <v>257</v>
      </c>
      <c r="D75" s="40">
        <v>257</v>
      </c>
    </row>
    <row r="76" spans="2:4" x14ac:dyDescent="0.25">
      <c r="B76" s="39">
        <v>41851</v>
      </c>
      <c r="C76" s="40">
        <v>256</v>
      </c>
      <c r="D76" s="40">
        <v>256</v>
      </c>
    </row>
    <row r="77" spans="2:4" x14ac:dyDescent="0.25">
      <c r="B77" s="39">
        <v>41820</v>
      </c>
      <c r="C77" s="40">
        <v>256.3</v>
      </c>
      <c r="D77" s="40">
        <v>256.3</v>
      </c>
    </row>
    <row r="78" spans="2:4" x14ac:dyDescent="0.25">
      <c r="B78" s="39">
        <v>41790</v>
      </c>
      <c r="C78" s="40">
        <v>255.9</v>
      </c>
      <c r="D78" s="40">
        <v>255.9</v>
      </c>
    </row>
    <row r="79" spans="2:4" x14ac:dyDescent="0.25">
      <c r="B79" s="39">
        <v>41759</v>
      </c>
      <c r="C79" s="40">
        <v>255.7</v>
      </c>
      <c r="D79" s="40">
        <v>255.7</v>
      </c>
    </row>
    <row r="80" spans="2:4" x14ac:dyDescent="0.25">
      <c r="B80" s="39">
        <v>41729</v>
      </c>
      <c r="C80" s="40">
        <v>254.8</v>
      </c>
      <c r="D80" s="40">
        <v>254.8</v>
      </c>
    </row>
    <row r="81" spans="2:4" x14ac:dyDescent="0.25">
      <c r="B81" s="39">
        <v>41698</v>
      </c>
      <c r="C81" s="40">
        <v>254.2</v>
      </c>
      <c r="D81" s="40">
        <v>254.2</v>
      </c>
    </row>
    <row r="82" spans="2:4" x14ac:dyDescent="0.25">
      <c r="B82" s="39">
        <v>41670</v>
      </c>
      <c r="C82" s="40">
        <v>252.6</v>
      </c>
      <c r="D82" s="40">
        <v>252.6</v>
      </c>
    </row>
    <row r="83" spans="2:4" x14ac:dyDescent="0.25">
      <c r="B83" s="39">
        <v>41639</v>
      </c>
      <c r="C83" s="40">
        <v>253.4</v>
      </c>
      <c r="D83" s="40">
        <v>253.4</v>
      </c>
    </row>
    <row r="84" spans="2:4" x14ac:dyDescent="0.25">
      <c r="B84" s="39">
        <v>41608</v>
      </c>
      <c r="C84" s="40">
        <v>252.1</v>
      </c>
      <c r="D84" s="40">
        <v>252.1</v>
      </c>
    </row>
    <row r="85" spans="2:4" x14ac:dyDescent="0.25">
      <c r="B85" s="39">
        <v>41578</v>
      </c>
      <c r="C85" s="40">
        <v>251.9</v>
      </c>
      <c r="D85" s="40">
        <v>251.9</v>
      </c>
    </row>
    <row r="86" spans="2:4" x14ac:dyDescent="0.25">
      <c r="B86" s="39">
        <v>41547</v>
      </c>
      <c r="C86" s="40">
        <v>251.9</v>
      </c>
      <c r="D86" s="40">
        <v>251.9</v>
      </c>
    </row>
    <row r="87" spans="2:4" x14ac:dyDescent="0.25">
      <c r="B87" s="39">
        <v>41517</v>
      </c>
      <c r="C87" s="40">
        <v>251</v>
      </c>
      <c r="D87" s="40">
        <v>251</v>
      </c>
    </row>
    <row r="88" spans="2:4" x14ac:dyDescent="0.25">
      <c r="B88" s="39">
        <v>41486</v>
      </c>
      <c r="C88" s="40">
        <v>249.7</v>
      </c>
      <c r="D88" s="40">
        <v>249.7</v>
      </c>
    </row>
    <row r="89" spans="2:4" x14ac:dyDescent="0.25">
      <c r="B89" s="39">
        <v>41455</v>
      </c>
      <c r="C89" s="40">
        <v>249.7</v>
      </c>
      <c r="D89" s="40">
        <v>249.7</v>
      </c>
    </row>
    <row r="90" spans="2:4" x14ac:dyDescent="0.25">
      <c r="B90" s="39">
        <v>41425</v>
      </c>
      <c r="C90" s="40">
        <v>250</v>
      </c>
      <c r="D90" s="40">
        <v>250</v>
      </c>
    </row>
    <row r="91" spans="2:4" x14ac:dyDescent="0.25">
      <c r="B91" s="39">
        <v>41394</v>
      </c>
      <c r="C91" s="40">
        <v>249.5</v>
      </c>
      <c r="D91" s="40">
        <v>249.5</v>
      </c>
    </row>
    <row r="92" spans="2:4" x14ac:dyDescent="0.25">
      <c r="B92" s="39">
        <v>41364</v>
      </c>
      <c r="C92" s="40">
        <v>248.7</v>
      </c>
      <c r="D92" s="40">
        <v>248.7</v>
      </c>
    </row>
    <row r="93" spans="2:4" x14ac:dyDescent="0.25">
      <c r="B93" s="39">
        <v>41333</v>
      </c>
      <c r="C93" s="40">
        <v>247.6</v>
      </c>
      <c r="D93" s="40">
        <v>247.6</v>
      </c>
    </row>
    <row r="94" spans="2:4" x14ac:dyDescent="0.25">
      <c r="B94" s="39">
        <v>41305</v>
      </c>
      <c r="C94" s="40">
        <v>245.8</v>
      </c>
      <c r="D94" s="40">
        <v>245.8</v>
      </c>
    </row>
    <row r="95" spans="2:4" x14ac:dyDescent="0.25">
      <c r="B95" s="39">
        <v>41274</v>
      </c>
      <c r="C95" s="40">
        <v>246.8</v>
      </c>
      <c r="D95" s="40">
        <v>246.8</v>
      </c>
    </row>
    <row r="96" spans="2:4" x14ac:dyDescent="0.25">
      <c r="B96" s="39">
        <v>41243</v>
      </c>
      <c r="C96" s="40">
        <v>245.6</v>
      </c>
      <c r="D96" s="40">
        <v>245.6</v>
      </c>
    </row>
    <row r="97" spans="2:4" x14ac:dyDescent="0.25">
      <c r="B97" s="39">
        <v>41213</v>
      </c>
      <c r="C97" s="40">
        <v>245.6</v>
      </c>
      <c r="D97" s="40">
        <v>245.6</v>
      </c>
    </row>
    <row r="98" spans="2:4" x14ac:dyDescent="0.25">
      <c r="B98" s="39">
        <v>41182</v>
      </c>
      <c r="C98" s="40">
        <v>244.2</v>
      </c>
      <c r="D98" s="40">
        <v>244.2</v>
      </c>
    </row>
    <row r="99" spans="2:4" x14ac:dyDescent="0.25">
      <c r="B99" s="39">
        <v>41152</v>
      </c>
      <c r="C99" s="40">
        <v>243</v>
      </c>
      <c r="D99" s="40">
        <v>243</v>
      </c>
    </row>
    <row r="100" spans="2:4" x14ac:dyDescent="0.25">
      <c r="B100" s="39">
        <v>41121</v>
      </c>
      <c r="C100" s="40">
        <v>242.1</v>
      </c>
      <c r="D100" s="40">
        <v>242.1</v>
      </c>
    </row>
    <row r="101" spans="2:4" x14ac:dyDescent="0.25">
      <c r="B101" s="39">
        <v>41090</v>
      </c>
      <c r="C101" s="40">
        <v>241.8</v>
      </c>
      <c r="D101" s="40">
        <v>241.8</v>
      </c>
    </row>
    <row r="102" spans="2:4" x14ac:dyDescent="0.25">
      <c r="B102" s="39">
        <v>41060</v>
      </c>
      <c r="C102" s="40">
        <v>242.4</v>
      </c>
      <c r="D102" s="40">
        <v>242.4</v>
      </c>
    </row>
    <row r="103" spans="2:4" x14ac:dyDescent="0.25">
      <c r="B103" s="39">
        <v>41029</v>
      </c>
      <c r="C103" s="40">
        <v>242.5</v>
      </c>
      <c r="D103" s="40">
        <v>242.5</v>
      </c>
    </row>
    <row r="104" spans="2:4" x14ac:dyDescent="0.25">
      <c r="B104" s="39">
        <v>40999</v>
      </c>
      <c r="C104" s="40">
        <v>240.8</v>
      </c>
      <c r="D104" s="40">
        <v>240.8</v>
      </c>
    </row>
    <row r="105" spans="2:4" x14ac:dyDescent="0.25">
      <c r="B105" s="39">
        <v>40968</v>
      </c>
      <c r="C105" s="40">
        <v>239.9</v>
      </c>
      <c r="D105" s="40">
        <v>239.9</v>
      </c>
    </row>
    <row r="106" spans="2:4" x14ac:dyDescent="0.25">
      <c r="B106" s="39">
        <v>40939</v>
      </c>
      <c r="C106" s="40">
        <v>238</v>
      </c>
      <c r="D106" s="40">
        <v>238</v>
      </c>
    </row>
    <row r="107" spans="2:4" x14ac:dyDescent="0.25">
      <c r="B107" s="39">
        <v>40908</v>
      </c>
      <c r="C107" s="40">
        <v>239.4</v>
      </c>
      <c r="D107" s="40">
        <v>239.4</v>
      </c>
    </row>
    <row r="108" spans="2:4" x14ac:dyDescent="0.25">
      <c r="B108" s="39">
        <v>40877</v>
      </c>
      <c r="C108" s="40">
        <v>238.5</v>
      </c>
      <c r="D108" s="40">
        <v>238.5</v>
      </c>
    </row>
    <row r="109" spans="2:4" x14ac:dyDescent="0.25">
      <c r="B109" s="39">
        <v>40847</v>
      </c>
      <c r="C109" s="40">
        <v>238</v>
      </c>
      <c r="D109" s="40">
        <v>238</v>
      </c>
    </row>
    <row r="110" spans="2:4" x14ac:dyDescent="0.25">
      <c r="B110" s="39">
        <v>40816</v>
      </c>
      <c r="C110" s="40">
        <v>237.9</v>
      </c>
      <c r="D110" s="40">
        <v>237.9</v>
      </c>
    </row>
    <row r="111" spans="2:4" x14ac:dyDescent="0.25">
      <c r="B111" s="39">
        <v>40786</v>
      </c>
      <c r="C111" s="40">
        <v>236.1</v>
      </c>
      <c r="D111" s="40">
        <v>236.1</v>
      </c>
    </row>
    <row r="112" spans="2:4" x14ac:dyDescent="0.25">
      <c r="B112" s="39">
        <v>40755</v>
      </c>
      <c r="C112" s="40">
        <v>234.7</v>
      </c>
      <c r="D112" s="40">
        <v>234.7</v>
      </c>
    </row>
    <row r="113" spans="2:4" x14ac:dyDescent="0.25">
      <c r="B113" s="39">
        <v>40724</v>
      </c>
      <c r="C113" s="40">
        <v>235.2</v>
      </c>
      <c r="D113" s="40">
        <v>235.2</v>
      </c>
    </row>
    <row r="114" spans="2:4" x14ac:dyDescent="0.25">
      <c r="B114" s="39">
        <v>40694</v>
      </c>
      <c r="C114" s="40">
        <v>235.2</v>
      </c>
      <c r="D114" s="40">
        <v>235.2</v>
      </c>
    </row>
    <row r="115" spans="2:4" x14ac:dyDescent="0.25">
      <c r="B115" s="39">
        <v>40663</v>
      </c>
      <c r="C115" s="40">
        <v>234.4</v>
      </c>
      <c r="D115" s="40">
        <v>234.4</v>
      </c>
    </row>
    <row r="116" spans="2:4" x14ac:dyDescent="0.25">
      <c r="B116" s="39">
        <v>40633</v>
      </c>
      <c r="C116" s="40">
        <v>232.5</v>
      </c>
      <c r="D116" s="40">
        <v>232.5</v>
      </c>
    </row>
    <row r="117" spans="2:4" x14ac:dyDescent="0.25">
      <c r="B117" s="39">
        <v>40602</v>
      </c>
      <c r="C117" s="40">
        <v>231.3</v>
      </c>
      <c r="D117" s="40">
        <v>231.3</v>
      </c>
    </row>
    <row r="118" spans="2:4" x14ac:dyDescent="0.25">
      <c r="B118" s="39">
        <v>40574</v>
      </c>
      <c r="C118" s="40">
        <v>229</v>
      </c>
      <c r="D118" s="40">
        <v>229</v>
      </c>
    </row>
    <row r="119" spans="2:4" x14ac:dyDescent="0.25">
      <c r="B119" s="39">
        <v>40543</v>
      </c>
      <c r="C119" s="40">
        <v>228.4</v>
      </c>
      <c r="D119" s="40">
        <v>228.4</v>
      </c>
    </row>
    <row r="120" spans="2:4" x14ac:dyDescent="0.25">
      <c r="B120" s="39">
        <v>40512</v>
      </c>
      <c r="C120" s="40">
        <v>226.8</v>
      </c>
      <c r="D120" s="40">
        <v>226.8</v>
      </c>
    </row>
    <row r="121" spans="2:4" x14ac:dyDescent="0.25">
      <c r="B121" s="39">
        <v>40482</v>
      </c>
      <c r="C121" s="40">
        <v>225.8</v>
      </c>
      <c r="D121" s="40">
        <v>225.8</v>
      </c>
    </row>
    <row r="122" spans="2:4" x14ac:dyDescent="0.25">
      <c r="B122" s="39">
        <v>40451</v>
      </c>
      <c r="C122" s="40">
        <v>225.3</v>
      </c>
      <c r="D122" s="40">
        <v>225.3</v>
      </c>
    </row>
    <row r="123" spans="2:4" x14ac:dyDescent="0.25">
      <c r="B123" s="39">
        <v>40421</v>
      </c>
      <c r="C123" s="40">
        <v>224.5</v>
      </c>
      <c r="D123" s="40">
        <v>224.5</v>
      </c>
    </row>
    <row r="124" spans="2:4" x14ac:dyDescent="0.25">
      <c r="B124" s="39">
        <v>40390</v>
      </c>
      <c r="C124" s="40">
        <v>223.6</v>
      </c>
      <c r="D124" s="40">
        <v>223.6</v>
      </c>
    </row>
    <row r="125" spans="2:4" x14ac:dyDescent="0.25">
      <c r="B125" s="39">
        <v>40359</v>
      </c>
      <c r="C125" s="40">
        <v>224.1</v>
      </c>
      <c r="D125" s="40">
        <v>224.1</v>
      </c>
    </row>
    <row r="126" spans="2:4" x14ac:dyDescent="0.25">
      <c r="B126" s="39">
        <v>40329</v>
      </c>
      <c r="C126" s="40">
        <v>223.6</v>
      </c>
      <c r="D126" s="40">
        <v>223.6</v>
      </c>
    </row>
    <row r="127" spans="2:4" x14ac:dyDescent="0.25">
      <c r="B127" s="39">
        <v>40298</v>
      </c>
      <c r="C127" s="40">
        <v>222.8</v>
      </c>
      <c r="D127" s="40">
        <v>222.8</v>
      </c>
    </row>
    <row r="128" spans="2:4" x14ac:dyDescent="0.25">
      <c r="B128" s="39">
        <v>40268</v>
      </c>
      <c r="C128" s="40">
        <v>220.7</v>
      </c>
      <c r="D128" s="40">
        <v>220.7</v>
      </c>
    </row>
    <row r="129" spans="2:4" x14ac:dyDescent="0.25">
      <c r="B129" s="39">
        <v>40237</v>
      </c>
      <c r="C129" s="40">
        <v>219.2</v>
      </c>
      <c r="D129" s="40">
        <v>219.2</v>
      </c>
    </row>
    <row r="130" spans="2:4" x14ac:dyDescent="0.25">
      <c r="B130" s="39">
        <v>40209</v>
      </c>
      <c r="C130" s="40">
        <v>217.9</v>
      </c>
      <c r="D130" s="40">
        <v>217.9</v>
      </c>
    </row>
    <row r="131" spans="2:4" x14ac:dyDescent="0.25">
      <c r="B131" s="39">
        <v>40178</v>
      </c>
      <c r="C131" s="40">
        <v>218</v>
      </c>
      <c r="D131" s="40">
        <v>218</v>
      </c>
    </row>
    <row r="132" spans="2:4" x14ac:dyDescent="0.25">
      <c r="B132" s="39">
        <v>40147</v>
      </c>
      <c r="C132" s="40">
        <v>216.6</v>
      </c>
      <c r="D132" s="40">
        <v>216.6</v>
      </c>
    </row>
    <row r="133" spans="2:4" x14ac:dyDescent="0.25">
      <c r="B133" s="39">
        <v>40117</v>
      </c>
      <c r="C133" s="40">
        <v>216</v>
      </c>
      <c r="D133" s="40">
        <v>216</v>
      </c>
    </row>
    <row r="134" spans="2:4" x14ac:dyDescent="0.25">
      <c r="B134" s="39">
        <v>40086</v>
      </c>
      <c r="C134" s="40">
        <v>215.3</v>
      </c>
      <c r="D134" s="40">
        <v>215.3</v>
      </c>
    </row>
    <row r="135" spans="2:4" x14ac:dyDescent="0.25">
      <c r="B135" s="39">
        <v>40056</v>
      </c>
      <c r="C135" s="40">
        <v>214.4</v>
      </c>
      <c r="D135" s="40">
        <v>214.4</v>
      </c>
    </row>
    <row r="136" spans="2:4" x14ac:dyDescent="0.25">
      <c r="B136" s="39">
        <v>40025</v>
      </c>
      <c r="C136" s="40">
        <v>213.4</v>
      </c>
      <c r="D136" s="40">
        <v>213.4</v>
      </c>
    </row>
    <row r="137" spans="2:4" x14ac:dyDescent="0.25">
      <c r="B137" s="39">
        <v>39994</v>
      </c>
      <c r="C137" s="40">
        <v>213.4</v>
      </c>
      <c r="D137" s="40">
        <v>213.4</v>
      </c>
    </row>
    <row r="138" spans="2:4" x14ac:dyDescent="0.25">
      <c r="B138" s="39">
        <v>39964</v>
      </c>
      <c r="C138" s="40">
        <v>212.8</v>
      </c>
      <c r="D138" s="40">
        <v>212.8</v>
      </c>
    </row>
    <row r="139" spans="2:4" x14ac:dyDescent="0.25">
      <c r="B139" s="39">
        <v>39933</v>
      </c>
      <c r="C139" s="40">
        <v>211.5</v>
      </c>
      <c r="D139" s="40">
        <v>211.5</v>
      </c>
    </row>
    <row r="140" spans="2:4" x14ac:dyDescent="0.25">
      <c r="B140" s="39">
        <v>39903</v>
      </c>
      <c r="C140" s="40">
        <v>211.3</v>
      </c>
      <c r="D140" s="40">
        <v>211.3</v>
      </c>
    </row>
    <row r="141" spans="2:4" x14ac:dyDescent="0.25">
      <c r="B141" s="39">
        <v>39872</v>
      </c>
      <c r="C141" s="40">
        <v>211.4</v>
      </c>
      <c r="D141" s="40">
        <v>211.4</v>
      </c>
    </row>
    <row r="142" spans="2:4" x14ac:dyDescent="0.25">
      <c r="B142" s="39">
        <v>39844</v>
      </c>
      <c r="C142" s="40">
        <v>210.1</v>
      </c>
      <c r="D142" s="40">
        <v>210.1</v>
      </c>
    </row>
    <row r="143" spans="2:4" x14ac:dyDescent="0.25">
      <c r="B143" s="39">
        <v>39813</v>
      </c>
      <c r="C143" s="40">
        <v>212.9</v>
      </c>
      <c r="D143" s="40">
        <v>212.9</v>
      </c>
    </row>
    <row r="144" spans="2:4" x14ac:dyDescent="0.25">
      <c r="B144" s="39">
        <v>39782</v>
      </c>
      <c r="C144" s="40">
        <v>216</v>
      </c>
      <c r="D144" s="40">
        <v>216</v>
      </c>
    </row>
    <row r="145" spans="2:4" x14ac:dyDescent="0.25">
      <c r="B145" s="39">
        <v>39752</v>
      </c>
      <c r="C145" s="40">
        <v>217.7</v>
      </c>
      <c r="D145" s="40">
        <v>217.7</v>
      </c>
    </row>
    <row r="146" spans="2:4" x14ac:dyDescent="0.25">
      <c r="B146" s="39">
        <v>39721</v>
      </c>
      <c r="C146" s="40">
        <v>218.4</v>
      </c>
      <c r="D146" s="40">
        <v>218.4</v>
      </c>
    </row>
    <row r="147" spans="2:4" x14ac:dyDescent="0.25">
      <c r="B147" s="39">
        <v>39691</v>
      </c>
      <c r="C147" s="40">
        <v>217.2</v>
      </c>
      <c r="D147" s="40">
        <v>217.2</v>
      </c>
    </row>
    <row r="148" spans="2:4" x14ac:dyDescent="0.25">
      <c r="B148" s="39">
        <v>39660</v>
      </c>
      <c r="C148" s="40">
        <v>216.5</v>
      </c>
      <c r="D148" s="40">
        <v>216.5</v>
      </c>
    </row>
    <row r="149" spans="2:4" x14ac:dyDescent="0.25">
      <c r="B149" s="39">
        <v>39629</v>
      </c>
      <c r="C149" s="40">
        <v>216.8</v>
      </c>
      <c r="D149" s="40">
        <v>216.8</v>
      </c>
    </row>
    <row r="150" spans="2:4" x14ac:dyDescent="0.25">
      <c r="B150" s="39">
        <v>39599</v>
      </c>
      <c r="C150" s="40">
        <v>215.1</v>
      </c>
      <c r="D150" s="40">
        <v>215.1</v>
      </c>
    </row>
    <row r="151" spans="2:4" x14ac:dyDescent="0.25">
      <c r="B151" s="39">
        <v>39568</v>
      </c>
      <c r="C151" s="40">
        <v>214</v>
      </c>
      <c r="D151" s="40">
        <v>214</v>
      </c>
    </row>
    <row r="152" spans="2:4" x14ac:dyDescent="0.25">
      <c r="B152" s="39">
        <v>39538</v>
      </c>
      <c r="C152" s="40">
        <v>212.1</v>
      </c>
      <c r="D152" s="40">
        <v>212.1</v>
      </c>
    </row>
    <row r="153" spans="2:4" x14ac:dyDescent="0.25">
      <c r="B153" s="39">
        <v>39507</v>
      </c>
      <c r="C153" s="40">
        <v>211.4</v>
      </c>
      <c r="D153" s="40">
        <v>211.4</v>
      </c>
    </row>
    <row r="154" spans="2:4" x14ac:dyDescent="0.25">
      <c r="B154" s="39">
        <v>39478</v>
      </c>
      <c r="C154" s="40">
        <v>209.8</v>
      </c>
      <c r="D154" s="40">
        <v>209.8</v>
      </c>
    </row>
    <row r="155" spans="2:4" x14ac:dyDescent="0.25">
      <c r="B155" s="39">
        <v>39447</v>
      </c>
      <c r="C155" s="40">
        <v>210.9</v>
      </c>
      <c r="D155" s="40">
        <v>210.9</v>
      </c>
    </row>
    <row r="156" spans="2:4" x14ac:dyDescent="0.25">
      <c r="B156" s="39">
        <v>39416</v>
      </c>
      <c r="C156" s="40">
        <v>209.7</v>
      </c>
      <c r="D156" s="40">
        <v>209.7</v>
      </c>
    </row>
    <row r="157" spans="2:4" x14ac:dyDescent="0.25">
      <c r="B157" s="39">
        <v>39386</v>
      </c>
      <c r="C157" s="40">
        <v>208.9</v>
      </c>
      <c r="D157" s="40">
        <v>208.9</v>
      </c>
    </row>
    <row r="158" spans="2:4" x14ac:dyDescent="0.25">
      <c r="B158" s="39">
        <v>39355</v>
      </c>
      <c r="C158" s="40">
        <v>208</v>
      </c>
      <c r="D158" s="40">
        <v>208</v>
      </c>
    </row>
    <row r="159" spans="2:4" x14ac:dyDescent="0.25">
      <c r="B159" s="39">
        <v>39325</v>
      </c>
      <c r="C159" s="40">
        <v>207.3</v>
      </c>
      <c r="D159" s="40">
        <v>207.3</v>
      </c>
    </row>
    <row r="160" spans="2:4" x14ac:dyDescent="0.25">
      <c r="B160" s="39">
        <v>39294</v>
      </c>
      <c r="C160" s="40">
        <v>206.1</v>
      </c>
      <c r="D160" s="40">
        <v>206.1</v>
      </c>
    </row>
    <row r="161" spans="2:4" x14ac:dyDescent="0.25">
      <c r="B161" s="39">
        <v>39263</v>
      </c>
      <c r="C161" s="40">
        <v>207.3</v>
      </c>
      <c r="D161" s="40">
        <v>207.3</v>
      </c>
    </row>
    <row r="162" spans="2:4" x14ac:dyDescent="0.25">
      <c r="B162" s="39">
        <v>39233</v>
      </c>
      <c r="C162" s="40">
        <v>206.2</v>
      </c>
      <c r="D162" s="40">
        <v>206.2</v>
      </c>
    </row>
    <row r="163" spans="2:4" x14ac:dyDescent="0.25">
      <c r="B163" s="39">
        <v>39202</v>
      </c>
      <c r="C163" s="40">
        <v>205.4</v>
      </c>
      <c r="D163" s="40">
        <v>205.4</v>
      </c>
    </row>
    <row r="164" spans="2:4" x14ac:dyDescent="0.25">
      <c r="B164" s="39">
        <v>39172</v>
      </c>
      <c r="C164" s="40">
        <v>204.4</v>
      </c>
      <c r="D164" s="40">
        <v>204.4</v>
      </c>
    </row>
    <row r="165" spans="2:4" x14ac:dyDescent="0.25">
      <c r="B165" s="39">
        <v>39141</v>
      </c>
      <c r="C165" s="40">
        <v>203.1</v>
      </c>
      <c r="D165" s="40">
        <v>203.1</v>
      </c>
    </row>
    <row r="166" spans="2:4" x14ac:dyDescent="0.25">
      <c r="B166" s="39">
        <v>39113</v>
      </c>
      <c r="C166" s="40">
        <v>201.6</v>
      </c>
      <c r="D166" s="40">
        <v>201.6</v>
      </c>
    </row>
    <row r="167" spans="2:4" x14ac:dyDescent="0.25">
      <c r="B167" s="39">
        <v>39082</v>
      </c>
      <c r="C167" s="40">
        <v>202.7</v>
      </c>
      <c r="D167" s="40">
        <v>202.7</v>
      </c>
    </row>
    <row r="168" spans="2:4" x14ac:dyDescent="0.25">
      <c r="B168" s="39">
        <v>39051</v>
      </c>
      <c r="C168" s="40">
        <v>201.1</v>
      </c>
      <c r="D168" s="40">
        <v>201.1</v>
      </c>
    </row>
    <row r="169" spans="2:4" x14ac:dyDescent="0.25">
      <c r="B169" s="39">
        <v>39021</v>
      </c>
      <c r="C169" s="40">
        <v>200.4</v>
      </c>
      <c r="D169" s="40">
        <v>200.4</v>
      </c>
    </row>
    <row r="170" spans="2:4" x14ac:dyDescent="0.25">
      <c r="B170" s="39">
        <v>38990</v>
      </c>
      <c r="C170" s="40">
        <v>200.1</v>
      </c>
      <c r="D170" s="40">
        <v>200.1</v>
      </c>
    </row>
    <row r="171" spans="2:4" x14ac:dyDescent="0.25">
      <c r="B171" s="39">
        <v>38960</v>
      </c>
      <c r="C171" s="40">
        <v>199.2</v>
      </c>
      <c r="D171" s="40">
        <v>199.2</v>
      </c>
    </row>
    <row r="172" spans="2:4" x14ac:dyDescent="0.25">
      <c r="B172" s="39">
        <v>38929</v>
      </c>
      <c r="C172" s="40">
        <v>198.5</v>
      </c>
      <c r="D172" s="40">
        <v>198.5</v>
      </c>
    </row>
    <row r="173" spans="2:4" x14ac:dyDescent="0.25">
      <c r="B173" s="39">
        <v>38898</v>
      </c>
      <c r="C173" s="40">
        <v>198.5</v>
      </c>
      <c r="D173" s="40">
        <v>198.5</v>
      </c>
    </row>
    <row r="174" spans="2:4" x14ac:dyDescent="0.25">
      <c r="B174" s="39">
        <v>38868</v>
      </c>
      <c r="C174" s="40">
        <v>197.7</v>
      </c>
      <c r="D174" s="40">
        <v>197.7</v>
      </c>
    </row>
    <row r="175" spans="2:4" x14ac:dyDescent="0.25">
      <c r="B175" s="39">
        <v>38837</v>
      </c>
      <c r="C175" s="40">
        <v>196.5</v>
      </c>
      <c r="D175" s="40">
        <v>196.5</v>
      </c>
    </row>
    <row r="176" spans="2:4" x14ac:dyDescent="0.25">
      <c r="B176" s="39">
        <v>38807</v>
      </c>
      <c r="C176" s="40">
        <v>195</v>
      </c>
      <c r="D176" s="40">
        <v>195</v>
      </c>
    </row>
    <row r="177" spans="2:4" x14ac:dyDescent="0.25">
      <c r="B177" s="39">
        <v>38776</v>
      </c>
      <c r="C177" s="40">
        <v>194.2</v>
      </c>
      <c r="D177" s="40">
        <v>194.2</v>
      </c>
    </row>
    <row r="178" spans="2:4" x14ac:dyDescent="0.25">
      <c r="B178" s="39">
        <v>38748</v>
      </c>
      <c r="C178" s="40">
        <v>193.4</v>
      </c>
      <c r="D178" s="40">
        <v>193.4</v>
      </c>
    </row>
    <row r="179" spans="2:4" x14ac:dyDescent="0.25">
      <c r="B179" s="39">
        <v>38717</v>
      </c>
      <c r="C179" s="40">
        <v>194.1</v>
      </c>
      <c r="D179" s="40">
        <v>194.1</v>
      </c>
    </row>
    <row r="180" spans="2:4" x14ac:dyDescent="0.25">
      <c r="B180" s="39">
        <v>38686</v>
      </c>
      <c r="C180" s="40">
        <v>193.6</v>
      </c>
      <c r="D180" s="40">
        <v>193.6</v>
      </c>
    </row>
    <row r="181" spans="2:4" x14ac:dyDescent="0.25">
      <c r="B181" s="39">
        <v>38656</v>
      </c>
      <c r="C181" s="40">
        <v>193.3</v>
      </c>
      <c r="D181" s="40">
        <v>193.3</v>
      </c>
    </row>
    <row r="182" spans="2:4" x14ac:dyDescent="0.25">
      <c r="B182" s="39">
        <v>38625</v>
      </c>
      <c r="C182" s="40">
        <v>193.1</v>
      </c>
      <c r="D182" s="40">
        <v>193.1</v>
      </c>
    </row>
    <row r="183" spans="2:4" x14ac:dyDescent="0.25">
      <c r="B183" s="39">
        <v>38595</v>
      </c>
      <c r="C183" s="40">
        <v>192.6</v>
      </c>
      <c r="D183" s="40">
        <v>192.6</v>
      </c>
    </row>
    <row r="184" spans="2:4" x14ac:dyDescent="0.25">
      <c r="B184" s="39">
        <v>38564</v>
      </c>
      <c r="C184" s="40">
        <v>192.2</v>
      </c>
      <c r="D184" s="40">
        <v>192.2</v>
      </c>
    </row>
    <row r="185" spans="2:4" x14ac:dyDescent="0.25">
      <c r="B185" s="39">
        <v>38533</v>
      </c>
      <c r="C185" s="40">
        <v>192.2</v>
      </c>
      <c r="D185" s="40">
        <v>192.2</v>
      </c>
    </row>
    <row r="186" spans="2:4" x14ac:dyDescent="0.25">
      <c r="B186" s="39">
        <v>38503</v>
      </c>
      <c r="C186" s="40">
        <v>192</v>
      </c>
      <c r="D186" s="40">
        <v>192</v>
      </c>
    </row>
    <row r="187" spans="2:4" x14ac:dyDescent="0.25">
      <c r="B187" s="39">
        <v>38472</v>
      </c>
      <c r="C187" s="40">
        <v>191.6</v>
      </c>
      <c r="D187" s="40">
        <v>191.6</v>
      </c>
    </row>
    <row r="188" spans="2:4" x14ac:dyDescent="0.25">
      <c r="B188" s="39">
        <v>38442</v>
      </c>
      <c r="C188" s="40">
        <v>190.5</v>
      </c>
      <c r="D188" s="40">
        <v>190.5</v>
      </c>
    </row>
    <row r="189" spans="2:4" x14ac:dyDescent="0.25">
      <c r="B189" s="39">
        <v>38411</v>
      </c>
      <c r="C189" s="40">
        <v>189.6</v>
      </c>
      <c r="D189" s="40">
        <v>189.6</v>
      </c>
    </row>
    <row r="190" spans="2:4" x14ac:dyDescent="0.25">
      <c r="B190" s="39">
        <v>38383</v>
      </c>
      <c r="C190" s="40">
        <v>188.9</v>
      </c>
      <c r="D190" s="40">
        <v>188.9</v>
      </c>
    </row>
    <row r="191" spans="2:4" x14ac:dyDescent="0.25">
      <c r="B191" s="39">
        <v>38352</v>
      </c>
      <c r="C191" s="40">
        <v>189.9</v>
      </c>
      <c r="D191" s="40">
        <v>189.9</v>
      </c>
    </row>
    <row r="192" spans="2:4" x14ac:dyDescent="0.25">
      <c r="B192" s="39">
        <v>38321</v>
      </c>
      <c r="C192" s="40">
        <v>189</v>
      </c>
      <c r="D192" s="40">
        <v>189</v>
      </c>
    </row>
    <row r="193" spans="2:4" x14ac:dyDescent="0.25">
      <c r="B193" s="39">
        <v>38291</v>
      </c>
      <c r="C193" s="40">
        <v>188.6</v>
      </c>
      <c r="D193" s="40">
        <v>188.6</v>
      </c>
    </row>
    <row r="194" spans="2:4" x14ac:dyDescent="0.25">
      <c r="B194" s="39">
        <v>38260</v>
      </c>
      <c r="C194" s="40">
        <v>188.1</v>
      </c>
      <c r="D194" s="40">
        <v>188.1</v>
      </c>
    </row>
    <row r="195" spans="2:4" x14ac:dyDescent="0.25">
      <c r="B195" s="39">
        <v>38230</v>
      </c>
      <c r="C195" s="40">
        <v>187.4</v>
      </c>
      <c r="D195" s="40">
        <v>187.4</v>
      </c>
    </row>
    <row r="196" spans="2:4" x14ac:dyDescent="0.25">
      <c r="B196" s="39">
        <v>38199</v>
      </c>
      <c r="C196" s="40">
        <v>186.8</v>
      </c>
      <c r="D196" s="40">
        <v>186.8</v>
      </c>
    </row>
    <row r="197" spans="2:4" x14ac:dyDescent="0.25">
      <c r="B197" s="39">
        <v>38168</v>
      </c>
      <c r="C197" s="40">
        <v>186.8</v>
      </c>
      <c r="D197" s="40">
        <v>186.8</v>
      </c>
    </row>
    <row r="198" spans="2:4" x14ac:dyDescent="0.25">
      <c r="B198" s="39">
        <v>38138</v>
      </c>
      <c r="C198" s="40">
        <v>186.5</v>
      </c>
      <c r="D198" s="40">
        <v>186.5</v>
      </c>
    </row>
    <row r="199" spans="2:4" x14ac:dyDescent="0.25">
      <c r="B199" s="39">
        <v>38107</v>
      </c>
      <c r="C199" s="40">
        <v>185.7</v>
      </c>
      <c r="D199" s="40">
        <v>185.7</v>
      </c>
    </row>
    <row r="200" spans="2:4" x14ac:dyDescent="0.25">
      <c r="B200" s="39">
        <v>38077</v>
      </c>
      <c r="C200" s="40">
        <v>184.6</v>
      </c>
      <c r="D200" s="40">
        <v>184.6</v>
      </c>
    </row>
    <row r="201" spans="2:4" x14ac:dyDescent="0.25">
      <c r="B201" s="39">
        <v>38046</v>
      </c>
      <c r="C201" s="40">
        <v>183.8</v>
      </c>
      <c r="D201" s="40">
        <v>183.8</v>
      </c>
    </row>
    <row r="202" spans="2:4" x14ac:dyDescent="0.25">
      <c r="B202" s="39">
        <v>38017</v>
      </c>
      <c r="C202" s="40">
        <v>183.1</v>
      </c>
      <c r="D202" s="40">
        <v>183.1</v>
      </c>
    </row>
    <row r="203" spans="2:4" x14ac:dyDescent="0.25">
      <c r="B203" s="39">
        <v>37986</v>
      </c>
      <c r="C203" s="40">
        <v>183.5</v>
      </c>
      <c r="D203" s="40">
        <v>183.5</v>
      </c>
    </row>
    <row r="204" spans="2:4" x14ac:dyDescent="0.25">
      <c r="B204" s="39">
        <v>37955</v>
      </c>
      <c r="C204" s="40">
        <v>182.7</v>
      </c>
      <c r="D204" s="40">
        <v>182.7</v>
      </c>
    </row>
    <row r="205" spans="2:4" x14ac:dyDescent="0.25">
      <c r="B205" s="39">
        <v>37925</v>
      </c>
      <c r="C205" s="40">
        <v>182.6</v>
      </c>
      <c r="D205" s="40">
        <v>182.6</v>
      </c>
    </row>
    <row r="206" spans="2:4" x14ac:dyDescent="0.25">
      <c r="B206" s="39">
        <v>37894</v>
      </c>
      <c r="C206" s="40">
        <v>182.5</v>
      </c>
      <c r="D206" s="40">
        <v>182.5</v>
      </c>
    </row>
    <row r="207" spans="2:4" x14ac:dyDescent="0.25">
      <c r="B207" s="39">
        <v>37864</v>
      </c>
      <c r="C207" s="40">
        <v>181.6</v>
      </c>
      <c r="D207" s="40">
        <v>181.6</v>
      </c>
    </row>
    <row r="208" spans="2:4" x14ac:dyDescent="0.25">
      <c r="B208" s="39">
        <v>37833</v>
      </c>
      <c r="C208" s="40">
        <v>181.3</v>
      </c>
      <c r="D208" s="40">
        <v>181.3</v>
      </c>
    </row>
    <row r="209" spans="2:4" x14ac:dyDescent="0.25">
      <c r="B209" s="39">
        <v>37802</v>
      </c>
      <c r="C209" s="40">
        <v>181.3</v>
      </c>
      <c r="D209" s="40">
        <v>181.3</v>
      </c>
    </row>
    <row r="210" spans="2:4" x14ac:dyDescent="0.25">
      <c r="B210" s="39">
        <v>37772</v>
      </c>
      <c r="C210" s="40">
        <v>181.5</v>
      </c>
      <c r="D210" s="40">
        <v>181.5</v>
      </c>
    </row>
    <row r="211" spans="2:4" x14ac:dyDescent="0.25">
      <c r="B211" s="39">
        <v>37741</v>
      </c>
      <c r="C211" s="40">
        <v>181.2</v>
      </c>
      <c r="D211" s="40">
        <v>181.2</v>
      </c>
    </row>
    <row r="212" spans="2:4" x14ac:dyDescent="0.25">
      <c r="B212" s="39">
        <v>37711</v>
      </c>
      <c r="C212" s="40">
        <v>179.9</v>
      </c>
      <c r="D212" s="40">
        <v>179.9</v>
      </c>
    </row>
    <row r="213" spans="2:4" x14ac:dyDescent="0.25">
      <c r="B213" s="39">
        <v>37680</v>
      </c>
      <c r="C213" s="40">
        <v>179.3</v>
      </c>
      <c r="D213" s="40">
        <v>179.3</v>
      </c>
    </row>
    <row r="214" spans="2:4" x14ac:dyDescent="0.25">
      <c r="B214" s="39">
        <v>37652</v>
      </c>
      <c r="C214" s="40">
        <v>178.4</v>
      </c>
      <c r="D214" s="40">
        <v>178.4</v>
      </c>
    </row>
    <row r="215" spans="2:4" x14ac:dyDescent="0.25">
      <c r="B215" s="39">
        <v>37621</v>
      </c>
      <c r="C215" s="40">
        <v>178.5</v>
      </c>
      <c r="D215" s="40">
        <v>178.5</v>
      </c>
    </row>
    <row r="216" spans="2:4" x14ac:dyDescent="0.25">
      <c r="B216" s="39">
        <v>37590</v>
      </c>
      <c r="C216" s="40">
        <v>178.2</v>
      </c>
      <c r="D216" s="40">
        <v>178.2</v>
      </c>
    </row>
    <row r="217" spans="2:4" x14ac:dyDescent="0.25">
      <c r="B217" s="39">
        <v>37560</v>
      </c>
      <c r="C217" s="40">
        <v>177.9</v>
      </c>
      <c r="D217" s="40">
        <v>177.9</v>
      </c>
    </row>
    <row r="218" spans="2:4" x14ac:dyDescent="0.25">
      <c r="B218" s="39">
        <v>37529</v>
      </c>
      <c r="C218" s="40">
        <v>177.6</v>
      </c>
      <c r="D218" s="40">
        <v>177.6</v>
      </c>
    </row>
    <row r="219" spans="2:4" x14ac:dyDescent="0.25">
      <c r="B219" s="39">
        <v>37499</v>
      </c>
      <c r="C219" s="40">
        <v>176.4</v>
      </c>
      <c r="D219" s="40">
        <v>176.4</v>
      </c>
    </row>
    <row r="220" spans="2:4" x14ac:dyDescent="0.25">
      <c r="B220" s="39">
        <v>37468</v>
      </c>
      <c r="C220" s="40">
        <v>175.9</v>
      </c>
      <c r="D220" s="40">
        <v>175.9</v>
      </c>
    </row>
    <row r="221" spans="2:4" x14ac:dyDescent="0.25">
      <c r="B221" s="39">
        <v>37437</v>
      </c>
      <c r="C221" s="40">
        <v>176.2</v>
      </c>
      <c r="D221" s="40">
        <v>176.2</v>
      </c>
    </row>
    <row r="222" spans="2:4" x14ac:dyDescent="0.25">
      <c r="B222" s="39">
        <v>37407</v>
      </c>
      <c r="C222" s="40">
        <v>176.2</v>
      </c>
      <c r="D222" s="40">
        <v>176.2</v>
      </c>
    </row>
    <row r="223" spans="2:4" x14ac:dyDescent="0.25">
      <c r="B223" s="39">
        <v>37376</v>
      </c>
      <c r="C223" s="40">
        <v>175.7</v>
      </c>
      <c r="D223" s="40">
        <v>175.7</v>
      </c>
    </row>
    <row r="224" spans="2:4" x14ac:dyDescent="0.25">
      <c r="B224" s="39">
        <v>37346</v>
      </c>
      <c r="C224" s="40">
        <v>174.5</v>
      </c>
      <c r="D224" s="40">
        <v>174.5</v>
      </c>
    </row>
    <row r="225" spans="2:4" x14ac:dyDescent="0.25">
      <c r="B225" s="39">
        <v>37315</v>
      </c>
      <c r="C225" s="40">
        <v>173.8</v>
      </c>
      <c r="D225" s="40">
        <v>173.8</v>
      </c>
    </row>
    <row r="226" spans="2:4" x14ac:dyDescent="0.25">
      <c r="B226" s="39">
        <v>37287</v>
      </c>
      <c r="C226" s="40">
        <v>173.3</v>
      </c>
      <c r="D226" s="40">
        <v>173.3</v>
      </c>
    </row>
    <row r="227" spans="2:4" x14ac:dyDescent="0.25">
      <c r="B227" s="39">
        <v>37256</v>
      </c>
      <c r="C227" s="40">
        <v>173.4</v>
      </c>
      <c r="D227" s="40">
        <v>173.4</v>
      </c>
    </row>
    <row r="228" spans="2:4" x14ac:dyDescent="0.25">
      <c r="B228" s="39">
        <v>37225</v>
      </c>
      <c r="C228" s="40">
        <v>173.6</v>
      </c>
      <c r="D228" s="40">
        <v>173.6</v>
      </c>
    </row>
    <row r="229" spans="2:4" x14ac:dyDescent="0.25">
      <c r="B229" s="39">
        <v>37195</v>
      </c>
      <c r="C229" s="40">
        <v>174.3</v>
      </c>
      <c r="D229" s="40">
        <v>174.3</v>
      </c>
    </row>
    <row r="230" spans="2:4" x14ac:dyDescent="0.25">
      <c r="B230" s="39">
        <v>37164</v>
      </c>
      <c r="C230" s="40">
        <v>174.6</v>
      </c>
      <c r="D230" s="40">
        <v>174.6</v>
      </c>
    </row>
    <row r="231" spans="2:4" x14ac:dyDescent="0.25">
      <c r="B231" s="39">
        <v>37134</v>
      </c>
      <c r="C231" s="40">
        <v>174</v>
      </c>
      <c r="D231" s="40">
        <v>174</v>
      </c>
    </row>
    <row r="232" spans="2:4" x14ac:dyDescent="0.25">
      <c r="B232" s="39">
        <v>37103</v>
      </c>
      <c r="C232" s="40">
        <v>173.3</v>
      </c>
      <c r="D232" s="40">
        <v>173.3</v>
      </c>
    </row>
    <row r="233" spans="2:4" x14ac:dyDescent="0.25">
      <c r="B233" s="39">
        <v>37072</v>
      </c>
      <c r="C233" s="40">
        <v>174.4</v>
      </c>
      <c r="D233" s="40">
        <v>174.4</v>
      </c>
    </row>
    <row r="234" spans="2:4" x14ac:dyDescent="0.25">
      <c r="B234" s="39">
        <v>37042</v>
      </c>
      <c r="C234" s="40">
        <v>174.2</v>
      </c>
      <c r="D234" s="40">
        <v>174.2</v>
      </c>
    </row>
    <row r="235" spans="2:4" x14ac:dyDescent="0.25">
      <c r="B235" s="39">
        <v>37011</v>
      </c>
      <c r="C235" s="40">
        <v>173.1</v>
      </c>
      <c r="D235" s="40">
        <v>173.1</v>
      </c>
    </row>
    <row r="236" spans="2:4" x14ac:dyDescent="0.25">
      <c r="B236" s="39">
        <v>36981</v>
      </c>
      <c r="C236" s="40">
        <v>172.2</v>
      </c>
      <c r="D236" s="40">
        <v>172.2</v>
      </c>
    </row>
    <row r="237" spans="2:4" x14ac:dyDescent="0.25">
      <c r="B237" s="39">
        <v>36950</v>
      </c>
      <c r="C237" s="40">
        <v>172</v>
      </c>
      <c r="D237" s="40">
        <v>172</v>
      </c>
    </row>
    <row r="238" spans="2:4" x14ac:dyDescent="0.25">
      <c r="B238" s="39">
        <v>36922</v>
      </c>
      <c r="C238" s="40">
        <v>171.1</v>
      </c>
      <c r="D238" s="40">
        <v>171.1</v>
      </c>
    </row>
    <row r="239" spans="2:4" x14ac:dyDescent="0.25">
      <c r="B239" s="39">
        <v>36891</v>
      </c>
      <c r="C239" s="40">
        <v>172.2</v>
      </c>
      <c r="D239" s="40">
        <v>172.2</v>
      </c>
    </row>
    <row r="240" spans="2:4" x14ac:dyDescent="0.25">
      <c r="B240" s="39">
        <v>36860</v>
      </c>
      <c r="C240" s="40">
        <v>172.1</v>
      </c>
      <c r="D240" s="40">
        <v>172.1</v>
      </c>
    </row>
    <row r="241" spans="2:4" x14ac:dyDescent="0.25">
      <c r="B241" s="39">
        <v>36830</v>
      </c>
      <c r="C241" s="40">
        <v>171.6</v>
      </c>
      <c r="D241" s="40">
        <v>171.6</v>
      </c>
    </row>
    <row r="242" spans="2:4" x14ac:dyDescent="0.25">
      <c r="B242" s="39">
        <v>36799</v>
      </c>
      <c r="C242" s="40">
        <v>171.7</v>
      </c>
      <c r="D242" s="40">
        <v>171.7</v>
      </c>
    </row>
    <row r="243" spans="2:4" x14ac:dyDescent="0.25">
      <c r="B243" s="39">
        <v>36769</v>
      </c>
      <c r="C243" s="40">
        <v>170.5</v>
      </c>
      <c r="D243" s="40">
        <v>170.5</v>
      </c>
    </row>
    <row r="244" spans="2:4" x14ac:dyDescent="0.25">
      <c r="B244" s="39">
        <v>36738</v>
      </c>
      <c r="C244" s="40">
        <v>170.5</v>
      </c>
      <c r="D244" s="40">
        <v>170.5</v>
      </c>
    </row>
    <row r="245" spans="2:4" x14ac:dyDescent="0.25">
      <c r="B245" s="39">
        <v>36707</v>
      </c>
      <c r="C245" s="40">
        <v>171.1</v>
      </c>
      <c r="D245" s="40">
        <v>171.1</v>
      </c>
    </row>
    <row r="246" spans="2:4" x14ac:dyDescent="0.25">
      <c r="B246" s="39">
        <v>36677</v>
      </c>
      <c r="C246" s="40">
        <v>170.7</v>
      </c>
      <c r="D246" s="40">
        <v>170.7</v>
      </c>
    </row>
    <row r="247" spans="2:4" x14ac:dyDescent="0.25">
      <c r="B247" s="39">
        <v>36646</v>
      </c>
      <c r="C247" s="40">
        <v>170.1</v>
      </c>
      <c r="D247" s="40">
        <v>170.1</v>
      </c>
    </row>
    <row r="248" spans="2:4" x14ac:dyDescent="0.25">
      <c r="B248" s="39">
        <v>36616</v>
      </c>
      <c r="C248" s="40">
        <v>168.4</v>
      </c>
      <c r="D248" s="40">
        <v>168.4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0"/>
  <sheetViews>
    <sheetView showGridLines="0" workbookViewId="0"/>
  </sheetViews>
  <sheetFormatPr defaultRowHeight="15" x14ac:dyDescent="0.25"/>
  <cols>
    <col min="1" max="1" width="4.28515625" style="1" customWidth="1"/>
    <col min="2" max="2" width="34.7109375" style="1" customWidth="1"/>
    <col min="3" max="3" width="18.7109375" style="1" customWidth="1"/>
    <col min="4" max="4" width="18.42578125" style="1" customWidth="1"/>
    <col min="5" max="5" width="9.140625" style="1"/>
    <col min="6" max="6" width="34.140625" style="1" bestFit="1" customWidth="1"/>
    <col min="7" max="7" width="17.42578125" style="1" bestFit="1" customWidth="1"/>
    <col min="8" max="8" width="29.140625" style="1" customWidth="1"/>
    <col min="9" max="16384" width="9.140625" style="1"/>
  </cols>
  <sheetData>
    <row r="2" spans="2:8" x14ac:dyDescent="0.25">
      <c r="B2" s="30" t="s">
        <v>140</v>
      </c>
      <c r="F2" s="30" t="s">
        <v>117</v>
      </c>
    </row>
    <row r="3" spans="2:8" x14ac:dyDescent="0.25">
      <c r="B3" s="46" t="s">
        <v>34</v>
      </c>
      <c r="F3" s="47" t="str">
        <f ca="1">_xll.meLWOSwapGeneratorCreate(F2,F6:H50,,TRUE)</f>
        <v>CUSTOM_RPI@3:0</v>
      </c>
    </row>
    <row r="6" spans="2:8" x14ac:dyDescent="0.25">
      <c r="B6" s="26" t="str">
        <f t="array" aca="1" ref="B6:D50" ca="1">_xll.meUtilityResize(_xll.meLWOSwapGeneratorDisplay(B3),45,3)</f>
        <v>LEGTYPE</v>
      </c>
      <c r="C6" s="42" t="str">
        <f ca="1"/>
        <v>Leg1:Fixed</v>
      </c>
      <c r="D6" s="42" t="str">
        <f ca="1"/>
        <v>Leg2:Inflation</v>
      </c>
      <c r="F6" s="26" t="s">
        <v>116</v>
      </c>
      <c r="G6" s="42" t="s">
        <v>115</v>
      </c>
      <c r="H6" s="42" t="s">
        <v>114</v>
      </c>
    </row>
    <row r="7" spans="2:8" x14ac:dyDescent="0.25">
      <c r="B7" s="25" t="str">
        <f ca="1"/>
        <v>LEVERAGE</v>
      </c>
      <c r="C7" s="43">
        <f ca="1"/>
        <v>1</v>
      </c>
      <c r="D7" s="43">
        <f ca="1"/>
        <v>1</v>
      </c>
      <c r="F7" s="25" t="s">
        <v>113</v>
      </c>
      <c r="G7" s="43" t="s">
        <v>112</v>
      </c>
      <c r="H7" s="43" t="s">
        <v>112</v>
      </c>
    </row>
    <row r="8" spans="2:8" x14ac:dyDescent="0.25">
      <c r="B8" s="25" t="str">
        <f ca="1"/>
        <v>FORECASTCURVE</v>
      </c>
      <c r="C8" s="43" t="str">
        <f ca="1"/>
        <v/>
      </c>
      <c r="D8" s="43" t="str">
        <f ca="1"/>
        <v>GBPUKRPI</v>
      </c>
      <c r="F8" s="25" t="s">
        <v>111</v>
      </c>
      <c r="G8" s="43" t="s">
        <v>72</v>
      </c>
      <c r="H8" s="43" t="s">
        <v>110</v>
      </c>
    </row>
    <row r="9" spans="2:8" x14ac:dyDescent="0.25">
      <c r="B9" s="25" t="str">
        <f ca="1"/>
        <v>COMPOUNDMETHOD</v>
      </c>
      <c r="C9" s="43" t="str">
        <f ca="1"/>
        <v>NONE</v>
      </c>
      <c r="D9" s="43" t="str">
        <f ca="1"/>
        <v>NONE</v>
      </c>
      <c r="F9" s="25" t="s">
        <v>109</v>
      </c>
      <c r="G9" s="43" t="s">
        <v>107</v>
      </c>
      <c r="H9" s="43" t="s">
        <v>107</v>
      </c>
    </row>
    <row r="10" spans="2:8" x14ac:dyDescent="0.25">
      <c r="B10" s="25" t="str">
        <f ca="1"/>
        <v>NOTIONALEXCHANGE</v>
      </c>
      <c r="C10" s="43" t="str">
        <f ca="1"/>
        <v>NONE</v>
      </c>
      <c r="D10" s="43" t="str">
        <f ca="1"/>
        <v>NONE</v>
      </c>
      <c r="F10" s="25" t="s">
        <v>108</v>
      </c>
      <c r="G10" s="43" t="s">
        <v>107</v>
      </c>
      <c r="H10" s="43" t="s">
        <v>107</v>
      </c>
    </row>
    <row r="11" spans="2:8" x14ac:dyDescent="0.25">
      <c r="B11" s="25" t="str">
        <f ca="1"/>
        <v>DISCOUNTCURVE</v>
      </c>
      <c r="C11" s="43" t="str">
        <f ca="1"/>
        <v>GBPOIS</v>
      </c>
      <c r="D11" s="43" t="str">
        <f ca="1"/>
        <v>GBPOIS</v>
      </c>
      <c r="F11" s="25" t="s">
        <v>106</v>
      </c>
      <c r="G11" s="43" t="s">
        <v>105</v>
      </c>
      <c r="H11" s="43" t="s">
        <v>105</v>
      </c>
    </row>
    <row r="12" spans="2:8" x14ac:dyDescent="0.25">
      <c r="B12" s="25" t="str">
        <f ca="1"/>
        <v>VALUATIONCURRENCY</v>
      </c>
      <c r="C12" s="43" t="str">
        <f ca="1"/>
        <v>GBP</v>
      </c>
      <c r="D12" s="43" t="str">
        <f ca="1"/>
        <v>GBP</v>
      </c>
      <c r="F12" s="25" t="s">
        <v>104</v>
      </c>
      <c r="G12" s="43" t="s">
        <v>11</v>
      </c>
      <c r="H12" s="43" t="s">
        <v>11</v>
      </c>
    </row>
    <row r="13" spans="2:8" x14ac:dyDescent="0.25">
      <c r="B13" s="25" t="str">
        <f ca="1"/>
        <v>CURRENCY</v>
      </c>
      <c r="C13" s="43" t="str">
        <f ca="1"/>
        <v>GBP</v>
      </c>
      <c r="D13" s="43" t="str">
        <f ca="1"/>
        <v>GBP</v>
      </c>
      <c r="F13" s="25" t="s">
        <v>103</v>
      </c>
      <c r="G13" s="43" t="s">
        <v>11</v>
      </c>
      <c r="H13" s="43" t="s">
        <v>11</v>
      </c>
    </row>
    <row r="14" spans="2:8" x14ac:dyDescent="0.25">
      <c r="B14" s="25" t="str">
        <f ca="1"/>
        <v>ACCRUALFREQUENCY</v>
      </c>
      <c r="C14" s="43" t="str">
        <f ca="1"/>
        <v>Annual</v>
      </c>
      <c r="D14" s="43" t="str">
        <f ca="1"/>
        <v>AtMaturity</v>
      </c>
      <c r="F14" s="25" t="s">
        <v>102</v>
      </c>
      <c r="G14" s="43" t="s">
        <v>101</v>
      </c>
      <c r="H14" s="43" t="s">
        <v>95</v>
      </c>
    </row>
    <row r="15" spans="2:8" x14ac:dyDescent="0.25">
      <c r="B15" s="25" t="str">
        <f ca="1"/>
        <v>ACCRUALBUSINESSDAYADJUSTMENT</v>
      </c>
      <c r="C15" s="43" t="str">
        <f ca="1"/>
        <v>NO_CHANGE</v>
      </c>
      <c r="D15" s="43" t="str">
        <f ca="1"/>
        <v>NO_CHANGE</v>
      </c>
      <c r="F15" s="25" t="s">
        <v>100</v>
      </c>
      <c r="G15" s="43" t="s">
        <v>82</v>
      </c>
      <c r="H15" s="43" t="s">
        <v>82</v>
      </c>
    </row>
    <row r="16" spans="2:8" x14ac:dyDescent="0.25">
      <c r="B16" s="25" t="str">
        <f ca="1"/>
        <v>ACCRUALCALENDAR</v>
      </c>
      <c r="C16" s="43" t="str">
        <f ca="1"/>
        <v>LNB</v>
      </c>
      <c r="D16" s="43" t="str">
        <f ca="1"/>
        <v>LNB</v>
      </c>
      <c r="F16" s="25" t="s">
        <v>99</v>
      </c>
      <c r="G16" s="43" t="s">
        <v>46</v>
      </c>
      <c r="H16" s="43" t="s">
        <v>46</v>
      </c>
    </row>
    <row r="17" spans="2:8" x14ac:dyDescent="0.25">
      <c r="B17" s="25" t="str">
        <f ca="1"/>
        <v>ACCRUALDAYCOUNT</v>
      </c>
      <c r="C17" s="43" t="str">
        <f ca="1"/>
        <v>ACT/ACT</v>
      </c>
      <c r="D17" s="43" t="str">
        <f ca="1"/>
        <v>ACT/ACT</v>
      </c>
      <c r="F17" s="25" t="s">
        <v>98</v>
      </c>
      <c r="G17" s="43" t="s">
        <v>97</v>
      </c>
      <c r="H17" s="43" t="s">
        <v>97</v>
      </c>
    </row>
    <row r="18" spans="2:8" x14ac:dyDescent="0.25">
      <c r="B18" s="25" t="str">
        <f ca="1"/>
        <v>PAYMENTFREQUENCY</v>
      </c>
      <c r="C18" s="43" t="str">
        <f ca="1"/>
        <v>AtMaturity</v>
      </c>
      <c r="D18" s="43" t="str">
        <f ca="1"/>
        <v>AtMaturity</v>
      </c>
      <c r="F18" s="25" t="s">
        <v>96</v>
      </c>
      <c r="G18" s="43" t="s">
        <v>95</v>
      </c>
      <c r="H18" s="43" t="s">
        <v>95</v>
      </c>
    </row>
    <row r="19" spans="2:8" x14ac:dyDescent="0.25">
      <c r="B19" s="25" t="str">
        <f ca="1"/>
        <v>PAYMENTBUSINESSDAYADJUSTMENT</v>
      </c>
      <c r="C19" s="43" t="str">
        <f ca="1"/>
        <v>MOD_FOLLOWING</v>
      </c>
      <c r="D19" s="43" t="str">
        <f ca="1"/>
        <v>MOD_FOLLOWING</v>
      </c>
      <c r="F19" s="25" t="s">
        <v>94</v>
      </c>
      <c r="G19" s="43" t="s">
        <v>93</v>
      </c>
      <c r="H19" s="43" t="s">
        <v>93</v>
      </c>
    </row>
    <row r="20" spans="2:8" x14ac:dyDescent="0.25">
      <c r="B20" s="25" t="str">
        <f ca="1"/>
        <v>PAYMENTCALENDAR</v>
      </c>
      <c r="C20" s="43" t="str">
        <f ca="1"/>
        <v>LNB</v>
      </c>
      <c r="D20" s="43" t="str">
        <f ca="1"/>
        <v>LNB</v>
      </c>
      <c r="F20" s="25" t="s">
        <v>92</v>
      </c>
      <c r="G20" s="43" t="s">
        <v>46</v>
      </c>
      <c r="H20" s="43" t="s">
        <v>46</v>
      </c>
    </row>
    <row r="21" spans="2:8" x14ac:dyDescent="0.25">
      <c r="B21" s="25" t="str">
        <f ca="1"/>
        <v>PAYMENTLAG</v>
      </c>
      <c r="C21" s="43" t="str">
        <f ca="1"/>
        <v>0D</v>
      </c>
      <c r="D21" s="43" t="str">
        <f ca="1"/>
        <v>0D</v>
      </c>
      <c r="F21" s="25" t="s">
        <v>91</v>
      </c>
      <c r="G21" s="43" t="s">
        <v>90</v>
      </c>
      <c r="H21" s="43" t="s">
        <v>90</v>
      </c>
    </row>
    <row r="22" spans="2:8" x14ac:dyDescent="0.25">
      <c r="B22" s="25" t="str">
        <f ca="1"/>
        <v>FIRSTSTUBDATE</v>
      </c>
      <c r="C22" s="43" t="str">
        <f ca="1"/>
        <v/>
      </c>
      <c r="D22" s="43" t="str">
        <f ca="1"/>
        <v/>
      </c>
      <c r="F22" s="25" t="s">
        <v>89</v>
      </c>
      <c r="G22" s="43" t="s">
        <v>72</v>
      </c>
      <c r="H22" s="43" t="s">
        <v>72</v>
      </c>
    </row>
    <row r="23" spans="2:8" x14ac:dyDescent="0.25">
      <c r="B23" s="25" t="str">
        <f ca="1"/>
        <v>LASTSTUBDATE</v>
      </c>
      <c r="C23" s="43" t="str">
        <f ca="1"/>
        <v/>
      </c>
      <c r="D23" s="43" t="str">
        <f ca="1"/>
        <v/>
      </c>
      <c r="F23" s="25" t="s">
        <v>88</v>
      </c>
      <c r="G23" s="43" t="s">
        <v>72</v>
      </c>
      <c r="H23" s="43" t="s">
        <v>72</v>
      </c>
    </row>
    <row r="24" spans="2:8" x14ac:dyDescent="0.25">
      <c r="B24" s="25" t="str">
        <f ca="1"/>
        <v>ROLLDAY</v>
      </c>
      <c r="C24" s="43" t="str">
        <f ca="1"/>
        <v>NORMAL</v>
      </c>
      <c r="D24" s="43" t="str">
        <f ca="1"/>
        <v>NORMAL</v>
      </c>
      <c r="F24" s="25" t="s">
        <v>87</v>
      </c>
      <c r="G24" s="43" t="s">
        <v>86</v>
      </c>
      <c r="H24" s="43" t="s">
        <v>86</v>
      </c>
    </row>
    <row r="25" spans="2:8" x14ac:dyDescent="0.25">
      <c r="B25" s="25" t="str">
        <f ca="1"/>
        <v>STUBTYPE</v>
      </c>
      <c r="C25" s="43" t="str">
        <f ca="1"/>
        <v>ShortStart</v>
      </c>
      <c r="D25" s="43" t="str">
        <f ca="1"/>
        <v>ShortStart</v>
      </c>
      <c r="F25" s="25" t="s">
        <v>85</v>
      </c>
      <c r="G25" s="43" t="s">
        <v>84</v>
      </c>
      <c r="H25" s="43" t="s">
        <v>84</v>
      </c>
    </row>
    <row r="26" spans="2:8" x14ac:dyDescent="0.25">
      <c r="B26" s="25" t="str">
        <f ca="1"/>
        <v>FIXINGBUSINESSDAYADJUSTMENT</v>
      </c>
      <c r="C26" s="43" t="str">
        <f ca="1"/>
        <v/>
      </c>
      <c r="D26" s="43" t="str">
        <f ca="1"/>
        <v>MOD_FOLLOWING</v>
      </c>
      <c r="F26" s="25" t="s">
        <v>83</v>
      </c>
      <c r="G26" s="43" t="s">
        <v>72</v>
      </c>
      <c r="H26" s="43" t="s">
        <v>82</v>
      </c>
    </row>
    <row r="27" spans="2:8" x14ac:dyDescent="0.25">
      <c r="B27" s="25" t="str">
        <f ca="1"/>
        <v>FIXINGCALENDAR</v>
      </c>
      <c r="C27" s="43" t="str">
        <f ca="1"/>
        <v/>
      </c>
      <c r="D27" s="43" t="str">
        <f ca="1"/>
        <v>LNB</v>
      </c>
      <c r="F27" s="25" t="s">
        <v>81</v>
      </c>
      <c r="G27" s="43" t="s">
        <v>72</v>
      </c>
      <c r="H27" s="43" t="s">
        <v>46</v>
      </c>
    </row>
    <row r="28" spans="2:8" x14ac:dyDescent="0.25">
      <c r="B28" s="25" t="str">
        <f ca="1"/>
        <v>FIXINGLAG</v>
      </c>
      <c r="C28" s="43" t="str">
        <f ca="1"/>
        <v/>
      </c>
      <c r="D28" s="43" t="str">
        <f ca="1"/>
        <v>2M</v>
      </c>
      <c r="F28" s="25" t="s">
        <v>80</v>
      </c>
      <c r="G28" s="43" t="s">
        <v>72</v>
      </c>
      <c r="H28" s="43" t="s">
        <v>79</v>
      </c>
    </row>
    <row r="29" spans="2:8" x14ac:dyDescent="0.25">
      <c r="B29" s="25" t="str">
        <f ca="1"/>
        <v>FIXINGADVANCEORARREAR</v>
      </c>
      <c r="C29" s="43" t="str">
        <f ca="1"/>
        <v/>
      </c>
      <c r="D29" s="43" t="str">
        <f ca="1"/>
        <v/>
      </c>
      <c r="F29" s="25" t="s">
        <v>78</v>
      </c>
      <c r="G29" s="43" t="s">
        <v>72</v>
      </c>
      <c r="H29" s="43" t="s">
        <v>72</v>
      </c>
    </row>
    <row r="30" spans="2:8" x14ac:dyDescent="0.25">
      <c r="B30" s="25" t="str">
        <f ca="1"/>
        <v>ISFWDINTER</v>
      </c>
      <c r="C30" s="43" t="str">
        <f ca="1"/>
        <v/>
      </c>
      <c r="D30" s="43" t="str">
        <f ca="1"/>
        <v/>
      </c>
      <c r="F30" s="25" t="s">
        <v>77</v>
      </c>
      <c r="G30" s="43" t="s">
        <v>72</v>
      </c>
      <c r="H30" s="43" t="s">
        <v>72</v>
      </c>
    </row>
    <row r="31" spans="2:8" x14ac:dyDescent="0.25">
      <c r="B31" s="25" t="str">
        <f ca="1"/>
        <v>FIRSTSTUBCURVEINDEX</v>
      </c>
      <c r="C31" s="43" t="str">
        <f ca="1"/>
        <v/>
      </c>
      <c r="D31" s="43" t="str">
        <f ca="1"/>
        <v>NATURAL</v>
      </c>
      <c r="F31" s="25" t="s">
        <v>76</v>
      </c>
      <c r="G31" s="43" t="s">
        <v>72</v>
      </c>
      <c r="H31" s="43" t="s">
        <v>74</v>
      </c>
    </row>
    <row r="32" spans="2:8" x14ac:dyDescent="0.25">
      <c r="B32" s="25" t="str">
        <f ca="1"/>
        <v>LASTSTUBCURVEINDEX</v>
      </c>
      <c r="C32" s="43" t="str">
        <f ca="1"/>
        <v/>
      </c>
      <c r="D32" s="43" t="str">
        <f ca="1"/>
        <v>NATURAL</v>
      </c>
      <c r="F32" s="25" t="s">
        <v>75</v>
      </c>
      <c r="G32" s="43" t="s">
        <v>72</v>
      </c>
      <c r="H32" s="43" t="s">
        <v>74</v>
      </c>
    </row>
    <row r="33" spans="2:8" x14ac:dyDescent="0.25">
      <c r="B33" s="25" t="str">
        <f ca="1"/>
        <v>PAYMENTTRIGGER</v>
      </c>
      <c r="C33" s="43" t="str">
        <f ca="1"/>
        <v/>
      </c>
      <c r="D33" s="43" t="str">
        <f ca="1"/>
        <v/>
      </c>
      <c r="F33" s="25" t="s">
        <v>73</v>
      </c>
      <c r="G33" s="43" t="s">
        <v>72</v>
      </c>
      <c r="H33" s="43" t="s">
        <v>72</v>
      </c>
    </row>
    <row r="34" spans="2:8" x14ac:dyDescent="0.25">
      <c r="B34" s="25" t="str">
        <f ca="1"/>
        <v>INFLATIONRESETTYPE</v>
      </c>
      <c r="C34" s="43" t="str">
        <f ca="1"/>
        <v/>
      </c>
      <c r="D34" s="43" t="str">
        <f ca="1"/>
        <v>NearestNode</v>
      </c>
      <c r="F34" s="25" t="s">
        <v>71</v>
      </c>
      <c r="G34" s="43"/>
      <c r="H34" s="43" t="s">
        <v>70</v>
      </c>
    </row>
    <row r="35" spans="2:8" x14ac:dyDescent="0.25">
      <c r="B35" s="25" t="str">
        <f ca="1"/>
        <v/>
      </c>
      <c r="C35" s="43" t="str">
        <f ca="1"/>
        <v/>
      </c>
      <c r="D35" s="43" t="str">
        <f ca="1"/>
        <v/>
      </c>
      <c r="F35" s="25"/>
      <c r="G35" s="43"/>
      <c r="H35" s="43"/>
    </row>
    <row r="36" spans="2:8" x14ac:dyDescent="0.25">
      <c r="B36" s="25" t="str">
        <f ca="1"/>
        <v/>
      </c>
      <c r="C36" s="43" t="str">
        <f ca="1"/>
        <v/>
      </c>
      <c r="D36" s="43" t="str">
        <f ca="1"/>
        <v/>
      </c>
      <c r="F36" s="25"/>
      <c r="G36" s="43"/>
      <c r="H36" s="43"/>
    </row>
    <row r="37" spans="2:8" x14ac:dyDescent="0.25">
      <c r="B37" s="25" t="str">
        <f ca="1"/>
        <v/>
      </c>
      <c r="C37" s="43" t="str">
        <f ca="1"/>
        <v/>
      </c>
      <c r="D37" s="43" t="str">
        <f ca="1"/>
        <v/>
      </c>
      <c r="F37" s="25"/>
      <c r="G37" s="43"/>
      <c r="H37" s="43"/>
    </row>
    <row r="38" spans="2:8" x14ac:dyDescent="0.25">
      <c r="B38" s="11" t="str">
        <f ca="1"/>
        <v/>
      </c>
      <c r="C38" s="44" t="str">
        <f ca="1"/>
        <v/>
      </c>
      <c r="D38" s="43" t="str">
        <f ca="1"/>
        <v/>
      </c>
      <c r="F38" s="25"/>
      <c r="G38" s="43"/>
      <c r="H38" s="43"/>
    </row>
    <row r="39" spans="2:8" x14ac:dyDescent="0.25">
      <c r="B39" s="25" t="str">
        <f ca="1"/>
        <v/>
      </c>
      <c r="C39" s="43" t="str">
        <f ca="1"/>
        <v/>
      </c>
      <c r="D39" s="43" t="str">
        <f ca="1"/>
        <v/>
      </c>
      <c r="F39" s="25"/>
      <c r="G39" s="43"/>
      <c r="H39" s="43"/>
    </row>
    <row r="40" spans="2:8" x14ac:dyDescent="0.25">
      <c r="B40" s="25" t="str">
        <f ca="1"/>
        <v/>
      </c>
      <c r="C40" s="43" t="str">
        <f ca="1"/>
        <v/>
      </c>
      <c r="D40" s="43" t="str">
        <f ca="1"/>
        <v/>
      </c>
      <c r="F40" s="25"/>
      <c r="G40" s="43"/>
      <c r="H40" s="43"/>
    </row>
    <row r="41" spans="2:8" x14ac:dyDescent="0.25">
      <c r="B41" s="25" t="str">
        <f ca="1"/>
        <v/>
      </c>
      <c r="C41" s="43" t="str">
        <f ca="1"/>
        <v/>
      </c>
      <c r="D41" s="43" t="str">
        <f ca="1"/>
        <v/>
      </c>
      <c r="F41" s="25"/>
      <c r="G41" s="43"/>
      <c r="H41" s="43"/>
    </row>
    <row r="42" spans="2:8" x14ac:dyDescent="0.25">
      <c r="B42" s="25" t="str">
        <f ca="1"/>
        <v/>
      </c>
      <c r="C42" s="43" t="str">
        <f ca="1"/>
        <v/>
      </c>
      <c r="D42" s="43" t="str">
        <f ca="1"/>
        <v/>
      </c>
      <c r="F42" s="25"/>
      <c r="G42" s="43"/>
      <c r="H42" s="43"/>
    </row>
    <row r="43" spans="2:8" x14ac:dyDescent="0.25">
      <c r="B43" s="25" t="str">
        <f ca="1"/>
        <v/>
      </c>
      <c r="C43" s="43" t="str">
        <f ca="1"/>
        <v/>
      </c>
      <c r="D43" s="43" t="str">
        <f ca="1"/>
        <v/>
      </c>
      <c r="F43" s="25"/>
      <c r="G43" s="43"/>
      <c r="H43" s="43"/>
    </row>
    <row r="44" spans="2:8" x14ac:dyDescent="0.25">
      <c r="B44" s="25" t="str">
        <f ca="1"/>
        <v/>
      </c>
      <c r="C44" s="43" t="str">
        <f ca="1"/>
        <v/>
      </c>
      <c r="D44" s="43" t="str">
        <f ca="1"/>
        <v/>
      </c>
      <c r="F44" s="25"/>
      <c r="G44" s="43"/>
      <c r="H44" s="43"/>
    </row>
    <row r="45" spans="2:8" x14ac:dyDescent="0.25">
      <c r="B45" s="25" t="str">
        <f ca="1"/>
        <v/>
      </c>
      <c r="C45" s="43" t="str">
        <f ca="1"/>
        <v/>
      </c>
      <c r="D45" s="43" t="str">
        <f ca="1"/>
        <v/>
      </c>
      <c r="F45" s="25"/>
      <c r="G45" s="43"/>
      <c r="H45" s="43"/>
    </row>
    <row r="46" spans="2:8" x14ac:dyDescent="0.25">
      <c r="B46" s="25" t="str">
        <f ca="1"/>
        <v/>
      </c>
      <c r="C46" s="43" t="str">
        <f ca="1"/>
        <v/>
      </c>
      <c r="D46" s="43" t="str">
        <f ca="1"/>
        <v/>
      </c>
      <c r="F46" s="25"/>
      <c r="G46" s="43"/>
      <c r="H46" s="43"/>
    </row>
    <row r="47" spans="2:8" x14ac:dyDescent="0.25">
      <c r="B47" s="25" t="str">
        <f ca="1"/>
        <v/>
      </c>
      <c r="C47" s="43" t="str">
        <f ca="1"/>
        <v/>
      </c>
      <c r="D47" s="43" t="str">
        <f ca="1"/>
        <v/>
      </c>
      <c r="F47" s="25"/>
      <c r="G47" s="43"/>
      <c r="H47" s="43"/>
    </row>
    <row r="48" spans="2:8" x14ac:dyDescent="0.25">
      <c r="B48" s="25" t="str">
        <f ca="1"/>
        <v/>
      </c>
      <c r="C48" s="43" t="str">
        <f ca="1"/>
        <v/>
      </c>
      <c r="D48" s="43" t="str">
        <f ca="1"/>
        <v/>
      </c>
      <c r="F48" s="25"/>
      <c r="G48" s="43"/>
      <c r="H48" s="43"/>
    </row>
    <row r="49" spans="2:8" x14ac:dyDescent="0.25">
      <c r="B49" s="25" t="str">
        <f ca="1"/>
        <v/>
      </c>
      <c r="C49" s="43" t="str">
        <f ca="1"/>
        <v/>
      </c>
      <c r="D49" s="43" t="str">
        <f ca="1"/>
        <v/>
      </c>
      <c r="F49" s="25"/>
      <c r="G49" s="43"/>
      <c r="H49" s="43"/>
    </row>
    <row r="50" spans="2:8" x14ac:dyDescent="0.25">
      <c r="B50" s="24" t="str">
        <f ca="1"/>
        <v/>
      </c>
      <c r="C50" s="45" t="str">
        <f ca="1"/>
        <v/>
      </c>
      <c r="D50" s="45" t="str">
        <f ca="1"/>
        <v/>
      </c>
      <c r="F50" s="24"/>
      <c r="G50" s="45"/>
      <c r="H50" s="45"/>
    </row>
  </sheetData>
  <dataValidations disablePrompts="1" count="1">
    <dataValidation type="list" allowBlank="1" showInputMessage="1" showErrorMessage="1" sqref="H34">
      <formula1>"NearestNode,Interpolated"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4"/>
  <sheetViews>
    <sheetView showGridLines="0" workbookViewId="0"/>
  </sheetViews>
  <sheetFormatPr defaultRowHeight="15" x14ac:dyDescent="0.25"/>
  <cols>
    <col min="1" max="1" width="3.85546875" style="1" customWidth="1"/>
    <col min="2" max="2" width="25.5703125" style="1" customWidth="1"/>
    <col min="3" max="3" width="30.140625" style="1" customWidth="1"/>
    <col min="4" max="4" width="5.28515625" style="1" customWidth="1"/>
    <col min="5" max="5" width="20.7109375" style="1" customWidth="1"/>
    <col min="6" max="6" width="10.140625" style="1" bestFit="1" customWidth="1"/>
    <col min="7" max="7" width="10.85546875" style="1" customWidth="1"/>
    <col min="8" max="8" width="16" style="1" customWidth="1"/>
    <col min="9" max="9" width="14" style="1" customWidth="1"/>
    <col min="10" max="10" width="9.140625" style="1"/>
    <col min="11" max="11" width="15.5703125" style="1" customWidth="1"/>
    <col min="12" max="12" width="13.85546875" style="1" customWidth="1"/>
    <col min="13" max="16384" width="9.140625" style="1"/>
  </cols>
  <sheetData>
    <row r="2" spans="2:12" x14ac:dyDescent="0.25">
      <c r="B2" s="20" t="s">
        <v>69</v>
      </c>
    </row>
    <row r="3" spans="2:12" x14ac:dyDescent="0.25">
      <c r="B3" s="1" t="s">
        <v>68</v>
      </c>
      <c r="C3" s="21" t="s">
        <v>67</v>
      </c>
    </row>
    <row r="4" spans="2:12" x14ac:dyDescent="0.25">
      <c r="B4" s="1" t="s">
        <v>66</v>
      </c>
      <c r="C4" s="55" t="str">
        <f ca="1">_xll.meLWOInflationCurveCreate(C3,B7,B8:C17,E6,E8:F24)</f>
        <v>INFLATIONCURVE_GBP_RPI@1:0</v>
      </c>
    </row>
    <row r="6" spans="2:12" x14ac:dyDescent="0.25">
      <c r="E6" s="20" t="s">
        <v>65</v>
      </c>
      <c r="H6" s="20" t="s">
        <v>64</v>
      </c>
      <c r="K6" s="20" t="s">
        <v>138</v>
      </c>
    </row>
    <row r="7" spans="2:12" x14ac:dyDescent="0.25">
      <c r="B7" s="20" t="s">
        <v>63</v>
      </c>
      <c r="E7" s="19" t="s">
        <v>141</v>
      </c>
      <c r="F7" s="19" t="s">
        <v>62</v>
      </c>
      <c r="H7" s="19" t="s">
        <v>61</v>
      </c>
      <c r="I7" s="19" t="s">
        <v>60</v>
      </c>
      <c r="K7" s="18" t="s">
        <v>5</v>
      </c>
      <c r="L7" s="18" t="s">
        <v>59</v>
      </c>
    </row>
    <row r="8" spans="2:12" x14ac:dyDescent="0.25">
      <c r="B8" s="17" t="s">
        <v>58</v>
      </c>
      <c r="C8" s="16">
        <f ca="1">TODAY()</f>
        <v>43986</v>
      </c>
      <c r="E8" s="14" t="s">
        <v>57</v>
      </c>
      <c r="F8" s="15">
        <v>1.83E-2</v>
      </c>
      <c r="H8" s="14" t="s">
        <v>56</v>
      </c>
      <c r="I8" s="12">
        <v>-6.8259999999999996E-3</v>
      </c>
      <c r="K8" s="49">
        <f t="array" aca="1" ref="K8:L24" ca="1">_xll.meUtilityResize(_xll.meLWOInflationCurveCalibrationParameters(C4),17,2)</f>
        <v>44292</v>
      </c>
      <c r="L8" s="52">
        <f ca="1"/>
        <v>101.807109589041</v>
      </c>
    </row>
    <row r="9" spans="2:12" x14ac:dyDescent="0.25">
      <c r="B9" s="11" t="s">
        <v>55</v>
      </c>
      <c r="C9" s="6" t="s">
        <v>54</v>
      </c>
      <c r="E9" s="9" t="s">
        <v>53</v>
      </c>
      <c r="F9" s="8">
        <v>2.5099999999999997E-2</v>
      </c>
      <c r="H9" s="9" t="s">
        <v>52</v>
      </c>
      <c r="I9" s="6">
        <v>6.9839999999999998E-3</v>
      </c>
      <c r="K9" s="50">
        <f ca="1"/>
        <v>44655</v>
      </c>
      <c r="L9" s="53">
        <f ca="1"/>
        <v>105.05081292183201</v>
      </c>
    </row>
    <row r="10" spans="2:12" x14ac:dyDescent="0.25">
      <c r="B10" s="11" t="s">
        <v>51</v>
      </c>
      <c r="C10" s="6" t="s">
        <v>50</v>
      </c>
      <c r="E10" s="9" t="s">
        <v>49</v>
      </c>
      <c r="F10" s="8">
        <v>2.81625E-2</v>
      </c>
      <c r="H10" s="9" t="s">
        <v>48</v>
      </c>
      <c r="I10" s="6">
        <v>2.1380000000000001E-3</v>
      </c>
      <c r="K10" s="50">
        <f ca="1"/>
        <v>45020</v>
      </c>
      <c r="L10" s="53">
        <f ca="1"/>
        <v>108.651824606037</v>
      </c>
    </row>
    <row r="11" spans="2:12" x14ac:dyDescent="0.25">
      <c r="B11" s="11" t="s">
        <v>47</v>
      </c>
      <c r="C11" s="6" t="s">
        <v>46</v>
      </c>
      <c r="E11" s="9" t="s">
        <v>45</v>
      </c>
      <c r="F11" s="8">
        <v>2.9893999999999997E-2</v>
      </c>
      <c r="H11" s="9" t="s">
        <v>44</v>
      </c>
      <c r="I11" s="6">
        <v>4.359E-3</v>
      </c>
      <c r="K11" s="50">
        <f ca="1"/>
        <v>45386</v>
      </c>
      <c r="L11" s="53">
        <f ca="1"/>
        <v>112.468865149545</v>
      </c>
    </row>
    <row r="12" spans="2:12" x14ac:dyDescent="0.25">
      <c r="B12" s="11" t="s">
        <v>10</v>
      </c>
      <c r="C12" s="6" t="s">
        <v>11</v>
      </c>
      <c r="E12" s="9" t="s">
        <v>43</v>
      </c>
      <c r="F12" s="8">
        <v>3.1063500000000001E-2</v>
      </c>
      <c r="H12" s="9" t="s">
        <v>42</v>
      </c>
      <c r="I12" s="6">
        <v>3.14E-3</v>
      </c>
      <c r="K12" s="50">
        <f ca="1"/>
        <v>45751</v>
      </c>
      <c r="L12" s="53">
        <f ca="1"/>
        <v>116.48350226685299</v>
      </c>
    </row>
    <row r="13" spans="2:12" x14ac:dyDescent="0.25">
      <c r="B13" s="11" t="s">
        <v>41</v>
      </c>
      <c r="C13" s="6" t="s">
        <v>40</v>
      </c>
      <c r="E13" s="9" t="s">
        <v>39</v>
      </c>
      <c r="F13" s="8">
        <v>3.1824999999999999E-2</v>
      </c>
      <c r="H13" s="9" t="s">
        <v>38</v>
      </c>
      <c r="I13" s="6">
        <v>2.3579999999999999E-3</v>
      </c>
      <c r="K13" s="50">
        <f ca="1"/>
        <v>46119</v>
      </c>
      <c r="L13" s="53">
        <f ca="1"/>
        <v>120.633712019445</v>
      </c>
    </row>
    <row r="14" spans="2:12" x14ac:dyDescent="0.25">
      <c r="B14" s="11" t="s">
        <v>14</v>
      </c>
      <c r="C14" s="6" t="s">
        <v>9</v>
      </c>
      <c r="E14" s="9" t="s">
        <v>37</v>
      </c>
      <c r="F14" s="8">
        <v>3.2397999999999996E-2</v>
      </c>
      <c r="H14" s="9" t="s">
        <v>36</v>
      </c>
      <c r="I14" s="6">
        <v>5.0900000000000001E-4</v>
      </c>
      <c r="K14" s="50">
        <f ca="1"/>
        <v>46482</v>
      </c>
      <c r="L14" s="53">
        <f ca="1"/>
        <v>124.95670749003899</v>
      </c>
    </row>
    <row r="15" spans="2:12" x14ac:dyDescent="0.25">
      <c r="B15" s="11" t="s">
        <v>35</v>
      </c>
      <c r="C15" s="6" t="s">
        <v>34</v>
      </c>
      <c r="E15" s="9" t="s">
        <v>33</v>
      </c>
      <c r="F15" s="8">
        <v>3.27E-2</v>
      </c>
      <c r="H15" s="9" t="s">
        <v>32</v>
      </c>
      <c r="I15" s="6">
        <v>6.28E-3</v>
      </c>
      <c r="K15" s="50">
        <f ca="1"/>
        <v>46847</v>
      </c>
      <c r="L15" s="53">
        <f ca="1"/>
        <v>129.31299848677699</v>
      </c>
    </row>
    <row r="16" spans="2:12" x14ac:dyDescent="0.25">
      <c r="B16" s="11" t="s">
        <v>31</v>
      </c>
      <c r="C16" s="6" t="s">
        <v>30</v>
      </c>
      <c r="E16" s="9" t="s">
        <v>29</v>
      </c>
      <c r="F16" s="8">
        <v>3.30125E-2</v>
      </c>
      <c r="H16" s="9" t="s">
        <v>28</v>
      </c>
      <c r="I16" s="6">
        <v>-3.6000000000000001E-5</v>
      </c>
      <c r="K16" s="50">
        <f ca="1"/>
        <v>47212</v>
      </c>
      <c r="L16" s="53">
        <f ca="1"/>
        <v>133.89934086187</v>
      </c>
    </row>
    <row r="17" spans="2:12" x14ac:dyDescent="0.25">
      <c r="B17" s="10" t="s">
        <v>27</v>
      </c>
      <c r="C17" s="48" t="str">
        <f ca="1">FIXINGS!G8</f>
        <v>UKRPI@3:3</v>
      </c>
      <c r="E17" s="9" t="s">
        <v>26</v>
      </c>
      <c r="F17" s="8">
        <v>3.3142499999999998E-2</v>
      </c>
      <c r="H17" s="9" t="s">
        <v>25</v>
      </c>
      <c r="I17" s="6">
        <v>-1.3899999999999999E-4</v>
      </c>
      <c r="K17" s="50">
        <f ca="1"/>
        <v>47577</v>
      </c>
      <c r="L17" s="53">
        <f ca="1"/>
        <v>138.49237757157999</v>
      </c>
    </row>
    <row r="18" spans="2:12" x14ac:dyDescent="0.25">
      <c r="E18" s="9" t="s">
        <v>24</v>
      </c>
      <c r="F18" s="8">
        <v>3.2920999999999999E-2</v>
      </c>
      <c r="H18" s="9" t="s">
        <v>23</v>
      </c>
      <c r="I18" s="6">
        <v>1.6050000000000001E-3</v>
      </c>
      <c r="K18" s="50">
        <f ca="1"/>
        <v>48309</v>
      </c>
      <c r="L18" s="53">
        <f ca="1"/>
        <v>147.453121686668</v>
      </c>
    </row>
    <row r="19" spans="2:12" x14ac:dyDescent="0.25">
      <c r="E19" s="9" t="s">
        <v>22</v>
      </c>
      <c r="F19" s="8">
        <v>3.2182000000000002E-2</v>
      </c>
      <c r="H19" s="5" t="s">
        <v>21</v>
      </c>
      <c r="I19" s="2">
        <v>4.797E-3</v>
      </c>
      <c r="K19" s="50">
        <f ca="1"/>
        <v>49403</v>
      </c>
      <c r="L19" s="53">
        <f ca="1"/>
        <v>160.758819924325</v>
      </c>
    </row>
    <row r="20" spans="2:12" x14ac:dyDescent="0.25">
      <c r="E20" s="9" t="s">
        <v>20</v>
      </c>
      <c r="F20" s="8">
        <v>3.1331999999999999E-2</v>
      </c>
      <c r="K20" s="50">
        <f ca="1"/>
        <v>51230</v>
      </c>
      <c r="L20" s="53">
        <f ca="1"/>
        <v>185.278758421963</v>
      </c>
    </row>
    <row r="21" spans="2:12" x14ac:dyDescent="0.25">
      <c r="E21" s="9" t="s">
        <v>19</v>
      </c>
      <c r="F21" s="8">
        <v>3.0093999999999999E-2</v>
      </c>
      <c r="K21" s="50">
        <f ca="1"/>
        <v>53056</v>
      </c>
      <c r="L21" s="53">
        <f ca="1"/>
        <v>209.77893998037001</v>
      </c>
    </row>
    <row r="22" spans="2:12" x14ac:dyDescent="0.25">
      <c r="E22" s="9" t="s">
        <v>18</v>
      </c>
      <c r="F22" s="8">
        <v>2.8837000000000002E-2</v>
      </c>
      <c r="K22" s="50">
        <f ca="1"/>
        <v>54882</v>
      </c>
      <c r="L22" s="53">
        <f ca="1"/>
        <v>234.554045394182</v>
      </c>
    </row>
    <row r="23" spans="2:12" x14ac:dyDescent="0.25">
      <c r="E23" s="9" t="s">
        <v>17</v>
      </c>
      <c r="F23" s="8">
        <v>2.7389999999999998E-2</v>
      </c>
      <c r="K23" s="50">
        <f ca="1"/>
        <v>58536</v>
      </c>
      <c r="L23" s="53">
        <f ca="1"/>
        <v>294.63667218863401</v>
      </c>
    </row>
    <row r="24" spans="2:12" x14ac:dyDescent="0.25">
      <c r="E24" s="5" t="s">
        <v>16</v>
      </c>
      <c r="F24" s="4">
        <v>2.7078000000000001E-2</v>
      </c>
      <c r="K24" s="51">
        <f ca="1"/>
        <v>62187</v>
      </c>
      <c r="L24" s="54">
        <f ca="1"/>
        <v>380.21398355203598</v>
      </c>
    </row>
  </sheetData>
  <hyperlinks>
    <hyperlink ref="C17" r:id="rId1" display="UKRPI@1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1"/>
  <sheetViews>
    <sheetView showGridLines="0" tabSelected="1" workbookViewId="0"/>
  </sheetViews>
  <sheetFormatPr defaultRowHeight="15" x14ac:dyDescent="0.25"/>
  <cols>
    <col min="1" max="1" width="4.7109375" style="1" customWidth="1"/>
    <col min="2" max="2" width="19" style="1" customWidth="1"/>
    <col min="3" max="3" width="21.7109375" style="1" bestFit="1" customWidth="1"/>
    <col min="4" max="4" width="17" style="1" customWidth="1"/>
    <col min="5" max="5" width="20.42578125" style="1" customWidth="1"/>
    <col min="6" max="6" width="20.85546875" style="1" bestFit="1" customWidth="1"/>
    <col min="7" max="7" width="19.5703125" style="1" bestFit="1" customWidth="1"/>
    <col min="8" max="8" width="17.42578125" style="1" bestFit="1" customWidth="1"/>
    <col min="9" max="9" width="11.7109375" style="1" bestFit="1" customWidth="1"/>
    <col min="10" max="10" width="17.28515625" style="1" bestFit="1" customWidth="1"/>
    <col min="11" max="11" width="19" style="1" customWidth="1"/>
    <col min="12" max="12" width="14.85546875" style="1" customWidth="1"/>
    <col min="13" max="13" width="15.85546875" style="1" customWidth="1"/>
    <col min="14" max="14" width="10.140625" style="1" bestFit="1" customWidth="1"/>
    <col min="15" max="15" width="14.140625" style="1" customWidth="1"/>
    <col min="16" max="16384" width="9.140625" style="1"/>
  </cols>
  <sheetData>
    <row r="2" spans="2:14" x14ac:dyDescent="0.25">
      <c r="B2" s="60" t="s">
        <v>142</v>
      </c>
      <c r="E2" s="60" t="s">
        <v>144</v>
      </c>
    </row>
    <row r="3" spans="2:14" x14ac:dyDescent="0.25">
      <c r="B3" s="58" t="s">
        <v>124</v>
      </c>
      <c r="C3" s="59" t="str">
        <f ca="1">_xll.meLWOSwapCreateFromGeneratorLVB(C5,C6,B7:C12)</f>
        <v>ZCSWAP_UKRPI@65:1</v>
      </c>
      <c r="E3" s="41" t="s">
        <v>41</v>
      </c>
      <c r="F3" s="92" t="s">
        <v>40</v>
      </c>
    </row>
    <row r="5" spans="2:14" x14ac:dyDescent="0.25">
      <c r="B5" s="26" t="s">
        <v>133</v>
      </c>
      <c r="C5" s="61" t="s">
        <v>132</v>
      </c>
      <c r="E5" s="60" t="s">
        <v>145</v>
      </c>
    </row>
    <row r="6" spans="2:14" x14ac:dyDescent="0.25">
      <c r="B6" s="25" t="s">
        <v>35</v>
      </c>
      <c r="C6" s="62" t="str">
        <f ca="1">TEMPLATES!B3</f>
        <v>GBP_ZC_UKRPI</v>
      </c>
      <c r="E6" s="26" t="s">
        <v>123</v>
      </c>
      <c r="F6" s="95">
        <v>292.60000000000002</v>
      </c>
    </row>
    <row r="7" spans="2:14" x14ac:dyDescent="0.25">
      <c r="B7" s="25" t="s">
        <v>131</v>
      </c>
      <c r="C7" s="62" t="s">
        <v>130</v>
      </c>
      <c r="E7" s="25" t="s">
        <v>122</v>
      </c>
      <c r="F7" s="96">
        <v>341.26686000000001</v>
      </c>
    </row>
    <row r="8" spans="2:14" x14ac:dyDescent="0.25">
      <c r="B8" s="25" t="s">
        <v>129</v>
      </c>
      <c r="C8" s="56">
        <v>1000000</v>
      </c>
      <c r="E8" s="25" t="s">
        <v>121</v>
      </c>
      <c r="F8" s="96">
        <f ca="1">(F7-F6)/F6*100</f>
        <v>16.632556390977438</v>
      </c>
    </row>
    <row r="9" spans="2:14" x14ac:dyDescent="0.25">
      <c r="B9" s="25" t="s">
        <v>128</v>
      </c>
      <c r="C9" s="62">
        <v>43979</v>
      </c>
      <c r="E9" s="97" t="s">
        <v>120</v>
      </c>
      <c r="F9" s="98" t="s">
        <v>114</v>
      </c>
    </row>
    <row r="10" spans="2:14" x14ac:dyDescent="0.25">
      <c r="B10" s="25" t="s">
        <v>127</v>
      </c>
      <c r="C10" s="62" t="s">
        <v>43</v>
      </c>
      <c r="E10" s="25" t="s">
        <v>119</v>
      </c>
      <c r="F10" s="93">
        <f ca="1">_xll.meLWOZeroCouponSwapPVFromIndex(C3,F3,F6,F7,F9)</f>
        <v>165742.35252820031</v>
      </c>
    </row>
    <row r="11" spans="2:14" x14ac:dyDescent="0.25">
      <c r="B11" s="25" t="s">
        <v>126</v>
      </c>
      <c r="C11" s="63">
        <v>3.125E-2</v>
      </c>
      <c r="E11" s="25" t="s">
        <v>137</v>
      </c>
      <c r="F11" s="93">
        <f ca="1">_xll.meLWOZeroCouponSwapPVFromIndex(C3,F3,F6,F7)</f>
        <v>57.440792208421044</v>
      </c>
    </row>
    <row r="12" spans="2:14" x14ac:dyDescent="0.25">
      <c r="B12" s="24" t="s">
        <v>125</v>
      </c>
      <c r="C12" s="57">
        <v>0</v>
      </c>
      <c r="E12" s="24" t="s">
        <v>118</v>
      </c>
      <c r="F12" s="94">
        <f ca="1">_xll.meLWOZeroCouponSwapParRateFromIndex(C3,F3,F6,F7)</f>
        <v>3.1260197073257022E-2</v>
      </c>
    </row>
    <row r="15" spans="2:14" x14ac:dyDescent="0.25">
      <c r="B15" s="30" t="s">
        <v>143</v>
      </c>
      <c r="C15" s="30" t="s">
        <v>115</v>
      </c>
    </row>
    <row r="16" spans="2:14" x14ac:dyDescent="0.25">
      <c r="B16" s="64" t="str">
        <f t="array" aca="1" ref="B16:N23" ca="1">_xll.meUtilityResize(_xll.meLWOSwapDisplayCashflows($C$3,$F$3,C15),20,50)</f>
        <v>Leg1:Fixed Leg Schedule &amp; Cashflows</v>
      </c>
      <c r="C16" s="65" t="str">
        <f ca="1"/>
        <v/>
      </c>
      <c r="D16" s="65" t="str">
        <f ca="1"/>
        <v/>
      </c>
      <c r="E16" s="65" t="str">
        <f ca="1"/>
        <v/>
      </c>
      <c r="F16" s="65" t="str">
        <f ca="1"/>
        <v/>
      </c>
      <c r="G16" s="65" t="str">
        <f ca="1"/>
        <v/>
      </c>
      <c r="H16" s="65" t="str">
        <f ca="1"/>
        <v/>
      </c>
      <c r="I16" s="65" t="str">
        <f ca="1"/>
        <v/>
      </c>
      <c r="J16" s="65" t="str">
        <f ca="1"/>
        <v/>
      </c>
      <c r="K16" s="65" t="str">
        <f ca="1"/>
        <v/>
      </c>
      <c r="L16" s="65" t="str">
        <f ca="1"/>
        <v/>
      </c>
      <c r="M16" s="65" t="str">
        <f ca="1"/>
        <v/>
      </c>
      <c r="N16" s="66" t="str">
        <f ca="1"/>
        <v/>
      </c>
    </row>
    <row r="17" spans="2:15" x14ac:dyDescent="0.25">
      <c r="B17" s="67" t="str">
        <f ca="1"/>
        <v>AccrualStart</v>
      </c>
      <c r="C17" s="68" t="str">
        <f ca="1"/>
        <v>AccrualEnd</v>
      </c>
      <c r="D17" s="68" t="str">
        <f ca="1"/>
        <v>AccrualDays</v>
      </c>
      <c r="E17" s="68" t="str">
        <f ca="1"/>
        <v>AccrualYearFractions</v>
      </c>
      <c r="F17" s="68" t="str">
        <f ca="1"/>
        <v>PaymentDate</v>
      </c>
      <c r="G17" s="68" t="str">
        <f ca="1"/>
        <v>Notional</v>
      </c>
      <c r="H17" s="68" t="str">
        <f ca="1"/>
        <v>NotionalExchange</v>
      </c>
      <c r="I17" s="68" t="str">
        <f ca="1"/>
        <v>Leverage</v>
      </c>
      <c r="J17" s="68" t="str">
        <f ca="1"/>
        <v>FixedRate</v>
      </c>
      <c r="K17" s="68" t="str">
        <f ca="1"/>
        <v>Coupon</v>
      </c>
      <c r="L17" s="68" t="str">
        <f ca="1"/>
        <v>DiscountFactor</v>
      </c>
      <c r="M17" s="68" t="str">
        <f ca="1"/>
        <v>CouponPV</v>
      </c>
      <c r="N17" s="69" t="str">
        <f ca="1"/>
        <v/>
      </c>
    </row>
    <row r="18" spans="2:15" x14ac:dyDescent="0.25">
      <c r="B18" s="70">
        <f ca="1"/>
        <v>43979</v>
      </c>
      <c r="C18" s="71">
        <f ca="1"/>
        <v>44344</v>
      </c>
      <c r="D18" s="68">
        <f ca="1"/>
        <v>365</v>
      </c>
      <c r="E18" s="72">
        <f ca="1"/>
        <v>0.99836814132794405</v>
      </c>
      <c r="F18" s="71">
        <f ca="1"/>
        <v>44344</v>
      </c>
      <c r="G18" s="73">
        <f ca="1"/>
        <v>-1000000</v>
      </c>
      <c r="H18" s="73">
        <f ca="1"/>
        <v>0</v>
      </c>
      <c r="I18" s="74">
        <f ca="1"/>
        <v>1</v>
      </c>
      <c r="J18" s="75">
        <f ca="1"/>
        <v>3.125E-2</v>
      </c>
      <c r="K18" s="73">
        <f ca="1"/>
        <v>0</v>
      </c>
      <c r="L18" s="76">
        <f ca="1"/>
        <v>0.99968444403772705</v>
      </c>
      <c r="M18" s="73">
        <f ca="1"/>
        <v>0</v>
      </c>
      <c r="N18" s="69" t="str">
        <f ca="1"/>
        <v/>
      </c>
    </row>
    <row r="19" spans="2:15" x14ac:dyDescent="0.25">
      <c r="B19" s="70">
        <f ca="1"/>
        <v>44344</v>
      </c>
      <c r="C19" s="71">
        <f ca="1"/>
        <v>44709</v>
      </c>
      <c r="D19" s="68">
        <f ca="1"/>
        <v>365</v>
      </c>
      <c r="E19" s="72">
        <f ca="1"/>
        <v>1</v>
      </c>
      <c r="F19" s="71">
        <f ca="1"/>
        <v>44712</v>
      </c>
      <c r="G19" s="73">
        <f ca="1"/>
        <v>-1000000</v>
      </c>
      <c r="H19" s="73">
        <f ca="1"/>
        <v>0</v>
      </c>
      <c r="I19" s="74">
        <f ca="1"/>
        <v>1</v>
      </c>
      <c r="J19" s="75">
        <f ca="1"/>
        <v>3.125E-2</v>
      </c>
      <c r="K19" s="73">
        <f ca="1"/>
        <v>0</v>
      </c>
      <c r="L19" s="76">
        <f ca="1"/>
        <v>0.99978237150678695</v>
      </c>
      <c r="M19" s="73">
        <f ca="1"/>
        <v>0</v>
      </c>
      <c r="N19" s="69" t="str">
        <f ca="1"/>
        <v/>
      </c>
    </row>
    <row r="20" spans="2:15" x14ac:dyDescent="0.25">
      <c r="B20" s="70">
        <f ca="1"/>
        <v>44709</v>
      </c>
      <c r="C20" s="71">
        <f ca="1"/>
        <v>45074</v>
      </c>
      <c r="D20" s="68">
        <f ca="1"/>
        <v>365</v>
      </c>
      <c r="E20" s="72">
        <f ca="1"/>
        <v>1</v>
      </c>
      <c r="F20" s="71">
        <f ca="1"/>
        <v>45076</v>
      </c>
      <c r="G20" s="73">
        <f ca="1"/>
        <v>-1000000</v>
      </c>
      <c r="H20" s="73">
        <f ca="1"/>
        <v>0</v>
      </c>
      <c r="I20" s="74">
        <f ca="1"/>
        <v>1</v>
      </c>
      <c r="J20" s="75">
        <f ca="1"/>
        <v>3.125E-2</v>
      </c>
      <c r="K20" s="73">
        <f ca="1"/>
        <v>0</v>
      </c>
      <c r="L20" s="76">
        <f ca="1"/>
        <v>0.99947132569591202</v>
      </c>
      <c r="M20" s="73">
        <f ca="1"/>
        <v>0</v>
      </c>
      <c r="N20" s="69" t="str">
        <f ca="1"/>
        <v/>
      </c>
    </row>
    <row r="21" spans="2:15" x14ac:dyDescent="0.25">
      <c r="B21" s="70">
        <f ca="1"/>
        <v>45074</v>
      </c>
      <c r="C21" s="71">
        <f ca="1"/>
        <v>45440</v>
      </c>
      <c r="D21" s="68">
        <f ca="1"/>
        <v>366</v>
      </c>
      <c r="E21" s="72">
        <f ca="1"/>
        <v>1.0016318586720601</v>
      </c>
      <c r="F21" s="71">
        <f ca="1"/>
        <v>45440</v>
      </c>
      <c r="G21" s="73">
        <f ca="1"/>
        <v>-1000000</v>
      </c>
      <c r="H21" s="73">
        <f ca="1"/>
        <v>0</v>
      </c>
      <c r="I21" s="74">
        <f ca="1"/>
        <v>1</v>
      </c>
      <c r="J21" s="75">
        <f ca="1"/>
        <v>3.125E-2</v>
      </c>
      <c r="K21" s="73">
        <f ca="1"/>
        <v>0</v>
      </c>
      <c r="L21" s="76">
        <f ca="1"/>
        <v>0.99831178815555</v>
      </c>
      <c r="M21" s="73">
        <f ca="1"/>
        <v>0</v>
      </c>
      <c r="N21" s="69" t="str">
        <f ca="1"/>
        <v/>
      </c>
    </row>
    <row r="22" spans="2:15" x14ac:dyDescent="0.25">
      <c r="B22" s="70">
        <f ca="1"/>
        <v>45440</v>
      </c>
      <c r="C22" s="71">
        <f ca="1"/>
        <v>45805</v>
      </c>
      <c r="D22" s="68">
        <f ca="1"/>
        <v>365</v>
      </c>
      <c r="E22" s="72">
        <f ca="1"/>
        <v>0.99836814132794405</v>
      </c>
      <c r="F22" s="71">
        <f ca="1"/>
        <v>45805</v>
      </c>
      <c r="G22" s="73">
        <f ca="1"/>
        <v>-1000000</v>
      </c>
      <c r="H22" s="73">
        <f ca="1"/>
        <v>0</v>
      </c>
      <c r="I22" s="74">
        <f ca="1"/>
        <v>1</v>
      </c>
      <c r="J22" s="75">
        <f ca="1"/>
        <v>3.125E-2</v>
      </c>
      <c r="K22" s="77">
        <f ca="1"/>
        <v>-166267.92099588001</v>
      </c>
      <c r="L22" s="76">
        <f ca="1"/>
        <v>0.99649355536296003</v>
      </c>
      <c r="M22" s="77">
        <f ca="1"/>
        <v>-165684.91173599201</v>
      </c>
      <c r="N22" s="69" t="str">
        <f ca="1"/>
        <v/>
      </c>
      <c r="O22" s="23"/>
    </row>
    <row r="23" spans="2:15" x14ac:dyDescent="0.25">
      <c r="B23" s="78" t="str">
        <f ca="1"/>
        <v/>
      </c>
      <c r="C23" s="79" t="str">
        <f ca="1"/>
        <v/>
      </c>
      <c r="D23" s="80" t="str">
        <f ca="1"/>
        <v/>
      </c>
      <c r="E23" s="81" t="str">
        <f ca="1"/>
        <v/>
      </c>
      <c r="F23" s="79" t="str">
        <f ca="1"/>
        <v/>
      </c>
      <c r="G23" s="82" t="str">
        <f ca="1"/>
        <v/>
      </c>
      <c r="H23" s="82" t="str">
        <f ca="1"/>
        <v/>
      </c>
      <c r="I23" s="83" t="str">
        <f ca="1"/>
        <v/>
      </c>
      <c r="J23" s="84" t="str">
        <f ca="1"/>
        <v/>
      </c>
      <c r="K23" s="82" t="str">
        <f ca="1"/>
        <v/>
      </c>
      <c r="L23" s="85" t="str">
        <f ca="1"/>
        <v/>
      </c>
      <c r="M23" s="82" t="str">
        <f ca="1"/>
        <v/>
      </c>
      <c r="N23" s="86" t="str">
        <f ca="1"/>
        <v/>
      </c>
    </row>
    <row r="24" spans="2:15" x14ac:dyDescent="0.25">
      <c r="B24" s="22"/>
      <c r="C24" s="22"/>
      <c r="D24" s="19"/>
      <c r="E24" s="19"/>
      <c r="F24" s="22"/>
      <c r="G24" s="19"/>
      <c r="H24" s="19"/>
      <c r="I24" s="19"/>
      <c r="J24" s="19"/>
      <c r="K24" s="19"/>
      <c r="L24" s="19"/>
      <c r="M24" s="19"/>
    </row>
    <row r="25" spans="2:15" x14ac:dyDescent="0.25">
      <c r="B25" s="30" t="s">
        <v>143</v>
      </c>
      <c r="C25" s="30" t="s">
        <v>114</v>
      </c>
    </row>
    <row r="26" spans="2:15" x14ac:dyDescent="0.25">
      <c r="B26" s="64" t="str">
        <f t="array" aca="1" ref="B26:O33" ca="1">_xll.meUtilityResize(_xll.meLWOSwapDisplayCashflows($C$3,$F$3,C25),10,50)</f>
        <v>Leg2:Inflation Leg Schedule &amp; Cashflows</v>
      </c>
      <c r="C26" s="65" t="str">
        <f ca="1"/>
        <v/>
      </c>
      <c r="D26" s="65" t="str">
        <f ca="1"/>
        <v/>
      </c>
      <c r="E26" s="65" t="str">
        <f ca="1"/>
        <v/>
      </c>
      <c r="F26" s="65" t="str">
        <f ca="1"/>
        <v/>
      </c>
      <c r="G26" s="65" t="str">
        <f ca="1"/>
        <v/>
      </c>
      <c r="H26" s="65" t="str">
        <f ca="1"/>
        <v/>
      </c>
      <c r="I26" s="65" t="str">
        <f ca="1"/>
        <v/>
      </c>
      <c r="J26" s="65" t="str">
        <f ca="1"/>
        <v/>
      </c>
      <c r="K26" s="65" t="str">
        <f ca="1"/>
        <v/>
      </c>
      <c r="L26" s="65" t="str">
        <f ca="1"/>
        <v/>
      </c>
      <c r="M26" s="65" t="str">
        <f ca="1"/>
        <v/>
      </c>
      <c r="N26" s="65" t="str">
        <f ca="1"/>
        <v/>
      </c>
      <c r="O26" s="66" t="str">
        <f ca="1"/>
        <v/>
      </c>
    </row>
    <row r="27" spans="2:15" x14ac:dyDescent="0.25">
      <c r="B27" s="67" t="str">
        <f ca="1"/>
        <v>FixingDate</v>
      </c>
      <c r="C27" s="68" t="str">
        <f ca="1"/>
        <v>FixingEndDate</v>
      </c>
      <c r="D27" s="68" t="str">
        <f ca="1"/>
        <v>AccrualStart</v>
      </c>
      <c r="E27" s="68" t="str">
        <f ca="1"/>
        <v>AccrualEnd</v>
      </c>
      <c r="F27" s="68" t="str">
        <f ca="1"/>
        <v>AccrualDays</v>
      </c>
      <c r="G27" s="68" t="str">
        <f ca="1"/>
        <v>AccrualYearFractions</v>
      </c>
      <c r="H27" s="68" t="str">
        <f ca="1"/>
        <v>PaymentDate</v>
      </c>
      <c r="I27" s="68" t="str">
        <f ca="1"/>
        <v>Notional</v>
      </c>
      <c r="J27" s="68" t="str">
        <f ca="1"/>
        <v>NotionalExchange</v>
      </c>
      <c r="K27" s="68" t="str">
        <f ca="1"/>
        <v>Leverage</v>
      </c>
      <c r="L27" s="68" t="str">
        <f ca="1"/>
        <v>Coupon</v>
      </c>
      <c r="M27" s="68" t="str">
        <f ca="1"/>
        <v>DiscountFactor</v>
      </c>
      <c r="N27" s="87" t="str">
        <f ca="1"/>
        <v>CouponPV</v>
      </c>
      <c r="O27" s="69" t="str">
        <f ca="1"/>
        <v/>
      </c>
    </row>
    <row r="28" spans="2:15" x14ac:dyDescent="0.25">
      <c r="B28" s="70">
        <f ca="1"/>
        <v>43920</v>
      </c>
      <c r="C28" s="71">
        <f ca="1"/>
        <v>45744</v>
      </c>
      <c r="D28" s="71">
        <f ca="1"/>
        <v>43979</v>
      </c>
      <c r="E28" s="71">
        <f ca="1"/>
        <v>45805</v>
      </c>
      <c r="F28" s="73">
        <f ca="1"/>
        <v>1826</v>
      </c>
      <c r="G28" s="74">
        <f ca="1"/>
        <v>4.9983681413279397</v>
      </c>
      <c r="H28" s="71">
        <f ca="1"/>
        <v>45805</v>
      </c>
      <c r="I28" s="73">
        <f ca="1"/>
        <v>1000000</v>
      </c>
      <c r="J28" s="73">
        <f ca="1"/>
        <v>0</v>
      </c>
      <c r="K28" s="74">
        <f ca="1"/>
        <v>1</v>
      </c>
      <c r="L28" s="73">
        <f ca="1"/>
        <v>166325.56390977401</v>
      </c>
      <c r="M28" s="76">
        <f ca="1"/>
        <v>0.99649355536296003</v>
      </c>
      <c r="N28" s="88">
        <f ca="1"/>
        <v>165742.35252819999</v>
      </c>
      <c r="O28" s="69" t="str">
        <f ca="1"/>
        <v/>
      </c>
    </row>
    <row r="29" spans="2:15" x14ac:dyDescent="0.25">
      <c r="B29" s="70" t="str">
        <f ca="1"/>
        <v/>
      </c>
      <c r="C29" s="71" t="str">
        <f ca="1"/>
        <v/>
      </c>
      <c r="D29" s="71" t="str">
        <f ca="1"/>
        <v/>
      </c>
      <c r="E29" s="71" t="str">
        <f ca="1"/>
        <v/>
      </c>
      <c r="F29" s="73" t="str">
        <f ca="1"/>
        <v/>
      </c>
      <c r="G29" s="74" t="str">
        <f ca="1"/>
        <v/>
      </c>
      <c r="H29" s="71" t="str">
        <f ca="1"/>
        <v/>
      </c>
      <c r="I29" s="73" t="str">
        <f ca="1"/>
        <v/>
      </c>
      <c r="J29" s="73" t="str">
        <f ca="1"/>
        <v/>
      </c>
      <c r="K29" s="74" t="str">
        <f ca="1"/>
        <v/>
      </c>
      <c r="L29" s="73" t="str">
        <f ca="1"/>
        <v/>
      </c>
      <c r="M29" s="76" t="str">
        <f ca="1"/>
        <v/>
      </c>
      <c r="N29" s="88" t="str">
        <f ca="1"/>
        <v/>
      </c>
      <c r="O29" s="69" t="str">
        <f ca="1"/>
        <v/>
      </c>
    </row>
    <row r="30" spans="2:15" x14ac:dyDescent="0.25">
      <c r="B30" s="70" t="str">
        <f ca="1"/>
        <v/>
      </c>
      <c r="C30" s="71" t="str">
        <f ca="1"/>
        <v/>
      </c>
      <c r="D30" s="71" t="str">
        <f ca="1"/>
        <v/>
      </c>
      <c r="E30" s="71" t="str">
        <f ca="1"/>
        <v/>
      </c>
      <c r="F30" s="73" t="str">
        <f ca="1"/>
        <v/>
      </c>
      <c r="G30" s="74" t="str">
        <f ca="1"/>
        <v/>
      </c>
      <c r="H30" s="71" t="str">
        <f ca="1"/>
        <v/>
      </c>
      <c r="I30" s="73" t="str">
        <f ca="1"/>
        <v/>
      </c>
      <c r="J30" s="73" t="str">
        <f ca="1"/>
        <v/>
      </c>
      <c r="K30" s="74" t="str">
        <f ca="1"/>
        <v/>
      </c>
      <c r="L30" s="73" t="str">
        <f ca="1"/>
        <v/>
      </c>
      <c r="M30" s="76" t="str">
        <f ca="1"/>
        <v/>
      </c>
      <c r="N30" s="88" t="str">
        <f ca="1"/>
        <v/>
      </c>
      <c r="O30" s="69" t="str">
        <f ca="1"/>
        <v/>
      </c>
    </row>
    <row r="31" spans="2:15" x14ac:dyDescent="0.25">
      <c r="B31" s="70" t="str">
        <f ca="1"/>
        <v/>
      </c>
      <c r="C31" s="71" t="str">
        <f ca="1"/>
        <v/>
      </c>
      <c r="D31" s="71" t="str">
        <f ca="1"/>
        <v/>
      </c>
      <c r="E31" s="71" t="str">
        <f ca="1"/>
        <v/>
      </c>
      <c r="F31" s="73" t="str">
        <f ca="1"/>
        <v/>
      </c>
      <c r="G31" s="74" t="str">
        <f ca="1"/>
        <v/>
      </c>
      <c r="H31" s="71" t="str">
        <f ca="1"/>
        <v/>
      </c>
      <c r="I31" s="73" t="str">
        <f ca="1"/>
        <v/>
      </c>
      <c r="J31" s="73" t="str">
        <f ca="1"/>
        <v/>
      </c>
      <c r="K31" s="74" t="str">
        <f ca="1"/>
        <v/>
      </c>
      <c r="L31" s="73" t="str">
        <f ca="1"/>
        <v/>
      </c>
      <c r="M31" s="76" t="str">
        <f ca="1"/>
        <v/>
      </c>
      <c r="N31" s="88" t="str">
        <f ca="1"/>
        <v/>
      </c>
      <c r="O31" s="69" t="str">
        <f ca="1"/>
        <v/>
      </c>
    </row>
    <row r="32" spans="2:15" x14ac:dyDescent="0.25">
      <c r="B32" s="70" t="str">
        <f ca="1"/>
        <v/>
      </c>
      <c r="C32" s="71" t="str">
        <f ca="1"/>
        <v/>
      </c>
      <c r="D32" s="71" t="str">
        <f ca="1"/>
        <v/>
      </c>
      <c r="E32" s="71" t="str">
        <f ca="1"/>
        <v/>
      </c>
      <c r="F32" s="73" t="str">
        <f ca="1"/>
        <v/>
      </c>
      <c r="G32" s="74" t="str">
        <f ca="1"/>
        <v/>
      </c>
      <c r="H32" s="71" t="str">
        <f ca="1"/>
        <v/>
      </c>
      <c r="I32" s="73" t="str">
        <f ca="1"/>
        <v/>
      </c>
      <c r="J32" s="73" t="str">
        <f ca="1"/>
        <v/>
      </c>
      <c r="K32" s="89" t="str">
        <f ca="1"/>
        <v/>
      </c>
      <c r="L32" s="73" t="str">
        <f ca="1"/>
        <v/>
      </c>
      <c r="M32" s="90" t="str">
        <f ca="1"/>
        <v/>
      </c>
      <c r="N32" s="88" t="str">
        <f ca="1"/>
        <v/>
      </c>
      <c r="O32" s="69" t="str">
        <f ca="1"/>
        <v/>
      </c>
    </row>
    <row r="33" spans="2:15" x14ac:dyDescent="0.25">
      <c r="B33" s="78" t="str">
        <f ca="1"/>
        <v/>
      </c>
      <c r="C33" s="79" t="str">
        <f ca="1"/>
        <v/>
      </c>
      <c r="D33" s="79" t="str">
        <f ca="1"/>
        <v/>
      </c>
      <c r="E33" s="79" t="str">
        <f ca="1"/>
        <v/>
      </c>
      <c r="F33" s="82" t="str">
        <f ca="1"/>
        <v/>
      </c>
      <c r="G33" s="83" t="str">
        <f ca="1"/>
        <v/>
      </c>
      <c r="H33" s="79" t="str">
        <f ca="1"/>
        <v/>
      </c>
      <c r="I33" s="82" t="str">
        <f ca="1"/>
        <v/>
      </c>
      <c r="J33" s="82" t="str">
        <f ca="1"/>
        <v/>
      </c>
      <c r="K33" s="83" t="str">
        <f ca="1"/>
        <v/>
      </c>
      <c r="L33" s="82" t="str">
        <f ca="1"/>
        <v/>
      </c>
      <c r="M33" s="85" t="str">
        <f ca="1"/>
        <v/>
      </c>
      <c r="N33" s="91" t="str">
        <f ca="1"/>
        <v/>
      </c>
      <c r="O33" s="86" t="str">
        <f ca="1"/>
        <v/>
      </c>
    </row>
    <row r="34" spans="2:15" x14ac:dyDescent="0.25">
      <c r="B34" s="22"/>
      <c r="C34" s="22"/>
      <c r="D34" s="19"/>
      <c r="E34" s="19"/>
      <c r="F34" s="22"/>
      <c r="G34" s="19"/>
      <c r="H34" s="19"/>
      <c r="I34" s="19"/>
      <c r="J34" s="19"/>
      <c r="K34" s="19"/>
      <c r="L34" s="19"/>
      <c r="M34" s="19"/>
    </row>
    <row r="35" spans="2:15" x14ac:dyDescent="0.25">
      <c r="B35" s="22"/>
      <c r="C35" s="22"/>
      <c r="D35" s="19"/>
      <c r="E35" s="19"/>
      <c r="F35" s="22"/>
      <c r="G35" s="19"/>
      <c r="H35" s="19"/>
      <c r="I35" s="19"/>
      <c r="J35" s="19"/>
      <c r="K35" s="19"/>
      <c r="L35" s="19"/>
      <c r="M35" s="19"/>
    </row>
    <row r="36" spans="2:15" x14ac:dyDescent="0.25">
      <c r="B36" s="22"/>
      <c r="C36" s="22"/>
      <c r="D36" s="19"/>
      <c r="E36" s="19"/>
      <c r="F36" s="22"/>
      <c r="G36" s="19"/>
      <c r="H36" s="19"/>
      <c r="I36" s="19"/>
      <c r="J36" s="19"/>
      <c r="K36" s="19"/>
      <c r="L36" s="19"/>
      <c r="M36" s="19"/>
    </row>
    <row r="37" spans="2:15" x14ac:dyDescent="0.25">
      <c r="B37" s="22"/>
      <c r="C37" s="22"/>
      <c r="D37" s="19"/>
      <c r="E37" s="19"/>
      <c r="F37" s="22"/>
      <c r="G37" s="19"/>
      <c r="H37" s="19"/>
      <c r="I37" s="19"/>
      <c r="J37" s="19"/>
      <c r="K37" s="19"/>
      <c r="L37" s="19"/>
      <c r="M37" s="19"/>
    </row>
    <row r="38" spans="2:15" x14ac:dyDescent="0.25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 spans="2:15" x14ac:dyDescent="0.25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</row>
    <row r="40" spans="2:15" x14ac:dyDescent="0.25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 spans="2:15" x14ac:dyDescent="0.25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FIXINGS</vt:lpstr>
      <vt:lpstr>TEMPLATES</vt:lpstr>
      <vt:lpstr>INFLATION_CURVE</vt:lpstr>
      <vt:lpstr>ZC_INFLATION_SWAP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Burgess Nicholas</cp:lastModifiedBy>
  <dcterms:created xsi:type="dcterms:W3CDTF">2013-04-03T15:49:21Z</dcterms:created>
  <dcterms:modified xsi:type="dcterms:W3CDTF">2020-06-04T14:27:40Z</dcterms:modified>
</cp:coreProperties>
</file>