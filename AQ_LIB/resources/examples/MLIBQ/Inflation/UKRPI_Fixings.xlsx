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LIB\Inflation\"/>
    </mc:Choice>
  </mc:AlternateContent>
  <bookViews>
    <workbookView xWindow="10395" yWindow="-105" windowWidth="14850" windowHeight="12735"/>
  </bookViews>
  <sheets>
    <sheet name="Inflation Fixings" sheetId="2" r:id="rId1"/>
    <sheet name="InterestRate" sheetId="3" r:id="rId2"/>
    <sheet name="FX fixings" sheetId="4" r:id="rId3"/>
  </sheets>
  <calcPr calcId="162913" calcMode="manual" calcCompleted="0" calcOnSave="0"/>
</workbook>
</file>

<file path=xl/calcChain.xml><?xml version="1.0" encoding="utf-8"?>
<calcChain xmlns="http://schemas.openxmlformats.org/spreadsheetml/2006/main">
  <c r="N6" i="3" l="1" a="1"/>
  <c r="N6" i="3"/>
  <c r="N7" i="3"/>
  <c r="N8" i="3"/>
  <c r="N9" i="3"/>
  <c r="I11" i="4"/>
  <c r="I11" i="3"/>
  <c r="N6" i="4" a="1"/>
  <c r="A7" i="2"/>
  <c r="N9" i="4" l="1"/>
  <c r="N8" i="4"/>
  <c r="N7" i="4"/>
  <c r="N6" i="4"/>
  <c r="I11" i="2"/>
  <c r="I5" i="2"/>
  <c r="I6" i="2"/>
  <c r="I7" i="2"/>
  <c r="I8" i="2"/>
  <c r="I9" i="2"/>
  <c r="I10" i="2"/>
  <c r="I4" i="2"/>
  <c r="E8" i="2"/>
  <c r="J4" i="2" a="1"/>
  <c r="J4" i="2" l="1"/>
  <c r="J5" i="2"/>
  <c r="J6" i="2"/>
  <c r="J9" i="2"/>
  <c r="J10" i="2"/>
  <c r="J11" i="2"/>
  <c r="J7" i="2"/>
  <c r="J8" i="2"/>
</calcChain>
</file>

<file path=xl/sharedStrings.xml><?xml version="1.0" encoding="utf-8"?>
<sst xmlns="http://schemas.openxmlformats.org/spreadsheetml/2006/main" count="38" uniqueCount="33">
  <si>
    <t>Security</t>
  </si>
  <si>
    <t xml:space="preserve">UKRPI    Index                                                  </t>
  </si>
  <si>
    <t>Start Date</t>
  </si>
  <si>
    <t>End Date</t>
  </si>
  <si>
    <t>Period</t>
  </si>
  <si>
    <t>M</t>
  </si>
  <si>
    <t>Date</t>
  </si>
  <si>
    <t>PX_LAST</t>
  </si>
  <si>
    <t>PX_MID</t>
  </si>
  <si>
    <t>TableName</t>
  </si>
  <si>
    <t>UKRPI</t>
  </si>
  <si>
    <t>Currency</t>
  </si>
  <si>
    <t>GBP</t>
  </si>
  <si>
    <t>INFLATION</t>
  </si>
  <si>
    <t>TableType</t>
  </si>
  <si>
    <t>InflationIndex</t>
  </si>
  <si>
    <t>RPI</t>
  </si>
  <si>
    <t>Distinguish "RPI" fixings vs "CPI" fixings</t>
  </si>
  <si>
    <t>Create Inflation Fixings</t>
  </si>
  <si>
    <t>Display Inflation Fixings</t>
  </si>
  <si>
    <t>USD_3M_Fixings</t>
  </si>
  <si>
    <t>USD</t>
  </si>
  <si>
    <t>3M</t>
  </si>
  <si>
    <t>Tenor</t>
  </si>
  <si>
    <t>Display Rate fixings</t>
  </si>
  <si>
    <t>Create FX Fixings</t>
  </si>
  <si>
    <t>USDEUR_Fixings</t>
  </si>
  <si>
    <t>FX</t>
  </si>
  <si>
    <t>CurrencyPair</t>
  </si>
  <si>
    <t>USDEUR</t>
  </si>
  <si>
    <t>Display FX fixings</t>
  </si>
  <si>
    <t>INTERESTRATE</t>
  </si>
  <si>
    <t>Create Interest Rate fixings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</si>
</sst>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  <xf numFmtId="0" fontId="0" fillId="33" borderId="0" xfId="0" applyFill="1"/>
    <xf numFmtId="0" fontId="17" fillId="34" borderId="0" xfId="0" applyFont="1" applyFill="1"/>
    <xf numFmtId="0" fontId="0" fillId="34" borderId="0" xfId="0" applyFill="1"/>
    <xf numFmtId="14" fontId="0" fillId="34" borderId="0" xfId="0" applyNumberFormat="1" applyFill="1"/>
    <xf numFmtId="0" fontId="17" fillId="35" borderId="0" xfId="0" applyFont="1" applyFill="1"/>
    <xf numFmtId="0" fontId="0" fillId="35" borderId="0" xfId="0" applyFill="1"/>
    <xf numFmtId="14" fontId="0" fillId="35" borderId="0" xfId="0" applyNumberFormat="1" applyFill="1"/>
    <xf numFmtId="0" fontId="17" fillId="36" borderId="0" xfId="0" applyFont="1" applyFill="1"/>
    <xf numFmtId="0" fontId="0" fillId="36" borderId="0" xfId="0" applyFill="1"/>
    <xf numFmtId="15" fontId="0" fillId="36" borderId="0" xfId="0" applyNumberFormat="1" applyFill="1"/>
    <xf numFmtId="0" fontId="0" fillId="0" borderId="0" xfId="0"/>
    <xf numFmtId="14" fontId="0" fillId="35" borderId="0" xfId="0" applyNumberFormat="1" applyFill="1"/>
    <xf numFmtId="164" fontId="0" fillId="35" borderId="0" xfId="43" applyNumberFormat="1" applyFont="1" applyFill="1"/>
    <xf numFmtId="0" fontId="0" fillId="36" borderId="0" xfId="0" applyFill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43" builtinId="5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43921</v>
        <stp/>
        <stp>##V3_BDHV12</stp>
        <stp xml:space="preserve">UKRPI    Index                                                  </stp>
        <stp>PX_LAST_x0002_PX_MID</stp>
        <stp>30/04/2000</stp>
        <stp>30/04/2020</stp>
        <stp>[UKRPI Fixings.xlsx]Inflation Fixings!R7C1</stp>
        <stp>Dir=V</stp>
        <stp>Dts=S</stp>
        <stp>Sort=D</stp>
        <stp>Quote=C</stp>
        <stp>QtTyp=P</stp>
        <stp>Days=T</stp>
        <stp>Per=cM</stp>
        <stp>DtFmt=D</stp>
        <stp>UseDPDF=Y</stp>
        <stp>cols=3;rows=240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6"/>
  <sheetViews>
    <sheetView tabSelected="1" workbookViewId="0">
      <selection activeCell="F15" sqref="F15"/>
    </sheetView>
  </sheetViews>
  <sheetFormatPr defaultRowHeight="15" x14ac:dyDescent="0.25"/>
  <cols>
    <col min="1" max="1" width="10.7109375" bestFit="1" customWidth="1"/>
    <col min="2" max="2" width="16" bestFit="1" customWidth="1"/>
    <col min="3" max="3" width="9.140625" bestFit="1" customWidth="1"/>
    <col min="5" max="5" width="14.42578125" customWidth="1"/>
    <col min="6" max="6" width="10.7109375" bestFit="1" customWidth="1"/>
    <col min="7" max="7" width="35.85546875" customWidth="1"/>
    <col min="8" max="8" width="2.140625" customWidth="1"/>
    <col min="9" max="9" width="22.42578125" bestFit="1" customWidth="1"/>
    <col min="10" max="10" width="13" customWidth="1"/>
    <col min="11" max="11" width="22.42578125" bestFit="1" customWidth="1"/>
    <col min="12" max="12" width="12" customWidth="1"/>
  </cols>
  <sheetData>
    <row r="1" spans="1:10" x14ac:dyDescent="0.25">
      <c r="A1" t="s">
        <v>0</v>
      </c>
      <c r="B1" t="s">
        <v>1</v>
      </c>
    </row>
    <row r="2" spans="1:10" x14ac:dyDescent="0.25">
      <c r="A2" t="s">
        <v>2</v>
      </c>
      <c r="B2" s="2">
        <v>36646</v>
      </c>
      <c r="E2" s="4" t="s">
        <v>18</v>
      </c>
      <c r="F2" s="5"/>
      <c r="G2" s="5"/>
      <c r="H2" s="5"/>
      <c r="I2" s="4" t="s">
        <v>19</v>
      </c>
      <c r="J2" s="5"/>
    </row>
    <row r="3" spans="1:10" x14ac:dyDescent="0.25">
      <c r="A3" t="s">
        <v>3</v>
      </c>
      <c r="B3" s="2">
        <v>43951</v>
      </c>
      <c r="E3" s="5" t="s">
        <v>9</v>
      </c>
      <c r="F3" s="5" t="s">
        <v>10</v>
      </c>
      <c r="G3" s="5"/>
      <c r="H3" s="5"/>
      <c r="I3" s="5"/>
      <c r="J3" s="5"/>
    </row>
    <row r="4" spans="1:10" x14ac:dyDescent="0.25">
      <c r="A4" t="s">
        <v>4</v>
      </c>
      <c r="B4" t="s">
        <v>5</v>
      </c>
      <c r="E4" s="5" t="s">
        <v>14</v>
      </c>
      <c r="F4" s="5" t="s">
        <v>13</v>
      </c>
      <c r="G4" s="5"/>
      <c r="H4" s="5"/>
      <c r="I4" s="6">
        <f t="shared" ref="I4:I11" ca="1" si="0">A10</f>
        <v>43830</v>
      </c>
      <c r="J4" s="5">
        <f t="array" aca="1" ref="J4:J11" ca="1">_xll.meLWOFixingTableValuesLVB(E8,E4:F6,I4:I11)</f>
        <v>291.89999999999998</v>
      </c>
    </row>
    <row r="5" spans="1:10" x14ac:dyDescent="0.25">
      <c r="E5" s="5" t="s">
        <v>15</v>
      </c>
      <c r="F5" s="5" t="s">
        <v>16</v>
      </c>
      <c r="G5" s="5" t="s">
        <v>17</v>
      </c>
      <c r="H5" s="5"/>
      <c r="I5" s="6">
        <f t="shared" ca="1" si="0"/>
        <v>43799</v>
      </c>
      <c r="J5" s="5">
        <f ca="1"/>
        <v>291</v>
      </c>
    </row>
    <row r="6" spans="1:10" x14ac:dyDescent="0.25">
      <c r="A6" t="s">
        <v>6</v>
      </c>
      <c r="B6" t="s">
        <v>7</v>
      </c>
      <c r="C6" t="s">
        <v>8</v>
      </c>
      <c r="E6" s="5" t="s">
        <v>11</v>
      </c>
      <c r="F6" s="5" t="s">
        <v>12</v>
      </c>
      <c r="G6" s="5"/>
      <c r="H6" s="5"/>
      <c r="I6" s="6">
        <f t="shared" ca="1" si="0"/>
        <v>43769</v>
      </c>
      <c r="J6" s="5">
        <f ca="1"/>
        <v>290.39999999999998</v>
      </c>
    </row>
    <row r="7" spans="1:10" x14ac:dyDescent="0.25">
      <c r="A7" s="1">
        <f ca="1">_xll.BDH(B1,B6:C6,B2,B3,"Dir=V","Dts=S","Sort=D","Quote=C","QtTyp=P","Days=T",CONCATENATE("Per=c",B4),"DtFmt=D","UseDPDF=Y","cols=3;rows=240")</f>
        <v>43921</v>
      </c>
      <c r="B7">
        <v>292.60000000000002</v>
      </c>
      <c r="C7">
        <v>292.60000000000002</v>
      </c>
      <c r="E7" s="5"/>
      <c r="F7" s="5"/>
      <c r="G7" s="5"/>
      <c r="H7" s="5"/>
      <c r="I7" s="6">
        <f t="shared" ca="1" si="0"/>
        <v>43738</v>
      </c>
      <c r="J7" s="5">
        <f ca="1"/>
        <v>291</v>
      </c>
    </row>
    <row r="8" spans="1:10" x14ac:dyDescent="0.25">
      <c r="A8" s="1">
        <v>43890</v>
      </c>
      <c r="B8">
        <v>292</v>
      </c>
      <c r="C8">
        <v>292</v>
      </c>
      <c r="E8" s="3" t="str">
        <f ca="1">_xll.meLWOFixingTableCreateFromLVB(F3,E4:F6,A7:A246,B7:B246)</f>
        <v>UKRPI@1:0</v>
      </c>
      <c r="F8" s="5"/>
      <c r="G8" s="5"/>
      <c r="H8" s="5"/>
      <c r="I8" s="6">
        <f t="shared" ca="1" si="0"/>
        <v>43708</v>
      </c>
      <c r="J8" s="5">
        <f ca="1"/>
        <v>291.7</v>
      </c>
    </row>
    <row r="9" spans="1:10" x14ac:dyDescent="0.25">
      <c r="A9" s="1">
        <v>43861</v>
      </c>
      <c r="B9">
        <v>290.60000000000002</v>
      </c>
      <c r="C9">
        <v>290.60000000000002</v>
      </c>
      <c r="E9" s="5"/>
      <c r="F9" s="5"/>
      <c r="G9" s="5"/>
      <c r="H9" s="5"/>
      <c r="I9" s="6">
        <f t="shared" ca="1" si="0"/>
        <v>43677</v>
      </c>
      <c r="J9" s="5">
        <f ca="1"/>
        <v>289.5</v>
      </c>
    </row>
    <row r="10" spans="1:10" x14ac:dyDescent="0.25">
      <c r="A10" s="1">
        <v>43830</v>
      </c>
      <c r="B10">
        <v>291.89999999999998</v>
      </c>
      <c r="C10">
        <v>291.89999999999998</v>
      </c>
      <c r="E10" s="5"/>
      <c r="F10" s="5"/>
      <c r="G10" s="5"/>
      <c r="H10" s="5"/>
      <c r="I10" s="6">
        <f t="shared" ca="1" si="0"/>
        <v>43646</v>
      </c>
      <c r="J10" s="5">
        <f ca="1"/>
        <v>289.60000000000002</v>
      </c>
    </row>
    <row r="11" spans="1:10" x14ac:dyDescent="0.25">
      <c r="A11" s="1">
        <v>43799</v>
      </c>
      <c r="B11">
        <v>291</v>
      </c>
      <c r="C11">
        <v>291</v>
      </c>
      <c r="E11" s="5"/>
      <c r="F11" s="5"/>
      <c r="G11" s="5"/>
      <c r="H11" s="5"/>
      <c r="I11" s="6">
        <f t="shared" ca="1" si="0"/>
        <v>43616</v>
      </c>
      <c r="J11" s="5">
        <f ca="1"/>
        <v>289.2</v>
      </c>
    </row>
    <row r="12" spans="1:10" x14ac:dyDescent="0.25">
      <c r="A12" s="1">
        <v>43769</v>
      </c>
      <c r="B12">
        <v>290.39999999999998</v>
      </c>
      <c r="C12">
        <v>290.39999999999998</v>
      </c>
    </row>
    <row r="13" spans="1:10" x14ac:dyDescent="0.25">
      <c r="A13" s="1">
        <v>43738</v>
      </c>
      <c r="B13">
        <v>291</v>
      </c>
      <c r="C13">
        <v>291</v>
      </c>
    </row>
    <row r="14" spans="1:10" x14ac:dyDescent="0.25">
      <c r="A14" s="1">
        <v>43708</v>
      </c>
      <c r="B14">
        <v>291.7</v>
      </c>
      <c r="C14">
        <v>291.7</v>
      </c>
    </row>
    <row r="15" spans="1:10" x14ac:dyDescent="0.25">
      <c r="A15" s="1">
        <v>43677</v>
      </c>
      <c r="B15">
        <v>289.5</v>
      </c>
      <c r="C15">
        <v>289.5</v>
      </c>
    </row>
    <row r="16" spans="1:10" x14ac:dyDescent="0.25">
      <c r="A16" s="1">
        <v>43646</v>
      </c>
      <c r="B16">
        <v>289.60000000000002</v>
      </c>
      <c r="C16">
        <v>289.60000000000002</v>
      </c>
    </row>
    <row r="17" spans="1:3" x14ac:dyDescent="0.25">
      <c r="A17" s="1">
        <v>43616</v>
      </c>
      <c r="B17">
        <v>289.2</v>
      </c>
      <c r="C17">
        <v>289.2</v>
      </c>
    </row>
    <row r="18" spans="1:3" x14ac:dyDescent="0.25">
      <c r="A18" s="1">
        <v>43585</v>
      </c>
      <c r="B18">
        <v>288.2</v>
      </c>
      <c r="C18">
        <v>288.2</v>
      </c>
    </row>
    <row r="19" spans="1:3" x14ac:dyDescent="0.25">
      <c r="A19" s="1">
        <v>43555</v>
      </c>
      <c r="B19">
        <v>285.10000000000002</v>
      </c>
      <c r="C19">
        <v>285.10000000000002</v>
      </c>
    </row>
    <row r="20" spans="1:3" x14ac:dyDescent="0.25">
      <c r="A20" s="1">
        <v>43524</v>
      </c>
      <c r="B20">
        <v>285</v>
      </c>
      <c r="C20">
        <v>285</v>
      </c>
    </row>
    <row r="21" spans="1:3" x14ac:dyDescent="0.25">
      <c r="A21" s="1">
        <v>43496</v>
      </c>
      <c r="B21">
        <v>283</v>
      </c>
      <c r="C21">
        <v>283</v>
      </c>
    </row>
    <row r="22" spans="1:3" x14ac:dyDescent="0.25">
      <c r="A22" s="1">
        <v>43465</v>
      </c>
      <c r="B22">
        <v>285.60000000000002</v>
      </c>
      <c r="C22">
        <v>285.60000000000002</v>
      </c>
    </row>
    <row r="23" spans="1:3" x14ac:dyDescent="0.25">
      <c r="A23" s="1">
        <v>43434</v>
      </c>
      <c r="B23">
        <v>284.60000000000002</v>
      </c>
      <c r="C23">
        <v>284.60000000000002</v>
      </c>
    </row>
    <row r="24" spans="1:3" x14ac:dyDescent="0.25">
      <c r="A24" s="1">
        <v>43404</v>
      </c>
      <c r="B24">
        <v>284.5</v>
      </c>
      <c r="C24">
        <v>284.5</v>
      </c>
    </row>
    <row r="25" spans="1:3" x14ac:dyDescent="0.25">
      <c r="A25" s="1">
        <v>43373</v>
      </c>
      <c r="B25">
        <v>284.10000000000002</v>
      </c>
      <c r="C25">
        <v>284.10000000000002</v>
      </c>
    </row>
    <row r="26" spans="1:3" x14ac:dyDescent="0.25">
      <c r="A26" s="1">
        <v>43343</v>
      </c>
      <c r="B26">
        <v>284.2</v>
      </c>
      <c r="C26">
        <v>284.2</v>
      </c>
    </row>
    <row r="27" spans="1:3" x14ac:dyDescent="0.25">
      <c r="A27" s="1">
        <v>43312</v>
      </c>
      <c r="B27">
        <v>281.7</v>
      </c>
      <c r="C27">
        <v>281.7</v>
      </c>
    </row>
    <row r="28" spans="1:3" x14ac:dyDescent="0.25">
      <c r="A28" s="1">
        <v>43281</v>
      </c>
      <c r="B28">
        <v>281.5</v>
      </c>
      <c r="C28">
        <v>281.5</v>
      </c>
    </row>
    <row r="29" spans="1:3" x14ac:dyDescent="0.25">
      <c r="A29" s="1">
        <v>43251</v>
      </c>
      <c r="B29">
        <v>280.7</v>
      </c>
      <c r="C29">
        <v>280.7</v>
      </c>
    </row>
    <row r="30" spans="1:3" x14ac:dyDescent="0.25">
      <c r="A30" s="1">
        <v>43220</v>
      </c>
      <c r="B30">
        <v>279.7</v>
      </c>
      <c r="C30">
        <v>279.7</v>
      </c>
    </row>
    <row r="31" spans="1:3" x14ac:dyDescent="0.25">
      <c r="A31" s="1">
        <v>43190</v>
      </c>
      <c r="B31">
        <v>278.3</v>
      </c>
      <c r="C31">
        <v>278.3</v>
      </c>
    </row>
    <row r="32" spans="1:3" x14ac:dyDescent="0.25">
      <c r="A32" s="1">
        <v>43159</v>
      </c>
      <c r="B32">
        <v>278.10000000000002</v>
      </c>
      <c r="C32">
        <v>278.10000000000002</v>
      </c>
    </row>
    <row r="33" spans="1:3" x14ac:dyDescent="0.25">
      <c r="A33" s="1">
        <v>43131</v>
      </c>
      <c r="B33">
        <v>276</v>
      </c>
      <c r="C33">
        <v>276</v>
      </c>
    </row>
    <row r="34" spans="1:3" x14ac:dyDescent="0.25">
      <c r="A34" s="1">
        <v>43100</v>
      </c>
      <c r="B34">
        <v>278.10000000000002</v>
      </c>
      <c r="C34">
        <v>278.10000000000002</v>
      </c>
    </row>
    <row r="35" spans="1:3" x14ac:dyDescent="0.25">
      <c r="A35" s="1">
        <v>43069</v>
      </c>
      <c r="B35">
        <v>275.8</v>
      </c>
      <c r="C35">
        <v>275.8</v>
      </c>
    </row>
    <row r="36" spans="1:3" x14ac:dyDescent="0.25">
      <c r="A36" s="1">
        <v>43039</v>
      </c>
      <c r="B36">
        <v>275.3</v>
      </c>
      <c r="C36">
        <v>275.3</v>
      </c>
    </row>
    <row r="37" spans="1:3" x14ac:dyDescent="0.25">
      <c r="A37" s="1">
        <v>43008</v>
      </c>
      <c r="B37">
        <v>275.10000000000002</v>
      </c>
      <c r="C37">
        <v>275.10000000000002</v>
      </c>
    </row>
    <row r="38" spans="1:3" x14ac:dyDescent="0.25">
      <c r="A38" s="1">
        <v>42978</v>
      </c>
      <c r="B38">
        <v>274.7</v>
      </c>
      <c r="C38">
        <v>274.7</v>
      </c>
    </row>
    <row r="39" spans="1:3" x14ac:dyDescent="0.25">
      <c r="A39" s="1">
        <v>42947</v>
      </c>
      <c r="B39">
        <v>272.89999999999998</v>
      </c>
      <c r="C39">
        <v>272.89999999999998</v>
      </c>
    </row>
    <row r="40" spans="1:3" x14ac:dyDescent="0.25">
      <c r="A40" s="1">
        <v>42916</v>
      </c>
      <c r="B40">
        <v>272.3</v>
      </c>
      <c r="C40">
        <v>272.3</v>
      </c>
    </row>
    <row r="41" spans="1:3" x14ac:dyDescent="0.25">
      <c r="A41" s="1">
        <v>42886</v>
      </c>
      <c r="B41">
        <v>271.7</v>
      </c>
      <c r="C41">
        <v>271.7</v>
      </c>
    </row>
    <row r="42" spans="1:3" x14ac:dyDescent="0.25">
      <c r="A42" s="1">
        <v>42855</v>
      </c>
      <c r="B42">
        <v>270.60000000000002</v>
      </c>
      <c r="C42">
        <v>270.60000000000002</v>
      </c>
    </row>
    <row r="43" spans="1:3" x14ac:dyDescent="0.25">
      <c r="A43" s="1">
        <v>42825</v>
      </c>
      <c r="B43">
        <v>269.3</v>
      </c>
      <c r="C43">
        <v>269.3</v>
      </c>
    </row>
    <row r="44" spans="1:3" x14ac:dyDescent="0.25">
      <c r="A44" s="1">
        <v>42794</v>
      </c>
      <c r="B44">
        <v>268.39999999999998</v>
      </c>
      <c r="C44">
        <v>268.39999999999998</v>
      </c>
    </row>
    <row r="45" spans="1:3" x14ac:dyDescent="0.25">
      <c r="A45" s="1">
        <v>42766</v>
      </c>
      <c r="B45">
        <v>265.5</v>
      </c>
      <c r="C45">
        <v>265.5</v>
      </c>
    </row>
    <row r="46" spans="1:3" x14ac:dyDescent="0.25">
      <c r="A46" s="1">
        <v>42735</v>
      </c>
      <c r="B46">
        <v>267.10000000000002</v>
      </c>
      <c r="C46">
        <v>267.10000000000002</v>
      </c>
    </row>
    <row r="47" spans="1:3" x14ac:dyDescent="0.25">
      <c r="A47" s="1">
        <v>42704</v>
      </c>
      <c r="B47">
        <v>265.5</v>
      </c>
      <c r="C47">
        <v>265.5</v>
      </c>
    </row>
    <row r="48" spans="1:3" x14ac:dyDescent="0.25">
      <c r="A48" s="1">
        <v>42674</v>
      </c>
      <c r="B48">
        <v>264.8</v>
      </c>
      <c r="C48">
        <v>264.8</v>
      </c>
    </row>
    <row r="49" spans="1:3" x14ac:dyDescent="0.25">
      <c r="A49" s="1">
        <v>42643</v>
      </c>
      <c r="B49">
        <v>264.89999999999998</v>
      </c>
      <c r="C49">
        <v>264.89999999999998</v>
      </c>
    </row>
    <row r="50" spans="1:3" x14ac:dyDescent="0.25">
      <c r="A50" s="1">
        <v>42613</v>
      </c>
      <c r="B50">
        <v>264.39999999999998</v>
      </c>
      <c r="C50">
        <v>264.39999999999998</v>
      </c>
    </row>
    <row r="51" spans="1:3" x14ac:dyDescent="0.25">
      <c r="A51" s="1">
        <v>42582</v>
      </c>
      <c r="B51">
        <v>263.39999999999998</v>
      </c>
      <c r="C51">
        <v>263.39999999999998</v>
      </c>
    </row>
    <row r="52" spans="1:3" x14ac:dyDescent="0.25">
      <c r="A52" s="1">
        <v>42551</v>
      </c>
      <c r="B52">
        <v>263.10000000000002</v>
      </c>
      <c r="C52">
        <v>263.10000000000002</v>
      </c>
    </row>
    <row r="53" spans="1:3" x14ac:dyDescent="0.25">
      <c r="A53" s="1">
        <v>42521</v>
      </c>
      <c r="B53">
        <v>262.10000000000002</v>
      </c>
      <c r="C53">
        <v>262.10000000000002</v>
      </c>
    </row>
    <row r="54" spans="1:3" x14ac:dyDescent="0.25">
      <c r="A54" s="1">
        <v>42490</v>
      </c>
      <c r="B54">
        <v>261.39999999999998</v>
      </c>
      <c r="C54">
        <v>261.39999999999998</v>
      </c>
    </row>
    <row r="55" spans="1:3" x14ac:dyDescent="0.25">
      <c r="A55" s="1">
        <v>42460</v>
      </c>
      <c r="B55">
        <v>261.10000000000002</v>
      </c>
      <c r="C55">
        <v>261.10000000000002</v>
      </c>
    </row>
    <row r="56" spans="1:3" x14ac:dyDescent="0.25">
      <c r="A56" s="1">
        <v>42429</v>
      </c>
      <c r="B56">
        <v>260</v>
      </c>
      <c r="C56">
        <v>260</v>
      </c>
    </row>
    <row r="57" spans="1:3" x14ac:dyDescent="0.25">
      <c r="A57" s="1">
        <v>42400</v>
      </c>
      <c r="B57">
        <v>258.8</v>
      </c>
      <c r="C57">
        <v>258.8</v>
      </c>
    </row>
    <row r="58" spans="1:3" x14ac:dyDescent="0.25">
      <c r="A58" s="1">
        <v>42369</v>
      </c>
      <c r="B58">
        <v>260.60000000000002</v>
      </c>
      <c r="C58">
        <v>260.60000000000002</v>
      </c>
    </row>
    <row r="59" spans="1:3" x14ac:dyDescent="0.25">
      <c r="A59" s="1">
        <v>42338</v>
      </c>
      <c r="B59">
        <v>259.8</v>
      </c>
      <c r="C59">
        <v>259.8</v>
      </c>
    </row>
    <row r="60" spans="1:3" x14ac:dyDescent="0.25">
      <c r="A60" s="1">
        <v>42308</v>
      </c>
      <c r="B60">
        <v>259.5</v>
      </c>
      <c r="C60">
        <v>259.5</v>
      </c>
    </row>
    <row r="61" spans="1:3" x14ac:dyDescent="0.25">
      <c r="A61" s="1">
        <v>42277</v>
      </c>
      <c r="B61">
        <v>259.60000000000002</v>
      </c>
      <c r="C61">
        <v>259.60000000000002</v>
      </c>
    </row>
    <row r="62" spans="1:3" x14ac:dyDescent="0.25">
      <c r="A62" s="1">
        <v>42247</v>
      </c>
      <c r="B62">
        <v>259.8</v>
      </c>
      <c r="C62">
        <v>259.8</v>
      </c>
    </row>
    <row r="63" spans="1:3" x14ac:dyDescent="0.25">
      <c r="A63" s="1">
        <v>42216</v>
      </c>
      <c r="B63">
        <v>258.60000000000002</v>
      </c>
      <c r="C63">
        <v>258.60000000000002</v>
      </c>
    </row>
    <row r="64" spans="1:3" x14ac:dyDescent="0.25">
      <c r="A64" s="1">
        <v>42185</v>
      </c>
      <c r="B64">
        <v>258.89999999999998</v>
      </c>
      <c r="C64">
        <v>258.89999999999998</v>
      </c>
    </row>
    <row r="65" spans="1:3" x14ac:dyDescent="0.25">
      <c r="A65" s="1">
        <v>42155</v>
      </c>
      <c r="B65">
        <v>258.5</v>
      </c>
      <c r="C65">
        <v>258.5</v>
      </c>
    </row>
    <row r="66" spans="1:3" x14ac:dyDescent="0.25">
      <c r="A66" s="1">
        <v>42124</v>
      </c>
      <c r="B66">
        <v>258</v>
      </c>
      <c r="C66">
        <v>258</v>
      </c>
    </row>
    <row r="67" spans="1:3" x14ac:dyDescent="0.25">
      <c r="A67" s="1">
        <v>42094</v>
      </c>
      <c r="B67">
        <v>257.10000000000002</v>
      </c>
      <c r="C67">
        <v>257.10000000000002</v>
      </c>
    </row>
    <row r="68" spans="1:3" x14ac:dyDescent="0.25">
      <c r="A68" s="1">
        <v>42063</v>
      </c>
      <c r="B68">
        <v>256.7</v>
      </c>
      <c r="C68">
        <v>256.7</v>
      </c>
    </row>
    <row r="69" spans="1:3" x14ac:dyDescent="0.25">
      <c r="A69" s="1">
        <v>42035</v>
      </c>
      <c r="B69">
        <v>255.4</v>
      </c>
      <c r="C69">
        <v>255.4</v>
      </c>
    </row>
    <row r="70" spans="1:3" x14ac:dyDescent="0.25">
      <c r="A70" s="1">
        <v>42004</v>
      </c>
      <c r="B70">
        <v>257.5</v>
      </c>
      <c r="C70">
        <v>257.5</v>
      </c>
    </row>
    <row r="71" spans="1:3" x14ac:dyDescent="0.25">
      <c r="A71" s="1">
        <v>41973</v>
      </c>
      <c r="B71">
        <v>257.10000000000002</v>
      </c>
      <c r="C71">
        <v>257.10000000000002</v>
      </c>
    </row>
    <row r="72" spans="1:3" x14ac:dyDescent="0.25">
      <c r="A72" s="1">
        <v>41943</v>
      </c>
      <c r="B72">
        <v>257.7</v>
      </c>
      <c r="C72">
        <v>257.7</v>
      </c>
    </row>
    <row r="73" spans="1:3" x14ac:dyDescent="0.25">
      <c r="A73" s="1">
        <v>41912</v>
      </c>
      <c r="B73">
        <v>257.60000000000002</v>
      </c>
      <c r="C73">
        <v>257.60000000000002</v>
      </c>
    </row>
    <row r="74" spans="1:3" x14ac:dyDescent="0.25">
      <c r="A74" s="1">
        <v>41882</v>
      </c>
      <c r="B74">
        <v>257</v>
      </c>
      <c r="C74">
        <v>257</v>
      </c>
    </row>
    <row r="75" spans="1:3" x14ac:dyDescent="0.25">
      <c r="A75" s="1">
        <v>41851</v>
      </c>
      <c r="B75">
        <v>256</v>
      </c>
      <c r="C75">
        <v>256</v>
      </c>
    </row>
    <row r="76" spans="1:3" x14ac:dyDescent="0.25">
      <c r="A76" s="1">
        <v>41820</v>
      </c>
      <c r="B76">
        <v>256.3</v>
      </c>
      <c r="C76">
        <v>256.3</v>
      </c>
    </row>
    <row r="77" spans="1:3" x14ac:dyDescent="0.25">
      <c r="A77" s="1">
        <v>41790</v>
      </c>
      <c r="B77">
        <v>255.9</v>
      </c>
      <c r="C77">
        <v>255.9</v>
      </c>
    </row>
    <row r="78" spans="1:3" x14ac:dyDescent="0.25">
      <c r="A78" s="1">
        <v>41759</v>
      </c>
      <c r="B78">
        <v>255.7</v>
      </c>
      <c r="C78">
        <v>255.7</v>
      </c>
    </row>
    <row r="79" spans="1:3" x14ac:dyDescent="0.25">
      <c r="A79" s="1">
        <v>41729</v>
      </c>
      <c r="B79">
        <v>254.8</v>
      </c>
      <c r="C79">
        <v>254.8</v>
      </c>
    </row>
    <row r="80" spans="1:3" x14ac:dyDescent="0.25">
      <c r="A80" s="1">
        <v>41698</v>
      </c>
      <c r="B80">
        <v>254.2</v>
      </c>
      <c r="C80">
        <v>254.2</v>
      </c>
    </row>
    <row r="81" spans="1:3" x14ac:dyDescent="0.25">
      <c r="A81" s="1">
        <v>41670</v>
      </c>
      <c r="B81">
        <v>252.6</v>
      </c>
      <c r="C81">
        <v>252.6</v>
      </c>
    </row>
    <row r="82" spans="1:3" x14ac:dyDescent="0.25">
      <c r="A82" s="1">
        <v>41639</v>
      </c>
      <c r="B82">
        <v>253.4</v>
      </c>
      <c r="C82">
        <v>253.4</v>
      </c>
    </row>
    <row r="83" spans="1:3" x14ac:dyDescent="0.25">
      <c r="A83" s="1">
        <v>41608</v>
      </c>
      <c r="B83">
        <v>252.1</v>
      </c>
      <c r="C83">
        <v>252.1</v>
      </c>
    </row>
    <row r="84" spans="1:3" x14ac:dyDescent="0.25">
      <c r="A84" s="1">
        <v>41578</v>
      </c>
      <c r="B84">
        <v>251.9</v>
      </c>
      <c r="C84">
        <v>251.9</v>
      </c>
    </row>
    <row r="85" spans="1:3" x14ac:dyDescent="0.25">
      <c r="A85" s="1">
        <v>41547</v>
      </c>
      <c r="B85">
        <v>251.9</v>
      </c>
      <c r="C85">
        <v>251.9</v>
      </c>
    </row>
    <row r="86" spans="1:3" x14ac:dyDescent="0.25">
      <c r="A86" s="1">
        <v>41517</v>
      </c>
      <c r="B86">
        <v>251</v>
      </c>
      <c r="C86">
        <v>251</v>
      </c>
    </row>
    <row r="87" spans="1:3" x14ac:dyDescent="0.25">
      <c r="A87" s="1">
        <v>41486</v>
      </c>
      <c r="B87">
        <v>249.7</v>
      </c>
      <c r="C87">
        <v>249.7</v>
      </c>
    </row>
    <row r="88" spans="1:3" x14ac:dyDescent="0.25">
      <c r="A88" s="1">
        <v>41455</v>
      </c>
      <c r="B88">
        <v>249.7</v>
      </c>
      <c r="C88">
        <v>249.7</v>
      </c>
    </row>
    <row r="89" spans="1:3" x14ac:dyDescent="0.25">
      <c r="A89" s="1">
        <v>41425</v>
      </c>
      <c r="B89">
        <v>250</v>
      </c>
      <c r="C89">
        <v>250</v>
      </c>
    </row>
    <row r="90" spans="1:3" x14ac:dyDescent="0.25">
      <c r="A90" s="1">
        <v>41394</v>
      </c>
      <c r="B90">
        <v>249.5</v>
      </c>
      <c r="C90">
        <v>249.5</v>
      </c>
    </row>
    <row r="91" spans="1:3" x14ac:dyDescent="0.25">
      <c r="A91" s="1">
        <v>41364</v>
      </c>
      <c r="B91">
        <v>248.7</v>
      </c>
      <c r="C91">
        <v>248.7</v>
      </c>
    </row>
    <row r="92" spans="1:3" x14ac:dyDescent="0.25">
      <c r="A92" s="1">
        <v>41333</v>
      </c>
      <c r="B92">
        <v>247.6</v>
      </c>
      <c r="C92">
        <v>247.6</v>
      </c>
    </row>
    <row r="93" spans="1:3" x14ac:dyDescent="0.25">
      <c r="A93" s="1">
        <v>41305</v>
      </c>
      <c r="B93">
        <v>245.8</v>
      </c>
      <c r="C93">
        <v>245.8</v>
      </c>
    </row>
    <row r="94" spans="1:3" x14ac:dyDescent="0.25">
      <c r="A94" s="1">
        <v>41274</v>
      </c>
      <c r="B94">
        <v>246.8</v>
      </c>
      <c r="C94">
        <v>246.8</v>
      </c>
    </row>
    <row r="95" spans="1:3" x14ac:dyDescent="0.25">
      <c r="A95" s="1">
        <v>41243</v>
      </c>
      <c r="B95">
        <v>245.6</v>
      </c>
      <c r="C95">
        <v>245.6</v>
      </c>
    </row>
    <row r="96" spans="1:3" x14ac:dyDescent="0.25">
      <c r="A96" s="1">
        <v>41213</v>
      </c>
      <c r="B96">
        <v>245.6</v>
      </c>
      <c r="C96">
        <v>245.6</v>
      </c>
    </row>
    <row r="97" spans="1:3" x14ac:dyDescent="0.25">
      <c r="A97" s="1">
        <v>41182</v>
      </c>
      <c r="B97">
        <v>244.2</v>
      </c>
      <c r="C97">
        <v>244.2</v>
      </c>
    </row>
    <row r="98" spans="1:3" x14ac:dyDescent="0.25">
      <c r="A98" s="1">
        <v>41152</v>
      </c>
      <c r="B98">
        <v>243</v>
      </c>
      <c r="C98">
        <v>243</v>
      </c>
    </row>
    <row r="99" spans="1:3" x14ac:dyDescent="0.25">
      <c r="A99" s="1">
        <v>41121</v>
      </c>
      <c r="B99">
        <v>242.1</v>
      </c>
      <c r="C99">
        <v>242.1</v>
      </c>
    </row>
    <row r="100" spans="1:3" x14ac:dyDescent="0.25">
      <c r="A100" s="1">
        <v>41090</v>
      </c>
      <c r="B100">
        <v>241.8</v>
      </c>
      <c r="C100">
        <v>241.8</v>
      </c>
    </row>
    <row r="101" spans="1:3" x14ac:dyDescent="0.25">
      <c r="A101" s="1">
        <v>41060</v>
      </c>
      <c r="B101">
        <v>242.4</v>
      </c>
      <c r="C101">
        <v>242.4</v>
      </c>
    </row>
    <row r="102" spans="1:3" x14ac:dyDescent="0.25">
      <c r="A102" s="1">
        <v>41029</v>
      </c>
      <c r="B102">
        <v>242.5</v>
      </c>
      <c r="C102">
        <v>242.5</v>
      </c>
    </row>
    <row r="103" spans="1:3" x14ac:dyDescent="0.25">
      <c r="A103" s="1">
        <v>40999</v>
      </c>
      <c r="B103">
        <v>240.8</v>
      </c>
      <c r="C103">
        <v>240.8</v>
      </c>
    </row>
    <row r="104" spans="1:3" x14ac:dyDescent="0.25">
      <c r="A104" s="1">
        <v>40968</v>
      </c>
      <c r="B104">
        <v>239.9</v>
      </c>
      <c r="C104">
        <v>239.9</v>
      </c>
    </row>
    <row r="105" spans="1:3" x14ac:dyDescent="0.25">
      <c r="A105" s="1">
        <v>40939</v>
      </c>
      <c r="B105">
        <v>238</v>
      </c>
      <c r="C105">
        <v>238</v>
      </c>
    </row>
    <row r="106" spans="1:3" x14ac:dyDescent="0.25">
      <c r="A106" s="1">
        <v>40908</v>
      </c>
      <c r="B106">
        <v>239.4</v>
      </c>
      <c r="C106">
        <v>239.4</v>
      </c>
    </row>
    <row r="107" spans="1:3" x14ac:dyDescent="0.25">
      <c r="A107" s="1">
        <v>40877</v>
      </c>
      <c r="B107">
        <v>238.5</v>
      </c>
      <c r="C107">
        <v>238.5</v>
      </c>
    </row>
    <row r="108" spans="1:3" x14ac:dyDescent="0.25">
      <c r="A108" s="1">
        <v>40847</v>
      </c>
      <c r="B108">
        <v>238</v>
      </c>
      <c r="C108">
        <v>238</v>
      </c>
    </row>
    <row r="109" spans="1:3" x14ac:dyDescent="0.25">
      <c r="A109" s="1">
        <v>40816</v>
      </c>
      <c r="B109">
        <v>237.9</v>
      </c>
      <c r="C109">
        <v>237.9</v>
      </c>
    </row>
    <row r="110" spans="1:3" x14ac:dyDescent="0.25">
      <c r="A110" s="1">
        <v>40786</v>
      </c>
      <c r="B110">
        <v>236.1</v>
      </c>
      <c r="C110">
        <v>236.1</v>
      </c>
    </row>
    <row r="111" spans="1:3" x14ac:dyDescent="0.25">
      <c r="A111" s="1">
        <v>40755</v>
      </c>
      <c r="B111">
        <v>234.7</v>
      </c>
      <c r="C111">
        <v>234.7</v>
      </c>
    </row>
    <row r="112" spans="1:3" x14ac:dyDescent="0.25">
      <c r="A112" s="1">
        <v>40724</v>
      </c>
      <c r="B112">
        <v>235.2</v>
      </c>
      <c r="C112">
        <v>235.2</v>
      </c>
    </row>
    <row r="113" spans="1:3" x14ac:dyDescent="0.25">
      <c r="A113" s="1">
        <v>40694</v>
      </c>
      <c r="B113">
        <v>235.2</v>
      </c>
      <c r="C113">
        <v>235.2</v>
      </c>
    </row>
    <row r="114" spans="1:3" x14ac:dyDescent="0.25">
      <c r="A114" s="1">
        <v>40663</v>
      </c>
      <c r="B114">
        <v>234.4</v>
      </c>
      <c r="C114">
        <v>234.4</v>
      </c>
    </row>
    <row r="115" spans="1:3" x14ac:dyDescent="0.25">
      <c r="A115" s="1">
        <v>40633</v>
      </c>
      <c r="B115">
        <v>232.5</v>
      </c>
      <c r="C115">
        <v>232.5</v>
      </c>
    </row>
    <row r="116" spans="1:3" x14ac:dyDescent="0.25">
      <c r="A116" s="1">
        <v>40602</v>
      </c>
      <c r="B116">
        <v>231.3</v>
      </c>
      <c r="C116">
        <v>231.3</v>
      </c>
    </row>
    <row r="117" spans="1:3" x14ac:dyDescent="0.25">
      <c r="A117" s="1">
        <v>40574</v>
      </c>
      <c r="B117">
        <v>229</v>
      </c>
      <c r="C117">
        <v>229</v>
      </c>
    </row>
    <row r="118" spans="1:3" x14ac:dyDescent="0.25">
      <c r="A118" s="1">
        <v>40543</v>
      </c>
      <c r="B118">
        <v>228.4</v>
      </c>
      <c r="C118">
        <v>228.4</v>
      </c>
    </row>
    <row r="119" spans="1:3" x14ac:dyDescent="0.25">
      <c r="A119" s="1">
        <v>40512</v>
      </c>
      <c r="B119">
        <v>226.8</v>
      </c>
      <c r="C119">
        <v>226.8</v>
      </c>
    </row>
    <row r="120" spans="1:3" x14ac:dyDescent="0.25">
      <c r="A120" s="1">
        <v>40482</v>
      </c>
      <c r="B120">
        <v>225.8</v>
      </c>
      <c r="C120">
        <v>225.8</v>
      </c>
    </row>
    <row r="121" spans="1:3" x14ac:dyDescent="0.25">
      <c r="A121" s="1">
        <v>40451</v>
      </c>
      <c r="B121">
        <v>225.3</v>
      </c>
      <c r="C121">
        <v>225.3</v>
      </c>
    </row>
    <row r="122" spans="1:3" x14ac:dyDescent="0.25">
      <c r="A122" s="1">
        <v>40421</v>
      </c>
      <c r="B122">
        <v>224.5</v>
      </c>
      <c r="C122">
        <v>224.5</v>
      </c>
    </row>
    <row r="123" spans="1:3" x14ac:dyDescent="0.25">
      <c r="A123" s="1">
        <v>40390</v>
      </c>
      <c r="B123">
        <v>223.6</v>
      </c>
      <c r="C123">
        <v>223.6</v>
      </c>
    </row>
    <row r="124" spans="1:3" x14ac:dyDescent="0.25">
      <c r="A124" s="1">
        <v>40359</v>
      </c>
      <c r="B124">
        <v>224.1</v>
      </c>
      <c r="C124">
        <v>224.1</v>
      </c>
    </row>
    <row r="125" spans="1:3" x14ac:dyDescent="0.25">
      <c r="A125" s="1">
        <v>40329</v>
      </c>
      <c r="B125">
        <v>223.6</v>
      </c>
      <c r="C125">
        <v>223.6</v>
      </c>
    </row>
    <row r="126" spans="1:3" x14ac:dyDescent="0.25">
      <c r="A126" s="1">
        <v>40298</v>
      </c>
      <c r="B126">
        <v>222.8</v>
      </c>
      <c r="C126">
        <v>222.8</v>
      </c>
    </row>
    <row r="127" spans="1:3" x14ac:dyDescent="0.25">
      <c r="A127" s="1">
        <v>40268</v>
      </c>
      <c r="B127">
        <v>220.7</v>
      </c>
      <c r="C127">
        <v>220.7</v>
      </c>
    </row>
    <row r="128" spans="1:3" x14ac:dyDescent="0.25">
      <c r="A128" s="1">
        <v>40237</v>
      </c>
      <c r="B128">
        <v>219.2</v>
      </c>
      <c r="C128">
        <v>219.2</v>
      </c>
    </row>
    <row r="129" spans="1:3" x14ac:dyDescent="0.25">
      <c r="A129" s="1">
        <v>40209</v>
      </c>
      <c r="B129">
        <v>217.9</v>
      </c>
      <c r="C129">
        <v>217.9</v>
      </c>
    </row>
    <row r="130" spans="1:3" x14ac:dyDescent="0.25">
      <c r="A130" s="1">
        <v>40178</v>
      </c>
      <c r="B130">
        <v>218</v>
      </c>
      <c r="C130">
        <v>218</v>
      </c>
    </row>
    <row r="131" spans="1:3" x14ac:dyDescent="0.25">
      <c r="A131" s="1">
        <v>40147</v>
      </c>
      <c r="B131">
        <v>216.6</v>
      </c>
      <c r="C131">
        <v>216.6</v>
      </c>
    </row>
    <row r="132" spans="1:3" x14ac:dyDescent="0.25">
      <c r="A132" s="1">
        <v>40117</v>
      </c>
      <c r="B132">
        <v>216</v>
      </c>
      <c r="C132">
        <v>216</v>
      </c>
    </row>
    <row r="133" spans="1:3" x14ac:dyDescent="0.25">
      <c r="A133" s="1">
        <v>40086</v>
      </c>
      <c r="B133">
        <v>215.3</v>
      </c>
      <c r="C133">
        <v>215.3</v>
      </c>
    </row>
    <row r="134" spans="1:3" x14ac:dyDescent="0.25">
      <c r="A134" s="1">
        <v>40056</v>
      </c>
      <c r="B134">
        <v>214.4</v>
      </c>
      <c r="C134">
        <v>214.4</v>
      </c>
    </row>
    <row r="135" spans="1:3" x14ac:dyDescent="0.25">
      <c r="A135" s="1">
        <v>40025</v>
      </c>
      <c r="B135">
        <v>213.4</v>
      </c>
      <c r="C135">
        <v>213.4</v>
      </c>
    </row>
    <row r="136" spans="1:3" x14ac:dyDescent="0.25">
      <c r="A136" s="1">
        <v>39994</v>
      </c>
      <c r="B136">
        <v>213.4</v>
      </c>
      <c r="C136">
        <v>213.4</v>
      </c>
    </row>
    <row r="137" spans="1:3" x14ac:dyDescent="0.25">
      <c r="A137" s="1">
        <v>39964</v>
      </c>
      <c r="B137">
        <v>212.8</v>
      </c>
      <c r="C137">
        <v>212.8</v>
      </c>
    </row>
    <row r="138" spans="1:3" x14ac:dyDescent="0.25">
      <c r="A138" s="1">
        <v>39933</v>
      </c>
      <c r="B138">
        <v>211.5</v>
      </c>
      <c r="C138">
        <v>211.5</v>
      </c>
    </row>
    <row r="139" spans="1:3" x14ac:dyDescent="0.25">
      <c r="A139" s="1">
        <v>39903</v>
      </c>
      <c r="B139">
        <v>211.3</v>
      </c>
      <c r="C139">
        <v>211.3</v>
      </c>
    </row>
    <row r="140" spans="1:3" x14ac:dyDescent="0.25">
      <c r="A140" s="1">
        <v>39872</v>
      </c>
      <c r="B140">
        <v>211.4</v>
      </c>
      <c r="C140">
        <v>211.4</v>
      </c>
    </row>
    <row r="141" spans="1:3" x14ac:dyDescent="0.25">
      <c r="A141" s="1">
        <v>39844</v>
      </c>
      <c r="B141">
        <v>210.1</v>
      </c>
      <c r="C141">
        <v>210.1</v>
      </c>
    </row>
    <row r="142" spans="1:3" x14ac:dyDescent="0.25">
      <c r="A142" s="1">
        <v>39813</v>
      </c>
      <c r="B142">
        <v>212.9</v>
      </c>
      <c r="C142">
        <v>212.9</v>
      </c>
    </row>
    <row r="143" spans="1:3" x14ac:dyDescent="0.25">
      <c r="A143" s="1">
        <v>39782</v>
      </c>
      <c r="B143">
        <v>216</v>
      </c>
      <c r="C143">
        <v>216</v>
      </c>
    </row>
    <row r="144" spans="1:3" x14ac:dyDescent="0.25">
      <c r="A144" s="1">
        <v>39752</v>
      </c>
      <c r="B144">
        <v>217.7</v>
      </c>
      <c r="C144">
        <v>217.7</v>
      </c>
    </row>
    <row r="145" spans="1:3" x14ac:dyDescent="0.25">
      <c r="A145" s="1">
        <v>39721</v>
      </c>
      <c r="B145">
        <v>218.4</v>
      </c>
      <c r="C145">
        <v>218.4</v>
      </c>
    </row>
    <row r="146" spans="1:3" x14ac:dyDescent="0.25">
      <c r="A146" s="1">
        <v>39691</v>
      </c>
      <c r="B146">
        <v>217.2</v>
      </c>
      <c r="C146">
        <v>217.2</v>
      </c>
    </row>
    <row r="147" spans="1:3" x14ac:dyDescent="0.25">
      <c r="A147" s="1">
        <v>39660</v>
      </c>
      <c r="B147">
        <v>216.5</v>
      </c>
      <c r="C147">
        <v>216.5</v>
      </c>
    </row>
    <row r="148" spans="1:3" x14ac:dyDescent="0.25">
      <c r="A148" s="1">
        <v>39629</v>
      </c>
      <c r="B148">
        <v>216.8</v>
      </c>
      <c r="C148">
        <v>216.8</v>
      </c>
    </row>
    <row r="149" spans="1:3" x14ac:dyDescent="0.25">
      <c r="A149" s="1">
        <v>39599</v>
      </c>
      <c r="B149">
        <v>215.1</v>
      </c>
      <c r="C149">
        <v>215.1</v>
      </c>
    </row>
    <row r="150" spans="1:3" x14ac:dyDescent="0.25">
      <c r="A150" s="1">
        <v>39568</v>
      </c>
      <c r="B150">
        <v>214</v>
      </c>
      <c r="C150">
        <v>214</v>
      </c>
    </row>
    <row r="151" spans="1:3" x14ac:dyDescent="0.25">
      <c r="A151" s="1">
        <v>39538</v>
      </c>
      <c r="B151">
        <v>212.1</v>
      </c>
      <c r="C151">
        <v>212.1</v>
      </c>
    </row>
    <row r="152" spans="1:3" x14ac:dyDescent="0.25">
      <c r="A152" s="1">
        <v>39507</v>
      </c>
      <c r="B152">
        <v>211.4</v>
      </c>
      <c r="C152">
        <v>211.4</v>
      </c>
    </row>
    <row r="153" spans="1:3" x14ac:dyDescent="0.25">
      <c r="A153" s="1">
        <v>39478</v>
      </c>
      <c r="B153">
        <v>209.8</v>
      </c>
      <c r="C153">
        <v>209.8</v>
      </c>
    </row>
    <row r="154" spans="1:3" x14ac:dyDescent="0.25">
      <c r="A154" s="1">
        <v>39447</v>
      </c>
      <c r="B154">
        <v>210.9</v>
      </c>
      <c r="C154">
        <v>210.9</v>
      </c>
    </row>
    <row r="155" spans="1:3" x14ac:dyDescent="0.25">
      <c r="A155" s="1">
        <v>39416</v>
      </c>
      <c r="B155">
        <v>209.7</v>
      </c>
      <c r="C155">
        <v>209.7</v>
      </c>
    </row>
    <row r="156" spans="1:3" x14ac:dyDescent="0.25">
      <c r="A156" s="1">
        <v>39386</v>
      </c>
      <c r="B156">
        <v>208.9</v>
      </c>
      <c r="C156">
        <v>208.9</v>
      </c>
    </row>
    <row r="157" spans="1:3" x14ac:dyDescent="0.25">
      <c r="A157" s="1">
        <v>39355</v>
      </c>
      <c r="B157">
        <v>208</v>
      </c>
      <c r="C157">
        <v>208</v>
      </c>
    </row>
    <row r="158" spans="1:3" x14ac:dyDescent="0.25">
      <c r="A158" s="1">
        <v>39325</v>
      </c>
      <c r="B158">
        <v>207.3</v>
      </c>
      <c r="C158">
        <v>207.3</v>
      </c>
    </row>
    <row r="159" spans="1:3" x14ac:dyDescent="0.25">
      <c r="A159" s="1">
        <v>39294</v>
      </c>
      <c r="B159">
        <v>206.1</v>
      </c>
      <c r="C159">
        <v>206.1</v>
      </c>
    </row>
    <row r="160" spans="1:3" x14ac:dyDescent="0.25">
      <c r="A160" s="1">
        <v>39263</v>
      </c>
      <c r="B160">
        <v>207.3</v>
      </c>
      <c r="C160">
        <v>207.3</v>
      </c>
    </row>
    <row r="161" spans="1:3" x14ac:dyDescent="0.25">
      <c r="A161" s="1">
        <v>39233</v>
      </c>
      <c r="B161">
        <v>206.2</v>
      </c>
      <c r="C161">
        <v>206.2</v>
      </c>
    </row>
    <row r="162" spans="1:3" x14ac:dyDescent="0.25">
      <c r="A162" s="1">
        <v>39202</v>
      </c>
      <c r="B162">
        <v>205.4</v>
      </c>
      <c r="C162">
        <v>205.4</v>
      </c>
    </row>
    <row r="163" spans="1:3" x14ac:dyDescent="0.25">
      <c r="A163" s="1">
        <v>39172</v>
      </c>
      <c r="B163">
        <v>204.4</v>
      </c>
      <c r="C163">
        <v>204.4</v>
      </c>
    </row>
    <row r="164" spans="1:3" x14ac:dyDescent="0.25">
      <c r="A164" s="1">
        <v>39141</v>
      </c>
      <c r="B164">
        <v>203.1</v>
      </c>
      <c r="C164">
        <v>203.1</v>
      </c>
    </row>
    <row r="165" spans="1:3" x14ac:dyDescent="0.25">
      <c r="A165" s="1">
        <v>39113</v>
      </c>
      <c r="B165">
        <v>201.6</v>
      </c>
      <c r="C165">
        <v>201.6</v>
      </c>
    </row>
    <row r="166" spans="1:3" x14ac:dyDescent="0.25">
      <c r="A166" s="1">
        <v>39082</v>
      </c>
      <c r="B166">
        <v>202.7</v>
      </c>
      <c r="C166">
        <v>202.7</v>
      </c>
    </row>
    <row r="167" spans="1:3" x14ac:dyDescent="0.25">
      <c r="A167" s="1">
        <v>39051</v>
      </c>
      <c r="B167">
        <v>201.1</v>
      </c>
      <c r="C167">
        <v>201.1</v>
      </c>
    </row>
    <row r="168" spans="1:3" x14ac:dyDescent="0.25">
      <c r="A168" s="1">
        <v>39021</v>
      </c>
      <c r="B168">
        <v>200.4</v>
      </c>
      <c r="C168">
        <v>200.4</v>
      </c>
    </row>
    <row r="169" spans="1:3" x14ac:dyDescent="0.25">
      <c r="A169" s="1">
        <v>38990</v>
      </c>
      <c r="B169">
        <v>200.1</v>
      </c>
      <c r="C169">
        <v>200.1</v>
      </c>
    </row>
    <row r="170" spans="1:3" x14ac:dyDescent="0.25">
      <c r="A170" s="1">
        <v>38960</v>
      </c>
      <c r="B170">
        <v>199.2</v>
      </c>
      <c r="C170">
        <v>199.2</v>
      </c>
    </row>
    <row r="171" spans="1:3" x14ac:dyDescent="0.25">
      <c r="A171" s="1">
        <v>38929</v>
      </c>
      <c r="B171">
        <v>198.5</v>
      </c>
      <c r="C171">
        <v>198.5</v>
      </c>
    </row>
    <row r="172" spans="1:3" x14ac:dyDescent="0.25">
      <c r="A172" s="1">
        <v>38898</v>
      </c>
      <c r="B172">
        <v>198.5</v>
      </c>
      <c r="C172">
        <v>198.5</v>
      </c>
    </row>
    <row r="173" spans="1:3" x14ac:dyDescent="0.25">
      <c r="A173" s="1">
        <v>38868</v>
      </c>
      <c r="B173">
        <v>197.7</v>
      </c>
      <c r="C173">
        <v>197.7</v>
      </c>
    </row>
    <row r="174" spans="1:3" x14ac:dyDescent="0.25">
      <c r="A174" s="1">
        <v>38837</v>
      </c>
      <c r="B174">
        <v>196.5</v>
      </c>
      <c r="C174">
        <v>196.5</v>
      </c>
    </row>
    <row r="175" spans="1:3" x14ac:dyDescent="0.25">
      <c r="A175" s="1">
        <v>38807</v>
      </c>
      <c r="B175">
        <v>195</v>
      </c>
      <c r="C175">
        <v>195</v>
      </c>
    </row>
    <row r="176" spans="1:3" x14ac:dyDescent="0.25">
      <c r="A176" s="1">
        <v>38776</v>
      </c>
      <c r="B176">
        <v>194.2</v>
      </c>
      <c r="C176">
        <v>194.2</v>
      </c>
    </row>
    <row r="177" spans="1:3" x14ac:dyDescent="0.25">
      <c r="A177" s="1">
        <v>38748</v>
      </c>
      <c r="B177">
        <v>193.4</v>
      </c>
      <c r="C177">
        <v>193.4</v>
      </c>
    </row>
    <row r="178" spans="1:3" x14ac:dyDescent="0.25">
      <c r="A178" s="1">
        <v>38717</v>
      </c>
      <c r="B178">
        <v>194.1</v>
      </c>
      <c r="C178">
        <v>194.1</v>
      </c>
    </row>
    <row r="179" spans="1:3" x14ac:dyDescent="0.25">
      <c r="A179" s="1">
        <v>38686</v>
      </c>
      <c r="B179">
        <v>193.6</v>
      </c>
      <c r="C179">
        <v>193.6</v>
      </c>
    </row>
    <row r="180" spans="1:3" x14ac:dyDescent="0.25">
      <c r="A180" s="1">
        <v>38656</v>
      </c>
      <c r="B180">
        <v>193.3</v>
      </c>
      <c r="C180">
        <v>193.3</v>
      </c>
    </row>
    <row r="181" spans="1:3" x14ac:dyDescent="0.25">
      <c r="A181" s="1">
        <v>38625</v>
      </c>
      <c r="B181">
        <v>193.1</v>
      </c>
      <c r="C181">
        <v>193.1</v>
      </c>
    </row>
    <row r="182" spans="1:3" x14ac:dyDescent="0.25">
      <c r="A182" s="1">
        <v>38595</v>
      </c>
      <c r="B182">
        <v>192.6</v>
      </c>
      <c r="C182">
        <v>192.6</v>
      </c>
    </row>
    <row r="183" spans="1:3" x14ac:dyDescent="0.25">
      <c r="A183" s="1">
        <v>38564</v>
      </c>
      <c r="B183">
        <v>192.2</v>
      </c>
      <c r="C183">
        <v>192.2</v>
      </c>
    </row>
    <row r="184" spans="1:3" x14ac:dyDescent="0.25">
      <c r="A184" s="1">
        <v>38533</v>
      </c>
      <c r="B184">
        <v>192.2</v>
      </c>
      <c r="C184">
        <v>192.2</v>
      </c>
    </row>
    <row r="185" spans="1:3" x14ac:dyDescent="0.25">
      <c r="A185" s="1">
        <v>38503</v>
      </c>
      <c r="B185">
        <v>192</v>
      </c>
      <c r="C185">
        <v>192</v>
      </c>
    </row>
    <row r="186" spans="1:3" x14ac:dyDescent="0.25">
      <c r="A186" s="1">
        <v>38472</v>
      </c>
      <c r="B186">
        <v>191.6</v>
      </c>
      <c r="C186">
        <v>191.6</v>
      </c>
    </row>
    <row r="187" spans="1:3" x14ac:dyDescent="0.25">
      <c r="A187" s="1">
        <v>38442</v>
      </c>
      <c r="B187">
        <v>190.5</v>
      </c>
      <c r="C187">
        <v>190.5</v>
      </c>
    </row>
    <row r="188" spans="1:3" x14ac:dyDescent="0.25">
      <c r="A188" s="1">
        <v>38411</v>
      </c>
      <c r="B188">
        <v>189.6</v>
      </c>
      <c r="C188">
        <v>189.6</v>
      </c>
    </row>
    <row r="189" spans="1:3" x14ac:dyDescent="0.25">
      <c r="A189" s="1">
        <v>38383</v>
      </c>
      <c r="B189">
        <v>188.9</v>
      </c>
      <c r="C189">
        <v>188.9</v>
      </c>
    </row>
    <row r="190" spans="1:3" x14ac:dyDescent="0.25">
      <c r="A190" s="1">
        <v>38352</v>
      </c>
      <c r="B190">
        <v>189.9</v>
      </c>
      <c r="C190">
        <v>189.9</v>
      </c>
    </row>
    <row r="191" spans="1:3" x14ac:dyDescent="0.25">
      <c r="A191" s="1">
        <v>38321</v>
      </c>
      <c r="B191">
        <v>189</v>
      </c>
      <c r="C191">
        <v>189</v>
      </c>
    </row>
    <row r="192" spans="1:3" x14ac:dyDescent="0.25">
      <c r="A192" s="1">
        <v>38291</v>
      </c>
      <c r="B192">
        <v>188.6</v>
      </c>
      <c r="C192">
        <v>188.6</v>
      </c>
    </row>
    <row r="193" spans="1:3" x14ac:dyDescent="0.25">
      <c r="A193" s="1">
        <v>38260</v>
      </c>
      <c r="B193">
        <v>188.1</v>
      </c>
      <c r="C193">
        <v>188.1</v>
      </c>
    </row>
    <row r="194" spans="1:3" x14ac:dyDescent="0.25">
      <c r="A194" s="1">
        <v>38230</v>
      </c>
      <c r="B194">
        <v>187.4</v>
      </c>
      <c r="C194">
        <v>187.4</v>
      </c>
    </row>
    <row r="195" spans="1:3" x14ac:dyDescent="0.25">
      <c r="A195" s="1">
        <v>38199</v>
      </c>
      <c r="B195">
        <v>186.8</v>
      </c>
      <c r="C195">
        <v>186.8</v>
      </c>
    </row>
    <row r="196" spans="1:3" x14ac:dyDescent="0.25">
      <c r="A196" s="1">
        <v>38168</v>
      </c>
      <c r="B196">
        <v>186.8</v>
      </c>
      <c r="C196">
        <v>186.8</v>
      </c>
    </row>
    <row r="197" spans="1:3" x14ac:dyDescent="0.25">
      <c r="A197" s="1">
        <v>38138</v>
      </c>
      <c r="B197">
        <v>186.5</v>
      </c>
      <c r="C197">
        <v>186.5</v>
      </c>
    </row>
    <row r="198" spans="1:3" x14ac:dyDescent="0.25">
      <c r="A198" s="1">
        <v>38107</v>
      </c>
      <c r="B198">
        <v>185.7</v>
      </c>
      <c r="C198">
        <v>185.7</v>
      </c>
    </row>
    <row r="199" spans="1:3" x14ac:dyDescent="0.25">
      <c r="A199" s="1">
        <v>38077</v>
      </c>
      <c r="B199">
        <v>184.6</v>
      </c>
      <c r="C199">
        <v>184.6</v>
      </c>
    </row>
    <row r="200" spans="1:3" x14ac:dyDescent="0.25">
      <c r="A200" s="1">
        <v>38046</v>
      </c>
      <c r="B200">
        <v>183.8</v>
      </c>
      <c r="C200">
        <v>183.8</v>
      </c>
    </row>
    <row r="201" spans="1:3" x14ac:dyDescent="0.25">
      <c r="A201" s="1">
        <v>38017</v>
      </c>
      <c r="B201">
        <v>183.1</v>
      </c>
      <c r="C201">
        <v>183.1</v>
      </c>
    </row>
    <row r="202" spans="1:3" x14ac:dyDescent="0.25">
      <c r="A202" s="1">
        <v>37986</v>
      </c>
      <c r="B202">
        <v>183.5</v>
      </c>
      <c r="C202">
        <v>183.5</v>
      </c>
    </row>
    <row r="203" spans="1:3" x14ac:dyDescent="0.25">
      <c r="A203" s="1">
        <v>37955</v>
      </c>
      <c r="B203">
        <v>182.7</v>
      </c>
      <c r="C203">
        <v>182.7</v>
      </c>
    </row>
    <row r="204" spans="1:3" x14ac:dyDescent="0.25">
      <c r="A204" s="1">
        <v>37925</v>
      </c>
      <c r="B204">
        <v>182.6</v>
      </c>
      <c r="C204">
        <v>182.6</v>
      </c>
    </row>
    <row r="205" spans="1:3" x14ac:dyDescent="0.25">
      <c r="A205" s="1">
        <v>37894</v>
      </c>
      <c r="B205">
        <v>182.5</v>
      </c>
      <c r="C205">
        <v>182.5</v>
      </c>
    </row>
    <row r="206" spans="1:3" x14ac:dyDescent="0.25">
      <c r="A206" s="1">
        <v>37864</v>
      </c>
      <c r="B206">
        <v>181.6</v>
      </c>
      <c r="C206">
        <v>181.6</v>
      </c>
    </row>
    <row r="207" spans="1:3" x14ac:dyDescent="0.25">
      <c r="A207" s="1">
        <v>37833</v>
      </c>
      <c r="B207">
        <v>181.3</v>
      </c>
      <c r="C207">
        <v>181.3</v>
      </c>
    </row>
    <row r="208" spans="1:3" x14ac:dyDescent="0.25">
      <c r="A208" s="1">
        <v>37802</v>
      </c>
      <c r="B208">
        <v>181.3</v>
      </c>
      <c r="C208">
        <v>181.3</v>
      </c>
    </row>
    <row r="209" spans="1:3" x14ac:dyDescent="0.25">
      <c r="A209" s="1">
        <v>37772</v>
      </c>
      <c r="B209">
        <v>181.5</v>
      </c>
      <c r="C209">
        <v>181.5</v>
      </c>
    </row>
    <row r="210" spans="1:3" x14ac:dyDescent="0.25">
      <c r="A210" s="1">
        <v>37741</v>
      </c>
      <c r="B210">
        <v>181.2</v>
      </c>
      <c r="C210">
        <v>181.2</v>
      </c>
    </row>
    <row r="211" spans="1:3" x14ac:dyDescent="0.25">
      <c r="A211" s="1">
        <v>37711</v>
      </c>
      <c r="B211">
        <v>179.9</v>
      </c>
      <c r="C211">
        <v>179.9</v>
      </c>
    </row>
    <row r="212" spans="1:3" x14ac:dyDescent="0.25">
      <c r="A212" s="1">
        <v>37680</v>
      </c>
      <c r="B212">
        <v>179.3</v>
      </c>
      <c r="C212">
        <v>179.3</v>
      </c>
    </row>
    <row r="213" spans="1:3" x14ac:dyDescent="0.25">
      <c r="A213" s="1">
        <v>37652</v>
      </c>
      <c r="B213">
        <v>178.4</v>
      </c>
      <c r="C213">
        <v>178.4</v>
      </c>
    </row>
    <row r="214" spans="1:3" x14ac:dyDescent="0.25">
      <c r="A214" s="1">
        <v>37621</v>
      </c>
      <c r="B214">
        <v>178.5</v>
      </c>
      <c r="C214">
        <v>178.5</v>
      </c>
    </row>
    <row r="215" spans="1:3" x14ac:dyDescent="0.25">
      <c r="A215" s="1">
        <v>37590</v>
      </c>
      <c r="B215">
        <v>178.2</v>
      </c>
      <c r="C215">
        <v>178.2</v>
      </c>
    </row>
    <row r="216" spans="1:3" x14ac:dyDescent="0.25">
      <c r="A216" s="1">
        <v>37560</v>
      </c>
      <c r="B216">
        <v>177.9</v>
      </c>
      <c r="C216">
        <v>177.9</v>
      </c>
    </row>
    <row r="217" spans="1:3" x14ac:dyDescent="0.25">
      <c r="A217" s="1">
        <v>37529</v>
      </c>
      <c r="B217">
        <v>177.6</v>
      </c>
      <c r="C217">
        <v>177.6</v>
      </c>
    </row>
    <row r="218" spans="1:3" x14ac:dyDescent="0.25">
      <c r="A218" s="1">
        <v>37499</v>
      </c>
      <c r="B218">
        <v>176.4</v>
      </c>
      <c r="C218">
        <v>176.4</v>
      </c>
    </row>
    <row r="219" spans="1:3" x14ac:dyDescent="0.25">
      <c r="A219" s="1">
        <v>37468</v>
      </c>
      <c r="B219">
        <v>175.9</v>
      </c>
      <c r="C219">
        <v>175.9</v>
      </c>
    </row>
    <row r="220" spans="1:3" x14ac:dyDescent="0.25">
      <c r="A220" s="1">
        <v>37437</v>
      </c>
      <c r="B220">
        <v>176.2</v>
      </c>
      <c r="C220">
        <v>176.2</v>
      </c>
    </row>
    <row r="221" spans="1:3" x14ac:dyDescent="0.25">
      <c r="A221" s="1">
        <v>37407</v>
      </c>
      <c r="B221">
        <v>176.2</v>
      </c>
      <c r="C221">
        <v>176.2</v>
      </c>
    </row>
    <row r="222" spans="1:3" x14ac:dyDescent="0.25">
      <c r="A222" s="1">
        <v>37376</v>
      </c>
      <c r="B222">
        <v>175.7</v>
      </c>
      <c r="C222">
        <v>175.7</v>
      </c>
    </row>
    <row r="223" spans="1:3" x14ac:dyDescent="0.25">
      <c r="A223" s="1">
        <v>37346</v>
      </c>
      <c r="B223">
        <v>174.5</v>
      </c>
      <c r="C223">
        <v>174.5</v>
      </c>
    </row>
    <row r="224" spans="1:3" x14ac:dyDescent="0.25">
      <c r="A224" s="1">
        <v>37315</v>
      </c>
      <c r="B224">
        <v>173.8</v>
      </c>
      <c r="C224">
        <v>173.8</v>
      </c>
    </row>
    <row r="225" spans="1:3" x14ac:dyDescent="0.25">
      <c r="A225" s="1">
        <v>37287</v>
      </c>
      <c r="B225">
        <v>173.3</v>
      </c>
      <c r="C225">
        <v>173.3</v>
      </c>
    </row>
    <row r="226" spans="1:3" x14ac:dyDescent="0.25">
      <c r="A226" s="1">
        <v>37256</v>
      </c>
      <c r="B226">
        <v>173.4</v>
      </c>
      <c r="C226">
        <v>173.4</v>
      </c>
    </row>
    <row r="227" spans="1:3" x14ac:dyDescent="0.25">
      <c r="A227" s="1">
        <v>37225</v>
      </c>
      <c r="B227">
        <v>173.6</v>
      </c>
      <c r="C227">
        <v>173.6</v>
      </c>
    </row>
    <row r="228" spans="1:3" x14ac:dyDescent="0.25">
      <c r="A228" s="1">
        <v>37195</v>
      </c>
      <c r="B228">
        <v>174.3</v>
      </c>
      <c r="C228">
        <v>174.3</v>
      </c>
    </row>
    <row r="229" spans="1:3" x14ac:dyDescent="0.25">
      <c r="A229" s="1">
        <v>37164</v>
      </c>
      <c r="B229">
        <v>174.6</v>
      </c>
      <c r="C229">
        <v>174.6</v>
      </c>
    </row>
    <row r="230" spans="1:3" x14ac:dyDescent="0.25">
      <c r="A230" s="1">
        <v>37134</v>
      </c>
      <c r="B230">
        <v>174</v>
      </c>
      <c r="C230">
        <v>174</v>
      </c>
    </row>
    <row r="231" spans="1:3" x14ac:dyDescent="0.25">
      <c r="A231" s="1">
        <v>37103</v>
      </c>
      <c r="B231">
        <v>173.3</v>
      </c>
      <c r="C231">
        <v>173.3</v>
      </c>
    </row>
    <row r="232" spans="1:3" x14ac:dyDescent="0.25">
      <c r="A232" s="1">
        <v>37072</v>
      </c>
      <c r="B232">
        <v>174.4</v>
      </c>
      <c r="C232">
        <v>174.4</v>
      </c>
    </row>
    <row r="233" spans="1:3" x14ac:dyDescent="0.25">
      <c r="A233" s="1">
        <v>37042</v>
      </c>
      <c r="B233">
        <v>174.2</v>
      </c>
      <c r="C233">
        <v>174.2</v>
      </c>
    </row>
    <row r="234" spans="1:3" x14ac:dyDescent="0.25">
      <c r="A234" s="1">
        <v>37011</v>
      </c>
      <c r="B234">
        <v>173.1</v>
      </c>
      <c r="C234">
        <v>173.1</v>
      </c>
    </row>
    <row r="235" spans="1:3" x14ac:dyDescent="0.25">
      <c r="A235" s="1">
        <v>36981</v>
      </c>
      <c r="B235">
        <v>172.2</v>
      </c>
      <c r="C235">
        <v>172.2</v>
      </c>
    </row>
    <row r="236" spans="1:3" x14ac:dyDescent="0.25">
      <c r="A236" s="1">
        <v>36950</v>
      </c>
      <c r="B236">
        <v>172</v>
      </c>
      <c r="C236">
        <v>172</v>
      </c>
    </row>
    <row r="237" spans="1:3" x14ac:dyDescent="0.25">
      <c r="A237" s="1">
        <v>36922</v>
      </c>
      <c r="B237">
        <v>171.1</v>
      </c>
      <c r="C237">
        <v>171.1</v>
      </c>
    </row>
    <row r="238" spans="1:3" x14ac:dyDescent="0.25">
      <c r="A238" s="1">
        <v>36891</v>
      </c>
      <c r="B238">
        <v>172.2</v>
      </c>
      <c r="C238">
        <v>172.2</v>
      </c>
    </row>
    <row r="239" spans="1:3" x14ac:dyDescent="0.25">
      <c r="A239" s="1">
        <v>36860</v>
      </c>
      <c r="B239">
        <v>172.1</v>
      </c>
      <c r="C239">
        <v>172.1</v>
      </c>
    </row>
    <row r="240" spans="1:3" x14ac:dyDescent="0.25">
      <c r="A240" s="1">
        <v>36830</v>
      </c>
      <c r="B240">
        <v>171.6</v>
      </c>
      <c r="C240">
        <v>171.6</v>
      </c>
    </row>
    <row r="241" spans="1:3" x14ac:dyDescent="0.25">
      <c r="A241" s="1">
        <v>36799</v>
      </c>
      <c r="B241">
        <v>171.7</v>
      </c>
      <c r="C241">
        <v>171.7</v>
      </c>
    </row>
    <row r="242" spans="1:3" x14ac:dyDescent="0.25">
      <c r="A242" s="1">
        <v>36769</v>
      </c>
      <c r="B242">
        <v>170.5</v>
      </c>
      <c r="C242">
        <v>170.5</v>
      </c>
    </row>
    <row r="243" spans="1:3" x14ac:dyDescent="0.25">
      <c r="A243" s="1">
        <v>36738</v>
      </c>
      <c r="B243">
        <v>170.5</v>
      </c>
      <c r="C243">
        <v>170.5</v>
      </c>
    </row>
    <row r="244" spans="1:3" x14ac:dyDescent="0.25">
      <c r="A244" s="1">
        <v>36707</v>
      </c>
      <c r="B244">
        <v>171.1</v>
      </c>
      <c r="C244">
        <v>171.1</v>
      </c>
    </row>
    <row r="245" spans="1:3" x14ac:dyDescent="0.25">
      <c r="A245" s="1">
        <v>36677</v>
      </c>
      <c r="B245">
        <v>170.7</v>
      </c>
      <c r="C245">
        <v>170.7</v>
      </c>
    </row>
    <row r="246" spans="1:3" x14ac:dyDescent="0.25">
      <c r="A246" s="1">
        <v>36646</v>
      </c>
      <c r="B246">
        <v>170.1</v>
      </c>
      <c r="C246">
        <v>170.1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5"/>
  <sheetViews>
    <sheetView workbookViewId="0">
      <selection activeCell="M4" sqref="M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5.5703125" bestFit="1" customWidth="1"/>
    <col min="5" max="5" width="16.140625" customWidth="1"/>
    <col min="6" max="6" width="16.42578125" customWidth="1"/>
    <col min="7" max="7" width="8.42578125" customWidth="1"/>
    <col min="8" max="8" width="3.85546875" customWidth="1"/>
    <col min="9" max="9" width="14" customWidth="1"/>
    <col min="10" max="10" width="11.7109375" customWidth="1"/>
    <col min="13" max="13" width="11.42578125" customWidth="1"/>
  </cols>
  <sheetData>
    <row r="2" spans="1:14" x14ac:dyDescent="0.25">
      <c r="A2" s="13"/>
      <c r="B2" s="13"/>
      <c r="C2" s="13"/>
    </row>
    <row r="3" spans="1:14" x14ac:dyDescent="0.25">
      <c r="A3" s="13"/>
      <c r="B3" s="13"/>
      <c r="C3" s="13"/>
    </row>
    <row r="4" spans="1:14" x14ac:dyDescent="0.25">
      <c r="A4" s="13"/>
      <c r="B4" s="13"/>
      <c r="C4" s="13"/>
      <c r="I4" s="7" t="s">
        <v>32</v>
      </c>
      <c r="J4" s="8"/>
      <c r="K4" s="8"/>
      <c r="L4" s="8"/>
      <c r="M4" s="7" t="s">
        <v>24</v>
      </c>
      <c r="N4" s="8"/>
    </row>
    <row r="5" spans="1:14" x14ac:dyDescent="0.25">
      <c r="B5" s="13"/>
      <c r="C5" s="13"/>
      <c r="I5" s="8" t="s">
        <v>9</v>
      </c>
      <c r="J5" s="8" t="s">
        <v>20</v>
      </c>
      <c r="K5" s="8"/>
      <c r="L5" s="8"/>
      <c r="M5" s="8"/>
      <c r="N5" s="8"/>
    </row>
    <row r="6" spans="1:14" x14ac:dyDescent="0.25">
      <c r="A6" s="13"/>
      <c r="B6" s="13"/>
      <c r="C6" s="13"/>
      <c r="E6" s="14">
        <v>43921</v>
      </c>
      <c r="F6" s="15">
        <v>0.01</v>
      </c>
      <c r="I6" s="8" t="s">
        <v>14</v>
      </c>
      <c r="J6" s="8" t="s">
        <v>31</v>
      </c>
      <c r="K6" s="8"/>
      <c r="L6" s="8"/>
      <c r="M6" s="9">
        <v>43921</v>
      </c>
      <c r="N6" s="8">
        <f t="array" aca="1" ref="N6:N9" ca="1">_xll.meLWOFixingTableValuesLVB(I11,I6:J8,M6:M9)</f>
        <v>0.01</v>
      </c>
    </row>
    <row r="7" spans="1:14" x14ac:dyDescent="0.25">
      <c r="A7" s="13"/>
      <c r="B7" s="13"/>
      <c r="C7" s="13"/>
      <c r="E7" s="14">
        <v>43890</v>
      </c>
      <c r="F7" s="15">
        <v>0.02</v>
      </c>
      <c r="I7" s="8" t="s">
        <v>11</v>
      </c>
      <c r="J7" s="8" t="s">
        <v>21</v>
      </c>
      <c r="K7" s="8"/>
      <c r="L7" s="8"/>
      <c r="M7" s="9">
        <v>43890</v>
      </c>
      <c r="N7" s="8">
        <f ca="1"/>
        <v>0.02</v>
      </c>
    </row>
    <row r="8" spans="1:14" x14ac:dyDescent="0.25">
      <c r="A8" s="13"/>
      <c r="B8" s="13"/>
      <c r="C8" s="13"/>
      <c r="E8" s="14">
        <v>43861</v>
      </c>
      <c r="F8" s="15">
        <v>0.03</v>
      </c>
      <c r="I8" s="8" t="s">
        <v>23</v>
      </c>
      <c r="J8" s="8" t="s">
        <v>22</v>
      </c>
      <c r="K8" s="8"/>
      <c r="L8" s="8"/>
      <c r="M8" s="9">
        <v>43861</v>
      </c>
      <c r="N8" s="8">
        <f ca="1"/>
        <v>0.03</v>
      </c>
    </row>
    <row r="9" spans="1:14" x14ac:dyDescent="0.25">
      <c r="A9" s="13"/>
      <c r="B9" s="13"/>
      <c r="C9" s="13"/>
      <c r="E9" s="14">
        <v>43830</v>
      </c>
      <c r="F9" s="15">
        <v>0.04</v>
      </c>
      <c r="I9" s="8"/>
      <c r="J9" s="8"/>
      <c r="K9" s="8"/>
      <c r="L9" s="8"/>
      <c r="M9" s="9">
        <v>43830</v>
      </c>
      <c r="N9" s="8">
        <f ca="1"/>
        <v>0.04</v>
      </c>
    </row>
    <row r="10" spans="1:14" x14ac:dyDescent="0.25">
      <c r="A10" s="13"/>
      <c r="B10" s="13"/>
      <c r="C10" s="13"/>
      <c r="I10" s="8"/>
      <c r="J10" s="8"/>
      <c r="K10" s="8"/>
      <c r="L10" s="8"/>
      <c r="M10" s="8"/>
      <c r="N10" s="8"/>
    </row>
    <row r="11" spans="1:14" x14ac:dyDescent="0.25">
      <c r="A11" s="13"/>
      <c r="B11" s="13"/>
      <c r="C11" s="13"/>
      <c r="I11" s="3" t="str">
        <f ca="1">_xll.meLWOFixingTableCreateFromLVB(J5,I6:J8,E6:E9,F6:F9)</f>
        <v>USD_3M_FIXINGS@4:0</v>
      </c>
      <c r="J11" s="8"/>
      <c r="K11" s="8"/>
      <c r="L11" s="8"/>
      <c r="M11" s="8"/>
      <c r="N11" s="8"/>
    </row>
    <row r="12" spans="1:14" x14ac:dyDescent="0.25">
      <c r="A12" s="13"/>
      <c r="B12" s="13"/>
      <c r="C12" s="13"/>
      <c r="I12" s="8"/>
      <c r="J12" s="8"/>
      <c r="K12" s="8"/>
      <c r="L12" s="8"/>
      <c r="M12" s="8"/>
      <c r="N12" s="8"/>
    </row>
    <row r="13" spans="1:14" x14ac:dyDescent="0.25">
      <c r="A13" s="13"/>
      <c r="B13" s="13"/>
      <c r="C13" s="13"/>
      <c r="I13" s="8"/>
      <c r="J13" s="8"/>
      <c r="K13" s="8"/>
      <c r="L13" s="8"/>
      <c r="M13" s="8"/>
      <c r="N13" s="8"/>
    </row>
    <row r="14" spans="1:14" x14ac:dyDescent="0.25">
      <c r="A14" s="13"/>
      <c r="B14" s="13"/>
      <c r="C14" s="13"/>
      <c r="I14" s="8"/>
      <c r="J14" s="8"/>
      <c r="K14" s="8"/>
      <c r="L14" s="8"/>
      <c r="M14" s="8"/>
      <c r="N14" s="8"/>
    </row>
    <row r="15" spans="1:14" x14ac:dyDescent="0.25">
      <c r="B15" s="1"/>
      <c r="I15" s="8"/>
      <c r="J15" s="8"/>
      <c r="K15" s="8"/>
      <c r="L15" s="8"/>
      <c r="M15" s="8"/>
      <c r="N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14"/>
  <sheetViews>
    <sheetView workbookViewId="0">
      <selection activeCell="I12" sqref="I12"/>
    </sheetView>
  </sheetViews>
  <sheetFormatPr defaultRowHeight="15" x14ac:dyDescent="0.25"/>
  <cols>
    <col min="1" max="1" width="12.5703125" customWidth="1"/>
    <col min="5" max="5" width="12" customWidth="1"/>
    <col min="9" max="9" width="11" customWidth="1"/>
    <col min="10" max="10" width="10.42578125" customWidth="1"/>
    <col min="13" max="13" width="13.7109375" customWidth="1"/>
    <col min="14" max="14" width="9.7109375" customWidth="1"/>
  </cols>
  <sheetData>
    <row r="4" spans="1:15" x14ac:dyDescent="0.25">
      <c r="A4" s="13"/>
      <c r="B4" s="13"/>
      <c r="I4" s="10" t="s">
        <v>25</v>
      </c>
      <c r="J4" s="11"/>
      <c r="K4" s="11"/>
      <c r="L4" s="11"/>
      <c r="M4" s="10" t="s">
        <v>30</v>
      </c>
      <c r="N4" s="11"/>
    </row>
    <row r="5" spans="1:15" x14ac:dyDescent="0.25">
      <c r="A5" s="13"/>
      <c r="B5" s="13"/>
      <c r="I5" s="11" t="s">
        <v>9</v>
      </c>
      <c r="J5" s="11" t="s">
        <v>26</v>
      </c>
      <c r="K5" s="11"/>
      <c r="L5" s="11"/>
      <c r="M5" s="11"/>
      <c r="N5" s="11"/>
      <c r="O5" s="13"/>
    </row>
    <row r="6" spans="1:15" x14ac:dyDescent="0.25">
      <c r="A6" s="13"/>
      <c r="B6" s="13"/>
      <c r="E6" s="12">
        <v>43921</v>
      </c>
      <c r="F6" s="16">
        <v>0.92</v>
      </c>
      <c r="I6" s="11" t="s">
        <v>14</v>
      </c>
      <c r="J6" s="11" t="s">
        <v>27</v>
      </c>
      <c r="K6" s="11"/>
      <c r="L6" s="11"/>
      <c r="M6" s="12">
        <v>43921</v>
      </c>
      <c r="N6" s="11">
        <f t="array" aca="1" ref="N6:N9" ca="1">_xll.meLWOFixingTableValuesLVB(I11,I6:J7,M6:M9)</f>
        <v>0.92</v>
      </c>
      <c r="O6" s="13"/>
    </row>
    <row r="7" spans="1:15" x14ac:dyDescent="0.25">
      <c r="A7" s="13"/>
      <c r="B7" s="13"/>
      <c r="E7" s="12">
        <v>43890</v>
      </c>
      <c r="F7" s="16">
        <v>0.91</v>
      </c>
      <c r="I7" s="11" t="s">
        <v>28</v>
      </c>
      <c r="J7" s="11" t="s">
        <v>29</v>
      </c>
      <c r="K7" s="11"/>
      <c r="L7" s="11"/>
      <c r="M7" s="12">
        <v>43890</v>
      </c>
      <c r="N7" s="11">
        <f ca="1"/>
        <v>0.91</v>
      </c>
      <c r="O7" s="13"/>
    </row>
    <row r="8" spans="1:15" x14ac:dyDescent="0.25">
      <c r="A8" s="13"/>
      <c r="B8" s="13"/>
      <c r="E8" s="12">
        <v>43861</v>
      </c>
      <c r="F8" s="16">
        <v>0.9</v>
      </c>
      <c r="I8" s="11"/>
      <c r="J8" s="11"/>
      <c r="K8" s="11"/>
      <c r="L8" s="11"/>
      <c r="M8" s="12">
        <v>43861</v>
      </c>
      <c r="N8" s="11">
        <f ca="1"/>
        <v>0.9</v>
      </c>
      <c r="O8" s="13"/>
    </row>
    <row r="9" spans="1:15" x14ac:dyDescent="0.25">
      <c r="A9" s="13"/>
      <c r="B9" s="13"/>
      <c r="E9" s="12">
        <v>43830</v>
      </c>
      <c r="F9" s="16">
        <v>0.89</v>
      </c>
      <c r="I9" s="11"/>
      <c r="J9" s="11"/>
      <c r="K9" s="11"/>
      <c r="L9" s="11"/>
      <c r="M9" s="12">
        <v>43830</v>
      </c>
      <c r="N9" s="11">
        <f ca="1"/>
        <v>0.89</v>
      </c>
      <c r="O9" s="13"/>
    </row>
    <row r="10" spans="1:15" x14ac:dyDescent="0.25">
      <c r="A10" s="13"/>
      <c r="B10" s="13"/>
      <c r="I10" s="11"/>
      <c r="J10" s="11"/>
      <c r="K10" s="11"/>
      <c r="L10" s="11"/>
      <c r="M10" s="11"/>
      <c r="N10" s="11"/>
      <c r="O10" s="13"/>
    </row>
    <row r="11" spans="1:15" x14ac:dyDescent="0.25">
      <c r="A11" s="13"/>
      <c r="B11" s="13"/>
      <c r="I11" s="3" t="str">
        <f ca="1">_xll.meLWOFixingTableCreateFromLVB(J5,I6:J7,E6:E9,F6:F9)</f>
        <v>USDEUR_FIXINGS@5:1</v>
      </c>
      <c r="J11" s="11"/>
      <c r="K11" s="11"/>
      <c r="L11" s="11"/>
      <c r="M11" s="11"/>
      <c r="N11" s="11"/>
      <c r="O11" s="13"/>
    </row>
    <row r="12" spans="1:15" x14ac:dyDescent="0.25">
      <c r="I12" s="11"/>
      <c r="J12" s="11"/>
      <c r="K12" s="11"/>
      <c r="L12" s="11"/>
      <c r="M12" s="11"/>
      <c r="N12" s="11"/>
    </row>
    <row r="13" spans="1:15" x14ac:dyDescent="0.25">
      <c r="I13" s="11"/>
      <c r="J13" s="11"/>
      <c r="K13" s="11"/>
      <c r="L13" s="11"/>
      <c r="M13" s="11"/>
      <c r="N13" s="11"/>
    </row>
    <row r="14" spans="1:15" x14ac:dyDescent="0.25">
      <c r="I14" s="11"/>
      <c r="J14" s="11"/>
      <c r="K14" s="11"/>
      <c r="L14" s="11"/>
      <c r="M14" s="11"/>
      <c r="N14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Inflation Fixings</vt:lpstr>
      <vt:lpstr>InterestRate</vt:lpstr>
      <vt:lpstr>FX fixings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Castleton Ian</cp:lastModifiedBy>
  <dcterms:created xsi:type="dcterms:W3CDTF">2013-04-03T15:49:21Z</dcterms:created>
  <dcterms:modified xsi:type="dcterms:W3CDTF">2020-05-11T16:34:00Z</dcterms:modified>
</cp:coreProperties>
</file>