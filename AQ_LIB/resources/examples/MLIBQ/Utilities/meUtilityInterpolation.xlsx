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LIB\MLIBQ_DEV1\resource\examples\MLIBQ\Utilities\"/>
    </mc:Choice>
  </mc:AlternateContent>
  <bookViews>
    <workbookView xWindow="0" yWindow="0" windowWidth="28800" windowHeight="14685" activeTab="1"/>
  </bookViews>
  <sheets>
    <sheet name="Interpolation" sheetId="2" r:id="rId1"/>
    <sheet name="Piecewise-Constan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R7" i="2"/>
  <c r="R6" i="2"/>
  <c r="R5" i="2"/>
  <c r="R9" i="2"/>
  <c r="R8" i="2"/>
  <c r="O9" i="2"/>
  <c r="O6" i="2"/>
  <c r="O5" i="2"/>
  <c r="O7" i="2"/>
  <c r="O8" i="2"/>
  <c r="L7" i="2"/>
  <c r="L9" i="2"/>
  <c r="L6" i="2"/>
  <c r="L8" i="2"/>
  <c r="L5" i="2"/>
  <c r="I8" i="2"/>
  <c r="I7" i="2"/>
  <c r="I5" i="2"/>
  <c r="I9" i="2"/>
  <c r="I6" i="2"/>
  <c r="F6" i="2"/>
  <c r="F7" i="2"/>
  <c r="F8" i="2"/>
  <c r="F9" i="2"/>
  <c r="F5" i="2"/>
  <c r="C3" i="1" l="1"/>
  <c r="C4" i="1"/>
  <c r="C5" i="1"/>
  <c r="G26" i="1"/>
  <c r="J12" i="1"/>
  <c r="G13" i="1"/>
  <c r="G9" i="1"/>
  <c r="J5" i="1"/>
  <c r="J18" i="1"/>
  <c r="G18" i="1"/>
  <c r="J15" i="1"/>
  <c r="J25" i="1"/>
  <c r="G22" i="1"/>
  <c r="G21" i="1"/>
  <c r="J9" i="1"/>
  <c r="G23" i="1"/>
  <c r="J24" i="1"/>
  <c r="J14" i="1"/>
  <c r="G20" i="1"/>
  <c r="J4" i="1"/>
  <c r="G25" i="1"/>
  <c r="J22" i="1"/>
  <c r="J16" i="1"/>
  <c r="J26" i="1"/>
  <c r="G24" i="1"/>
  <c r="G12" i="1"/>
  <c r="J6" i="1"/>
  <c r="G14" i="1"/>
  <c r="G16" i="1"/>
  <c r="J10" i="1"/>
  <c r="G6" i="1"/>
  <c r="G10" i="1"/>
  <c r="G5" i="1"/>
  <c r="J7" i="1"/>
  <c r="J17" i="1"/>
  <c r="G7" i="1"/>
  <c r="J13" i="1"/>
  <c r="J19" i="1"/>
  <c r="G4" i="1"/>
  <c r="G8" i="1"/>
  <c r="G15" i="1"/>
  <c r="J20" i="1"/>
  <c r="G11" i="1"/>
  <c r="J23" i="1"/>
  <c r="J21" i="1"/>
  <c r="G19" i="1"/>
  <c r="J11" i="1"/>
  <c r="J8" i="1"/>
  <c r="G17" i="1"/>
</calcChain>
</file>

<file path=xl/sharedStrings.xml><?xml version="1.0" encoding="utf-8"?>
<sst xmlns="http://schemas.openxmlformats.org/spreadsheetml/2006/main" count="25" uniqueCount="9">
  <si>
    <t>Left_Continuous</t>
  </si>
  <si>
    <t>Right_Continuous</t>
  </si>
  <si>
    <t>X-Value</t>
  </si>
  <si>
    <t>Y-Value</t>
  </si>
  <si>
    <t>X</t>
  </si>
  <si>
    <t>Y</t>
  </si>
  <si>
    <t>Linear</t>
  </si>
  <si>
    <t>Spline</t>
  </si>
  <si>
    <t>LinearWithFlatExtrapolation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</si>
</sst>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/>
    <xf numFmtId="4" fontId="0" fillId="0" borderId="0" xfId="0" applyNumberFormat="1" applyFill="1" applyAlignment="1">
      <alignment horizontal="center" vertical="center"/>
    </xf>
    <xf numFmtId="3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/>
    <xf numFmtId="0" fontId="1" fillId="0" borderId="0" xfId="0" applyFont="1" applyFill="1" applyAlignment="1">
      <alignment horizontal="center" vertical="center"/>
    </xf>
    <xf numFmtId="3" fontId="1" fillId="0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LEFT_CONTINUOUS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'Piecewise-Constant'!$F$4:$F$26</c:f>
              <c:numCache>
                <c:formatCode>#,##0.00</c:formatCode>
                <c:ptCount val="23"/>
                <c:pt idx="0">
                  <c:v>1.99</c:v>
                </c:pt>
                <c:pt idx="1">
                  <c:v>2</c:v>
                </c:pt>
                <c:pt idx="2">
                  <c:v>2.0099999999999998</c:v>
                </c:pt>
                <c:pt idx="3">
                  <c:v>2.2000000000000002</c:v>
                </c:pt>
                <c:pt idx="4">
                  <c:v>2.3000000000000003</c:v>
                </c:pt>
                <c:pt idx="5">
                  <c:v>2.4000000000000004</c:v>
                </c:pt>
                <c:pt idx="6">
                  <c:v>2.5000000000000004</c:v>
                </c:pt>
                <c:pt idx="7">
                  <c:v>2.6000000000000005</c:v>
                </c:pt>
                <c:pt idx="8">
                  <c:v>2.7000000000000006</c:v>
                </c:pt>
                <c:pt idx="9">
                  <c:v>2.8000000000000007</c:v>
                </c:pt>
                <c:pt idx="10">
                  <c:v>2.99</c:v>
                </c:pt>
                <c:pt idx="11">
                  <c:v>3.0000000000000009</c:v>
                </c:pt>
                <c:pt idx="12">
                  <c:v>3.100000000000001</c:v>
                </c:pt>
                <c:pt idx="13">
                  <c:v>3.2000000000000011</c:v>
                </c:pt>
                <c:pt idx="14">
                  <c:v>3.3000000000000012</c:v>
                </c:pt>
                <c:pt idx="15">
                  <c:v>3.4000000000000012</c:v>
                </c:pt>
                <c:pt idx="16">
                  <c:v>3.5000000000000013</c:v>
                </c:pt>
                <c:pt idx="17">
                  <c:v>3.6000000000000014</c:v>
                </c:pt>
                <c:pt idx="18">
                  <c:v>3.7000000000000015</c:v>
                </c:pt>
                <c:pt idx="19">
                  <c:v>3.8000000000000016</c:v>
                </c:pt>
                <c:pt idx="20">
                  <c:v>3.99</c:v>
                </c:pt>
                <c:pt idx="21">
                  <c:v>4.0000000000000018</c:v>
                </c:pt>
                <c:pt idx="22">
                  <c:v>4.0999999999999996</c:v>
                </c:pt>
              </c:numCache>
            </c:numRef>
          </c:xVal>
          <c:yVal>
            <c:numRef>
              <c:f>'Piecewise-Constant'!$G$4:$G$26</c:f>
              <c:numCache>
                <c:formatCode>#,##0</c:formatCode>
                <c:ptCount val="23"/>
                <c:pt idx="0">
                  <c:v>20</c:v>
                </c:pt>
                <c:pt idx="1">
                  <c:v>20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AF-4240-B67B-B48316E6E80D}"/>
            </c:ext>
          </c:extLst>
        </c:ser>
        <c:ser>
          <c:idx val="1"/>
          <c:order val="1"/>
          <c:marker>
            <c:symbol val="circle"/>
            <c:size val="5"/>
            <c:spPr>
              <a:ln w="25400"/>
            </c:spPr>
          </c:marker>
          <c:xVal>
            <c:numRef>
              <c:f>'Piecewise-Constant'!$F$4:$F$26</c:f>
              <c:numCache>
                <c:formatCode>#,##0.00</c:formatCode>
                <c:ptCount val="23"/>
                <c:pt idx="0">
                  <c:v>1.99</c:v>
                </c:pt>
                <c:pt idx="1">
                  <c:v>2</c:v>
                </c:pt>
                <c:pt idx="2">
                  <c:v>2.0099999999999998</c:v>
                </c:pt>
                <c:pt idx="3">
                  <c:v>2.2000000000000002</c:v>
                </c:pt>
                <c:pt idx="4">
                  <c:v>2.3000000000000003</c:v>
                </c:pt>
                <c:pt idx="5">
                  <c:v>2.4000000000000004</c:v>
                </c:pt>
                <c:pt idx="6">
                  <c:v>2.5000000000000004</c:v>
                </c:pt>
                <c:pt idx="7">
                  <c:v>2.6000000000000005</c:v>
                </c:pt>
                <c:pt idx="8">
                  <c:v>2.7000000000000006</c:v>
                </c:pt>
                <c:pt idx="9">
                  <c:v>2.8000000000000007</c:v>
                </c:pt>
                <c:pt idx="10">
                  <c:v>2.99</c:v>
                </c:pt>
                <c:pt idx="11">
                  <c:v>3.0000000000000009</c:v>
                </c:pt>
                <c:pt idx="12">
                  <c:v>3.100000000000001</c:v>
                </c:pt>
                <c:pt idx="13">
                  <c:v>3.2000000000000011</c:v>
                </c:pt>
                <c:pt idx="14">
                  <c:v>3.3000000000000012</c:v>
                </c:pt>
                <c:pt idx="15">
                  <c:v>3.4000000000000012</c:v>
                </c:pt>
                <c:pt idx="16">
                  <c:v>3.5000000000000013</c:v>
                </c:pt>
                <c:pt idx="17">
                  <c:v>3.6000000000000014</c:v>
                </c:pt>
                <c:pt idx="18">
                  <c:v>3.7000000000000015</c:v>
                </c:pt>
                <c:pt idx="19">
                  <c:v>3.8000000000000016</c:v>
                </c:pt>
                <c:pt idx="20">
                  <c:v>3.99</c:v>
                </c:pt>
                <c:pt idx="21">
                  <c:v>4.0000000000000018</c:v>
                </c:pt>
                <c:pt idx="22">
                  <c:v>4.0999999999999996</c:v>
                </c:pt>
              </c:numCache>
            </c:numRef>
          </c:xVal>
          <c:yVal>
            <c:numRef>
              <c:f>'Piecewise-Constant'!$E$4:$E$25</c:f>
              <c:numCache>
                <c:formatCode>#,##0</c:formatCode>
                <c:ptCount val="22"/>
                <c:pt idx="1">
                  <c:v>20</c:v>
                </c:pt>
                <c:pt idx="11">
                  <c:v>30</c:v>
                </c:pt>
                <c:pt idx="2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8AF-4240-B67B-B48316E6E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678064"/>
        <c:axId val="233667248"/>
      </c:scatterChart>
      <c:valAx>
        <c:axId val="233678064"/>
        <c:scaling>
          <c:orientation val="minMax"/>
          <c:max val="4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667248"/>
        <c:crosses val="autoZero"/>
        <c:crossBetween val="midCat"/>
      </c:valAx>
      <c:valAx>
        <c:axId val="233667248"/>
        <c:scaling>
          <c:orientation val="minMax"/>
          <c:max val="4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67806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RIGHT_CONTINUOUS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'Piecewise-Constant'!$I$4:$I$26</c:f>
              <c:numCache>
                <c:formatCode>#,##0.00</c:formatCode>
                <c:ptCount val="23"/>
                <c:pt idx="0">
                  <c:v>1.99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2.3000000000000003</c:v>
                </c:pt>
                <c:pt idx="5">
                  <c:v>2.4000000000000004</c:v>
                </c:pt>
                <c:pt idx="6">
                  <c:v>2.5000000000000004</c:v>
                </c:pt>
                <c:pt idx="7">
                  <c:v>2.6000000000000005</c:v>
                </c:pt>
                <c:pt idx="8">
                  <c:v>2.7000000000000006</c:v>
                </c:pt>
                <c:pt idx="9">
                  <c:v>2.8000000000000007</c:v>
                </c:pt>
                <c:pt idx="10">
                  <c:v>2.99</c:v>
                </c:pt>
                <c:pt idx="11">
                  <c:v>3.0000000000000009</c:v>
                </c:pt>
                <c:pt idx="12">
                  <c:v>3.100000000000001</c:v>
                </c:pt>
                <c:pt idx="13">
                  <c:v>3.2000000000000011</c:v>
                </c:pt>
                <c:pt idx="14">
                  <c:v>3.3000000000000012</c:v>
                </c:pt>
                <c:pt idx="15">
                  <c:v>3.4000000000000012</c:v>
                </c:pt>
                <c:pt idx="16">
                  <c:v>3.5000000000000013</c:v>
                </c:pt>
                <c:pt idx="17">
                  <c:v>3.6000000000000014</c:v>
                </c:pt>
                <c:pt idx="18">
                  <c:v>3.7000000000000015</c:v>
                </c:pt>
                <c:pt idx="19">
                  <c:v>3.8000000000000016</c:v>
                </c:pt>
                <c:pt idx="20">
                  <c:v>3.99</c:v>
                </c:pt>
                <c:pt idx="21">
                  <c:v>4.0000000000000018</c:v>
                </c:pt>
                <c:pt idx="22">
                  <c:v>4.0999999999999996</c:v>
                </c:pt>
              </c:numCache>
            </c:numRef>
          </c:xVal>
          <c:yVal>
            <c:numRef>
              <c:f>'Piecewise-Constant'!$J$4:$J$26</c:f>
              <c:numCache>
                <c:formatCode>#,##0</c:formatCode>
                <c:ptCount val="2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40</c:v>
                </c:pt>
                <c:pt idx="22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9B-4758-8F68-59655DE29241}"/>
            </c:ext>
          </c:extLst>
        </c:ser>
        <c:ser>
          <c:idx val="1"/>
          <c:order val="1"/>
          <c:marker>
            <c:symbol val="circle"/>
            <c:size val="5"/>
            <c:spPr>
              <a:ln w="25400"/>
            </c:spPr>
          </c:marker>
          <c:xVal>
            <c:numRef>
              <c:f>'Piecewise-Constant'!$F$4:$F$26</c:f>
              <c:numCache>
                <c:formatCode>#,##0.00</c:formatCode>
                <c:ptCount val="23"/>
                <c:pt idx="0">
                  <c:v>1.99</c:v>
                </c:pt>
                <c:pt idx="1">
                  <c:v>2</c:v>
                </c:pt>
                <c:pt idx="2">
                  <c:v>2.0099999999999998</c:v>
                </c:pt>
                <c:pt idx="3">
                  <c:v>2.2000000000000002</c:v>
                </c:pt>
                <c:pt idx="4">
                  <c:v>2.3000000000000003</c:v>
                </c:pt>
                <c:pt idx="5">
                  <c:v>2.4000000000000004</c:v>
                </c:pt>
                <c:pt idx="6">
                  <c:v>2.5000000000000004</c:v>
                </c:pt>
                <c:pt idx="7">
                  <c:v>2.6000000000000005</c:v>
                </c:pt>
                <c:pt idx="8">
                  <c:v>2.7000000000000006</c:v>
                </c:pt>
                <c:pt idx="9">
                  <c:v>2.8000000000000007</c:v>
                </c:pt>
                <c:pt idx="10">
                  <c:v>2.99</c:v>
                </c:pt>
                <c:pt idx="11">
                  <c:v>3.0000000000000009</c:v>
                </c:pt>
                <c:pt idx="12">
                  <c:v>3.100000000000001</c:v>
                </c:pt>
                <c:pt idx="13">
                  <c:v>3.2000000000000011</c:v>
                </c:pt>
                <c:pt idx="14">
                  <c:v>3.3000000000000012</c:v>
                </c:pt>
                <c:pt idx="15">
                  <c:v>3.4000000000000012</c:v>
                </c:pt>
                <c:pt idx="16">
                  <c:v>3.5000000000000013</c:v>
                </c:pt>
                <c:pt idx="17">
                  <c:v>3.6000000000000014</c:v>
                </c:pt>
                <c:pt idx="18">
                  <c:v>3.7000000000000015</c:v>
                </c:pt>
                <c:pt idx="19">
                  <c:v>3.8000000000000016</c:v>
                </c:pt>
                <c:pt idx="20">
                  <c:v>3.99</c:v>
                </c:pt>
                <c:pt idx="21">
                  <c:v>4.0000000000000018</c:v>
                </c:pt>
                <c:pt idx="22">
                  <c:v>4.0999999999999996</c:v>
                </c:pt>
              </c:numCache>
            </c:numRef>
          </c:xVal>
          <c:yVal>
            <c:numRef>
              <c:f>'Piecewise-Constant'!$E$4:$E$26</c:f>
              <c:numCache>
                <c:formatCode>#,##0</c:formatCode>
                <c:ptCount val="23"/>
                <c:pt idx="1">
                  <c:v>20</c:v>
                </c:pt>
                <c:pt idx="11">
                  <c:v>30</c:v>
                </c:pt>
                <c:pt idx="2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9B-4758-8F68-59655DE29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678064"/>
        <c:axId val="233667248"/>
      </c:scatterChart>
      <c:valAx>
        <c:axId val="233678064"/>
        <c:scaling>
          <c:orientation val="minMax"/>
          <c:max val="4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667248"/>
        <c:crosses val="autoZero"/>
        <c:crossBetween val="midCat"/>
      </c:valAx>
      <c:valAx>
        <c:axId val="233667248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67806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323850</xdr:colOff>
      <xdr:row>2</xdr:row>
      <xdr:rowOff>80962</xdr:rowOff>
    </xdr:from>
    <xdr:to>
      <xdr:col>19</xdr:col>
      <xdr:colOff>19050</xdr:colOff>
      <xdr:row>16</xdr:row>
      <xdr:rowOff>157162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342900</xdr:colOff>
      <xdr:row>18</xdr:row>
      <xdr:rowOff>161925</xdr:rowOff>
    </xdr:from>
    <xdr:to>
      <xdr:col>19</xdr:col>
      <xdr:colOff>38100</xdr:colOff>
      <xdr:row>33</xdr:row>
      <xdr:rowOff>47625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0</xdr:colOff>
      <xdr:row>2</xdr:row>
      <xdr:rowOff>0</xdr:rowOff>
    </xdr:from>
    <xdr:to>
      <xdr:col>26</xdr:col>
      <xdr:colOff>229057</xdr:colOff>
      <xdr:row>13</xdr:row>
      <xdr:rowOff>86029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381000"/>
          <a:ext cx="3277057" cy="21815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12"/>
  <sheetViews>
    <sheetView workbookViewId="0"/>
  </sheetViews>
  <sheetFormatPr defaultRowHeight="15" x14ac:dyDescent="0.25"/>
  <cols>
    <col min="1" max="16384" width="9.140625" style="5"/>
  </cols>
  <sheetData>
    <row r="2" spans="2:18" x14ac:dyDescent="0.25">
      <c r="B2" s="9" t="s">
        <v>2</v>
      </c>
      <c r="C2" s="9" t="s">
        <v>3</v>
      </c>
      <c r="E2" s="11" t="s">
        <v>6</v>
      </c>
      <c r="F2" s="10"/>
      <c r="G2" s="10"/>
      <c r="H2" s="11" t="s">
        <v>7</v>
      </c>
      <c r="I2" s="10"/>
      <c r="J2" s="10"/>
      <c r="K2" s="11" t="s">
        <v>0</v>
      </c>
      <c r="L2" s="10"/>
      <c r="M2" s="10"/>
      <c r="N2" s="11" t="s">
        <v>1</v>
      </c>
      <c r="Q2" s="11" t="s">
        <v>8</v>
      </c>
      <c r="R2" s="10"/>
    </row>
    <row r="3" spans="2:18" x14ac:dyDescent="0.25">
      <c r="B3" s="5">
        <v>2</v>
      </c>
      <c r="C3" s="5">
        <f t="shared" ref="C3:C9" si="0">B3*B3+10</f>
        <v>14</v>
      </c>
    </row>
    <row r="4" spans="2:18" x14ac:dyDescent="0.25">
      <c r="B4" s="5">
        <v>3</v>
      </c>
      <c r="C4" s="5">
        <f t="shared" si="0"/>
        <v>19</v>
      </c>
      <c r="E4" s="5" t="s">
        <v>2</v>
      </c>
      <c r="F4" s="5" t="s">
        <v>3</v>
      </c>
      <c r="H4" s="5" t="s">
        <v>2</v>
      </c>
      <c r="I4" s="5" t="s">
        <v>3</v>
      </c>
      <c r="K4" s="5" t="s">
        <v>2</v>
      </c>
      <c r="L4" s="5" t="s">
        <v>3</v>
      </c>
      <c r="N4" s="5" t="s">
        <v>2</v>
      </c>
      <c r="O4" s="5" t="s">
        <v>3</v>
      </c>
      <c r="Q4" s="5" t="s">
        <v>2</v>
      </c>
      <c r="R4" s="5" t="s">
        <v>3</v>
      </c>
    </row>
    <row r="5" spans="2:18" x14ac:dyDescent="0.25">
      <c r="B5" s="5">
        <v>4</v>
      </c>
      <c r="C5" s="5">
        <f t="shared" si="0"/>
        <v>26</v>
      </c>
      <c r="E5" s="5">
        <v>1</v>
      </c>
      <c r="F5" s="12">
        <f ca="1">_xll.meUtilityInterpolation($B$3:$B$9,$C$3:$C$9,E5,E$2)</f>
        <v>9</v>
      </c>
      <c r="H5" s="5">
        <v>1</v>
      </c>
      <c r="I5" s="12">
        <f ca="1">_xll.meUtilityInterpolation($B$3:$B$9,$C$3:$C$9,H5,H$2)</f>
        <v>9</v>
      </c>
      <c r="K5" s="5">
        <v>1</v>
      </c>
      <c r="L5" s="12">
        <f ca="1">_xll.meUtilityInterpolation($B$3:$B$9,$C$3:$C$9,K5,K$2)</f>
        <v>14</v>
      </c>
      <c r="N5" s="5">
        <v>1</v>
      </c>
      <c r="O5" s="12">
        <f ca="1">_xll.meUtilityInterpolation($B$3:$B$9,$C$3:$C$9,N5,N$2)</f>
        <v>14</v>
      </c>
      <c r="Q5" s="5">
        <v>1</v>
      </c>
      <c r="R5" s="12">
        <f ca="1">_xll.meUtilityInterpolation($B$3:$B$9,$C$3:$C$9,Q5,Q$2)</f>
        <v>14</v>
      </c>
    </row>
    <row r="6" spans="2:18" x14ac:dyDescent="0.25">
      <c r="B6" s="5">
        <v>6</v>
      </c>
      <c r="C6" s="5">
        <f t="shared" si="0"/>
        <v>46</v>
      </c>
      <c r="E6" s="5">
        <v>2</v>
      </c>
      <c r="F6" s="12">
        <f ca="1">_xll.meUtilityInterpolation($B$3:$B$9,$C$3:$C$9,E6,E$2)</f>
        <v>14</v>
      </c>
      <c r="H6" s="5">
        <v>2</v>
      </c>
      <c r="I6" s="12">
        <f ca="1">_xll.meUtilityInterpolation($B$3:$B$9,$C$3:$C$9,H6,H$2)</f>
        <v>14</v>
      </c>
      <c r="K6" s="5">
        <v>2</v>
      </c>
      <c r="L6" s="12">
        <f ca="1">_xll.meUtilityInterpolation($B$3:$B$9,$C$3:$C$9,K6,K$2)</f>
        <v>14</v>
      </c>
      <c r="N6" s="5">
        <v>2</v>
      </c>
      <c r="O6" s="12">
        <f ca="1">_xll.meUtilityInterpolation($B$3:$B$9,$C$3:$C$9,N6,N$2)</f>
        <v>14</v>
      </c>
      <c r="Q6" s="5">
        <v>2</v>
      </c>
      <c r="R6" s="12">
        <f ca="1">_xll.meUtilityInterpolation($B$3:$B$9,$C$3:$C$9,Q6,Q$2)</f>
        <v>14</v>
      </c>
    </row>
    <row r="7" spans="2:18" x14ac:dyDescent="0.25">
      <c r="B7" s="5">
        <v>7</v>
      </c>
      <c r="C7" s="5">
        <f t="shared" si="0"/>
        <v>59</v>
      </c>
      <c r="E7" s="5">
        <v>5</v>
      </c>
      <c r="F7" s="12">
        <f ca="1">_xll.meUtilityInterpolation($B$3:$B$9,$C$3:$C$9,E7,E$2)</f>
        <v>36</v>
      </c>
      <c r="H7" s="5">
        <v>5</v>
      </c>
      <c r="I7" s="12">
        <f ca="1">_xll.meUtilityInterpolation($B$3:$B$9,$C$3:$C$9,H7,H$2)</f>
        <v>35.010494752623686</v>
      </c>
      <c r="K7" s="5">
        <v>5</v>
      </c>
      <c r="L7" s="12">
        <f ca="1">_xll.meUtilityInterpolation($B$3:$B$9,$C$3:$C$9,K7,K$2)</f>
        <v>46</v>
      </c>
      <c r="N7" s="5">
        <v>5</v>
      </c>
      <c r="O7" s="12">
        <f ca="1">_xll.meUtilityInterpolation($B$3:$B$9,$C$3:$C$9,N7,N$2)</f>
        <v>26</v>
      </c>
      <c r="Q7" s="5">
        <v>5</v>
      </c>
      <c r="R7" s="12">
        <f ca="1">_xll.meUtilityInterpolation($B$3:$B$9,$C$3:$C$9,Q7,Q$2)</f>
        <v>36</v>
      </c>
    </row>
    <row r="8" spans="2:18" x14ac:dyDescent="0.25">
      <c r="B8" s="5">
        <v>8</v>
      </c>
      <c r="C8" s="5">
        <f t="shared" si="0"/>
        <v>74</v>
      </c>
      <c r="E8" s="5">
        <v>8</v>
      </c>
      <c r="F8" s="12">
        <f ca="1">_xll.meUtilityInterpolation($B$3:$B$9,$C$3:$C$9,E8,E$2)</f>
        <v>74</v>
      </c>
      <c r="H8" s="5">
        <v>8</v>
      </c>
      <c r="I8" s="12">
        <f ca="1">_xll.meUtilityInterpolation($B$3:$B$9,$C$3:$C$9,H8,H$2)</f>
        <v>74</v>
      </c>
      <c r="K8" s="5">
        <v>8</v>
      </c>
      <c r="L8" s="12">
        <f ca="1">_xll.meUtilityInterpolation($B$3:$B$9,$C$3:$C$9,K8,K$2)</f>
        <v>74</v>
      </c>
      <c r="N8" s="5">
        <v>8</v>
      </c>
      <c r="O8" s="12">
        <f ca="1">_xll.meUtilityInterpolation($B$3:$B$9,$C$3:$C$9,N8,N$2)</f>
        <v>74</v>
      </c>
      <c r="Q8" s="5">
        <v>8</v>
      </c>
      <c r="R8" s="12">
        <f ca="1">_xll.meUtilityInterpolation($B$3:$B$9,$C$3:$C$9,Q8,Q$2)</f>
        <v>74</v>
      </c>
    </row>
    <row r="9" spans="2:18" x14ac:dyDescent="0.25">
      <c r="B9" s="5">
        <v>10</v>
      </c>
      <c r="C9" s="5">
        <f t="shared" si="0"/>
        <v>110</v>
      </c>
      <c r="E9" s="5">
        <v>10</v>
      </c>
      <c r="F9" s="12">
        <f ca="1">_xll.meUtilityInterpolation($B$3:$B$9,$C$3:$C$9,E9,E$2)</f>
        <v>110</v>
      </c>
      <c r="H9" s="5">
        <v>10</v>
      </c>
      <c r="I9" s="12">
        <f ca="1">_xll.meUtilityInterpolation($B$3:$B$9,$C$3:$C$9,H9,H$2)</f>
        <v>110</v>
      </c>
      <c r="K9" s="5">
        <v>10</v>
      </c>
      <c r="L9" s="12">
        <f ca="1">_xll.meUtilityInterpolation($B$3:$B$9,$C$3:$C$9,K9,K$2)</f>
        <v>110</v>
      </c>
      <c r="N9" s="5">
        <v>10</v>
      </c>
      <c r="O9" s="12">
        <f ca="1">_xll.meUtilityInterpolation($B$3:$B$9,$C$3:$C$9,N9,N$2)</f>
        <v>110</v>
      </c>
      <c r="Q9" s="5">
        <v>10</v>
      </c>
      <c r="R9" s="12">
        <f ca="1">_xll.meUtilityInterpolation($B$3:$B$9,$C$3:$C$9,Q9,Q$2)</f>
        <v>110</v>
      </c>
    </row>
    <row r="11" spans="2:18" x14ac:dyDescent="0.25">
      <c r="F11" s="12"/>
    </row>
    <row r="12" spans="2:18" x14ac:dyDescent="0.25">
      <c r="F12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tabSelected="1" workbookViewId="0"/>
  </sheetViews>
  <sheetFormatPr defaultRowHeight="15" x14ac:dyDescent="0.25"/>
  <cols>
    <col min="5" max="5" width="9.140625" style="9"/>
  </cols>
  <sheetData>
    <row r="1" spans="2:12" x14ac:dyDescent="0.25">
      <c r="B1" s="1"/>
      <c r="C1" s="1"/>
      <c r="D1" s="1"/>
      <c r="E1" s="7"/>
      <c r="F1" s="1"/>
      <c r="G1" s="1"/>
      <c r="H1" s="1"/>
      <c r="I1" s="1"/>
      <c r="J1" s="1"/>
      <c r="K1" s="1"/>
      <c r="L1" s="1"/>
    </row>
    <row r="2" spans="2:12" x14ac:dyDescent="0.25">
      <c r="B2" s="7" t="s">
        <v>2</v>
      </c>
      <c r="C2" s="7" t="s">
        <v>3</v>
      </c>
      <c r="D2" s="4"/>
      <c r="E2" s="7"/>
      <c r="F2" s="6" t="s">
        <v>0</v>
      </c>
      <c r="G2" s="1"/>
      <c r="H2" s="1"/>
      <c r="I2" s="6" t="s">
        <v>1</v>
      </c>
      <c r="J2" s="1"/>
      <c r="K2" s="1"/>
      <c r="L2" s="1"/>
    </row>
    <row r="3" spans="2:12" x14ac:dyDescent="0.25">
      <c r="B3" s="4">
        <v>2</v>
      </c>
      <c r="C3" s="4">
        <f t="shared" ref="C3:C5" si="0">B3*10</f>
        <v>20</v>
      </c>
      <c r="D3" s="4"/>
      <c r="E3" s="7"/>
      <c r="F3" s="5" t="s">
        <v>4</v>
      </c>
      <c r="G3" s="4" t="s">
        <v>5</v>
      </c>
      <c r="H3" s="4"/>
      <c r="I3" s="5" t="s">
        <v>4</v>
      </c>
      <c r="J3" s="4" t="s">
        <v>5</v>
      </c>
      <c r="K3" s="1"/>
      <c r="L3" s="1"/>
    </row>
    <row r="4" spans="2:12" x14ac:dyDescent="0.25">
      <c r="B4" s="4">
        <v>3</v>
      </c>
      <c r="C4" s="4">
        <f t="shared" si="0"/>
        <v>30</v>
      </c>
      <c r="D4" s="4"/>
      <c r="E4" s="7"/>
      <c r="F4" s="2">
        <v>1.99</v>
      </c>
      <c r="G4" s="3">
        <f ca="1">_xll.meUtilityInterpolation($B$3:$B$6,$C$3:$C$6,F4,F$2)</f>
        <v>20</v>
      </c>
      <c r="H4" s="4"/>
      <c r="I4" s="2">
        <v>1.99</v>
      </c>
      <c r="J4" s="3">
        <f ca="1">_xll.meUtilityInterpolation($B$3:$B$6,$C$3:$C$6,I4,I$2)</f>
        <v>20</v>
      </c>
      <c r="K4" s="4"/>
      <c r="L4" s="1"/>
    </row>
    <row r="5" spans="2:12" x14ac:dyDescent="0.25">
      <c r="B5" s="4">
        <v>4</v>
      </c>
      <c r="C5" s="4">
        <f t="shared" si="0"/>
        <v>40</v>
      </c>
      <c r="D5" s="4"/>
      <c r="E5" s="8">
        <v>20</v>
      </c>
      <c r="F5" s="2">
        <v>2</v>
      </c>
      <c r="G5" s="3">
        <f ca="1">_xll.meUtilityInterpolation($B$3:$B$6,$C$3:$C$6,F5,F$2)</f>
        <v>20</v>
      </c>
      <c r="H5" s="4"/>
      <c r="I5" s="2">
        <v>2</v>
      </c>
      <c r="J5" s="3">
        <f ca="1">_xll.meUtilityInterpolation($B$3:$B$6,$C$3:$C$6,I5,I$2)</f>
        <v>20</v>
      </c>
      <c r="K5" s="4"/>
      <c r="L5" s="1"/>
    </row>
    <row r="6" spans="2:12" x14ac:dyDescent="0.25">
      <c r="B6" s="1"/>
      <c r="C6" s="1"/>
      <c r="D6" s="1"/>
      <c r="E6" s="7"/>
      <c r="F6" s="2">
        <v>2.0099999999999998</v>
      </c>
      <c r="G6" s="3">
        <f ca="1">_xll.meUtilityInterpolation($B$3:$B$6,$C$3:$C$6,F6,F$2)</f>
        <v>30</v>
      </c>
      <c r="H6" s="4"/>
      <c r="I6" s="2">
        <v>2.1</v>
      </c>
      <c r="J6" s="3">
        <f ca="1">_xll.meUtilityInterpolation($B$3:$B$6,$C$3:$C$6,I6,I$2)</f>
        <v>20</v>
      </c>
      <c r="K6" s="4"/>
      <c r="L6" s="1"/>
    </row>
    <row r="7" spans="2:12" x14ac:dyDescent="0.25">
      <c r="B7" s="1"/>
      <c r="C7" s="1"/>
      <c r="D7" s="1"/>
      <c r="E7" s="7"/>
      <c r="F7" s="2">
        <v>2.2000000000000002</v>
      </c>
      <c r="G7" s="3">
        <f ca="1">_xll.meUtilityInterpolation($B$3:$B$6,$C$3:$C$6,F7,F$2)</f>
        <v>30</v>
      </c>
      <c r="H7" s="4"/>
      <c r="I7" s="2">
        <v>2.2000000000000002</v>
      </c>
      <c r="J7" s="3">
        <f ca="1">_xll.meUtilityInterpolation($B$3:$B$6,$C$3:$C$6,I7,I$2)</f>
        <v>20</v>
      </c>
      <c r="K7" s="4"/>
      <c r="L7" s="1"/>
    </row>
    <row r="8" spans="2:12" x14ac:dyDescent="0.25">
      <c r="B8" s="1"/>
      <c r="C8" s="1"/>
      <c r="D8" s="1"/>
      <c r="E8" s="7"/>
      <c r="F8" s="2">
        <v>2.3000000000000003</v>
      </c>
      <c r="G8" s="3">
        <f ca="1">_xll.meUtilityInterpolation($B$3:$B$6,$C$3:$C$6,F8,F$2)</f>
        <v>30</v>
      </c>
      <c r="H8" s="4"/>
      <c r="I8" s="2">
        <v>2.3000000000000003</v>
      </c>
      <c r="J8" s="3">
        <f ca="1">_xll.meUtilityInterpolation($B$3:$B$6,$C$3:$C$6,I8,I$2)</f>
        <v>20</v>
      </c>
      <c r="K8" s="4"/>
      <c r="L8" s="1"/>
    </row>
    <row r="9" spans="2:12" x14ac:dyDescent="0.25">
      <c r="B9" s="1"/>
      <c r="C9" s="1"/>
      <c r="D9" s="1"/>
      <c r="E9" s="7"/>
      <c r="F9" s="2">
        <v>2.4000000000000004</v>
      </c>
      <c r="G9" s="3">
        <f ca="1">_xll.meUtilityInterpolation($B$3:$B$6,$C$3:$C$6,F9,F$2)</f>
        <v>30</v>
      </c>
      <c r="H9" s="4"/>
      <c r="I9" s="2">
        <v>2.4000000000000004</v>
      </c>
      <c r="J9" s="3">
        <f ca="1">_xll.meUtilityInterpolation($B$3:$B$6,$C$3:$C$6,I9,I$2)</f>
        <v>20</v>
      </c>
      <c r="K9" s="4"/>
      <c r="L9" s="1"/>
    </row>
    <row r="10" spans="2:12" x14ac:dyDescent="0.25">
      <c r="B10" s="1"/>
      <c r="C10" s="1"/>
      <c r="D10" s="1"/>
      <c r="E10" s="7"/>
      <c r="F10" s="2">
        <v>2.5000000000000004</v>
      </c>
      <c r="G10" s="3">
        <f ca="1">_xll.meUtilityInterpolation($B$3:$B$6,$C$3:$C$6,F10,F$2)</f>
        <v>30</v>
      </c>
      <c r="H10" s="4"/>
      <c r="I10" s="2">
        <v>2.5000000000000004</v>
      </c>
      <c r="J10" s="3">
        <f ca="1">_xll.meUtilityInterpolation($B$3:$B$6,$C$3:$C$6,I10,I$2)</f>
        <v>20</v>
      </c>
      <c r="K10" s="4"/>
      <c r="L10" s="1"/>
    </row>
    <row r="11" spans="2:12" x14ac:dyDescent="0.25">
      <c r="B11" s="1"/>
      <c r="C11" s="1"/>
      <c r="D11" s="1"/>
      <c r="E11" s="7"/>
      <c r="F11" s="2">
        <v>2.6000000000000005</v>
      </c>
      <c r="G11" s="3">
        <f ca="1">_xll.meUtilityInterpolation($B$3:$B$6,$C$3:$C$6,F11,F$2)</f>
        <v>30</v>
      </c>
      <c r="H11" s="4"/>
      <c r="I11" s="2">
        <v>2.6000000000000005</v>
      </c>
      <c r="J11" s="3">
        <f ca="1">_xll.meUtilityInterpolation($B$3:$B$6,$C$3:$C$6,I11,I$2)</f>
        <v>20</v>
      </c>
      <c r="K11" s="4"/>
      <c r="L11" s="1"/>
    </row>
    <row r="12" spans="2:12" x14ac:dyDescent="0.25">
      <c r="B12" s="1"/>
      <c r="C12" s="1"/>
      <c r="D12" s="1"/>
      <c r="E12" s="7"/>
      <c r="F12" s="2">
        <v>2.7000000000000006</v>
      </c>
      <c r="G12" s="3">
        <f ca="1">_xll.meUtilityInterpolation($B$3:$B$6,$C$3:$C$6,F12,F$2)</f>
        <v>30</v>
      </c>
      <c r="H12" s="4"/>
      <c r="I12" s="2">
        <v>2.7000000000000006</v>
      </c>
      <c r="J12" s="3">
        <f ca="1">_xll.meUtilityInterpolation($B$3:$B$6,$C$3:$C$6,I12,I$2)</f>
        <v>20</v>
      </c>
      <c r="K12" s="4"/>
      <c r="L12" s="1"/>
    </row>
    <row r="13" spans="2:12" x14ac:dyDescent="0.25">
      <c r="B13" s="1"/>
      <c r="C13" s="1"/>
      <c r="D13" s="1"/>
      <c r="E13" s="7"/>
      <c r="F13" s="2">
        <v>2.8000000000000007</v>
      </c>
      <c r="G13" s="3">
        <f ca="1">_xll.meUtilityInterpolation($B$3:$B$6,$C$3:$C$6,F13,F$2)</f>
        <v>30</v>
      </c>
      <c r="H13" s="4"/>
      <c r="I13" s="2">
        <v>2.8000000000000007</v>
      </c>
      <c r="J13" s="3">
        <f ca="1">_xll.meUtilityInterpolation($B$3:$B$6,$C$3:$C$6,I13,I$2)</f>
        <v>20</v>
      </c>
      <c r="K13" s="4"/>
      <c r="L13" s="1"/>
    </row>
    <row r="14" spans="2:12" x14ac:dyDescent="0.25">
      <c r="B14" s="1"/>
      <c r="C14" s="1"/>
      <c r="D14" s="1"/>
      <c r="E14" s="7"/>
      <c r="F14" s="2">
        <v>2.99</v>
      </c>
      <c r="G14" s="3">
        <f ca="1">_xll.meUtilityInterpolation($B$3:$B$6,$C$3:$C$6,F14,F$2)</f>
        <v>30</v>
      </c>
      <c r="H14" s="4"/>
      <c r="I14" s="2">
        <v>2.99</v>
      </c>
      <c r="J14" s="3">
        <f ca="1">_xll.meUtilityInterpolation($B$3:$B$6,$C$3:$C$6,I14,I$2)</f>
        <v>20</v>
      </c>
      <c r="K14" s="4"/>
      <c r="L14" s="1"/>
    </row>
    <row r="15" spans="2:12" x14ac:dyDescent="0.25">
      <c r="B15" s="1"/>
      <c r="C15" s="1"/>
      <c r="D15" s="1"/>
      <c r="E15" s="8">
        <v>30</v>
      </c>
      <c r="F15" s="2">
        <v>3.0000000000000009</v>
      </c>
      <c r="G15" s="3">
        <f ca="1">_xll.meUtilityInterpolation($B$3:$B$6,$C$3:$C$6,F15,F$2)</f>
        <v>40</v>
      </c>
      <c r="H15" s="4"/>
      <c r="I15" s="2">
        <v>3.0000000000000009</v>
      </c>
      <c r="J15" s="3">
        <f ca="1">_xll.meUtilityInterpolation($B$3:$B$6,$C$3:$C$6,I15,I$2)</f>
        <v>30</v>
      </c>
      <c r="K15" s="4"/>
      <c r="L15" s="1"/>
    </row>
    <row r="16" spans="2:12" x14ac:dyDescent="0.25">
      <c r="B16" s="1"/>
      <c r="C16" s="1"/>
      <c r="D16" s="1"/>
      <c r="E16" s="7"/>
      <c r="F16" s="2">
        <v>3.100000000000001</v>
      </c>
      <c r="G16" s="3">
        <f ca="1">_xll.meUtilityInterpolation($B$3:$B$6,$C$3:$C$6,F16,F$2)</f>
        <v>40</v>
      </c>
      <c r="H16" s="4"/>
      <c r="I16" s="2">
        <v>3.100000000000001</v>
      </c>
      <c r="J16" s="3">
        <f ca="1">_xll.meUtilityInterpolation($B$3:$B$6,$C$3:$C$6,I16,I$2)</f>
        <v>30</v>
      </c>
      <c r="K16" s="4"/>
      <c r="L16" s="1"/>
    </row>
    <row r="17" spans="5:11" x14ac:dyDescent="0.25">
      <c r="F17" s="2">
        <v>3.2000000000000011</v>
      </c>
      <c r="G17" s="3">
        <f ca="1">_xll.meUtilityInterpolation($B$3:$B$6,$C$3:$C$6,F17,F$2)</f>
        <v>40</v>
      </c>
      <c r="H17" s="4"/>
      <c r="I17" s="2">
        <v>3.2000000000000011</v>
      </c>
      <c r="J17" s="3">
        <f ca="1">_xll.meUtilityInterpolation($B$3:$B$6,$C$3:$C$6,I17,I$2)</f>
        <v>30</v>
      </c>
      <c r="K17" s="5"/>
    </row>
    <row r="18" spans="5:11" x14ac:dyDescent="0.25">
      <c r="F18" s="2">
        <v>3.3000000000000012</v>
      </c>
      <c r="G18" s="3">
        <f ca="1">_xll.meUtilityInterpolation($B$3:$B$6,$C$3:$C$6,F18,F$2)</f>
        <v>40</v>
      </c>
      <c r="H18" s="4"/>
      <c r="I18" s="2">
        <v>3.3000000000000012</v>
      </c>
      <c r="J18" s="3">
        <f ca="1">_xll.meUtilityInterpolation($B$3:$B$6,$C$3:$C$6,I18,I$2)</f>
        <v>30</v>
      </c>
      <c r="K18" s="5"/>
    </row>
    <row r="19" spans="5:11" x14ac:dyDescent="0.25">
      <c r="F19" s="2">
        <v>3.4000000000000012</v>
      </c>
      <c r="G19" s="3">
        <f ca="1">_xll.meUtilityInterpolation($B$3:$B$6,$C$3:$C$6,F19,F$2)</f>
        <v>40</v>
      </c>
      <c r="H19" s="4"/>
      <c r="I19" s="2">
        <v>3.4000000000000012</v>
      </c>
      <c r="J19" s="3">
        <f ca="1">_xll.meUtilityInterpolation($B$3:$B$6,$C$3:$C$6,I19,I$2)</f>
        <v>30</v>
      </c>
      <c r="K19" s="5"/>
    </row>
    <row r="20" spans="5:11" x14ac:dyDescent="0.25">
      <c r="F20" s="2">
        <v>3.5000000000000013</v>
      </c>
      <c r="G20" s="3">
        <f ca="1">_xll.meUtilityInterpolation($B$3:$B$6,$C$3:$C$6,F20,F$2)</f>
        <v>40</v>
      </c>
      <c r="H20" s="4"/>
      <c r="I20" s="2">
        <v>3.5000000000000013</v>
      </c>
      <c r="J20" s="3">
        <f ca="1">_xll.meUtilityInterpolation($B$3:$B$6,$C$3:$C$6,I20,I$2)</f>
        <v>30</v>
      </c>
      <c r="K20" s="5"/>
    </row>
    <row r="21" spans="5:11" x14ac:dyDescent="0.25">
      <c r="F21" s="2">
        <v>3.6000000000000014</v>
      </c>
      <c r="G21" s="3">
        <f ca="1">_xll.meUtilityInterpolation($B$3:$B$6,$C$3:$C$6,F21,F$2)</f>
        <v>40</v>
      </c>
      <c r="H21" s="4"/>
      <c r="I21" s="2">
        <v>3.6000000000000014</v>
      </c>
      <c r="J21" s="3">
        <f ca="1">_xll.meUtilityInterpolation($B$3:$B$6,$C$3:$C$6,I21,I$2)</f>
        <v>30</v>
      </c>
      <c r="K21" s="5"/>
    </row>
    <row r="22" spans="5:11" x14ac:dyDescent="0.25">
      <c r="F22" s="2">
        <v>3.7000000000000015</v>
      </c>
      <c r="G22" s="3">
        <f ca="1">_xll.meUtilityInterpolation($B$3:$B$6,$C$3:$C$6,F22,F$2)</f>
        <v>40</v>
      </c>
      <c r="H22" s="4"/>
      <c r="I22" s="2">
        <v>3.7000000000000015</v>
      </c>
      <c r="J22" s="3">
        <f ca="1">_xll.meUtilityInterpolation($B$3:$B$6,$C$3:$C$6,I22,I$2)</f>
        <v>30</v>
      </c>
      <c r="K22" s="5"/>
    </row>
    <row r="23" spans="5:11" x14ac:dyDescent="0.25">
      <c r="F23" s="2">
        <v>3.8000000000000016</v>
      </c>
      <c r="G23" s="3">
        <f ca="1">_xll.meUtilityInterpolation($B$3:$B$6,$C$3:$C$6,F23,F$2)</f>
        <v>40</v>
      </c>
      <c r="H23" s="4"/>
      <c r="I23" s="2">
        <v>3.8000000000000016</v>
      </c>
      <c r="J23" s="3">
        <f ca="1">_xll.meUtilityInterpolation($B$3:$B$6,$C$3:$C$6,I23,I$2)</f>
        <v>30</v>
      </c>
      <c r="K23" s="5"/>
    </row>
    <row r="24" spans="5:11" x14ac:dyDescent="0.25">
      <c r="F24" s="2">
        <v>3.99</v>
      </c>
      <c r="G24" s="3">
        <f ca="1">_xll.meUtilityInterpolation($B$3:$B$6,$C$3:$C$6,F24,F$2)</f>
        <v>40</v>
      </c>
      <c r="H24" s="4"/>
      <c r="I24" s="2">
        <v>3.99</v>
      </c>
      <c r="J24" s="3">
        <f ca="1">_xll.meUtilityInterpolation($B$3:$B$6,$C$3:$C$6,I24,I$2)</f>
        <v>30</v>
      </c>
      <c r="K24" s="5"/>
    </row>
    <row r="25" spans="5:11" x14ac:dyDescent="0.25">
      <c r="E25" s="8">
        <v>40</v>
      </c>
      <c r="F25" s="2">
        <v>4.0000000000000018</v>
      </c>
      <c r="G25" s="3">
        <f ca="1">_xll.meUtilityInterpolation($B$3:$B$6,$C$3:$C$6,F25,F$2)</f>
        <v>40</v>
      </c>
      <c r="H25" s="4"/>
      <c r="I25" s="2">
        <v>4.0000000000000018</v>
      </c>
      <c r="J25" s="3">
        <f ca="1">_xll.meUtilityInterpolation($B$3:$B$6,$C$3:$C$6,I25,I$2)</f>
        <v>40</v>
      </c>
      <c r="K25" s="5"/>
    </row>
    <row r="26" spans="5:11" x14ac:dyDescent="0.25">
      <c r="F26" s="2">
        <v>4.0999999999999996</v>
      </c>
      <c r="G26" s="3">
        <f ca="1">_xll.meUtilityInterpolation($B$3:$B$6,$C$3:$C$6,F26,F$2)</f>
        <v>40</v>
      </c>
      <c r="H26" s="4"/>
      <c r="I26" s="2">
        <v>4.0999999999999996</v>
      </c>
      <c r="J26" s="3">
        <f ca="1">_xll.meUtilityInterpolation($B$3:$B$6,$C$3:$C$6,I26,I$2)</f>
        <v>40</v>
      </c>
      <c r="K26" s="5"/>
    </row>
    <row r="45" spans="6:6" x14ac:dyDescent="0.25">
      <c r="F45" s="2"/>
    </row>
    <row r="46" spans="6:6" x14ac:dyDescent="0.25">
      <c r="F46" s="2"/>
    </row>
    <row r="47" spans="6:6" x14ac:dyDescent="0.25">
      <c r="F47" s="2"/>
    </row>
    <row r="48" spans="6:6" x14ac:dyDescent="0.25">
      <c r="F48" s="2"/>
    </row>
    <row r="49" spans="6:6" x14ac:dyDescent="0.25">
      <c r="F49" s="2"/>
    </row>
    <row r="50" spans="6:6" x14ac:dyDescent="0.25">
      <c r="F50" s="2"/>
    </row>
    <row r="51" spans="6:6" x14ac:dyDescent="0.25">
      <c r="F51" s="2"/>
    </row>
    <row r="52" spans="6:6" x14ac:dyDescent="0.25">
      <c r="F52" s="2"/>
    </row>
    <row r="53" spans="6:6" x14ac:dyDescent="0.25">
      <c r="F53" s="2"/>
    </row>
    <row r="54" spans="6:6" x14ac:dyDescent="0.25">
      <c r="F54" s="2"/>
    </row>
    <row r="55" spans="6:6" x14ac:dyDescent="0.25">
      <c r="F55" s="2"/>
    </row>
    <row r="56" spans="6:6" x14ac:dyDescent="0.25">
      <c r="F56" s="2"/>
    </row>
    <row r="57" spans="6:6" x14ac:dyDescent="0.25">
      <c r="F57" s="2"/>
    </row>
    <row r="58" spans="6:6" x14ac:dyDescent="0.25">
      <c r="F58" s="2"/>
    </row>
    <row r="59" spans="6:6" x14ac:dyDescent="0.25">
      <c r="F59" s="2"/>
    </row>
    <row r="60" spans="6:6" x14ac:dyDescent="0.25">
      <c r="F60" s="2"/>
    </row>
    <row r="61" spans="6:6" x14ac:dyDescent="0.25">
      <c r="F61" s="2"/>
    </row>
    <row r="62" spans="6:6" x14ac:dyDescent="0.25">
      <c r="F62" s="2"/>
    </row>
    <row r="63" spans="6:6" x14ac:dyDescent="0.25">
      <c r="F63" s="2"/>
    </row>
    <row r="64" spans="6:6" x14ac:dyDescent="0.25">
      <c r="F64" s="2"/>
    </row>
    <row r="65" spans="6:6" x14ac:dyDescent="0.25">
      <c r="F65" s="2"/>
    </row>
    <row r="66" spans="6:6" x14ac:dyDescent="0.25">
      <c r="F66" s="2"/>
    </row>
    <row r="67" spans="6:6" x14ac:dyDescent="0.25">
      <c r="F67" s="2"/>
    </row>
    <row r="68" spans="6:6" x14ac:dyDescent="0.25">
      <c r="F68" s="2"/>
    </row>
    <row r="69" spans="6:6" x14ac:dyDescent="0.25">
      <c r="F69" s="2"/>
    </row>
    <row r="70" spans="6:6" x14ac:dyDescent="0.25">
      <c r="F70" s="2"/>
    </row>
    <row r="71" spans="6:6" x14ac:dyDescent="0.25">
      <c r="F71" s="2"/>
    </row>
    <row r="72" spans="6:6" x14ac:dyDescent="0.25">
      <c r="F72" s="2"/>
    </row>
    <row r="73" spans="6:6" x14ac:dyDescent="0.25">
      <c r="F73" s="2"/>
    </row>
    <row r="74" spans="6:6" x14ac:dyDescent="0.25">
      <c r="F74" s="2"/>
    </row>
    <row r="75" spans="6:6" x14ac:dyDescent="0.25">
      <c r="F75" s="2"/>
    </row>
    <row r="76" spans="6:6" x14ac:dyDescent="0.25">
      <c r="F76" s="2"/>
    </row>
    <row r="77" spans="6:6" x14ac:dyDescent="0.25">
      <c r="F77" s="2"/>
    </row>
    <row r="78" spans="6:6" x14ac:dyDescent="0.25">
      <c r="F78" s="2"/>
    </row>
    <row r="79" spans="6:6" x14ac:dyDescent="0.25">
      <c r="F79" s="2"/>
    </row>
    <row r="80" spans="6:6" x14ac:dyDescent="0.25">
      <c r="F80" s="2"/>
    </row>
    <row r="81" spans="6:6" x14ac:dyDescent="0.25">
      <c r="F81" s="2"/>
    </row>
    <row r="82" spans="6:6" x14ac:dyDescent="0.25">
      <c r="F82" s="2"/>
    </row>
    <row r="83" spans="6:6" x14ac:dyDescent="0.25">
      <c r="F83" s="2"/>
    </row>
    <row r="84" spans="6:6" x14ac:dyDescent="0.25">
      <c r="F84" s="2"/>
    </row>
    <row r="85" spans="6:6" x14ac:dyDescent="0.25">
      <c r="F85" s="2"/>
    </row>
    <row r="86" spans="6:6" x14ac:dyDescent="0.25">
      <c r="F86" s="2"/>
    </row>
    <row r="87" spans="6:6" x14ac:dyDescent="0.25">
      <c r="F87" s="2"/>
    </row>
    <row r="88" spans="6:6" x14ac:dyDescent="0.25">
      <c r="F88" s="2"/>
    </row>
    <row r="89" spans="6:6" x14ac:dyDescent="0.25">
      <c r="F89" s="2"/>
    </row>
    <row r="90" spans="6:6" x14ac:dyDescent="0.25">
      <c r="F90" s="2"/>
    </row>
    <row r="91" spans="6:6" x14ac:dyDescent="0.25">
      <c r="F91" s="2"/>
    </row>
    <row r="92" spans="6:6" x14ac:dyDescent="0.25">
      <c r="F92" s="2"/>
    </row>
    <row r="93" spans="6:6" x14ac:dyDescent="0.25">
      <c r="F93" s="2"/>
    </row>
    <row r="94" spans="6:6" x14ac:dyDescent="0.25">
      <c r="F94" s="2"/>
    </row>
    <row r="95" spans="6:6" x14ac:dyDescent="0.25">
      <c r="F95" s="2"/>
    </row>
    <row r="96" spans="6:6" x14ac:dyDescent="0.25">
      <c r="F96" s="2"/>
    </row>
    <row r="97" spans="6:6" x14ac:dyDescent="0.25">
      <c r="F97" s="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Interpolation</vt:lpstr>
      <vt:lpstr>Piecewise-Constant</vt:lpstr>
    </vt:vector>
  </TitlesOfParts>
  <Company>Mizuho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Burgess Nicholas</dc:creator>
  <cp:lastModifiedBy>Burgess Nicholas</cp:lastModifiedBy>
  <dcterms:created xsi:type="dcterms:W3CDTF">2019-09-04T11:12:48Z</dcterms:created>
  <dcterms:modified xsi:type="dcterms:W3CDTF">2019-09-04T15:42:06Z</dcterms:modified>
</cp:coreProperties>
</file>