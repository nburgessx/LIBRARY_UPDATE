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/>
  </bookViews>
  <sheets>
    <sheet name="meUtilityLVB (Vertical)" sheetId="17" r:id="rId1"/>
    <sheet name="meUtilityLVB (Horizontal)" sheetId="18" r:id="rId2"/>
  </sheets>
  <functionGroups builtInGroupCount="17"/>
  <calcPr calcId="145621" calcMode="manual" calcOnSave="0"/>
</workbook>
</file>

<file path=xl/calcChain.xml><?xml version="1.0" encoding="utf-8"?>
<calcChain xmlns="http://schemas.openxmlformats.org/spreadsheetml/2006/main">
  <c r="I9" i="18" l="1" a="1"/>
  <c r="F9" i="18" a="1"/>
  <c r="F4" i="17" a="1"/>
  <c r="L4" i="17" a="1"/>
  <c r="C9" i="18" a="1"/>
  <c r="L14" i="17" a="1"/>
  <c r="I4" i="17" a="1"/>
  <c r="J22" i="17" l="1"/>
  <c r="J27" i="17"/>
  <c r="J10" i="17"/>
  <c r="J25" i="17"/>
  <c r="J5" i="17"/>
  <c r="I22" i="17"/>
  <c r="I13" i="17"/>
  <c r="J29" i="17"/>
  <c r="J14" i="17"/>
  <c r="I20" i="17"/>
  <c r="J26" i="17"/>
  <c r="I28" i="17"/>
  <c r="J15" i="17"/>
  <c r="J31" i="17"/>
  <c r="I30" i="17"/>
  <c r="I16" i="17"/>
  <c r="I25" i="17"/>
  <c r="I21" i="17"/>
  <c r="J16" i="17"/>
  <c r="I29" i="17"/>
  <c r="I17" i="17"/>
  <c r="J17" i="17"/>
  <c r="I23" i="17"/>
  <c r="J28" i="17"/>
  <c r="J7" i="17"/>
  <c r="I10" i="17"/>
  <c r="J9" i="17"/>
  <c r="J18" i="17"/>
  <c r="I6" i="17"/>
  <c r="J19" i="17"/>
  <c r="J8" i="17"/>
  <c r="J30" i="17"/>
  <c r="I19" i="17"/>
  <c r="I7" i="17"/>
  <c r="I9" i="17"/>
  <c r="I15" i="17"/>
  <c r="I4" i="17"/>
  <c r="J20" i="17"/>
  <c r="I27" i="17"/>
  <c r="J11" i="17"/>
  <c r="I14" i="17"/>
  <c r="J21" i="17"/>
  <c r="J23" i="17"/>
  <c r="I12" i="17"/>
  <c r="I11" i="17"/>
  <c r="I5" i="17"/>
  <c r="I24" i="17"/>
  <c r="J12" i="17"/>
  <c r="I8" i="17"/>
  <c r="I31" i="17"/>
  <c r="J6" i="17"/>
  <c r="J13" i="17"/>
  <c r="I18" i="17"/>
  <c r="J4" i="17"/>
  <c r="I26" i="17"/>
  <c r="J24" i="17"/>
  <c r="M20" i="17"/>
  <c r="M14" i="17"/>
  <c r="L17" i="17"/>
  <c r="M15" i="17"/>
  <c r="M16" i="17"/>
  <c r="L16" i="17"/>
  <c r="L14" i="17"/>
  <c r="M19" i="17"/>
  <c r="L19" i="17"/>
  <c r="L15" i="17"/>
  <c r="L20" i="17"/>
  <c r="M18" i="17"/>
  <c r="M17" i="17"/>
  <c r="L18" i="17"/>
  <c r="D9" i="18"/>
  <c r="C17" i="18"/>
  <c r="C19" i="18"/>
  <c r="D14" i="18"/>
  <c r="C9" i="18"/>
  <c r="C18" i="18"/>
  <c r="C20" i="18"/>
  <c r="C14" i="18"/>
  <c r="D19" i="18"/>
  <c r="D11" i="18"/>
  <c r="D13" i="18"/>
  <c r="D10" i="18"/>
  <c r="D15" i="18"/>
  <c r="D18" i="18"/>
  <c r="D12" i="18"/>
  <c r="C11" i="18"/>
  <c r="C10" i="18"/>
  <c r="C13" i="18"/>
  <c r="D20" i="18"/>
  <c r="D16" i="18"/>
  <c r="C12" i="18"/>
  <c r="D17" i="18"/>
  <c r="C15" i="18"/>
  <c r="C16" i="18"/>
  <c r="M9" i="17"/>
  <c r="L10" i="17"/>
  <c r="L8" i="17"/>
  <c r="L9" i="17"/>
  <c r="L5" i="17"/>
  <c r="L4" i="17"/>
  <c r="M5" i="17"/>
  <c r="L6" i="17"/>
  <c r="L7" i="17"/>
  <c r="M7" i="17"/>
  <c r="M4" i="17"/>
  <c r="M6" i="17"/>
  <c r="M10" i="17"/>
  <c r="M8" i="17"/>
  <c r="G18" i="17"/>
  <c r="G36" i="17"/>
  <c r="G24" i="17"/>
  <c r="G12" i="17"/>
  <c r="G25" i="17"/>
  <c r="G32" i="17"/>
  <c r="G6" i="17"/>
  <c r="F27" i="17"/>
  <c r="G17" i="17"/>
  <c r="F31" i="17"/>
  <c r="G29" i="17"/>
  <c r="G30" i="17"/>
  <c r="F18" i="17"/>
  <c r="F8" i="17"/>
  <c r="F13" i="17"/>
  <c r="F14" i="17"/>
  <c r="F15" i="17"/>
  <c r="G28" i="17"/>
  <c r="G19" i="17"/>
  <c r="F11" i="17"/>
  <c r="G31" i="17"/>
  <c r="F6" i="17"/>
  <c r="G5" i="17"/>
  <c r="G23" i="17"/>
  <c r="F20" i="17"/>
  <c r="F29" i="17"/>
  <c r="F26" i="17"/>
  <c r="G33" i="17"/>
  <c r="G34" i="17"/>
  <c r="G7" i="17"/>
  <c r="F21" i="17"/>
  <c r="F25" i="17"/>
  <c r="F36" i="17"/>
  <c r="F23" i="17"/>
  <c r="F33" i="17"/>
  <c r="G9" i="17"/>
  <c r="G13" i="17"/>
  <c r="F32" i="17"/>
  <c r="G21" i="17"/>
  <c r="F10" i="17"/>
  <c r="F34" i="17"/>
  <c r="F9" i="17"/>
  <c r="F22" i="17"/>
  <c r="F7" i="17"/>
  <c r="G10" i="17"/>
  <c r="F30" i="17"/>
  <c r="F19" i="17"/>
  <c r="G11" i="17"/>
  <c r="F17" i="17"/>
  <c r="G8" i="17"/>
  <c r="G16" i="17"/>
  <c r="G27" i="17"/>
  <c r="F5" i="17"/>
  <c r="G26" i="17"/>
  <c r="F16" i="17"/>
  <c r="G4" i="17"/>
  <c r="F35" i="17"/>
  <c r="G22" i="17"/>
  <c r="F28" i="17"/>
  <c r="F12" i="17"/>
  <c r="G15" i="17"/>
  <c r="F4" i="17"/>
  <c r="G20" i="17"/>
  <c r="G14" i="17"/>
  <c r="F24" i="17"/>
  <c r="G35" i="17"/>
  <c r="F11" i="18"/>
  <c r="G10" i="18"/>
  <c r="G18" i="18"/>
  <c r="G14" i="18"/>
  <c r="F19" i="18"/>
  <c r="F9" i="18"/>
  <c r="F12" i="18"/>
  <c r="G16" i="18"/>
  <c r="F13" i="18"/>
  <c r="G17" i="18"/>
  <c r="F17" i="18"/>
  <c r="F20" i="18"/>
  <c r="G12" i="18"/>
  <c r="F10" i="18"/>
  <c r="G13" i="18"/>
  <c r="F15" i="18"/>
  <c r="G20" i="18"/>
  <c r="F14" i="18"/>
  <c r="F16" i="18"/>
  <c r="G15" i="18"/>
  <c r="G19" i="18"/>
  <c r="G11" i="18"/>
  <c r="F18" i="18"/>
  <c r="G9" i="18"/>
  <c r="I9" i="18"/>
  <c r="J13" i="18"/>
  <c r="I14" i="18"/>
  <c r="J14" i="18"/>
  <c r="I13" i="18"/>
  <c r="I12" i="18"/>
  <c r="J10" i="18"/>
  <c r="J11" i="18"/>
  <c r="J9" i="18"/>
  <c r="I10" i="18"/>
  <c r="J12" i="18"/>
  <c r="I11" i="18"/>
</calcChain>
</file>

<file path=xl/sharedStrings.xml><?xml version="1.0" encoding="utf-8"?>
<sst xmlns="http://schemas.openxmlformats.org/spreadsheetml/2006/main" count="82" uniqueCount="52">
  <si>
    <t>TGT</t>
  </si>
  <si>
    <t>calendar</t>
  </si>
  <si>
    <t>ACT/360</t>
  </si>
  <si>
    <t>daycount</t>
  </si>
  <si>
    <t>Rate</t>
  </si>
  <si>
    <t>MOD_FOLLOWING</t>
  </si>
  <si>
    <t>frequency</t>
  </si>
  <si>
    <t>Annual</t>
  </si>
  <si>
    <t>CurveCollection</t>
  </si>
  <si>
    <t>Semi-Annual</t>
  </si>
  <si>
    <t>Interpolation</t>
  </si>
  <si>
    <t>FIXED LEG</t>
  </si>
  <si>
    <t>FLOAT LEG</t>
  </si>
  <si>
    <t>Notional</t>
  </si>
  <si>
    <t>PAYER</t>
  </si>
  <si>
    <t>2D</t>
  </si>
  <si>
    <t>EUR_JPYCSA</t>
    <phoneticPr fontId="0"/>
  </si>
  <si>
    <t>ACT/ACT</t>
  </si>
  <si>
    <t>rollConv</t>
  </si>
  <si>
    <t>firstStub</t>
  </si>
  <si>
    <t>-</t>
  </si>
  <si>
    <t>lastStub</t>
  </si>
  <si>
    <t>rollDay</t>
  </si>
  <si>
    <t>fixingLag</t>
  </si>
  <si>
    <t>0D</t>
  </si>
  <si>
    <t>firstFixing</t>
  </si>
  <si>
    <t>lastFixing</t>
  </si>
  <si>
    <t>paymentLag</t>
  </si>
  <si>
    <t>StubType</t>
  </si>
  <si>
    <t>ShortStart</t>
  </si>
  <si>
    <t>Spline</t>
  </si>
  <si>
    <t>Forecast Curve</t>
  </si>
  <si>
    <t>STD</t>
    <phoneticPr fontId="0"/>
  </si>
  <si>
    <t>Discount Curve</t>
  </si>
  <si>
    <t>OIS</t>
    <phoneticPr fontId="0"/>
  </si>
  <si>
    <t>meUtilityLVBFromKeysValues</t>
  </si>
  <si>
    <t>float</t>
  </si>
  <si>
    <t>fixed</t>
  </si>
  <si>
    <t>meUtilityLVB Vertical keys, no prefix</t>
  </si>
  <si>
    <t>meUtilityLVBGroup</t>
  </si>
  <si>
    <t>meUtilityLVBFromMultipleKeysValues</t>
  </si>
  <si>
    <t>BusinessDayAdjustment</t>
  </si>
  <si>
    <t>firstStubDate</t>
  </si>
  <si>
    <t>lastStubDate</t>
  </si>
  <si>
    <t>PayerReceiver</t>
  </si>
  <si>
    <t>EffectiveDate</t>
  </si>
  <si>
    <t>MaturityDate</t>
  </si>
  <si>
    <t>Spread</t>
  </si>
  <si>
    <t>Swap Deal</t>
  </si>
  <si>
    <r>
      <t xml:space="preserve">meUtilityLVB </t>
    </r>
    <r>
      <rPr>
        <sz val="11"/>
        <color rgb="FF0000FF"/>
        <rFont val="Calibri"/>
        <family val="2"/>
        <scheme val="minor"/>
      </rPr>
      <t xml:space="preserve"> with fixed and float prefixes</t>
    </r>
  </si>
  <si>
    <t>meUtilityLVB</t>
  </si>
  <si>
    <t>meUtilityLVB with fixed and float prefixes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</si>
</sst>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-* #,##0.00_-;\-* #,##0.00_-;_-* &quot;-&quot;??_-;_-@_-"/>
    <numFmt numFmtId="164" formatCode="0.000%"/>
    <numFmt numFmtId="165" formatCode="0.00000%"/>
    <numFmt numFmtId="166" formatCode="ddd\ d\-mmm\-yy"/>
    <numFmt numFmtId="167" formatCode="_(&quot;$&quot;* #,##0_);_(&quot;$&quot;* \(#,##0\);_(&quot;$&quot;* &quot;-&quot;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_(* #,##0.00_);_(* \(#,##0.00\);_(* &quot;-&quot;??_);_(@_)"/>
    <numFmt numFmtId="171" formatCode="dd/m/yy"/>
    <numFmt numFmtId="172" formatCode="dd\-mmm\-yy;dd\-mmm\-yy;"/>
    <numFmt numFmtId="173" formatCode="_ * #,##0_ ;_ * \-#,##0_ ;_ * &quot;-&quot;_ ;_ @_ "/>
  </numFmts>
  <fonts count="22"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sz val="11"/>
      <name val="Times New Roman"/>
      <family val="1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11"/>
      <color rgb="FF0000FF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indexed="9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</fills>
  <borders count="2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54">
    <xf numFmtId="0" fontId="0" fillId="0" borderId="0"/>
    <xf numFmtId="0" fontId="4" fillId="0" borderId="0"/>
    <xf numFmtId="43" fontId="4" fillId="0" borderId="0" applyFont="0" applyFill="0" applyBorder="0" applyAlignment="0" applyProtection="0"/>
    <xf numFmtId="0" fontId="5" fillId="4" borderId="4" applyNumberFormat="0" applyFont="0" applyBorder="0" applyAlignment="0" applyProtection="0">
      <alignment horizontal="centerContinuous"/>
    </xf>
    <xf numFmtId="0" fontId="6" fillId="5" borderId="5" applyNumberFormat="0" applyFont="0" applyBorder="0" applyAlignment="0">
      <alignment horizontal="centerContinuous"/>
    </xf>
    <xf numFmtId="168" fontId="4" fillId="0" borderId="0" applyFont="0" applyFill="0" applyBorder="0" applyAlignment="0" applyProtection="0"/>
    <xf numFmtId="170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" fillId="0" borderId="0">
      <alignment vertical="center"/>
    </xf>
    <xf numFmtId="0" fontId="7" fillId="0" borderId="0">
      <alignment vertical="center"/>
    </xf>
    <xf numFmtId="38" fontId="7" fillId="0" borderId="0" applyFont="0" applyFill="0" applyBorder="0" applyAlignment="0" applyProtection="0">
      <alignment vertical="center"/>
    </xf>
    <xf numFmtId="0" fontId="7" fillId="0" borderId="0">
      <alignment vertical="center"/>
    </xf>
    <xf numFmtId="9" fontId="7" fillId="0" borderId="0" applyFont="0" applyFill="0" applyBorder="0" applyAlignment="0" applyProtection="0">
      <alignment vertical="center"/>
    </xf>
    <xf numFmtId="0" fontId="9" fillId="0" borderId="0">
      <alignment vertical="center"/>
    </xf>
    <xf numFmtId="0" fontId="8" fillId="7" borderId="0" applyNumberFormat="0" applyFont="0" applyBorder="0" applyAlignment="0" applyProtection="0"/>
    <xf numFmtId="164" fontId="10" fillId="8" borderId="0"/>
    <xf numFmtId="0" fontId="11" fillId="9" borderId="0" applyNumberFormat="0" applyBorder="0" applyAlignment="0">
      <alignment horizontal="center"/>
    </xf>
    <xf numFmtId="0" fontId="12" fillId="10" borderId="9">
      <alignment horizontal="center"/>
      <protection locked="0"/>
    </xf>
    <xf numFmtId="0" fontId="13" fillId="11" borderId="0" applyNumberFormat="0" applyFont="0" applyBorder="0" applyAlignment="0" applyProtection="0"/>
    <xf numFmtId="2" fontId="4" fillId="12" borderId="7" applyNumberFormat="0" applyBorder="0">
      <alignment horizontal="right" vertical="center"/>
    </xf>
    <xf numFmtId="2" fontId="14" fillId="13" borderId="10" applyBorder="0">
      <alignment horizontal="left" vertical="center"/>
    </xf>
    <xf numFmtId="10" fontId="15" fillId="6" borderId="0" applyBorder="0">
      <alignment horizontal="right"/>
      <protection locked="0"/>
    </xf>
    <xf numFmtId="15" fontId="15" fillId="6" borderId="6" applyBorder="0">
      <alignment horizontal="center"/>
      <protection locked="0"/>
    </xf>
    <xf numFmtId="15" fontId="15" fillId="6" borderId="0" applyBorder="0">
      <alignment horizontal="left"/>
      <protection locked="0"/>
    </xf>
    <xf numFmtId="2" fontId="16" fillId="14" borderId="10" applyNumberFormat="0">
      <alignment horizontal="center" vertical="center"/>
    </xf>
    <xf numFmtId="171" fontId="17" fillId="15" borderId="5" applyBorder="0">
      <alignment horizontal="left"/>
      <protection locked="0"/>
    </xf>
    <xf numFmtId="171" fontId="17" fillId="15" borderId="11" applyBorder="0">
      <alignment horizontal="right"/>
      <protection locked="0"/>
    </xf>
    <xf numFmtId="167" fontId="4" fillId="0" borderId="0" applyFont="0" applyFill="0" applyBorder="0" applyAlignment="0" applyProtection="0"/>
    <xf numFmtId="169" fontId="4" fillId="0" borderId="0" applyFont="0" applyFill="0" applyBorder="0" applyAlignment="0" applyProtection="0"/>
    <xf numFmtId="0" fontId="18" fillId="16" borderId="0" applyNumberFormat="0" applyFont="0" applyBorder="0" applyAlignment="0" applyProtection="0"/>
    <xf numFmtId="0" fontId="18" fillId="17" borderId="0" applyNumberFormat="0" applyFont="0" applyBorder="0" applyAlignment="0" applyProtection="0"/>
    <xf numFmtId="0" fontId="18" fillId="18" borderId="0" applyNumberFormat="0" applyFont="0" applyBorder="0" applyAlignment="0" applyProtection="0">
      <alignment horizontal="center"/>
    </xf>
    <xf numFmtId="0" fontId="18" fillId="19" borderId="12" applyNumberFormat="0" applyFont="0" applyBorder="0" applyAlignment="0" applyProtection="0"/>
    <xf numFmtId="0" fontId="18" fillId="20" borderId="12" applyNumberFormat="0" applyFont="0" applyBorder="0" applyAlignment="0"/>
    <xf numFmtId="0" fontId="18" fillId="21" borderId="12" applyNumberFormat="0" applyFont="0" applyBorder="0" applyAlignment="0"/>
    <xf numFmtId="0" fontId="8" fillId="22" borderId="0" applyNumberFormat="0" applyFont="0" applyBorder="0" applyAlignment="0" applyProtection="0">
      <alignment horizontal="center"/>
      <protection hidden="1"/>
    </xf>
    <xf numFmtId="0" fontId="4" fillId="7" borderId="0" applyNumberFormat="0" applyFont="0" applyBorder="0" applyAlignment="0" applyProtection="0">
      <protection hidden="1"/>
    </xf>
    <xf numFmtId="0" fontId="4" fillId="23" borderId="0" applyNumberFormat="0" applyFont="0" applyBorder="0" applyAlignment="0" applyProtection="0">
      <protection hidden="1"/>
    </xf>
    <xf numFmtId="0" fontId="4" fillId="24" borderId="0" applyNumberFormat="0" applyFont="0" applyBorder="0" applyAlignment="0" applyProtection="0">
      <protection hidden="1"/>
    </xf>
    <xf numFmtId="0" fontId="4" fillId="25" borderId="0" applyNumberFormat="0" applyFont="0" applyBorder="0" applyAlignment="0" applyProtection="0">
      <protection hidden="1"/>
    </xf>
    <xf numFmtId="0" fontId="4" fillId="26" borderId="0" applyNumberFormat="0" applyFont="0" applyBorder="0" applyAlignment="0" applyProtection="0">
      <protection hidden="1"/>
    </xf>
    <xf numFmtId="0" fontId="4" fillId="27" borderId="0" applyNumberFormat="0" applyFont="0" applyBorder="0" applyAlignment="0" applyProtection="0">
      <protection hidden="1"/>
    </xf>
    <xf numFmtId="172" fontId="19" fillId="0" borderId="8" applyBorder="0">
      <alignment horizontal="center"/>
      <protection locked="0"/>
    </xf>
    <xf numFmtId="0" fontId="4" fillId="0" borderId="0">
      <alignment horizontal="left" wrapText="1"/>
    </xf>
    <xf numFmtId="9" fontId="7" fillId="0" borderId="0" applyFont="0" applyFill="0" applyBorder="0" applyAlignment="0" applyProtection="0">
      <alignment vertical="center"/>
    </xf>
    <xf numFmtId="38" fontId="7" fillId="0" borderId="0" applyFont="0" applyFill="0" applyBorder="0" applyAlignment="0" applyProtection="0">
      <alignment vertical="center"/>
    </xf>
    <xf numFmtId="173" fontId="4" fillId="0" borderId="0" applyFont="0" applyFill="0" applyBorder="0" applyAlignment="0" applyProtection="0"/>
    <xf numFmtId="0" fontId="7" fillId="0" borderId="0">
      <alignment vertical="center"/>
    </xf>
    <xf numFmtId="0" fontId="20" fillId="0" borderId="0">
      <alignment vertical="center"/>
    </xf>
    <xf numFmtId="0" fontId="3" fillId="0" borderId="0">
      <alignment vertical="center"/>
    </xf>
    <xf numFmtId="38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58">
    <xf numFmtId="0" fontId="0" fillId="0" borderId="0" xfId="0"/>
    <xf numFmtId="0" fontId="0" fillId="0" borderId="0" xfId="0" applyFont="1" applyAlignment="1">
      <alignment horizontal="center" vertical="center"/>
    </xf>
    <xf numFmtId="0" fontId="0" fillId="3" borderId="1" xfId="0" applyFill="1" applyBorder="1"/>
    <xf numFmtId="0" fontId="0" fillId="3" borderId="2" xfId="0" applyFill="1" applyBorder="1"/>
    <xf numFmtId="0" fontId="0" fillId="0" borderId="2" xfId="0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2" fillId="0" borderId="2" xfId="0" quotePrefix="1" applyFont="1" applyFill="1" applyBorder="1" applyAlignment="1">
      <alignment horizontal="center" vertical="center"/>
    </xf>
    <xf numFmtId="0" fontId="0" fillId="3" borderId="3" xfId="0" applyFill="1" applyBorder="1"/>
    <xf numFmtId="0" fontId="0" fillId="0" borderId="0" xfId="0" applyAlignment="1">
      <alignment horizontal="center" vertical="center"/>
    </xf>
    <xf numFmtId="0" fontId="0" fillId="0" borderId="0" xfId="0"/>
    <xf numFmtId="3" fontId="0" fillId="0" borderId="1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6" fontId="2" fillId="0" borderId="2" xfId="0" applyNumberFormat="1" applyFont="1" applyFill="1" applyBorder="1" applyAlignment="1">
      <alignment horizontal="center" vertical="center"/>
    </xf>
    <xf numFmtId="166" fontId="2" fillId="0" borderId="3" xfId="0" applyNumberFormat="1" applyFont="1" applyFill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4" fontId="2" fillId="0" borderId="2" xfId="0" applyNumberFormat="1" applyFon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2" xfId="0" quotePrefix="1" applyFill="1" applyBorder="1" applyAlignment="1">
      <alignment horizontal="center" vertical="center"/>
    </xf>
    <xf numFmtId="0" fontId="0" fillId="0" borderId="3" xfId="0" quotePrefix="1" applyFill="1" applyBorder="1" applyAlignment="1">
      <alignment horizontal="center" vertical="center"/>
    </xf>
    <xf numFmtId="165" fontId="2" fillId="0" borderId="2" xfId="0" quotePrefix="1" applyNumberFormat="1" applyFont="1" applyFill="1" applyBorder="1" applyAlignment="1">
      <alignment horizontal="center" vertical="center"/>
    </xf>
    <xf numFmtId="4" fontId="2" fillId="0" borderId="2" xfId="0" quotePrefix="1" applyNumberFormat="1" applyFont="1" applyFill="1" applyBorder="1" applyAlignment="1">
      <alignment horizontal="center" vertical="center"/>
    </xf>
    <xf numFmtId="0" fontId="0" fillId="0" borderId="3" xfId="0" applyFill="1" applyBorder="1" applyAlignment="1">
      <alignment horizontal="center"/>
    </xf>
    <xf numFmtId="3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6" fontId="2" fillId="0" borderId="0" xfId="0" applyNumberFormat="1" applyFont="1" applyFill="1" applyBorder="1" applyAlignment="1">
      <alignment horizontal="center" vertical="center"/>
    </xf>
    <xf numFmtId="4" fontId="2" fillId="0" borderId="0" xfId="0" quotePrefix="1" applyNumberFormat="1" applyFont="1" applyFill="1" applyBorder="1" applyAlignment="1">
      <alignment horizontal="center" vertical="center"/>
    </xf>
    <xf numFmtId="4" fontId="2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quotePrefix="1" applyFill="1" applyBorder="1" applyAlignment="1">
      <alignment horizontal="center" vertical="center"/>
    </xf>
    <xf numFmtId="0" fontId="2" fillId="0" borderId="0" xfId="0" quotePrefix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 applyAlignment="1">
      <alignment horizontal="center" vertical="center"/>
    </xf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4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  <xf numFmtId="0" fontId="0" fillId="2" borderId="21" xfId="0" applyFill="1" applyBorder="1" applyAlignment="1">
      <alignment horizontal="left" vertical="center"/>
    </xf>
    <xf numFmtId="0" fontId="0" fillId="2" borderId="22" xfId="0" applyFill="1" applyBorder="1" applyAlignment="1">
      <alignment horizontal="left" vertical="center"/>
    </xf>
    <xf numFmtId="14" fontId="0" fillId="2" borderId="22" xfId="0" applyNumberFormat="1" applyFill="1" applyBorder="1" applyAlignment="1">
      <alignment horizontal="left" vertical="center"/>
    </xf>
    <xf numFmtId="15" fontId="0" fillId="2" borderId="22" xfId="0" applyNumberFormat="1" applyFill="1" applyBorder="1" applyAlignment="1">
      <alignment horizontal="left" vertical="center"/>
    </xf>
    <xf numFmtId="0" fontId="0" fillId="2" borderId="23" xfId="0" applyFill="1" applyBorder="1" applyAlignment="1">
      <alignment horizontal="left" vertical="center"/>
    </xf>
    <xf numFmtId="0" fontId="0" fillId="2" borderId="24" xfId="0" applyFill="1" applyBorder="1" applyAlignment="1">
      <alignment horizontal="left" vertical="center"/>
    </xf>
    <xf numFmtId="0" fontId="0" fillId="2" borderId="13" xfId="0" applyFill="1" applyBorder="1" applyAlignment="1">
      <alignment horizontal="left" vertical="center"/>
    </xf>
    <xf numFmtId="0" fontId="0" fillId="2" borderId="14" xfId="0" applyFill="1" applyBorder="1" applyAlignment="1">
      <alignment horizontal="left" vertical="center"/>
    </xf>
    <xf numFmtId="0" fontId="0" fillId="2" borderId="15" xfId="0" applyFill="1" applyBorder="1" applyAlignment="1">
      <alignment horizontal="left" vertical="center"/>
    </xf>
    <xf numFmtId="0" fontId="0" fillId="2" borderId="16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0" fontId="0" fillId="2" borderId="18" xfId="0" applyFill="1" applyBorder="1" applyAlignment="1">
      <alignment horizontal="left" vertical="center"/>
    </xf>
  </cellXfs>
  <cellStyles count="54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2:N36"/>
  <sheetViews>
    <sheetView showGridLines="0" tabSelected="1" workbookViewId="0"/>
  </sheetViews>
  <sheetFormatPr defaultRowHeight="15"/>
  <cols>
    <col min="1" max="1" width="4.7109375" style="9" customWidth="1"/>
    <col min="2" max="4" width="19.7109375" customWidth="1"/>
    <col min="5" max="5" width="4.7109375" style="9" customWidth="1"/>
    <col min="6" max="6" width="19.7109375" style="9" customWidth="1"/>
    <col min="7" max="7" width="19.7109375" style="8" customWidth="1"/>
    <col min="8" max="8" width="4.7109375" style="9" customWidth="1"/>
    <col min="9" max="10" width="19.7109375" style="9" customWidth="1"/>
    <col min="11" max="11" width="4.7109375" style="9" customWidth="1"/>
    <col min="12" max="13" width="19.7109375" customWidth="1"/>
    <col min="14" max="14" width="4.7109375" style="9" customWidth="1"/>
  </cols>
  <sheetData>
    <row r="2" spans="2:13" s="9" customFormat="1">
      <c r="G2" s="8"/>
    </row>
    <row r="3" spans="2:13">
      <c r="B3" s="33" t="s">
        <v>48</v>
      </c>
      <c r="C3" s="1" t="s">
        <v>11</v>
      </c>
      <c r="D3" s="1" t="s">
        <v>12</v>
      </c>
      <c r="E3" s="1"/>
      <c r="F3" s="32" t="s">
        <v>39</v>
      </c>
      <c r="H3" s="1"/>
      <c r="I3" s="32" t="s">
        <v>49</v>
      </c>
      <c r="J3"/>
      <c r="K3" s="1"/>
      <c r="L3" s="32" t="s">
        <v>35</v>
      </c>
    </row>
    <row r="4" spans="2:13">
      <c r="B4" s="2" t="s">
        <v>13</v>
      </c>
      <c r="C4" s="10">
        <v>1000000</v>
      </c>
      <c r="D4" s="10"/>
      <c r="E4" s="22"/>
      <c r="F4" s="35" t="str">
        <f t="array" aca="1" ref="F4:G36" ca="1">_xll.meUtilityLVBGroup(_xll.meUtilityLVB(B4:C8),_xll.meUtilityLVB(B9:D22,{"fixed","float"}))</f>
        <v>Notional</v>
      </c>
      <c r="G4" s="41" t="str">
        <f ca="1"/>
        <v>1000000</v>
      </c>
      <c r="H4" s="22"/>
      <c r="I4" s="35" t="str">
        <f t="array" aca="1" ref="I4:J31" ca="1">_xll.meUtilityLVB(B9:D22,{"fixed","float"})</f>
        <v>fixedRate</v>
      </c>
      <c r="J4" s="36" t="str">
        <f ca="1"/>
        <v>0.005</v>
      </c>
      <c r="K4" s="22"/>
      <c r="L4" s="44" t="str">
        <f t="array" aca="1" ref="L4:M10" ca="1">_xll.meUtilityLVBFromKeysValues(B4:B8,C4:C8)</f>
        <v>Notional</v>
      </c>
      <c r="M4" s="45" t="str">
        <f ca="1"/>
        <v>1000000</v>
      </c>
    </row>
    <row r="5" spans="2:13">
      <c r="B5" s="3" t="s">
        <v>44</v>
      </c>
      <c r="C5" s="11" t="s">
        <v>14</v>
      </c>
      <c r="D5" s="11"/>
      <c r="E5" s="23"/>
      <c r="F5" s="37" t="str">
        <f ca="1"/>
        <v>MaturityDate</v>
      </c>
      <c r="G5" s="42" t="str">
        <f ca="1"/>
        <v>45703</v>
      </c>
      <c r="H5" s="23"/>
      <c r="I5" s="37" t="str">
        <f ca="1"/>
        <v>fixedfixingLag</v>
      </c>
      <c r="J5" s="38" t="str">
        <f ca="1"/>
        <v>-</v>
      </c>
      <c r="K5" s="23"/>
      <c r="L5" s="46" t="str">
        <f ca="1"/>
        <v>PayerReceiver</v>
      </c>
      <c r="M5" s="47" t="str">
        <f ca="1"/>
        <v>PAYER</v>
      </c>
    </row>
    <row r="6" spans="2:13">
      <c r="B6" s="3" t="s">
        <v>45</v>
      </c>
      <c r="C6" s="12">
        <v>42423</v>
      </c>
      <c r="D6" s="12" t="s">
        <v>15</v>
      </c>
      <c r="E6" s="24"/>
      <c r="F6" s="37" t="str">
        <f ca="1"/>
        <v>PayerReceiver</v>
      </c>
      <c r="G6" s="42" t="str">
        <f ca="1"/>
        <v>PAYER</v>
      </c>
      <c r="H6" s="24"/>
      <c r="I6" s="37" t="str">
        <f ca="1"/>
        <v>fixedSpread</v>
      </c>
      <c r="J6" s="38" t="str">
        <f ca="1"/>
        <v>-</v>
      </c>
      <c r="K6" s="24"/>
      <c r="L6" s="46" t="str">
        <f ca="1"/>
        <v>MaturityDate</v>
      </c>
      <c r="M6" s="48" t="str">
        <f ca="1"/>
        <v>45703</v>
      </c>
    </row>
    <row r="7" spans="2:13">
      <c r="B7" s="3" t="s">
        <v>46</v>
      </c>
      <c r="C7" s="12">
        <v>45703</v>
      </c>
      <c r="D7" s="12"/>
      <c r="E7" s="24"/>
      <c r="F7" s="37" t="str">
        <f ca="1"/>
        <v>EffectiveDate</v>
      </c>
      <c r="G7" s="42" t="str">
        <f ca="1"/>
        <v>42423</v>
      </c>
      <c r="H7" s="24"/>
      <c r="I7" s="37" t="str">
        <f ca="1"/>
        <v>fixedlastStubDate</v>
      </c>
      <c r="J7" s="38" t="str">
        <f ca="1"/>
        <v>-</v>
      </c>
      <c r="K7" s="24"/>
      <c r="L7" s="46" t="str">
        <f ca="1"/>
        <v>EffectiveDate</v>
      </c>
      <c r="M7" s="49" t="str">
        <f ca="1"/>
        <v>42423</v>
      </c>
    </row>
    <row r="8" spans="2:13">
      <c r="B8" s="3" t="s">
        <v>8</v>
      </c>
      <c r="C8" s="13" t="s">
        <v>16</v>
      </c>
      <c r="D8" s="13"/>
      <c r="E8" s="24"/>
      <c r="F8" s="37" t="str">
        <f ca="1"/>
        <v>CurveCollection</v>
      </c>
      <c r="G8" s="42" t="str">
        <f ca="1"/>
        <v>EUR_JPYCSA</v>
      </c>
      <c r="H8" s="24"/>
      <c r="I8" s="37" t="str">
        <f ca="1"/>
        <v>fixeddaycount</v>
      </c>
      <c r="J8" s="38" t="str">
        <f ca="1"/>
        <v>ACT/ACT</v>
      </c>
      <c r="K8" s="24"/>
      <c r="L8" s="46" t="str">
        <f ca="1"/>
        <v>CurveCollection</v>
      </c>
      <c r="M8" s="47" t="str">
        <f ca="1"/>
        <v>EUR_JPYCSA</v>
      </c>
    </row>
    <row r="9" spans="2:13">
      <c r="B9" s="3" t="s">
        <v>4</v>
      </c>
      <c r="C9" s="14">
        <v>5.0000000000000001E-3</v>
      </c>
      <c r="D9" s="20" t="s">
        <v>20</v>
      </c>
      <c r="E9" s="25"/>
      <c r="F9" s="37" t="str">
        <f ca="1"/>
        <v>fixedRate</v>
      </c>
      <c r="G9" s="42" t="str">
        <f ca="1"/>
        <v>0.005</v>
      </c>
      <c r="H9" s="25"/>
      <c r="I9" s="37" t="str">
        <f ca="1"/>
        <v>fixedfrequency</v>
      </c>
      <c r="J9" s="38" t="str">
        <f ca="1"/>
        <v>Annual</v>
      </c>
      <c r="K9" s="25"/>
      <c r="L9" s="46" t="e">
        <f ca="1"/>
        <v>#N/A</v>
      </c>
      <c r="M9" s="47" t="e">
        <f ca="1"/>
        <v>#N/A</v>
      </c>
    </row>
    <row r="10" spans="2:13" s="9" customFormat="1">
      <c r="B10" s="3" t="s">
        <v>47</v>
      </c>
      <c r="C10" s="19" t="s">
        <v>20</v>
      </c>
      <c r="D10" s="15">
        <v>0</v>
      </c>
      <c r="E10" s="26"/>
      <c r="F10" s="37" t="str">
        <f ca="1"/>
        <v>fixedfixingLag</v>
      </c>
      <c r="G10" s="42" t="str">
        <f ca="1"/>
        <v>-</v>
      </c>
      <c r="H10" s="26"/>
      <c r="I10" s="37" t="str">
        <f ca="1"/>
        <v>fixedrollDay</v>
      </c>
      <c r="J10" s="38" t="str">
        <f ca="1"/>
        <v>15</v>
      </c>
      <c r="K10" s="26"/>
      <c r="L10" s="50" t="e">
        <f ca="1"/>
        <v>#N/A</v>
      </c>
      <c r="M10" s="51" t="e">
        <f ca="1"/>
        <v>#N/A</v>
      </c>
    </row>
    <row r="11" spans="2:13">
      <c r="B11" s="3" t="s">
        <v>6</v>
      </c>
      <c r="C11" s="16" t="s">
        <v>7</v>
      </c>
      <c r="D11" s="16" t="s">
        <v>9</v>
      </c>
      <c r="E11" s="27"/>
      <c r="F11" s="37" t="str">
        <f ca="1"/>
        <v>fixedSpread</v>
      </c>
      <c r="G11" s="42" t="str">
        <f ca="1"/>
        <v>-</v>
      </c>
      <c r="H11" s="27"/>
      <c r="I11" s="37" t="str">
        <f ca="1"/>
        <v>fixedfirstStubDate</v>
      </c>
      <c r="J11" s="38" t="str">
        <f ca="1"/>
        <v>-</v>
      </c>
      <c r="K11" s="27"/>
    </row>
    <row r="12" spans="2:13">
      <c r="B12" s="3" t="s">
        <v>3</v>
      </c>
      <c r="C12" s="17" t="s">
        <v>17</v>
      </c>
      <c r="D12" s="17" t="s">
        <v>2</v>
      </c>
      <c r="E12" s="28"/>
      <c r="F12" s="37" t="str">
        <f ca="1"/>
        <v>fixedlastStubDate</v>
      </c>
      <c r="G12" s="42" t="str">
        <f ca="1"/>
        <v>-</v>
      </c>
      <c r="H12" s="28"/>
      <c r="I12" s="37" t="str">
        <f ca="1"/>
        <v>fixedBusinessDayAdjustment</v>
      </c>
      <c r="J12" s="38" t="str">
        <f ca="1"/>
        <v>MOD_FOLLOWING</v>
      </c>
      <c r="K12" s="28"/>
    </row>
    <row r="13" spans="2:13">
      <c r="B13" s="3" t="s">
        <v>41</v>
      </c>
      <c r="C13" s="16" t="s">
        <v>5</v>
      </c>
      <c r="D13" s="16" t="s">
        <v>5</v>
      </c>
      <c r="E13" s="27"/>
      <c r="F13" s="37" t="str">
        <f ca="1"/>
        <v>fixeddaycount</v>
      </c>
      <c r="G13" s="42" t="str">
        <f ca="1"/>
        <v>ACT/ACT</v>
      </c>
      <c r="H13" s="27"/>
      <c r="I13" s="37" t="str">
        <f ca="1"/>
        <v>fixedcalendar</v>
      </c>
      <c r="J13" s="38" t="str">
        <f ca="1"/>
        <v>TGT</v>
      </c>
      <c r="K13" s="27"/>
      <c r="L13" s="32" t="s">
        <v>38</v>
      </c>
    </row>
    <row r="14" spans="2:13">
      <c r="B14" s="3" t="s">
        <v>1</v>
      </c>
      <c r="C14" s="16" t="s">
        <v>0</v>
      </c>
      <c r="D14" s="16" t="s">
        <v>0</v>
      </c>
      <c r="E14" s="27"/>
      <c r="F14" s="37" t="str">
        <f ca="1"/>
        <v>fixedfrequency</v>
      </c>
      <c r="G14" s="42" t="str">
        <f ca="1"/>
        <v>Annual</v>
      </c>
      <c r="H14" s="27"/>
      <c r="I14" s="37" t="str">
        <f ca="1"/>
        <v>fixedfirstFixing</v>
      </c>
      <c r="J14" s="38" t="str">
        <f ca="1"/>
        <v>-</v>
      </c>
      <c r="K14" s="27"/>
      <c r="L14" s="52" t="str">
        <f t="array" aca="1" ref="L14:M20" ca="1">_xll.meUtilityLVB(B4:C8)</f>
        <v>Notional</v>
      </c>
      <c r="M14" s="53" t="str">
        <f ca="1"/>
        <v>1000000</v>
      </c>
    </row>
    <row r="15" spans="2:13">
      <c r="B15" s="3" t="s">
        <v>42</v>
      </c>
      <c r="C15" s="17" t="s">
        <v>20</v>
      </c>
      <c r="D15" s="17" t="s">
        <v>20</v>
      </c>
      <c r="E15" s="28"/>
      <c r="F15" s="37" t="str">
        <f ca="1"/>
        <v>fixedrollDay</v>
      </c>
      <c r="G15" s="42" t="str">
        <f ca="1"/>
        <v>15</v>
      </c>
      <c r="H15" s="28"/>
      <c r="I15" s="37" t="str">
        <f ca="1"/>
        <v>fixedlastFixing</v>
      </c>
      <c r="J15" s="38" t="str">
        <f ca="1"/>
        <v>-</v>
      </c>
      <c r="K15" s="28"/>
      <c r="L15" s="54" t="str">
        <f ca="1"/>
        <v>MaturityDate</v>
      </c>
      <c r="M15" s="55" t="str">
        <f ca="1"/>
        <v>45703</v>
      </c>
    </row>
    <row r="16" spans="2:13">
      <c r="B16" s="3" t="s">
        <v>43</v>
      </c>
      <c r="C16" s="17" t="s">
        <v>20</v>
      </c>
      <c r="D16" s="17" t="s">
        <v>20</v>
      </c>
      <c r="E16" s="28"/>
      <c r="F16" s="37" t="str">
        <f ca="1"/>
        <v>fixedfirstStubDate</v>
      </c>
      <c r="G16" s="42" t="str">
        <f ca="1"/>
        <v>-</v>
      </c>
      <c r="H16" s="28"/>
      <c r="I16" s="37" t="str">
        <f ca="1"/>
        <v>fixedpaymentLag</v>
      </c>
      <c r="J16" s="38" t="str">
        <f ca="1"/>
        <v>0D</v>
      </c>
      <c r="K16" s="28"/>
      <c r="L16" s="54" t="str">
        <f ca="1"/>
        <v>PayerReceiver</v>
      </c>
      <c r="M16" s="55" t="str">
        <f ca="1"/>
        <v>PAYER</v>
      </c>
    </row>
    <row r="17" spans="2:13">
      <c r="B17" s="3" t="s">
        <v>22</v>
      </c>
      <c r="C17" s="16">
        <v>15</v>
      </c>
      <c r="D17" s="16">
        <v>15</v>
      </c>
      <c r="E17" s="27"/>
      <c r="F17" s="37" t="str">
        <f ca="1"/>
        <v>fixedBusinessDayAdjustment</v>
      </c>
      <c r="G17" s="42" t="str">
        <f ca="1"/>
        <v>MOD_FOLLOWING</v>
      </c>
      <c r="H17" s="27"/>
      <c r="I17" s="37" t="str">
        <f ca="1"/>
        <v>fixedStubType</v>
      </c>
      <c r="J17" s="38" t="str">
        <f ca="1"/>
        <v>ShortStart</v>
      </c>
      <c r="K17" s="27"/>
      <c r="L17" s="54" t="str">
        <f ca="1"/>
        <v>EffectiveDate</v>
      </c>
      <c r="M17" s="55" t="str">
        <f ca="1"/>
        <v>42423</v>
      </c>
    </row>
    <row r="18" spans="2:13">
      <c r="B18" s="3" t="s">
        <v>23</v>
      </c>
      <c r="C18" s="17" t="s">
        <v>20</v>
      </c>
      <c r="D18" s="6" t="s">
        <v>24</v>
      </c>
      <c r="E18" s="29"/>
      <c r="F18" s="37" t="str">
        <f ca="1"/>
        <v>fixedcalendar</v>
      </c>
      <c r="G18" s="42" t="str">
        <f ca="1"/>
        <v>TGT</v>
      </c>
      <c r="H18" s="29"/>
      <c r="I18" s="37" t="str">
        <f ca="1"/>
        <v>floatlastStubDate</v>
      </c>
      <c r="J18" s="38" t="str">
        <f ca="1"/>
        <v>-</v>
      </c>
      <c r="K18" s="29"/>
      <c r="L18" s="54" t="str">
        <f ca="1"/>
        <v>CurveCollection</v>
      </c>
      <c r="M18" s="55" t="str">
        <f ca="1"/>
        <v>EUR_JPYCSA</v>
      </c>
    </row>
    <row r="19" spans="2:13">
      <c r="B19" s="3" t="s">
        <v>25</v>
      </c>
      <c r="C19" s="6" t="s">
        <v>20</v>
      </c>
      <c r="D19" s="17" t="s">
        <v>20</v>
      </c>
      <c r="E19" s="28"/>
      <c r="F19" s="37" t="str">
        <f ca="1"/>
        <v>fixedfirstFixing</v>
      </c>
      <c r="G19" s="42" t="str">
        <f ca="1"/>
        <v>-</v>
      </c>
      <c r="H19" s="28"/>
      <c r="I19" s="37" t="str">
        <f ca="1"/>
        <v>floatdaycount</v>
      </c>
      <c r="J19" s="38" t="str">
        <f ca="1"/>
        <v>ACT/360</v>
      </c>
      <c r="K19" s="28"/>
      <c r="L19" s="54" t="e">
        <f ca="1"/>
        <v>#N/A</v>
      </c>
      <c r="M19" s="55" t="e">
        <f ca="1"/>
        <v>#N/A</v>
      </c>
    </row>
    <row r="20" spans="2:13">
      <c r="B20" s="3" t="s">
        <v>26</v>
      </c>
      <c r="C20" s="6" t="s">
        <v>20</v>
      </c>
      <c r="D20" s="17" t="s">
        <v>20</v>
      </c>
      <c r="E20" s="28"/>
      <c r="F20" s="37" t="str">
        <f ca="1"/>
        <v>fixedlastFixing</v>
      </c>
      <c r="G20" s="42" t="str">
        <f ca="1"/>
        <v>-</v>
      </c>
      <c r="H20" s="28"/>
      <c r="I20" s="37" t="str">
        <f ca="1"/>
        <v>floatRate</v>
      </c>
      <c r="J20" s="38" t="str">
        <f ca="1"/>
        <v>-</v>
      </c>
      <c r="K20" s="28"/>
      <c r="L20" s="56" t="e">
        <f ca="1"/>
        <v>#N/A</v>
      </c>
      <c r="M20" s="57" t="e">
        <f ca="1"/>
        <v>#N/A</v>
      </c>
    </row>
    <row r="21" spans="2:13">
      <c r="B21" s="3" t="s">
        <v>27</v>
      </c>
      <c r="C21" s="6" t="s">
        <v>24</v>
      </c>
      <c r="D21" s="6" t="s">
        <v>24</v>
      </c>
      <c r="E21" s="29"/>
      <c r="F21" s="37" t="str">
        <f ca="1"/>
        <v>fixedpaymentLag</v>
      </c>
      <c r="G21" s="42" t="str">
        <f ca="1"/>
        <v>0D</v>
      </c>
      <c r="H21" s="29"/>
      <c r="I21" s="37" t="str">
        <f ca="1"/>
        <v>floatfrequency</v>
      </c>
      <c r="J21" s="38" t="str">
        <f ca="1"/>
        <v>Semi-Annual</v>
      </c>
      <c r="K21" s="29"/>
    </row>
    <row r="22" spans="2:13">
      <c r="B22" s="7" t="s">
        <v>28</v>
      </c>
      <c r="C22" s="18" t="s">
        <v>29</v>
      </c>
      <c r="D22" s="18" t="s">
        <v>29</v>
      </c>
      <c r="E22" s="28"/>
      <c r="F22" s="37" t="str">
        <f ca="1"/>
        <v>fixedStubType</v>
      </c>
      <c r="G22" s="42" t="str">
        <f ca="1"/>
        <v>ShortStart</v>
      </c>
      <c r="H22" s="28"/>
      <c r="I22" s="37" t="str">
        <f ca="1"/>
        <v>floatSpread</v>
      </c>
      <c r="J22" s="38" t="str">
        <f ca="1"/>
        <v>0</v>
      </c>
      <c r="K22" s="28"/>
    </row>
    <row r="23" spans="2:13">
      <c r="B23" s="3" t="s">
        <v>10</v>
      </c>
      <c r="C23" s="11" t="s">
        <v>30</v>
      </c>
      <c r="D23" s="17"/>
      <c r="E23" s="28"/>
      <c r="F23" s="37" t="str">
        <f ca="1"/>
        <v>floatlastStubDate</v>
      </c>
      <c r="G23" s="42" t="str">
        <f ca="1"/>
        <v>-</v>
      </c>
      <c r="H23" s="28"/>
      <c r="I23" s="37" t="str">
        <f ca="1"/>
        <v>floatBusinessDayAdjustment</v>
      </c>
      <c r="J23" s="38" t="str">
        <f ca="1"/>
        <v>MOD_FOLLOWING</v>
      </c>
      <c r="K23" s="28"/>
    </row>
    <row r="24" spans="2:13">
      <c r="B24" s="3" t="s">
        <v>31</v>
      </c>
      <c r="C24" s="11" t="s">
        <v>32</v>
      </c>
      <c r="D24" s="11"/>
      <c r="E24" s="23"/>
      <c r="F24" s="37" t="str">
        <f ca="1"/>
        <v>floatdaycount</v>
      </c>
      <c r="G24" s="42" t="str">
        <f ca="1"/>
        <v>ACT/360</v>
      </c>
      <c r="H24" s="23"/>
      <c r="I24" s="37" t="str">
        <f ca="1"/>
        <v>floatlastFixing</v>
      </c>
      <c r="J24" s="38" t="str">
        <f ca="1"/>
        <v>-</v>
      </c>
      <c r="K24" s="23"/>
    </row>
    <row r="25" spans="2:13">
      <c r="B25" s="7" t="s">
        <v>33</v>
      </c>
      <c r="C25" s="21" t="s">
        <v>34</v>
      </c>
      <c r="D25" s="21"/>
      <c r="E25" s="23"/>
      <c r="F25" s="37" t="str">
        <f ca="1"/>
        <v>floatRate</v>
      </c>
      <c r="G25" s="42" t="str">
        <f ca="1"/>
        <v>-</v>
      </c>
      <c r="H25" s="23"/>
      <c r="I25" s="37" t="str">
        <f ca="1"/>
        <v>floatcalendar</v>
      </c>
      <c r="J25" s="38" t="str">
        <f ca="1"/>
        <v>TGT</v>
      </c>
      <c r="K25" s="23"/>
    </row>
    <row r="26" spans="2:13">
      <c r="F26" s="37" t="str">
        <f ca="1"/>
        <v>floatfrequency</v>
      </c>
      <c r="G26" s="42" t="str">
        <f ca="1"/>
        <v>Semi-Annual</v>
      </c>
      <c r="I26" s="37" t="str">
        <f ca="1"/>
        <v>floatfirstStubDate</v>
      </c>
      <c r="J26" s="38" t="str">
        <f ca="1"/>
        <v>-</v>
      </c>
    </row>
    <row r="27" spans="2:13">
      <c r="F27" s="37" t="str">
        <f ca="1"/>
        <v>floatSpread</v>
      </c>
      <c r="G27" s="42" t="str">
        <f ca="1"/>
        <v>0</v>
      </c>
      <c r="I27" s="37" t="str">
        <f ca="1"/>
        <v>floatrollDay</v>
      </c>
      <c r="J27" s="38" t="str">
        <f ca="1"/>
        <v>15</v>
      </c>
    </row>
    <row r="28" spans="2:13">
      <c r="F28" s="37" t="str">
        <f ca="1"/>
        <v>floatBusinessDayAdjustment</v>
      </c>
      <c r="G28" s="42" t="str">
        <f ca="1"/>
        <v>MOD_FOLLOWING</v>
      </c>
      <c r="I28" s="37" t="str">
        <f ca="1"/>
        <v>floatfixingLag</v>
      </c>
      <c r="J28" s="38" t="str">
        <f ca="1"/>
        <v>0D</v>
      </c>
    </row>
    <row r="29" spans="2:13">
      <c r="F29" s="37" t="str">
        <f ca="1"/>
        <v>floatlastFixing</v>
      </c>
      <c r="G29" s="42" t="str">
        <f ca="1"/>
        <v>-</v>
      </c>
      <c r="I29" s="37" t="str">
        <f ca="1"/>
        <v>floatfirstFixing</v>
      </c>
      <c r="J29" s="42" t="str">
        <f ca="1"/>
        <v>-</v>
      </c>
    </row>
    <row r="30" spans="2:13">
      <c r="F30" s="37" t="str">
        <f ca="1"/>
        <v>floatcalendar</v>
      </c>
      <c r="G30" s="42" t="str">
        <f ca="1"/>
        <v>TGT</v>
      </c>
      <c r="I30" s="37" t="str">
        <f ca="1"/>
        <v>floatpaymentLag</v>
      </c>
      <c r="J30" s="42" t="str">
        <f ca="1"/>
        <v>0D</v>
      </c>
    </row>
    <row r="31" spans="2:13">
      <c r="F31" s="37" t="str">
        <f ca="1"/>
        <v>floatfirstStubDate</v>
      </c>
      <c r="G31" s="42" t="str">
        <f ca="1"/>
        <v>-</v>
      </c>
      <c r="I31" s="37" t="str">
        <f ca="1"/>
        <v>floatStubType</v>
      </c>
      <c r="J31" s="42" t="str">
        <f ca="1"/>
        <v>ShortStart</v>
      </c>
    </row>
    <row r="32" spans="2:13">
      <c r="F32" s="37" t="str">
        <f ca="1"/>
        <v>floatrollDay</v>
      </c>
      <c r="G32" s="42" t="str">
        <f ca="1"/>
        <v>15</v>
      </c>
      <c r="I32" s="37"/>
      <c r="J32" s="42"/>
    </row>
    <row r="33" spans="6:10">
      <c r="F33" s="37" t="str">
        <f ca="1"/>
        <v>floatfixingLag</v>
      </c>
      <c r="G33" s="42" t="str">
        <f ca="1"/>
        <v>0D</v>
      </c>
      <c r="I33" s="37"/>
      <c r="J33" s="42"/>
    </row>
    <row r="34" spans="6:10">
      <c r="F34" s="37" t="str">
        <f ca="1"/>
        <v>floatfirstFixing</v>
      </c>
      <c r="G34" s="42" t="str">
        <f ca="1"/>
        <v>-</v>
      </c>
      <c r="I34" s="37"/>
      <c r="J34" s="42"/>
    </row>
    <row r="35" spans="6:10">
      <c r="F35" s="37" t="str">
        <f ca="1"/>
        <v>floatpaymentLag</v>
      </c>
      <c r="G35" s="42" t="str">
        <f ca="1"/>
        <v>0D</v>
      </c>
      <c r="I35" s="37"/>
      <c r="J35" s="42"/>
    </row>
    <row r="36" spans="6:10">
      <c r="F36" s="39" t="str">
        <f ca="1"/>
        <v>floatStubType</v>
      </c>
      <c r="G36" s="43" t="str">
        <f ca="1"/>
        <v>ShortStart</v>
      </c>
      <c r="I36" s="39"/>
      <c r="J36" s="43"/>
    </row>
  </sheetData>
  <dataValidations count="3">
    <dataValidation type="list" allowBlank="1" showInputMessage="1" showErrorMessage="1" sqref="C5:E5 H5 K5">
      <formula1>"PAYER,RECEIVER"</formula1>
    </dataValidation>
    <dataValidation type="list" allowBlank="1" showInputMessage="1" showErrorMessage="1" sqref="C22:E22 H22 K22">
      <formula1>"None,ShortStart,ShortEnd,LongStart,LongEnd,SS,SE,LS,LE"</formula1>
    </dataValidation>
    <dataValidation type="list" allowBlank="1" showInputMessage="1" showErrorMessage="1" sqref="C13:E13 H13 K13">
      <formula1>"MOD_FOLLOWING,FOLLOWING,MOD_PRECEDING,PRECEDING,NO_CHANGE"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B2:J24"/>
  <sheetViews>
    <sheetView showGridLines="0" workbookViewId="0"/>
  </sheetViews>
  <sheetFormatPr defaultRowHeight="15"/>
  <cols>
    <col min="1" max="1" width="4.7109375" customWidth="1"/>
    <col min="3" max="10" width="18.7109375" customWidth="1"/>
  </cols>
  <sheetData>
    <row r="2" spans="2:10" s="9" customFormat="1"/>
    <row r="3" spans="2:10">
      <c r="C3" s="34" t="s">
        <v>6</v>
      </c>
      <c r="D3" s="34" t="s">
        <v>3</v>
      </c>
      <c r="E3" s="34" t="s">
        <v>18</v>
      </c>
      <c r="F3" s="34" t="s">
        <v>1</v>
      </c>
      <c r="G3" s="34" t="s">
        <v>19</v>
      </c>
      <c r="H3" s="34" t="s">
        <v>21</v>
      </c>
      <c r="I3" s="9"/>
      <c r="J3" s="9"/>
    </row>
    <row r="4" spans="2:10">
      <c r="B4" s="8" t="s">
        <v>37</v>
      </c>
      <c r="C4" s="4" t="s">
        <v>7</v>
      </c>
      <c r="D4" s="5" t="s">
        <v>17</v>
      </c>
      <c r="E4" s="4" t="s">
        <v>5</v>
      </c>
      <c r="F4" s="4" t="s">
        <v>0</v>
      </c>
      <c r="G4" s="5" t="s">
        <v>20</v>
      </c>
      <c r="H4" s="5" t="s">
        <v>20</v>
      </c>
      <c r="I4" s="9"/>
      <c r="J4" s="9"/>
    </row>
    <row r="5" spans="2:10">
      <c r="B5" s="8" t="s">
        <v>36</v>
      </c>
      <c r="C5" s="30" t="s">
        <v>9</v>
      </c>
      <c r="D5" s="31" t="s">
        <v>2</v>
      </c>
      <c r="E5" s="30" t="s">
        <v>5</v>
      </c>
      <c r="F5" s="30" t="s">
        <v>0</v>
      </c>
      <c r="G5" s="31" t="s">
        <v>20</v>
      </c>
      <c r="H5" s="31" t="s">
        <v>20</v>
      </c>
      <c r="I5" s="9"/>
      <c r="J5" s="9"/>
    </row>
    <row r="7" spans="2:10" s="9" customFormat="1"/>
    <row r="8" spans="2:10">
      <c r="C8" s="32" t="s">
        <v>50</v>
      </c>
      <c r="F8" s="32" t="s">
        <v>51</v>
      </c>
      <c r="I8" s="32" t="s">
        <v>40</v>
      </c>
    </row>
    <row r="9" spans="2:10">
      <c r="C9" s="35" t="str">
        <f t="array" aca="1" ref="C9:D20" ca="1">_xll.meUtilityLVB($C$3:$H$5,,FALSE)</f>
        <v>frequency</v>
      </c>
      <c r="D9" s="36" t="str">
        <f ca="1"/>
        <v>Annual</v>
      </c>
      <c r="F9" s="35" t="str">
        <f t="array" aca="1" ref="F9:G20" ca="1">_xll.meUtilityLVB($C$3:$H$5,$B$4:$B$5,FALSE)</f>
        <v>fixedfrequency</v>
      </c>
      <c r="G9" s="36" t="str">
        <f ca="1"/>
        <v>Annual</v>
      </c>
      <c r="H9" s="9"/>
      <c r="I9" s="35" t="str">
        <f t="array" aca="1" ref="I9:J14" ca="1">_xll.meUtilityLVBFromMultipleKeysValues(C3:E3,C4:E4,"fixed",C3:E3,C5:E5,"float")</f>
        <v>fixedfrequency</v>
      </c>
      <c r="J9" s="36" t="str">
        <f ca="1"/>
        <v>Annual</v>
      </c>
    </row>
    <row r="10" spans="2:10">
      <c r="B10" s="9"/>
      <c r="C10" s="37" t="str">
        <f ca="1"/>
        <v>lastStub</v>
      </c>
      <c r="D10" s="38" t="str">
        <f ca="1"/>
        <v>-</v>
      </c>
      <c r="F10" s="37" t="str">
        <f ca="1"/>
        <v>fixeddaycount</v>
      </c>
      <c r="G10" s="38" t="str">
        <f ca="1"/>
        <v>ACT/ACT</v>
      </c>
      <c r="I10" s="37" t="str">
        <f ca="1"/>
        <v>fixeddaycount</v>
      </c>
      <c r="J10" s="38" t="str">
        <f ca="1"/>
        <v>ACT/ACT</v>
      </c>
    </row>
    <row r="11" spans="2:10">
      <c r="C11" s="37" t="str">
        <f ca="1"/>
        <v>daycount</v>
      </c>
      <c r="D11" s="38" t="str">
        <f ca="1"/>
        <v>ACT/ACT</v>
      </c>
      <c r="F11" s="37" t="str">
        <f ca="1"/>
        <v>fixedrollConv</v>
      </c>
      <c r="G11" s="38" t="str">
        <f ca="1"/>
        <v>MOD_FOLLOWING</v>
      </c>
      <c r="I11" s="37" t="str">
        <f ca="1"/>
        <v>fixedrollConv</v>
      </c>
      <c r="J11" s="38" t="str">
        <f ca="1"/>
        <v>MOD_FOLLOWING</v>
      </c>
    </row>
    <row r="12" spans="2:10">
      <c r="C12" s="37" t="str">
        <f ca="1"/>
        <v>rollConv</v>
      </c>
      <c r="D12" s="38" t="str">
        <f ca="1"/>
        <v>MOD_FOLLOWING</v>
      </c>
      <c r="F12" s="37" t="str">
        <f ca="1"/>
        <v>fixedcalendar</v>
      </c>
      <c r="G12" s="38" t="str">
        <f ca="1"/>
        <v>TGT</v>
      </c>
      <c r="I12" s="37" t="str">
        <f ca="1"/>
        <v>floatfrequency</v>
      </c>
      <c r="J12" s="38" t="str">
        <f ca="1"/>
        <v>Semi-Annual</v>
      </c>
    </row>
    <row r="13" spans="2:10">
      <c r="C13" s="37" t="str">
        <f ca="1"/>
        <v>calendar</v>
      </c>
      <c r="D13" s="38" t="str">
        <f ca="1"/>
        <v>TGT</v>
      </c>
      <c r="F13" s="37" t="str">
        <f ca="1"/>
        <v>fixedfirstStub</v>
      </c>
      <c r="G13" s="38" t="str">
        <f ca="1"/>
        <v>-</v>
      </c>
      <c r="I13" s="37" t="str">
        <f ca="1"/>
        <v>floatdaycount</v>
      </c>
      <c r="J13" s="38" t="str">
        <f ca="1"/>
        <v>ACT/360</v>
      </c>
    </row>
    <row r="14" spans="2:10">
      <c r="C14" s="37" t="str">
        <f ca="1"/>
        <v>firstStub</v>
      </c>
      <c r="D14" s="38" t="str">
        <f ca="1"/>
        <v>-</v>
      </c>
      <c r="F14" s="37" t="str">
        <f ca="1"/>
        <v>fixedlastStub</v>
      </c>
      <c r="G14" s="38" t="str">
        <f ca="1"/>
        <v>-</v>
      </c>
      <c r="I14" s="37" t="str">
        <f ca="1"/>
        <v>floatrollConv</v>
      </c>
      <c r="J14" s="38" t="str">
        <f ca="1"/>
        <v>MOD_FOLLOWING</v>
      </c>
    </row>
    <row r="15" spans="2:10">
      <c r="C15" s="37" t="str">
        <f ca="1"/>
        <v>lastStub</v>
      </c>
      <c r="D15" s="38" t="str">
        <f ca="1"/>
        <v>-</v>
      </c>
      <c r="F15" s="37" t="str">
        <f ca="1"/>
        <v>floatdaycount</v>
      </c>
      <c r="G15" s="38" t="str">
        <f ca="1"/>
        <v>ACT/360</v>
      </c>
      <c r="I15" s="37"/>
      <c r="J15" s="38"/>
    </row>
    <row r="16" spans="2:10">
      <c r="C16" s="37" t="str">
        <f ca="1"/>
        <v>frequency</v>
      </c>
      <c r="D16" s="38" t="str">
        <f ca="1"/>
        <v>Semi-Annual</v>
      </c>
      <c r="F16" s="37" t="str">
        <f ca="1"/>
        <v>floatfrequency</v>
      </c>
      <c r="G16" s="38" t="str">
        <f ca="1"/>
        <v>Semi-Annual</v>
      </c>
      <c r="I16" s="37"/>
      <c r="J16" s="38"/>
    </row>
    <row r="17" spans="2:10">
      <c r="C17" s="37" t="str">
        <f ca="1"/>
        <v>daycount</v>
      </c>
      <c r="D17" s="38" t="str">
        <f ca="1"/>
        <v>ACT/360</v>
      </c>
      <c r="F17" s="37" t="str">
        <f ca="1"/>
        <v>floatrollConv</v>
      </c>
      <c r="G17" s="38" t="str">
        <f ca="1"/>
        <v>MOD_FOLLOWING</v>
      </c>
      <c r="I17" s="37"/>
      <c r="J17" s="38"/>
    </row>
    <row r="18" spans="2:10">
      <c r="C18" s="37" t="str">
        <f ca="1"/>
        <v>rollConv</v>
      </c>
      <c r="D18" s="38" t="str">
        <f ca="1"/>
        <v>MOD_FOLLOWING</v>
      </c>
      <c r="F18" s="37" t="str">
        <f ca="1"/>
        <v>floatcalendar</v>
      </c>
      <c r="G18" s="38" t="str">
        <f ca="1"/>
        <v>TGT</v>
      </c>
      <c r="I18" s="37"/>
      <c r="J18" s="38"/>
    </row>
    <row r="19" spans="2:10">
      <c r="C19" s="37" t="str">
        <f ca="1"/>
        <v>calendar</v>
      </c>
      <c r="D19" s="38" t="str">
        <f ca="1"/>
        <v>TGT</v>
      </c>
      <c r="F19" s="37" t="str">
        <f ca="1"/>
        <v>floatfirstStub</v>
      </c>
      <c r="G19" s="38" t="str">
        <f ca="1"/>
        <v>-</v>
      </c>
      <c r="I19" s="37"/>
      <c r="J19" s="38"/>
    </row>
    <row r="20" spans="2:10">
      <c r="C20" s="39" t="str">
        <f ca="1"/>
        <v>firstStub</v>
      </c>
      <c r="D20" s="40" t="str">
        <f ca="1"/>
        <v>-</v>
      </c>
      <c r="F20" s="39" t="str">
        <f ca="1"/>
        <v>floatlastStub</v>
      </c>
      <c r="G20" s="40" t="str">
        <f ca="1"/>
        <v>-</v>
      </c>
      <c r="I20" s="39"/>
      <c r="J20" s="40"/>
    </row>
    <row r="21" spans="2:10">
      <c r="F21" s="9"/>
      <c r="G21" s="9"/>
      <c r="H21" s="9"/>
    </row>
    <row r="22" spans="2:10">
      <c r="E22" s="9"/>
      <c r="F22" s="9"/>
      <c r="G22" s="9"/>
      <c r="H22" s="9"/>
    </row>
    <row r="23" spans="2:10">
      <c r="E23" s="9"/>
      <c r="F23" s="9"/>
      <c r="G23" s="9"/>
      <c r="H23" s="9"/>
    </row>
    <row r="24" spans="2:10">
      <c r="B24" s="9"/>
    </row>
  </sheetData>
  <dataValidations count="1">
    <dataValidation type="list" allowBlank="1" showInputMessage="1" showErrorMessage="1" sqref="E4:E5">
      <formula1>"MOD_FOLLOWING,FOLLOWING,MOD_PRECEDING,PRECEDING,NO_CHANGE"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meUtilityLVB (Vertical)</vt:lpstr>
      <vt:lpstr>meUtilityLVB (Horizontal)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2016-10-18T10:29:43Z</dcterms:modified>
</cp:coreProperties>
</file>